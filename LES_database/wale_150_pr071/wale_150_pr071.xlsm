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tables/table2.xml" ContentType="application/vnd.openxmlformats-officedocument.spreadsheetml.table+xml"/>
  <Override PartName="/xl/queryTables/queryTable5.xml" ContentType="application/vnd.openxmlformats-officedocument.spreadsheetml.query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lageul\Documents\stats\5.0_150_cht_wale\"/>
    </mc:Choice>
  </mc:AlternateContent>
  <bookViews>
    <workbookView xWindow="480" yWindow="180" windowWidth="27795" windowHeight="14310"/>
  </bookViews>
  <sheets>
    <sheet name="Introduction" sheetId="6" r:id="rId1"/>
    <sheet name="&lt;U&gt;" sheetId="2" r:id="rId2"/>
    <sheet name="Rij" sheetId="3" r:id="rId3"/>
    <sheet name="Diss." sheetId="4" r:id="rId4"/>
    <sheet name="DNS" sheetId="1" r:id="rId5"/>
    <sheet name="scalar" sheetId="5" r:id="rId6"/>
  </sheets>
  <externalReferences>
    <externalReference r:id="rId7"/>
    <externalReference r:id="rId8"/>
  </externalReferences>
  <definedNames>
    <definedName name="_150_diric" localSheetId="4" hidden="1">DNS!$AX$2:$BD$202</definedName>
    <definedName name="_150_diric_1" localSheetId="4" hidden="1">DNS!$A$2:$O$198</definedName>
    <definedName name="_150_diric_2" localSheetId="4" hidden="1">DNS!$Q$2:$AV$198</definedName>
    <definedName name="_150_diric_3" localSheetId="4" hidden="1">DNS!$BF$2:$BK$202</definedName>
    <definedName name="_150_diric_4" localSheetId="4" hidden="1">DNS!$BM$2:$BR$202</definedName>
    <definedName name="diricm" localSheetId="5">scalar!$A$2:$I$64</definedName>
    <definedName name="diss1" localSheetId="3">Diss.!$A$2:$C$32</definedName>
    <definedName name="fluct1" localSheetId="2">Rij!$A$2:$E$32</definedName>
    <definedName name="g05a05m" localSheetId="5">scalar!$A$130:$I$192</definedName>
    <definedName name="g05a1m" localSheetId="5">scalar!$A$194:$I$256</definedName>
    <definedName name="g05a2m" localSheetId="5">scalar!$A$258:$I$320</definedName>
    <definedName name="g1a05m" localSheetId="5">scalar!$A$322:$I$384</definedName>
    <definedName name="g1a1m" localSheetId="5">scalar!$A$386:$I$448</definedName>
    <definedName name="g1a2m" localSheetId="5">scalar!$A$450:$I$512</definedName>
    <definedName name="g2a05m" localSheetId="5">scalar!$A$514:$I$576</definedName>
    <definedName name="g2a1m" localSheetId="5">scalar!$A$578:$I$640</definedName>
    <definedName name="g2a2m" localSheetId="5">scalar!$A$642:$I$704</definedName>
    <definedName name="moy1_" localSheetId="1">'&lt;U&gt;'!$A$2:$C$32</definedName>
    <definedName name="neumam" localSheetId="5">scalar!$A$66:$I$128</definedName>
    <definedName name="robb2m" localSheetId="5">scalar!#REF!</definedName>
    <definedName name="robb3m" localSheetId="5">scalar!#REF!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D16" i="6" l="1"/>
  <c r="D17" i="6" s="1"/>
  <c r="Q4" i="5" l="1"/>
  <c r="P3" i="5"/>
  <c r="P5" i="5"/>
  <c r="P4" i="5"/>
  <c r="P2" i="5"/>
  <c r="D32" i="4" l="1"/>
  <c r="Q2" i="5" l="1"/>
  <c r="R2" i="5" l="1"/>
  <c r="BE2" i="1" l="1"/>
  <c r="BE3" i="1"/>
  <c r="BE4" i="1"/>
  <c r="H2" i="4" s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sourceFile="D:\Users\Flageul\Documents\stats\dns\150_diric.xls" keepAlive="1" name="150_diric_dissrxx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budget_rxx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2" sourceFile="D:\Users\Flageul\Documents\stats\dns\150_diric.xls" keepAlive="1" name="150_diric_dissryy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budget_ryy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3" sourceFile="D:\Users\Flageul\Documents\stats\dns\150_diric.xls" keepAlive="1" name="150_diric_dissrzz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budget_rzz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4" sourceFile="D:\Users\Flageul\Documents\stats\dns\150_diric.xls" keepAlive="1" name="150_diric_fluctuations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fluctuations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5" sourceFile="D:\Users\Flageul\Documents\stats\dns\150_diric.xls" keepAlive="1" name="150_diric_moyenne" type="5" refreshedVersion="6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oyenne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6" name="diricm" type="6" refreshedVersion="6" background="1" refreshOnLoad="1" saveData="1">
    <textPr prompt="0" codePage="852" sourceFile="D:\Users\Flageul\Documents\stats\5.0_150_cht_wale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diss1" type="6" refreshedVersion="6" background="1" refreshOnLoad="1" saveData="1">
    <textPr prompt="0" codePage="852" sourceFile="D:\Users\Flageul\Documents\stats\5.0_150_cht_wale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fluct1" type="6" refreshedVersion="6" background="1" refreshOnLoad="1" saveData="1">
    <textPr prompt="0" codePage="852" sourceFile="D:\Users\Flageul\Documents\stats\5.0_150_cht_wale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g05a05m" type="6" refreshedVersion="6" background="1" refreshOnLoad="1" saveData="1">
    <textPr prompt="0" codePage="852" sourceFile="D:\Users\Flageul\Documents\stats\5.0_150_cht_wale\csv\g05a0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name="g05a1m" type="6" refreshedVersion="6" background="1" refreshOnLoad="1" saveData="1">
    <textPr prompt="0" codePage="852" sourceFile="D:\Users\Flageul\Documents\stats\5.0_150_cht_wale\csv\g05a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name="g05a2m" type="6" refreshedVersion="6" background="1" refreshOnLoad="1" saveData="1">
    <textPr prompt="0" codePage="852" sourceFile="D:\Users\Flageul\Documents\stats\5.0_150_cht_wale\csv\g05a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2" name="g1a05m" type="6" refreshedVersion="6" background="1" refreshOnLoad="1" saveData="1">
    <textPr prompt="0" codePage="852" sourceFile="D:\Users\Flageul\Documents\stats\5.0_150_cht_wale\csv\g1a0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3" name="g1a1m" type="6" refreshedVersion="6" background="1" refreshOnLoad="1" saveData="1">
    <textPr prompt="0" codePage="852" sourceFile="D:\Users\Flageul\Documents\stats\5.0_150_cht_wale\csv\g1a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4" name="g1a2m" type="6" refreshedVersion="6" background="1" refreshOnLoad="1" saveData="1">
    <textPr prompt="0" codePage="852" sourceFile="D:\Users\Flageul\Documents\stats\5.0_150_cht_wale\csv\g1a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5" name="g2a05m" type="6" refreshedVersion="6" background="1" refreshOnLoad="1" saveData="1">
    <textPr prompt="0" codePage="852" sourceFile="D:\Users\Flageul\Documents\stats\5.0_150_cht_wale\csv\g2a0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6" name="g2a1m" type="6" refreshedVersion="6" background="1" refreshOnLoad="1" saveData="1">
    <textPr prompt="0" codePage="852" sourceFile="D:\Users\Flageul\Documents\stats\5.0_150_cht_wale\csv\g2a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7" name="g2a2m" type="6" refreshedVersion="6" background="1" refreshOnLoad="1" saveData="1">
    <textPr prompt="0" codePage="852" sourceFile="D:\Users\Flageul\Documents\stats\5.0_150_cht_wale\csv\g2a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8" name="moy1" type="6" refreshedVersion="6" background="1" refreshOnLoad="1" saveData="1">
    <textPr prompt="0" codePage="852" sourceFile="D:\Users\Flageul\Documents\stats\5.0_150_cht_wale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9" name="neumam" type="6" refreshedVersion="6" background="1" refreshOnLoad="1" saveData="1">
    <textPr prompt="0" codePage="852" sourceFile="D:\Users\Flageul\Documents\stats\5.0_150_cht_wale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<sst xmlns="http://schemas.openxmlformats.org/spreadsheetml/2006/main" count="154" uniqueCount="69">
  <si>
    <t>diss_tot_sat</t>
  </si>
  <si>
    <t>Ut / UrmsTrms</t>
  </si>
  <si>
    <t>Vt / Vrms Trms</t>
  </si>
  <si>
    <t>DNS</t>
  </si>
  <si>
    <t>diss(wall)</t>
  </si>
  <si>
    <t>dns</t>
  </si>
  <si>
    <t>error in %</t>
  </si>
  <si>
    <t>wall</t>
  </si>
  <si>
    <t>erreur en %</t>
  </si>
  <si>
    <t>T</t>
  </si>
  <si>
    <t>isoT</t>
  </si>
  <si>
    <t>isoQ</t>
  </si>
  <si>
    <t>diricm</t>
  </si>
  <si>
    <t>neumam</t>
  </si>
  <si>
    <t>g05a05m</t>
  </si>
  <si>
    <t>g05a1m</t>
  </si>
  <si>
    <t>g05a2m</t>
  </si>
  <si>
    <t>g1a05m</t>
  </si>
  <si>
    <t>g1a1m</t>
  </si>
  <si>
    <t>g1a2m</t>
  </si>
  <si>
    <t>g2a05m</t>
  </si>
  <si>
    <t>g2a1m</t>
  </si>
  <si>
    <t>g2a2m</t>
  </si>
  <si>
    <t>y+</t>
  </si>
  <si>
    <t>U</t>
  </si>
  <si>
    <t>mu_t / mu</t>
  </si>
  <si>
    <t>Rxx</t>
  </si>
  <si>
    <t>Ryy</t>
  </si>
  <si>
    <t>Rzz</t>
  </si>
  <si>
    <t>-Rxy</t>
  </si>
  <si>
    <t>Diss.</t>
  </si>
  <si>
    <t>SGS Diss.</t>
  </si>
  <si>
    <t>T'**2</t>
  </si>
  <si>
    <t>u'T'</t>
  </si>
  <si>
    <t>v'T'</t>
  </si>
  <si>
    <t>w'T'</t>
  </si>
  <si>
    <t>Relative y-Diss</t>
  </si>
  <si>
    <t>Computational domain:</t>
  </si>
  <si>
    <t>Fluid</t>
  </si>
  <si>
    <t>Solid1</t>
  </si>
  <si>
    <t>Solid2</t>
  </si>
  <si>
    <t>&lt;= X &lt;=</t>
  </si>
  <si>
    <t>&lt;= Y &lt;=</t>
  </si>
  <si>
    <t>&lt;= Z &lt;=</t>
  </si>
  <si>
    <t>Directions:</t>
  </si>
  <si>
    <t>Imposed pressure gradient</t>
  </si>
  <si>
    <t>Forcing term in the temperature equation in the fluid domain:</t>
  </si>
  <si>
    <t>Forcing term in the momentum equation in the fluid domain:</t>
  </si>
  <si>
    <t>Depends on the instantaneous streamwise velocity, as defined by Kasagi et al.</t>
  </si>
  <si>
    <t>X | Y | Z = Streamwise | Wall-normal | Spanwise</t>
  </si>
  <si>
    <t>This file comes from the gitlab repository https://repo.ijs.si/CFLAG/CS-Fluid-Solid. Visit it for further information.</t>
  </si>
  <si>
    <t>Reynolds number based on the friction velocity and the channel half-height:</t>
  </si>
  <si>
    <t xml:space="preserve">Ret = </t>
  </si>
  <si>
    <t>diric</t>
  </si>
  <si>
    <t>No fluid-solid coupling, imposed temperature at the fluid boundary.</t>
  </si>
  <si>
    <t>neuma</t>
  </si>
  <si>
    <t>No fluid-solid coupling, imposed heat flux at the fluid boundary.</t>
  </si>
  <si>
    <t>gxay</t>
  </si>
  <si>
    <t>Fluid-solid coupling, imposed heat flux at the outer wall, various fluid-solid thermal properties ratios.</t>
  </si>
  <si>
    <t>x is the fluid-to-solid thermal diffusivity ratio. In this study, x=0.5, x=1 or x=2</t>
  </si>
  <si>
    <t>y is the fluid-to-solid thermal conductivity ratio. In this study, y=0.5, y=1 or y=2</t>
  </si>
  <si>
    <t>The resulting thermal activity ratio K is y/sqrt(x)</t>
  </si>
  <si>
    <t>Therefore, 3*3=9 passive scalars with fluid-solid coupling are present.</t>
  </si>
  <si>
    <t xml:space="preserve">dX+ = </t>
  </si>
  <si>
    <t xml:space="preserve">dZ+ = </t>
  </si>
  <si>
    <t>&lt;= dY+ &lt;=</t>
  </si>
  <si>
    <t>11 passive scalars transported with a Prandtl number of 0.71</t>
  </si>
  <si>
    <t>For instance, the case g05a2 has fluid-solid thermal coupling with x=0.5 and y=2 =&gt; K=2/sqrt(0.5)</t>
  </si>
  <si>
    <t>Results of a wall-resolved LES of the turbulent channel flow performed with the open-source CFD code Code_Saturne version 5.0 using the WALE SGS model and a turbulent Prandtl number of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</si>
</sst>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E+00"/>
    <numFmt numFmtId="165" formatCode="0.000000"/>
    <numFmt numFmtId="166" formatCode="0.000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vertical="top"/>
    </xf>
  </cellXfs>
  <cellStyles count="1">
    <cellStyle name="Normal" xfId="0" builtinId="0"/>
  </cellStyles>
  <dxfs count="5">
    <dxf>
      <numFmt numFmtId="0" formatCode="General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'&lt;U&gt;'!$B$2:$B$32</c:f>
              <c:numCache>
                <c:formatCode>0.00E+00</c:formatCode>
                <c:ptCount val="31"/>
                <c:pt idx="0">
                  <c:v>0.499412773624062</c:v>
                </c:pt>
                <c:pt idx="1">
                  <c:v>1.5356704940646799</c:v>
                </c:pt>
                <c:pt idx="2">
                  <c:v>2.6524714525043902</c:v>
                </c:pt>
                <c:pt idx="3">
                  <c:v>3.8450331446528399</c:v>
                </c:pt>
                <c:pt idx="4">
                  <c:v>5.0982887059450102</c:v>
                </c:pt>
                <c:pt idx="5">
                  <c:v>6.3848066273331598</c:v>
                </c:pt>
                <c:pt idx="6">
                  <c:v>7.6667770904302497</c:v>
                </c:pt>
                <c:pt idx="7">
                  <c:v>8.9028518754243802</c:v>
                </c:pt>
                <c:pt idx="8">
                  <c:v>10.0575069111585</c:v>
                </c:pt>
                <c:pt idx="9">
                  <c:v>11.108097352981501</c:v>
                </c:pt>
                <c:pt idx="10">
                  <c:v>12.046323326826</c:v>
                </c:pt>
                <c:pt idx="11">
                  <c:v>12.8750081580877</c:v>
                </c:pt>
                <c:pt idx="12">
                  <c:v>13.6033891314268</c:v>
                </c:pt>
                <c:pt idx="13">
                  <c:v>14.243341963291099</c:v>
                </c:pt>
                <c:pt idx="14">
                  <c:v>14.8070899701118</c:v>
                </c:pt>
                <c:pt idx="15">
                  <c:v>15.306038314104001</c:v>
                </c:pt>
                <c:pt idx="16">
                  <c:v>15.750459684133499</c:v>
                </c:pt>
                <c:pt idx="17">
                  <c:v>16.149397226571999</c:v>
                </c:pt>
                <c:pt idx="18">
                  <c:v>16.510607228279099</c:v>
                </c:pt>
                <c:pt idx="19">
                  <c:v>16.840965882539699</c:v>
                </c:pt>
                <c:pt idx="20">
                  <c:v>17.146528455018899</c:v>
                </c:pt>
                <c:pt idx="21">
                  <c:v>17.431920983791301</c:v>
                </c:pt>
                <c:pt idx="22">
                  <c:v>17.700445668697299</c:v>
                </c:pt>
                <c:pt idx="23">
                  <c:v>17.953528039455399</c:v>
                </c:pt>
                <c:pt idx="24">
                  <c:v>18.1917486619949</c:v>
                </c:pt>
                <c:pt idx="25">
                  <c:v>18.4151925873756</c:v>
                </c:pt>
                <c:pt idx="26">
                  <c:v>18.6222789752483</c:v>
                </c:pt>
                <c:pt idx="27">
                  <c:v>18.809243391752201</c:v>
                </c:pt>
                <c:pt idx="28">
                  <c:v>18.968862043619101</c:v>
                </c:pt>
                <c:pt idx="29">
                  <c:v>19.091161769628499</c:v>
                </c:pt>
                <c:pt idx="30">
                  <c:v>19.163972872495599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13-401E-8C21-89B3505C313E}"/>
            </c:ext>
          </c:extLst>
        </c:ser>
        <c:ser>
          <c:idx val="2"/>
          <c:order val="1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1613-401E-8C21-89B3505C313E}"/>
              </c:ext>
            </c:extLst>
          </c:dPt>
          <c:xVal>
            <c:numRef>
              <c:f>DNS!$G$7:$G$102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DNS!$H$7:$H$102</c:f>
              <c:numCache>
                <c:formatCode>General</c:formatCode>
                <c:ptCount val="96"/>
                <c:pt idx="0">
                  <c:v>0.49255964191455004</c:v>
                </c:pt>
                <c:pt idx="1">
                  <c:v>0.9836524929783601</c:v>
                </c:pt>
                <c:pt idx="2">
                  <c:v>1.4730409278298</c:v>
                </c:pt>
                <c:pt idx="3">
                  <c:v>1.9603012790874002</c:v>
                </c:pt>
                <c:pt idx="4">
                  <c:v>2.4447225516057998</c:v>
                </c:pt>
                <c:pt idx="5">
                  <c:v>2.9253737373118001</c:v>
                </c:pt>
                <c:pt idx="6">
                  <c:v>3.4011429159473998</c:v>
                </c:pt>
                <c:pt idx="7">
                  <c:v>3.8708089587653998</c:v>
                </c:pt>
                <c:pt idx="8">
                  <c:v>4.3331074184106004</c:v>
                </c:pt>
                <c:pt idx="9">
                  <c:v>4.7867918589493001</c:v>
                </c:pt>
                <c:pt idx="10">
                  <c:v>5.2306917660068999</c:v>
                </c:pt>
                <c:pt idx="11">
                  <c:v>5.6637501655592999</c:v>
                </c:pt>
                <c:pt idx="12">
                  <c:v>6.0850555429069004</c:v>
                </c:pt>
                <c:pt idx="13">
                  <c:v>6.4938573461756004</c:v>
                </c:pt>
                <c:pt idx="14">
                  <c:v>6.8895746500391004</c:v>
                </c:pt>
                <c:pt idx="15">
                  <c:v>7.2717902279089</c:v>
                </c:pt>
                <c:pt idx="16">
                  <c:v>7.6402464480664003</c:v>
                </c:pt>
                <c:pt idx="17">
                  <c:v>7.9948311381173998</c:v>
                </c:pt>
                <c:pt idx="18">
                  <c:v>8.3355588895927006</c:v>
                </c:pt>
                <c:pt idx="19">
                  <c:v>8.6625614822564998</c:v>
                </c:pt>
                <c:pt idx="20">
                  <c:v>8.9760614369559004</c:v>
                </c:pt>
                <c:pt idx="21">
                  <c:v>9.2763642638704997</c:v>
                </c:pt>
                <c:pt idx="22">
                  <c:v>9.5638356632449</c:v>
                </c:pt>
                <c:pt idx="23">
                  <c:v>9.8388905817409</c:v>
                </c:pt>
                <c:pt idx="24">
                  <c:v>10.101981356817999</c:v>
                </c:pt>
                <c:pt idx="25">
                  <c:v>10.353583125204</c:v>
                </c:pt>
                <c:pt idx="26">
                  <c:v>10.594189263039</c:v>
                </c:pt>
                <c:pt idx="27">
                  <c:v>10.824297706317999</c:v>
                </c:pt>
                <c:pt idx="28">
                  <c:v>11.044408214974</c:v>
                </c:pt>
                <c:pt idx="29">
                  <c:v>11.255015989092001</c:v>
                </c:pt>
                <c:pt idx="30">
                  <c:v>11.456608932987001</c:v>
                </c:pt>
                <c:pt idx="31">
                  <c:v>11.649661271414999</c:v>
                </c:pt>
                <c:pt idx="32">
                  <c:v>11.834632637602001</c:v>
                </c:pt>
                <c:pt idx="33">
                  <c:v>12.011968073242</c:v>
                </c:pt>
                <c:pt idx="34">
                  <c:v>12.182096204558</c:v>
                </c:pt>
                <c:pt idx="35">
                  <c:v>12.345426506387</c:v>
                </c:pt>
                <c:pt idx="36">
                  <c:v>12.502352038093001</c:v>
                </c:pt>
                <c:pt idx="37">
                  <c:v>12.653248531600001</c:v>
                </c:pt>
                <c:pt idx="38">
                  <c:v>12.798474391387</c:v>
                </c:pt>
                <c:pt idx="39">
                  <c:v>12.938372518431001</c:v>
                </c:pt>
                <c:pt idx="40">
                  <c:v>13.073269398237999</c:v>
                </c:pt>
                <c:pt idx="41">
                  <c:v>13.203477836752</c:v>
                </c:pt>
                <c:pt idx="42">
                  <c:v>13.329293312476</c:v>
                </c:pt>
                <c:pt idx="43">
                  <c:v>13.451002184205</c:v>
                </c:pt>
                <c:pt idx="44">
                  <c:v>13.568876219202</c:v>
                </c:pt>
                <c:pt idx="45">
                  <c:v>13.683173505173</c:v>
                </c:pt>
                <c:pt idx="46">
                  <c:v>13.794145746024999</c:v>
                </c:pt>
                <c:pt idx="47">
                  <c:v>13.902030054137001</c:v>
                </c:pt>
                <c:pt idx="48">
                  <c:v>14.007056246122001</c:v>
                </c:pt>
                <c:pt idx="49">
                  <c:v>14.109445018885999</c:v>
                </c:pt>
                <c:pt idx="50">
                  <c:v>14.209408861598</c:v>
                </c:pt>
                <c:pt idx="51">
                  <c:v>14.307153879632999</c:v>
                </c:pt>
                <c:pt idx="52">
                  <c:v>14.402879794571</c:v>
                </c:pt>
                <c:pt idx="53">
                  <c:v>14.496779944197</c:v>
                </c:pt>
                <c:pt idx="54">
                  <c:v>14.589044018414</c:v>
                </c:pt>
                <c:pt idx="55">
                  <c:v>14.679857147271001</c:v>
                </c:pt>
                <c:pt idx="56">
                  <c:v>14.769400812933998</c:v>
                </c:pt>
                <c:pt idx="57">
                  <c:v>14.857851025746001</c:v>
                </c:pt>
                <c:pt idx="58">
                  <c:v>14.945380148166</c:v>
                </c:pt>
                <c:pt idx="59">
                  <c:v>15.032154158857999</c:v>
                </c:pt>
                <c:pt idx="60">
                  <c:v>15.118332652693001</c:v>
                </c:pt>
                <c:pt idx="61">
                  <c:v>15.204070664687999</c:v>
                </c:pt>
                <c:pt idx="62">
                  <c:v>15.289516846062</c:v>
                </c:pt>
                <c:pt idx="63">
                  <c:v>15.374817112128</c:v>
                </c:pt>
                <c:pt idx="64">
                  <c:v>15.460113730309999</c:v>
                </c:pt>
                <c:pt idx="65">
                  <c:v>15.545547144095</c:v>
                </c:pt>
                <c:pt idx="66">
                  <c:v>15.631254149086001</c:v>
                </c:pt>
                <c:pt idx="67">
                  <c:v>15.717371540884999</c:v>
                </c:pt>
                <c:pt idx="68">
                  <c:v>15.804030643271002</c:v>
                </c:pt>
                <c:pt idx="69">
                  <c:v>15.891357308198998</c:v>
                </c:pt>
                <c:pt idx="70">
                  <c:v>15.979466443975001</c:v>
                </c:pt>
                <c:pt idx="71">
                  <c:v>16.068456543431999</c:v>
                </c:pt>
                <c:pt idx="72">
                  <c:v>16.158407859992</c:v>
                </c:pt>
                <c:pt idx="73">
                  <c:v>16.249382407660001</c:v>
                </c:pt>
                <c:pt idx="74">
                  <c:v>16.341418489205999</c:v>
                </c:pt>
                <c:pt idx="75">
                  <c:v>16.434534344043001</c:v>
                </c:pt>
                <c:pt idx="76">
                  <c:v>16.528719028523</c:v>
                </c:pt>
                <c:pt idx="77">
                  <c:v>16.623919648346003</c:v>
                </c:pt>
                <c:pt idx="78">
                  <c:v>16.720032238854003</c:v>
                </c:pt>
                <c:pt idx="79">
                  <c:v>16.816905412914</c:v>
                </c:pt>
                <c:pt idx="80">
                  <c:v>16.914333065150998</c:v>
                </c:pt>
                <c:pt idx="81">
                  <c:v>17.012034308593002</c:v>
                </c:pt>
                <c:pt idx="82">
                  <c:v>17.109627939493997</c:v>
                </c:pt>
                <c:pt idx="83">
                  <c:v>17.206614197919002</c:v>
                </c:pt>
                <c:pt idx="84">
                  <c:v>17.302347408621998</c:v>
                </c:pt>
                <c:pt idx="85">
                  <c:v>17.396043276815</c:v>
                </c:pt>
                <c:pt idx="86">
                  <c:v>17.486777064222</c:v>
                </c:pt>
                <c:pt idx="87">
                  <c:v>17.573472645436002</c:v>
                </c:pt>
                <c:pt idx="88">
                  <c:v>17.654922571267999</c:v>
                </c:pt>
                <c:pt idx="89">
                  <c:v>17.729786244813003</c:v>
                </c:pt>
                <c:pt idx="90">
                  <c:v>17.796633696034</c:v>
                </c:pt>
                <c:pt idx="91">
                  <c:v>17.8539820606</c:v>
                </c:pt>
                <c:pt idx="92">
                  <c:v>17.900375833295001</c:v>
                </c:pt>
                <c:pt idx="93">
                  <c:v>17.934499952391999</c:v>
                </c:pt>
                <c:pt idx="94">
                  <c:v>17.955305651603002</c:v>
                </c:pt>
                <c:pt idx="95">
                  <c:v>17.962130840211003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13-401E-8C21-89B3505C3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41312"/>
        <c:axId val="80290560"/>
      </c:scatterChart>
      <c:valAx>
        <c:axId val="801413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290560"/>
        <c:crosses val="autoZero"/>
        <c:crossBetween val="midCat"/>
      </c:valAx>
      <c:valAx>
        <c:axId val="8029056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14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'&lt;U&gt;'!$C$2:$C$32</c:f>
              <c:numCache>
                <c:formatCode>General</c:formatCode>
                <c:ptCount val="31"/>
                <c:pt idx="0" formatCode="0.00E+00">
                  <c:v>1.3572882503920499E-5</c:v>
                </c:pt>
                <c:pt idx="1">
                  <c:v>1.17773328833337E-4</c:v>
                </c:pt>
                <c:pt idx="2">
                  <c:v>4.6807433263751298E-4</c:v>
                </c:pt>
                <c:pt idx="3">
                  <c:v>1.0437243480367799E-3</c:v>
                </c:pt>
                <c:pt idx="4">
                  <c:v>1.9840873034127002E-3</c:v>
                </c:pt>
                <c:pt idx="5">
                  <c:v>3.83255399844983E-3</c:v>
                </c:pt>
                <c:pt idx="6">
                  <c:v>8.4090516678543194E-3</c:v>
                </c:pt>
                <c:pt idx="7">
                  <c:v>1.9797296319666199E-2</c:v>
                </c:pt>
                <c:pt idx="8">
                  <c:v>4.25585878883794E-2</c:v>
                </c:pt>
                <c:pt idx="9">
                  <c:v>7.7907154509375603E-2</c:v>
                </c:pt>
                <c:pt idx="10">
                  <c:v>0.12317772079768401</c:v>
                </c:pt>
                <c:pt idx="11">
                  <c:v>0.174499442186061</c:v>
                </c:pt>
                <c:pt idx="12">
                  <c:v>0.22900263930932799</c:v>
                </c:pt>
                <c:pt idx="13">
                  <c:v>0.28520127944648199</c:v>
                </c:pt>
                <c:pt idx="14">
                  <c:v>0.34259378338902002</c:v>
                </c:pt>
                <c:pt idx="15">
                  <c:v>0.40103840012307002</c:v>
                </c:pt>
                <c:pt idx="16">
                  <c:v>0.46003485385881498</c:v>
                </c:pt>
                <c:pt idx="17">
                  <c:v>0.518145863119571</c:v>
                </c:pt>
                <c:pt idx="18">
                  <c:v>0.57366455881856304</c:v>
                </c:pt>
                <c:pt idx="19">
                  <c:v>0.62457913960679401</c:v>
                </c:pt>
                <c:pt idx="20">
                  <c:v>0.66818401298951302</c:v>
                </c:pt>
                <c:pt idx="21">
                  <c:v>0.70185399217007205</c:v>
                </c:pt>
                <c:pt idx="22">
                  <c:v>0.72411238841596004</c:v>
                </c:pt>
                <c:pt idx="23">
                  <c:v>0.73531650772201795</c:v>
                </c:pt>
                <c:pt idx="24">
                  <c:v>0.73602705710800298</c:v>
                </c:pt>
                <c:pt idx="25">
                  <c:v>0.72725007266853903</c:v>
                </c:pt>
                <c:pt idx="26">
                  <c:v>0.70988738471350998</c:v>
                </c:pt>
                <c:pt idx="27">
                  <c:v>0.68693035605247099</c:v>
                </c:pt>
                <c:pt idx="28">
                  <c:v>0.65986488398630105</c:v>
                </c:pt>
                <c:pt idx="29">
                  <c:v>0.63713732472387996</c:v>
                </c:pt>
                <c:pt idx="30">
                  <c:v>0.65064216421160304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C2-4BB3-8EC1-F5DD58670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06560"/>
        <c:axId val="80308096"/>
      </c:scatterChart>
      <c:valAx>
        <c:axId val="8030656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80308096"/>
        <c:crosses val="autoZero"/>
        <c:crossBetween val="midCat"/>
      </c:valAx>
      <c:valAx>
        <c:axId val="8030809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306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Rij!$B$2:$B$32</c:f>
              <c:numCache>
                <c:formatCode>0.00E+00</c:formatCode>
                <c:ptCount val="31"/>
                <c:pt idx="0">
                  <c:v>3.0999544952456101E-2</c:v>
                </c:pt>
                <c:pt idx="1">
                  <c:v>0.29562991850510001</c:v>
                </c:pt>
                <c:pt idx="2">
                  <c:v>0.88587259021578302</c:v>
                </c:pt>
                <c:pt idx="3">
                  <c:v>1.8492968582688301</c:v>
                </c:pt>
                <c:pt idx="4">
                  <c:v>3.1680056150645899</c:v>
                </c:pt>
                <c:pt idx="5">
                  <c:v>4.7153763573540299</c:v>
                </c:pt>
                <c:pt idx="6">
                  <c:v>6.2627809295402797</c:v>
                </c:pt>
                <c:pt idx="7">
                  <c:v>7.5569187634404704</c:v>
                </c:pt>
                <c:pt idx="8">
                  <c:v>8.4216288488734392</c:v>
                </c:pt>
                <c:pt idx="9">
                  <c:v>8.8086070220623096</c:v>
                </c:pt>
                <c:pt idx="10">
                  <c:v>8.7752386457048299</c:v>
                </c:pt>
                <c:pt idx="11">
                  <c:v>8.4289827067058507</c:v>
                </c:pt>
                <c:pt idx="12">
                  <c:v>7.8809849786046797</c:v>
                </c:pt>
                <c:pt idx="13">
                  <c:v>7.22298093958105</c:v>
                </c:pt>
                <c:pt idx="14">
                  <c:v>6.5220044181324504</c:v>
                </c:pt>
                <c:pt idx="15">
                  <c:v>5.8232696314349699</c:v>
                </c:pt>
                <c:pt idx="16">
                  <c:v>5.1550314885305202</c:v>
                </c:pt>
                <c:pt idx="17">
                  <c:v>4.5338496118850902</c:v>
                </c:pt>
                <c:pt idx="18">
                  <c:v>3.9685009553873898</c:v>
                </c:pt>
                <c:pt idx="19">
                  <c:v>3.4611452554955999</c:v>
                </c:pt>
                <c:pt idx="20">
                  <c:v>3.0109844851076502</c:v>
                </c:pt>
                <c:pt idx="21">
                  <c:v>2.6153935786549898</c:v>
                </c:pt>
                <c:pt idx="22">
                  <c:v>2.26909529627524</c:v>
                </c:pt>
                <c:pt idx="23">
                  <c:v>1.9654820542171501</c:v>
                </c:pt>
                <c:pt idx="24">
                  <c:v>1.69707061209599</c:v>
                </c:pt>
                <c:pt idx="25">
                  <c:v>1.45709667084384</c:v>
                </c:pt>
                <c:pt idx="26">
                  <c:v>1.2394842913791</c:v>
                </c:pt>
                <c:pt idx="27">
                  <c:v>1.0422124174165499</c:v>
                </c:pt>
                <c:pt idx="28">
                  <c:v>0.87085620474752401</c:v>
                </c:pt>
                <c:pt idx="29">
                  <c:v>0.73577303474102995</c:v>
                </c:pt>
                <c:pt idx="30">
                  <c:v>0.65486121920663798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10-4AE7-83D8-564EAD8F98F2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DNS!$B$2:$B$225</c:f>
            </c:numRef>
          </c:xVal>
          <c:yVal>
            <c:numRef>
              <c:f>DNS!$D$2:$D$225</c:f>
            </c:numRef>
          </c:yVal>
          <c:smooth val="1"/>
          <c:extLst>
            <c:ext xmlns:c16="http://schemas.microsoft.com/office/drawing/2014/chart" uri="{C3380CC4-5D6E-409C-BE32-E72D297353CC}">
              <c16:uniqueId val="{00000001-3D10-4AE7-83D8-564EAD8F98F2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DNS!$AA$7:$AA$102</c:f>
              <c:numCache>
                <c:formatCode>General</c:formatCode>
                <c:ptCount val="96"/>
                <c:pt idx="0">
                  <c:v>3.0768985897464001E-2</c:v>
                </c:pt>
                <c:pt idx="1">
                  <c:v>0.12260947043434001</c:v>
                </c:pt>
                <c:pt idx="2">
                  <c:v>0.27482759301712001</c:v>
                </c:pt>
                <c:pt idx="3">
                  <c:v>0.48595893276047009</c:v>
                </c:pt>
                <c:pt idx="4">
                  <c:v>0.75298962586070006</c:v>
                </c:pt>
                <c:pt idx="5">
                  <c:v>1.0709403885375</c:v>
                </c:pt>
                <c:pt idx="6">
                  <c:v>1.4328235938185001</c:v>
                </c:pt>
                <c:pt idx="7">
                  <c:v>1.8299629200442999</c:v>
                </c:pt>
                <c:pt idx="8">
                  <c:v>2.2525534511397001</c:v>
                </c:pt>
                <c:pt idx="9">
                  <c:v>2.6903233754552001</c:v>
                </c:pt>
                <c:pt idx="10">
                  <c:v>3.1331784608161999</c:v>
                </c:pt>
                <c:pt idx="11">
                  <c:v>3.5717384993329002</c:v>
                </c:pt>
                <c:pt idx="12">
                  <c:v>3.9977275680024</c:v>
                </c:pt>
                <c:pt idx="13">
                  <c:v>4.4042073129782002</c:v>
                </c:pt>
                <c:pt idx="14">
                  <c:v>4.7856680830523999</c:v>
                </c:pt>
                <c:pt idx="15">
                  <c:v>5.1380127959762003</c:v>
                </c:pt>
                <c:pt idx="16">
                  <c:v>5.4584546858228</c:v>
                </c:pt>
                <c:pt idx="17">
                  <c:v>5.7453677394262002</c:v>
                </c:pt>
                <c:pt idx="18">
                  <c:v>5.9981153305539001</c:v>
                </c:pt>
                <c:pt idx="19">
                  <c:v>6.2168666448073004</c:v>
                </c:pt>
                <c:pt idx="20">
                  <c:v>6.4024240056578998</c:v>
                </c:pt>
                <c:pt idx="21">
                  <c:v>6.5560685143877997</c:v>
                </c:pt>
                <c:pt idx="22">
                  <c:v>6.6794205155729003</c:v>
                </c:pt>
                <c:pt idx="23">
                  <c:v>6.7743257892428002</c:v>
                </c:pt>
                <c:pt idx="24">
                  <c:v>6.8427631092633998</c:v>
                </c:pt>
                <c:pt idx="25">
                  <c:v>6.8867683714435</c:v>
                </c:pt>
                <c:pt idx="26">
                  <c:v>6.9083796518184997</c:v>
                </c:pt>
                <c:pt idx="27">
                  <c:v>6.9095949102505001</c:v>
                </c:pt>
                <c:pt idx="28">
                  <c:v>6.8923414672523</c:v>
                </c:pt>
                <c:pt idx="29">
                  <c:v>6.8584576900821999</c:v>
                </c:pt>
                <c:pt idx="30">
                  <c:v>6.8096799113833004</c:v>
                </c:pt>
                <c:pt idx="31">
                  <c:v>6.7476345803667002</c:v>
                </c:pt>
                <c:pt idx="32">
                  <c:v>6.6738382628114001</c:v>
                </c:pt>
                <c:pt idx="33">
                  <c:v>6.5896958968832999</c:v>
                </c:pt>
                <c:pt idx="34">
                  <c:v>6.4965047175428001</c:v>
                </c:pt>
                <c:pt idx="35">
                  <c:v>6.3954564367722</c:v>
                </c:pt>
                <c:pt idx="36">
                  <c:v>6.2876437842559998</c:v>
                </c:pt>
                <c:pt idx="37">
                  <c:v>6.1740622515621002</c:v>
                </c:pt>
                <c:pt idx="38">
                  <c:v>6.0556196851403996</c:v>
                </c:pt>
                <c:pt idx="39">
                  <c:v>5.9331393386398004</c:v>
                </c:pt>
                <c:pt idx="40">
                  <c:v>5.8073685938155997</c:v>
                </c:pt>
                <c:pt idx="41">
                  <c:v>5.6789833209834999</c:v>
                </c:pt>
                <c:pt idx="42">
                  <c:v>5.5485970359719001</c:v>
                </c:pt>
                <c:pt idx="43">
                  <c:v>5.4167648245302997</c:v>
                </c:pt>
                <c:pt idx="44">
                  <c:v>5.283989010919</c:v>
                </c:pt>
                <c:pt idx="45">
                  <c:v>5.1507261346351996</c:v>
                </c:pt>
                <c:pt idx="46">
                  <c:v>5.0173900027301004</c:v>
                </c:pt>
                <c:pt idx="47">
                  <c:v>4.8843543060812999</c:v>
                </c:pt>
                <c:pt idx="48">
                  <c:v>4.7519539275292999</c:v>
                </c:pt>
                <c:pt idx="49">
                  <c:v>4.6204845058312003</c:v>
                </c:pt>
                <c:pt idx="50">
                  <c:v>4.4902033077525996</c:v>
                </c:pt>
                <c:pt idx="51">
                  <c:v>4.3613309722478997</c:v>
                </c:pt>
                <c:pt idx="52">
                  <c:v>4.2340554348693997</c:v>
                </c:pt>
                <c:pt idx="53">
                  <c:v>4.1085406486745004</c:v>
                </c:pt>
                <c:pt idx="54">
                  <c:v>3.9849296365426001</c:v>
                </c:pt>
                <c:pt idx="55">
                  <c:v>3.8633484155844</c:v>
                </c:pt>
                <c:pt idx="56">
                  <c:v>3.7439064331863001</c:v>
                </c:pt>
                <c:pt idx="57">
                  <c:v>3.6266991832833999</c:v>
                </c:pt>
                <c:pt idx="58">
                  <c:v>3.5118110406536003</c:v>
                </c:pt>
                <c:pt idx="59">
                  <c:v>3.3993209295081002</c:v>
                </c:pt>
                <c:pt idx="60">
                  <c:v>3.2892979630372001</c:v>
                </c:pt>
                <c:pt idx="61">
                  <c:v>3.1817892341403002</c:v>
                </c:pt>
                <c:pt idx="62">
                  <c:v>3.0768067340649998</c:v>
                </c:pt>
                <c:pt idx="63">
                  <c:v>2.9743181954541003</c:v>
                </c:pt>
                <c:pt idx="64">
                  <c:v>2.8742577754576999</c:v>
                </c:pt>
                <c:pt idx="65">
                  <c:v>2.7765437155698001</c:v>
                </c:pt>
                <c:pt idx="66">
                  <c:v>2.6810927311257</c:v>
                </c:pt>
                <c:pt idx="67">
                  <c:v>2.5878296043</c:v>
                </c:pt>
                <c:pt idx="68">
                  <c:v>2.4966821695847998</c:v>
                </c:pt>
                <c:pt idx="69">
                  <c:v>2.4075697585875</c:v>
                </c:pt>
                <c:pt idx="70">
                  <c:v>2.3203986215548</c:v>
                </c:pt>
                <c:pt idx="71">
                  <c:v>2.2350665058485002</c:v>
                </c:pt>
                <c:pt idx="72">
                  <c:v>2.151462001878</c:v>
                </c:pt>
                <c:pt idx="73">
                  <c:v>2.0694582204419998</c:v>
                </c:pt>
                <c:pt idx="74">
                  <c:v>1.9889274002485999</c:v>
                </c:pt>
                <c:pt idx="75">
                  <c:v>1.9097509369585999</c:v>
                </c:pt>
                <c:pt idx="76">
                  <c:v>1.831805211711</c:v>
                </c:pt>
                <c:pt idx="77">
                  <c:v>1.7549649704746999</c:v>
                </c:pt>
                <c:pt idx="78">
                  <c:v>1.6790686584421999</c:v>
                </c:pt>
                <c:pt idx="79">
                  <c:v>1.6038754695605</c:v>
                </c:pt>
                <c:pt idx="80">
                  <c:v>1.5291056807281</c:v>
                </c:pt>
                <c:pt idx="81">
                  <c:v>1.4545421413533</c:v>
                </c:pt>
                <c:pt idx="82">
                  <c:v>1.3800808546166001</c:v>
                </c:pt>
                <c:pt idx="83">
                  <c:v>1.3057423146502001</c:v>
                </c:pt>
                <c:pt idx="84">
                  <c:v>1.2316396752261001</c:v>
                </c:pt>
                <c:pt idx="85">
                  <c:v>1.1579483355925</c:v>
                </c:pt>
                <c:pt idx="86">
                  <c:v>1.0850877713903</c:v>
                </c:pt>
                <c:pt idx="87">
                  <c:v>1.0137933731275</c:v>
                </c:pt>
                <c:pt idx="88">
                  <c:v>0.94507175152895018</c:v>
                </c:pt>
                <c:pt idx="89">
                  <c:v>0.88019103552709999</c:v>
                </c:pt>
                <c:pt idx="90">
                  <c:v>0.82069738748019005</c:v>
                </c:pt>
                <c:pt idx="91">
                  <c:v>0.7684666200423601</c:v>
                </c:pt>
                <c:pt idx="92">
                  <c:v>0.72550535947719008</c:v>
                </c:pt>
                <c:pt idx="93">
                  <c:v>0.69360787795556</c:v>
                </c:pt>
                <c:pt idx="94">
                  <c:v>0.67408781664489004</c:v>
                </c:pt>
                <c:pt idx="95">
                  <c:v>0.66777011886991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10-4AE7-83D8-564EAD8F9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08128"/>
        <c:axId val="108614016"/>
      </c:scatterChart>
      <c:valAx>
        <c:axId val="108608128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614016"/>
        <c:crosses val="autoZero"/>
        <c:crossBetween val="midCat"/>
      </c:valAx>
      <c:valAx>
        <c:axId val="1086140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608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Rij!$C$2:$C$32</c:f>
              <c:numCache>
                <c:formatCode>0.00E+00</c:formatCode>
                <c:ptCount val="31"/>
                <c:pt idx="0">
                  <c:v>3.44847707189899E-6</c:v>
                </c:pt>
                <c:pt idx="1">
                  <c:v>6.5083344513550297E-5</c:v>
                </c:pt>
                <c:pt idx="2">
                  <c:v>4.6888890271643398E-4</c:v>
                </c:pt>
                <c:pt idx="3">
                  <c:v>1.7094635816582401E-3</c:v>
                </c:pt>
                <c:pt idx="4">
                  <c:v>4.4555573869649303E-3</c:v>
                </c:pt>
                <c:pt idx="5">
                  <c:v>9.4792673071642606E-3</c:v>
                </c:pt>
                <c:pt idx="6">
                  <c:v>1.7574258574665099E-2</c:v>
                </c:pt>
                <c:pt idx="7">
                  <c:v>2.9467649931700701E-2</c:v>
                </c:pt>
                <c:pt idx="8">
                  <c:v>4.5776541193382501E-2</c:v>
                </c:pt>
                <c:pt idx="9">
                  <c:v>6.6997520168678507E-2</c:v>
                </c:pt>
                <c:pt idx="10">
                  <c:v>9.3442095655901294E-2</c:v>
                </c:pt>
                <c:pt idx="11">
                  <c:v>0.12511148586739401</c:v>
                </c:pt>
                <c:pt idx="12">
                  <c:v>0.161611228045349</c:v>
                </c:pt>
                <c:pt idx="13">
                  <c:v>0.202121451280137</c:v>
                </c:pt>
                <c:pt idx="14">
                  <c:v>0.245415597773564</c:v>
                </c:pt>
                <c:pt idx="15">
                  <c:v>0.28990412445638702</c:v>
                </c:pt>
                <c:pt idx="16">
                  <c:v>0.333707035631302</c:v>
                </c:pt>
                <c:pt idx="17">
                  <c:v>0.37478896451866001</c:v>
                </c:pt>
                <c:pt idx="18">
                  <c:v>0.41105055318467698</c:v>
                </c:pt>
                <c:pt idx="19">
                  <c:v>0.440526979146106</c:v>
                </c:pt>
                <c:pt idx="20">
                  <c:v>0.46140977117288801</c:v>
                </c:pt>
                <c:pt idx="21">
                  <c:v>0.47229554864529</c:v>
                </c:pt>
                <c:pt idx="22">
                  <c:v>0.47248407750728</c:v>
                </c:pt>
                <c:pt idx="23">
                  <c:v>0.46218623451625401</c:v>
                </c:pt>
                <c:pt idx="24">
                  <c:v>0.44278798125567798</c:v>
                </c:pt>
                <c:pt idx="25">
                  <c:v>0.41610092550233202</c:v>
                </c:pt>
                <c:pt idx="26">
                  <c:v>0.38408599706094199</c:v>
                </c:pt>
                <c:pt idx="27">
                  <c:v>0.34938632464860497</c:v>
                </c:pt>
                <c:pt idx="28">
                  <c:v>0.315180266276886</c:v>
                </c:pt>
                <c:pt idx="29">
                  <c:v>0.28629443526057202</c:v>
                </c:pt>
                <c:pt idx="30">
                  <c:v>0.26897403218481902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48-4044-A6EC-9230C6C54177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DNS!$B$228:$B$451</c:f>
            </c:numRef>
          </c:xVal>
          <c:yVal>
            <c:numRef>
              <c:f>DNS!$C$228:$C$451</c:f>
            </c:numRef>
          </c:yVal>
          <c:smooth val="1"/>
          <c:extLst>
            <c:ext xmlns:c16="http://schemas.microsoft.com/office/drawing/2014/chart" uri="{C3380CC4-5D6E-409C-BE32-E72D297353CC}">
              <c16:uniqueId val="{00000001-D848-4044-A6EC-9230C6C54177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DNS!$AB$7:$AB$102</c:f>
              <c:numCache>
                <c:formatCode>General</c:formatCode>
                <c:ptCount val="96"/>
                <c:pt idx="0">
                  <c:v>2.1955634057934E-6</c:v>
                </c:pt>
                <c:pt idx="1">
                  <c:v>4.8190491382409999E-5</c:v>
                </c:pt>
                <c:pt idx="2">
                  <c:v>2.2238652939502002E-4</c:v>
                </c:pt>
                <c:pt idx="3">
                  <c:v>6.3092693033858002E-4</c:v>
                </c:pt>
                <c:pt idx="4">
                  <c:v>1.3713368037000001E-3</c:v>
                </c:pt>
                <c:pt idx="5">
                  <c:v>2.5325493501962E-3</c:v>
                </c:pt>
                <c:pt idx="6">
                  <c:v>4.1858856124206006E-3</c:v>
                </c:pt>
                <c:pt idx="7">
                  <c:v>6.3877690728136004E-3</c:v>
                </c:pt>
                <c:pt idx="8">
                  <c:v>9.1797539178338008E-3</c:v>
                </c:pt>
                <c:pt idx="9">
                  <c:v>1.2591201670919001E-2</c:v>
                </c:pt>
                <c:pt idx="10">
                  <c:v>1.6641237009245E-2</c:v>
                </c:pt>
                <c:pt idx="11">
                  <c:v>2.1340882853042999E-2</c:v>
                </c:pt>
                <c:pt idx="12">
                  <c:v>2.6694744931479001E-2</c:v>
                </c:pt>
                <c:pt idx="13">
                  <c:v>3.2702400825605001E-2</c:v>
                </c:pt>
                <c:pt idx="14">
                  <c:v>3.9359413433173999E-2</c:v>
                </c:pt>
                <c:pt idx="15">
                  <c:v>4.6658073608399006E-2</c:v>
                </c:pt>
                <c:pt idx="16">
                  <c:v>5.4587895822894E-2</c:v>
                </c:pt>
                <c:pt idx="17">
                  <c:v>6.3135948606308001E-2</c:v>
                </c:pt>
                <c:pt idx="18">
                  <c:v>7.2287055535979999E-2</c:v>
                </c:pt>
                <c:pt idx="19">
                  <c:v>8.2023962160556005E-2</c:v>
                </c:pt>
                <c:pt idx="20">
                  <c:v>9.2327400725475003E-2</c:v>
                </c:pt>
                <c:pt idx="21">
                  <c:v>0.10317622303054</c:v>
                </c:pt>
                <c:pt idx="22">
                  <c:v>0.11454744130917001</c:v>
                </c:pt>
                <c:pt idx="23">
                  <c:v>0.12641639174541</c:v>
                </c:pt>
                <c:pt idx="24">
                  <c:v>0.13875676172678</c:v>
                </c:pt>
                <c:pt idx="25">
                  <c:v>0.15154079424051001</c:v>
                </c:pt>
                <c:pt idx="26">
                  <c:v>0.16473936963208002</c:v>
                </c:pt>
                <c:pt idx="27">
                  <c:v>0.17832211461654002</c:v>
                </c:pt>
                <c:pt idx="28">
                  <c:v>0.19225756579554001</c:v>
                </c:pt>
                <c:pt idx="29">
                  <c:v>0.20651325141580001</c:v>
                </c:pt>
                <c:pt idx="30">
                  <c:v>0.22105582763333001</c:v>
                </c:pt>
                <c:pt idx="31">
                  <c:v>0.23585113301907001</c:v>
                </c:pt>
                <c:pt idx="32">
                  <c:v>0.25086442020800004</c:v>
                </c:pt>
                <c:pt idx="33">
                  <c:v>0.26606021963498</c:v>
                </c:pt>
                <c:pt idx="34">
                  <c:v>0.28140266656874002</c:v>
                </c:pt>
                <c:pt idx="35">
                  <c:v>0.29685540572699004</c:v>
                </c:pt>
                <c:pt idx="36">
                  <c:v>0.31238170028772005</c:v>
                </c:pt>
                <c:pt idx="37">
                  <c:v>0.32794451364777005</c:v>
                </c:pt>
                <c:pt idx="38">
                  <c:v>0.34350645491708004</c:v>
                </c:pt>
                <c:pt idx="39">
                  <c:v>0.35902988793011004</c:v>
                </c:pt>
                <c:pt idx="40">
                  <c:v>0.37447687674011004</c:v>
                </c:pt>
                <c:pt idx="41">
                  <c:v>0.38980913111347004</c:v>
                </c:pt>
                <c:pt idx="42">
                  <c:v>0.4049881427939</c:v>
                </c:pt>
                <c:pt idx="43">
                  <c:v>0.41997504923825002</c:v>
                </c:pt>
                <c:pt idx="44">
                  <c:v>0.43473071537503999</c:v>
                </c:pt>
                <c:pt idx="45">
                  <c:v>0.44921565184589007</c:v>
                </c:pt>
                <c:pt idx="46">
                  <c:v>0.46339009676411003</c:v>
                </c:pt>
                <c:pt idx="47">
                  <c:v>0.47721387945044003</c:v>
                </c:pt>
                <c:pt idx="48">
                  <c:v>0.49064669296147001</c:v>
                </c:pt>
                <c:pt idx="49">
                  <c:v>0.50364782156124999</c:v>
                </c:pt>
                <c:pt idx="50">
                  <c:v>0.51617638599682003</c:v>
                </c:pt>
                <c:pt idx="51">
                  <c:v>0.52819134349821006</c:v>
                </c:pt>
                <c:pt idx="52">
                  <c:v>0.53965165129546</c:v>
                </c:pt>
                <c:pt idx="53">
                  <c:v>0.55051621211291002</c:v>
                </c:pt>
                <c:pt idx="54">
                  <c:v>0.56074431021463</c:v>
                </c:pt>
                <c:pt idx="55">
                  <c:v>0.57029528437033006</c:v>
                </c:pt>
                <c:pt idx="56">
                  <c:v>0.57912907291211002</c:v>
                </c:pt>
                <c:pt idx="57">
                  <c:v>0.58720577768908999</c:v>
                </c:pt>
                <c:pt idx="58">
                  <c:v>0.59448604560709006</c:v>
                </c:pt>
                <c:pt idx="59">
                  <c:v>0.60093123214564004</c:v>
                </c:pt>
                <c:pt idx="60">
                  <c:v>0.60650372839201006</c:v>
                </c:pt>
                <c:pt idx="61">
                  <c:v>0.61116739708660006</c:v>
                </c:pt>
                <c:pt idx="62">
                  <c:v>0.61488800866825999</c:v>
                </c:pt>
                <c:pt idx="63">
                  <c:v>0.61763405885937006</c:v>
                </c:pt>
                <c:pt idx="64">
                  <c:v>0.61937769526226005</c:v>
                </c:pt>
                <c:pt idx="65">
                  <c:v>0.62009553494422009</c:v>
                </c:pt>
                <c:pt idx="66">
                  <c:v>0.61976931850560002</c:v>
                </c:pt>
                <c:pt idx="67">
                  <c:v>0.61838629161948999</c:v>
                </c:pt>
                <c:pt idx="68">
                  <c:v>0.61594002261674996</c:v>
                </c:pt>
                <c:pt idx="69">
                  <c:v>0.61243122007109008</c:v>
                </c:pt>
                <c:pt idx="70">
                  <c:v>0.60786805983310999</c:v>
                </c:pt>
                <c:pt idx="71">
                  <c:v>0.60226563997357008</c:v>
                </c:pt>
                <c:pt idx="72">
                  <c:v>0.59564423660193</c:v>
                </c:pt>
                <c:pt idx="73">
                  <c:v>0.58802815924729002</c:v>
                </c:pt>
                <c:pt idx="74">
                  <c:v>0.57944520580166003</c:v>
                </c:pt>
                <c:pt idx="75">
                  <c:v>0.56993036890558002</c:v>
                </c:pt>
                <c:pt idx="76">
                  <c:v>0.55953112299814001</c:v>
                </c:pt>
                <c:pt idx="77">
                  <c:v>0.54831238433304996</c:v>
                </c:pt>
                <c:pt idx="78">
                  <c:v>0.53635972681316002</c:v>
                </c:pt>
                <c:pt idx="79">
                  <c:v>0.52377654769564008</c:v>
                </c:pt>
                <c:pt idx="80">
                  <c:v>0.51067518316760008</c:v>
                </c:pt>
                <c:pt idx="81">
                  <c:v>0.49717510965903999</c:v>
                </c:pt>
                <c:pt idx="82">
                  <c:v>0.48341340893154006</c:v>
                </c:pt>
                <c:pt idx="83">
                  <c:v>0.46955147227577998</c:v>
                </c:pt>
                <c:pt idx="84">
                  <c:v>0.45578009679174003</c:v>
                </c:pt>
                <c:pt idx="85">
                  <c:v>0.44231602427862005</c:v>
                </c:pt>
                <c:pt idx="86">
                  <c:v>0.42938019347223</c:v>
                </c:pt>
                <c:pt idx="87">
                  <c:v>0.41717964416240005</c:v>
                </c:pt>
                <c:pt idx="88">
                  <c:v>0.40590503718492998</c:v>
                </c:pt>
                <c:pt idx="89">
                  <c:v>0.39573654103403</c:v>
                </c:pt>
                <c:pt idx="90">
                  <c:v>0.38683690964215001</c:v>
                </c:pt>
                <c:pt idx="91">
                  <c:v>0.37934586829589001</c:v>
                </c:pt>
                <c:pt idx="92">
                  <c:v>0.37339030619646002</c:v>
                </c:pt>
                <c:pt idx="93">
                  <c:v>0.36908422195392004</c:v>
                </c:pt>
                <c:pt idx="94">
                  <c:v>0.36651798597016</c:v>
                </c:pt>
                <c:pt idx="95">
                  <c:v>0.36574572237609004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48-4044-A6EC-9230C6C54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50880"/>
        <c:axId val="108652416"/>
      </c:scatterChart>
      <c:valAx>
        <c:axId val="108650880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652416"/>
        <c:crosses val="autoZero"/>
        <c:crossBetween val="midCat"/>
      </c:valAx>
      <c:valAx>
        <c:axId val="1086524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6508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Rij!$D$2:$D$32</c:f>
              <c:numCache>
                <c:formatCode>0.00E+00</c:formatCode>
                <c:ptCount val="31"/>
                <c:pt idx="0">
                  <c:v>5.1333682844720797E-3</c:v>
                </c:pt>
                <c:pt idx="1">
                  <c:v>3.8158404795250601E-2</c:v>
                </c:pt>
                <c:pt idx="2">
                  <c:v>9.3232451113290093E-2</c:v>
                </c:pt>
                <c:pt idx="3">
                  <c:v>0.161040586578275</c:v>
                </c:pt>
                <c:pt idx="4">
                  <c:v>0.233822402993036</c:v>
                </c:pt>
                <c:pt idx="5">
                  <c:v>0.30639129829405498</c:v>
                </c:pt>
                <c:pt idx="6">
                  <c:v>0.37626751024023303</c:v>
                </c:pt>
                <c:pt idx="7">
                  <c:v>0.44250485190411498</c:v>
                </c:pt>
                <c:pt idx="8">
                  <c:v>0.504263008812605</c:v>
                </c:pt>
                <c:pt idx="9">
                  <c:v>0.56032654110544799</c:v>
                </c:pt>
                <c:pt idx="10">
                  <c:v>0.60948507780593297</c:v>
                </c:pt>
                <c:pt idx="11">
                  <c:v>0.65102729492497102</c:v>
                </c:pt>
                <c:pt idx="12">
                  <c:v>0.68491936256575803</c:v>
                </c:pt>
                <c:pt idx="13">
                  <c:v>0.71154326731141104</c:v>
                </c:pt>
                <c:pt idx="14">
                  <c:v>0.73133426102958599</c:v>
                </c:pt>
                <c:pt idx="15">
                  <c:v>0.74472294677761297</c:v>
                </c:pt>
                <c:pt idx="16">
                  <c:v>0.75203905402980697</c:v>
                </c:pt>
                <c:pt idx="17">
                  <c:v>0.75345447674856902</c:v>
                </c:pt>
                <c:pt idx="18">
                  <c:v>0.74937707802748699</c:v>
                </c:pt>
                <c:pt idx="19">
                  <c:v>0.73967590704085195</c:v>
                </c:pt>
                <c:pt idx="20">
                  <c:v>0.72375311557925204</c:v>
                </c:pt>
                <c:pt idx="21">
                  <c:v>0.70090762944021201</c:v>
                </c:pt>
                <c:pt idx="22">
                  <c:v>0.67104876881756303</c:v>
                </c:pt>
                <c:pt idx="23">
                  <c:v>0.633224087692843</c:v>
                </c:pt>
                <c:pt idx="24">
                  <c:v>0.58724679350671305</c:v>
                </c:pt>
                <c:pt idx="25">
                  <c:v>0.53432137621077702</c:v>
                </c:pt>
                <c:pt idx="26">
                  <c:v>0.47691064109040798</c:v>
                </c:pt>
                <c:pt idx="27">
                  <c:v>0.41904250224115003</c:v>
                </c:pt>
                <c:pt idx="28">
                  <c:v>0.36600607359510601</c:v>
                </c:pt>
                <c:pt idx="29">
                  <c:v>0.32347284773583501</c:v>
                </c:pt>
                <c:pt idx="30">
                  <c:v>0.29800280011610503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6-45AC-988C-5343D9735A54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DNS!$B$2:$B$225</c:f>
            </c:numRef>
          </c:xVal>
          <c:yVal>
            <c:numRef>
              <c:f>DNS!$E$2:$E$225</c:f>
            </c:numRef>
          </c:yVal>
          <c:smooth val="1"/>
          <c:extLst>
            <c:ext xmlns:c16="http://schemas.microsoft.com/office/drawing/2014/chart" uri="{C3380CC4-5D6E-409C-BE32-E72D297353CC}">
              <c16:uniqueId val="{00000001-8756-45AC-988C-5343D9735A54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DNS!$AC$7:$AC$102</c:f>
              <c:numCache>
                <c:formatCode>General</c:formatCode>
                <c:ptCount val="96"/>
                <c:pt idx="0">
                  <c:v>7.4842911596094998E-3</c:v>
                </c:pt>
                <c:pt idx="1">
                  <c:v>2.6788896664252004E-2</c:v>
                </c:pt>
                <c:pt idx="2">
                  <c:v>5.4151353093752005E-2</c:v>
                </c:pt>
                <c:pt idx="3">
                  <c:v>8.678764194751E-2</c:v>
                </c:pt>
                <c:pt idx="4">
                  <c:v>0.12264551230903001</c:v>
                </c:pt>
                <c:pt idx="5">
                  <c:v>0.16023440782390003</c:v>
                </c:pt>
                <c:pt idx="6">
                  <c:v>0.19850086333014</c:v>
                </c:pt>
                <c:pt idx="7">
                  <c:v>0.23672840178757004</c:v>
                </c:pt>
                <c:pt idx="8">
                  <c:v>0.27445422917342999</c:v>
                </c:pt>
                <c:pt idx="9">
                  <c:v>0.31140046195253002</c:v>
                </c:pt>
                <c:pt idx="10">
                  <c:v>0.34741829964408999</c:v>
                </c:pt>
                <c:pt idx="11">
                  <c:v>0.38244435215318001</c:v>
                </c:pt>
                <c:pt idx="12">
                  <c:v>0.41646755482869002</c:v>
                </c:pt>
                <c:pt idx="13">
                  <c:v>0.44950513146252002</c:v>
                </c:pt>
                <c:pt idx="14">
                  <c:v>0.48158637885262001</c:v>
                </c:pt>
                <c:pt idx="15">
                  <c:v>0.51274182017453007</c:v>
                </c:pt>
                <c:pt idx="16">
                  <c:v>0.54299699133495005</c:v>
                </c:pt>
                <c:pt idx="17">
                  <c:v>0.57236955217114005</c:v>
                </c:pt>
                <c:pt idx="18">
                  <c:v>0.60086822359041003</c:v>
                </c:pt>
                <c:pt idx="19">
                  <c:v>0.62849371416647004</c:v>
                </c:pt>
                <c:pt idx="20">
                  <c:v>0.65523986475855001</c:v>
                </c:pt>
                <c:pt idx="21">
                  <c:v>0.68109588324385006</c:v>
                </c:pt>
                <c:pt idx="22">
                  <c:v>0.70604797968773003</c:v>
                </c:pt>
                <c:pt idx="23">
                  <c:v>0.73008138305344006</c:v>
                </c:pt>
                <c:pt idx="24">
                  <c:v>0.75318197637229001</c:v>
                </c:pt>
                <c:pt idx="25">
                  <c:v>0.77533733235138014</c:v>
                </c:pt>
                <c:pt idx="26">
                  <c:v>0.79653758546434006</c:v>
                </c:pt>
                <c:pt idx="27">
                  <c:v>0.81677630404203017</c:v>
                </c:pt>
                <c:pt idx="28">
                  <c:v>0.83605070829524009</c:v>
                </c:pt>
                <c:pt idx="29">
                  <c:v>0.85436188833740001</c:v>
                </c:pt>
                <c:pt idx="30">
                  <c:v>0.87171491319586991</c:v>
                </c:pt>
                <c:pt idx="31">
                  <c:v>0.88811888531764005</c:v>
                </c:pt>
                <c:pt idx="32">
                  <c:v>0.90358661353530012</c:v>
                </c:pt>
                <c:pt idx="33">
                  <c:v>0.91813450405570995</c:v>
                </c:pt>
                <c:pt idx="34">
                  <c:v>0.93178239694297993</c:v>
                </c:pt>
                <c:pt idx="35">
                  <c:v>0.94455296655607013</c:v>
                </c:pt>
                <c:pt idx="36">
                  <c:v>0.95647117649211999</c:v>
                </c:pt>
                <c:pt idx="37">
                  <c:v>0.96756373452974997</c:v>
                </c:pt>
                <c:pt idx="38">
                  <c:v>0.97785854757229007</c:v>
                </c:pt>
                <c:pt idx="39">
                  <c:v>0.98738352252311001</c:v>
                </c:pt>
                <c:pt idx="40">
                  <c:v>0.99616678430824013</c:v>
                </c:pt>
                <c:pt idx="41">
                  <c:v>1.0042349316949</c:v>
                </c:pt>
                <c:pt idx="42">
                  <c:v>1.0116126012463</c:v>
                </c:pt>
                <c:pt idx="43">
                  <c:v>1.0183213772079001</c:v>
                </c:pt>
                <c:pt idx="44">
                  <c:v>1.0243793554625</c:v>
                </c:pt>
                <c:pt idx="45">
                  <c:v>1.0298008164956001</c:v>
                </c:pt>
                <c:pt idx="46">
                  <c:v>1.0345963344074001</c:v>
                </c:pt>
                <c:pt idx="47">
                  <c:v>1.038772994935</c:v>
                </c:pt>
                <c:pt idx="48">
                  <c:v>1.0423335233621001</c:v>
                </c:pt>
                <c:pt idx="49">
                  <c:v>1.0452767205638001</c:v>
                </c:pt>
                <c:pt idx="50">
                  <c:v>1.0475977900411999</c:v>
                </c:pt>
                <c:pt idx="51">
                  <c:v>1.0492885559436</c:v>
                </c:pt>
                <c:pt idx="52">
                  <c:v>1.0503378991142001</c:v>
                </c:pt>
                <c:pt idx="53">
                  <c:v>1.0507324111581</c:v>
                </c:pt>
                <c:pt idx="54">
                  <c:v>1.0504557403740999</c:v>
                </c:pt>
                <c:pt idx="55">
                  <c:v>1.0494892458228</c:v>
                </c:pt>
                <c:pt idx="56">
                  <c:v>1.0478126513946999</c:v>
                </c:pt>
                <c:pt idx="57">
                  <c:v>1.0454035007536999</c:v>
                </c:pt>
                <c:pt idx="58">
                  <c:v>1.0422349771096</c:v>
                </c:pt>
                <c:pt idx="59">
                  <c:v>1.0382720878220999</c:v>
                </c:pt>
                <c:pt idx="60">
                  <c:v>1.0334701382411999</c:v>
                </c:pt>
                <c:pt idx="61">
                  <c:v>1.0277754947869999</c:v>
                </c:pt>
                <c:pt idx="62">
                  <c:v>1.0211285282558</c:v>
                </c:pt>
                <c:pt idx="63">
                  <c:v>1.0134673202058999</c:v>
                </c:pt>
                <c:pt idx="64">
                  <c:v>1.0047288620820001</c:v>
                </c:pt>
                <c:pt idx="65">
                  <c:v>0.99485221654442002</c:v>
                </c:pt>
                <c:pt idx="66">
                  <c:v>0.98378331396784002</c:v>
                </c:pt>
                <c:pt idx="67">
                  <c:v>0.97148029399725999</c:v>
                </c:pt>
                <c:pt idx="68">
                  <c:v>0.95790849102617015</c:v>
                </c:pt>
                <c:pt idx="69">
                  <c:v>0.94303291241403997</c:v>
                </c:pt>
                <c:pt idx="70">
                  <c:v>0.92682586928019006</c:v>
                </c:pt>
                <c:pt idx="71">
                  <c:v>0.90928360073336012</c:v>
                </c:pt>
                <c:pt idx="72">
                  <c:v>0.89042894464952005</c:v>
                </c:pt>
                <c:pt idx="73">
                  <c:v>0.87029291475527004</c:v>
                </c:pt>
                <c:pt idx="74">
                  <c:v>0.84888984604196005</c:v>
                </c:pt>
                <c:pt idx="75">
                  <c:v>0.82622262731015006</c:v>
                </c:pt>
                <c:pt idx="76">
                  <c:v>0.80233023011432003</c:v>
                </c:pt>
                <c:pt idx="77">
                  <c:v>0.77730553211719</c:v>
                </c:pt>
                <c:pt idx="78">
                  <c:v>0.75126343127241002</c:v>
                </c:pt>
                <c:pt idx="79">
                  <c:v>0.72434335308540998</c:v>
                </c:pt>
                <c:pt idx="80">
                  <c:v>0.69673628542602006</c:v>
                </c:pt>
                <c:pt idx="81">
                  <c:v>0.66864945885389004</c:v>
                </c:pt>
                <c:pt idx="82">
                  <c:v>0.64025919921347008</c:v>
                </c:pt>
                <c:pt idx="83">
                  <c:v>0.6117064036632901</c:v>
                </c:pt>
                <c:pt idx="84">
                  <c:v>0.58315660592498997</c:v>
                </c:pt>
                <c:pt idx="85">
                  <c:v>0.55488168028357998</c:v>
                </c:pt>
                <c:pt idx="86">
                  <c:v>0.52723793030786004</c:v>
                </c:pt>
                <c:pt idx="87">
                  <c:v>0.50064548570692002</c:v>
                </c:pt>
                <c:pt idx="88">
                  <c:v>0.47561391999529001</c:v>
                </c:pt>
                <c:pt idx="89">
                  <c:v>0.45263383871415996</c:v>
                </c:pt>
                <c:pt idx="90">
                  <c:v>0.43216159059074005</c:v>
                </c:pt>
                <c:pt idx="91">
                  <c:v>0.41470366956916999</c:v>
                </c:pt>
                <c:pt idx="92">
                  <c:v>0.40070247092500005</c:v>
                </c:pt>
                <c:pt idx="93">
                  <c:v>0.39047388227224999</c:v>
                </c:pt>
                <c:pt idx="94">
                  <c:v>0.38426901123543006</c:v>
                </c:pt>
                <c:pt idx="95">
                  <c:v>0.38218122602830001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56-45AC-988C-5343D9735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92224"/>
        <c:axId val="108693760"/>
      </c:scatterChart>
      <c:valAx>
        <c:axId val="10869222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693760"/>
        <c:crosses val="autoZero"/>
        <c:crossBetween val="midCat"/>
      </c:valAx>
      <c:valAx>
        <c:axId val="10869376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692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Rij!$E$2:$E$32</c:f>
              <c:numCache>
                <c:formatCode>0.00E+00</c:formatCode>
                <c:ptCount val="31"/>
                <c:pt idx="0">
                  <c:v>7.0968417200720005E-5</c:v>
                </c:pt>
                <c:pt idx="1">
                  <c:v>1.4803763219110801E-3</c:v>
                </c:pt>
                <c:pt idx="2">
                  <c:v>8.3325899327246506E-3</c:v>
                </c:pt>
                <c:pt idx="3">
                  <c:v>2.60442457067489E-2</c:v>
                </c:pt>
                <c:pt idx="4">
                  <c:v>6.0267275036632699E-2</c:v>
                </c:pt>
                <c:pt idx="5">
                  <c:v>0.11429292011049599</c:v>
                </c:pt>
                <c:pt idx="6">
                  <c:v>0.18655860655994599</c:v>
                </c:pt>
                <c:pt idx="7">
                  <c:v>0.27024472567619501</c:v>
                </c:pt>
                <c:pt idx="8">
                  <c:v>0.35581938197859497</c:v>
                </c:pt>
                <c:pt idx="9">
                  <c:v>0.43474248686585298</c:v>
                </c:pt>
                <c:pt idx="10">
                  <c:v>0.50173147954812702</c:v>
                </c:pt>
                <c:pt idx="11">
                  <c:v>0.55478342289850102</c:v>
                </c:pt>
                <c:pt idx="12">
                  <c:v>0.59408838604744496</c:v>
                </c:pt>
                <c:pt idx="13">
                  <c:v>0.62090132374295404</c:v>
                </c:pt>
                <c:pt idx="14">
                  <c:v>0.63682758780985504</c:v>
                </c:pt>
                <c:pt idx="15">
                  <c:v>0.64341556814408296</c:v>
                </c:pt>
                <c:pt idx="16">
                  <c:v>0.64193948685207802</c:v>
                </c:pt>
                <c:pt idx="17">
                  <c:v>0.63347198690352902</c:v>
                </c:pt>
                <c:pt idx="18">
                  <c:v>0.61876191882868203</c:v>
                </c:pt>
                <c:pt idx="19">
                  <c:v>0.59830356878531099</c:v>
                </c:pt>
                <c:pt idx="20">
                  <c:v>0.57256299401067601</c:v>
                </c:pt>
                <c:pt idx="21">
                  <c:v>0.54185183282566696</c:v>
                </c:pt>
                <c:pt idx="22">
                  <c:v>0.50636191866828495</c:v>
                </c:pt>
                <c:pt idx="23">
                  <c:v>0.46637652091450199</c:v>
                </c:pt>
                <c:pt idx="24">
                  <c:v>0.42165919435014898</c:v>
                </c:pt>
                <c:pt idx="25">
                  <c:v>0.371985619874729</c:v>
                </c:pt>
                <c:pt idx="26">
                  <c:v>0.31716903293378401</c:v>
                </c:pt>
                <c:pt idx="27">
                  <c:v>0.25713905726020397</c:v>
                </c:pt>
                <c:pt idx="28">
                  <c:v>0.19159258201950499</c:v>
                </c:pt>
                <c:pt idx="29">
                  <c:v>0.12000451568430801</c:v>
                </c:pt>
                <c:pt idx="30">
                  <c:v>4.0465411923841697E-2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8-4905-9C9B-B9E44102E2D6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DNS!$B$228:$B$451</c:f>
            </c:numRef>
          </c:xVal>
          <c:yVal>
            <c:numRef>
              <c:f>DNS!$D$228:$D$451</c:f>
            </c:numRef>
          </c:yVal>
          <c:smooth val="1"/>
          <c:extLst>
            <c:ext xmlns:c16="http://schemas.microsoft.com/office/drawing/2014/chart" uri="{C3380CC4-5D6E-409C-BE32-E72D297353CC}">
              <c16:uniqueId val="{00000001-A558-4905-9C9B-B9E44102E2D6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DNS!$AD$7:$AD$102</c:f>
              <c:numCache>
                <c:formatCode>General</c:formatCode>
                <c:ptCount val="96"/>
                <c:pt idx="0">
                  <c:v>6.4854349309524014E-5</c:v>
                </c:pt>
                <c:pt idx="1">
                  <c:v>6.6079987026402014E-4</c:v>
                </c:pt>
                <c:pt idx="2">
                  <c:v>2.3157524065979002E-3</c:v>
                </c:pt>
                <c:pt idx="3">
                  <c:v>5.5975062585021003E-3</c:v>
                </c:pt>
                <c:pt idx="4">
                  <c:v>1.0986628821743002E-2</c:v>
                </c:pt>
                <c:pt idx="5">
                  <c:v>1.8877943631602001E-2</c:v>
                </c:pt>
                <c:pt idx="6">
                  <c:v>2.9526266827319E-2</c:v>
                </c:pt>
                <c:pt idx="7">
                  <c:v>4.3043693578764003E-2</c:v>
                </c:pt>
                <c:pt idx="8">
                  <c:v>5.9399332797117003E-2</c:v>
                </c:pt>
                <c:pt idx="9">
                  <c:v>7.8437795628671994E-2</c:v>
                </c:pt>
                <c:pt idx="10">
                  <c:v>9.9903532236763001E-2</c:v>
                </c:pt>
                <c:pt idx="11">
                  <c:v>0.12346912024482</c:v>
                </c:pt>
                <c:pt idx="12">
                  <c:v>0.14876287185851</c:v>
                </c:pt>
                <c:pt idx="13">
                  <c:v>0.17539360669306003</c:v>
                </c:pt>
                <c:pt idx="14">
                  <c:v>0.20297120041107003</c:v>
                </c:pt>
                <c:pt idx="15">
                  <c:v>0.23112246631227001</c:v>
                </c:pt>
                <c:pt idx="16">
                  <c:v>0.25950250613944997</c:v>
                </c:pt>
                <c:pt idx="17">
                  <c:v>0.28780201383830001</c:v>
                </c:pt>
                <c:pt idx="18">
                  <c:v>0.31575110458079003</c:v>
                </c:pt>
                <c:pt idx="19">
                  <c:v>0.34312063652766001</c:v>
                </c:pt>
                <c:pt idx="20">
                  <c:v>0.36972128423203005</c:v>
                </c:pt>
                <c:pt idx="21">
                  <c:v>0.39540133115977</c:v>
                </c:pt>
                <c:pt idx="22">
                  <c:v>0.42004350836054</c:v>
                </c:pt>
                <c:pt idx="23">
                  <c:v>0.44356117907092002</c:v>
                </c:pt>
                <c:pt idx="24">
                  <c:v>0.46589463232874001</c:v>
                </c:pt>
                <c:pt idx="25">
                  <c:v>0.48700696779500002</c:v>
                </c:pt>
                <c:pt idx="26">
                  <c:v>0.50688077090794004</c:v>
                </c:pt>
                <c:pt idx="27">
                  <c:v>0.5255143519917701</c:v>
                </c:pt>
                <c:pt idx="28">
                  <c:v>0.54291866668628008</c:v>
                </c:pt>
                <c:pt idx="29">
                  <c:v>0.55911486319167003</c:v>
                </c:pt>
                <c:pt idx="30">
                  <c:v>0.57413161149069003</c:v>
                </c:pt>
                <c:pt idx="31">
                  <c:v>0.58800308663881007</c:v>
                </c:pt>
                <c:pt idx="32">
                  <c:v>0.60076733359411005</c:v>
                </c:pt>
                <c:pt idx="33">
                  <c:v>0.61246463204717005</c:v>
                </c:pt>
                <c:pt idx="34">
                  <c:v>0.62313656982468002</c:v>
                </c:pt>
                <c:pt idx="35">
                  <c:v>0.63282484376466008</c:v>
                </c:pt>
                <c:pt idx="36">
                  <c:v>0.64157071465974003</c:v>
                </c:pt>
                <c:pt idx="37">
                  <c:v>0.64941446220053001</c:v>
                </c:pt>
                <c:pt idx="38">
                  <c:v>0.65639489442449006</c:v>
                </c:pt>
                <c:pt idx="39">
                  <c:v>0.66254918419898001</c:v>
                </c:pt>
                <c:pt idx="40">
                  <c:v>0.66791259669289005</c:v>
                </c:pt>
                <c:pt idx="41">
                  <c:v>0.6725183803652901</c:v>
                </c:pt>
                <c:pt idx="42">
                  <c:v>0.67639782147111005</c:v>
                </c:pt>
                <c:pt idx="43">
                  <c:v>0.67958013504980008</c:v>
                </c:pt>
                <c:pt idx="44">
                  <c:v>0.68209246492533004</c:v>
                </c:pt>
                <c:pt idx="45">
                  <c:v>0.68395993821183998</c:v>
                </c:pt>
                <c:pt idx="46">
                  <c:v>0.68520555630234004</c:v>
                </c:pt>
                <c:pt idx="47">
                  <c:v>0.68585030388001</c:v>
                </c:pt>
                <c:pt idx="48">
                  <c:v>0.68591303990689001</c:v>
                </c:pt>
                <c:pt idx="49">
                  <c:v>0.68541060663518005</c:v>
                </c:pt>
                <c:pt idx="50">
                  <c:v>0.68435772059597</c:v>
                </c:pt>
                <c:pt idx="51">
                  <c:v>0.68276702710482007</c:v>
                </c:pt>
                <c:pt idx="52">
                  <c:v>0.68064904575618002</c:v>
                </c:pt>
                <c:pt idx="53">
                  <c:v>0.67801238844598011</c:v>
                </c:pt>
                <c:pt idx="54">
                  <c:v>0.67486403190008004</c:v>
                </c:pt>
                <c:pt idx="55">
                  <c:v>0.67120893613450006</c:v>
                </c:pt>
                <c:pt idx="56">
                  <c:v>0.66705097105185007</c:v>
                </c:pt>
                <c:pt idx="57">
                  <c:v>0.66239269841865012</c:v>
                </c:pt>
                <c:pt idx="58">
                  <c:v>0.65723586241636012</c:v>
                </c:pt>
                <c:pt idx="59">
                  <c:v>0.65158095359601997</c:v>
                </c:pt>
                <c:pt idx="60">
                  <c:v>0.64542622777616998</c:v>
                </c:pt>
                <c:pt idx="61">
                  <c:v>0.63876737900881997</c:v>
                </c:pt>
                <c:pt idx="62">
                  <c:v>0.6315977030964901</c:v>
                </c:pt>
                <c:pt idx="63">
                  <c:v>0.62390738901848009</c:v>
                </c:pt>
                <c:pt idx="64">
                  <c:v>0.61568417299889</c:v>
                </c:pt>
                <c:pt idx="65">
                  <c:v>0.60691339301234004</c:v>
                </c:pt>
                <c:pt idx="66">
                  <c:v>0.59757864285195006</c:v>
                </c:pt>
                <c:pt idx="67">
                  <c:v>0.58766090003869997</c:v>
                </c:pt>
                <c:pt idx="68">
                  <c:v>0.57713961593477003</c:v>
                </c:pt>
                <c:pt idx="69">
                  <c:v>0.56599429640799004</c:v>
                </c:pt>
                <c:pt idx="70">
                  <c:v>0.55420439282055001</c:v>
                </c:pt>
                <c:pt idx="71">
                  <c:v>0.54174739433049002</c:v>
                </c:pt>
                <c:pt idx="72">
                  <c:v>0.52859855536335998</c:v>
                </c:pt>
                <c:pt idx="73">
                  <c:v>0.51472996901577994</c:v>
                </c:pt>
                <c:pt idx="74">
                  <c:v>0.50011056705553003</c:v>
                </c:pt>
                <c:pt idx="75">
                  <c:v>0.48470879069931005</c:v>
                </c:pt>
                <c:pt idx="76">
                  <c:v>0.46849498886230001</c:v>
                </c:pt>
                <c:pt idx="77">
                  <c:v>0.45144090035431</c:v>
                </c:pt>
                <c:pt idx="78">
                  <c:v>0.43351654705648007</c:v>
                </c:pt>
                <c:pt idx="79">
                  <c:v>0.41469156931029999</c:v>
                </c:pt>
                <c:pt idx="80">
                  <c:v>0.39493980439386001</c:v>
                </c:pt>
                <c:pt idx="81">
                  <c:v>0.37424400126242002</c:v>
                </c:pt>
                <c:pt idx="82">
                  <c:v>0.35259560252569</c:v>
                </c:pt>
                <c:pt idx="83">
                  <c:v>0.32999670665198999</c:v>
                </c:pt>
                <c:pt idx="84">
                  <c:v>0.30645788774142002</c:v>
                </c:pt>
                <c:pt idx="85">
                  <c:v>0.28199533397814003</c:v>
                </c:pt>
                <c:pt idx="86">
                  <c:v>0.25663962304338001</c:v>
                </c:pt>
                <c:pt idx="87">
                  <c:v>0.23043397793393999</c:v>
                </c:pt>
                <c:pt idx="88">
                  <c:v>0.20343751004957</c:v>
                </c:pt>
                <c:pt idx="89">
                  <c:v>0.17572645919707003</c:v>
                </c:pt>
                <c:pt idx="90">
                  <c:v>0.14738947884966999</c:v>
                </c:pt>
                <c:pt idx="91">
                  <c:v>0.11853029329856</c:v>
                </c:pt>
                <c:pt idx="92">
                  <c:v>8.9256374099755009E-2</c:v>
                </c:pt>
                <c:pt idx="93">
                  <c:v>5.9674347971400005E-2</c:v>
                </c:pt>
                <c:pt idx="94">
                  <c:v>2.9886055352426003E-2</c:v>
                </c:pt>
                <c:pt idx="95">
                  <c:v>-8.2218397514046993E-6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58-4905-9C9B-B9E44102E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16416"/>
        <c:axId val="108717952"/>
      </c:scatterChart>
      <c:valAx>
        <c:axId val="10871641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717952"/>
        <c:crosses val="autoZero"/>
        <c:crossBetween val="midCat"/>
      </c:valAx>
      <c:valAx>
        <c:axId val="10871795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716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Diss.!$D$2:$D$87</c:f>
              <c:numCache>
                <c:formatCode>0.00E+00</c:formatCode>
                <c:ptCount val="86"/>
                <c:pt idx="0">
                  <c:v>-0.14101055666025319</c:v>
                </c:pt>
                <c:pt idx="1">
                  <c:v>-0.13578071244907233</c:v>
                </c:pt>
                <c:pt idx="2">
                  <c:v>-0.13066422023782615</c:v>
                </c:pt>
                <c:pt idx="3">
                  <c:v>-0.12319606696880646</c:v>
                </c:pt>
                <c:pt idx="4">
                  <c:v>-0.11262832781987576</c:v>
                </c:pt>
                <c:pt idx="5">
                  <c:v>-0.10125608171958239</c:v>
                </c:pt>
                <c:pt idx="6">
                  <c:v>-9.3363712323256312E-2</c:v>
                </c:pt>
                <c:pt idx="7">
                  <c:v>-9.1662394521067475E-2</c:v>
                </c:pt>
                <c:pt idx="8">
                  <c:v>-9.4520337729004936E-2</c:v>
                </c:pt>
                <c:pt idx="9">
                  <c:v>-9.7442111671840886E-2</c:v>
                </c:pt>
                <c:pt idx="10">
                  <c:v>-9.7132583561474542E-2</c:v>
                </c:pt>
                <c:pt idx="11">
                  <c:v>-9.3074488360002608E-2</c:v>
                </c:pt>
                <c:pt idx="12">
                  <c:v>-8.6386645947600441E-2</c:v>
                </c:pt>
                <c:pt idx="13">
                  <c:v>-7.8463073039628614E-2</c:v>
                </c:pt>
                <c:pt idx="14">
                  <c:v>-7.0333731697870466E-2</c:v>
                </c:pt>
                <c:pt idx="15">
                  <c:v>-6.2605416880927953E-2</c:v>
                </c:pt>
                <c:pt idx="16">
                  <c:v>-5.5557631072197446E-2</c:v>
                </c:pt>
                <c:pt idx="17">
                  <c:v>-4.9243348777548088E-2</c:v>
                </c:pt>
                <c:pt idx="18">
                  <c:v>-4.3607192480518794E-2</c:v>
                </c:pt>
                <c:pt idx="19">
                  <c:v>-3.8578731652490345E-2</c:v>
                </c:pt>
                <c:pt idx="20">
                  <c:v>-3.4000498152520577E-2</c:v>
                </c:pt>
                <c:pt idx="21">
                  <c:v>-2.9694963788768271E-2</c:v>
                </c:pt>
                <c:pt idx="22">
                  <c:v>-2.5558307824428007E-2</c:v>
                </c:pt>
                <c:pt idx="23">
                  <c:v>-2.1640342134166029E-2</c:v>
                </c:pt>
                <c:pt idx="24">
                  <c:v>-1.8047803477784209E-2</c:v>
                </c:pt>
                <c:pt idx="25">
                  <c:v>-1.4757259151078591E-2</c:v>
                </c:pt>
                <c:pt idx="26">
                  <c:v>-1.1783939918580039E-2</c:v>
                </c:pt>
                <c:pt idx="27">
                  <c:v>-9.2335052557576888E-3</c:v>
                </c:pt>
                <c:pt idx="28">
                  <c:v>-7.1316579008196806E-3</c:v>
                </c:pt>
                <c:pt idx="29">
                  <c:v>-5.5789275533615155E-3</c:v>
                </c:pt>
                <c:pt idx="30">
                  <c:v>-4.779337424230385E-3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E6-4039-91D4-EE8CDA501FBF}"/>
            </c:ext>
          </c:extLst>
        </c:ser>
        <c:ser>
          <c:idx val="1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DNS!$B$459:$B$682</c:f>
            </c:numRef>
          </c:xVal>
          <c:yVal>
            <c:numRef>
              <c:f>DNS!$D$459:$D$682</c:f>
            </c:numRef>
          </c:yVal>
          <c:smooth val="1"/>
          <c:extLst>
            <c:ext xmlns:c16="http://schemas.microsoft.com/office/drawing/2014/chart" uri="{C3380CC4-5D6E-409C-BE32-E72D297353CC}">
              <c16:uniqueId val="{00000001-0AE6-4039-91D4-EE8CDA501FBF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Diss.!$C$2:$C$32</c:f>
              <c:numCache>
                <c:formatCode>0.00E+00</c:formatCode>
                <c:ptCount val="31"/>
                <c:pt idx="0">
                  <c:v>3.3417263919845E-7</c:v>
                </c:pt>
                <c:pt idx="1">
                  <c:v>5.0646358433353E-6</c:v>
                </c:pt>
                <c:pt idx="2">
                  <c:v>2.54530637061325E-5</c:v>
                </c:pt>
                <c:pt idx="3">
                  <c:v>6.5459613331461802E-5</c:v>
                </c:pt>
                <c:pt idx="4">
                  <c:v>1.3077842804376299E-4</c:v>
                </c:pt>
                <c:pt idx="5" formatCode="General">
                  <c:v>3.16286039781391E-4</c:v>
                </c:pt>
                <c:pt idx="6" formatCode="General">
                  <c:v>1.0112212430416099E-3</c:v>
                </c:pt>
                <c:pt idx="7" formatCode="General">
                  <c:v>2.82603165048337E-3</c:v>
                </c:pt>
                <c:pt idx="8" formatCode="General">
                  <c:v>5.4525957637556301E-3</c:v>
                </c:pt>
                <c:pt idx="9" formatCode="General">
                  <c:v>7.4054547066909901E-3</c:v>
                </c:pt>
                <c:pt idx="10" formatCode="General">
                  <c:v>7.7314845415993403E-3</c:v>
                </c:pt>
                <c:pt idx="11" formatCode="General">
                  <c:v>6.7298587520241201E-3</c:v>
                </c:pt>
                <c:pt idx="12" formatCode="General">
                  <c:v>5.1991995120373499E-3</c:v>
                </c:pt>
                <c:pt idx="13" formatCode="General">
                  <c:v>3.7695165627942102E-3</c:v>
                </c:pt>
                <c:pt idx="14" formatCode="General">
                  <c:v>2.7290869010439698E-3</c:v>
                </c:pt>
                <c:pt idx="15" formatCode="General">
                  <c:v>2.1449368815004599E-3</c:v>
                </c:pt>
                <c:pt idx="16" formatCode="General">
                  <c:v>1.9425036984499499E-3</c:v>
                </c:pt>
                <c:pt idx="17" formatCode="General">
                  <c:v>2.00947286098409E-3</c:v>
                </c:pt>
                <c:pt idx="18">
                  <c:v>2.2433582752083899E-3</c:v>
                </c:pt>
                <c:pt idx="19" formatCode="General">
                  <c:v>2.5442879594276499E-3</c:v>
                </c:pt>
                <c:pt idx="20" formatCode="General">
                  <c:v>2.8081618981492802E-3</c:v>
                </c:pt>
                <c:pt idx="21">
                  <c:v>2.9346625855641698E-3</c:v>
                </c:pt>
                <c:pt idx="22" formatCode="General">
                  <c:v>2.87665186737141E-3</c:v>
                </c:pt>
                <c:pt idx="23" formatCode="General">
                  <c:v>2.6653865299775298E-3</c:v>
                </c:pt>
                <c:pt idx="24" formatCode="General">
                  <c:v>2.38017693775751E-3</c:v>
                </c:pt>
                <c:pt idx="25" formatCode="General">
                  <c:v>2.0278398904889899E-3</c:v>
                </c:pt>
                <c:pt idx="26" formatCode="General">
                  <c:v>1.62081990184794E-3</c:v>
                </c:pt>
                <c:pt idx="27" formatCode="General">
                  <c:v>1.2268204341788201E-3</c:v>
                </c:pt>
                <c:pt idx="28" formatCode="General">
                  <c:v>8.5481266504770098E-4</c:v>
                </c:pt>
                <c:pt idx="29" formatCode="General">
                  <c:v>5.5610621664365495E-4</c:v>
                </c:pt>
                <c:pt idx="30" formatCode="General">
                  <c:v>3.9330942526591498E-4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E6-4039-91D4-EE8CDA501FBF}"/>
            </c:ext>
          </c:extLst>
        </c:ser>
        <c:ser>
          <c:idx val="3"/>
          <c:order val="3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DNS!$AX$5:$AX$100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DNS!$BE$5:$BE$100</c:f>
              <c:numCache>
                <c:formatCode>General</c:formatCode>
                <c:ptCount val="96"/>
                <c:pt idx="0">
                  <c:v>-0.15379831557976009</c:v>
                </c:pt>
                <c:pt idx="1">
                  <c:v>-0.14856605753640942</c:v>
                </c:pt>
                <c:pt idx="2">
                  <c:v>-0.14481484349907789</c:v>
                </c:pt>
                <c:pt idx="3">
                  <c:v>-0.14158512240192658</c:v>
                </c:pt>
                <c:pt idx="4">
                  <c:v>-0.13834575644070965</c:v>
                </c:pt>
                <c:pt idx="5">
                  <c:v>-0.13484655400900986</c:v>
                </c:pt>
                <c:pt idx="6">
                  <c:v>-0.13106803468658296</c:v>
                </c:pt>
                <c:pt idx="7">
                  <c:v>-0.127165297795128</c:v>
                </c:pt>
                <c:pt idx="8">
                  <c:v>-0.12336750186371759</c:v>
                </c:pt>
                <c:pt idx="9">
                  <c:v>-0.11990894767854138</c:v>
                </c:pt>
                <c:pt idx="10">
                  <c:v>-0.11697401451605856</c:v>
                </c:pt>
                <c:pt idx="11">
                  <c:v>-0.1146725676893066</c:v>
                </c:pt>
                <c:pt idx="12">
                  <c:v>-0.11303658159083199</c:v>
                </c:pt>
                <c:pt idx="13">
                  <c:v>-0.11203134837921902</c:v>
                </c:pt>
                <c:pt idx="14">
                  <c:v>-0.11157382627306281</c:v>
                </c:pt>
                <c:pt idx="15">
                  <c:v>-0.111552298054428</c:v>
                </c:pt>
                <c:pt idx="16">
                  <c:v>-0.11184384598276324</c:v>
                </c:pt>
                <c:pt idx="17">
                  <c:v>-0.11232791922949971</c:v>
                </c:pt>
                <c:pt idx="18">
                  <c:v>-0.11289557795480822</c:v>
                </c:pt>
                <c:pt idx="19">
                  <c:v>-0.11345473846537946</c:v>
                </c:pt>
                <c:pt idx="20">
                  <c:v>-0.11393228062053121</c:v>
                </c:pt>
                <c:pt idx="21">
                  <c:v>-0.11427379430568627</c:v>
                </c:pt>
                <c:pt idx="22">
                  <c:v>-0.11444194062618832</c:v>
                </c:pt>
                <c:pt idx="23">
                  <c:v>-0.11441400128992195</c:v>
                </c:pt>
                <c:pt idx="24">
                  <c:v>-0.11417916348174387</c:v>
                </c:pt>
                <c:pt idx="25">
                  <c:v>-0.11373586474697556</c:v>
                </c:pt>
                <c:pt idx="26">
                  <c:v>-0.11308936394963026</c:v>
                </c:pt>
                <c:pt idx="27">
                  <c:v>-0.112249676094494</c:v>
                </c:pt>
                <c:pt idx="28">
                  <c:v>-0.11122979648290501</c:v>
                </c:pt>
                <c:pt idx="29">
                  <c:v>-0.11004430398009651</c:v>
                </c:pt>
                <c:pt idx="30">
                  <c:v>-0.108708355234929</c:v>
                </c:pt>
                <c:pt idx="31">
                  <c:v>-0.10723695326048202</c:v>
                </c:pt>
                <c:pt idx="32">
                  <c:v>-0.10564449538277852</c:v>
                </c:pt>
                <c:pt idx="33">
                  <c:v>-0.10394446934666751</c:v>
                </c:pt>
                <c:pt idx="34">
                  <c:v>-0.102149288742552</c:v>
                </c:pt>
                <c:pt idx="35">
                  <c:v>-0.1002703216559965</c:v>
                </c:pt>
                <c:pt idx="36">
                  <c:v>-9.8318054357371509E-2</c:v>
                </c:pt>
                <c:pt idx="37">
                  <c:v>-9.6302239576906506E-2</c:v>
                </c:pt>
                <c:pt idx="38">
                  <c:v>-9.4231962954481011E-2</c:v>
                </c:pt>
                <c:pt idx="39">
                  <c:v>-9.2115500518128501E-2</c:v>
                </c:pt>
                <c:pt idx="40">
                  <c:v>-8.9960265154980498E-2</c:v>
                </c:pt>
                <c:pt idx="41">
                  <c:v>-8.7772919481723513E-2</c:v>
                </c:pt>
                <c:pt idx="42">
                  <c:v>-8.5559601153536002E-2</c:v>
                </c:pt>
                <c:pt idx="43">
                  <c:v>-8.3326040525820502E-2</c:v>
                </c:pt>
                <c:pt idx="44">
                  <c:v>-8.10775319849735E-2</c:v>
                </c:pt>
                <c:pt idx="45">
                  <c:v>-7.8818811102571495E-2</c:v>
                </c:pt>
                <c:pt idx="46">
                  <c:v>-7.6554022156662002E-2</c:v>
                </c:pt>
                <c:pt idx="47">
                  <c:v>-7.428685798274251E-2</c:v>
                </c:pt>
                <c:pt idx="48">
                  <c:v>-7.20208883348675E-2</c:v>
                </c:pt>
                <c:pt idx="49">
                  <c:v>-6.9760006968938498E-2</c:v>
                </c:pt>
                <c:pt idx="50">
                  <c:v>-6.7508655498511996E-2</c:v>
                </c:pt>
                <c:pt idx="51">
                  <c:v>-6.5271556652914009E-2</c:v>
                </c:pt>
                <c:pt idx="52">
                  <c:v>-6.3053185820435995E-2</c:v>
                </c:pt>
                <c:pt idx="53">
                  <c:v>-6.0857254373398499E-2</c:v>
                </c:pt>
                <c:pt idx="54">
                  <c:v>-5.8686514403045002E-2</c:v>
                </c:pt>
                <c:pt idx="55">
                  <c:v>-5.6543135896954498E-2</c:v>
                </c:pt>
                <c:pt idx="56">
                  <c:v>-5.4429122639583001E-2</c:v>
                </c:pt>
                <c:pt idx="57">
                  <c:v>-5.2346304750400002E-2</c:v>
                </c:pt>
                <c:pt idx="58">
                  <c:v>-5.0296028113400497E-2</c:v>
                </c:pt>
                <c:pt idx="59">
                  <c:v>-4.8279177469603501E-2</c:v>
                </c:pt>
                <c:pt idx="60">
                  <c:v>-4.6296472377998506E-2</c:v>
                </c:pt>
                <c:pt idx="61">
                  <c:v>-4.4348694684473999E-2</c:v>
                </c:pt>
                <c:pt idx="62">
                  <c:v>-4.2437488983083999E-2</c:v>
                </c:pt>
                <c:pt idx="63">
                  <c:v>-4.0565612313465005E-2</c:v>
                </c:pt>
                <c:pt idx="64">
                  <c:v>-3.8735873241361504E-2</c:v>
                </c:pt>
                <c:pt idx="65">
                  <c:v>-3.69505753609305E-2</c:v>
                </c:pt>
                <c:pt idx="66">
                  <c:v>-3.5211648937663001E-2</c:v>
                </c:pt>
                <c:pt idx="67">
                  <c:v>-3.3520237442772001E-2</c:v>
                </c:pt>
                <c:pt idx="68">
                  <c:v>-3.1876676031611997E-2</c:v>
                </c:pt>
                <c:pt idx="69">
                  <c:v>-3.0281402361938502E-2</c:v>
                </c:pt>
                <c:pt idx="70">
                  <c:v>-2.8734560172747503E-2</c:v>
                </c:pt>
                <c:pt idx="71">
                  <c:v>-2.7234175919756999E-2</c:v>
                </c:pt>
                <c:pt idx="72">
                  <c:v>-2.57773885685595E-2</c:v>
                </c:pt>
                <c:pt idx="73">
                  <c:v>-2.43634242849467E-2</c:v>
                </c:pt>
                <c:pt idx="74">
                  <c:v>-2.2993350507700999E-2</c:v>
                </c:pt>
                <c:pt idx="75">
                  <c:v>-2.1668141205982649E-2</c:v>
                </c:pt>
                <c:pt idx="76">
                  <c:v>-2.0387263053129202E-2</c:v>
                </c:pt>
                <c:pt idx="77">
                  <c:v>-1.9148117436586402E-2</c:v>
                </c:pt>
                <c:pt idx="78">
                  <c:v>-1.7950678279114549E-2</c:v>
                </c:pt>
                <c:pt idx="79">
                  <c:v>-1.6797862461256301E-2</c:v>
                </c:pt>
                <c:pt idx="80">
                  <c:v>-1.5691844840437452E-2</c:v>
                </c:pt>
                <c:pt idx="81">
                  <c:v>-1.4633971065015499E-2</c:v>
                </c:pt>
                <c:pt idx="82">
                  <c:v>-1.3625909449906999E-2</c:v>
                </c:pt>
                <c:pt idx="83">
                  <c:v>-1.2669130217267951E-2</c:v>
                </c:pt>
                <c:pt idx="84">
                  <c:v>-1.17665289617016E-2</c:v>
                </c:pt>
                <c:pt idx="85">
                  <c:v>-1.09237492453956E-2</c:v>
                </c:pt>
                <c:pt idx="86">
                  <c:v>-1.0145016170129549E-2</c:v>
                </c:pt>
                <c:pt idx="87">
                  <c:v>-9.4342596229178999E-3</c:v>
                </c:pt>
                <c:pt idx="88">
                  <c:v>-8.7943544622465005E-3</c:v>
                </c:pt>
                <c:pt idx="89">
                  <c:v>-8.2296015866884491E-3</c:v>
                </c:pt>
                <c:pt idx="90">
                  <c:v>-7.7450201185263502E-3</c:v>
                </c:pt>
                <c:pt idx="91">
                  <c:v>-7.3408560242459505E-3</c:v>
                </c:pt>
                <c:pt idx="92">
                  <c:v>-7.0195387285343505E-3</c:v>
                </c:pt>
                <c:pt idx="93">
                  <c:v>-6.7861624042814999E-3</c:v>
                </c:pt>
                <c:pt idx="94">
                  <c:v>-6.6458099923138499E-3</c:v>
                </c:pt>
                <c:pt idx="95">
                  <c:v>-6.60101781828805E-3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E6-4039-91D4-EE8CDA501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81568"/>
        <c:axId val="107183104"/>
      </c:scatterChart>
      <c:valAx>
        <c:axId val="107181568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183104"/>
        <c:crosses val="autoZero"/>
        <c:crossBetween val="midCat"/>
      </c:valAx>
      <c:valAx>
        <c:axId val="10718310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181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352425</xdr:colOff>
      <xdr:row>0</xdr:row>
      <xdr:rowOff>85725</xdr:rowOff>
    </xdr:from>
    <xdr:to>
      <xdr:col>27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342900</xdr:colOff>
      <xdr:row>22</xdr:row>
      <xdr:rowOff>23812</xdr:rowOff>
    </xdr:from>
    <xdr:to>
      <xdr:col>27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lageul/Documents/stats/dns/150_diric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lageul/Documents/stats/dns/150_neum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moyenne"/>
      <sheetName val="fluctuations"/>
      <sheetName val="budget_rxx"/>
      <sheetName val="budget_ryy"/>
      <sheetName val="budget_rzz"/>
      <sheetName val="budget_rxy"/>
      <sheetName val="budget_ut"/>
      <sheetName val="budget_vt"/>
      <sheetName val="budget_tt"/>
      <sheetName val="budget_epsilon"/>
      <sheetName val="budget_epsilon_the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B4">
            <v>-0.10181564507334001</v>
          </cell>
        </row>
      </sheetData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moyenne"/>
      <sheetName val="fluctuations"/>
      <sheetName val="budget_ut"/>
      <sheetName val="budget_vt"/>
      <sheetName val="budget_tt"/>
    </sheetNames>
    <sheetDataSet>
      <sheetData sheetId="0"/>
      <sheetData sheetId="1"/>
      <sheetData sheetId="2"/>
      <sheetData sheetId="3"/>
      <sheetData sheetId="4"/>
      <sheetData sheetId="5">
        <row r="4">
          <cell r="B4">
            <v>-1.6752665828209001E-2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moy1" refreshOnLoad="1" growShrinkType="overwriteClear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50_diric_1" headers="0" backgroundRefresh="0" connectionId="5" autoFormatId="16" applyNumberFormats="0" applyBorderFormats="0" applyFontFormats="0" applyPatternFormats="0" applyAlignmentFormats="0" applyWidthHeightFormats="0">
  <queryTableRefresh headersInLastRefresh="0" nextId="16">
    <queryTableFields count="15">
      <queryTableField id="1" name="Moyennes brutes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Moyennes adim#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</queryTableFields>
  </queryTableRefresh>
</queryTable>
</file>

<file path=xl/queryTables/queryTable5.xml><?xml version="1.0" encoding="utf-8"?>
<queryTable xmlns="http://schemas.openxmlformats.org/spreadsheetml/2006/main" name="150_diric_2" headers="0" backgroundRefresh="0" connectionId="4" autoFormatId="16" applyNumberFormats="0" applyBorderFormats="0" applyFontFormats="0" applyPatternFormats="0" applyAlignmentFormats="0" applyWidthHeightFormats="0">
  <queryTableRefresh headersInLastRefresh="0" nextId="33">
    <queryTableFields count="32">
      <queryTableField id="1" name="Moyennes brutes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Moyennes adim#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F2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  <queryTableField id="29" name="F29" tableColumnId="29"/>
      <queryTableField id="30" name="F30" tableColumnId="30"/>
      <queryTableField id="31" name="F31" tableColumnId="31"/>
      <queryTableField id="32" name="F32" tableColumnId="32"/>
    </queryTableFields>
  </queryTableRefresh>
</queryTable>
</file>

<file path=xl/queryTables/queryTable6.xml><?xml version="1.0" encoding="utf-8"?>
<queryTable xmlns="http://schemas.openxmlformats.org/spreadsheetml/2006/main" name="150_diric" headers="0" backgroundRefresh="0" connectionId="1" autoFormatId="16" applyNumberFormats="0" applyBorderFormats="0" applyFontFormats="0" applyPatternFormats="0" applyAlignmentFormats="0" applyWidthHeightFormats="0">
  <queryTableRefresh headersInLastRefresh="0" nextId="9" unboundColumnsRight="1">
    <queryTableFields count="8">
      <queryTableField id="1" name="Moitié basse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dataBound="0" tableColumnId="8"/>
    </queryTableFields>
  </queryTableRefresh>
</queryTable>
</file>

<file path=xl/queryTables/queryTable7.xml><?xml version="1.0" encoding="utf-8"?>
<queryTable xmlns="http://schemas.openxmlformats.org/spreadsheetml/2006/main" name="150_diric_3" headers="0" backgroundRefresh="0" connectionId="2" autoFormatId="16" applyNumberFormats="0" applyBorderFormats="0" applyFontFormats="0" applyPatternFormats="0" applyAlignmentFormats="0" applyWidthHeightFormats="0">
  <queryTableRefresh headersInLastRefresh="0" nextId="7">
    <queryTableFields count="6">
      <queryTableField id="1" name="Moitié basse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</queryTableFields>
  </queryTableRefresh>
</queryTable>
</file>

<file path=xl/queryTables/queryTable8.xml><?xml version="1.0" encoding="utf-8"?>
<queryTable xmlns="http://schemas.openxmlformats.org/spreadsheetml/2006/main" name="150_diric_4" headers="0" backgroundRefresh="0" connectionId="3" autoFormatId="16" applyNumberFormats="0" applyBorderFormats="0" applyFontFormats="0" applyPatternFormats="0" applyAlignmentFormats="0" applyWidthHeightFormats="0">
  <queryTableRefresh headersInLastRefresh="0" nextId="7">
    <queryTableFields count="6">
      <queryTableField id="1" name="Moitié basse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</queryTableFields>
  </queryTableRefresh>
</queryTable>
</file>

<file path=xl/queryTables/queryTable9.xml><?xml version="1.0" encoding="utf-8"?>
<queryTable xmlns="http://schemas.openxmlformats.org/spreadsheetml/2006/main" name="g2a2m" refreshOnLoad="1" growShrinkType="overwriteClear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g2a1m" refreshOnLoad="1" growShrinkType="overwriteClear" connectionId="1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g2a05m" refreshOnLoad="1" growShrinkType="overwriteClear" connectionId="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g1a2m" refreshOnLoad="1" growShrinkType="overwriteClear" connectionId="1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g1a1m" refreshOnLoad="1" growShrinkType="overwriteClear" connectionId="1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g1a05m" refreshOnLoad="1" growShrinkType="overwriteClear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g05a2m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g05a1m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g05a05m" refreshOnLoad="1" growShrinkType="overwriteClear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neumam" refreshOnLoad="1" growShrinkType="overwriteClear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iricm" refreshOnLoad="1" growShrinkType="overwriteClear" connectionId="6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Table__150_diric_1" displayName="Table__150_diric_1" ref="A2:O198" tableType="queryTable" headerRowCount="0" totalsRowShown="0">
  <tableColumns count="15">
    <tableColumn id="1" uniqueName="1" name="Moyennes brutes" queryTableFieldId="1"/>
    <tableColumn id="2" uniqueName="2" name="F2" queryTableFieldId="2" dataDxfId="4"/>
    <tableColumn id="3" uniqueName="3" name="F3" queryTableFieldId="3" dataDxfId="3"/>
    <tableColumn id="4" uniqueName="4" name="F4" queryTableFieldId="4" dataDxfId="2"/>
    <tableColumn id="5" uniqueName="5" name="F5" queryTableFieldId="5" dataDxfId="1"/>
    <tableColumn id="6" uniqueName="6" name="F6" queryTableFieldId="6"/>
    <tableColumn id="7" uniqueName="7" name="Moyennes adim#" queryTableFieldId="7"/>
    <tableColumn id="8" uniqueName="8" name="F8" queryTableFieldId="8"/>
    <tableColumn id="9" uniqueName="9" name="F9" queryTableFieldId="9"/>
    <tableColumn id="10" uniqueName="10" name="F10" queryTableFieldId="10"/>
    <tableColumn id="11" uniqueName="11" name="F11" queryTableFieldId="11"/>
    <tableColumn id="12" uniqueName="12" name="F12" queryTableFieldId="12"/>
    <tableColumn id="13" uniqueName="13" name="F13" queryTableFieldId="13"/>
    <tableColumn id="14" uniqueName="14" name="F14" queryTableFieldId="14"/>
    <tableColumn id="15" uniqueName="15" name="F15" queryTableFieldId="15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3" name="Table__150_diric_2" displayName="Table__150_diric_2" ref="Q2:AV198" tableType="queryTable" headerRowCount="0" totalsRowShown="0">
  <tableColumns count="32">
    <tableColumn id="1" uniqueName="1" name="Moyennes brutes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  <tableColumn id="7" uniqueName="7" name="F7" queryTableFieldId="7"/>
    <tableColumn id="8" uniqueName="8" name="F8" queryTableFieldId="8"/>
    <tableColumn id="9" uniqueName="9" name="F9" queryTableFieldId="9"/>
    <tableColumn id="10" uniqueName="10" name="Moyennes adim#" queryTableFieldId="10"/>
    <tableColumn id="11" uniqueName="11" name="F11" queryTableFieldId="11"/>
    <tableColumn id="12" uniqueName="12" name="F12" queryTableFieldId="12"/>
    <tableColumn id="13" uniqueName="13" name="F13" queryTableFieldId="13"/>
    <tableColumn id="14" uniqueName="14" name="F14" queryTableFieldId="14"/>
    <tableColumn id="15" uniqueName="15" name="F15" queryTableFieldId="15"/>
    <tableColumn id="16" uniqueName="16" name="F16" queryTableFieldId="16"/>
    <tableColumn id="17" uniqueName="17" name="F17" queryTableFieldId="17"/>
    <tableColumn id="18" uniqueName="18" name="F18" queryTableFieldId="18"/>
    <tableColumn id="19" uniqueName="19" name="F19" queryTableFieldId="19"/>
    <tableColumn id="20" uniqueName="20" name="F20" queryTableFieldId="20"/>
    <tableColumn id="21" uniqueName="21" name="F21" queryTableFieldId="21"/>
    <tableColumn id="22" uniqueName="22" name="F22" queryTableFieldId="22"/>
    <tableColumn id="23" uniqueName="23" name="F23" queryTableFieldId="23"/>
    <tableColumn id="24" uniqueName="24" name="F24" queryTableFieldId="24"/>
    <tableColumn id="25" uniqueName="25" name="F25" queryTableFieldId="25"/>
    <tableColumn id="26" uniqueName="26" name="F26" queryTableFieldId="26"/>
    <tableColumn id="27" uniqueName="27" name="F27" queryTableFieldId="27"/>
    <tableColumn id="28" uniqueName="28" name="F28" queryTableFieldId="28"/>
    <tableColumn id="29" uniqueName="29" name="F29" queryTableFieldId="29"/>
    <tableColumn id="30" uniqueName="30" name="F30" queryTableFieldId="30"/>
    <tableColumn id="31" uniqueName="31" name="F31" queryTableFieldId="31"/>
    <tableColumn id="32" uniqueName="32" name="F32" queryTableFieldId="32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2" name="Table__150_diric" displayName="Table__150_diric" ref="AX2:BE202" tableType="queryTable" headerRowCount="0" totalsRowShown="0">
  <tableColumns count="8">
    <tableColumn id="1" uniqueName="1" name="Moitié basse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  <tableColumn id="7" uniqueName="7" name="F7" queryTableFieldId="7"/>
    <tableColumn id="8" uniqueName="8" name="Column1" queryTableFieldId="8" dataDxfId="0">
      <calculatedColumnFormula>(Table__150_diric[[#This Row],[F2]]+Table__150_diric_3[[#This Row],[F2]]+Table__150_diric_4[[#This Row],[F2]])/2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4" name="Table__150_diric_3" displayName="Table__150_diric_3" ref="BF2:BK202" tableType="queryTable" headerRowCount="0" totalsRowShown="0">
  <tableColumns count="6">
    <tableColumn id="1" uniqueName="1" name="Moitié basse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5" name="Table__150_diric_4" displayName="Table__150_diric_4" ref="BM2:BR202" tableType="queryTable" headerRowCount="0" totalsRowShown="0">
  <tableColumns count="6">
    <tableColumn id="1" uniqueName="1" name="Moitié basse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.xml"/><Relationship Id="rId3" Type="http://schemas.openxmlformats.org/officeDocument/2006/relationships/queryTable" Target="../queryTables/queryTable11.xml"/><Relationship Id="rId7" Type="http://schemas.openxmlformats.org/officeDocument/2006/relationships/queryTable" Target="../queryTables/queryTable15.xml"/><Relationship Id="rId2" Type="http://schemas.openxmlformats.org/officeDocument/2006/relationships/queryTable" Target="../queryTables/queryTable10.xml"/><Relationship Id="rId1" Type="http://schemas.openxmlformats.org/officeDocument/2006/relationships/queryTable" Target="../queryTables/queryTable9.xml"/><Relationship Id="rId6" Type="http://schemas.openxmlformats.org/officeDocument/2006/relationships/queryTable" Target="../queryTables/queryTable14.xml"/><Relationship Id="rId11" Type="http://schemas.openxmlformats.org/officeDocument/2006/relationships/queryTable" Target="../queryTables/queryTable19.xml"/><Relationship Id="rId5" Type="http://schemas.openxmlformats.org/officeDocument/2006/relationships/queryTable" Target="../queryTables/queryTable13.xml"/><Relationship Id="rId10" Type="http://schemas.openxmlformats.org/officeDocument/2006/relationships/queryTable" Target="../queryTables/queryTable18.xml"/><Relationship Id="rId4" Type="http://schemas.openxmlformats.org/officeDocument/2006/relationships/queryTable" Target="../queryTables/queryTable12.xml"/><Relationship Id="rId9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2"/>
  <sheetViews>
    <sheetView tabSelected="1" workbookViewId="0"/>
  </sheetViews>
  <sheetFormatPr defaultRowHeight="15" x14ac:dyDescent="0.25"/>
  <cols>
    <col min="3" max="3" width="6" bestFit="1" customWidth="1"/>
    <col min="4" max="5" width="7" bestFit="1" customWidth="1"/>
  </cols>
  <sheetData>
    <row r="1" spans="1:9" x14ac:dyDescent="0.25">
      <c r="A1" t="s">
        <v>50</v>
      </c>
    </row>
    <row r="3" spans="1:9" x14ac:dyDescent="0.25">
      <c r="A3" t="s">
        <v>68</v>
      </c>
    </row>
    <row r="5" spans="1:9" x14ac:dyDescent="0.25">
      <c r="A5" t="s">
        <v>47</v>
      </c>
    </row>
    <row r="6" spans="1:9" x14ac:dyDescent="0.25">
      <c r="B6" t="s">
        <v>45</v>
      </c>
    </row>
    <row r="7" spans="1:9" x14ac:dyDescent="0.25">
      <c r="A7" t="s">
        <v>46</v>
      </c>
    </row>
    <row r="8" spans="1:9" x14ac:dyDescent="0.25">
      <c r="B8" t="s">
        <v>48</v>
      </c>
    </row>
    <row r="10" spans="1:9" x14ac:dyDescent="0.25">
      <c r="A10" t="s">
        <v>44</v>
      </c>
    </row>
    <row r="11" spans="1:9" x14ac:dyDescent="0.25">
      <c r="B11" t="s">
        <v>49</v>
      </c>
    </row>
    <row r="13" spans="1:9" x14ac:dyDescent="0.25">
      <c r="A13" t="s">
        <v>37</v>
      </c>
    </row>
    <row r="14" spans="1:9" x14ac:dyDescent="0.25">
      <c r="C14" s="6">
        <v>0</v>
      </c>
      <c r="D14" s="6" t="s">
        <v>41</v>
      </c>
      <c r="E14" s="6">
        <v>12.566000000000001</v>
      </c>
      <c r="H14" s="7" t="s">
        <v>63</v>
      </c>
      <c r="I14">
        <v>30</v>
      </c>
    </row>
    <row r="15" spans="1:9" x14ac:dyDescent="0.25">
      <c r="B15" s="7" t="s">
        <v>39</v>
      </c>
      <c r="C15" s="6">
        <v>-2</v>
      </c>
      <c r="D15" s="6" t="s">
        <v>42</v>
      </c>
      <c r="E15" s="6">
        <v>-1</v>
      </c>
      <c r="G15">
        <v>1</v>
      </c>
      <c r="H15" s="5" t="s">
        <v>65</v>
      </c>
      <c r="I15">
        <v>15</v>
      </c>
    </row>
    <row r="16" spans="1:9" x14ac:dyDescent="0.25">
      <c r="B16" s="7" t="s">
        <v>38</v>
      </c>
      <c r="C16" s="6">
        <v>-1</v>
      </c>
      <c r="D16" s="6" t="str">
        <f>D15</f>
        <v>&lt;= Y &lt;=</v>
      </c>
      <c r="E16" s="6">
        <v>1</v>
      </c>
      <c r="H16" s="7" t="s">
        <v>64</v>
      </c>
      <c r="I16">
        <v>15</v>
      </c>
    </row>
    <row r="17" spans="1:5" x14ac:dyDescent="0.25">
      <c r="B17" s="7" t="s">
        <v>40</v>
      </c>
      <c r="C17" s="6">
        <v>1</v>
      </c>
      <c r="D17" s="6" t="str">
        <f>D16</f>
        <v>&lt;= Y &lt;=</v>
      </c>
      <c r="E17" s="6">
        <v>2</v>
      </c>
    </row>
    <row r="18" spans="1:5" x14ac:dyDescent="0.25">
      <c r="C18" s="6">
        <v>0</v>
      </c>
      <c r="D18" s="6" t="s">
        <v>43</v>
      </c>
      <c r="E18" s="6">
        <v>6.2839999999999998</v>
      </c>
    </row>
    <row r="20" spans="1:5" x14ac:dyDescent="0.25">
      <c r="A20" t="s">
        <v>51</v>
      </c>
    </row>
    <row r="21" spans="1:5" x14ac:dyDescent="0.25">
      <c r="B21" s="7" t="s">
        <v>52</v>
      </c>
      <c r="C21">
        <v>150</v>
      </c>
    </row>
    <row r="23" spans="1:5" x14ac:dyDescent="0.25">
      <c r="A23" s="8" t="s">
        <v>66</v>
      </c>
      <c r="B23" s="8"/>
    </row>
    <row r="24" spans="1:5" x14ac:dyDescent="0.25">
      <c r="A24" s="8">
        <v>1</v>
      </c>
      <c r="B24" s="8" t="s">
        <v>53</v>
      </c>
      <c r="C24" t="s">
        <v>54</v>
      </c>
    </row>
    <row r="25" spans="1:5" x14ac:dyDescent="0.25">
      <c r="A25">
        <v>1</v>
      </c>
      <c r="B25" t="s">
        <v>55</v>
      </c>
      <c r="C25" t="s">
        <v>56</v>
      </c>
    </row>
    <row r="26" spans="1:5" x14ac:dyDescent="0.25">
      <c r="A26">
        <v>9</v>
      </c>
      <c r="B26" t="s">
        <v>57</v>
      </c>
      <c r="C26" t="s">
        <v>58</v>
      </c>
    </row>
    <row r="27" spans="1:5" x14ac:dyDescent="0.25">
      <c r="C27" t="s">
        <v>59</v>
      </c>
    </row>
    <row r="28" spans="1:5" x14ac:dyDescent="0.25">
      <c r="C28" t="s">
        <v>60</v>
      </c>
    </row>
    <row r="29" spans="1:5" x14ac:dyDescent="0.25">
      <c r="C29" t="s">
        <v>62</v>
      </c>
    </row>
    <row r="30" spans="1:5" x14ac:dyDescent="0.25">
      <c r="C30" t="s">
        <v>61</v>
      </c>
    </row>
    <row r="32" spans="1:5" x14ac:dyDescent="0.25">
      <c r="B32" t="s">
        <v>67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1"/>
  <sheetViews>
    <sheetView workbookViewId="0"/>
  </sheetViews>
  <sheetFormatPr defaultRowHeight="15" x14ac:dyDescent="0.25"/>
  <cols>
    <col min="1" max="1" width="12" customWidth="1"/>
    <col min="2" max="2" width="8.5703125" customWidth="1"/>
    <col min="3" max="3" width="12" customWidth="1"/>
    <col min="4" max="4" width="8.5703125" customWidth="1"/>
    <col min="6" max="6" width="12.7109375" bestFit="1" customWidth="1"/>
    <col min="7" max="7" width="12" bestFit="1" customWidth="1"/>
    <col min="10" max="10" width="12.7109375" bestFit="1" customWidth="1"/>
    <col min="11" max="11" width="8.28515625" customWidth="1"/>
  </cols>
  <sheetData>
    <row r="1" spans="1:12" x14ac:dyDescent="0.25">
      <c r="A1" t="s">
        <v>23</v>
      </c>
      <c r="B1" t="s">
        <v>24</v>
      </c>
      <c r="C1" t="s">
        <v>25</v>
      </c>
    </row>
    <row r="2" spans="1:12" x14ac:dyDescent="0.25">
      <c r="A2">
        <v>0.49999952316284102</v>
      </c>
      <c r="B2" s="1">
        <v>0.499412773624062</v>
      </c>
      <c r="C2" s="1">
        <v>1.3572882503920499E-5</v>
      </c>
      <c r="K2" s="1"/>
      <c r="L2" s="1"/>
    </row>
    <row r="3" spans="1:12" x14ac:dyDescent="0.25">
      <c r="A3">
        <v>1.5449970960617001</v>
      </c>
      <c r="B3" s="1">
        <v>1.5356704940646799</v>
      </c>
      <c r="C3">
        <v>1.17773328833337E-4</v>
      </c>
      <c r="K3" s="1"/>
      <c r="L3" s="1"/>
    </row>
    <row r="4" spans="1:12" x14ac:dyDescent="0.25">
      <c r="A4">
        <v>2.6840418577194201</v>
      </c>
      <c r="B4" s="1">
        <v>2.6524714525043902</v>
      </c>
      <c r="C4">
        <v>4.6807433263751298E-4</v>
      </c>
      <c r="K4" s="1"/>
      <c r="L4" s="1"/>
    </row>
    <row r="5" spans="1:12" x14ac:dyDescent="0.25">
      <c r="A5">
        <v>3.9256095886230402</v>
      </c>
      <c r="B5" s="1">
        <v>3.8450331446528399</v>
      </c>
      <c r="C5">
        <v>1.0437243480367799E-3</v>
      </c>
      <c r="K5" s="1"/>
      <c r="L5" s="1"/>
    </row>
    <row r="6" spans="1:12" x14ac:dyDescent="0.25">
      <c r="A6">
        <v>5.2789181470870901</v>
      </c>
      <c r="B6" s="1">
        <v>5.0982887059450102</v>
      </c>
      <c r="C6">
        <v>1.9840873034127002E-3</v>
      </c>
      <c r="K6" s="1"/>
      <c r="L6" s="1"/>
    </row>
    <row r="7" spans="1:12" x14ac:dyDescent="0.25">
      <c r="A7">
        <v>6.7540258169174097</v>
      </c>
      <c r="B7" s="1">
        <v>6.3848066273331598</v>
      </c>
      <c r="C7">
        <v>3.83255399844983E-3</v>
      </c>
      <c r="K7" s="1"/>
      <c r="L7" s="1"/>
    </row>
    <row r="8" spans="1:12" x14ac:dyDescent="0.25">
      <c r="A8">
        <v>8.3618760108947701</v>
      </c>
      <c r="B8" s="1">
        <v>7.6667770904302497</v>
      </c>
      <c r="C8">
        <v>8.4090516678543194E-3</v>
      </c>
      <c r="K8" s="1"/>
      <c r="L8" s="1"/>
    </row>
    <row r="9" spans="1:12" x14ac:dyDescent="0.25">
      <c r="A9">
        <v>10.1144403219223</v>
      </c>
      <c r="B9" s="1">
        <v>8.9028518754243802</v>
      </c>
      <c r="C9">
        <v>1.9797296319666199E-2</v>
      </c>
      <c r="K9" s="1"/>
      <c r="L9" s="1"/>
    </row>
    <row r="10" spans="1:12" x14ac:dyDescent="0.25">
      <c r="A10">
        <v>12.024745345115599</v>
      </c>
      <c r="B10" s="1">
        <v>10.0575069111585</v>
      </c>
      <c r="C10">
        <v>4.25585878883794E-2</v>
      </c>
      <c r="K10" s="1"/>
      <c r="L10" s="1"/>
    </row>
    <row r="11" spans="1:12" x14ac:dyDescent="0.25">
      <c r="A11">
        <v>14.106971025466899</v>
      </c>
      <c r="B11" s="1">
        <v>11.108097352981501</v>
      </c>
      <c r="C11">
        <v>7.7907154509375603E-2</v>
      </c>
      <c r="K11" s="1"/>
      <c r="L11" s="1"/>
    </row>
    <row r="12" spans="1:12" x14ac:dyDescent="0.25">
      <c r="A12">
        <v>16.3766205310821</v>
      </c>
      <c r="B12" s="1">
        <v>12.046323326826</v>
      </c>
      <c r="C12">
        <v>0.12317772079768401</v>
      </c>
      <c r="K12" s="1"/>
      <c r="L12" s="1"/>
    </row>
    <row r="13" spans="1:12" x14ac:dyDescent="0.25">
      <c r="A13">
        <v>18.850511312484699</v>
      </c>
      <c r="B13" s="1">
        <v>12.8750081580877</v>
      </c>
      <c r="C13">
        <v>0.174499442186061</v>
      </c>
      <c r="K13" s="1"/>
      <c r="L13" s="1"/>
    </row>
    <row r="14" spans="1:12" x14ac:dyDescent="0.25">
      <c r="A14">
        <v>21.5470612049102</v>
      </c>
      <c r="B14" s="1">
        <v>13.6033891314268</v>
      </c>
      <c r="C14">
        <v>0.22900263930932799</v>
      </c>
      <c r="K14" s="1"/>
      <c r="L14" s="1"/>
    </row>
    <row r="15" spans="1:12" x14ac:dyDescent="0.25">
      <c r="A15">
        <v>24.4862973690032</v>
      </c>
      <c r="B15" s="1">
        <v>14.243341963291099</v>
      </c>
      <c r="C15">
        <v>0.28520127944648199</v>
      </c>
      <c r="K15" s="1"/>
      <c r="L15" s="1"/>
    </row>
    <row r="16" spans="1:12" x14ac:dyDescent="0.25">
      <c r="A16">
        <v>27.690052986145002</v>
      </c>
      <c r="B16" s="1">
        <v>14.8070899701118</v>
      </c>
      <c r="C16">
        <v>0.34259378338902002</v>
      </c>
      <c r="K16" s="1"/>
      <c r="L16" s="1"/>
    </row>
    <row r="17" spans="1:12" x14ac:dyDescent="0.25">
      <c r="A17">
        <v>31.1821639537811</v>
      </c>
      <c r="B17" s="1">
        <v>15.306038314104001</v>
      </c>
      <c r="C17">
        <v>0.40103840012307002</v>
      </c>
      <c r="K17" s="1"/>
      <c r="L17" s="1"/>
    </row>
    <row r="18" spans="1:12" x14ac:dyDescent="0.25">
      <c r="A18">
        <v>34.988558292388902</v>
      </c>
      <c r="B18" s="1">
        <v>15.750459684133499</v>
      </c>
      <c r="C18">
        <v>0.46003485385881498</v>
      </c>
      <c r="K18" s="1"/>
      <c r="L18" s="1"/>
    </row>
    <row r="19" spans="1:12" x14ac:dyDescent="0.25">
      <c r="A19">
        <v>39.137506484985302</v>
      </c>
      <c r="B19" s="1">
        <v>16.149397226571999</v>
      </c>
      <c r="C19">
        <v>0.518145863119571</v>
      </c>
      <c r="K19" s="1"/>
      <c r="L19" s="1"/>
    </row>
    <row r="20" spans="1:12" x14ac:dyDescent="0.25">
      <c r="A20">
        <v>43.659898638725203</v>
      </c>
      <c r="B20" s="1">
        <v>16.510607228279099</v>
      </c>
      <c r="C20">
        <v>0.57366455881856304</v>
      </c>
      <c r="K20" s="1"/>
      <c r="L20" s="1"/>
    </row>
    <row r="21" spans="1:12" x14ac:dyDescent="0.25">
      <c r="A21">
        <v>48.589280247688201</v>
      </c>
      <c r="B21" s="1">
        <v>16.840965882539699</v>
      </c>
      <c r="C21">
        <v>0.62457913960679401</v>
      </c>
      <c r="K21" s="1"/>
      <c r="L21" s="1"/>
    </row>
    <row r="22" spans="1:12" x14ac:dyDescent="0.25">
      <c r="A22">
        <v>53.962334990501397</v>
      </c>
      <c r="B22" s="1">
        <v>17.146528455018899</v>
      </c>
      <c r="C22">
        <v>0.66818401298951302</v>
      </c>
      <c r="K22" s="1"/>
      <c r="L22" s="1"/>
    </row>
    <row r="23" spans="1:12" x14ac:dyDescent="0.25">
      <c r="A23">
        <v>59.818929433822603</v>
      </c>
      <c r="B23" s="1">
        <v>17.431920983791301</v>
      </c>
      <c r="C23">
        <v>0.70185399217007205</v>
      </c>
      <c r="K23" s="1"/>
      <c r="L23" s="1"/>
    </row>
    <row r="24" spans="1:12" x14ac:dyDescent="0.25">
      <c r="A24">
        <v>66.202640533447195</v>
      </c>
      <c r="B24" s="1">
        <v>17.700445668697299</v>
      </c>
      <c r="C24">
        <v>0.72411238841596004</v>
      </c>
      <c r="K24" s="1"/>
      <c r="L24" s="1"/>
    </row>
    <row r="25" spans="1:12" x14ac:dyDescent="0.25">
      <c r="A25">
        <v>73.160880804061804</v>
      </c>
      <c r="B25" s="1">
        <v>17.953528039455399</v>
      </c>
      <c r="C25">
        <v>0.73531650772201795</v>
      </c>
      <c r="K25" s="1"/>
      <c r="L25" s="1"/>
    </row>
    <row r="26" spans="1:12" x14ac:dyDescent="0.25">
      <c r="A26">
        <v>80.745358765125204</v>
      </c>
      <c r="B26" s="1">
        <v>18.1917486619949</v>
      </c>
      <c r="C26">
        <v>0.73602705710800298</v>
      </c>
      <c r="K26" s="1"/>
      <c r="L26" s="1"/>
    </row>
    <row r="27" spans="1:12" x14ac:dyDescent="0.25">
      <c r="A27">
        <v>89.012441039085303</v>
      </c>
      <c r="B27" s="1">
        <v>18.4151925873756</v>
      </c>
      <c r="C27">
        <v>0.72725007266853903</v>
      </c>
      <c r="K27" s="1"/>
      <c r="L27" s="1"/>
    </row>
    <row r="28" spans="1:12" x14ac:dyDescent="0.25">
      <c r="A28">
        <v>98.0235546827316</v>
      </c>
      <c r="B28" s="1">
        <v>18.6222789752483</v>
      </c>
      <c r="C28">
        <v>0.70988738471350998</v>
      </c>
      <c r="K28" s="1"/>
      <c r="L28" s="1"/>
    </row>
    <row r="29" spans="1:12" x14ac:dyDescent="0.25">
      <c r="A29">
        <v>107.845674455165</v>
      </c>
      <c r="B29" s="1">
        <v>18.809243391752201</v>
      </c>
      <c r="C29">
        <v>0.68693035605247099</v>
      </c>
      <c r="K29" s="1"/>
      <c r="L29" s="1"/>
    </row>
    <row r="30" spans="1:12" x14ac:dyDescent="0.25">
      <c r="A30">
        <v>118.551787734031</v>
      </c>
      <c r="B30" s="1">
        <v>18.968862043619101</v>
      </c>
      <c r="C30">
        <v>0.65986488398630105</v>
      </c>
      <c r="K30" s="1"/>
      <c r="L30" s="1"/>
    </row>
    <row r="31" spans="1:12" x14ac:dyDescent="0.25">
      <c r="A31">
        <v>130.22144660353601</v>
      </c>
      <c r="B31" s="1">
        <v>19.091161769628499</v>
      </c>
      <c r="C31">
        <v>0.63713732472387996</v>
      </c>
      <c r="K31" s="1"/>
      <c r="L31" s="1"/>
    </row>
    <row r="32" spans="1:12" x14ac:dyDescent="0.25">
      <c r="A32">
        <v>143.15376933664001</v>
      </c>
      <c r="B32" s="1">
        <v>19.163972872495599</v>
      </c>
      <c r="C32">
        <v>0.65064216421160304</v>
      </c>
      <c r="K32" s="1"/>
      <c r="L32" s="1"/>
    </row>
    <row r="33" spans="11:12" x14ac:dyDescent="0.25">
      <c r="K33" s="1"/>
      <c r="L33" s="1"/>
    </row>
    <row r="34" spans="11:12" x14ac:dyDescent="0.25">
      <c r="K34" s="1"/>
      <c r="L34" s="1"/>
    </row>
    <row r="35" spans="11:12" x14ac:dyDescent="0.25">
      <c r="K35" s="1"/>
      <c r="L35" s="1"/>
    </row>
    <row r="36" spans="11:12" x14ac:dyDescent="0.25">
      <c r="K36" s="1"/>
      <c r="L36" s="1"/>
    </row>
    <row r="37" spans="11:12" x14ac:dyDescent="0.25">
      <c r="K37" s="1"/>
      <c r="L37" s="1"/>
    </row>
    <row r="38" spans="11:12" x14ac:dyDescent="0.25">
      <c r="K38" s="1"/>
      <c r="L38" s="1"/>
    </row>
    <row r="39" spans="11:12" x14ac:dyDescent="0.25">
      <c r="K39" s="1"/>
      <c r="L39" s="1"/>
    </row>
    <row r="40" spans="11:12" x14ac:dyDescent="0.25">
      <c r="K40" s="1"/>
      <c r="L40" s="1"/>
    </row>
    <row r="41" spans="11:12" x14ac:dyDescent="0.25">
      <c r="K41" s="1"/>
      <c r="L41" s="1"/>
    </row>
    <row r="42" spans="11:12" x14ac:dyDescent="0.25">
      <c r="K42" s="1"/>
      <c r="L42" s="1"/>
    </row>
    <row r="43" spans="11:12" x14ac:dyDescent="0.25">
      <c r="K43" s="1"/>
      <c r="L43" s="1"/>
    </row>
    <row r="44" spans="11:12" x14ac:dyDescent="0.25">
      <c r="K44" s="1"/>
      <c r="L44" s="1"/>
    </row>
    <row r="45" spans="11:12" x14ac:dyDescent="0.25">
      <c r="K45" s="1"/>
      <c r="L45" s="1"/>
    </row>
    <row r="46" spans="11:12" x14ac:dyDescent="0.25">
      <c r="K46" s="1"/>
      <c r="L46" s="1"/>
    </row>
    <row r="47" spans="11:12" x14ac:dyDescent="0.25">
      <c r="K47" s="1"/>
      <c r="L47" s="1"/>
    </row>
    <row r="48" spans="11:12" x14ac:dyDescent="0.25">
      <c r="K48" s="1"/>
      <c r="L48" s="1"/>
    </row>
    <row r="49" spans="11:12" x14ac:dyDescent="0.25">
      <c r="K49" s="1"/>
      <c r="L49" s="1"/>
    </row>
    <row r="50" spans="11:12" x14ac:dyDescent="0.25">
      <c r="K50" s="1"/>
      <c r="L50" s="1"/>
    </row>
    <row r="51" spans="11:12" x14ac:dyDescent="0.25">
      <c r="K51" s="1"/>
      <c r="L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1" width="12" customWidth="1"/>
    <col min="2" max="2" width="8.5703125" customWidth="1"/>
    <col min="3" max="5" width="8.28515625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23</v>
      </c>
      <c r="B1" t="s">
        <v>26</v>
      </c>
      <c r="C1" t="s">
        <v>27</v>
      </c>
      <c r="D1" t="s">
        <v>28</v>
      </c>
      <c r="E1" t="s">
        <v>29</v>
      </c>
    </row>
    <row r="2" spans="1:20" x14ac:dyDescent="0.25">
      <c r="A2">
        <v>0.49999952316284102</v>
      </c>
      <c r="B2" s="1">
        <v>3.0999544952456101E-2</v>
      </c>
      <c r="C2" s="1">
        <v>3.44847707189899E-6</v>
      </c>
      <c r="D2" s="1">
        <v>5.1333682844720797E-3</v>
      </c>
      <c r="E2" s="1">
        <v>7.0968417200720005E-5</v>
      </c>
      <c r="K2" s="1"/>
      <c r="T2" s="1"/>
    </row>
    <row r="3" spans="1:20" x14ac:dyDescent="0.25">
      <c r="A3">
        <v>1.5449970960617001</v>
      </c>
      <c r="B3" s="1">
        <v>0.29562991850510001</v>
      </c>
      <c r="C3" s="1">
        <v>6.5083344513550297E-5</v>
      </c>
      <c r="D3" s="1">
        <v>3.8158404795250601E-2</v>
      </c>
      <c r="E3" s="1">
        <v>1.4803763219110801E-3</v>
      </c>
      <c r="K3" s="1"/>
      <c r="T3" s="1"/>
    </row>
    <row r="4" spans="1:20" x14ac:dyDescent="0.25">
      <c r="A4">
        <v>2.6840418577194201</v>
      </c>
      <c r="B4" s="1">
        <v>0.88587259021578302</v>
      </c>
      <c r="C4" s="1">
        <v>4.6888890271643398E-4</v>
      </c>
      <c r="D4" s="1">
        <v>9.3232451113290093E-2</v>
      </c>
      <c r="E4" s="1">
        <v>8.3325899327246506E-3</v>
      </c>
      <c r="K4" s="1"/>
    </row>
    <row r="5" spans="1:20" x14ac:dyDescent="0.25">
      <c r="A5">
        <v>3.9256095886230402</v>
      </c>
      <c r="B5" s="1">
        <v>1.8492968582688301</v>
      </c>
      <c r="C5" s="1">
        <v>1.7094635816582401E-3</v>
      </c>
      <c r="D5" s="1">
        <v>0.161040586578275</v>
      </c>
      <c r="E5" s="1">
        <v>2.60442457067489E-2</v>
      </c>
      <c r="K5" s="1"/>
    </row>
    <row r="6" spans="1:20" x14ac:dyDescent="0.25">
      <c r="A6">
        <v>5.2789181470870901</v>
      </c>
      <c r="B6" s="1">
        <v>3.1680056150645899</v>
      </c>
      <c r="C6" s="1">
        <v>4.4555573869649303E-3</v>
      </c>
      <c r="D6" s="1">
        <v>0.233822402993036</v>
      </c>
      <c r="E6" s="1">
        <v>6.0267275036632699E-2</v>
      </c>
      <c r="K6" s="1"/>
    </row>
    <row r="7" spans="1:20" x14ac:dyDescent="0.25">
      <c r="A7">
        <v>6.7540258169174097</v>
      </c>
      <c r="B7" s="1">
        <v>4.7153763573540299</v>
      </c>
      <c r="C7" s="1">
        <v>9.4792673071642606E-3</v>
      </c>
      <c r="D7" s="1">
        <v>0.30639129829405498</v>
      </c>
      <c r="E7" s="1">
        <v>0.11429292011049599</v>
      </c>
      <c r="K7" s="1"/>
    </row>
    <row r="8" spans="1:20" x14ac:dyDescent="0.25">
      <c r="A8">
        <v>8.3618760108947701</v>
      </c>
      <c r="B8" s="1">
        <v>6.2627809295402797</v>
      </c>
      <c r="C8" s="1">
        <v>1.7574258574665099E-2</v>
      </c>
      <c r="D8" s="1">
        <v>0.37626751024023303</v>
      </c>
      <c r="E8" s="1">
        <v>0.18655860655994599</v>
      </c>
      <c r="K8" s="1"/>
    </row>
    <row r="9" spans="1:20" x14ac:dyDescent="0.25">
      <c r="A9">
        <v>10.1144403219223</v>
      </c>
      <c r="B9" s="1">
        <v>7.5569187634404704</v>
      </c>
      <c r="C9" s="1">
        <v>2.9467649931700701E-2</v>
      </c>
      <c r="D9" s="1">
        <v>0.44250485190411498</v>
      </c>
      <c r="E9" s="1">
        <v>0.27024472567619501</v>
      </c>
      <c r="K9" s="1"/>
    </row>
    <row r="10" spans="1:20" x14ac:dyDescent="0.25">
      <c r="A10">
        <v>12.024745345115599</v>
      </c>
      <c r="B10" s="1">
        <v>8.4216288488734392</v>
      </c>
      <c r="C10" s="1">
        <v>4.5776541193382501E-2</v>
      </c>
      <c r="D10" s="1">
        <v>0.504263008812605</v>
      </c>
      <c r="E10" s="1">
        <v>0.35581938197859497</v>
      </c>
      <c r="K10" s="1"/>
    </row>
    <row r="11" spans="1:20" x14ac:dyDescent="0.25">
      <c r="A11">
        <v>14.106971025466899</v>
      </c>
      <c r="B11" s="1">
        <v>8.8086070220623096</v>
      </c>
      <c r="C11" s="1">
        <v>6.6997520168678507E-2</v>
      </c>
      <c r="D11" s="1">
        <v>0.56032654110544799</v>
      </c>
      <c r="E11" s="1">
        <v>0.43474248686585298</v>
      </c>
      <c r="K11" s="1"/>
    </row>
    <row r="12" spans="1:20" x14ac:dyDescent="0.25">
      <c r="A12">
        <v>16.3766205310821</v>
      </c>
      <c r="B12" s="1">
        <v>8.7752386457048299</v>
      </c>
      <c r="C12" s="1">
        <v>9.3442095655901294E-2</v>
      </c>
      <c r="D12" s="1">
        <v>0.60948507780593297</v>
      </c>
      <c r="E12" s="1">
        <v>0.50173147954812702</v>
      </c>
      <c r="K12" s="1"/>
    </row>
    <row r="13" spans="1:20" x14ac:dyDescent="0.25">
      <c r="A13">
        <v>18.850511312484699</v>
      </c>
      <c r="B13" s="1">
        <v>8.4289827067058507</v>
      </c>
      <c r="C13" s="1">
        <v>0.12511148586739401</v>
      </c>
      <c r="D13" s="1">
        <v>0.65102729492497102</v>
      </c>
      <c r="E13" s="1">
        <v>0.55478342289850102</v>
      </c>
      <c r="K13" s="1"/>
    </row>
    <row r="14" spans="1:20" x14ac:dyDescent="0.25">
      <c r="A14">
        <v>21.5470612049102</v>
      </c>
      <c r="B14" s="1">
        <v>7.8809849786046797</v>
      </c>
      <c r="C14" s="1">
        <v>0.161611228045349</v>
      </c>
      <c r="D14" s="1">
        <v>0.68491936256575803</v>
      </c>
      <c r="E14" s="1">
        <v>0.59408838604744496</v>
      </c>
      <c r="K14" s="1"/>
    </row>
    <row r="15" spans="1:20" x14ac:dyDescent="0.25">
      <c r="A15">
        <v>24.4862973690032</v>
      </c>
      <c r="B15" s="1">
        <v>7.22298093958105</v>
      </c>
      <c r="C15" s="1">
        <v>0.202121451280137</v>
      </c>
      <c r="D15" s="1">
        <v>0.71154326731141104</v>
      </c>
      <c r="E15" s="1">
        <v>0.62090132374295404</v>
      </c>
      <c r="K15" s="1"/>
    </row>
    <row r="16" spans="1:20" x14ac:dyDescent="0.25">
      <c r="A16">
        <v>27.690052986145002</v>
      </c>
      <c r="B16" s="1">
        <v>6.5220044181324504</v>
      </c>
      <c r="C16" s="1">
        <v>0.245415597773564</v>
      </c>
      <c r="D16" s="1">
        <v>0.73133426102958599</v>
      </c>
      <c r="E16" s="1">
        <v>0.63682758780985504</v>
      </c>
      <c r="K16" s="1"/>
    </row>
    <row r="17" spans="1:11" x14ac:dyDescent="0.25">
      <c r="A17">
        <v>31.1821639537811</v>
      </c>
      <c r="B17" s="1">
        <v>5.8232696314349699</v>
      </c>
      <c r="C17" s="1">
        <v>0.28990412445638702</v>
      </c>
      <c r="D17" s="1">
        <v>0.74472294677761297</v>
      </c>
      <c r="E17" s="1">
        <v>0.64341556814408296</v>
      </c>
      <c r="K17" s="1"/>
    </row>
    <row r="18" spans="1:11" x14ac:dyDescent="0.25">
      <c r="A18">
        <v>34.988558292388902</v>
      </c>
      <c r="B18" s="1">
        <v>5.1550314885305202</v>
      </c>
      <c r="C18" s="1">
        <v>0.333707035631302</v>
      </c>
      <c r="D18" s="1">
        <v>0.75203905402980697</v>
      </c>
      <c r="E18" s="1">
        <v>0.64193948685207802</v>
      </c>
      <c r="K18" s="1"/>
    </row>
    <row r="19" spans="1:11" x14ac:dyDescent="0.25">
      <c r="A19">
        <v>39.137506484985302</v>
      </c>
      <c r="B19" s="1">
        <v>4.5338496118850902</v>
      </c>
      <c r="C19" s="1">
        <v>0.37478896451866001</v>
      </c>
      <c r="D19" s="1">
        <v>0.75345447674856902</v>
      </c>
      <c r="E19" s="1">
        <v>0.63347198690352902</v>
      </c>
      <c r="K19" s="1"/>
    </row>
    <row r="20" spans="1:11" x14ac:dyDescent="0.25">
      <c r="A20">
        <v>43.659898638725203</v>
      </c>
      <c r="B20" s="1">
        <v>3.9685009553873898</v>
      </c>
      <c r="C20" s="1">
        <v>0.41105055318467698</v>
      </c>
      <c r="D20" s="1">
        <v>0.74937707802748699</v>
      </c>
      <c r="E20" s="1">
        <v>0.61876191882868203</v>
      </c>
      <c r="K20" s="1"/>
    </row>
    <row r="21" spans="1:11" x14ac:dyDescent="0.25">
      <c r="A21">
        <v>48.589280247688201</v>
      </c>
      <c r="B21" s="1">
        <v>3.4611452554955999</v>
      </c>
      <c r="C21" s="1">
        <v>0.440526979146106</v>
      </c>
      <c r="D21" s="1">
        <v>0.73967590704085195</v>
      </c>
      <c r="E21" s="1">
        <v>0.59830356878531099</v>
      </c>
      <c r="K21" s="1"/>
    </row>
    <row r="22" spans="1:11" x14ac:dyDescent="0.25">
      <c r="A22">
        <v>53.962334990501397</v>
      </c>
      <c r="B22" s="1">
        <v>3.0109844851076502</v>
      </c>
      <c r="C22" s="1">
        <v>0.46140977117288801</v>
      </c>
      <c r="D22" s="1">
        <v>0.72375311557925204</v>
      </c>
      <c r="E22" s="1">
        <v>0.57256299401067601</v>
      </c>
      <c r="K22" s="1"/>
    </row>
    <row r="23" spans="1:11" x14ac:dyDescent="0.25">
      <c r="A23">
        <v>59.818929433822603</v>
      </c>
      <c r="B23" s="1">
        <v>2.6153935786549898</v>
      </c>
      <c r="C23" s="1">
        <v>0.47229554864529</v>
      </c>
      <c r="D23" s="1">
        <v>0.70090762944021201</v>
      </c>
      <c r="E23" s="1">
        <v>0.54185183282566696</v>
      </c>
      <c r="K23" s="1"/>
    </row>
    <row r="24" spans="1:11" x14ac:dyDescent="0.25">
      <c r="A24">
        <v>66.202640533447195</v>
      </c>
      <c r="B24" s="1">
        <v>2.26909529627524</v>
      </c>
      <c r="C24" s="1">
        <v>0.47248407750728</v>
      </c>
      <c r="D24" s="1">
        <v>0.67104876881756303</v>
      </c>
      <c r="E24" s="1">
        <v>0.50636191866828495</v>
      </c>
      <c r="K24" s="1"/>
    </row>
    <row r="25" spans="1:11" x14ac:dyDescent="0.25">
      <c r="A25">
        <v>73.160880804061804</v>
      </c>
      <c r="B25" s="1">
        <v>1.9654820542171501</v>
      </c>
      <c r="C25" s="1">
        <v>0.46218623451625401</v>
      </c>
      <c r="D25" s="1">
        <v>0.633224087692843</v>
      </c>
      <c r="E25" s="1">
        <v>0.46637652091450199</v>
      </c>
      <c r="K25" s="1"/>
    </row>
    <row r="26" spans="1:11" x14ac:dyDescent="0.25">
      <c r="A26">
        <v>80.745358765125204</v>
      </c>
      <c r="B26" s="1">
        <v>1.69707061209599</v>
      </c>
      <c r="C26" s="1">
        <v>0.44278798125567798</v>
      </c>
      <c r="D26" s="1">
        <v>0.58724679350671305</v>
      </c>
      <c r="E26" s="1">
        <v>0.42165919435014898</v>
      </c>
      <c r="K26" s="1"/>
    </row>
    <row r="27" spans="1:11" x14ac:dyDescent="0.25">
      <c r="A27">
        <v>89.012441039085303</v>
      </c>
      <c r="B27" s="1">
        <v>1.45709667084384</v>
      </c>
      <c r="C27" s="1">
        <v>0.41610092550233202</v>
      </c>
      <c r="D27" s="1">
        <v>0.53432137621077702</v>
      </c>
      <c r="E27" s="1">
        <v>0.371985619874729</v>
      </c>
      <c r="K27" s="1"/>
    </row>
    <row r="28" spans="1:11" x14ac:dyDescent="0.25">
      <c r="A28">
        <v>98.0235546827316</v>
      </c>
      <c r="B28" s="1">
        <v>1.2394842913791</v>
      </c>
      <c r="C28" s="1">
        <v>0.38408599706094199</v>
      </c>
      <c r="D28" s="1">
        <v>0.47691064109040798</v>
      </c>
      <c r="E28" s="1">
        <v>0.31716903293378401</v>
      </c>
      <c r="K28" s="1"/>
    </row>
    <row r="29" spans="1:11" x14ac:dyDescent="0.25">
      <c r="A29">
        <v>107.845674455165</v>
      </c>
      <c r="B29" s="1">
        <v>1.0422124174165499</v>
      </c>
      <c r="C29" s="1">
        <v>0.34938632464860497</v>
      </c>
      <c r="D29" s="1">
        <v>0.41904250224115003</v>
      </c>
      <c r="E29" s="1">
        <v>0.25713905726020397</v>
      </c>
      <c r="K29" s="1"/>
    </row>
    <row r="30" spans="1:11" x14ac:dyDescent="0.25">
      <c r="A30">
        <v>118.551787734031</v>
      </c>
      <c r="B30" s="1">
        <v>0.87085620474752401</v>
      </c>
      <c r="C30" s="1">
        <v>0.315180266276886</v>
      </c>
      <c r="D30" s="1">
        <v>0.36600607359510601</v>
      </c>
      <c r="E30" s="1">
        <v>0.19159258201950499</v>
      </c>
      <c r="K30" s="1"/>
    </row>
    <row r="31" spans="1:11" x14ac:dyDescent="0.25">
      <c r="A31">
        <v>130.22144660353601</v>
      </c>
      <c r="B31" s="1">
        <v>0.73577303474102995</v>
      </c>
      <c r="C31" s="1">
        <v>0.28629443526057202</v>
      </c>
      <c r="D31" s="1">
        <v>0.32347284773583501</v>
      </c>
      <c r="E31" s="1">
        <v>0.12000451568430801</v>
      </c>
      <c r="K31" s="1"/>
    </row>
    <row r="32" spans="1:11" x14ac:dyDescent="0.25">
      <c r="A32">
        <v>143.15376933664001</v>
      </c>
      <c r="B32" s="1">
        <v>0.65486121920663798</v>
      </c>
      <c r="C32" s="1">
        <v>0.26897403218481902</v>
      </c>
      <c r="D32" s="1">
        <v>0.29800280011610503</v>
      </c>
      <c r="E32" s="1">
        <v>4.0465411923841697E-2</v>
      </c>
      <c r="K32" s="1"/>
    </row>
    <row r="33" spans="11:11" x14ac:dyDescent="0.25">
      <c r="K33" s="1"/>
    </row>
    <row r="34" spans="11:11" x14ac:dyDescent="0.25">
      <c r="K34" s="1"/>
    </row>
    <row r="35" spans="11:11" x14ac:dyDescent="0.25">
      <c r="K35" s="1"/>
    </row>
    <row r="36" spans="11:11" x14ac:dyDescent="0.25">
      <c r="K36" s="1"/>
    </row>
    <row r="37" spans="11:11" x14ac:dyDescent="0.25">
      <c r="K37" s="1"/>
    </row>
    <row r="38" spans="11:11" x14ac:dyDescent="0.25">
      <c r="K38" s="1"/>
    </row>
    <row r="39" spans="11:11" x14ac:dyDescent="0.25">
      <c r="K39" s="1"/>
    </row>
    <row r="40" spans="11:11" x14ac:dyDescent="0.25">
      <c r="K40" s="1"/>
    </row>
    <row r="41" spans="11:11" x14ac:dyDescent="0.25">
      <c r="K41" s="1"/>
    </row>
    <row r="42" spans="11:11" x14ac:dyDescent="0.25">
      <c r="K42" s="1"/>
    </row>
    <row r="43" spans="11:11" x14ac:dyDescent="0.25">
      <c r="K43" s="1"/>
    </row>
    <row r="44" spans="11:11" x14ac:dyDescent="0.25">
      <c r="K44" s="1"/>
    </row>
    <row r="45" spans="11:11" x14ac:dyDescent="0.25">
      <c r="K45" s="1"/>
    </row>
    <row r="46" spans="11:11" x14ac:dyDescent="0.25">
      <c r="K46" s="1"/>
    </row>
    <row r="47" spans="11:11" x14ac:dyDescent="0.25">
      <c r="K47" s="1"/>
    </row>
    <row r="48" spans="1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1" width="12" customWidth="1"/>
    <col min="2" max="2" width="8.28515625" customWidth="1"/>
    <col min="3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23</v>
      </c>
      <c r="B1" t="s">
        <v>30</v>
      </c>
      <c r="C1" t="s">
        <v>31</v>
      </c>
      <c r="D1" t="s">
        <v>0</v>
      </c>
      <c r="G1" t="s">
        <v>4</v>
      </c>
      <c r="H1" t="s">
        <v>5</v>
      </c>
      <c r="I1" t="s">
        <v>6</v>
      </c>
    </row>
    <row r="2" spans="1:9" x14ac:dyDescent="0.25">
      <c r="A2">
        <v>0.49999952316284102</v>
      </c>
      <c r="B2" s="1">
        <v>0.141010222487614</v>
      </c>
      <c r="C2" s="1">
        <v>3.3417263919845E-7</v>
      </c>
      <c r="D2" s="1">
        <f>-B2-C2</f>
        <v>-0.14101055666025319</v>
      </c>
      <c r="F2" s="1"/>
      <c r="G2" s="2">
        <f>D2-A2*(D3-D2)/(A3-A2)</f>
        <v>-0.14351287789010303</v>
      </c>
      <c r="H2">
        <f>DNS!BE4</f>
        <v>-0.16163873271391738</v>
      </c>
      <c r="I2" s="1">
        <f>100*(H2-G2)/H2</f>
        <v>11.213806566953911</v>
      </c>
    </row>
    <row r="3" spans="1:9" x14ac:dyDescent="0.25">
      <c r="A3">
        <v>1.5449970960617001</v>
      </c>
      <c r="B3" s="1">
        <v>0.13577564781322901</v>
      </c>
      <c r="C3" s="1">
        <v>5.0646358433353E-6</v>
      </c>
      <c r="D3" s="1">
        <f t="shared" ref="D3:D32" si="0">-B3-C3</f>
        <v>-0.13578071244907233</v>
      </c>
    </row>
    <row r="4" spans="1:9" x14ac:dyDescent="0.25">
      <c r="A4">
        <v>2.6840418577194201</v>
      </c>
      <c r="B4" s="1">
        <v>0.13063876717412001</v>
      </c>
      <c r="C4" s="1">
        <v>2.54530637061325E-5</v>
      </c>
      <c r="D4" s="1">
        <f t="shared" si="0"/>
        <v>-0.13066422023782615</v>
      </c>
    </row>
    <row r="5" spans="1:9" x14ac:dyDescent="0.25">
      <c r="A5">
        <v>3.9256095886230402</v>
      </c>
      <c r="B5" s="1">
        <v>0.123130607355475</v>
      </c>
      <c r="C5" s="1">
        <v>6.5459613331461802E-5</v>
      </c>
      <c r="D5" s="1">
        <f t="shared" si="0"/>
        <v>-0.12319606696880646</v>
      </c>
    </row>
    <row r="6" spans="1:9" x14ac:dyDescent="0.25">
      <c r="A6">
        <v>5.2789181470870901</v>
      </c>
      <c r="B6" s="1">
        <v>0.112497549391832</v>
      </c>
      <c r="C6" s="1">
        <v>1.3077842804376299E-4</v>
      </c>
      <c r="D6" s="1">
        <f t="shared" si="0"/>
        <v>-0.11262832781987576</v>
      </c>
    </row>
    <row r="7" spans="1:9" x14ac:dyDescent="0.25">
      <c r="A7">
        <v>6.7540258169174097</v>
      </c>
      <c r="B7" s="1">
        <v>0.10093979567980101</v>
      </c>
      <c r="C7">
        <v>3.16286039781391E-4</v>
      </c>
      <c r="D7" s="1">
        <f t="shared" si="0"/>
        <v>-0.10125608171958239</v>
      </c>
    </row>
    <row r="8" spans="1:9" x14ac:dyDescent="0.25">
      <c r="A8">
        <v>8.3618760108947701</v>
      </c>
      <c r="B8" s="1">
        <v>9.2352491080214705E-2</v>
      </c>
      <c r="C8">
        <v>1.0112212430416099E-3</v>
      </c>
      <c r="D8" s="1">
        <f t="shared" si="0"/>
        <v>-9.3363712323256312E-2</v>
      </c>
    </row>
    <row r="9" spans="1:9" x14ac:dyDescent="0.25">
      <c r="A9">
        <v>10.1144403219223</v>
      </c>
      <c r="B9" s="1">
        <v>8.8836362870584107E-2</v>
      </c>
      <c r="C9">
        <v>2.82603165048337E-3</v>
      </c>
      <c r="D9" s="1">
        <f t="shared" si="0"/>
        <v>-9.1662394521067475E-2</v>
      </c>
    </row>
    <row r="10" spans="1:9" x14ac:dyDescent="0.25">
      <c r="A10">
        <v>12.024745345115599</v>
      </c>
      <c r="B10" s="1">
        <v>8.9067741965249303E-2</v>
      </c>
      <c r="C10">
        <v>5.4525957637556301E-3</v>
      </c>
      <c r="D10" s="1">
        <f t="shared" si="0"/>
        <v>-9.4520337729004936E-2</v>
      </c>
    </row>
    <row r="11" spans="1:9" x14ac:dyDescent="0.25">
      <c r="A11">
        <v>14.106971025466899</v>
      </c>
      <c r="B11" s="1">
        <v>9.0036656965149897E-2</v>
      </c>
      <c r="C11">
        <v>7.4054547066909901E-3</v>
      </c>
      <c r="D11" s="1">
        <f t="shared" si="0"/>
        <v>-9.7442111671840886E-2</v>
      </c>
    </row>
    <row r="12" spans="1:9" x14ac:dyDescent="0.25">
      <c r="A12">
        <v>16.3766205310821</v>
      </c>
      <c r="B12" s="1">
        <v>8.9401099019875196E-2</v>
      </c>
      <c r="C12">
        <v>7.7314845415993403E-3</v>
      </c>
      <c r="D12" s="1">
        <f t="shared" si="0"/>
        <v>-9.7132583561474542E-2</v>
      </c>
    </row>
    <row r="13" spans="1:9" x14ac:dyDescent="0.25">
      <c r="A13">
        <v>18.850511312484699</v>
      </c>
      <c r="B13" s="1">
        <v>8.6344629607978493E-2</v>
      </c>
      <c r="C13">
        <v>6.7298587520241201E-3</v>
      </c>
      <c r="D13" s="1">
        <f t="shared" si="0"/>
        <v>-9.3074488360002608E-2</v>
      </c>
    </row>
    <row r="14" spans="1:9" x14ac:dyDescent="0.25">
      <c r="A14">
        <v>21.5470612049102</v>
      </c>
      <c r="B14" s="1">
        <v>8.1187446435563096E-2</v>
      </c>
      <c r="C14">
        <v>5.1991995120373499E-3</v>
      </c>
      <c r="D14" s="1">
        <f t="shared" si="0"/>
        <v>-8.6386645947600441E-2</v>
      </c>
    </row>
    <row r="15" spans="1:9" x14ac:dyDescent="0.25">
      <c r="A15">
        <v>24.4862973690032</v>
      </c>
      <c r="B15" s="1">
        <v>7.46935564768344E-2</v>
      </c>
      <c r="C15">
        <v>3.7695165627942102E-3</v>
      </c>
      <c r="D15" s="1">
        <f t="shared" si="0"/>
        <v>-7.8463073039628614E-2</v>
      </c>
    </row>
    <row r="16" spans="1:9" x14ac:dyDescent="0.25">
      <c r="A16">
        <v>27.690052986145002</v>
      </c>
      <c r="B16" s="1">
        <v>6.7604644796826499E-2</v>
      </c>
      <c r="C16">
        <v>2.7290869010439698E-3</v>
      </c>
      <c r="D16" s="1">
        <f t="shared" si="0"/>
        <v>-7.0333731697870466E-2</v>
      </c>
    </row>
    <row r="17" spans="1:16" x14ac:dyDescent="0.25">
      <c r="A17">
        <v>31.1821639537811</v>
      </c>
      <c r="B17" s="1">
        <v>6.0460479999427497E-2</v>
      </c>
      <c r="C17">
        <v>2.1449368815004599E-3</v>
      </c>
      <c r="D17" s="1">
        <f t="shared" si="0"/>
        <v>-6.2605416880927953E-2</v>
      </c>
    </row>
    <row r="18" spans="1:16" x14ac:dyDescent="0.25">
      <c r="A18">
        <v>34.988558292388902</v>
      </c>
      <c r="B18" s="1">
        <v>5.3615127373747497E-2</v>
      </c>
      <c r="C18">
        <v>1.9425036984499499E-3</v>
      </c>
      <c r="D18" s="1">
        <f t="shared" si="0"/>
        <v>-5.5557631072197446E-2</v>
      </c>
    </row>
    <row r="19" spans="1:16" x14ac:dyDescent="0.25">
      <c r="A19">
        <v>39.137506484985302</v>
      </c>
      <c r="B19" s="1">
        <v>4.7233875916564E-2</v>
      </c>
      <c r="C19">
        <v>2.00947286098409E-3</v>
      </c>
      <c r="D19" s="1">
        <f t="shared" si="0"/>
        <v>-4.9243348777548088E-2</v>
      </c>
    </row>
    <row r="20" spans="1:16" x14ac:dyDescent="0.25">
      <c r="A20">
        <v>43.659898638725203</v>
      </c>
      <c r="B20" s="1">
        <v>4.1363834205310403E-2</v>
      </c>
      <c r="C20" s="1">
        <v>2.2433582752083899E-3</v>
      </c>
      <c r="D20" s="1">
        <f t="shared" si="0"/>
        <v>-4.3607192480518794E-2</v>
      </c>
    </row>
    <row r="21" spans="1:16" x14ac:dyDescent="0.25">
      <c r="A21">
        <v>48.589280247688201</v>
      </c>
      <c r="B21" s="1">
        <v>3.6034443693062697E-2</v>
      </c>
      <c r="C21">
        <v>2.5442879594276499E-3</v>
      </c>
      <c r="D21" s="1">
        <f t="shared" si="0"/>
        <v>-3.8578731652490345E-2</v>
      </c>
    </row>
    <row r="22" spans="1:16" x14ac:dyDescent="0.25">
      <c r="A22">
        <v>53.962334990501397</v>
      </c>
      <c r="B22" s="1">
        <v>3.1192336254371299E-2</v>
      </c>
      <c r="C22">
        <v>2.8081618981492802E-3</v>
      </c>
      <c r="D22" s="1">
        <f t="shared" si="0"/>
        <v>-3.4000498152520577E-2</v>
      </c>
    </row>
    <row r="23" spans="1:16" x14ac:dyDescent="0.25">
      <c r="A23">
        <v>59.818929433822603</v>
      </c>
      <c r="B23" s="1">
        <v>2.67603012032041E-2</v>
      </c>
      <c r="C23" s="1">
        <v>2.9346625855641698E-3</v>
      </c>
      <c r="D23" s="1">
        <f t="shared" si="0"/>
        <v>-2.9694963788768271E-2</v>
      </c>
    </row>
    <row r="24" spans="1:16" x14ac:dyDescent="0.25">
      <c r="A24">
        <v>66.202640533447195</v>
      </c>
      <c r="B24" s="1">
        <v>2.2681655957056599E-2</v>
      </c>
      <c r="C24">
        <v>2.87665186737141E-3</v>
      </c>
      <c r="D24" s="1">
        <f t="shared" si="0"/>
        <v>-2.5558307824428007E-2</v>
      </c>
    </row>
    <row r="25" spans="1:16" x14ac:dyDescent="0.25">
      <c r="A25">
        <v>73.160880804061804</v>
      </c>
      <c r="B25" s="1">
        <v>1.89749556041885E-2</v>
      </c>
      <c r="C25">
        <v>2.6653865299775298E-3</v>
      </c>
      <c r="D25" s="1">
        <f t="shared" si="0"/>
        <v>-2.1640342134166029E-2</v>
      </c>
    </row>
    <row r="26" spans="1:16" x14ac:dyDescent="0.25">
      <c r="A26">
        <v>80.745358765125204</v>
      </c>
      <c r="B26" s="1">
        <v>1.5667626540026701E-2</v>
      </c>
      <c r="C26">
        <v>2.38017693775751E-3</v>
      </c>
      <c r="D26" s="1">
        <f t="shared" si="0"/>
        <v>-1.8047803477784209E-2</v>
      </c>
    </row>
    <row r="27" spans="1:16" x14ac:dyDescent="0.25">
      <c r="A27">
        <v>89.012441039085303</v>
      </c>
      <c r="B27" s="1">
        <v>1.2729419260589601E-2</v>
      </c>
      <c r="C27">
        <v>2.0278398904889899E-3</v>
      </c>
      <c r="D27" s="1">
        <f t="shared" si="0"/>
        <v>-1.4757259151078591E-2</v>
      </c>
    </row>
    <row r="28" spans="1:16" x14ac:dyDescent="0.25">
      <c r="A28">
        <v>98.0235546827316</v>
      </c>
      <c r="B28" s="1">
        <v>1.01631200167321E-2</v>
      </c>
      <c r="C28">
        <v>1.62081990184794E-3</v>
      </c>
      <c r="D28" s="1">
        <f t="shared" si="0"/>
        <v>-1.1783939918580039E-2</v>
      </c>
    </row>
    <row r="29" spans="1:16" x14ac:dyDescent="0.25">
      <c r="A29">
        <v>107.845674455165</v>
      </c>
      <c r="B29" s="1">
        <v>8.0066848215788692E-3</v>
      </c>
      <c r="C29">
        <v>1.2268204341788201E-3</v>
      </c>
      <c r="D29" s="1">
        <f t="shared" si="0"/>
        <v>-9.2335052557576888E-3</v>
      </c>
    </row>
    <row r="30" spans="1:16" x14ac:dyDescent="0.25">
      <c r="A30">
        <v>118.551787734031</v>
      </c>
      <c r="B30" s="1">
        <v>6.2768452357719797E-3</v>
      </c>
      <c r="C30">
        <v>8.5481266504770098E-4</v>
      </c>
      <c r="D30" s="1">
        <f t="shared" si="0"/>
        <v>-7.1316579008196806E-3</v>
      </c>
    </row>
    <row r="31" spans="1:16" x14ac:dyDescent="0.25">
      <c r="A31">
        <v>130.22144660353601</v>
      </c>
      <c r="B31" s="1">
        <v>5.0228213367178604E-3</v>
      </c>
      <c r="C31">
        <v>5.5610621664365495E-4</v>
      </c>
      <c r="D31" s="1">
        <f t="shared" si="0"/>
        <v>-5.5789275533615155E-3</v>
      </c>
    </row>
    <row r="32" spans="1:16" x14ac:dyDescent="0.25">
      <c r="A32">
        <v>143.15376933664001</v>
      </c>
      <c r="B32" s="1">
        <v>4.38602799896447E-3</v>
      </c>
      <c r="C32">
        <v>3.9330942526591498E-4</v>
      </c>
      <c r="D32" s="1">
        <f t="shared" si="0"/>
        <v>-4.779337424230385E-3</v>
      </c>
      <c r="L32" s="1"/>
      <c r="M32" s="1"/>
      <c r="P32" s="1"/>
    </row>
    <row r="33" spans="4:16" x14ac:dyDescent="0.25">
      <c r="D33" s="1"/>
      <c r="L33" s="1"/>
      <c r="M33" s="1"/>
    </row>
    <row r="34" spans="4:16" x14ac:dyDescent="0.25">
      <c r="D34" s="1"/>
      <c r="K34" s="1"/>
      <c r="L34" s="1"/>
      <c r="M34" s="1"/>
      <c r="N34" s="1"/>
    </row>
    <row r="35" spans="4:16" x14ac:dyDescent="0.25">
      <c r="D35" s="1"/>
      <c r="L35" s="1"/>
    </row>
    <row r="36" spans="4:16" x14ac:dyDescent="0.25">
      <c r="D36" s="1"/>
      <c r="L36" s="1"/>
      <c r="M36" s="1"/>
    </row>
    <row r="37" spans="4:16" x14ac:dyDescent="0.25">
      <c r="D37" s="1"/>
      <c r="L37" s="1"/>
      <c r="N37" s="2"/>
      <c r="O37" s="2"/>
      <c r="P37" s="1"/>
    </row>
    <row r="38" spans="4:16" x14ac:dyDescent="0.25">
      <c r="D38" s="1"/>
      <c r="N38" s="2"/>
      <c r="O38" s="2"/>
      <c r="P38" s="1"/>
    </row>
    <row r="39" spans="4:16" x14ac:dyDescent="0.25">
      <c r="D39" s="1"/>
      <c r="O39" s="1"/>
    </row>
    <row r="40" spans="4:16" x14ac:dyDescent="0.25">
      <c r="D40" s="1"/>
    </row>
    <row r="41" spans="4:16" x14ac:dyDescent="0.25">
      <c r="D41" s="1"/>
    </row>
    <row r="42" spans="4:16" x14ac:dyDescent="0.25">
      <c r="D42" s="1"/>
    </row>
    <row r="43" spans="4:16" x14ac:dyDescent="0.25">
      <c r="D43" s="1"/>
    </row>
    <row r="44" spans="4:16" x14ac:dyDescent="0.25">
      <c r="D44" s="1"/>
    </row>
    <row r="45" spans="4:16" x14ac:dyDescent="0.25">
      <c r="D45" s="1"/>
    </row>
    <row r="46" spans="4:16" x14ac:dyDescent="0.25">
      <c r="D46" s="1"/>
    </row>
    <row r="47" spans="4:16" x14ac:dyDescent="0.25">
      <c r="D47" s="1"/>
    </row>
    <row r="48" spans="4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682"/>
  <sheetViews>
    <sheetView topLeftCell="G1" workbookViewId="0">
      <selection activeCell="G1" sqref="G1"/>
    </sheetView>
  </sheetViews>
  <sheetFormatPr defaultRowHeight="15" x14ac:dyDescent="0.25"/>
  <cols>
    <col min="1" max="1" width="12" hidden="1" customWidth="1"/>
    <col min="2" max="4" width="9" hidden="1" customWidth="1"/>
    <col min="5" max="5" width="8.28515625" hidden="1" customWidth="1"/>
    <col min="6" max="6" width="5.28515625" hidden="1" customWidth="1"/>
    <col min="7" max="7" width="12" customWidth="1"/>
    <col min="8" max="8" width="12" bestFit="1" customWidth="1"/>
    <col min="9" max="9" width="12" customWidth="1"/>
    <col min="10" max="10" width="12" hidden="1" customWidth="1"/>
    <col min="11" max="11" width="12.7109375" hidden="1" customWidth="1"/>
    <col min="12" max="12" width="12" hidden="1" customWidth="1"/>
    <col min="13" max="15" width="12.7109375" hidden="1" customWidth="1"/>
    <col min="17" max="17" width="19" hidden="1" customWidth="1"/>
    <col min="18" max="20" width="12" hidden="1" customWidth="1"/>
    <col min="21" max="21" width="12.7109375" hidden="1" customWidth="1"/>
    <col min="22" max="22" width="12" hidden="1" customWidth="1"/>
    <col min="23" max="23" width="12.7109375" hidden="1" customWidth="1"/>
    <col min="24" max="24" width="12" hidden="1" customWidth="1"/>
    <col min="25" max="25" width="5.28515625" hidden="1" customWidth="1"/>
    <col min="26" max="29" width="12" customWidth="1"/>
    <col min="30" max="30" width="12.7109375" customWidth="1"/>
    <col min="31" max="34" width="12" customWidth="1"/>
    <col min="35" max="40" width="12" hidden="1" customWidth="1"/>
    <col min="41" max="41" width="12.7109375" hidden="1" customWidth="1"/>
    <col min="42" max="43" width="12" hidden="1" customWidth="1"/>
    <col min="44" max="44" width="6.28515625" hidden="1" customWidth="1"/>
    <col min="45" max="45" width="12" hidden="1" customWidth="1"/>
    <col min="46" max="46" width="13.7109375" hidden="1" customWidth="1"/>
    <col min="47" max="47" width="14.140625" hidden="1" customWidth="1"/>
    <col min="48" max="48" width="12" hidden="1" customWidth="1"/>
    <col min="50" max="50" width="12" customWidth="1"/>
    <col min="51" max="51" width="12.7109375" bestFit="1" customWidth="1"/>
    <col min="52" max="52" width="12" hidden="1" customWidth="1"/>
    <col min="53" max="56" width="12.7109375" hidden="1" customWidth="1"/>
    <col min="57" max="57" width="12.7109375" bestFit="1" customWidth="1"/>
    <col min="58" max="58" width="12" customWidth="1"/>
    <col min="59" max="59" width="12.7109375" bestFit="1" customWidth="1"/>
    <col min="60" max="63" width="12.7109375" hidden="1" customWidth="1"/>
    <col min="65" max="65" width="12" customWidth="1"/>
    <col min="66" max="66" width="12.7109375" bestFit="1" customWidth="1"/>
    <col min="67" max="67" width="12" hidden="1" customWidth="1"/>
    <col min="68" max="70" width="12.7109375" hidden="1" customWidth="1"/>
  </cols>
  <sheetData>
    <row r="1" spans="1:70" x14ac:dyDescent="0.25">
      <c r="P1" t="s">
        <v>3</v>
      </c>
    </row>
    <row r="2" spans="1:70" x14ac:dyDescent="0.25">
      <c r="B2" s="1"/>
      <c r="C2" s="1"/>
      <c r="D2" s="1"/>
      <c r="E2" s="1"/>
      <c r="BE2">
        <f>(Table__150_diric[[#This Row],[F2]]+Table__150_diric_3[[#This Row],[F2]]+Table__150_diric_4[[#This Row],[F2]])/2</f>
        <v>0</v>
      </c>
    </row>
    <row r="3" spans="1:70" x14ac:dyDescent="0.25">
      <c r="B3" s="1"/>
      <c r="C3" s="1"/>
      <c r="D3" s="1"/>
      <c r="E3" s="1"/>
      <c r="BE3">
        <f>(Table__150_diric[[#This Row],[F2]]+Table__150_diric_3[[#This Row],[F2]]+Table__150_diric_4[[#This Row],[F2]])/2</f>
        <v>0</v>
      </c>
    </row>
    <row r="4" spans="1:70" x14ac:dyDescent="0.25">
      <c r="B4" s="1"/>
      <c r="C4" s="1"/>
      <c r="D4" s="1"/>
      <c r="E4" s="1"/>
      <c r="AX4">
        <v>0</v>
      </c>
      <c r="AY4">
        <v>-0.25408766691040002</v>
      </c>
      <c r="AZ4">
        <v>0</v>
      </c>
      <c r="BA4">
        <v>1.2989164482483001E-8</v>
      </c>
      <c r="BB4">
        <v>2.3177016932545002E-4</v>
      </c>
      <c r="BC4">
        <v>0.25156148069839002</v>
      </c>
      <c r="BD4">
        <v>-2.2944030535157998E-3</v>
      </c>
      <c r="BE4">
        <f>(Table__150_diric[[#This Row],[F2]]+Table__150_diric_3[[#This Row],[F2]]+Table__150_diric_4[[#This Row],[F2]])/2</f>
        <v>-0.16163873271391738</v>
      </c>
      <c r="BF4">
        <v>0</v>
      </c>
      <c r="BG4">
        <v>-1.0385239487759E-5</v>
      </c>
      <c r="BH4">
        <v>0</v>
      </c>
      <c r="BI4">
        <v>-1.2644919024955999E-7</v>
      </c>
      <c r="BJ4">
        <v>-5.2839802423615008E-5</v>
      </c>
      <c r="BK4">
        <v>-6.3351491101623002E-5</v>
      </c>
      <c r="BM4">
        <v>0</v>
      </c>
      <c r="BN4">
        <v>-6.9179413277946994E-2</v>
      </c>
      <c r="BO4">
        <v>8.8303530358723006E-9</v>
      </c>
      <c r="BP4">
        <v>-1.0005500122700001E-5</v>
      </c>
      <c r="BQ4">
        <v>6.7918245882883005E-2</v>
      </c>
      <c r="BR4">
        <v>-1.2711640648335001E-3</v>
      </c>
    </row>
    <row r="5" spans="1:70" x14ac:dyDescent="0.25">
      <c r="B5" s="1"/>
      <c r="C5" s="1"/>
      <c r="D5" s="1"/>
      <c r="E5" s="1"/>
      <c r="AT5" t="s">
        <v>1</v>
      </c>
      <c r="AU5" t="s">
        <v>2</v>
      </c>
      <c r="AX5">
        <v>0.49326223639939004</v>
      </c>
      <c r="AY5">
        <v>-0.25242102170203001</v>
      </c>
      <c r="AZ5">
        <v>1.2931959241594001E-4</v>
      </c>
      <c r="BA5">
        <v>1.2568913425138001E-3</v>
      </c>
      <c r="BB5">
        <v>1.5440469955400001E-4</v>
      </c>
      <c r="BC5">
        <v>0.25101556809509001</v>
      </c>
      <c r="BD5">
        <v>1.3516202754404002E-4</v>
      </c>
      <c r="BE5">
        <f>(Table__150_diric[[#This Row],[F2]]+Table__150_diric_3[[#This Row],[F2]]+Table__150_diric_4[[#This Row],[F2]])/2</f>
        <v>-0.15379831557976009</v>
      </c>
      <c r="BF5">
        <v>0.49326223639939004</v>
      </c>
      <c r="BG5">
        <v>-1.1737224511316001E-4</v>
      </c>
      <c r="BH5">
        <v>-5.5215788330103005E-5</v>
      </c>
      <c r="BI5">
        <v>2.7359160976141999E-8</v>
      </c>
      <c r="BJ5">
        <v>1.6957223333715003E-4</v>
      </c>
      <c r="BK5">
        <v>-2.9884409451402998E-6</v>
      </c>
      <c r="BM5">
        <v>0.49326223639939004</v>
      </c>
      <c r="BN5">
        <v>-5.5058237212377001E-2</v>
      </c>
      <c r="BO5">
        <v>7.0456827904491004E-3</v>
      </c>
      <c r="BP5">
        <v>-7.8086517623570994E-6</v>
      </c>
      <c r="BQ5">
        <v>4.8187419638479001E-2</v>
      </c>
      <c r="BR5">
        <v>1.6705656478882002E-4</v>
      </c>
    </row>
    <row r="6" spans="1:70" x14ac:dyDescent="0.25">
      <c r="A6">
        <v>0</v>
      </c>
      <c r="B6" s="1">
        <v>1.1126491719178001E-26</v>
      </c>
      <c r="C6" s="1">
        <v>0</v>
      </c>
      <c r="D6" s="1">
        <v>1.0467592566604001E-26</v>
      </c>
      <c r="E6" s="1">
        <v>0</v>
      </c>
      <c r="G6">
        <v>0</v>
      </c>
      <c r="H6">
        <v>1.7023898581632001E-25</v>
      </c>
      <c r="I6">
        <v>0</v>
      </c>
      <c r="J6">
        <v>0</v>
      </c>
      <c r="K6">
        <v>-1.4453426794322E-26</v>
      </c>
      <c r="L6">
        <v>0</v>
      </c>
      <c r="M6">
        <v>0</v>
      </c>
      <c r="N6">
        <v>1</v>
      </c>
      <c r="O6">
        <v>0.71</v>
      </c>
      <c r="Q6">
        <v>0</v>
      </c>
      <c r="R6">
        <v>1.078510653181E-12</v>
      </c>
      <c r="S6">
        <v>0</v>
      </c>
      <c r="T6">
        <v>7.3045871651703004E-13</v>
      </c>
      <c r="U6">
        <v>0</v>
      </c>
      <c r="V6">
        <v>0</v>
      </c>
      <c r="W6">
        <v>0</v>
      </c>
      <c r="X6">
        <v>0</v>
      </c>
      <c r="Z6">
        <v>0</v>
      </c>
      <c r="AA6">
        <v>2.5247942234526E-10</v>
      </c>
      <c r="AB6">
        <v>0</v>
      </c>
      <c r="AC6">
        <v>1.7100043865985E-10</v>
      </c>
      <c r="AD6">
        <v>0</v>
      </c>
      <c r="AE6">
        <v>0</v>
      </c>
      <c r="AF6">
        <v>0</v>
      </c>
      <c r="AG6">
        <v>0</v>
      </c>
      <c r="AH6">
        <v>2.0847170129928001</v>
      </c>
      <c r="AI6">
        <v>0</v>
      </c>
      <c r="AJ6">
        <v>2.5093354981492002E-10</v>
      </c>
      <c r="AK6">
        <v>0</v>
      </c>
      <c r="AL6">
        <v>1.7068470790704E-10</v>
      </c>
      <c r="AM6">
        <v>0</v>
      </c>
      <c r="AN6">
        <v>0</v>
      </c>
      <c r="AO6">
        <v>0</v>
      </c>
      <c r="AP6">
        <v>0</v>
      </c>
      <c r="AQ6">
        <v>2.0913238234324001</v>
      </c>
      <c r="AS6">
        <v>0</v>
      </c>
      <c r="AV6">
        <v>2.0160024348741001</v>
      </c>
      <c r="AX6">
        <v>0.98676199877202009</v>
      </c>
      <c r="AY6">
        <v>-0.25206681983491003</v>
      </c>
      <c r="AZ6">
        <v>1.312474737373E-3</v>
      </c>
      <c r="BA6">
        <v>1.4846098794918001E-3</v>
      </c>
      <c r="BB6">
        <v>1.8490466444505001E-3</v>
      </c>
      <c r="BC6">
        <v>0.24744504471318002</v>
      </c>
      <c r="BD6">
        <v>2.4356139582710003E-5</v>
      </c>
      <c r="BE6">
        <f>(Table__150_diric[[#This Row],[F2]]+Table__150_diric_3[[#This Row],[F2]]+Table__150_diric_4[[#This Row],[F2]])/2</f>
        <v>-0.14856605753640942</v>
      </c>
      <c r="BF6">
        <v>0.98676199877202009</v>
      </c>
      <c r="BG6">
        <v>-3.8750479097382002E-4</v>
      </c>
      <c r="BH6">
        <v>-1.2229316423918E-4</v>
      </c>
      <c r="BI6">
        <v>-3.9542108869546001E-7</v>
      </c>
      <c r="BJ6">
        <v>5.152598103159E-4</v>
      </c>
      <c r="BK6">
        <v>5.0664340142029993E-6</v>
      </c>
      <c r="BM6">
        <v>0.98676199877202009</v>
      </c>
      <c r="BN6">
        <v>-4.4677790446934998E-2</v>
      </c>
      <c r="BO6">
        <v>1.2160151463632002E-2</v>
      </c>
      <c r="BP6">
        <v>-8.887812604682101E-5</v>
      </c>
      <c r="BQ6">
        <v>3.2614684202544E-2</v>
      </c>
      <c r="BR6">
        <v>8.1670931933868996E-6</v>
      </c>
    </row>
    <row r="7" spans="1:70" x14ac:dyDescent="0.25">
      <c r="A7">
        <v>3.3101204317063002E-3</v>
      </c>
      <c r="B7" s="1">
        <v>3.2192748039961E-2</v>
      </c>
      <c r="C7" s="1">
        <v>-1.3164579448780999E-20</v>
      </c>
      <c r="D7" s="1">
        <v>-6.0211923482710995E-6</v>
      </c>
      <c r="E7" s="1">
        <v>3.3096300903708003E-3</v>
      </c>
      <c r="G7">
        <v>0.49326223639939004</v>
      </c>
      <c r="H7">
        <v>0.49255964191455004</v>
      </c>
      <c r="I7">
        <v>0.35023061579996001</v>
      </c>
      <c r="J7">
        <v>0.49326833971353001</v>
      </c>
      <c r="K7">
        <v>0.49257137499450998</v>
      </c>
      <c r="L7">
        <v>0.35023892225969</v>
      </c>
      <c r="M7">
        <v>-2.1291277582878999E-6</v>
      </c>
      <c r="N7">
        <v>0.99700015336481007</v>
      </c>
      <c r="O7">
        <v>0.70998945461918006</v>
      </c>
      <c r="Q7">
        <v>3.3101204317063002E-3</v>
      </c>
      <c r="R7">
        <v>1.3143518299329999E-4</v>
      </c>
      <c r="S7">
        <v>9.378738674570301E-9</v>
      </c>
      <c r="T7">
        <v>3.1970477721188001E-5</v>
      </c>
      <c r="U7">
        <v>-2.7703686100722E-7</v>
      </c>
      <c r="V7">
        <v>1.3386284081207002E-5</v>
      </c>
      <c r="W7">
        <v>-2.8116842187842002E-8</v>
      </c>
      <c r="X7">
        <v>1.5725942148492E-6</v>
      </c>
      <c r="Z7">
        <v>0.49326223639939004</v>
      </c>
      <c r="AA7">
        <v>3.0768985897464001E-2</v>
      </c>
      <c r="AB7">
        <v>2.1955634057934E-6</v>
      </c>
      <c r="AC7">
        <v>7.4842911596094998E-3</v>
      </c>
      <c r="AD7">
        <v>6.4854349309524014E-5</v>
      </c>
      <c r="AE7">
        <v>2.1673820033535001E-2</v>
      </c>
      <c r="AF7">
        <v>4.5524162926299005E-5</v>
      </c>
      <c r="AG7">
        <v>1.7610268448881E-2</v>
      </c>
      <c r="AH7">
        <v>2.0786408508938998</v>
      </c>
      <c r="AI7">
        <v>0.49326833971353001</v>
      </c>
      <c r="AJ7">
        <v>3.0822768659782E-2</v>
      </c>
      <c r="AK7">
        <v>2.2007708817655999E-6</v>
      </c>
      <c r="AL7">
        <v>7.5242776340304005E-3</v>
      </c>
      <c r="AM7">
        <v>6.5016250174880001E-5</v>
      </c>
      <c r="AN7">
        <v>2.1717844935445003E-2</v>
      </c>
      <c r="AO7">
        <v>4.5661116612581999E-5</v>
      </c>
      <c r="AP7">
        <v>1.7641512412683E-2</v>
      </c>
      <c r="AQ7">
        <v>2.0852288349980999</v>
      </c>
      <c r="AS7">
        <v>3.5739500075579002E-2</v>
      </c>
      <c r="AV7">
        <v>2.0153210496758001</v>
      </c>
      <c r="AX7">
        <v>1.4807373335249001</v>
      </c>
      <c r="AY7">
        <v>-0.25216408765090004</v>
      </c>
      <c r="AZ7">
        <v>4.5764739043528003E-3</v>
      </c>
      <c r="BA7">
        <v>9.4215498876425012E-4</v>
      </c>
      <c r="BB7">
        <v>6.0670081652701999E-3</v>
      </c>
      <c r="BC7">
        <v>0.24064628887236</v>
      </c>
      <c r="BD7">
        <v>6.783827984366301E-5</v>
      </c>
      <c r="BE7">
        <f>(Table__150_diric[[#This Row],[F2]]+Table__150_diric_3[[#This Row],[F2]]+Table__150_diric_4[[#This Row],[F2]])/2</f>
        <v>-0.14481484349907789</v>
      </c>
      <c r="BF7">
        <v>1.4807373335249001</v>
      </c>
      <c r="BG7">
        <v>-6.9713972459572006E-4</v>
      </c>
      <c r="BH7">
        <v>-2.8225570280645E-4</v>
      </c>
      <c r="BI7">
        <v>-2.0488240676909001E-6</v>
      </c>
      <c r="BJ7">
        <v>9.6902478370581007E-4</v>
      </c>
      <c r="BK7">
        <v>-1.2419467764043E-5</v>
      </c>
      <c r="BM7">
        <v>1.4807373335249001</v>
      </c>
      <c r="BN7">
        <v>-3.6768459622660003E-2</v>
      </c>
      <c r="BO7">
        <v>1.5962563276477999E-2</v>
      </c>
      <c r="BP7">
        <v>-2.8267439472292E-4</v>
      </c>
      <c r="BQ7">
        <v>2.1175111919932998E-2</v>
      </c>
      <c r="BR7">
        <v>8.6541179027819015E-5</v>
      </c>
    </row>
    <row r="8" spans="1:70" x14ac:dyDescent="0.25">
      <c r="A8">
        <v>6.6218348219990999E-3</v>
      </c>
      <c r="B8" s="1">
        <v>6.4289629459380992E-2</v>
      </c>
      <c r="C8" s="1">
        <v>2.6337430703687999E-21</v>
      </c>
      <c r="D8" s="1">
        <v>-1.2041396985296001E-5</v>
      </c>
      <c r="E8" s="1">
        <v>6.6198385320604004E-3</v>
      </c>
      <c r="G8">
        <v>0.98676199877202009</v>
      </c>
      <c r="H8">
        <v>0.9836524929783601</v>
      </c>
      <c r="I8">
        <v>0.70052243370802003</v>
      </c>
      <c r="J8">
        <v>0.98678538316733</v>
      </c>
      <c r="K8">
        <v>0.98367576529139</v>
      </c>
      <c r="L8">
        <v>0.70053893060527006</v>
      </c>
      <c r="M8">
        <v>-4.7266636233992002E-5</v>
      </c>
      <c r="N8">
        <v>0.99309548657193014</v>
      </c>
      <c r="O8">
        <v>0.70956459107710002</v>
      </c>
      <c r="Q8">
        <v>6.6218348219990999E-3</v>
      </c>
      <c r="R8">
        <v>5.2374810911715009E-4</v>
      </c>
      <c r="S8">
        <v>2.0585423499142E-7</v>
      </c>
      <c r="T8">
        <v>1.1443352559580999E-4</v>
      </c>
      <c r="U8">
        <v>-2.8227238999534E-6</v>
      </c>
      <c r="V8">
        <v>5.3729436331196001E-5</v>
      </c>
      <c r="W8">
        <v>-2.8417514386092E-7</v>
      </c>
      <c r="X8">
        <v>6.2931153479439994E-6</v>
      </c>
      <c r="Z8">
        <v>0.98676199877202009</v>
      </c>
      <c r="AA8">
        <v>0.12260947043434001</v>
      </c>
      <c r="AB8">
        <v>4.8190491382409999E-5</v>
      </c>
      <c r="AC8">
        <v>2.6788896664252004E-2</v>
      </c>
      <c r="AD8">
        <v>6.6079987026402014E-4</v>
      </c>
      <c r="AE8">
        <v>8.6993681478826995E-2</v>
      </c>
      <c r="AF8">
        <v>4.6010983247340005E-4</v>
      </c>
      <c r="AG8">
        <v>7.0471740014438997E-2</v>
      </c>
      <c r="AH8">
        <v>2.0727814433337</v>
      </c>
      <c r="AI8">
        <v>0.98678538316733</v>
      </c>
      <c r="AJ8">
        <v>0.12282961023497002</v>
      </c>
      <c r="AK8">
        <v>4.830773316026901E-5</v>
      </c>
      <c r="AL8">
        <v>2.6931948370769999E-2</v>
      </c>
      <c r="AM8">
        <v>6.6241703095731006E-4</v>
      </c>
      <c r="AN8">
        <v>8.7170542496464012E-2</v>
      </c>
      <c r="AO8">
        <v>4.6145292477010999E-4</v>
      </c>
      <c r="AP8">
        <v>7.0596329822751006E-2</v>
      </c>
      <c r="AQ8">
        <v>2.0793450675048999</v>
      </c>
      <c r="AS8">
        <v>0.14294099807739</v>
      </c>
      <c r="AV8">
        <v>2.0133624973241</v>
      </c>
      <c r="AX8">
        <v>1.9754269809767</v>
      </c>
      <c r="AY8">
        <v>-0.25130350297324999</v>
      </c>
      <c r="AZ8">
        <v>1.0988199909889E-2</v>
      </c>
      <c r="BA8">
        <v>-1.6492366501661001E-4</v>
      </c>
      <c r="BB8">
        <v>1.3709648927382001E-2</v>
      </c>
      <c r="BC8">
        <v>0.22678056798710999</v>
      </c>
      <c r="BD8">
        <v>9.9901861115580979E-6</v>
      </c>
      <c r="BE8">
        <f>(Table__150_diric[[#This Row],[F2]]+Table__150_diric_3[[#This Row],[F2]]+Table__150_diric_4[[#This Row],[F2]])/2</f>
        <v>-0.14158512240192658</v>
      </c>
      <c r="BF8">
        <v>1.9754269809767</v>
      </c>
      <c r="BG8">
        <v>-1.0554145029862002E-3</v>
      </c>
      <c r="BH8">
        <v>-2.5295165267267004E-4</v>
      </c>
      <c r="BI8">
        <v>-5.7080165328176998E-6</v>
      </c>
      <c r="BJ8">
        <v>1.3430121442025E-3</v>
      </c>
      <c r="BK8">
        <v>2.8937972010868002E-5</v>
      </c>
      <c r="BM8">
        <v>1.9754269809767</v>
      </c>
      <c r="BN8">
        <v>-3.0811327327616999E-2</v>
      </c>
      <c r="BO8">
        <v>1.8816947625684002E-2</v>
      </c>
      <c r="BP8">
        <v>-6.104560542696001E-4</v>
      </c>
      <c r="BQ8">
        <v>1.2669023840734E-2</v>
      </c>
      <c r="BR8">
        <v>6.4188084531085015E-5</v>
      </c>
    </row>
    <row r="9" spans="1:70" x14ac:dyDescent="0.25">
      <c r="A9">
        <v>9.9367406219244003E-3</v>
      </c>
      <c r="B9" s="1">
        <v>9.6275113523005995E-2</v>
      </c>
      <c r="C9" s="1">
        <v>1.9296469329637E-20</v>
      </c>
      <c r="D9" s="1">
        <v>-1.8052936866297E-5</v>
      </c>
      <c r="E9" s="1">
        <v>9.9300369620323008E-3</v>
      </c>
      <c r="G9">
        <v>1.4807373335249001</v>
      </c>
      <c r="H9">
        <v>1.4730409278298</v>
      </c>
      <c r="I9">
        <v>1.0508131921593</v>
      </c>
      <c r="J9">
        <v>1.4807643049959001</v>
      </c>
      <c r="K9">
        <v>1.4730745821136</v>
      </c>
      <c r="L9">
        <v>1.0508371640525001</v>
      </c>
      <c r="M9">
        <v>-2.2228093796526001E-4</v>
      </c>
      <c r="N9">
        <v>0.98811813631581014</v>
      </c>
      <c r="O9">
        <v>0.70855956844385004</v>
      </c>
      <c r="Q9">
        <v>9.9367406219244003E-3</v>
      </c>
      <c r="R9">
        <v>1.1739748297259001E-3</v>
      </c>
      <c r="S9">
        <v>9.4996352117960003E-7</v>
      </c>
      <c r="T9">
        <v>2.3131711350288004E-4</v>
      </c>
      <c r="U9">
        <v>-9.8921473181689988E-6</v>
      </c>
      <c r="V9">
        <v>1.2119803432142E-4</v>
      </c>
      <c r="W9">
        <v>-9.9890746696473988E-7</v>
      </c>
      <c r="X9">
        <v>1.4153010852169003E-5</v>
      </c>
      <c r="Z9">
        <v>1.4807373335249001</v>
      </c>
      <c r="AA9">
        <v>0.27482759301712001</v>
      </c>
      <c r="AB9">
        <v>2.2238652939502002E-4</v>
      </c>
      <c r="AC9">
        <v>5.4151353093752005E-2</v>
      </c>
      <c r="AD9">
        <v>2.3157524065979002E-3</v>
      </c>
      <c r="AE9">
        <v>0.19623252938346003</v>
      </c>
      <c r="AF9">
        <v>1.6173376074950002E-3</v>
      </c>
      <c r="AG9">
        <v>0.15848864132475002</v>
      </c>
      <c r="AH9">
        <v>2.0723080057886998</v>
      </c>
      <c r="AI9">
        <v>1.4807643049959001</v>
      </c>
      <c r="AJ9">
        <v>0.27533004496801999</v>
      </c>
      <c r="AK9">
        <v>2.2294207295786E-4</v>
      </c>
      <c r="AL9">
        <v>5.4439337416839005E-2</v>
      </c>
      <c r="AM9">
        <v>2.3213791453327E-3</v>
      </c>
      <c r="AN9">
        <v>0.19662977099410003</v>
      </c>
      <c r="AO9">
        <v>1.6218814394218998E-3</v>
      </c>
      <c r="AP9">
        <v>0.158766455857</v>
      </c>
      <c r="AQ9">
        <v>2.0788558942542998</v>
      </c>
      <c r="AS9">
        <v>0.32155400514603</v>
      </c>
      <c r="AV9">
        <v>2.0104403142631999</v>
      </c>
      <c r="AX9">
        <v>2.4710711733564001</v>
      </c>
      <c r="AY9">
        <v>-0.24885865868549001</v>
      </c>
      <c r="AZ9">
        <v>2.1375703653908999E-2</v>
      </c>
      <c r="BA9">
        <v>-1.6796109887128E-3</v>
      </c>
      <c r="BB9">
        <v>2.4579134956996002E-2</v>
      </c>
      <c r="BC9">
        <v>0.20466559977394</v>
      </c>
      <c r="BD9">
        <v>8.2168710645758009E-5</v>
      </c>
      <c r="BE9">
        <f>(Table__150_diric[[#This Row],[F2]]+Table__150_diric_3[[#This Row],[F2]]+Table__150_diric_4[[#This Row],[F2]])/2</f>
        <v>-0.13834575644070965</v>
      </c>
      <c r="BF9">
        <v>2.4710711733564001</v>
      </c>
      <c r="BG9">
        <v>-1.3844403258463E-3</v>
      </c>
      <c r="BH9">
        <v>-3.4819094708082003E-4</v>
      </c>
      <c r="BI9">
        <v>-1.0642778818069002E-5</v>
      </c>
      <c r="BJ9">
        <v>1.7149107547052001E-3</v>
      </c>
      <c r="BK9">
        <v>-2.8363297039922003E-5</v>
      </c>
      <c r="BM9">
        <v>2.4710711733564001</v>
      </c>
      <c r="BN9">
        <v>-2.6448413870083003E-2</v>
      </c>
      <c r="BO9">
        <v>2.1077182243481998E-2</v>
      </c>
      <c r="BP9">
        <v>-1.0506643331329999E-3</v>
      </c>
      <c r="BQ9">
        <v>6.5305312469208007E-3</v>
      </c>
      <c r="BR9">
        <v>1.0863528718646002E-4</v>
      </c>
    </row>
    <row r="10" spans="1:70" x14ac:dyDescent="0.25">
      <c r="A10">
        <v>1.3256439939141001E-2</v>
      </c>
      <c r="B10" s="1">
        <v>0.12812151014805001</v>
      </c>
      <c r="C10" s="1">
        <v>5.787617309911E-20</v>
      </c>
      <c r="D10" s="1">
        <v>-2.4041990400292003E-5</v>
      </c>
      <c r="E10" s="1">
        <v>1.3238311745226002E-2</v>
      </c>
      <c r="G10">
        <v>1.9754269809767</v>
      </c>
      <c r="H10">
        <v>1.9603012790874002</v>
      </c>
      <c r="I10">
        <v>1.4009003870771</v>
      </c>
      <c r="J10">
        <v>1.9754715734924</v>
      </c>
      <c r="K10">
        <v>1.9603429710070999</v>
      </c>
      <c r="L10">
        <v>1.4009304460395999</v>
      </c>
      <c r="M10">
        <v>-6.2979599090157005E-4</v>
      </c>
      <c r="N10">
        <v>0.98152636213660005</v>
      </c>
      <c r="O10">
        <v>0.70665063224274005</v>
      </c>
      <c r="Q10">
        <v>1.3256439939141001E-2</v>
      </c>
      <c r="R10">
        <v>2.0758598111570003E-3</v>
      </c>
      <c r="S10">
        <v>2.6951163363265001E-6</v>
      </c>
      <c r="T10">
        <v>3.7072881241329003E-4</v>
      </c>
      <c r="U10">
        <v>-2.3910741219879003E-5</v>
      </c>
      <c r="V10">
        <v>2.1555657440331004E-4</v>
      </c>
      <c r="W10">
        <v>-2.4283940547321E-6</v>
      </c>
      <c r="X10">
        <v>2.5105817258009003E-5</v>
      </c>
      <c r="Z10">
        <v>1.9754269809767</v>
      </c>
      <c r="AA10">
        <v>0.48595893276047009</v>
      </c>
      <c r="AB10">
        <v>6.3092693033858002E-4</v>
      </c>
      <c r="AC10">
        <v>8.678764194751E-2</v>
      </c>
      <c r="AD10">
        <v>5.5975062585021003E-3</v>
      </c>
      <c r="AE10">
        <v>0.34900905825101003</v>
      </c>
      <c r="AF10">
        <v>3.9318286832609002E-3</v>
      </c>
      <c r="AG10">
        <v>0.28114066385807002</v>
      </c>
      <c r="AH10">
        <v>2.0744536855861</v>
      </c>
      <c r="AI10">
        <v>1.9754715734924</v>
      </c>
      <c r="AJ10">
        <v>0.48685605140124999</v>
      </c>
      <c r="AK10">
        <v>6.3253611391245006E-4</v>
      </c>
      <c r="AL10">
        <v>8.7245815743243013E-2</v>
      </c>
      <c r="AM10">
        <v>5.6109800543958999E-3</v>
      </c>
      <c r="AN10">
        <v>0.34970808301450007</v>
      </c>
      <c r="AO10">
        <v>3.9424357052215003E-3</v>
      </c>
      <c r="AP10">
        <v>0.28162607201486001</v>
      </c>
      <c r="AQ10">
        <v>2.0809871154511002</v>
      </c>
      <c r="AS10">
        <v>0.57149201631546009</v>
      </c>
      <c r="AV10">
        <v>2.0071804327926999</v>
      </c>
      <c r="AX10">
        <v>2.9679116694983998</v>
      </c>
      <c r="AY10">
        <v>-0.24454773832318</v>
      </c>
      <c r="AZ10">
        <v>3.6305466982023006E-2</v>
      </c>
      <c r="BA10">
        <v>-3.4830398340524003E-3</v>
      </c>
      <c r="BB10">
        <v>3.7715113422151003E-2</v>
      </c>
      <c r="BC10">
        <v>0.17405113276325002</v>
      </c>
      <c r="BD10">
        <v>4.0935010193865006E-5</v>
      </c>
      <c r="BE10">
        <f>(Table__150_diric[[#This Row],[F2]]+Table__150_diric_3[[#This Row],[F2]]+Table__150_diric_4[[#This Row],[F2]])/2</f>
        <v>-0.13484655400900986</v>
      </c>
      <c r="BF10">
        <v>2.9679116694983998</v>
      </c>
      <c r="BG10">
        <v>-1.7117264334197001E-3</v>
      </c>
      <c r="BH10">
        <v>-1.9608570116515001E-4</v>
      </c>
      <c r="BI10">
        <v>-1.4224687043664E-5</v>
      </c>
      <c r="BJ10">
        <v>1.9693949153145999E-3</v>
      </c>
      <c r="BK10">
        <v>4.7358093686132999E-5</v>
      </c>
      <c r="BM10">
        <v>2.9679116694983998</v>
      </c>
      <c r="BN10">
        <v>-2.3433643261420001E-2</v>
      </c>
      <c r="BO10">
        <v>2.2930893936131E-2</v>
      </c>
      <c r="BP10">
        <v>-1.5697568219647001E-3</v>
      </c>
      <c r="BQ10">
        <v>2.1728924002263001E-3</v>
      </c>
      <c r="BR10">
        <v>1.0038625297199999E-4</v>
      </c>
    </row>
    <row r="11" spans="1:70" x14ac:dyDescent="0.25">
      <c r="A11">
        <v>1.6582544893026002E-2</v>
      </c>
      <c r="B11" s="1">
        <v>0.15978235006332001</v>
      </c>
      <c r="C11" s="1">
        <v>-7.5306522966827986E-21</v>
      </c>
      <c r="D11" s="1">
        <v>-2.9990724215168005E-5</v>
      </c>
      <c r="E11" s="1">
        <v>1.6541410237550999E-2</v>
      </c>
      <c r="G11">
        <v>2.4710711733564001</v>
      </c>
      <c r="H11">
        <v>2.4447225516057998</v>
      </c>
      <c r="I11">
        <v>1.7504398181998</v>
      </c>
      <c r="J11">
        <v>2.4711203632914001</v>
      </c>
      <c r="K11">
        <v>2.4447675595081</v>
      </c>
      <c r="L11">
        <v>1.7504734109236999</v>
      </c>
      <c r="M11">
        <v>-1.3698807996825001E-3</v>
      </c>
      <c r="N11">
        <v>0.97280539830407009</v>
      </c>
      <c r="O11">
        <v>0.70358017570975007</v>
      </c>
      <c r="Q11">
        <v>1.6582544893026002E-2</v>
      </c>
      <c r="R11">
        <v>3.2165287993847999E-3</v>
      </c>
      <c r="S11">
        <v>5.8579084907250995E-6</v>
      </c>
      <c r="T11">
        <v>5.2390206838027001E-4</v>
      </c>
      <c r="U11">
        <v>-4.6931334509281001E-5</v>
      </c>
      <c r="V11">
        <v>3.3588995574974001E-4</v>
      </c>
      <c r="W11">
        <v>-4.8036381485871996E-6</v>
      </c>
      <c r="X11">
        <v>3.9045553421602005E-5</v>
      </c>
      <c r="Z11">
        <v>2.4710711733564001</v>
      </c>
      <c r="AA11">
        <v>0.75298962586070006</v>
      </c>
      <c r="AB11">
        <v>1.3713368037000001E-3</v>
      </c>
      <c r="AC11">
        <v>0.12264551230903001</v>
      </c>
      <c r="AD11">
        <v>1.0986628821743002E-2</v>
      </c>
      <c r="AE11">
        <v>0.54384162235225997</v>
      </c>
      <c r="AF11">
        <v>7.7776019175379001E-3</v>
      </c>
      <c r="AG11">
        <v>0.43724100660985998</v>
      </c>
      <c r="AH11">
        <v>2.0804560750876</v>
      </c>
      <c r="AI11">
        <v>2.4711203632914001</v>
      </c>
      <c r="AJ11">
        <v>0.75438244674471999</v>
      </c>
      <c r="AK11">
        <v>1.3748888027963E-3</v>
      </c>
      <c r="AL11">
        <v>0.12328637374388002</v>
      </c>
      <c r="AM11">
        <v>1.1012744721818998E-2</v>
      </c>
      <c r="AN11">
        <v>0.54491198081458003</v>
      </c>
      <c r="AO11">
        <v>7.7977219302679994E-3</v>
      </c>
      <c r="AP11">
        <v>0.43797905542723004</v>
      </c>
      <c r="AQ11">
        <v>2.0869798204774002</v>
      </c>
      <c r="AS11">
        <v>0.89263802766800004</v>
      </c>
      <c r="AV11">
        <v>2.0042347259006998</v>
      </c>
      <c r="AX11">
        <v>3.4661927263195</v>
      </c>
      <c r="AY11">
        <v>-0.23857305534932999</v>
      </c>
      <c r="AZ11">
        <v>5.5957628705806998E-2</v>
      </c>
      <c r="BA11">
        <v>-5.4887156586742002E-3</v>
      </c>
      <c r="BB11">
        <v>5.1415491017876E-2</v>
      </c>
      <c r="BC11">
        <v>0.13677084575448001</v>
      </c>
      <c r="BD11">
        <v>8.2194470159530008E-5</v>
      </c>
      <c r="BE11">
        <f>(Table__150_diric[[#This Row],[F2]]+Table__150_diric_3[[#This Row],[F2]]+Table__150_diric_4[[#This Row],[F2]])/2</f>
        <v>-0.13106803468658296</v>
      </c>
      <c r="BF11">
        <v>3.4661927263195</v>
      </c>
      <c r="BG11">
        <v>-2.0171025699528998E-3</v>
      </c>
      <c r="BH11">
        <v>-1.8273228729763001E-4</v>
      </c>
      <c r="BI11">
        <v>-1.1761283171881002E-5</v>
      </c>
      <c r="BJ11">
        <v>2.1871953077663001E-3</v>
      </c>
      <c r="BK11">
        <v>-2.4400832656160001E-5</v>
      </c>
      <c r="BM11">
        <v>3.4661927263195</v>
      </c>
      <c r="BN11">
        <v>-2.1545911453883002E-2</v>
      </c>
      <c r="BO11">
        <v>2.4551807331436998E-2</v>
      </c>
      <c r="BP11">
        <v>-2.1208916324565001E-3</v>
      </c>
      <c r="BQ11">
        <v>-7.5596364771526002E-4</v>
      </c>
      <c r="BR11">
        <v>1.2904059738221002E-4</v>
      </c>
    </row>
    <row r="12" spans="1:70" x14ac:dyDescent="0.25">
      <c r="A12">
        <v>1.9916677847505001E-2</v>
      </c>
      <c r="B12" s="1">
        <v>0.1911967843771</v>
      </c>
      <c r="C12" s="1">
        <v>2.4616895029577998E-20</v>
      </c>
      <c r="D12" s="1">
        <v>-3.5880620998796001E-5</v>
      </c>
      <c r="E12" s="1">
        <v>1.9834861159325003E-2</v>
      </c>
      <c r="G12">
        <v>2.9679116694983998</v>
      </c>
      <c r="H12">
        <v>2.9253737373118001</v>
      </c>
      <c r="I12">
        <v>2.0989583272005001</v>
      </c>
      <c r="J12">
        <v>2.9679771426858998</v>
      </c>
      <c r="K12">
        <v>2.9254150813395001</v>
      </c>
      <c r="L12">
        <v>2.0989916678103002</v>
      </c>
      <c r="M12">
        <v>-2.5302554279493998E-3</v>
      </c>
      <c r="N12">
        <v>0.96158426178492007</v>
      </c>
      <c r="O12">
        <v>0.69911136490174997</v>
      </c>
      <c r="Q12">
        <v>1.9916677847505001E-2</v>
      </c>
      <c r="R12">
        <v>4.5747119002044001E-3</v>
      </c>
      <c r="S12">
        <v>1.0818233931786001E-5</v>
      </c>
      <c r="T12">
        <v>6.8446970544755003E-4</v>
      </c>
      <c r="U12">
        <v>-8.0640485975890999E-5</v>
      </c>
      <c r="V12">
        <v>4.8044801224023001E-4</v>
      </c>
      <c r="W12">
        <v>-8.3300465121282993E-6</v>
      </c>
      <c r="X12">
        <v>5.5794884247007004E-5</v>
      </c>
      <c r="Z12">
        <v>2.9679116694983998</v>
      </c>
      <c r="AA12">
        <v>1.0709403885375</v>
      </c>
      <c r="AB12">
        <v>2.5325493501962E-3</v>
      </c>
      <c r="AC12">
        <v>0.16023440782390003</v>
      </c>
      <c r="AD12">
        <v>1.8877943631602001E-2</v>
      </c>
      <c r="AE12">
        <v>0.77789651628441003</v>
      </c>
      <c r="AF12">
        <v>1.3487232743575E-2</v>
      </c>
      <c r="AG12">
        <v>0.62480383075695001</v>
      </c>
      <c r="AH12">
        <v>2.0893295115488</v>
      </c>
      <c r="AI12">
        <v>2.9679771426858998</v>
      </c>
      <c r="AJ12">
        <v>1.0729109666529</v>
      </c>
      <c r="AK12">
        <v>2.5391757951656003E-3</v>
      </c>
      <c r="AL12">
        <v>0.16106098299600002</v>
      </c>
      <c r="AM12">
        <v>1.8922113392812002E-2</v>
      </c>
      <c r="AN12">
        <v>0.77939056662808004</v>
      </c>
      <c r="AO12">
        <v>1.3520681442013001E-2</v>
      </c>
      <c r="AP12">
        <v>0.62582663946668005</v>
      </c>
      <c r="AQ12">
        <v>2.0958459668210998</v>
      </c>
      <c r="AS12">
        <v>1.2848399877548</v>
      </c>
      <c r="AV12">
        <v>2.0025362895355001</v>
      </c>
      <c r="AX12">
        <v>3.9661610988185001</v>
      </c>
      <c r="AY12">
        <v>-0.23143944189677002</v>
      </c>
      <c r="AZ12">
        <v>8.0123390203381994E-2</v>
      </c>
      <c r="BA12">
        <v>-7.6290059015075001E-3</v>
      </c>
      <c r="BB12">
        <v>6.3771102150736003E-2</v>
      </c>
      <c r="BC12">
        <v>9.5240416722564003E-2</v>
      </c>
      <c r="BD12">
        <v>6.6461278407176015E-5</v>
      </c>
      <c r="BE12">
        <f>(Table__150_diric[[#This Row],[F2]]+Table__150_diric_3[[#This Row],[F2]]+Table__150_diric_4[[#This Row],[F2]])/2</f>
        <v>-0.127165297795128</v>
      </c>
      <c r="BF12">
        <v>3.9661610988185001</v>
      </c>
      <c r="BG12">
        <v>-2.3143850092670003E-3</v>
      </c>
      <c r="BH12">
        <v>5.2700469659302003E-5</v>
      </c>
      <c r="BI12">
        <v>2.9433811043367E-6</v>
      </c>
      <c r="BJ12">
        <v>2.3130287780602997E-3</v>
      </c>
      <c r="BK12">
        <v>5.4287619556896004E-5</v>
      </c>
      <c r="BM12">
        <v>3.9661610988185001</v>
      </c>
      <c r="BN12">
        <v>-2.0576768684219E-2</v>
      </c>
      <c r="BO12">
        <v>2.6016830510271004E-2</v>
      </c>
      <c r="BP12">
        <v>-2.6619228610095E-3</v>
      </c>
      <c r="BQ12">
        <v>-2.6503141816142002E-3</v>
      </c>
      <c r="BR12">
        <v>1.2782478342887E-4</v>
      </c>
    </row>
    <row r="13" spans="1:70" x14ac:dyDescent="0.25">
      <c r="A13">
        <v>2.3260477930307003E-2</v>
      </c>
      <c r="B13" s="1">
        <v>0.22229214012623003</v>
      </c>
      <c r="C13" s="1">
        <v>-1.5770694686691E-19</v>
      </c>
      <c r="D13" s="1">
        <v>-4.1696097468957007E-5</v>
      </c>
      <c r="E13" s="1">
        <v>2.3113161325455E-2</v>
      </c>
      <c r="G13">
        <v>3.4661927263195</v>
      </c>
      <c r="H13">
        <v>3.4011429159473998</v>
      </c>
      <c r="I13">
        <v>2.4458735577880999</v>
      </c>
      <c r="J13">
        <v>3.4662728508634002</v>
      </c>
      <c r="K13">
        <v>3.4011706782882998</v>
      </c>
      <c r="L13">
        <v>2.4459012751325999</v>
      </c>
      <c r="M13">
        <v>-4.1828843939325008E-3</v>
      </c>
      <c r="N13">
        <v>0.94759064925255998</v>
      </c>
      <c r="O13">
        <v>0.69306486669987011</v>
      </c>
      <c r="Q13">
        <v>2.3260477930307003E-2</v>
      </c>
      <c r="R13">
        <v>6.1205602250993E-3</v>
      </c>
      <c r="S13">
        <v>1.7880753148347004E-5</v>
      </c>
      <c r="T13">
        <v>8.4793166024609999E-4</v>
      </c>
      <c r="U13">
        <v>-1.2612668797374002E-4</v>
      </c>
      <c r="V13">
        <v>6.4661417854950005E-4</v>
      </c>
      <c r="W13">
        <v>-1.3162743016437001E-5</v>
      </c>
      <c r="X13">
        <v>7.5101619586349008E-5</v>
      </c>
      <c r="Z13">
        <v>3.4661927263195</v>
      </c>
      <c r="AA13">
        <v>1.4328235938185001</v>
      </c>
      <c r="AB13">
        <v>4.1858856124206006E-3</v>
      </c>
      <c r="AC13">
        <v>0.19850086333014</v>
      </c>
      <c r="AD13">
        <v>2.9526266827319E-2</v>
      </c>
      <c r="AE13">
        <v>1.0469372420304</v>
      </c>
      <c r="AF13">
        <v>2.1311883234754001E-2</v>
      </c>
      <c r="AG13">
        <v>0.84100505354339994</v>
      </c>
      <c r="AH13">
        <v>2.1014580688015001</v>
      </c>
      <c r="AI13">
        <v>3.4662728508634002</v>
      </c>
      <c r="AJ13">
        <v>1.4354283114376001</v>
      </c>
      <c r="AK13">
        <v>4.1968932793946005E-3</v>
      </c>
      <c r="AL13">
        <v>0.19950975513013003</v>
      </c>
      <c r="AM13">
        <v>2.9594056834783E-2</v>
      </c>
      <c r="AN13">
        <v>1.0488853148632999</v>
      </c>
      <c r="AO13">
        <v>2.1362562644827002E-2</v>
      </c>
      <c r="AP13">
        <v>0.84232889063963001</v>
      </c>
      <c r="AQ13">
        <v>2.1079709233819002</v>
      </c>
      <c r="AS13">
        <v>1.7479000091553001</v>
      </c>
      <c r="AV13">
        <v>2.0032438557394001</v>
      </c>
      <c r="AX13">
        <v>4.4680663176408997</v>
      </c>
      <c r="AY13">
        <v>-0.22380041118368998</v>
      </c>
      <c r="AZ13">
        <v>0.10822551454001</v>
      </c>
      <c r="BA13">
        <v>-9.8550698527717015E-3</v>
      </c>
      <c r="BB13">
        <v>7.3008501288540001E-2</v>
      </c>
      <c r="BC13">
        <v>5.2516079743692004E-2</v>
      </c>
      <c r="BD13">
        <v>9.4614535775882006E-5</v>
      </c>
      <c r="BE13">
        <f>(Table__150_diric[[#This Row],[F2]]+Table__150_diric_3[[#This Row],[F2]]+Table__150_diric_4[[#This Row],[F2]])/2</f>
        <v>-0.12336750186371759</v>
      </c>
      <c r="BF13">
        <v>4.4680663176408997</v>
      </c>
      <c r="BG13">
        <v>-2.6053009204752E-3</v>
      </c>
      <c r="BH13">
        <v>1.5822650616799001E-4</v>
      </c>
      <c r="BI13">
        <v>3.6900690330710004E-5</v>
      </c>
      <c r="BJ13">
        <v>2.4023248201956002E-3</v>
      </c>
      <c r="BK13">
        <v>-7.8489037809319989E-6</v>
      </c>
      <c r="BM13">
        <v>4.4680663176408997</v>
      </c>
      <c r="BN13">
        <v>-2.0329291623270001E-2</v>
      </c>
      <c r="BO13">
        <v>2.7396167082775001E-2</v>
      </c>
      <c r="BP13">
        <v>-3.1556512978104002E-3</v>
      </c>
      <c r="BQ13">
        <v>-3.7643839745214003E-3</v>
      </c>
      <c r="BR13">
        <v>1.4684018717319E-4</v>
      </c>
    </row>
    <row r="14" spans="1:70" x14ac:dyDescent="0.25">
      <c r="A14">
        <v>2.6615601032971999E-2</v>
      </c>
      <c r="B14" s="1">
        <v>0.25298860669135997</v>
      </c>
      <c r="C14" s="1">
        <v>-2.9381455357883994E-20</v>
      </c>
      <c r="D14" s="1">
        <v>-4.7428158723051006E-5</v>
      </c>
      <c r="E14" s="1">
        <v>2.6370024308562001E-2</v>
      </c>
      <c r="G14">
        <v>3.9661610988185001</v>
      </c>
      <c r="H14">
        <v>3.8708089587653998</v>
      </c>
      <c r="I14">
        <v>2.7905202696574003</v>
      </c>
      <c r="J14">
        <v>3.9662561915641001</v>
      </c>
      <c r="K14">
        <v>3.8708109701560001</v>
      </c>
      <c r="L14">
        <v>2.7905362515765</v>
      </c>
      <c r="M14">
        <v>-6.3831250193472E-3</v>
      </c>
      <c r="N14">
        <v>0.93072159405611998</v>
      </c>
      <c r="O14">
        <v>0.68532684963345003</v>
      </c>
      <c r="Q14">
        <v>2.6615601032971999E-2</v>
      </c>
      <c r="R14">
        <v>7.8170113265514009E-3</v>
      </c>
      <c r="S14">
        <v>2.7286489057586999E-5</v>
      </c>
      <c r="T14">
        <v>1.0112273739651002E-3</v>
      </c>
      <c r="U14">
        <v>-1.8386877491139E-4</v>
      </c>
      <c r="V14">
        <v>8.3100784104317004E-4</v>
      </c>
      <c r="W14">
        <v>-1.9401619283599E-5</v>
      </c>
      <c r="X14">
        <v>9.6645380835980001E-5</v>
      </c>
      <c r="Z14">
        <v>3.9661610988185001</v>
      </c>
      <c r="AA14">
        <v>1.8299629200442999</v>
      </c>
      <c r="AB14">
        <v>6.3877690728136004E-3</v>
      </c>
      <c r="AC14">
        <v>0.23672840178757004</v>
      </c>
      <c r="AD14">
        <v>4.3043693578764003E-2</v>
      </c>
      <c r="AE14">
        <v>1.3454902259629</v>
      </c>
      <c r="AF14">
        <v>3.1413288569172998E-2</v>
      </c>
      <c r="AG14">
        <v>1.0822570023438001</v>
      </c>
      <c r="AH14">
        <v>2.1162722908427001</v>
      </c>
      <c r="AI14">
        <v>3.9662561915641001</v>
      </c>
      <c r="AJ14">
        <v>1.8332268425048999</v>
      </c>
      <c r="AK14">
        <v>6.4045725015058003E-3</v>
      </c>
      <c r="AL14">
        <v>0.23791255387127999</v>
      </c>
      <c r="AM14">
        <v>4.3140347348416007E-2</v>
      </c>
      <c r="AN14">
        <v>1.347897392033</v>
      </c>
      <c r="AO14">
        <v>3.1484917492553E-2</v>
      </c>
      <c r="AP14">
        <v>1.083880245891</v>
      </c>
      <c r="AQ14">
        <v>2.1227837662300999</v>
      </c>
      <c r="AS14">
        <v>2.2816200256347998</v>
      </c>
      <c r="AV14">
        <v>2.0075489671540998</v>
      </c>
      <c r="AX14">
        <v>4.9721620769024</v>
      </c>
      <c r="AY14">
        <v>-0.21629576527929004</v>
      </c>
      <c r="AZ14">
        <v>0.13939662871611</v>
      </c>
      <c r="BA14">
        <v>-1.2126630476297001E-2</v>
      </c>
      <c r="BB14">
        <v>7.7834336314208996E-2</v>
      </c>
      <c r="BC14">
        <v>1.1285954517935E-2</v>
      </c>
      <c r="BD14">
        <v>9.4523792666053011E-5</v>
      </c>
      <c r="BE14">
        <f>(Table__150_diric[[#This Row],[F2]]+Table__150_diric_3[[#This Row],[F2]]+Table__150_diric_4[[#This Row],[F2]])/2</f>
        <v>-0.11990894767854138</v>
      </c>
      <c r="BF14">
        <v>4.9721620769024</v>
      </c>
      <c r="BG14">
        <v>-2.8981440167037001E-3</v>
      </c>
      <c r="BH14">
        <v>4.2843123837175008E-4</v>
      </c>
      <c r="BI14">
        <v>9.7032763221531007E-5</v>
      </c>
      <c r="BJ14">
        <v>2.4305481200495001E-3</v>
      </c>
      <c r="BK14">
        <v>5.7868104938991005E-5</v>
      </c>
      <c r="BM14">
        <v>4.9721620769024</v>
      </c>
      <c r="BN14">
        <v>-2.0623986061088999E-2</v>
      </c>
      <c r="BO14">
        <v>2.8707232003892004E-2</v>
      </c>
      <c r="BP14">
        <v>-3.5758174245794001E-3</v>
      </c>
      <c r="BQ14">
        <v>-4.3583320313624E-3</v>
      </c>
      <c r="BR14">
        <v>1.4909648686118002E-4</v>
      </c>
    </row>
    <row r="15" spans="1:70" x14ac:dyDescent="0.25">
      <c r="A15">
        <v>2.9983721673488999E-2</v>
      </c>
      <c r="B15" s="1">
        <v>0.28320354223251004</v>
      </c>
      <c r="C15" s="1">
        <v>1.3690170009998E-19</v>
      </c>
      <c r="D15" s="1">
        <v>-5.3076972108101005E-5</v>
      </c>
      <c r="E15" s="1">
        <v>2.959868684411E-2</v>
      </c>
      <c r="G15">
        <v>4.4680663176408997</v>
      </c>
      <c r="H15">
        <v>4.3331074184106004</v>
      </c>
      <c r="I15">
        <v>3.1321827627937999</v>
      </c>
      <c r="J15">
        <v>4.4681758685283999</v>
      </c>
      <c r="K15">
        <v>4.3330681192079998</v>
      </c>
      <c r="L15">
        <v>3.1321791437750002</v>
      </c>
      <c r="M15">
        <v>-9.1739856849111009E-3</v>
      </c>
      <c r="N15">
        <v>0.91099941231377002</v>
      </c>
      <c r="O15">
        <v>0.67585125031199</v>
      </c>
      <c r="Q15">
        <v>2.9983721673488999E-2</v>
      </c>
      <c r="R15">
        <v>9.6221817657350991E-3</v>
      </c>
      <c r="S15">
        <v>3.9212947740452005E-5</v>
      </c>
      <c r="T15">
        <v>1.1723799398169E-3</v>
      </c>
      <c r="U15">
        <v>-2.5373479002155E-4</v>
      </c>
      <c r="V15">
        <v>1.0296810651198001E-3</v>
      </c>
      <c r="W15">
        <v>-2.7086922273156003E-5</v>
      </c>
      <c r="X15">
        <v>1.2005153985228002E-4</v>
      </c>
      <c r="Z15">
        <v>4.4680663176408997</v>
      </c>
      <c r="AA15">
        <v>2.2525534511397001</v>
      </c>
      <c r="AB15">
        <v>9.1797539178338008E-3</v>
      </c>
      <c r="AC15">
        <v>0.27445422917342999</v>
      </c>
      <c r="AD15">
        <v>5.9399332797117003E-2</v>
      </c>
      <c r="AE15">
        <v>1.6671633413694</v>
      </c>
      <c r="AF15">
        <v>4.3856612862037E-2</v>
      </c>
      <c r="AG15">
        <v>1.3443645058194</v>
      </c>
      <c r="AH15">
        <v>2.1338531754211001</v>
      </c>
      <c r="AI15">
        <v>4.4681758685283999</v>
      </c>
      <c r="AJ15">
        <v>2.2564661281375002</v>
      </c>
      <c r="AK15">
        <v>9.2038053135135005E-3</v>
      </c>
      <c r="AL15">
        <v>0.27580531229069999</v>
      </c>
      <c r="AM15">
        <v>5.9529282845563997E-2</v>
      </c>
      <c r="AN15">
        <v>1.6700075400250001</v>
      </c>
      <c r="AO15">
        <v>4.3952432770643E-2</v>
      </c>
      <c r="AP15">
        <v>1.3462666432475001</v>
      </c>
      <c r="AQ15">
        <v>2.1403664361626</v>
      </c>
      <c r="AS15">
        <v>2.8857300281525</v>
      </c>
      <c r="AV15">
        <v>2.0165989530044999</v>
      </c>
      <c r="AX15">
        <v>5.4787059566243004</v>
      </c>
      <c r="AY15">
        <v>-0.20944605492188001</v>
      </c>
      <c r="AZ15">
        <v>0.17257725343437003</v>
      </c>
      <c r="BA15">
        <v>-1.4414479534261001E-2</v>
      </c>
      <c r="BB15">
        <v>7.7561825727008996E-2</v>
      </c>
      <c r="BC15">
        <v>-2.6158540076856002E-2</v>
      </c>
      <c r="BD15">
        <v>1.2000462837918E-4</v>
      </c>
      <c r="BE15">
        <f>(Table__150_diric[[#This Row],[F2]]+Table__150_diric_3[[#This Row],[F2]]+Table__150_diric_4[[#This Row],[F2]])/2</f>
        <v>-0.11697401451605856</v>
      </c>
      <c r="BF15">
        <v>5.4787059566243004</v>
      </c>
      <c r="BG15">
        <v>-3.1978916583621001E-3</v>
      </c>
      <c r="BH15">
        <v>5.8944826742187003E-4</v>
      </c>
      <c r="BI15">
        <v>1.8937760152356001E-4</v>
      </c>
      <c r="BJ15">
        <v>2.4322290018515E-3</v>
      </c>
      <c r="BK15">
        <v>1.3163212434800002E-5</v>
      </c>
      <c r="BM15">
        <v>5.4787059566243004</v>
      </c>
      <c r="BN15">
        <v>-2.1304082451875001E-2</v>
      </c>
      <c r="BO15">
        <v>2.9967442961179001E-2</v>
      </c>
      <c r="BP15">
        <v>-3.9055622915027998E-3</v>
      </c>
      <c r="BQ15">
        <v>-4.5953992230367002E-3</v>
      </c>
      <c r="BR15">
        <v>1.6239899476475E-4</v>
      </c>
    </row>
    <row r="16" spans="1:70" x14ac:dyDescent="0.25">
      <c r="A16">
        <v>3.3366542309523003E-2</v>
      </c>
      <c r="B16" s="1">
        <v>0.31285548210143999</v>
      </c>
      <c r="C16" s="1">
        <v>3.7216510119985996E-20</v>
      </c>
      <c r="D16" s="1">
        <v>-5.8652691222960007E-5</v>
      </c>
      <c r="E16" s="1">
        <v>3.2792180776596E-2</v>
      </c>
      <c r="G16">
        <v>4.9721620769024</v>
      </c>
      <c r="H16">
        <v>4.7867918589493001</v>
      </c>
      <c r="I16">
        <v>3.4701236552766002</v>
      </c>
      <c r="J16">
        <v>4.9722805854964003</v>
      </c>
      <c r="K16">
        <v>4.7866950345598003</v>
      </c>
      <c r="L16">
        <v>3.4700915940024002</v>
      </c>
      <c r="M16">
        <v>-1.2583996702585001E-2</v>
      </c>
      <c r="N16">
        <v>0.88858073839820007</v>
      </c>
      <c r="O16">
        <v>0.66465648222390006</v>
      </c>
      <c r="Q16">
        <v>3.3366542309523003E-2</v>
      </c>
      <c r="R16">
        <v>1.1492193676530999E-2</v>
      </c>
      <c r="S16">
        <v>5.3785552154295011E-5</v>
      </c>
      <c r="T16">
        <v>1.3302023289725E-3</v>
      </c>
      <c r="U16">
        <v>-3.3506096224301002E-4</v>
      </c>
      <c r="V16">
        <v>1.2383642606437E-3</v>
      </c>
      <c r="W16">
        <v>-3.6202673072694005E-5</v>
      </c>
      <c r="X16">
        <v>1.4490960165858E-4</v>
      </c>
      <c r="Z16">
        <v>4.9721620769024</v>
      </c>
      <c r="AA16">
        <v>2.6903233754552001</v>
      </c>
      <c r="AB16">
        <v>1.2591201670919001E-2</v>
      </c>
      <c r="AC16">
        <v>0.31140046195253002</v>
      </c>
      <c r="AD16">
        <v>7.8437795628671994E-2</v>
      </c>
      <c r="AE16">
        <v>2.0050436669602001</v>
      </c>
      <c r="AF16">
        <v>5.8615984551832999E-2</v>
      </c>
      <c r="AG16">
        <v>1.6227307476599999</v>
      </c>
      <c r="AH16">
        <v>2.1537966844711001</v>
      </c>
      <c r="AI16">
        <v>4.9722805854964003</v>
      </c>
      <c r="AJ16">
        <v>2.6948376637090998</v>
      </c>
      <c r="AK16">
        <v>1.2623933988215002E-2</v>
      </c>
      <c r="AL16">
        <v>0.31291096371006</v>
      </c>
      <c r="AM16">
        <v>7.8604214508131001E-2</v>
      </c>
      <c r="AN16">
        <v>2.0082751640722001</v>
      </c>
      <c r="AO16">
        <v>5.8738512436392998E-2</v>
      </c>
      <c r="AP16">
        <v>1.6248726096477</v>
      </c>
      <c r="AQ16">
        <v>2.1603141722583001</v>
      </c>
      <c r="AS16">
        <v>3.5599400997161998</v>
      </c>
      <c r="AV16">
        <v>2.0317652132871999</v>
      </c>
      <c r="AX16">
        <v>5.9879594227334003</v>
      </c>
      <c r="AY16">
        <v>-0.20359756797354001</v>
      </c>
      <c r="AZ16">
        <v>0.20662299773684001</v>
      </c>
      <c r="BA16">
        <v>-1.6693420267556002E-2</v>
      </c>
      <c r="BB16">
        <v>7.2122165408779998E-2</v>
      </c>
      <c r="BC16">
        <v>-5.8327377042041002E-2</v>
      </c>
      <c r="BD16">
        <v>1.2679786248496E-4</v>
      </c>
      <c r="BE16">
        <f>(Table__150_diric[[#This Row],[F2]]+Table__150_diric_3[[#This Row],[F2]]+Table__150_diric_4[[#This Row],[F2]])/2</f>
        <v>-0.1146725676893066</v>
      </c>
      <c r="BF16">
        <v>5.9879594227334003</v>
      </c>
      <c r="BG16">
        <v>-3.5094234726692E-3</v>
      </c>
      <c r="BH16">
        <v>8.5759584227508004E-4</v>
      </c>
      <c r="BI16">
        <v>3.1839100205716998E-4</v>
      </c>
      <c r="BJ16">
        <v>2.3961720857353002E-3</v>
      </c>
      <c r="BK16">
        <v>6.2735457398345004E-5</v>
      </c>
      <c r="BM16">
        <v>5.9879594227334003</v>
      </c>
      <c r="BN16">
        <v>-2.2238143932404003E-2</v>
      </c>
      <c r="BO16">
        <v>3.1168298789593003E-2</v>
      </c>
      <c r="BP16">
        <v>-4.1372681513777007E-3</v>
      </c>
      <c r="BQ16">
        <v>-4.6264264930924994E-3</v>
      </c>
      <c r="BR16">
        <v>1.6646021271833001E-4</v>
      </c>
    </row>
    <row r="17" spans="1:70" x14ac:dyDescent="0.25">
      <c r="A17">
        <v>3.6765791475773003E-2</v>
      </c>
      <c r="B17" s="1">
        <v>0.34186792373657005</v>
      </c>
      <c r="C17" s="1">
        <v>-7.1680163161394998E-20</v>
      </c>
      <c r="D17" s="1">
        <v>-6.4174229919445E-5</v>
      </c>
      <c r="E17" s="1">
        <v>3.5943619906902001E-2</v>
      </c>
      <c r="G17">
        <v>5.4787059566243004</v>
      </c>
      <c r="H17">
        <v>5.2306917660068999</v>
      </c>
      <c r="I17">
        <v>3.8036142379475999</v>
      </c>
      <c r="J17">
        <v>5.4788368107613001</v>
      </c>
      <c r="K17">
        <v>5.2305180372583999</v>
      </c>
      <c r="L17">
        <v>3.8035437246030002</v>
      </c>
      <c r="M17">
        <v>-1.6632320222193998E-2</v>
      </c>
      <c r="N17">
        <v>0.86371947803295002</v>
      </c>
      <c r="O17">
        <v>0.65181875663642996</v>
      </c>
      <c r="Q17">
        <v>3.6765791475773003E-2</v>
      </c>
      <c r="R17">
        <v>1.3383927755058001E-2</v>
      </c>
      <c r="S17">
        <v>7.1085996751208007E-5</v>
      </c>
      <c r="T17">
        <v>1.4840589137747999E-3</v>
      </c>
      <c r="U17">
        <v>-4.2675566510297006E-4</v>
      </c>
      <c r="V17">
        <v>1.4527187449858002E-3</v>
      </c>
      <c r="W17">
        <v>-4.6683315304108005E-5</v>
      </c>
      <c r="X17">
        <v>1.7079334065783999E-4</v>
      </c>
      <c r="Z17">
        <v>5.4787059566243004</v>
      </c>
      <c r="AA17">
        <v>3.1331784608161999</v>
      </c>
      <c r="AB17">
        <v>1.6641237009245E-2</v>
      </c>
      <c r="AC17">
        <v>0.34741829964408999</v>
      </c>
      <c r="AD17">
        <v>9.9903532236763001E-2</v>
      </c>
      <c r="AE17">
        <v>2.3521064133375003</v>
      </c>
      <c r="AF17">
        <v>7.5585260878370003E-2</v>
      </c>
      <c r="AG17">
        <v>1.9125827564831002</v>
      </c>
      <c r="AH17">
        <v>2.1760512912559999</v>
      </c>
      <c r="AI17">
        <v>5.4788368107613001</v>
      </c>
      <c r="AJ17">
        <v>3.1382117148706001</v>
      </c>
      <c r="AK17">
        <v>1.6684020570689E-2</v>
      </c>
      <c r="AL17">
        <v>0.34908284019757002</v>
      </c>
      <c r="AM17">
        <v>0.10010801017883</v>
      </c>
      <c r="AN17">
        <v>2.3556498200311999</v>
      </c>
      <c r="AO17">
        <v>7.5736053347741E-2</v>
      </c>
      <c r="AP17">
        <v>1.9149069858600001</v>
      </c>
      <c r="AQ17">
        <v>2.1825756426951002</v>
      </c>
      <c r="AS17">
        <v>4.3039398193359002</v>
      </c>
      <c r="AV17">
        <v>2.0540048394681998</v>
      </c>
      <c r="AX17">
        <v>6.5001906027084999</v>
      </c>
      <c r="AY17">
        <v>-0.19891723269438</v>
      </c>
      <c r="AZ17">
        <v>0.24040423401435002</v>
      </c>
      <c r="BA17">
        <v>-1.8945036217868E-2</v>
      </c>
      <c r="BB17">
        <v>6.1962449782481999E-2</v>
      </c>
      <c r="BC17">
        <v>-8.4345986397783998E-2</v>
      </c>
      <c r="BD17">
        <v>1.5842848679858E-4</v>
      </c>
      <c r="BE17">
        <f>(Table__150_diric[[#This Row],[F2]]+Table__150_diric_3[[#This Row],[F2]]+Table__150_diric_4[[#This Row],[F2]])/2</f>
        <v>-0.11303658159083199</v>
      </c>
      <c r="BF17">
        <v>6.5001906027084999</v>
      </c>
      <c r="BG17">
        <v>-3.8358118340490002E-3</v>
      </c>
      <c r="BH17">
        <v>1.0413243171542E-3</v>
      </c>
      <c r="BI17">
        <v>4.8644101340552002E-4</v>
      </c>
      <c r="BJ17">
        <v>2.3427356832049001E-3</v>
      </c>
      <c r="BK17">
        <v>3.4689179715691004E-5</v>
      </c>
      <c r="BM17">
        <v>6.5001906027084999</v>
      </c>
      <c r="BN17">
        <v>-2.3320118653235002E-2</v>
      </c>
      <c r="BO17">
        <v>3.2305189567747E-2</v>
      </c>
      <c r="BP17">
        <v>-4.2703096833579994E-3</v>
      </c>
      <c r="BQ17">
        <v>-4.5393680830427005E-3</v>
      </c>
      <c r="BR17">
        <v>1.7539314811169002E-4</v>
      </c>
    </row>
    <row r="18" spans="1:70" x14ac:dyDescent="0.25">
      <c r="A18">
        <v>4.0183223783970004E-2</v>
      </c>
      <c r="B18" s="1">
        <v>0.37017178535461004</v>
      </c>
      <c r="C18" s="1">
        <v>1.184787334972E-19</v>
      </c>
      <c r="D18" s="1">
        <v>-6.9666399213020002E-5</v>
      </c>
      <c r="E18" s="1">
        <v>3.9046414196491006E-2</v>
      </c>
      <c r="G18">
        <v>5.9879594227334003</v>
      </c>
      <c r="H18">
        <v>5.6637501655592999</v>
      </c>
      <c r="I18">
        <v>4.1319571418584999</v>
      </c>
      <c r="J18">
        <v>5.9880932480634002</v>
      </c>
      <c r="K18">
        <v>5.6634815458055003</v>
      </c>
      <c r="L18">
        <v>4.1318383949357003</v>
      </c>
      <c r="M18">
        <v>-2.1330027708079999E-2</v>
      </c>
      <c r="N18">
        <v>0.83673957232037</v>
      </c>
      <c r="O18">
        <v>0.63745934515062008</v>
      </c>
      <c r="Q18">
        <v>4.0183223783970004E-2</v>
      </c>
      <c r="R18">
        <v>1.5257314778864002E-2</v>
      </c>
      <c r="S18">
        <v>9.1161367890891013E-5</v>
      </c>
      <c r="T18">
        <v>1.6336789121851002E-3</v>
      </c>
      <c r="U18">
        <v>-5.2742025582120007E-4</v>
      </c>
      <c r="V18">
        <v>1.6685613663867001E-3</v>
      </c>
      <c r="W18">
        <v>-5.8422956499271E-5</v>
      </c>
      <c r="X18">
        <v>1.9727964536287002E-4</v>
      </c>
      <c r="Z18">
        <v>5.9879594227334003</v>
      </c>
      <c r="AA18">
        <v>3.5717384993329002</v>
      </c>
      <c r="AB18">
        <v>2.1340882853042999E-2</v>
      </c>
      <c r="AC18">
        <v>0.38244435215318001</v>
      </c>
      <c r="AD18">
        <v>0.12346912024482</v>
      </c>
      <c r="AE18">
        <v>2.7015786121516001</v>
      </c>
      <c r="AF18">
        <v>9.4592990654511003E-2</v>
      </c>
      <c r="AG18">
        <v>2.2091824334183001</v>
      </c>
      <c r="AH18">
        <v>2.2003034622367998</v>
      </c>
      <c r="AI18">
        <v>5.9880932480634002</v>
      </c>
      <c r="AJ18">
        <v>3.5771773345955</v>
      </c>
      <c r="AK18">
        <v>2.1394993790779998E-2</v>
      </c>
      <c r="AL18">
        <v>0.38426049777837001</v>
      </c>
      <c r="AM18">
        <v>0.12371144368075</v>
      </c>
      <c r="AN18">
        <v>2.7053357445878001</v>
      </c>
      <c r="AO18">
        <v>9.4772484727259007E-2</v>
      </c>
      <c r="AP18">
        <v>2.2116162946448998</v>
      </c>
      <c r="AQ18">
        <v>2.2068369628884001</v>
      </c>
      <c r="AS18">
        <v>5.1173701286315998</v>
      </c>
      <c r="AV18">
        <v>2.0841542557378001</v>
      </c>
      <c r="AX18">
        <v>7.0156720650636002</v>
      </c>
      <c r="AY18">
        <v>-0.19541624823739001</v>
      </c>
      <c r="AZ18">
        <v>0.27288659168764001</v>
      </c>
      <c r="BA18">
        <v>-2.1153017772993003E-2</v>
      </c>
      <c r="BB18">
        <v>4.7897810477774007E-2</v>
      </c>
      <c r="BC18">
        <v>-0.10404693392538</v>
      </c>
      <c r="BD18">
        <v>1.6820222965190001E-4</v>
      </c>
      <c r="BE18">
        <f>(Table__150_diric[[#This Row],[F2]]+Table__150_diric_3[[#This Row],[F2]]+Table__150_diric_4[[#This Row],[F2]])/2</f>
        <v>-0.11203134837921902</v>
      </c>
      <c r="BF18">
        <v>7.0156720650636002</v>
      </c>
      <c r="BG18">
        <v>-4.1789355628839998E-3</v>
      </c>
      <c r="BH18">
        <v>1.2896250805662E-3</v>
      </c>
      <c r="BI18">
        <v>6.9350987146680001E-4</v>
      </c>
      <c r="BJ18">
        <v>2.2661980235644998E-3</v>
      </c>
      <c r="BK18">
        <v>7.0397412713552011E-5</v>
      </c>
      <c r="BM18">
        <v>7.0156720650636002</v>
      </c>
      <c r="BN18">
        <v>-2.4467512958164003E-2</v>
      </c>
      <c r="BO18">
        <v>3.3362957480630999E-2</v>
      </c>
      <c r="BP18">
        <v>-4.3094976980169999E-3</v>
      </c>
      <c r="BQ18">
        <v>-4.4063314418546001E-3</v>
      </c>
      <c r="BR18">
        <v>1.7961538259525002E-4</v>
      </c>
    </row>
    <row r="19" spans="1:70" x14ac:dyDescent="0.25">
      <c r="A19">
        <v>4.3620638549328003E-2</v>
      </c>
      <c r="B19" s="1">
        <v>0.39770749211311007</v>
      </c>
      <c r="C19" s="1">
        <v>-1.4039571100739999E-19</v>
      </c>
      <c r="D19" s="1">
        <v>-7.5156109232921004E-5</v>
      </c>
      <c r="E19" s="1">
        <v>4.2094465345143994E-2</v>
      </c>
      <c r="G19">
        <v>6.5001906027084999</v>
      </c>
      <c r="H19">
        <v>6.0850555429069004</v>
      </c>
      <c r="I19">
        <v>4.4545070346360998</v>
      </c>
      <c r="J19">
        <v>6.5003341302487003</v>
      </c>
      <c r="K19">
        <v>6.0846731547681001</v>
      </c>
      <c r="L19">
        <v>4.4543295419903997</v>
      </c>
      <c r="M19">
        <v>-2.6681803241313001E-2</v>
      </c>
      <c r="N19">
        <v>0.80801153880321008</v>
      </c>
      <c r="O19">
        <v>0.6217355401945901</v>
      </c>
      <c r="Q19">
        <v>4.3620638549328003E-2</v>
      </c>
      <c r="R19">
        <v>1.7077002674341001E-2</v>
      </c>
      <c r="S19">
        <v>1.1403133976272999E-4</v>
      </c>
      <c r="T19">
        <v>1.7790150595829001E-3</v>
      </c>
      <c r="U19">
        <v>-6.3546700403093999E-4</v>
      </c>
      <c r="V19">
        <v>1.8820420373230999E-3</v>
      </c>
      <c r="W19">
        <v>-7.1285525336862003E-5</v>
      </c>
      <c r="X19">
        <v>2.2396487474907E-4</v>
      </c>
      <c r="Z19">
        <v>6.5001906027084999</v>
      </c>
      <c r="AA19">
        <v>3.9977275680024</v>
      </c>
      <c r="AB19">
        <v>2.6694744931479001E-2</v>
      </c>
      <c r="AC19">
        <v>0.41646755482869002</v>
      </c>
      <c r="AD19">
        <v>0.14876287185851</v>
      </c>
      <c r="AE19">
        <v>3.0472265615335998</v>
      </c>
      <c r="AF19">
        <v>0.11541885991469002</v>
      </c>
      <c r="AG19">
        <v>2.5080097142728</v>
      </c>
      <c r="AH19">
        <v>2.2264402568907999</v>
      </c>
      <c r="AI19">
        <v>6.5003341302487003</v>
      </c>
      <c r="AJ19">
        <v>4.0034352217646996</v>
      </c>
      <c r="AK19">
        <v>2.6761353563433003E-2</v>
      </c>
      <c r="AL19">
        <v>0.41843600624653998</v>
      </c>
      <c r="AM19">
        <v>0.14904103910562003</v>
      </c>
      <c r="AN19">
        <v>3.0510814238705</v>
      </c>
      <c r="AO19">
        <v>0.11562631039390002</v>
      </c>
      <c r="AP19">
        <v>2.5104672781956001</v>
      </c>
      <c r="AQ19">
        <v>2.2329853929477999</v>
      </c>
      <c r="AS19">
        <v>5.9998397827148002</v>
      </c>
      <c r="AV19">
        <v>2.1227906912763999</v>
      </c>
      <c r="AX19">
        <v>7.5346824847354004</v>
      </c>
      <c r="AY19">
        <v>-0.19298973241939002</v>
      </c>
      <c r="AZ19">
        <v>0.30318663362501003</v>
      </c>
      <c r="BA19">
        <v>-2.3305404277386001E-2</v>
      </c>
      <c r="BB19">
        <v>3.0952409199148E-2</v>
      </c>
      <c r="BC19">
        <v>-0.11763918517920001</v>
      </c>
      <c r="BD19">
        <v>2.0472094818404002E-4</v>
      </c>
      <c r="BE19">
        <f>(Table__150_diric[[#This Row],[F2]]+Table__150_diric_3[[#This Row],[F2]]+Table__150_diric_4[[#This Row],[F2]])/2</f>
        <v>-0.11157382627306281</v>
      </c>
      <c r="BF19">
        <v>7.5346824847354004</v>
      </c>
      <c r="BG19">
        <v>-4.5393970816816004E-3</v>
      </c>
      <c r="BH19">
        <v>1.479464194792E-3</v>
      </c>
      <c r="BI19">
        <v>9.3710949595292011E-4</v>
      </c>
      <c r="BJ19">
        <v>2.1781258140790996E-3</v>
      </c>
      <c r="BK19">
        <v>5.5302423142444003E-5</v>
      </c>
      <c r="BM19">
        <v>7.5346824847354004</v>
      </c>
      <c r="BN19">
        <v>-2.5618523045053999E-2</v>
      </c>
      <c r="BO19">
        <v>3.4331849825563004E-2</v>
      </c>
      <c r="BP19">
        <v>-4.2632689901804001E-3</v>
      </c>
      <c r="BQ19">
        <v>-4.2633872898087998E-3</v>
      </c>
      <c r="BR19">
        <v>1.8667050051951001E-4</v>
      </c>
    </row>
    <row r="20" spans="1:70" x14ac:dyDescent="0.25">
      <c r="A20">
        <v>4.7079864889382997E-2</v>
      </c>
      <c r="B20" s="1">
        <v>0.42442598938942</v>
      </c>
      <c r="C20" s="1">
        <v>3.0789647632694E-19</v>
      </c>
      <c r="D20" s="1">
        <v>-8.0668505688664006E-5</v>
      </c>
      <c r="E20" s="1">
        <v>4.5082297176123005E-2</v>
      </c>
      <c r="G20">
        <v>7.0156720650636002</v>
      </c>
      <c r="H20">
        <v>6.4938573461756004</v>
      </c>
      <c r="I20">
        <v>4.7706844180588002</v>
      </c>
      <c r="J20">
        <v>7.0158436901633001</v>
      </c>
      <c r="K20">
        <v>6.4933446096154004</v>
      </c>
      <c r="L20">
        <v>4.7704389433173997</v>
      </c>
      <c r="M20">
        <v>-3.268722099634E-2</v>
      </c>
      <c r="N20">
        <v>0.77792627916362012</v>
      </c>
      <c r="O20">
        <v>0.60482915802495008</v>
      </c>
      <c r="Q20">
        <v>4.7079864889382997E-2</v>
      </c>
      <c r="R20">
        <v>1.8813353031874001E-2</v>
      </c>
      <c r="S20">
        <v>1.3969410792924E-4</v>
      </c>
      <c r="T20">
        <v>1.9201409304515E-3</v>
      </c>
      <c r="U20">
        <v>-7.4922491330653006E-4</v>
      </c>
      <c r="V20">
        <v>2.0897670183331E-3</v>
      </c>
      <c r="W20">
        <v>-8.5114734247327E-5</v>
      </c>
      <c r="X20">
        <v>2.5047725648619001E-4</v>
      </c>
      <c r="Z20">
        <v>7.0156720650636002</v>
      </c>
      <c r="AA20">
        <v>4.4042073129782002</v>
      </c>
      <c r="AB20">
        <v>3.2702400825605001E-2</v>
      </c>
      <c r="AC20">
        <v>0.44950513146252002</v>
      </c>
      <c r="AD20">
        <v>0.17539360669306003</v>
      </c>
      <c r="AE20">
        <v>3.3835554357430002</v>
      </c>
      <c r="AF20">
        <v>0.13780982243374001</v>
      </c>
      <c r="AG20">
        <v>2.8049014077568999</v>
      </c>
      <c r="AH20">
        <v>2.2542057527538999</v>
      </c>
      <c r="AI20">
        <v>7.0158436901633001</v>
      </c>
      <c r="AJ20">
        <v>4.4100299045145999</v>
      </c>
      <c r="AK20">
        <v>3.2782558263762002E-2</v>
      </c>
      <c r="AL20">
        <v>0.45162964076769002</v>
      </c>
      <c r="AM20">
        <v>0.17570394468124001</v>
      </c>
      <c r="AN20">
        <v>3.3873798681939</v>
      </c>
      <c r="AO20">
        <v>0.13804330329552</v>
      </c>
      <c r="AP20">
        <v>2.8072865335713999</v>
      </c>
      <c r="AQ20">
        <v>2.2607650342354</v>
      </c>
      <c r="AS20">
        <v>6.9509301185607999</v>
      </c>
      <c r="AV20">
        <v>2.1700234537798</v>
      </c>
      <c r="AX20">
        <v>8.0575077533422998</v>
      </c>
      <c r="AY20">
        <v>-0.191459044844</v>
      </c>
      <c r="AZ20">
        <v>0.33060418325960006</v>
      </c>
      <c r="BA20">
        <v>-2.5391643738500003E-2</v>
      </c>
      <c r="BB20">
        <v>1.2217876808004E-2</v>
      </c>
      <c r="BC20">
        <v>-0.12574399696631</v>
      </c>
      <c r="BD20">
        <v>2.2737451879806001E-4</v>
      </c>
      <c r="BE20">
        <f>(Table__150_diric[[#This Row],[F2]]+Table__150_diric_3[[#This Row],[F2]]+Table__150_diric_4[[#This Row],[F2]])/2</f>
        <v>-0.111552298054428</v>
      </c>
      <c r="BF20">
        <v>8.0575077533422998</v>
      </c>
      <c r="BG20">
        <v>-4.9168132631780001E-3</v>
      </c>
      <c r="BH20">
        <v>1.7099512122700001E-3</v>
      </c>
      <c r="BI20">
        <v>1.2124045378614002E-3</v>
      </c>
      <c r="BJ20">
        <v>2.0752518452737999E-3</v>
      </c>
      <c r="BK20">
        <v>8.0794332227164994E-5</v>
      </c>
      <c r="BM20">
        <v>8.0575077533422998</v>
      </c>
      <c r="BN20">
        <v>-2.6728738001678E-2</v>
      </c>
      <c r="BO20">
        <v>3.5199490589529002E-2</v>
      </c>
      <c r="BP20">
        <v>-4.1423760463760008E-3</v>
      </c>
      <c r="BQ20">
        <v>-4.1390226045597001E-3</v>
      </c>
      <c r="BR20">
        <v>1.8935393691565003E-4</v>
      </c>
    </row>
    <row r="21" spans="1:70" x14ac:dyDescent="0.25">
      <c r="A21">
        <v>5.0562772899866E-2</v>
      </c>
      <c r="B21" s="1">
        <v>0.45028930902481001</v>
      </c>
      <c r="C21" s="1">
        <v>-4.6650339570030996E-19</v>
      </c>
      <c r="D21" s="1">
        <v>-8.6223735706881014E-5</v>
      </c>
      <c r="E21" s="1">
        <v>4.8005152493715002E-2</v>
      </c>
      <c r="G21">
        <v>7.5346824847354004</v>
      </c>
      <c r="H21">
        <v>6.8895746500391004</v>
      </c>
      <c r="I21">
        <v>5.079985877685</v>
      </c>
      <c r="J21">
        <v>7.5348528669943997</v>
      </c>
      <c r="K21">
        <v>6.8889159104918001</v>
      </c>
      <c r="L21">
        <v>5.0796629221987999</v>
      </c>
      <c r="M21">
        <v>-3.9341596892093003E-2</v>
      </c>
      <c r="N21">
        <v>0.74687106597137998</v>
      </c>
      <c r="O21">
        <v>0.58693185106482004</v>
      </c>
      <c r="Q21">
        <v>5.0562772899866E-2</v>
      </c>
      <c r="R21">
        <v>2.0442830398679002E-2</v>
      </c>
      <c r="S21">
        <v>1.6813071852084003E-4</v>
      </c>
      <c r="T21">
        <v>2.0571816712618E-3</v>
      </c>
      <c r="U21">
        <v>-8.6702749831601999E-4</v>
      </c>
      <c r="V21">
        <v>2.2888691164553001E-3</v>
      </c>
      <c r="W21">
        <v>-9.9743134342134012E-5</v>
      </c>
      <c r="X21">
        <v>2.7648551622406001E-4</v>
      </c>
      <c r="Z21">
        <v>7.5346824847354004</v>
      </c>
      <c r="AA21">
        <v>4.7856680830523999</v>
      </c>
      <c r="AB21">
        <v>3.9359413433173999E-2</v>
      </c>
      <c r="AC21">
        <v>0.48158637885262001</v>
      </c>
      <c r="AD21">
        <v>0.20297120041107003</v>
      </c>
      <c r="AE21">
        <v>3.7059229439195001</v>
      </c>
      <c r="AF21">
        <v>0.16149476062196</v>
      </c>
      <c r="AG21">
        <v>3.0961478281921999</v>
      </c>
      <c r="AH21">
        <v>2.2834603903247999</v>
      </c>
      <c r="AI21">
        <v>7.5348528669943997</v>
      </c>
      <c r="AJ21">
        <v>4.7914450117141003</v>
      </c>
      <c r="AK21">
        <v>3.9454065396248003E-2</v>
      </c>
      <c r="AL21">
        <v>0.48387298590759004</v>
      </c>
      <c r="AM21">
        <v>0.20330867802667002</v>
      </c>
      <c r="AN21">
        <v>3.7095811958829001</v>
      </c>
      <c r="AO21">
        <v>0.16175125031258</v>
      </c>
      <c r="AP21">
        <v>3.0983578986242</v>
      </c>
      <c r="AQ21">
        <v>2.2900371007144003</v>
      </c>
      <c r="AS21">
        <v>7.9702000617981001</v>
      </c>
      <c r="AV21">
        <v>2.2255268460447999</v>
      </c>
      <c r="AX21">
        <v>8.5844415343137008</v>
      </c>
      <c r="AY21">
        <v>-0.19060978976442</v>
      </c>
      <c r="AZ21">
        <v>0.35463879162600004</v>
      </c>
      <c r="BA21">
        <v>-2.7404195505437001E-2</v>
      </c>
      <c r="BB21">
        <v>-7.2568704394200996E-3</v>
      </c>
      <c r="BC21">
        <v>-0.12911398122129999</v>
      </c>
      <c r="BD21">
        <v>2.5395469542136001E-4</v>
      </c>
      <c r="BE21">
        <f>(Table__150_diric[[#This Row],[F2]]+Table__150_diric_3[[#This Row],[F2]]+Table__150_diric_4[[#This Row],[F2]])/2</f>
        <v>-0.11184384598276324</v>
      </c>
      <c r="BF21">
        <v>8.5844415343137008</v>
      </c>
      <c r="BG21">
        <v>-5.3100119178165006E-3</v>
      </c>
      <c r="BH21">
        <v>1.9080482034171001E-3</v>
      </c>
      <c r="BI21">
        <v>1.5125024014985E-3</v>
      </c>
      <c r="BJ21">
        <v>1.9642211963345002E-3</v>
      </c>
      <c r="BK21">
        <v>7.475988343363501E-5</v>
      </c>
      <c r="BM21">
        <v>8.5844415343137008</v>
      </c>
      <c r="BN21">
        <v>-2.7767890283289999E-2</v>
      </c>
      <c r="BO21">
        <v>3.5958851486931002E-2</v>
      </c>
      <c r="BP21">
        <v>-3.9587653222453003E-3</v>
      </c>
      <c r="BQ21">
        <v>-4.0368711344951E-3</v>
      </c>
      <c r="BR21">
        <v>1.9532474690132001E-4</v>
      </c>
    </row>
    <row r="22" spans="1:70" x14ac:dyDescent="0.25">
      <c r="A22">
        <v>5.4071281105280006E-2</v>
      </c>
      <c r="B22" s="1">
        <v>0.47527018189429998</v>
      </c>
      <c r="C22" s="1">
        <v>-1.4346620544120001E-19</v>
      </c>
      <c r="D22" s="1">
        <v>-9.1834757768083011E-5</v>
      </c>
      <c r="E22" s="1">
        <v>5.0859015434980004E-2</v>
      </c>
      <c r="G22">
        <v>8.0575077533422998</v>
      </c>
      <c r="H22">
        <v>7.2717902279089</v>
      </c>
      <c r="I22">
        <v>5.3819864481524</v>
      </c>
      <c r="J22">
        <v>8.0576991872468007</v>
      </c>
      <c r="K22">
        <v>7.2709730323433002</v>
      </c>
      <c r="L22">
        <v>5.3815786583987002</v>
      </c>
      <c r="M22">
        <v>-4.6637266068642005E-2</v>
      </c>
      <c r="N22">
        <v>0.71521429425409</v>
      </c>
      <c r="O22">
        <v>0.56823960270419005</v>
      </c>
      <c r="Q22">
        <v>5.4071281105280006E-2</v>
      </c>
      <c r="R22">
        <v>2.1947933360934001E-2</v>
      </c>
      <c r="S22">
        <v>1.9930824055336001E-4</v>
      </c>
      <c r="T22">
        <v>2.1902676671743003E-3</v>
      </c>
      <c r="U22">
        <v>-9.8728062584996007E-4</v>
      </c>
      <c r="V22">
        <v>2.4770321324468002E-3</v>
      </c>
      <c r="W22">
        <v>-1.1499984248076002E-4</v>
      </c>
      <c r="X22">
        <v>3.0170378158800006E-4</v>
      </c>
      <c r="Z22">
        <v>8.0575077533422998</v>
      </c>
      <c r="AA22">
        <v>5.1380127959762003</v>
      </c>
      <c r="AB22">
        <v>4.6658073608399006E-2</v>
      </c>
      <c r="AC22">
        <v>0.51274182017453007</v>
      </c>
      <c r="AD22">
        <v>0.23112246631227001</v>
      </c>
      <c r="AE22">
        <v>4.0105789127323996</v>
      </c>
      <c r="AF22">
        <v>0.18619699646984</v>
      </c>
      <c r="AG22">
        <v>3.3785477115700999</v>
      </c>
      <c r="AH22">
        <v>2.3139868446583001</v>
      </c>
      <c r="AI22">
        <v>8.0576991872468007</v>
      </c>
      <c r="AJ22">
        <v>5.1435797276111002</v>
      </c>
      <c r="AK22">
        <v>4.6768069090262002E-2</v>
      </c>
      <c r="AL22">
        <v>0.51519822576648</v>
      </c>
      <c r="AM22">
        <v>0.23148110238312</v>
      </c>
      <c r="AN22">
        <v>4.013934310032</v>
      </c>
      <c r="AO22">
        <v>0.18647249889553003</v>
      </c>
      <c r="AP22">
        <v>3.3804772621687</v>
      </c>
      <c r="AQ22">
        <v>2.3205839074363999</v>
      </c>
      <c r="AS22">
        <v>9.057149887085</v>
      </c>
      <c r="AV22">
        <v>2.2888057966362001</v>
      </c>
      <c r="AX22">
        <v>9.1157847077605005</v>
      </c>
      <c r="AY22">
        <v>-0.19022172966111001</v>
      </c>
      <c r="AZ22">
        <v>0.37497351771855003</v>
      </c>
      <c r="BA22">
        <v>-2.9336769098630002E-2</v>
      </c>
      <c r="BB22">
        <v>-2.6541228843217E-2</v>
      </c>
      <c r="BC22">
        <v>-0.12858515929451</v>
      </c>
      <c r="BD22">
        <v>2.8863082108718002E-4</v>
      </c>
      <c r="BE22">
        <f>(Table__150_diric[[#This Row],[F2]]+Table__150_diric_3[[#This Row],[F2]]+Table__150_diric_4[[#This Row],[F2]])/2</f>
        <v>-0.11232791922949971</v>
      </c>
      <c r="BF22">
        <v>9.1157847077605005</v>
      </c>
      <c r="BG22">
        <v>-5.7172532637303998E-3</v>
      </c>
      <c r="BH22">
        <v>2.1386417928773E-3</v>
      </c>
      <c r="BI22">
        <v>1.8288746841460001E-3</v>
      </c>
      <c r="BJ22">
        <v>1.8430102156281002E-3</v>
      </c>
      <c r="BK22">
        <v>9.3273428921025013E-5</v>
      </c>
      <c r="BM22">
        <v>9.1157847077605005</v>
      </c>
      <c r="BN22">
        <v>-2.8716855534159001E-2</v>
      </c>
      <c r="BO22">
        <v>3.6603734947111E-2</v>
      </c>
      <c r="BP22">
        <v>-3.7247593103058997E-3</v>
      </c>
      <c r="BQ22">
        <v>-3.9654457897874999E-3</v>
      </c>
      <c r="BR22">
        <v>1.9667431285838003E-4</v>
      </c>
    </row>
    <row r="23" spans="1:70" x14ac:dyDescent="0.25">
      <c r="A23">
        <v>5.7607360184193004E-2</v>
      </c>
      <c r="B23" s="1">
        <v>0.49935176968575007</v>
      </c>
      <c r="C23" s="1">
        <v>4.2351647362714998E-19</v>
      </c>
      <c r="D23" s="1">
        <v>-9.7506228485145E-5</v>
      </c>
      <c r="E23" s="1">
        <v>5.3640652447939002E-2</v>
      </c>
      <c r="G23">
        <v>8.5844415343137008</v>
      </c>
      <c r="H23">
        <v>7.6402464480664003</v>
      </c>
      <c r="I23">
        <v>5.6763439495585999</v>
      </c>
      <c r="J23">
        <v>8.5846491192135996</v>
      </c>
      <c r="K23">
        <v>7.6392619972454998</v>
      </c>
      <c r="L23">
        <v>5.6758453714280996</v>
      </c>
      <c r="M23">
        <v>-5.4564008712748004E-2</v>
      </c>
      <c r="N23">
        <v>0.68330513816967997</v>
      </c>
      <c r="O23">
        <v>0.54894901654529005</v>
      </c>
      <c r="Q23">
        <v>5.7607360184193004E-2</v>
      </c>
      <c r="R23">
        <v>2.3316757753491003E-2</v>
      </c>
      <c r="S23">
        <v>2.3318188323174003E-4</v>
      </c>
      <c r="T23">
        <v>2.3195079993457001E-3</v>
      </c>
      <c r="U23">
        <v>-1.108511001803E-3</v>
      </c>
      <c r="V23">
        <v>2.6524802669883E-3</v>
      </c>
      <c r="W23">
        <v>-1.3071674038656002E-4</v>
      </c>
      <c r="X23">
        <v>3.2589337206445998E-4</v>
      </c>
      <c r="Z23">
        <v>8.5844415343137008</v>
      </c>
      <c r="AA23">
        <v>5.4584546858228</v>
      </c>
      <c r="AB23">
        <v>5.4587895822894E-2</v>
      </c>
      <c r="AC23">
        <v>0.54299699133495005</v>
      </c>
      <c r="AD23">
        <v>0.25950250613944997</v>
      </c>
      <c r="AE23">
        <v>4.2946481338996998</v>
      </c>
      <c r="AF23">
        <v>0.21164432857704002</v>
      </c>
      <c r="AG23">
        <v>3.6494282590988001</v>
      </c>
      <c r="AH23">
        <v>2.3456349086616002</v>
      </c>
      <c r="AI23">
        <v>8.5846491192135996</v>
      </c>
      <c r="AJ23">
        <v>5.4636509042051999</v>
      </c>
      <c r="AK23">
        <v>5.4714012770169004E-2</v>
      </c>
      <c r="AL23">
        <v>0.54563141284208005</v>
      </c>
      <c r="AM23">
        <v>0.25987570876262001</v>
      </c>
      <c r="AN23">
        <v>4.2975655886692996</v>
      </c>
      <c r="AO23">
        <v>0.21193412284679003</v>
      </c>
      <c r="AP23">
        <v>3.6509723021684999</v>
      </c>
      <c r="AQ23">
        <v>2.3522562118822998</v>
      </c>
      <c r="AS23">
        <v>10.21129989624</v>
      </c>
      <c r="AV23">
        <v>2.3586508214577999</v>
      </c>
      <c r="AX23">
        <v>9.6518475909929009</v>
      </c>
      <c r="AY23">
        <v>-0.19008970075816001</v>
      </c>
      <c r="AZ23">
        <v>0.39146971102377004</v>
      </c>
      <c r="BA23">
        <v>-3.1185333911061004E-2</v>
      </c>
      <c r="BB23">
        <v>-4.4866262882657007E-2</v>
      </c>
      <c r="BC23">
        <v>-0.12500598430838</v>
      </c>
      <c r="BD23">
        <v>3.2242916350815997E-4</v>
      </c>
      <c r="BE23">
        <f>(Table__150_diric[[#This Row],[F2]]+Table__150_diric_3[[#This Row],[F2]]+Table__150_diric_4[[#This Row],[F2]])/2</f>
        <v>-0.11289557795480822</v>
      </c>
      <c r="BF23">
        <v>9.6518475909929009</v>
      </c>
      <c r="BG23">
        <v>-6.1364154325223999E-3</v>
      </c>
      <c r="BH23">
        <v>2.3617165923602999E-3</v>
      </c>
      <c r="BI23">
        <v>2.1518456395444997E-3</v>
      </c>
      <c r="BJ23">
        <v>1.7160038627616002E-3</v>
      </c>
      <c r="BK23">
        <v>9.3150662143985015E-5</v>
      </c>
      <c r="BM23">
        <v>9.6518475909929009</v>
      </c>
      <c r="BN23">
        <v>-2.9565039718934E-2</v>
      </c>
      <c r="BO23">
        <v>3.7132403026974001E-2</v>
      </c>
      <c r="BP23">
        <v>-3.4524052813409999E-3</v>
      </c>
      <c r="BQ23">
        <v>-3.9133781158588003E-3</v>
      </c>
      <c r="BR23">
        <v>2.0157991084046999E-4</v>
      </c>
    </row>
    <row r="24" spans="1:70" x14ac:dyDescent="0.25">
      <c r="A24">
        <v>6.1173029243946006E-2</v>
      </c>
      <c r="B24" s="1">
        <v>0.52252674102783003</v>
      </c>
      <c r="C24" s="1">
        <v>6.9604932440622005E-19</v>
      </c>
      <c r="D24" s="1">
        <v>-1.0323435708415002E-4</v>
      </c>
      <c r="E24" s="1">
        <v>5.6347586214542E-2</v>
      </c>
      <c r="G24">
        <v>9.1157847077605005</v>
      </c>
      <c r="H24">
        <v>7.9948311381173998</v>
      </c>
      <c r="I24">
        <v>5.9627962279463</v>
      </c>
      <c r="J24">
        <v>9.1160046602937008</v>
      </c>
      <c r="K24">
        <v>7.9936729152888999</v>
      </c>
      <c r="L24">
        <v>5.9622019540144002</v>
      </c>
      <c r="M24">
        <v>-6.3109050057861008E-2</v>
      </c>
      <c r="N24">
        <v>0.65144352660648996</v>
      </c>
      <c r="O24">
        <v>0.52924401081448003</v>
      </c>
      <c r="Q24">
        <v>6.1173029243946006E-2</v>
      </c>
      <c r="R24">
        <v>2.4542357772589E-2</v>
      </c>
      <c r="S24">
        <v>2.6969640748575005E-4</v>
      </c>
      <c r="T24">
        <v>2.4449781049043001E-3</v>
      </c>
      <c r="U24">
        <v>-1.2293973704800001E-3</v>
      </c>
      <c r="V24">
        <v>2.8139415662736004E-3</v>
      </c>
      <c r="W24">
        <v>-1.4673321857117003E-4</v>
      </c>
      <c r="X24">
        <v>3.4886202774942003E-4</v>
      </c>
      <c r="Z24">
        <v>9.1157847077605005</v>
      </c>
      <c r="AA24">
        <v>5.7453677394262002</v>
      </c>
      <c r="AB24">
        <v>6.3135948606308001E-2</v>
      </c>
      <c r="AC24">
        <v>0.57236955217114005</v>
      </c>
      <c r="AD24">
        <v>0.28780201383830001</v>
      </c>
      <c r="AE24">
        <v>4.5560711787013997</v>
      </c>
      <c r="AF24">
        <v>0.23757671307138001</v>
      </c>
      <c r="AG24">
        <v>3.9066365005527999</v>
      </c>
      <c r="AH24">
        <v>2.3782119750124</v>
      </c>
      <c r="AI24">
        <v>9.1160046602937008</v>
      </c>
      <c r="AJ24">
        <v>5.7500391443985004</v>
      </c>
      <c r="AK24">
        <v>6.3278907658004008E-2</v>
      </c>
      <c r="AL24">
        <v>0.57518971562138999</v>
      </c>
      <c r="AM24">
        <v>0.28818308287721001</v>
      </c>
      <c r="AN24">
        <v>4.5584221213873004</v>
      </c>
      <c r="AO24">
        <v>0.23787554813039</v>
      </c>
      <c r="AP24">
        <v>3.907694329461</v>
      </c>
      <c r="AQ24">
        <v>2.3848623752505</v>
      </c>
      <c r="AS24">
        <v>11.432000160216999</v>
      </c>
      <c r="AV24">
        <v>2.4335689511336001</v>
      </c>
      <c r="AX24">
        <v>10.19294993852</v>
      </c>
      <c r="AY24">
        <v>-0.1900361432937</v>
      </c>
      <c r="AZ24">
        <v>0.40413240002751005</v>
      </c>
      <c r="BA24">
        <v>-3.2947050755815999E-2</v>
      </c>
      <c r="BB24">
        <v>-6.1641368282251995E-2</v>
      </c>
      <c r="BC24">
        <v>-0.11915703422233</v>
      </c>
      <c r="BD24">
        <v>3.5080347341342999E-4</v>
      </c>
      <c r="BE24">
        <f>(Table__150_diric[[#This Row],[F2]]+Table__150_diric_3[[#This Row],[F2]]+Table__150_diric_4[[#This Row],[F2]])/2</f>
        <v>-0.11345473846537946</v>
      </c>
      <c r="BF24">
        <v>10.19294993852</v>
      </c>
      <c r="BG24">
        <v>-6.5651516003379009E-3</v>
      </c>
      <c r="BH24">
        <v>2.6193535054658003E-3</v>
      </c>
      <c r="BI24">
        <v>2.4711230005488001E-3</v>
      </c>
      <c r="BJ24">
        <v>1.5818583231703E-3</v>
      </c>
      <c r="BK24">
        <v>1.0718322884700999E-4</v>
      </c>
      <c r="BM24">
        <v>10.19294993852</v>
      </c>
      <c r="BN24">
        <v>-3.0308182036721001E-2</v>
      </c>
      <c r="BO24">
        <v>3.7544929507122002E-2</v>
      </c>
      <c r="BP24">
        <v>-3.1530840176787001E-3</v>
      </c>
      <c r="BQ24">
        <v>-3.8815464637377002E-3</v>
      </c>
      <c r="BR24">
        <v>2.0211698898506999E-4</v>
      </c>
    </row>
    <row r="25" spans="1:70" x14ac:dyDescent="0.25">
      <c r="A25">
        <v>6.4770370721817003E-2</v>
      </c>
      <c r="B25" s="1">
        <v>0.54479604959488004</v>
      </c>
      <c r="C25" s="1">
        <v>1.5521878758434998E-19</v>
      </c>
      <c r="D25" s="1">
        <v>-1.0900748020504002E-4</v>
      </c>
      <c r="E25" s="1">
        <v>5.8978054672480004E-2</v>
      </c>
      <c r="G25">
        <v>9.6518475909929009</v>
      </c>
      <c r="H25">
        <v>8.3355588895927006</v>
      </c>
      <c r="I25">
        <v>6.2411568189217999</v>
      </c>
      <c r="J25">
        <v>9.6520678078861</v>
      </c>
      <c r="K25">
        <v>8.3342249374119</v>
      </c>
      <c r="L25">
        <v>6.2404642111481001</v>
      </c>
      <c r="M25">
        <v>-7.2256634558568997E-2</v>
      </c>
      <c r="N25">
        <v>0.61990236193078996</v>
      </c>
      <c r="O25">
        <v>0.50929623384558009</v>
      </c>
      <c r="Q25">
        <v>6.4770370721817003E-2</v>
      </c>
      <c r="R25">
        <v>2.5622013956308001E-2</v>
      </c>
      <c r="S25">
        <v>3.0878698453307E-4</v>
      </c>
      <c r="T25">
        <v>2.5667152367532002E-3</v>
      </c>
      <c r="U25">
        <v>-1.348786870949E-3</v>
      </c>
      <c r="V25">
        <v>2.9605964664369999E-3</v>
      </c>
      <c r="W25">
        <v>-1.6289952327497003E-4</v>
      </c>
      <c r="X25">
        <v>3.7046152283438E-4</v>
      </c>
      <c r="Z25">
        <v>9.6518475909929009</v>
      </c>
      <c r="AA25">
        <v>5.9981153305539001</v>
      </c>
      <c r="AB25">
        <v>7.2287055535979999E-2</v>
      </c>
      <c r="AC25">
        <v>0.60086822359041003</v>
      </c>
      <c r="AD25">
        <v>0.31575110458079003</v>
      </c>
      <c r="AE25">
        <v>4.7935210859269999</v>
      </c>
      <c r="AF25">
        <v>0.26375168266204002</v>
      </c>
      <c r="AG25">
        <v>4.1485125695442004</v>
      </c>
      <c r="AH25">
        <v>2.4115651747200002</v>
      </c>
      <c r="AI25">
        <v>9.6520678078861</v>
      </c>
      <c r="AJ25">
        <v>6.0021161360701996</v>
      </c>
      <c r="AK25">
        <v>7.2447547379568003E-2</v>
      </c>
      <c r="AL25">
        <v>0.60388065553682013</v>
      </c>
      <c r="AM25">
        <v>0.31613359772629002</v>
      </c>
      <c r="AN25">
        <v>4.7951849613378998</v>
      </c>
      <c r="AO25">
        <v>0.26405413963217</v>
      </c>
      <c r="AP25">
        <v>4.1489892514172002</v>
      </c>
      <c r="AQ25">
        <v>2.4182495427825001</v>
      </c>
      <c r="AS25">
        <v>12.718799591064</v>
      </c>
      <c r="AV25">
        <v>2.5119398194664</v>
      </c>
      <c r="AX25">
        <v>10.739420386919999</v>
      </c>
      <c r="AY25">
        <v>-0.18991699434744003</v>
      </c>
      <c r="AZ25">
        <v>0.41308458559885008</v>
      </c>
      <c r="BA25">
        <v>-3.4620804726004997E-2</v>
      </c>
      <c r="BB25">
        <v>-7.6451807872597005E-2</v>
      </c>
      <c r="BC25">
        <v>-0.11170434647464</v>
      </c>
      <c r="BD25">
        <v>3.9063217817237006E-4</v>
      </c>
      <c r="BE25">
        <f>(Table__150_diric[[#This Row],[F2]]+Table__150_diric_3[[#This Row],[F2]]+Table__150_diric_4[[#This Row],[F2]])/2</f>
        <v>-0.11393228062053121</v>
      </c>
      <c r="BF25">
        <v>10.739420386919999</v>
      </c>
      <c r="BG25">
        <v>-7.0010093383594003E-3</v>
      </c>
      <c r="BH25">
        <v>2.8913361345834997E-3</v>
      </c>
      <c r="BI25">
        <v>2.7763027136256E-3</v>
      </c>
      <c r="BJ25">
        <v>1.4439926418911E-3</v>
      </c>
      <c r="BK25">
        <v>1.1062215174081001E-4</v>
      </c>
      <c r="BM25">
        <v>10.739420386919999</v>
      </c>
      <c r="BN25">
        <v>-3.0946557555263002E-2</v>
      </c>
      <c r="BO25">
        <v>3.7844634514695004E-2</v>
      </c>
      <c r="BP25">
        <v>-2.8371209642732999E-3</v>
      </c>
      <c r="BQ25">
        <v>-3.8551310006347001E-3</v>
      </c>
      <c r="BR25">
        <v>2.0582499452444003E-4</v>
      </c>
    </row>
    <row r="26" spans="1:70" x14ac:dyDescent="0.25">
      <c r="A26">
        <v>6.8401530385017006E-2</v>
      </c>
      <c r="B26" s="1">
        <v>0.56616830825806008</v>
      </c>
      <c r="C26" s="1">
        <v>-1.5931630946669002E-18</v>
      </c>
      <c r="D26" s="1">
        <v>-1.1480697139632002E-4</v>
      </c>
      <c r="E26" s="1">
        <v>6.1530966311692997E-2</v>
      </c>
      <c r="G26">
        <v>10.19294993852</v>
      </c>
      <c r="H26">
        <v>8.6625614822564998</v>
      </c>
      <c r="I26">
        <v>6.5113102170571002</v>
      </c>
      <c r="J26">
        <v>10.193193853047999</v>
      </c>
      <c r="K26">
        <v>8.6610521201849995</v>
      </c>
      <c r="L26">
        <v>6.5105193381764996</v>
      </c>
      <c r="M26">
        <v>-8.1989303367255004E-2</v>
      </c>
      <c r="N26">
        <v>0.58890716122073006</v>
      </c>
      <c r="O26">
        <v>0.48926467833637999</v>
      </c>
      <c r="Q26">
        <v>6.8401530385017006E-2</v>
      </c>
      <c r="R26">
        <v>2.6556449010968E-2</v>
      </c>
      <c r="S26">
        <v>3.5037990892306003E-4</v>
      </c>
      <c r="T26">
        <v>2.6847224216908E-3</v>
      </c>
      <c r="U26">
        <v>-1.4657006831840002E-3</v>
      </c>
      <c r="V26">
        <v>3.0920158606023E-3</v>
      </c>
      <c r="W26">
        <v>-1.7907902656589002E-4</v>
      </c>
      <c r="X26">
        <v>3.9058391121216004E-4</v>
      </c>
      <c r="Z26">
        <v>10.19294993852</v>
      </c>
      <c r="AA26">
        <v>6.2168666448073004</v>
      </c>
      <c r="AB26">
        <v>8.2023962160556005E-2</v>
      </c>
      <c r="AC26">
        <v>0.62849371416647004</v>
      </c>
      <c r="AD26">
        <v>0.34312063652766001</v>
      </c>
      <c r="AE26">
        <v>5.0063030858289004</v>
      </c>
      <c r="AF26">
        <v>0.28994802217134003</v>
      </c>
      <c r="AG26">
        <v>4.3738476609615997</v>
      </c>
      <c r="AH26">
        <v>2.4455186323914</v>
      </c>
      <c r="AI26">
        <v>10.193193853047999</v>
      </c>
      <c r="AJ26">
        <v>6.2200593414221999</v>
      </c>
      <c r="AK26">
        <v>8.2202668067376999E-2</v>
      </c>
      <c r="AL26">
        <v>0.63170248848810007</v>
      </c>
      <c r="AM26">
        <v>0.34349853091083005</v>
      </c>
      <c r="AN26">
        <v>5.0071695536084997</v>
      </c>
      <c r="AO26">
        <v>0.29024866636537999</v>
      </c>
      <c r="AP26">
        <v>4.3736571168163003</v>
      </c>
      <c r="AQ26">
        <v>2.4522433764019</v>
      </c>
      <c r="AS26">
        <v>14.071000099182001</v>
      </c>
      <c r="AV26">
        <v>2.5915204590518002</v>
      </c>
      <c r="AX26">
        <v>11.291600895878</v>
      </c>
      <c r="AY26">
        <v>-0.18962253974952004</v>
      </c>
      <c r="AZ26">
        <v>0.41854381063708002</v>
      </c>
      <c r="BA26">
        <v>-3.6206516575794996E-2</v>
      </c>
      <c r="BB26">
        <v>-8.9042805559557001E-2</v>
      </c>
      <c r="BC26">
        <v>-0.10324660080183</v>
      </c>
      <c r="BD26">
        <v>4.2534795037777004E-4</v>
      </c>
      <c r="BE26">
        <f>(Table__150_diric[[#This Row],[F2]]+Table__150_diric_3[[#This Row],[F2]]+Table__150_diric_4[[#This Row],[F2]])/2</f>
        <v>-0.11427379430568627</v>
      </c>
      <c r="BF26">
        <v>11.291600895878</v>
      </c>
      <c r="BG26">
        <v>-7.4415245929765001E-3</v>
      </c>
      <c r="BH26">
        <v>3.2044319800392002E-3</v>
      </c>
      <c r="BI26">
        <v>3.0573343374576002E-3</v>
      </c>
      <c r="BJ26">
        <v>1.3016222113294001E-3</v>
      </c>
      <c r="BK26">
        <v>1.2186393584965001E-4</v>
      </c>
      <c r="BM26">
        <v>11.291600895878</v>
      </c>
      <c r="BN26">
        <v>-3.1483524268876004E-2</v>
      </c>
      <c r="BO26">
        <v>3.8036461350098999E-2</v>
      </c>
      <c r="BP26">
        <v>-2.5136158227685003E-3</v>
      </c>
      <c r="BQ26">
        <v>-3.8331173271677001E-3</v>
      </c>
      <c r="BR26">
        <v>2.0620393128695003E-4</v>
      </c>
    </row>
    <row r="27" spans="1:70" x14ac:dyDescent="0.25">
      <c r="A27">
        <v>7.2068713605403997E-2</v>
      </c>
      <c r="B27" s="1">
        <v>0.58665806055069003</v>
      </c>
      <c r="C27" s="1">
        <v>-4.4564520937417002E-19</v>
      </c>
      <c r="D27" s="1">
        <v>-1.2060831795679001E-4</v>
      </c>
      <c r="E27" s="1">
        <v>6.4005851745604997E-2</v>
      </c>
      <c r="G27">
        <v>10.739420386919999</v>
      </c>
      <c r="H27">
        <v>8.9760614369559004</v>
      </c>
      <c r="I27">
        <v>6.7732067510762004</v>
      </c>
      <c r="J27">
        <v>10.739667028626002</v>
      </c>
      <c r="K27">
        <v>8.9743815390233994</v>
      </c>
      <c r="L27">
        <v>6.7723188212108001</v>
      </c>
      <c r="M27">
        <v>-9.2288745985197013E-2</v>
      </c>
      <c r="N27">
        <v>0.55864323101778002</v>
      </c>
      <c r="O27">
        <v>0.46929070076460006</v>
      </c>
      <c r="Q27">
        <v>7.2068713605403997E-2</v>
      </c>
      <c r="R27">
        <v>2.7349090203643001E-2</v>
      </c>
      <c r="S27">
        <v>3.9439287502319006E-4</v>
      </c>
      <c r="T27">
        <v>2.7989733498544E-3</v>
      </c>
      <c r="U27">
        <v>-1.5793300699443E-3</v>
      </c>
      <c r="V27">
        <v>3.2081005629152003E-3</v>
      </c>
      <c r="W27">
        <v>-1.9514936138876002E-4</v>
      </c>
      <c r="X27">
        <v>4.0915716090240002E-4</v>
      </c>
      <c r="Z27">
        <v>10.739420386919999</v>
      </c>
      <c r="AA27">
        <v>6.4024240056578998</v>
      </c>
      <c r="AB27">
        <v>9.2327400725475003E-2</v>
      </c>
      <c r="AC27">
        <v>0.65523986475855001</v>
      </c>
      <c r="AD27">
        <v>0.36972128423203005</v>
      </c>
      <c r="AE27">
        <v>5.1942565859425001</v>
      </c>
      <c r="AF27">
        <v>0.31596760630063003</v>
      </c>
      <c r="AG27">
        <v>4.5818351442707996</v>
      </c>
      <c r="AH27">
        <v>2.479919479036</v>
      </c>
      <c r="AI27">
        <v>10.739667028626002</v>
      </c>
      <c r="AJ27">
        <v>6.4046819472039997</v>
      </c>
      <c r="AK27">
        <v>9.2525023302472004E-2</v>
      </c>
      <c r="AL27">
        <v>0.65864622145823004</v>
      </c>
      <c r="AM27">
        <v>0.37008932884105006</v>
      </c>
      <c r="AN27">
        <v>5.1942254092678999</v>
      </c>
      <c r="AO27">
        <v>0.31626135230673003</v>
      </c>
      <c r="AP27">
        <v>4.5809018731898998</v>
      </c>
      <c r="AQ27">
        <v>2.4866919719394001</v>
      </c>
      <c r="AS27">
        <v>15.487999916076999</v>
      </c>
      <c r="AV27">
        <v>2.6701848916889999</v>
      </c>
      <c r="AX27">
        <v>11.849842307145</v>
      </c>
      <c r="AY27">
        <v>-0.18907517159510001</v>
      </c>
      <c r="AZ27">
        <v>0.42078221370960001</v>
      </c>
      <c r="BA27">
        <v>-3.7705328538227001E-2</v>
      </c>
      <c r="BB27">
        <v>-9.9297003448184998E-2</v>
      </c>
      <c r="BC27">
        <v>-9.4247393178901004E-2</v>
      </c>
      <c r="BD27">
        <v>4.5731694918140999E-4</v>
      </c>
      <c r="BE27">
        <f>(Table__150_diric[[#This Row],[F2]]+Table__150_diric_3[[#This Row],[F2]]+Table__150_diric_4[[#This Row],[F2]])/2</f>
        <v>-0.11444194062618832</v>
      </c>
      <c r="BF27">
        <v>11.849842307145</v>
      </c>
      <c r="BG27">
        <v>-7.8842865941536003E-3</v>
      </c>
      <c r="BH27">
        <v>3.5489973021716002E-3</v>
      </c>
      <c r="BI27">
        <v>3.3049070740926003E-3</v>
      </c>
      <c r="BJ27">
        <v>1.1576922132945E-3</v>
      </c>
      <c r="BK27">
        <v>1.2730999540507001E-4</v>
      </c>
      <c r="BM27">
        <v>11.849842307145</v>
      </c>
      <c r="BN27">
        <v>-3.1924423063123E-2</v>
      </c>
      <c r="BO27">
        <v>3.8127391844477998E-2</v>
      </c>
      <c r="BP27">
        <v>-2.1903272853836002E-3</v>
      </c>
      <c r="BQ27">
        <v>-3.8044597822120001E-3</v>
      </c>
      <c r="BR27">
        <v>2.0818171375954002E-4</v>
      </c>
    </row>
    <row r="28" spans="1:70" x14ac:dyDescent="0.25">
      <c r="A28">
        <v>7.577421516180001E-2</v>
      </c>
      <c r="B28" s="1">
        <v>0.60628527402878007</v>
      </c>
      <c r="C28" s="1">
        <v>1.3680640889341001E-18</v>
      </c>
      <c r="D28" s="1">
        <v>-1.2638214684557002E-4</v>
      </c>
      <c r="E28" s="1">
        <v>6.6402785480022E-2</v>
      </c>
      <c r="G28">
        <v>11.291600895878</v>
      </c>
      <c r="H28">
        <v>9.2763642638704997</v>
      </c>
      <c r="I28">
        <v>7.0268543053085999</v>
      </c>
      <c r="J28">
        <v>11.291860390229999</v>
      </c>
      <c r="K28">
        <v>9.2745196089451003</v>
      </c>
      <c r="L28">
        <v>7.0258729152191997</v>
      </c>
      <c r="M28">
        <v>-0.10313324530926</v>
      </c>
      <c r="N28">
        <v>0.52926454421567004</v>
      </c>
      <c r="O28">
        <v>0.44949699881951005</v>
      </c>
      <c r="Q28">
        <v>7.577421516180001E-2</v>
      </c>
      <c r="R28">
        <v>2.8005409985781E-2</v>
      </c>
      <c r="S28">
        <v>4.4073554454370997E-4</v>
      </c>
      <c r="T28">
        <v>2.9094219207764001E-3</v>
      </c>
      <c r="U28">
        <v>-1.6890269471332001E-3</v>
      </c>
      <c r="V28">
        <v>3.3090182114393E-3</v>
      </c>
      <c r="W28">
        <v>-2.1100295998622E-4</v>
      </c>
      <c r="X28">
        <v>4.2614055564627003E-4</v>
      </c>
      <c r="Z28">
        <v>11.291600895878</v>
      </c>
      <c r="AA28">
        <v>6.5560685143877997</v>
      </c>
      <c r="AB28">
        <v>0.10317622303054</v>
      </c>
      <c r="AC28">
        <v>0.68109588324385006</v>
      </c>
      <c r="AD28">
        <v>0.39540133115977</v>
      </c>
      <c r="AE28">
        <v>5.3576530101516999</v>
      </c>
      <c r="AF28">
        <v>0.34163627139102004</v>
      </c>
      <c r="AG28">
        <v>4.7720190695255003</v>
      </c>
      <c r="AH28">
        <v>2.5146043882077</v>
      </c>
      <c r="AI28">
        <v>11.291860390229999</v>
      </c>
      <c r="AJ28">
        <v>6.5572745876127998</v>
      </c>
      <c r="AK28">
        <v>0.10339349312069</v>
      </c>
      <c r="AL28">
        <v>0.68469768363255001</v>
      </c>
      <c r="AM28">
        <v>0.39575507234076002</v>
      </c>
      <c r="AN28">
        <v>5.3566350250817001</v>
      </c>
      <c r="AO28">
        <v>0.34191858358115002</v>
      </c>
      <c r="AP28">
        <v>4.7702775354050999</v>
      </c>
      <c r="AQ28">
        <v>2.5214323983901998</v>
      </c>
      <c r="AS28">
        <v>16.969100952148001</v>
      </c>
      <c r="AV28">
        <v>2.7458147473801002</v>
      </c>
      <c r="AX28">
        <v>12.414511006096999</v>
      </c>
      <c r="AY28">
        <v>-0.18822528563486002</v>
      </c>
      <c r="AZ28">
        <v>0.42012117449132003</v>
      </c>
      <c r="BA28">
        <v>-3.9119106989296999E-2</v>
      </c>
      <c r="BB28">
        <v>-0.10720868093565</v>
      </c>
      <c r="BC28">
        <v>-8.5070395916937006E-2</v>
      </c>
      <c r="BD28">
        <v>4.9770501457133002E-4</v>
      </c>
      <c r="BE28">
        <f>(Table__150_diric[[#This Row],[F2]]+Table__150_diric_3[[#This Row],[F2]]+Table__150_diric_4[[#This Row],[F2]])/2</f>
        <v>-0.11441400128992195</v>
      </c>
      <c r="BF28">
        <v>12.414511006096999</v>
      </c>
      <c r="BG28">
        <v>-8.3269832058689014E-3</v>
      </c>
      <c r="BH28">
        <v>3.9412641752360001E-3</v>
      </c>
      <c r="BI28">
        <v>3.5107304398550999E-3</v>
      </c>
      <c r="BJ28">
        <v>1.0118542708377001E-3</v>
      </c>
      <c r="BK28">
        <v>1.3686568005995002E-4</v>
      </c>
      <c r="BM28">
        <v>12.414511006096999</v>
      </c>
      <c r="BN28">
        <v>-3.2275733739114999E-2</v>
      </c>
      <c r="BO28">
        <v>3.8125438024804004E-2</v>
      </c>
      <c r="BP28">
        <v>-1.8736504592453001E-3</v>
      </c>
      <c r="BQ28">
        <v>-3.7670646228051999E-3</v>
      </c>
      <c r="BR28">
        <v>2.0898920363828004E-4</v>
      </c>
    </row>
    <row r="29" spans="1:70" x14ac:dyDescent="0.25">
      <c r="A29">
        <v>7.9520389437675004E-2</v>
      </c>
      <c r="B29" s="1">
        <v>0.62507385015488004</v>
      </c>
      <c r="C29" s="1">
        <v>3.6845933205561999E-20</v>
      </c>
      <c r="D29" s="1">
        <v>-1.3209524331614001E-4</v>
      </c>
      <c r="E29" s="1">
        <v>6.8722322583199005E-2</v>
      </c>
      <c r="G29">
        <v>11.849842307145</v>
      </c>
      <c r="H29">
        <v>9.5638356632449</v>
      </c>
      <c r="I29">
        <v>7.2723116180094998</v>
      </c>
      <c r="J29">
        <v>11.850111464364</v>
      </c>
      <c r="K29">
        <v>9.5618347575314004</v>
      </c>
      <c r="L29">
        <v>7.2712419667467003</v>
      </c>
      <c r="M29">
        <v>-0.11450023258521001</v>
      </c>
      <c r="N29">
        <v>0.50087932003989</v>
      </c>
      <c r="O29">
        <v>0.42998903656604998</v>
      </c>
      <c r="Q29">
        <v>7.9520389437675004E-2</v>
      </c>
      <c r="R29">
        <v>2.8532329946755999E-2</v>
      </c>
      <c r="S29">
        <v>4.8930972116067995E-4</v>
      </c>
      <c r="T29">
        <v>3.0160092283040003E-3</v>
      </c>
      <c r="U29">
        <v>-1.7942903796211E-3</v>
      </c>
      <c r="V29">
        <v>3.3951480872929001E-3</v>
      </c>
      <c r="W29">
        <v>-2.2654689382762001E-4</v>
      </c>
      <c r="X29">
        <v>4.4152003829366998E-4</v>
      </c>
      <c r="Z29">
        <v>11.849842307145</v>
      </c>
      <c r="AA29">
        <v>6.6794205155729003</v>
      </c>
      <c r="AB29">
        <v>0.11454744130917001</v>
      </c>
      <c r="AC29">
        <v>0.70604797968773003</v>
      </c>
      <c r="AD29">
        <v>0.42004350836054</v>
      </c>
      <c r="AE29">
        <v>5.4971064549940998</v>
      </c>
      <c r="AF29">
        <v>0.36680355625124</v>
      </c>
      <c r="AG29">
        <v>4.9442420215549001</v>
      </c>
      <c r="AH29">
        <v>2.5494235330848998</v>
      </c>
      <c r="AI29">
        <v>11.850111464364</v>
      </c>
      <c r="AJ29">
        <v>6.6794684324232003</v>
      </c>
      <c r="AK29">
        <v>0.11478513851578001</v>
      </c>
      <c r="AL29">
        <v>0.70983937950524001</v>
      </c>
      <c r="AM29">
        <v>0.42037934271714</v>
      </c>
      <c r="AN29">
        <v>5.4950229866890998</v>
      </c>
      <c r="AO29">
        <v>0.36707067273359001</v>
      </c>
      <c r="AP29">
        <v>4.9416379430087005</v>
      </c>
      <c r="AQ29">
        <v>2.5563163638243003</v>
      </c>
      <c r="AS29">
        <v>18.513599395751999</v>
      </c>
      <c r="AV29">
        <v>2.8162544339252999</v>
      </c>
      <c r="AX29">
        <v>12.985985590955</v>
      </c>
      <c r="AY29">
        <v>-0.18704641504233002</v>
      </c>
      <c r="AZ29">
        <v>0.41689438696933001</v>
      </c>
      <c r="BA29">
        <v>-4.0450456111031999E-2</v>
      </c>
      <c r="BB29">
        <v>-0.11285791302553001</v>
      </c>
      <c r="BC29">
        <v>-7.6011713436559006E-2</v>
      </c>
      <c r="BD29">
        <v>5.2788935387393008E-4</v>
      </c>
      <c r="BE29">
        <f>(Table__150_diric[[#This Row],[F2]]+Table__150_diric_3[[#This Row],[F2]]+Table__150_diric_4[[#This Row],[F2]])/2</f>
        <v>-0.11417916348174387</v>
      </c>
      <c r="BF29">
        <v>12.985985590955</v>
      </c>
      <c r="BG29">
        <v>-8.7674272586277004E-3</v>
      </c>
      <c r="BH29">
        <v>4.3763702525430005E-3</v>
      </c>
      <c r="BI29">
        <v>3.6677489842028002E-3</v>
      </c>
      <c r="BJ29">
        <v>8.6647713201485992E-4</v>
      </c>
      <c r="BK29">
        <v>1.4316911013303001E-4</v>
      </c>
      <c r="BM29">
        <v>12.985985590955</v>
      </c>
      <c r="BN29">
        <v>-3.2544484662530002E-2</v>
      </c>
      <c r="BO29">
        <v>3.8039644846491E-2</v>
      </c>
      <c r="BP29">
        <v>-1.5687623893079002E-3</v>
      </c>
      <c r="BQ29">
        <v>-3.7159840669821003E-3</v>
      </c>
      <c r="BR29">
        <v>2.1041372767147002E-4</v>
      </c>
    </row>
    <row r="30" spans="1:70" x14ac:dyDescent="0.25">
      <c r="A30">
        <v>8.3309695124626007E-2</v>
      </c>
      <c r="B30" s="1">
        <v>0.64305090904236006</v>
      </c>
      <c r="C30" s="1">
        <v>-5.2981910850755995E-19</v>
      </c>
      <c r="D30" s="1">
        <v>-1.3771146768704E-4</v>
      </c>
      <c r="E30" s="1">
        <v>7.0965439081192003E-2</v>
      </c>
      <c r="G30">
        <v>12.414511006096999</v>
      </c>
      <c r="H30">
        <v>9.8388905817409</v>
      </c>
      <c r="I30">
        <v>7.5096819738958001</v>
      </c>
      <c r="J30">
        <v>12.41479330664</v>
      </c>
      <c r="K30">
        <v>9.8367455695834991</v>
      </c>
      <c r="L30">
        <v>7.5085316808523004</v>
      </c>
      <c r="M30">
        <v>-0.12636415827994002</v>
      </c>
      <c r="N30">
        <v>0.47357748413792999</v>
      </c>
      <c r="O30">
        <v>0.41086119553401002</v>
      </c>
      <c r="Q30">
        <v>8.3309695124626007E-2</v>
      </c>
      <c r="R30">
        <v>2.8937734663486002E-2</v>
      </c>
      <c r="S30">
        <v>5.4001004900782997E-4</v>
      </c>
      <c r="T30">
        <v>3.1186721753329E-3</v>
      </c>
      <c r="U30">
        <v>-1.8947502830997001E-3</v>
      </c>
      <c r="V30">
        <v>3.4670296590775E-3</v>
      </c>
      <c r="W30">
        <v>-2.4170233518817002E-4</v>
      </c>
      <c r="X30">
        <v>4.5530361239798004E-4</v>
      </c>
      <c r="Z30">
        <v>12.414511006096999</v>
      </c>
      <c r="AA30">
        <v>6.7743257892428002</v>
      </c>
      <c r="AB30">
        <v>0.12641639174541</v>
      </c>
      <c r="AC30">
        <v>0.73008138305344006</v>
      </c>
      <c r="AD30">
        <v>0.44356117907092002</v>
      </c>
      <c r="AE30">
        <v>5.6134903776074001</v>
      </c>
      <c r="AF30">
        <v>0.39134183039698001</v>
      </c>
      <c r="AG30">
        <v>5.0985936259739004</v>
      </c>
      <c r="AH30">
        <v>2.5842234742704999</v>
      </c>
      <c r="AI30">
        <v>12.41479330664</v>
      </c>
      <c r="AJ30">
        <v>6.7731213844443001</v>
      </c>
      <c r="AK30">
        <v>0.12667536494883</v>
      </c>
      <c r="AL30">
        <v>0.73405288701725002</v>
      </c>
      <c r="AM30">
        <v>0.44387651554773999</v>
      </c>
      <c r="AN30">
        <v>5.6102756324068004</v>
      </c>
      <c r="AO30">
        <v>0.39159082152455005</v>
      </c>
      <c r="AP30">
        <v>5.0950839075632004</v>
      </c>
      <c r="AQ30">
        <v>2.5911910134833001</v>
      </c>
      <c r="AS30">
        <v>20.120700836181999</v>
      </c>
      <c r="AV30">
        <v>2.8796731478652999</v>
      </c>
      <c r="AX30">
        <v>13.564657983044</v>
      </c>
      <c r="AY30">
        <v>-0.18553029663174</v>
      </c>
      <c r="AZ30">
        <v>0.41144416527027006</v>
      </c>
      <c r="BA30">
        <v>-4.1702348988475003E-2</v>
      </c>
      <c r="BB30">
        <v>-0.11638708617477</v>
      </c>
      <c r="BC30">
        <v>-6.7259266093749007E-2</v>
      </c>
      <c r="BD30">
        <v>5.6516738152727005E-4</v>
      </c>
      <c r="BE30">
        <f>(Table__150_diric[[#This Row],[F2]]+Table__150_diric_3[[#This Row],[F2]]+Table__150_diric_4[[#This Row],[F2]])/2</f>
        <v>-0.11373586474697556</v>
      </c>
      <c r="BF30">
        <v>13.564657983044</v>
      </c>
      <c r="BG30">
        <v>-9.2035710215441005E-3</v>
      </c>
      <c r="BH30">
        <v>4.8631497365814007E-3</v>
      </c>
      <c r="BI30">
        <v>3.7702489304210006E-3</v>
      </c>
      <c r="BJ30">
        <v>7.2208213308281005E-4</v>
      </c>
      <c r="BK30">
        <v>1.5190977854115002E-4</v>
      </c>
      <c r="BM30">
        <v>13.564657983044</v>
      </c>
      <c r="BN30">
        <v>-3.2737861840667001E-2</v>
      </c>
      <c r="BO30">
        <v>3.7879472622425005E-2</v>
      </c>
      <c r="BP30">
        <v>-1.2797655162738E-3</v>
      </c>
      <c r="BQ30">
        <v>-3.6515515508958999E-3</v>
      </c>
      <c r="BR30">
        <v>2.1029371458915999E-4</v>
      </c>
    </row>
    <row r="31" spans="1:70" x14ac:dyDescent="0.25">
      <c r="A31">
        <v>8.7144672870636E-2</v>
      </c>
      <c r="B31" s="1">
        <v>0.66024601459502996</v>
      </c>
      <c r="C31" s="1">
        <v>1.1236950836512002E-18</v>
      </c>
      <c r="D31" s="1">
        <v>-1.4319276669994002E-4</v>
      </c>
      <c r="E31" s="1">
        <v>7.3133490979671006E-2</v>
      </c>
      <c r="G31">
        <v>12.985985590955</v>
      </c>
      <c r="H31">
        <v>10.101981356817999</v>
      </c>
      <c r="I31">
        <v>7.7391088677653004</v>
      </c>
      <c r="J31">
        <v>12.986278972668</v>
      </c>
      <c r="K31">
        <v>10.099704372033001</v>
      </c>
      <c r="L31">
        <v>7.7378848382500003</v>
      </c>
      <c r="M31">
        <v>-0.13869989868591001</v>
      </c>
      <c r="N31">
        <v>0.44741273889068006</v>
      </c>
      <c r="O31">
        <v>0.39218754235582004</v>
      </c>
      <c r="Q31">
        <v>8.7144672870636E-2</v>
      </c>
      <c r="R31">
        <v>2.9230076819658002E-2</v>
      </c>
      <c r="S31">
        <v>5.9272412909195011E-4</v>
      </c>
      <c r="T31">
        <v>3.2173504587263003E-3</v>
      </c>
      <c r="U31">
        <v>-1.9901515915990002E-3</v>
      </c>
      <c r="V31">
        <v>3.5253209061920998E-3</v>
      </c>
      <c r="W31">
        <v>-2.5640366948210001E-4</v>
      </c>
      <c r="X31">
        <v>4.6751752961427E-4</v>
      </c>
      <c r="Z31">
        <v>12.985985590955</v>
      </c>
      <c r="AA31">
        <v>6.8427631092633998</v>
      </c>
      <c r="AB31">
        <v>0.13875676172678</v>
      </c>
      <c r="AC31">
        <v>0.75318197637229001</v>
      </c>
      <c r="AD31">
        <v>0.46589463232874001</v>
      </c>
      <c r="AE31">
        <v>5.7078701167363999</v>
      </c>
      <c r="AF31">
        <v>0.41514485682362001</v>
      </c>
      <c r="AG31">
        <v>5.2353678547992004</v>
      </c>
      <c r="AH31">
        <v>2.6188604692809001</v>
      </c>
      <c r="AI31">
        <v>12.986278972668</v>
      </c>
      <c r="AJ31">
        <v>6.8402243341303999</v>
      </c>
      <c r="AK31">
        <v>0.1390379564127</v>
      </c>
      <c r="AL31">
        <v>0.75732027463771001</v>
      </c>
      <c r="AM31">
        <v>0.46618770019698003</v>
      </c>
      <c r="AN31">
        <v>5.7034682603371003</v>
      </c>
      <c r="AO31">
        <v>0.41537387157024003</v>
      </c>
      <c r="AP31">
        <v>5.2309188425095998</v>
      </c>
      <c r="AQ31">
        <v>2.6259133787374997</v>
      </c>
      <c r="AS31">
        <v>21.789800643920998</v>
      </c>
      <c r="AV31">
        <v>2.9347800784601001</v>
      </c>
      <c r="AX31">
        <v>14.150937867828999</v>
      </c>
      <c r="AY31">
        <v>-0.18368227717961003</v>
      </c>
      <c r="AZ31">
        <v>0.40410366696643002</v>
      </c>
      <c r="BA31">
        <v>-4.2878059294312001E-2</v>
      </c>
      <c r="BB31">
        <v>-0.11798024102460002</v>
      </c>
      <c r="BC31">
        <v>-5.8964786590392004E-2</v>
      </c>
      <c r="BD31">
        <v>5.9830287751798004E-4</v>
      </c>
      <c r="BE31">
        <f>(Table__150_diric[[#This Row],[F2]]+Table__150_diric_3[[#This Row],[F2]]+Table__150_diric_4[[#This Row],[F2]])/2</f>
        <v>-0.11308936394963026</v>
      </c>
      <c r="BF31">
        <v>14.150937867828999</v>
      </c>
      <c r="BG31">
        <v>-9.6335141943864992E-3</v>
      </c>
      <c r="BH31">
        <v>5.3982418525653003E-3</v>
      </c>
      <c r="BI31">
        <v>3.8139358438821999E-3</v>
      </c>
      <c r="BJ31">
        <v>5.7970124600148997E-4</v>
      </c>
      <c r="BK31">
        <v>1.5836474806245001E-4</v>
      </c>
      <c r="BM31">
        <v>14.150937867828999</v>
      </c>
      <c r="BN31">
        <v>-3.2862936525264001E-2</v>
      </c>
      <c r="BO31">
        <v>3.7654641263907995E-2</v>
      </c>
      <c r="BP31">
        <v>-1.0099471719987999E-3</v>
      </c>
      <c r="BQ31">
        <v>-3.5701988383584999E-3</v>
      </c>
      <c r="BR31">
        <v>2.1155872828727999E-4</v>
      </c>
    </row>
    <row r="32" spans="1:70" x14ac:dyDescent="0.25">
      <c r="A32">
        <v>9.1027952730656003E-2</v>
      </c>
      <c r="B32" s="1">
        <v>0.67669022083282004</v>
      </c>
      <c r="C32" s="1">
        <v>-4.4543345113736001E-19</v>
      </c>
      <c r="D32" s="1">
        <v>-1.485004031565E-4</v>
      </c>
      <c r="E32" s="1">
        <v>7.5228109955787992E-2</v>
      </c>
      <c r="G32">
        <v>13.564657983044</v>
      </c>
      <c r="H32">
        <v>10.353583125204</v>
      </c>
      <c r="I32">
        <v>7.9607649664349998</v>
      </c>
      <c r="J32">
        <v>13.564977047163001</v>
      </c>
      <c r="K32">
        <v>10.351188114447002</v>
      </c>
      <c r="L32">
        <v>7.9594757734029002</v>
      </c>
      <c r="M32">
        <v>-0.15147849766560001</v>
      </c>
      <c r="N32">
        <v>0.42242123057617004</v>
      </c>
      <c r="O32">
        <v>0.37402606759583001</v>
      </c>
      <c r="Q32">
        <v>9.1027952730656003E-2</v>
      </c>
      <c r="R32">
        <v>2.9418053105473997E-2</v>
      </c>
      <c r="S32">
        <v>6.4733339240775E-4</v>
      </c>
      <c r="T32">
        <v>3.3119909930974002E-3</v>
      </c>
      <c r="U32">
        <v>-2.0803366787731999E-3</v>
      </c>
      <c r="V32">
        <v>3.5707592032850001E-3</v>
      </c>
      <c r="W32">
        <v>-2.7059754938819002E-4</v>
      </c>
      <c r="X32">
        <v>4.7820230247453001E-4</v>
      </c>
      <c r="Z32">
        <v>13.564657983044</v>
      </c>
      <c r="AA32">
        <v>6.8867683714435</v>
      </c>
      <c r="AB32">
        <v>0.15154079424051001</v>
      </c>
      <c r="AC32">
        <v>0.77533733235138014</v>
      </c>
      <c r="AD32">
        <v>0.48700696779500002</v>
      </c>
      <c r="AE32">
        <v>5.7814395604930002</v>
      </c>
      <c r="AF32">
        <v>0.43812626053475001</v>
      </c>
      <c r="AG32">
        <v>5.3550183765980002</v>
      </c>
      <c r="AH32">
        <v>2.6531902052260001</v>
      </c>
      <c r="AI32">
        <v>13.564977047163001</v>
      </c>
      <c r="AJ32">
        <v>6.8828270353200001</v>
      </c>
      <c r="AK32">
        <v>0.15184519806411001</v>
      </c>
      <c r="AL32">
        <v>0.77962595447048</v>
      </c>
      <c r="AM32">
        <v>0.48727681559059005</v>
      </c>
      <c r="AN32">
        <v>5.7758077992516998</v>
      </c>
      <c r="AO32">
        <v>0.43833441851638</v>
      </c>
      <c r="AP32">
        <v>5.3496063505353</v>
      </c>
      <c r="AQ32">
        <v>2.6603403008391</v>
      </c>
      <c r="AS32">
        <v>23.520000457763999</v>
      </c>
      <c r="AV32">
        <v>2.9803878718671002</v>
      </c>
      <c r="AX32">
        <v>14.745251584655001</v>
      </c>
      <c r="AY32">
        <v>-0.18151732784864</v>
      </c>
      <c r="AZ32">
        <v>0.39518570226388006</v>
      </c>
      <c r="BA32">
        <v>-4.3980915353525003E-2</v>
      </c>
      <c r="BB32">
        <v>-0.11784574913048002</v>
      </c>
      <c r="BC32">
        <v>-5.1211678613900004E-2</v>
      </c>
      <c r="BD32">
        <v>6.3003131733431006E-4</v>
      </c>
      <c r="BE32">
        <f>(Table__150_diric[[#This Row],[F2]]+Table__150_diric_3[[#This Row],[F2]]+Table__150_diric_4[[#This Row],[F2]])/2</f>
        <v>-0.112249676094494</v>
      </c>
      <c r="BF32">
        <v>14.745251584655001</v>
      </c>
      <c r="BG32">
        <v>-1.0055503416666001E-2</v>
      </c>
      <c r="BH32">
        <v>5.9852007077868001E-3</v>
      </c>
      <c r="BI32">
        <v>3.7959223842775999E-3</v>
      </c>
      <c r="BJ32">
        <v>4.4088232184088004E-4</v>
      </c>
      <c r="BK32">
        <v>1.6650199723935001E-4</v>
      </c>
      <c r="BM32">
        <v>14.745251584655001</v>
      </c>
      <c r="BN32">
        <v>-3.2926520923682E-2</v>
      </c>
      <c r="BO32">
        <v>3.7374772308105E-2</v>
      </c>
      <c r="BP32">
        <v>-7.6196045374783E-4</v>
      </c>
      <c r="BQ32">
        <v>-3.4744643402781004E-3</v>
      </c>
      <c r="BR32">
        <v>2.1182659039723002E-4</v>
      </c>
    </row>
    <row r="33" spans="1:70" x14ac:dyDescent="0.25">
      <c r="A33">
        <v>9.4962283968925004E-2</v>
      </c>
      <c r="B33" s="1">
        <v>0.69241577386856001</v>
      </c>
      <c r="C33" s="1">
        <v>-1.1539765115156002E-18</v>
      </c>
      <c r="D33" s="1">
        <v>-1.5359628014266E-4</v>
      </c>
      <c r="E33" s="1">
        <v>7.7251188457011996E-2</v>
      </c>
      <c r="G33">
        <v>14.150937867828999</v>
      </c>
      <c r="H33">
        <v>10.594189263039</v>
      </c>
      <c r="I33">
        <v>8.1748505318753004</v>
      </c>
      <c r="J33">
        <v>14.151260585736001</v>
      </c>
      <c r="K33">
        <v>10.591689249531999</v>
      </c>
      <c r="L33">
        <v>8.1735056414607001</v>
      </c>
      <c r="M33">
        <v>-0.16467185073261004</v>
      </c>
      <c r="N33">
        <v>0.39861806775841002</v>
      </c>
      <c r="O33">
        <v>0.35642880912886005</v>
      </c>
      <c r="Q33">
        <v>9.4962283968925004E-2</v>
      </c>
      <c r="R33">
        <v>2.9510369524360001E-2</v>
      </c>
      <c r="S33">
        <v>7.0371344918384996E-4</v>
      </c>
      <c r="T33">
        <v>3.4025516360997998E-3</v>
      </c>
      <c r="U33">
        <v>-2.1652311552315998E-3</v>
      </c>
      <c r="V33">
        <v>3.6041331477463003E-3</v>
      </c>
      <c r="W33">
        <v>-2.8424168704078003E-4</v>
      </c>
      <c r="X33">
        <v>4.8740967758930997E-4</v>
      </c>
      <c r="Z33">
        <v>14.150937867828999</v>
      </c>
      <c r="AA33">
        <v>6.9083796518184997</v>
      </c>
      <c r="AB33">
        <v>0.16473936963208002</v>
      </c>
      <c r="AC33">
        <v>0.79653758546434006</v>
      </c>
      <c r="AD33">
        <v>0.50688077090794004</v>
      </c>
      <c r="AE33">
        <v>5.8354755320648</v>
      </c>
      <c r="AF33">
        <v>0.46021757297076005</v>
      </c>
      <c r="AG33">
        <v>5.4581246617095003</v>
      </c>
      <c r="AH33">
        <v>2.6870769253158002</v>
      </c>
      <c r="AI33">
        <v>14.151260585736001</v>
      </c>
      <c r="AJ33">
        <v>6.9029836021023003</v>
      </c>
      <c r="AK33">
        <v>0.16506805335874999</v>
      </c>
      <c r="AL33">
        <v>0.80095728178864012</v>
      </c>
      <c r="AM33">
        <v>0.50712712926665005</v>
      </c>
      <c r="AN33">
        <v>5.8285822684489004</v>
      </c>
      <c r="AO33">
        <v>0.46040499693046</v>
      </c>
      <c r="AP33">
        <v>5.4517346622143004</v>
      </c>
      <c r="AQ33">
        <v>2.6943362257549999</v>
      </c>
      <c r="AS33">
        <v>25.310400009155</v>
      </c>
      <c r="AV33">
        <v>3.0157797037538998</v>
      </c>
      <c r="AX33">
        <v>15.348041016490001</v>
      </c>
      <c r="AY33">
        <v>-0.17905663215388001</v>
      </c>
      <c r="AZ33">
        <v>0.38498561811580001</v>
      </c>
      <c r="BA33">
        <v>-4.5014215432334005E-2</v>
      </c>
      <c r="BB33">
        <v>-0.11620289235573</v>
      </c>
      <c r="BC33">
        <v>-4.4055365249116005E-2</v>
      </c>
      <c r="BD33">
        <v>6.5651292473538998E-4</v>
      </c>
      <c r="BE33">
        <f>(Table__150_diric[[#This Row],[F2]]+Table__150_diric_3[[#This Row],[F2]]+Table__150_diric_4[[#This Row],[F2]])/2</f>
        <v>-0.11122979648290501</v>
      </c>
      <c r="BF33">
        <v>15.348041016490001</v>
      </c>
      <c r="BG33">
        <v>-1.0467931482176999E-2</v>
      </c>
      <c r="BH33">
        <v>6.6205063526405001E-3</v>
      </c>
      <c r="BI33">
        <v>3.7146781526723001E-3</v>
      </c>
      <c r="BJ33">
        <v>3.0564167420015002E-4</v>
      </c>
      <c r="BK33">
        <v>1.7289469733638001E-4</v>
      </c>
      <c r="BM33">
        <v>15.348041016490001</v>
      </c>
      <c r="BN33">
        <v>-3.2935029329753E-2</v>
      </c>
      <c r="BO33">
        <v>3.7049211298074002E-2</v>
      </c>
      <c r="BP33">
        <v>-5.3789827350757009E-4</v>
      </c>
      <c r="BQ33">
        <v>-3.3638558543566005E-3</v>
      </c>
      <c r="BR33">
        <v>2.1242784045638003E-4</v>
      </c>
    </row>
    <row r="34" spans="1:70" x14ac:dyDescent="0.25">
      <c r="A34">
        <v>9.8950527608394998E-2</v>
      </c>
      <c r="B34" s="1">
        <v>0.70745521783829002</v>
      </c>
      <c r="C34" s="1">
        <v>-1.1975987082991999E-18</v>
      </c>
      <c r="D34" s="1">
        <v>-1.5844438166823002E-4</v>
      </c>
      <c r="E34" s="1">
        <v>7.9204827547073003E-2</v>
      </c>
      <c r="G34">
        <v>14.745251584655001</v>
      </c>
      <c r="H34">
        <v>10.824297706317999</v>
      </c>
      <c r="I34">
        <v>8.3815879021796</v>
      </c>
      <c r="J34">
        <v>14.745591466762999</v>
      </c>
      <c r="K34">
        <v>10.821708437542</v>
      </c>
      <c r="L34">
        <v>8.3801961075097005</v>
      </c>
      <c r="M34">
        <v>-0.17824929844721002</v>
      </c>
      <c r="N34">
        <v>0.37599896250794002</v>
      </c>
      <c r="O34">
        <v>0.33943136072585001</v>
      </c>
      <c r="Q34">
        <v>9.8950527608394998E-2</v>
      </c>
      <c r="R34">
        <v>2.9515560716391002E-2</v>
      </c>
      <c r="S34">
        <v>7.6173455454409003E-4</v>
      </c>
      <c r="T34">
        <v>3.4890049137175001E-3</v>
      </c>
      <c r="U34">
        <v>-2.2448278032243E-3</v>
      </c>
      <c r="V34">
        <v>3.6262569483370001E-3</v>
      </c>
      <c r="W34">
        <v>-2.9730374808422999E-4</v>
      </c>
      <c r="X34">
        <v>4.9519969616084998E-4</v>
      </c>
      <c r="Z34">
        <v>14.745251584655001</v>
      </c>
      <c r="AA34">
        <v>6.9095949102505001</v>
      </c>
      <c r="AB34">
        <v>0.17832211461654002</v>
      </c>
      <c r="AC34">
        <v>0.81677630404203017</v>
      </c>
      <c r="AD34">
        <v>0.5255143519917701</v>
      </c>
      <c r="AE34">
        <v>5.8712963221773</v>
      </c>
      <c r="AF34">
        <v>0.48136644136511003</v>
      </c>
      <c r="AG34">
        <v>5.5453590652009996</v>
      </c>
      <c r="AH34">
        <v>2.7203865839801002</v>
      </c>
      <c r="AI34">
        <v>14.745591466762999</v>
      </c>
      <c r="AJ34">
        <v>6.9027071622099996</v>
      </c>
      <c r="AK34">
        <v>0.17867625943185003</v>
      </c>
      <c r="AL34">
        <v>0.82130564509709991</v>
      </c>
      <c r="AM34">
        <v>0.52573738765308009</v>
      </c>
      <c r="AN34">
        <v>5.8631234383950996</v>
      </c>
      <c r="AO34">
        <v>0.48153407661142006</v>
      </c>
      <c r="AP34">
        <v>5.5379843371568995</v>
      </c>
      <c r="AQ34">
        <v>2.7277678808659003</v>
      </c>
      <c r="AS34">
        <v>27.160299301147003</v>
      </c>
      <c r="AV34">
        <v>3.0406290570909</v>
      </c>
      <c r="AX34">
        <v>15.959770251476</v>
      </c>
      <c r="AY34">
        <v>-0.17632487047386003</v>
      </c>
      <c r="AZ34">
        <v>0.37377228898625003</v>
      </c>
      <c r="BA34">
        <v>-4.5981077444374005E-2</v>
      </c>
      <c r="BB34">
        <v>-0.11327089242204001</v>
      </c>
      <c r="BC34">
        <v>-3.7503799006521003E-2</v>
      </c>
      <c r="BD34">
        <v>6.9164963945711E-4</v>
      </c>
      <c r="BE34">
        <f>(Table__150_diric[[#This Row],[F2]]+Table__150_diric_3[[#This Row],[F2]]+Table__150_diric_4[[#This Row],[F2]])/2</f>
        <v>-0.11004430398009651</v>
      </c>
      <c r="BF34">
        <v>15.959770251476</v>
      </c>
      <c r="BG34">
        <v>-1.0869333666975001E-2</v>
      </c>
      <c r="BH34">
        <v>7.3039456431617999E-3</v>
      </c>
      <c r="BI34">
        <v>3.5699622973618E-3</v>
      </c>
      <c r="BJ34">
        <v>1.7599143062731E-4</v>
      </c>
      <c r="BK34">
        <v>1.8056570417552002E-4</v>
      </c>
      <c r="BM34">
        <v>15.959770251476</v>
      </c>
      <c r="BN34">
        <v>-3.2894403819358001E-2</v>
      </c>
      <c r="BO34">
        <v>3.6686825569259E-2</v>
      </c>
      <c r="BP34">
        <v>-3.3936261350614005E-4</v>
      </c>
      <c r="BQ34">
        <v>-3.2404934560313001E-3</v>
      </c>
      <c r="BR34">
        <v>2.1256568036356001E-4</v>
      </c>
    </row>
    <row r="35" spans="1:70" x14ac:dyDescent="0.25">
      <c r="A35">
        <v>0.10299564898014001</v>
      </c>
      <c r="B35" s="1">
        <v>0.72184121608733998</v>
      </c>
      <c r="C35" s="1">
        <v>-2.8587361969833004E-20</v>
      </c>
      <c r="D35" s="1">
        <v>-1.6301251889672003E-4</v>
      </c>
      <c r="E35" s="1">
        <v>8.1091277301310993E-2</v>
      </c>
      <c r="G35">
        <v>15.348041016490001</v>
      </c>
      <c r="H35">
        <v>11.044408214974</v>
      </c>
      <c r="I35">
        <v>8.5812151840999</v>
      </c>
      <c r="J35">
        <v>15.348396039511002</v>
      </c>
      <c r="K35">
        <v>11.04174451483</v>
      </c>
      <c r="L35">
        <v>8.5797854023547</v>
      </c>
      <c r="M35">
        <v>-0.19217975554414002</v>
      </c>
      <c r="N35">
        <v>0.35455183413159003</v>
      </c>
      <c r="O35">
        <v>0.32305825527911003</v>
      </c>
      <c r="Q35">
        <v>0.10299564898014001</v>
      </c>
      <c r="R35">
        <v>2.9441859573125999E-2</v>
      </c>
      <c r="S35">
        <v>8.2126230699942004E-4</v>
      </c>
      <c r="T35">
        <v>3.5713389515877E-3</v>
      </c>
      <c r="U35">
        <v>-2.3191734217107001E-3</v>
      </c>
      <c r="V35">
        <v>3.637952497229E-3</v>
      </c>
      <c r="W35">
        <v>-3.0976018751971001E-4</v>
      </c>
      <c r="X35">
        <v>5.0163839478046006E-4</v>
      </c>
      <c r="Z35">
        <v>15.348041016490001</v>
      </c>
      <c r="AA35">
        <v>6.8923414672523</v>
      </c>
      <c r="AB35">
        <v>0.19225756579554001</v>
      </c>
      <c r="AC35">
        <v>0.83605070829524009</v>
      </c>
      <c r="AD35">
        <v>0.54291866668628008</v>
      </c>
      <c r="AE35">
        <v>5.8902326618172998</v>
      </c>
      <c r="AF35">
        <v>0.50153474385634</v>
      </c>
      <c r="AG35">
        <v>5.6174610798732996</v>
      </c>
      <c r="AH35">
        <v>2.7529919805293002</v>
      </c>
      <c r="AI35">
        <v>15.348396039511002</v>
      </c>
      <c r="AJ35">
        <v>6.8839428234657003</v>
      </c>
      <c r="AK35">
        <v>0.19263839522704002</v>
      </c>
      <c r="AL35">
        <v>0.84066673864835006</v>
      </c>
      <c r="AM35">
        <v>0.54311909091103006</v>
      </c>
      <c r="AN35">
        <v>5.8807740173485996</v>
      </c>
      <c r="AO35">
        <v>0.50168417676342003</v>
      </c>
      <c r="AP35">
        <v>5.6091024901797999</v>
      </c>
      <c r="AQ35">
        <v>2.7605082674424</v>
      </c>
      <c r="AS35">
        <v>29.068799972533998</v>
      </c>
      <c r="AV35">
        <v>3.0544902075648999</v>
      </c>
      <c r="AX35">
        <v>16.580922252152</v>
      </c>
      <c r="AY35">
        <v>-0.17334826331509001</v>
      </c>
      <c r="AZ35">
        <v>0.36178611605506</v>
      </c>
      <c r="BA35">
        <v>-4.6884359704858998E-2</v>
      </c>
      <c r="BB35">
        <v>-0.10926205330745001</v>
      </c>
      <c r="BC35">
        <v>-3.1581084883896E-2</v>
      </c>
      <c r="BD35">
        <v>7.1035484376967995E-4</v>
      </c>
      <c r="BE35">
        <f>(Table__150_diric[[#This Row],[F2]]+Table__150_diric_3[[#This Row],[F2]]+Table__150_diric_4[[#This Row],[F2]])/2</f>
        <v>-0.108708355234929</v>
      </c>
      <c r="BF35">
        <v>16.580922252152</v>
      </c>
      <c r="BG35">
        <v>-1.1258382623898E-2</v>
      </c>
      <c r="BH35">
        <v>8.0312181266061003E-3</v>
      </c>
      <c r="BI35">
        <v>3.3626752540161999E-3</v>
      </c>
      <c r="BJ35">
        <v>5.1048515772487006E-5</v>
      </c>
      <c r="BK35">
        <v>1.8655927249664001E-4</v>
      </c>
      <c r="BM35">
        <v>16.580922252152</v>
      </c>
      <c r="BN35">
        <v>-3.2810064530870001E-2</v>
      </c>
      <c r="BO35">
        <v>3.6295894944895005E-2</v>
      </c>
      <c r="BP35">
        <v>-1.6749905530349002E-4</v>
      </c>
      <c r="BQ35">
        <v>-3.1051769836073001E-3</v>
      </c>
      <c r="BR35">
        <v>2.1315437511356002E-4</v>
      </c>
    </row>
    <row r="36" spans="1:70" x14ac:dyDescent="0.25">
      <c r="A36">
        <v>0.10710076242685002</v>
      </c>
      <c r="B36" s="1">
        <v>0.73560613393784002</v>
      </c>
      <c r="C36" s="1">
        <v>-9.4666519767508992E-19</v>
      </c>
      <c r="D36" s="1">
        <v>-1.6727394540794001E-4</v>
      </c>
      <c r="E36" s="1">
        <v>8.2912907004355996E-2</v>
      </c>
      <c r="G36">
        <v>15.959770251476</v>
      </c>
      <c r="H36">
        <v>11.255015989092001</v>
      </c>
      <c r="I36">
        <v>8.7739830993159007</v>
      </c>
      <c r="J36">
        <v>15.960136182356003</v>
      </c>
      <c r="K36">
        <v>11.252293581901</v>
      </c>
      <c r="L36">
        <v>8.7725235894560996</v>
      </c>
      <c r="M36">
        <v>-0.20643000763036001</v>
      </c>
      <c r="N36">
        <v>0.33425357971401004</v>
      </c>
      <c r="O36">
        <v>0.30732887138270004</v>
      </c>
      <c r="Q36">
        <v>0.10710076242685002</v>
      </c>
      <c r="R36">
        <v>2.9297119006515004E-2</v>
      </c>
      <c r="S36">
        <v>8.8215799769387007E-4</v>
      </c>
      <c r="T36">
        <v>3.6495584063231997E-3</v>
      </c>
      <c r="U36">
        <v>-2.3883583489805E-3</v>
      </c>
      <c r="V36">
        <v>3.6400330718607001E-3</v>
      </c>
      <c r="W36">
        <v>-3.2159502734430004E-4</v>
      </c>
      <c r="X36">
        <v>5.0679570995271E-4</v>
      </c>
      <c r="Z36">
        <v>15.959770251476</v>
      </c>
      <c r="AA36">
        <v>6.8584576900821999</v>
      </c>
      <c r="AB36">
        <v>0.20651325141580001</v>
      </c>
      <c r="AC36">
        <v>0.85436188833740001</v>
      </c>
      <c r="AD36">
        <v>0.55911486319167003</v>
      </c>
      <c r="AE36">
        <v>5.8936013337997002</v>
      </c>
      <c r="AF36">
        <v>0.52069661035549009</v>
      </c>
      <c r="AG36">
        <v>5.6752138706449999</v>
      </c>
      <c r="AH36">
        <v>2.7847695268492001</v>
      </c>
      <c r="AI36">
        <v>15.960136182356003</v>
      </c>
      <c r="AJ36">
        <v>6.8485463085529998</v>
      </c>
      <c r="AK36">
        <v>0.20692211313469003</v>
      </c>
      <c r="AL36">
        <v>0.85904110747370999</v>
      </c>
      <c r="AM36">
        <v>0.55929360426874997</v>
      </c>
      <c r="AN36">
        <v>5.8828650214452995</v>
      </c>
      <c r="AO36">
        <v>0.52083002731531003</v>
      </c>
      <c r="AP36">
        <v>5.6658806062371001</v>
      </c>
      <c r="AQ36">
        <v>2.7924339989940998</v>
      </c>
      <c r="AS36">
        <v>31.034799575805998</v>
      </c>
      <c r="AV36">
        <v>3.0574619049766998</v>
      </c>
      <c r="AX36">
        <v>17.212003296492</v>
      </c>
      <c r="AY36">
        <v>-0.17015310910161002</v>
      </c>
      <c r="AZ36">
        <v>0.34923587479429002</v>
      </c>
      <c r="BA36">
        <v>-4.7726578952140004E-2</v>
      </c>
      <c r="BB36">
        <v>-0.10437604083840001</v>
      </c>
      <c r="BC36">
        <v>-2.6236522280332002E-2</v>
      </c>
      <c r="BD36">
        <v>7.4362362180868007E-4</v>
      </c>
      <c r="BE36">
        <f>(Table__150_diric[[#This Row],[F2]]+Table__150_diric_3[[#This Row],[F2]]+Table__150_diric_4[[#This Row],[F2]])/2</f>
        <v>-0.10723695326048202</v>
      </c>
      <c r="BF36">
        <v>17.212003296492</v>
      </c>
      <c r="BG36">
        <v>-1.1633879821057E-2</v>
      </c>
      <c r="BH36">
        <v>8.7995133085190004E-3</v>
      </c>
      <c r="BI36">
        <v>3.0947380540668999E-3</v>
      </c>
      <c r="BJ36">
        <v>-6.6406777336412999E-5</v>
      </c>
      <c r="BK36">
        <v>1.9396476419242001E-4</v>
      </c>
      <c r="BM36">
        <v>17.212003296492</v>
      </c>
      <c r="BN36">
        <v>-3.2686917598296998E-2</v>
      </c>
      <c r="BO36">
        <v>3.5883999698795001E-2</v>
      </c>
      <c r="BP36">
        <v>-2.3045740488413002E-5</v>
      </c>
      <c r="BQ36">
        <v>-2.9605056430917005E-3</v>
      </c>
      <c r="BR36">
        <v>2.1353071691815001E-4</v>
      </c>
    </row>
    <row r="37" spans="1:70" x14ac:dyDescent="0.25">
      <c r="A37">
        <v>0.11126910895108999</v>
      </c>
      <c r="B37" s="1">
        <v>0.74878185987473</v>
      </c>
      <c r="C37" s="1">
        <v>7.1383701629855997E-19</v>
      </c>
      <c r="D37" s="1">
        <v>-1.7120878328569E-4</v>
      </c>
      <c r="E37" s="1">
        <v>8.4672182798385995E-2</v>
      </c>
      <c r="G37">
        <v>16.580922252152</v>
      </c>
      <c r="H37">
        <v>11.456608932987001</v>
      </c>
      <c r="I37">
        <v>8.9601526191354992</v>
      </c>
      <c r="J37">
        <v>16.581309302777999</v>
      </c>
      <c r="K37">
        <v>11.453840795868</v>
      </c>
      <c r="L37">
        <v>8.9586701983992008</v>
      </c>
      <c r="M37">
        <v>-0.22096726613840001</v>
      </c>
      <c r="N37">
        <v>0.31507245796457006</v>
      </c>
      <c r="O37">
        <v>0.29225185580073004</v>
      </c>
      <c r="Q37">
        <v>0.11126910895108999</v>
      </c>
      <c r="R37">
        <v>2.9088756069541002E-2</v>
      </c>
      <c r="S37">
        <v>9.4427919248118997E-4</v>
      </c>
      <c r="T37">
        <v>3.7236849311739002E-3</v>
      </c>
      <c r="U37">
        <v>-2.4525050539522999E-3</v>
      </c>
      <c r="V37">
        <v>3.6332942545413997E-3</v>
      </c>
      <c r="W37">
        <v>-3.3279898343608E-4</v>
      </c>
      <c r="X37">
        <v>5.1074393559246995E-4</v>
      </c>
      <c r="Z37">
        <v>16.580922252152</v>
      </c>
      <c r="AA37">
        <v>6.8096799113833004</v>
      </c>
      <c r="AB37">
        <v>0.22105582763333001</v>
      </c>
      <c r="AC37">
        <v>0.87171491319586991</v>
      </c>
      <c r="AD37">
        <v>0.57413161149069003</v>
      </c>
      <c r="AE37">
        <v>5.8826904706408003</v>
      </c>
      <c r="AF37">
        <v>0.53883700888010999</v>
      </c>
      <c r="AG37">
        <v>5.7194270012519999</v>
      </c>
      <c r="AH37">
        <v>2.8156015290280001</v>
      </c>
      <c r="AI37">
        <v>16.581309302777999</v>
      </c>
      <c r="AJ37">
        <v>6.7982695661898003</v>
      </c>
      <c r="AK37">
        <v>0.22149417986924</v>
      </c>
      <c r="AL37">
        <v>0.87643398387399007</v>
      </c>
      <c r="AM37">
        <v>0.57428970538064006</v>
      </c>
      <c r="AN37">
        <v>5.8706972936018005</v>
      </c>
      <c r="AO37">
        <v>0.53895687167702999</v>
      </c>
      <c r="AP37">
        <v>5.7091382278700999</v>
      </c>
      <c r="AQ37">
        <v>2.8234275826842001</v>
      </c>
      <c r="AS37">
        <v>33.057598114013999</v>
      </c>
      <c r="AV37">
        <v>3.0499479308702</v>
      </c>
      <c r="AX37">
        <v>17.853540757382</v>
      </c>
      <c r="AY37">
        <v>-0.16676486550218003</v>
      </c>
      <c r="AZ37">
        <v>0.33630867694263</v>
      </c>
      <c r="BA37">
        <v>-4.8509883021551001E-2</v>
      </c>
      <c r="BB37">
        <v>-9.8796881011913001E-2</v>
      </c>
      <c r="BC37">
        <v>-2.1482185063018001E-2</v>
      </c>
      <c r="BD37">
        <v>7.5486234397281998E-4</v>
      </c>
      <c r="BE37">
        <f>(Table__150_diric[[#This Row],[F2]]+Table__150_diric_3[[#This Row],[F2]]+Table__150_diric_4[[#This Row],[F2]])/2</f>
        <v>-0.10564449538277852</v>
      </c>
      <c r="BF37">
        <v>17.853540757382</v>
      </c>
      <c r="BG37">
        <v>-1.1994747805068999E-2</v>
      </c>
      <c r="BH37">
        <v>9.603646735226401E-3</v>
      </c>
      <c r="BI37">
        <v>2.7690362021707002E-3</v>
      </c>
      <c r="BJ37">
        <v>-1.7843705803981E-4</v>
      </c>
      <c r="BK37">
        <v>1.9949807428829E-4</v>
      </c>
      <c r="BM37">
        <v>17.853540757382</v>
      </c>
      <c r="BN37">
        <v>-3.2529377458308001E-2</v>
      </c>
      <c r="BO37">
        <v>3.5457982298742002E-2</v>
      </c>
      <c r="BP37">
        <v>9.3570259452269009E-5</v>
      </c>
      <c r="BQ37">
        <v>-2.8086658066436001E-3</v>
      </c>
      <c r="BR37">
        <v>2.1350929324218999E-4</v>
      </c>
    </row>
    <row r="38" spans="1:70" x14ac:dyDescent="0.25">
      <c r="A38">
        <v>0.11550408601761</v>
      </c>
      <c r="B38" s="1">
        <v>0.76139938831329002</v>
      </c>
      <c r="C38" s="1">
        <v>-6.9202591790675991E-19</v>
      </c>
      <c r="D38" s="1">
        <v>-1.7480499809608002E-4</v>
      </c>
      <c r="E38" s="1">
        <v>8.6371615529060017E-2</v>
      </c>
      <c r="G38">
        <v>17.212003296492</v>
      </c>
      <c r="H38">
        <v>11.649661271414999</v>
      </c>
      <c r="I38">
        <v>9.1399894454643995</v>
      </c>
      <c r="J38">
        <v>17.212395043705001</v>
      </c>
      <c r="K38">
        <v>11.646862194348</v>
      </c>
      <c r="L38">
        <v>9.1384910695190005</v>
      </c>
      <c r="M38">
        <v>-0.23575703919857</v>
      </c>
      <c r="N38">
        <v>0.29696772238954</v>
      </c>
      <c r="O38">
        <v>0.27782956025191002</v>
      </c>
      <c r="Q38">
        <v>0.11550408601761</v>
      </c>
      <c r="R38">
        <v>2.8823718428612002E-2</v>
      </c>
      <c r="S38">
        <v>1.0074799647555E-3</v>
      </c>
      <c r="T38">
        <v>3.7937574088573005E-3</v>
      </c>
      <c r="U38">
        <v>-2.5117595214397001E-3</v>
      </c>
      <c r="V38">
        <v>3.6185041535646001E-3</v>
      </c>
      <c r="W38">
        <v>-3.4336824319325003E-4</v>
      </c>
      <c r="X38">
        <v>5.1355629693717003E-4</v>
      </c>
      <c r="Z38">
        <v>17.212003296492</v>
      </c>
      <c r="AA38">
        <v>6.7476345803667002</v>
      </c>
      <c r="AB38">
        <v>0.23585113301907001</v>
      </c>
      <c r="AC38">
        <v>0.88811888531764005</v>
      </c>
      <c r="AD38">
        <v>0.58800308663881007</v>
      </c>
      <c r="AE38">
        <v>5.8587437214977998</v>
      </c>
      <c r="AF38">
        <v>0.55594976642171001</v>
      </c>
      <c r="AG38">
        <v>5.7509204645928005</v>
      </c>
      <c r="AH38">
        <v>2.8453739057294998</v>
      </c>
      <c r="AI38">
        <v>17.212395043705001</v>
      </c>
      <c r="AJ38">
        <v>6.7347564108776998</v>
      </c>
      <c r="AK38">
        <v>0.23632059910129</v>
      </c>
      <c r="AL38">
        <v>0.89285545092884999</v>
      </c>
      <c r="AM38">
        <v>0.58814189473011003</v>
      </c>
      <c r="AN38">
        <v>5.8455290570624996</v>
      </c>
      <c r="AO38">
        <v>0.55605876949601996</v>
      </c>
      <c r="AP38">
        <v>5.7397033801464001</v>
      </c>
      <c r="AQ38">
        <v>2.8533751379153998</v>
      </c>
      <c r="AS38">
        <v>35.136199951172003</v>
      </c>
      <c r="AV38">
        <v>3.0320907709722</v>
      </c>
      <c r="AX38">
        <v>18.506089764180999</v>
      </c>
      <c r="AY38">
        <v>-0.16320757510259001</v>
      </c>
      <c r="AZ38">
        <v>0.32316733511250001</v>
      </c>
      <c r="BA38">
        <v>-4.9235971599576996E-2</v>
      </c>
      <c r="BB38">
        <v>-9.2691415445674011E-2</v>
      </c>
      <c r="BC38">
        <v>-1.7247573729759002E-2</v>
      </c>
      <c r="BD38">
        <v>7.8479923489708006E-4</v>
      </c>
      <c r="BE38">
        <f>(Table__150_diric[[#This Row],[F2]]+Table__150_diric_3[[#This Row],[F2]]+Table__150_diric_4[[#This Row],[F2]])/2</f>
        <v>-0.10394446934666751</v>
      </c>
      <c r="BF38">
        <v>18.506089764180999</v>
      </c>
      <c r="BG38">
        <v>-1.2340022346465002E-2</v>
      </c>
      <c r="BH38">
        <v>1.0438990723346E-2</v>
      </c>
      <c r="BI38">
        <v>2.3892757374928001E-3</v>
      </c>
      <c r="BJ38">
        <v>-2.8201787261061004E-4</v>
      </c>
      <c r="BK38">
        <v>2.0622624176266002E-4</v>
      </c>
      <c r="BM38">
        <v>18.506089764180999</v>
      </c>
      <c r="BN38">
        <v>-3.2341341244280002E-2</v>
      </c>
      <c r="BO38">
        <v>3.5023890021574001E-2</v>
      </c>
      <c r="BP38">
        <v>1.8226397610733003E-4</v>
      </c>
      <c r="BQ38">
        <v>-2.6501678491869002E-3</v>
      </c>
      <c r="BR38">
        <v>2.146449042144E-4</v>
      </c>
    </row>
    <row r="39" spans="1:70" x14ac:dyDescent="0.25">
      <c r="A39">
        <v>0.11980923265219001</v>
      </c>
      <c r="B39" s="1">
        <v>0.77348875999451006</v>
      </c>
      <c r="C39" s="1">
        <v>-1.6861249606281003E-18</v>
      </c>
      <c r="D39" s="1">
        <v>-1.7805854440667004E-4</v>
      </c>
      <c r="E39" s="1">
        <v>8.8013760745525013E-2</v>
      </c>
      <c r="G39">
        <v>17.853540757382</v>
      </c>
      <c r="H39">
        <v>11.834632637602001</v>
      </c>
      <c r="I39">
        <v>9.3137640108058992</v>
      </c>
      <c r="J39">
        <v>17.853961870829</v>
      </c>
      <c r="K39">
        <v>11.831817399868001</v>
      </c>
      <c r="L39">
        <v>9.3122551985255004</v>
      </c>
      <c r="M39">
        <v>-0.25076526076674005</v>
      </c>
      <c r="N39">
        <v>0.2798992705967</v>
      </c>
      <c r="O39">
        <v>0.26406121556968998</v>
      </c>
      <c r="Q39">
        <v>0.11980923265219001</v>
      </c>
      <c r="R39">
        <v>2.8508484363556002E-2</v>
      </c>
      <c r="S39">
        <v>1.0716118849814001E-3</v>
      </c>
      <c r="T39">
        <v>3.8598305545747003E-3</v>
      </c>
      <c r="U39">
        <v>-2.5662842672317999E-3</v>
      </c>
      <c r="V39">
        <v>3.5963985137641001E-3</v>
      </c>
      <c r="W39">
        <v>-3.5330376704223004E-4</v>
      </c>
      <c r="X39">
        <v>5.1530584460124005E-4</v>
      </c>
      <c r="Z39">
        <v>17.853540757382</v>
      </c>
      <c r="AA39">
        <v>6.6738382628114001</v>
      </c>
      <c r="AB39">
        <v>0.25086442020800004</v>
      </c>
      <c r="AC39">
        <v>0.90358661353530012</v>
      </c>
      <c r="AD39">
        <v>0.60076733359411005</v>
      </c>
      <c r="AE39">
        <v>5.8229523356393997</v>
      </c>
      <c r="AF39">
        <v>0.57203643801296999</v>
      </c>
      <c r="AG39">
        <v>5.7705122980979997</v>
      </c>
      <c r="AH39">
        <v>2.8739780895488001</v>
      </c>
      <c r="AI39">
        <v>17.853961870829</v>
      </c>
      <c r="AJ39">
        <v>6.6595385986756996</v>
      </c>
      <c r="AK39">
        <v>0.25136676134115005</v>
      </c>
      <c r="AL39">
        <v>0.90832022448428007</v>
      </c>
      <c r="AM39">
        <v>0.60088827000736</v>
      </c>
      <c r="AN39">
        <v>5.8085653547726999</v>
      </c>
      <c r="AO39">
        <v>0.57213727657892</v>
      </c>
      <c r="AP39">
        <v>5.7584060456395001</v>
      </c>
      <c r="AQ39">
        <v>2.8821675370366999</v>
      </c>
      <c r="AS39">
        <v>37.269500732422003</v>
      </c>
      <c r="AV39">
        <v>3.004328788175</v>
      </c>
      <c r="AX39">
        <v>19.170230982193001</v>
      </c>
      <c r="AY39">
        <v>-0.15950358201211001</v>
      </c>
      <c r="AZ39">
        <v>0.30994609781363003</v>
      </c>
      <c r="BA39">
        <v>-4.9906096223857006E-2</v>
      </c>
      <c r="BB39">
        <v>-8.6207849588478005E-2</v>
      </c>
      <c r="BC39">
        <v>-1.3537368324021E-2</v>
      </c>
      <c r="BD39">
        <v>7.9120166516222007E-4</v>
      </c>
      <c r="BE39">
        <f>(Table__150_diric[[#This Row],[F2]]+Table__150_diric_3[[#This Row],[F2]]+Table__150_diric_4[[#This Row],[F2]])/2</f>
        <v>-0.102149288742552</v>
      </c>
      <c r="BF39">
        <v>19.170230982193001</v>
      </c>
      <c r="BG39">
        <v>-1.2668839204708999E-2</v>
      </c>
      <c r="BH39">
        <v>1.1299460422584E-2</v>
      </c>
      <c r="BI39">
        <v>1.9599627920596002E-3</v>
      </c>
      <c r="BJ39">
        <v>-3.7891277860739001E-4</v>
      </c>
      <c r="BK39">
        <v>2.1167123132781002E-4</v>
      </c>
      <c r="BM39">
        <v>19.170230982193001</v>
      </c>
      <c r="BN39">
        <v>-3.2126156268285001E-2</v>
      </c>
      <c r="BO39">
        <v>3.4586950359649003E-2</v>
      </c>
      <c r="BP39">
        <v>2.4337911153595999E-4</v>
      </c>
      <c r="BQ39">
        <v>-2.4896720031013001E-3</v>
      </c>
      <c r="BR39">
        <v>2.1450119979919002E-4</v>
      </c>
    </row>
    <row r="40" spans="1:70" x14ac:dyDescent="0.25">
      <c r="A40">
        <v>0.12418827414513001</v>
      </c>
      <c r="B40" s="1">
        <v>0.78507906198501998</v>
      </c>
      <c r="C40" s="1">
        <v>-2.1504048948419E-19</v>
      </c>
      <c r="D40" s="1">
        <v>-1.8097265274264002E-4</v>
      </c>
      <c r="E40" s="1">
        <v>8.9601188898087006E-2</v>
      </c>
      <c r="G40">
        <v>18.506089764180999</v>
      </c>
      <c r="H40">
        <v>12.011968073242</v>
      </c>
      <c r="I40">
        <v>9.4817483245294998</v>
      </c>
      <c r="J40">
        <v>18.506524956183</v>
      </c>
      <c r="K40">
        <v>12.009150531813999</v>
      </c>
      <c r="L40">
        <v>9.4802339476596007</v>
      </c>
      <c r="M40">
        <v>-0.26595573567101999</v>
      </c>
      <c r="N40">
        <v>0.26382530370146001</v>
      </c>
      <c r="O40">
        <v>0.25093945644815002</v>
      </c>
      <c r="Q40">
        <v>0.12418827414513001</v>
      </c>
      <c r="R40">
        <v>2.8149055317044001E-2</v>
      </c>
      <c r="S40">
        <v>1.1365234386176001E-3</v>
      </c>
      <c r="T40">
        <v>3.9219744503497999E-3</v>
      </c>
      <c r="U40">
        <v>-2.6162513531744003E-3</v>
      </c>
      <c r="V40">
        <v>3.5676767583936002E-3</v>
      </c>
      <c r="W40">
        <v>-3.6261035711505001E-4</v>
      </c>
      <c r="X40">
        <v>5.1606463966891007E-4</v>
      </c>
      <c r="Z40">
        <v>18.506089764180999</v>
      </c>
      <c r="AA40">
        <v>6.5896958968832999</v>
      </c>
      <c r="AB40">
        <v>0.26606021963498</v>
      </c>
      <c r="AC40">
        <v>0.91813450405570995</v>
      </c>
      <c r="AD40">
        <v>0.61246463204717005</v>
      </c>
      <c r="AE40">
        <v>5.7764487538260001</v>
      </c>
      <c r="AF40">
        <v>0.5871047988172301</v>
      </c>
      <c r="AG40">
        <v>5.7790094582127995</v>
      </c>
      <c r="AH40">
        <v>2.9013093157923002</v>
      </c>
      <c r="AI40">
        <v>18.506524956183</v>
      </c>
      <c r="AJ40">
        <v>6.5740332110504998</v>
      </c>
      <c r="AK40">
        <v>0.26659744393891999</v>
      </c>
      <c r="AL40">
        <v>0.92284727163070002</v>
      </c>
      <c r="AM40">
        <v>0.61256938154359009</v>
      </c>
      <c r="AN40">
        <v>5.7609516375696002</v>
      </c>
      <c r="AO40">
        <v>0.58720021910447995</v>
      </c>
      <c r="AP40">
        <v>5.7660638093846996</v>
      </c>
      <c r="AQ40">
        <v>2.9096998349901</v>
      </c>
      <c r="AS40">
        <v>39.45650100708</v>
      </c>
      <c r="AV40">
        <v>2.9674541994357</v>
      </c>
      <c r="AX40">
        <v>19.846576163969999</v>
      </c>
      <c r="AY40">
        <v>-0.15567357113642</v>
      </c>
      <c r="AZ40">
        <v>0.29675920231016001</v>
      </c>
      <c r="BA40">
        <v>-5.0521027491799E-2</v>
      </c>
      <c r="BB40">
        <v>-7.9477378017370995E-2</v>
      </c>
      <c r="BC40">
        <v>-1.0270598756096001E-2</v>
      </c>
      <c r="BD40">
        <v>8.1662690847674E-4</v>
      </c>
      <c r="BE40">
        <f>(Table__150_diric[[#This Row],[F2]]+Table__150_diric_3[[#This Row],[F2]]+Table__150_diric_4[[#This Row],[F2]])/2</f>
        <v>-0.1002703216559965</v>
      </c>
      <c r="BF40">
        <v>19.846576163969999</v>
      </c>
      <c r="BG40">
        <v>-1.2980426548512001E-2</v>
      </c>
      <c r="BH40">
        <v>1.2179066624170001E-2</v>
      </c>
      <c r="BI40">
        <v>1.4863406676932E-3</v>
      </c>
      <c r="BJ40">
        <v>-4.6749041459702006E-4</v>
      </c>
      <c r="BK40">
        <v>2.1749032875433E-4</v>
      </c>
      <c r="BM40">
        <v>19.846576163969999</v>
      </c>
      <c r="BN40">
        <v>-3.1886645627060999E-2</v>
      </c>
      <c r="BO40">
        <v>3.4151554625160001E-2</v>
      </c>
      <c r="BP40">
        <v>2.7774948319315003E-4</v>
      </c>
      <c r="BQ40">
        <v>-2.3269847157955004E-3</v>
      </c>
      <c r="BR40">
        <v>2.1567376549644002E-4</v>
      </c>
    </row>
    <row r="41" spans="1:70" x14ac:dyDescent="0.25">
      <c r="A41">
        <v>0.12864510715008001</v>
      </c>
      <c r="B41" s="1">
        <v>0.79619830846786011</v>
      </c>
      <c r="C41" s="1">
        <v>5.6211223962163997E-19</v>
      </c>
      <c r="D41" s="1">
        <v>-1.8355646170675998E-4</v>
      </c>
      <c r="E41" s="1">
        <v>9.1136462986469005E-2</v>
      </c>
      <c r="G41">
        <v>19.170230982193001</v>
      </c>
      <c r="H41">
        <v>12.182096204558</v>
      </c>
      <c r="I41">
        <v>9.6442136075713005</v>
      </c>
      <c r="J41">
        <v>19.170670530013002</v>
      </c>
      <c r="K41">
        <v>12.179288382532</v>
      </c>
      <c r="L41">
        <v>9.6426963126312994</v>
      </c>
      <c r="M41">
        <v>-0.28129354621618002</v>
      </c>
      <c r="N41">
        <v>0.24869836952502999</v>
      </c>
      <c r="O41">
        <v>0.23845087368676002</v>
      </c>
      <c r="Q41">
        <v>0.12864510715008001</v>
      </c>
      <c r="R41">
        <v>2.7750972658396E-2</v>
      </c>
      <c r="S41">
        <v>1.2020614231005001E-3</v>
      </c>
      <c r="T41">
        <v>3.9802738465368999E-3</v>
      </c>
      <c r="U41">
        <v>-2.6618384290486999E-3</v>
      </c>
      <c r="V41">
        <v>3.5329998936504E-3</v>
      </c>
      <c r="W41">
        <v>-3.7129598786122999E-4</v>
      </c>
      <c r="X41">
        <v>5.1590299699455001E-4</v>
      </c>
      <c r="Z41">
        <v>19.170230982193001</v>
      </c>
      <c r="AA41">
        <v>6.4965047175428001</v>
      </c>
      <c r="AB41">
        <v>0.28140266656874002</v>
      </c>
      <c r="AC41">
        <v>0.93178239694297993</v>
      </c>
      <c r="AD41">
        <v>0.62313656982468002</v>
      </c>
      <c r="AE41">
        <v>5.7203032155114002</v>
      </c>
      <c r="AF41">
        <v>0.60116776031787</v>
      </c>
      <c r="AG41">
        <v>5.7771993467031999</v>
      </c>
      <c r="AH41">
        <v>2.9272671928840999</v>
      </c>
      <c r="AI41">
        <v>19.170670530013002</v>
      </c>
      <c r="AJ41">
        <v>6.4795483232022004</v>
      </c>
      <c r="AK41">
        <v>0.28197697459382004</v>
      </c>
      <c r="AL41">
        <v>0.93645964719350006</v>
      </c>
      <c r="AM41">
        <v>0.62322676072640004</v>
      </c>
      <c r="AN41">
        <v>5.7037699925299998</v>
      </c>
      <c r="AO41">
        <v>0.6012603735452301</v>
      </c>
      <c r="AP41">
        <v>5.7634766388624001</v>
      </c>
      <c r="AQ41">
        <v>2.9358708890747001</v>
      </c>
      <c r="AS41">
        <v>41.696300506592003</v>
      </c>
      <c r="AV41">
        <v>2.9222877959323998</v>
      </c>
      <c r="AX41">
        <v>20.535764818529</v>
      </c>
      <c r="AY41">
        <v>-0.15173679941671001</v>
      </c>
      <c r="AZ41">
        <v>0.28370525299973004</v>
      </c>
      <c r="BA41">
        <v>-5.1081049595358002E-2</v>
      </c>
      <c r="BB41">
        <v>-7.2614423036234998E-2</v>
      </c>
      <c r="BC41">
        <v>-7.4572938736779002E-3</v>
      </c>
      <c r="BD41">
        <v>8.1568707774970993E-4</v>
      </c>
      <c r="BE41">
        <f>(Table__150_diric[[#This Row],[F2]]+Table__150_diric_3[[#This Row],[F2]]+Table__150_diric_4[[#This Row],[F2]])/2</f>
        <v>-9.8318054357371509E-2</v>
      </c>
      <c r="BF41">
        <v>20.535764818529</v>
      </c>
      <c r="BG41">
        <v>-1.3274096001609E-2</v>
      </c>
      <c r="BH41">
        <v>1.3070923821637E-2</v>
      </c>
      <c r="BI41">
        <v>9.7424891470832995E-4</v>
      </c>
      <c r="BJ41">
        <v>-5.4841295001658999E-4</v>
      </c>
      <c r="BK41">
        <v>2.2266378472007002E-4</v>
      </c>
      <c r="BM41">
        <v>20.535764818529</v>
      </c>
      <c r="BN41">
        <v>-3.1625213296424003E-2</v>
      </c>
      <c r="BO41">
        <v>3.3721260682743004E-2</v>
      </c>
      <c r="BP41">
        <v>2.8656201185718003E-4</v>
      </c>
      <c r="BQ41">
        <v>-2.1673844548577999E-3</v>
      </c>
      <c r="BR41">
        <v>2.1522494331821E-4</v>
      </c>
    </row>
    <row r="42" spans="1:70" x14ac:dyDescent="0.25">
      <c r="A42">
        <v>0.13318383693694999</v>
      </c>
      <c r="B42" s="1">
        <v>0.80687326192856001</v>
      </c>
      <c r="C42" s="1">
        <v>5.9504064544615003E-19</v>
      </c>
      <c r="D42" s="1">
        <v>-1.8582354823593001E-4</v>
      </c>
      <c r="E42" s="1">
        <v>9.2622116208076005E-2</v>
      </c>
      <c r="G42">
        <v>19.846576163969999</v>
      </c>
      <c r="H42">
        <v>12.345426506387</v>
      </c>
      <c r="I42">
        <v>9.8014279271360998</v>
      </c>
      <c r="J42">
        <v>19.847038116221999</v>
      </c>
      <c r="K42">
        <v>12.342641329279999</v>
      </c>
      <c r="L42">
        <v>9.7999105003067992</v>
      </c>
      <c r="M42">
        <v>-0.29674164557921001</v>
      </c>
      <c r="N42">
        <v>0.23447183311005004</v>
      </c>
      <c r="O42">
        <v>0.22658272503260002</v>
      </c>
      <c r="Q42">
        <v>0.13318383693694999</v>
      </c>
      <c r="R42">
        <v>2.7319326996802999E-2</v>
      </c>
      <c r="S42">
        <v>1.2680705403909E-3</v>
      </c>
      <c r="T42">
        <v>4.0348256006836995E-3</v>
      </c>
      <c r="U42">
        <v>-2.7032236102968003E-3</v>
      </c>
      <c r="V42">
        <v>3.4929888788611E-3</v>
      </c>
      <c r="W42">
        <v>-3.7937125307508003E-4</v>
      </c>
      <c r="X42">
        <v>5.1488884491846009E-4</v>
      </c>
      <c r="Z42">
        <v>19.846576163969999</v>
      </c>
      <c r="AA42">
        <v>6.3954564367722</v>
      </c>
      <c r="AB42">
        <v>0.29685540572699004</v>
      </c>
      <c r="AC42">
        <v>0.94455296655607013</v>
      </c>
      <c r="AD42">
        <v>0.63282484376466008</v>
      </c>
      <c r="AE42">
        <v>5.6555211199990998</v>
      </c>
      <c r="AF42">
        <v>0.61424247499643003</v>
      </c>
      <c r="AG42">
        <v>5.7658426406062002</v>
      </c>
      <c r="AH42">
        <v>2.9517558925019003</v>
      </c>
      <c r="AI42">
        <v>19.847038116221999</v>
      </c>
      <c r="AJ42">
        <v>6.3772851841896001</v>
      </c>
      <c r="AK42">
        <v>0.29746921772846002</v>
      </c>
      <c r="AL42">
        <v>0.94918383969549014</v>
      </c>
      <c r="AM42">
        <v>0.63290226596219012</v>
      </c>
      <c r="AN42">
        <v>5.6380376343091996</v>
      </c>
      <c r="AO42">
        <v>0.61433466519137003</v>
      </c>
      <c r="AP42">
        <v>5.7514197064763</v>
      </c>
      <c r="AQ42">
        <v>2.9605831688288999</v>
      </c>
      <c r="AS42">
        <v>43.987598419188998</v>
      </c>
      <c r="AV42">
        <v>2.8699748856110001</v>
      </c>
      <c r="AX42">
        <v>21.238469762651</v>
      </c>
      <c r="AY42">
        <v>-0.14771127994134001</v>
      </c>
      <c r="AZ42">
        <v>0.27086153855987</v>
      </c>
      <c r="BA42">
        <v>-5.1585976716716997E-2</v>
      </c>
      <c r="BB42">
        <v>-6.5718507354103006E-2</v>
      </c>
      <c r="BC42">
        <v>-5.0104870997823995E-3</v>
      </c>
      <c r="BD42">
        <v>8.3528744792559005E-4</v>
      </c>
      <c r="BE42">
        <f>(Table__150_diric[[#This Row],[F2]]+Table__150_diric_3[[#This Row],[F2]]+Table__150_diric_4[[#This Row],[F2]])/2</f>
        <v>-9.6302239576906506E-2</v>
      </c>
      <c r="BF42">
        <v>21.238469762651</v>
      </c>
      <c r="BG42">
        <v>-1.3549232706694002E-2</v>
      </c>
      <c r="BH42">
        <v>1.3968101420371E-2</v>
      </c>
      <c r="BI42">
        <v>4.3008286399056001E-4</v>
      </c>
      <c r="BJ42">
        <v>-6.2116426186746001E-4</v>
      </c>
      <c r="BK42">
        <v>2.2778731580063002E-4</v>
      </c>
      <c r="BM42">
        <v>21.238469762651</v>
      </c>
      <c r="BN42">
        <v>-3.1343966505779003E-2</v>
      </c>
      <c r="BO42">
        <v>3.3298790216867998E-2</v>
      </c>
      <c r="BP42">
        <v>2.7122546576428998E-4</v>
      </c>
      <c r="BQ42">
        <v>-2.0085526335748001E-3</v>
      </c>
      <c r="BR42">
        <v>2.1749654327852001E-4</v>
      </c>
    </row>
    <row r="43" spans="1:70" x14ac:dyDescent="0.25">
      <c r="A43">
        <v>0.13780875504017001</v>
      </c>
      <c r="B43" s="1">
        <v>0.81712961196899014</v>
      </c>
      <c r="C43" s="1">
        <v>8.0394014606273993E-19</v>
      </c>
      <c r="D43" s="1">
        <v>-1.8779079255182001E-4</v>
      </c>
      <c r="E43" s="1">
        <v>9.4060674309730988E-2</v>
      </c>
      <c r="G43">
        <v>20.535764818529</v>
      </c>
      <c r="H43">
        <v>12.502352038093001</v>
      </c>
      <c r="I43">
        <v>9.9536585619953009</v>
      </c>
      <c r="J43">
        <v>20.536249474160002</v>
      </c>
      <c r="K43">
        <v>12.499600598374002</v>
      </c>
      <c r="L43">
        <v>9.9521423510211005</v>
      </c>
      <c r="M43">
        <v>-0.31226341276267999</v>
      </c>
      <c r="N43">
        <v>0.22110209094425001</v>
      </c>
      <c r="O43">
        <v>0.21532012766401998</v>
      </c>
      <c r="Q43">
        <v>0.13780875504017001</v>
      </c>
      <c r="R43">
        <v>2.6858786121011002E-2</v>
      </c>
      <c r="S43">
        <v>1.3343938626348998E-3</v>
      </c>
      <c r="T43">
        <v>4.085736349225E-3</v>
      </c>
      <c r="U43">
        <v>-2.7405831497162997E-3</v>
      </c>
      <c r="V43">
        <v>3.4482239279895999E-3</v>
      </c>
      <c r="W43">
        <v>-3.8684860919602004E-4</v>
      </c>
      <c r="X43">
        <v>5.1308778347448002E-4</v>
      </c>
      <c r="Z43">
        <v>20.535764818529</v>
      </c>
      <c r="AA43">
        <v>6.2876437842559998</v>
      </c>
      <c r="AB43">
        <v>0.31238170028772005</v>
      </c>
      <c r="AC43">
        <v>0.95647117649211999</v>
      </c>
      <c r="AD43">
        <v>0.64157071465974003</v>
      </c>
      <c r="AE43">
        <v>5.5830418955098997</v>
      </c>
      <c r="AF43">
        <v>0.62634911115542002</v>
      </c>
      <c r="AG43">
        <v>5.7456739440523998</v>
      </c>
      <c r="AH43">
        <v>2.9746831988988998</v>
      </c>
      <c r="AI43">
        <v>20.536249474160002</v>
      </c>
      <c r="AJ43">
        <v>6.2683434492306001</v>
      </c>
      <c r="AK43">
        <v>0.31303760174035999</v>
      </c>
      <c r="AL43">
        <v>0.96104917182239002</v>
      </c>
      <c r="AM43">
        <v>0.64163726512916996</v>
      </c>
      <c r="AN43">
        <v>5.5647053964801003</v>
      </c>
      <c r="AO43">
        <v>0.62644313094633008</v>
      </c>
      <c r="AP43">
        <v>5.7306407795450998</v>
      </c>
      <c r="AQ43">
        <v>2.9837423757949</v>
      </c>
      <c r="AS43">
        <v>46.329498291015994</v>
      </c>
      <c r="AV43">
        <v>2.8118257926474999</v>
      </c>
      <c r="AX43">
        <v>21.955403782428</v>
      </c>
      <c r="AY43">
        <v>-0.14361390007879002</v>
      </c>
      <c r="AZ43">
        <v>0.25829382824480002</v>
      </c>
      <c r="BA43">
        <v>-5.2035218611052002E-2</v>
      </c>
      <c r="BB43">
        <v>-5.8875786150603002E-2</v>
      </c>
      <c r="BC43">
        <v>-2.9365536002293E-3</v>
      </c>
      <c r="BD43">
        <v>8.3236980412447004E-4</v>
      </c>
      <c r="BE43">
        <f>(Table__150_diric[[#This Row],[F2]]+Table__150_diric_3[[#This Row],[F2]]+Table__150_diric_4[[#This Row],[F2]])/2</f>
        <v>-9.4231962954481011E-2</v>
      </c>
      <c r="BF43">
        <v>21.955403782428</v>
      </c>
      <c r="BG43">
        <v>-1.3805291712312E-2</v>
      </c>
      <c r="BH43">
        <v>1.4863161242534999E-2</v>
      </c>
      <c r="BI43">
        <v>-1.3932789951736E-4</v>
      </c>
      <c r="BJ43">
        <v>-6.8617082398389007E-4</v>
      </c>
      <c r="BK43">
        <v>2.3237080672179001E-4</v>
      </c>
      <c r="BM43">
        <v>21.955403782428</v>
      </c>
      <c r="BN43">
        <v>-3.104473411786E-2</v>
      </c>
      <c r="BO43">
        <v>3.2886042394909998E-2</v>
      </c>
      <c r="BP43">
        <v>2.3337558546502999E-4</v>
      </c>
      <c r="BQ43">
        <v>-1.8585160824821001E-3</v>
      </c>
      <c r="BR43">
        <v>2.1616778003244003E-4</v>
      </c>
    </row>
    <row r="44" spans="1:70" x14ac:dyDescent="0.25">
      <c r="A44">
        <v>0.14252437651156999</v>
      </c>
      <c r="B44" s="1">
        <v>0.82699191570282005</v>
      </c>
      <c r="C44" s="1">
        <v>-7.8699948711764997E-19</v>
      </c>
      <c r="D44" s="1">
        <v>-1.8947811622638001E-4</v>
      </c>
      <c r="E44" s="1">
        <v>9.5454610884189994E-2</v>
      </c>
      <c r="G44">
        <v>21.238469762651</v>
      </c>
      <c r="H44">
        <v>12.653248531600001</v>
      </c>
      <c r="I44">
        <v>10.101167271889999</v>
      </c>
      <c r="J44">
        <v>21.238961892283999</v>
      </c>
      <c r="K44">
        <v>12.650541912991999</v>
      </c>
      <c r="L44">
        <v>10.099652183203</v>
      </c>
      <c r="M44">
        <v>-0.32782222676915002</v>
      </c>
      <c r="N44">
        <v>0.20854289080817001</v>
      </c>
      <c r="O44">
        <v>0.20464076714960999</v>
      </c>
      <c r="Q44">
        <v>0.14252437651156999</v>
      </c>
      <c r="R44">
        <v>2.6373602449894E-2</v>
      </c>
      <c r="S44">
        <v>1.4008731814101E-3</v>
      </c>
      <c r="T44">
        <v>4.1331201791763002E-3</v>
      </c>
      <c r="U44">
        <v>-2.7740891091526001E-3</v>
      </c>
      <c r="V44">
        <v>3.3992461394519E-3</v>
      </c>
      <c r="W44">
        <v>-3.9374208427033999E-4</v>
      </c>
      <c r="X44">
        <v>5.1056238589807998E-4</v>
      </c>
      <c r="Z44">
        <v>21.238469762651</v>
      </c>
      <c r="AA44">
        <v>6.1740622515621002</v>
      </c>
      <c r="AB44">
        <v>0.32794451364777005</v>
      </c>
      <c r="AC44">
        <v>0.96756373452974997</v>
      </c>
      <c r="AD44">
        <v>0.64941446220053001</v>
      </c>
      <c r="AE44">
        <v>5.5037416380249002</v>
      </c>
      <c r="AF44">
        <v>0.63751038169622998</v>
      </c>
      <c r="AG44">
        <v>5.7173939663948001</v>
      </c>
      <c r="AH44">
        <v>2.9959618398529999</v>
      </c>
      <c r="AI44">
        <v>21.238961892283999</v>
      </c>
      <c r="AJ44">
        <v>6.1537285921292</v>
      </c>
      <c r="AK44">
        <v>0.32864517350514005</v>
      </c>
      <c r="AL44">
        <v>0.97208769141661</v>
      </c>
      <c r="AM44">
        <v>0.64947192703659007</v>
      </c>
      <c r="AN44">
        <v>5.4846599945244003</v>
      </c>
      <c r="AO44">
        <v>0.63760835357894008</v>
      </c>
      <c r="AP44">
        <v>5.7018543477843</v>
      </c>
      <c r="AQ44">
        <v>3.0052572534003001</v>
      </c>
      <c r="AS44">
        <v>48.720901489257997</v>
      </c>
      <c r="AV44">
        <v>2.7487983473328002</v>
      </c>
      <c r="AX44">
        <v>22.687315192233001</v>
      </c>
      <c r="AY44">
        <v>-0.13946018049891001</v>
      </c>
      <c r="AZ44">
        <v>0.24605221779891001</v>
      </c>
      <c r="BA44">
        <v>-5.2427791536988004E-2</v>
      </c>
      <c r="BB44">
        <v>-5.2159663640919E-2</v>
      </c>
      <c r="BC44">
        <v>-1.16110629844E-3</v>
      </c>
      <c r="BD44">
        <v>8.4347582365030009E-4</v>
      </c>
      <c r="BE44">
        <f>(Table__150_diric[[#This Row],[F2]]+Table__150_diric_3[[#This Row],[F2]]+Table__150_diric_4[[#This Row],[F2]])/2</f>
        <v>-9.2115500518128501E-2</v>
      </c>
      <c r="BF44">
        <v>22.687315192233001</v>
      </c>
      <c r="BG44">
        <v>-1.4041794909571E-2</v>
      </c>
      <c r="BH44">
        <v>1.5748604992763999E-2</v>
      </c>
      <c r="BI44">
        <v>-7.2681868002560999E-4</v>
      </c>
      <c r="BJ44">
        <v>-7.4291911645854006E-4</v>
      </c>
      <c r="BK44">
        <v>2.3707228670869E-4</v>
      </c>
      <c r="BM44">
        <v>22.687315192233001</v>
      </c>
      <c r="BN44">
        <v>-3.0729025627776001E-2</v>
      </c>
      <c r="BO44">
        <v>3.2484123925916E-2</v>
      </c>
      <c r="BP44">
        <v>1.7498726098749001E-4</v>
      </c>
      <c r="BQ44">
        <v>-1.7112528009212999E-3</v>
      </c>
      <c r="BR44">
        <v>2.1883275820665999E-4</v>
      </c>
    </row>
    <row r="45" spans="1:70" x14ac:dyDescent="0.25">
      <c r="A45">
        <v>0.14733548462391</v>
      </c>
      <c r="B45" s="1">
        <v>0.83648359775543002</v>
      </c>
      <c r="C45" s="1">
        <v>-2.5806446924878E-18</v>
      </c>
      <c r="D45" s="1">
        <v>-1.9090947171208003E-4</v>
      </c>
      <c r="E45" s="1">
        <v>9.680634737014801E-2</v>
      </c>
      <c r="G45">
        <v>21.955403782428</v>
      </c>
      <c r="H45">
        <v>12.798474391387</v>
      </c>
      <c r="I45">
        <v>10.244210297530001</v>
      </c>
      <c r="J45">
        <v>21.955921481814002</v>
      </c>
      <c r="K45">
        <v>12.795823669271</v>
      </c>
      <c r="L45">
        <v>10.242696371063001</v>
      </c>
      <c r="M45">
        <v>-0.34338061495006</v>
      </c>
      <c r="N45">
        <v>0.19675185657200001</v>
      </c>
      <c r="O45">
        <v>0.19452716502523001</v>
      </c>
      <c r="Q45">
        <v>0.14733548462391</v>
      </c>
      <c r="R45">
        <v>2.5867654010653E-2</v>
      </c>
      <c r="S45">
        <v>1.4673487748951E-3</v>
      </c>
      <c r="T45">
        <v>4.1770962998270997E-3</v>
      </c>
      <c r="U45">
        <v>-2.8039072640240002E-3</v>
      </c>
      <c r="V45">
        <v>3.3465570304543001E-3</v>
      </c>
      <c r="W45">
        <v>-4.0006689960137004E-4</v>
      </c>
      <c r="X45">
        <v>5.0737237324938005E-4</v>
      </c>
      <c r="Z45">
        <v>21.955403782428</v>
      </c>
      <c r="AA45">
        <v>6.0556196851403996</v>
      </c>
      <c r="AB45">
        <v>0.34350645491708004</v>
      </c>
      <c r="AC45">
        <v>0.97785854757229007</v>
      </c>
      <c r="AD45">
        <v>0.65639489442449006</v>
      </c>
      <c r="AE45">
        <v>5.4184323573302997</v>
      </c>
      <c r="AF45">
        <v>0.64775093153055008</v>
      </c>
      <c r="AG45">
        <v>5.6816714776761001</v>
      </c>
      <c r="AH45">
        <v>3.015507585311</v>
      </c>
      <c r="AI45">
        <v>21.955921481814002</v>
      </c>
      <c r="AJ45">
        <v>6.0343575736004</v>
      </c>
      <c r="AK45">
        <v>0.34425462562801001</v>
      </c>
      <c r="AL45">
        <v>0.98233231837067003</v>
      </c>
      <c r="AM45">
        <v>0.65644516692166011</v>
      </c>
      <c r="AN45">
        <v>5.3987240258330003</v>
      </c>
      <c r="AO45">
        <v>0.64785461310157011</v>
      </c>
      <c r="AP45">
        <v>5.6657396658000998</v>
      </c>
      <c r="AQ45">
        <v>3.0250397770766999</v>
      </c>
      <c r="AS45">
        <v>51.160499572753999</v>
      </c>
      <c r="AV45">
        <v>2.6817335800878999</v>
      </c>
      <c r="AX45">
        <v>23.434990055233001</v>
      </c>
      <c r="AY45">
        <v>-0.13526418845821001</v>
      </c>
      <c r="AZ45">
        <v>0.23417865620666001</v>
      </c>
      <c r="BA45">
        <v>-5.2762383839359994E-2</v>
      </c>
      <c r="BB45">
        <v>-4.5631637520439999E-2</v>
      </c>
      <c r="BC45">
        <v>3.1764875606085001E-4</v>
      </c>
      <c r="BD45">
        <v>8.3809514470985994E-4</v>
      </c>
      <c r="BE45">
        <f>(Table__150_diric[[#This Row],[F2]]+Table__150_diric_3[[#This Row],[F2]]+Table__150_diric_4[[#This Row],[F2]])/2</f>
        <v>-8.9960265154980498E-2</v>
      </c>
      <c r="BF45">
        <v>23.434990055233001</v>
      </c>
      <c r="BG45">
        <v>-1.4258330168133E-2</v>
      </c>
      <c r="BH45">
        <v>1.6616692539270003E-2</v>
      </c>
      <c r="BI45">
        <v>-1.3249770786749999E-3</v>
      </c>
      <c r="BJ45">
        <v>-7.9262374711349998E-4</v>
      </c>
      <c r="BK45">
        <v>2.4076154534917999E-4</v>
      </c>
      <c r="BM45">
        <v>23.434990055233001</v>
      </c>
      <c r="BN45">
        <v>-3.0398011683617998E-2</v>
      </c>
      <c r="BO45">
        <v>3.2093370921522001E-2</v>
      </c>
      <c r="BP45">
        <v>9.8456057431157005E-5</v>
      </c>
      <c r="BQ45">
        <v>-1.5755935896005001E-3</v>
      </c>
      <c r="BR45">
        <v>2.1822170573538999E-4</v>
      </c>
    </row>
    <row r="46" spans="1:70" x14ac:dyDescent="0.25">
      <c r="A46">
        <v>0.15224710106850001</v>
      </c>
      <c r="B46" s="1">
        <v>0.84562706947327004</v>
      </c>
      <c r="C46" s="1">
        <v>1.2175039825596003E-18</v>
      </c>
      <c r="D46" s="1">
        <v>-1.9211506878491E-4</v>
      </c>
      <c r="E46" s="1">
        <v>9.811826795339601E-2</v>
      </c>
      <c r="G46">
        <v>22.687315192233001</v>
      </c>
      <c r="H46">
        <v>12.938372518431001</v>
      </c>
      <c r="I46">
        <v>10.383039937461</v>
      </c>
      <c r="J46">
        <v>22.687838824867001</v>
      </c>
      <c r="K46">
        <v>12.935786024358</v>
      </c>
      <c r="L46">
        <v>10.381524978062</v>
      </c>
      <c r="M46">
        <v>-0.35890067883132004</v>
      </c>
      <c r="N46">
        <v>0.18568600163351001</v>
      </c>
      <c r="O46">
        <v>0.18495679585253999</v>
      </c>
      <c r="Q46">
        <v>0.15224710106850001</v>
      </c>
      <c r="R46">
        <v>2.5344457477331002E-2</v>
      </c>
      <c r="S46">
        <v>1.5336598735303001E-3</v>
      </c>
      <c r="T46">
        <v>4.2177839204668999E-3</v>
      </c>
      <c r="U46">
        <v>-2.8301964048296001E-3</v>
      </c>
      <c r="V46">
        <v>3.290620399639E-3</v>
      </c>
      <c r="W46">
        <v>-4.0583900408818998E-4</v>
      </c>
      <c r="X46">
        <v>5.0357426516711994E-4</v>
      </c>
      <c r="Z46">
        <v>22.687315192233001</v>
      </c>
      <c r="AA46">
        <v>5.9331393386398004</v>
      </c>
      <c r="AB46">
        <v>0.35902988793011004</v>
      </c>
      <c r="AC46">
        <v>0.98738352252311001</v>
      </c>
      <c r="AD46">
        <v>0.66254918419898001</v>
      </c>
      <c r="AE46">
        <v>5.3278649928385997</v>
      </c>
      <c r="AF46">
        <v>0.65709658362513013</v>
      </c>
      <c r="AG46">
        <v>5.6391393976932997</v>
      </c>
      <c r="AH46">
        <v>3.0332409586087001</v>
      </c>
      <c r="AI46">
        <v>22.687838824867001</v>
      </c>
      <c r="AJ46">
        <v>5.9110666897222002</v>
      </c>
      <c r="AK46">
        <v>0.35982824194072</v>
      </c>
      <c r="AL46">
        <v>0.99181640860219</v>
      </c>
      <c r="AM46">
        <v>0.6625942104244501</v>
      </c>
      <c r="AN46">
        <v>5.3076586098625</v>
      </c>
      <c r="AO46">
        <v>0.65720750960498009</v>
      </c>
      <c r="AP46">
        <v>5.6229401005873996</v>
      </c>
      <c r="AQ46">
        <v>3.0430053443767999</v>
      </c>
      <c r="AS46">
        <v>53.647300720215</v>
      </c>
      <c r="AV46">
        <v>2.6113914544699002</v>
      </c>
      <c r="AX46">
        <v>24.199263285981001</v>
      </c>
      <c r="AY46">
        <v>-0.13103870211787003</v>
      </c>
      <c r="AZ46">
        <v>0.22269961518810999</v>
      </c>
      <c r="BA46">
        <v>-5.3037405136278998E-2</v>
      </c>
      <c r="BB46">
        <v>-3.9342531374943999E-2</v>
      </c>
      <c r="BC46">
        <v>1.5606276562955999E-3</v>
      </c>
      <c r="BD46">
        <v>8.4160421531201011E-4</v>
      </c>
      <c r="BE46">
        <f>(Table__150_diric[[#This Row],[F2]]+Table__150_diric_3[[#This Row],[F2]]+Table__150_diric_4[[#This Row],[F2]])/2</f>
        <v>-8.7772919481723513E-2</v>
      </c>
      <c r="BF46">
        <v>24.199263285981001</v>
      </c>
      <c r="BG46">
        <v>-1.4454534056118001E-2</v>
      </c>
      <c r="BH46">
        <v>1.7459780758099001E-2</v>
      </c>
      <c r="BI46">
        <v>-1.9263181762062E-3</v>
      </c>
      <c r="BJ46">
        <v>-8.3398597397770001E-4</v>
      </c>
      <c r="BK46">
        <v>2.4494255179640002E-4</v>
      </c>
      <c r="BM46">
        <v>24.199263285981001</v>
      </c>
      <c r="BN46">
        <v>-3.0052602789458999E-2</v>
      </c>
      <c r="BO46">
        <v>3.1713469131012001E-2</v>
      </c>
      <c r="BP46">
        <v>6.4495982821635997E-6</v>
      </c>
      <c r="BQ46">
        <v>-1.4473619850556001E-3</v>
      </c>
      <c r="BR46">
        <v>2.1995395477908999E-4</v>
      </c>
    </row>
    <row r="47" spans="1:70" x14ac:dyDescent="0.25">
      <c r="A47">
        <v>0.15726450085640001</v>
      </c>
      <c r="B47" s="1">
        <v>0.85444366931915006</v>
      </c>
      <c r="C47" s="1">
        <v>1.7422408933837001E-19</v>
      </c>
      <c r="D47" s="1">
        <v>-1.9313507073093002E-4</v>
      </c>
      <c r="E47" s="1">
        <v>9.9392682313918998E-2</v>
      </c>
      <c r="G47">
        <v>23.434990055233001</v>
      </c>
      <c r="H47">
        <v>13.073269398237999</v>
      </c>
      <c r="I47">
        <v>10.517900605898999</v>
      </c>
      <c r="J47">
        <v>23.435531090872999</v>
      </c>
      <c r="K47">
        <v>13.070755456160001</v>
      </c>
      <c r="L47">
        <v>10.516382545753999</v>
      </c>
      <c r="M47">
        <v>-0.37434451993883999</v>
      </c>
      <c r="N47">
        <v>0.17530636296289004</v>
      </c>
      <c r="O47">
        <v>0.17590800719377001</v>
      </c>
      <c r="Q47">
        <v>0.15726450085640001</v>
      </c>
      <c r="R47">
        <v>2.4807205423713001E-2</v>
      </c>
      <c r="S47">
        <v>1.5996444271877E-3</v>
      </c>
      <c r="T47">
        <v>4.2553031817078998E-3</v>
      </c>
      <c r="U47">
        <v>-2.8531071729958001E-3</v>
      </c>
      <c r="V47">
        <v>3.2318644225597E-3</v>
      </c>
      <c r="W47">
        <v>-4.1107489960267999E-4</v>
      </c>
      <c r="X47">
        <v>4.9922161269933007E-4</v>
      </c>
      <c r="Z47">
        <v>23.434990055233001</v>
      </c>
      <c r="AA47">
        <v>5.8073685938155997</v>
      </c>
      <c r="AB47">
        <v>0.37447687674011004</v>
      </c>
      <c r="AC47">
        <v>0.99616678430824013</v>
      </c>
      <c r="AD47">
        <v>0.66791259669289005</v>
      </c>
      <c r="AE47">
        <v>5.2327328063867</v>
      </c>
      <c r="AF47">
        <v>0.66557405626854005</v>
      </c>
      <c r="AG47">
        <v>5.5903974032877004</v>
      </c>
      <c r="AH47">
        <v>3.0490853351152998</v>
      </c>
      <c r="AI47">
        <v>23.435531090872999</v>
      </c>
      <c r="AJ47">
        <v>5.7846168042360002</v>
      </c>
      <c r="AK47">
        <v>0.37532797925619005</v>
      </c>
      <c r="AL47">
        <v>1.0005722279661</v>
      </c>
      <c r="AM47">
        <v>0.66795443007847999</v>
      </c>
      <c r="AN47">
        <v>5.2121652739613999</v>
      </c>
      <c r="AO47">
        <v>0.66569325607343011</v>
      </c>
      <c r="AP47">
        <v>5.5740605215218002</v>
      </c>
      <c r="AQ47">
        <v>3.0590720145035002</v>
      </c>
      <c r="AS47">
        <v>56.180000305176002</v>
      </c>
      <c r="AV47">
        <v>2.5382223249699001</v>
      </c>
      <c r="AX47">
        <v>24.981014209375999</v>
      </c>
      <c r="AY47">
        <v>-0.12679551216004001</v>
      </c>
      <c r="AZ47">
        <v>0.21163751079147</v>
      </c>
      <c r="BA47">
        <v>-5.3251046436662001E-2</v>
      </c>
      <c r="BB47">
        <v>-3.3333483719889E-2</v>
      </c>
      <c r="BC47">
        <v>2.5760035806139999E-3</v>
      </c>
      <c r="BD47">
        <v>8.3347205549276992E-4</v>
      </c>
      <c r="BE47">
        <f>(Table__150_diric[[#This Row],[F2]]+Table__150_diric_3[[#This Row],[F2]]+Table__150_diric_4[[#This Row],[F2]])/2</f>
        <v>-8.5559601153536002E-2</v>
      </c>
      <c r="BF47">
        <v>24.981014209375999</v>
      </c>
      <c r="BG47">
        <v>-1.4630092389928E-2</v>
      </c>
      <c r="BH47">
        <v>1.8270378185421002E-2</v>
      </c>
      <c r="BI47">
        <v>-2.5234913363879003E-3</v>
      </c>
      <c r="BJ47">
        <v>-8.6884884300045013E-4</v>
      </c>
      <c r="BK47">
        <v>2.4794561610440004E-4</v>
      </c>
      <c r="BM47">
        <v>24.981014209375999</v>
      </c>
      <c r="BN47">
        <v>-2.9693597757104E-2</v>
      </c>
      <c r="BO47">
        <v>3.1343541384992998E-2</v>
      </c>
      <c r="BP47">
        <v>-9.8451959031754994E-5</v>
      </c>
      <c r="BQ47">
        <v>-1.3313243548813002E-3</v>
      </c>
      <c r="BR47">
        <v>2.2016731397577001E-4</v>
      </c>
    </row>
    <row r="48" spans="1:70" x14ac:dyDescent="0.25">
      <c r="A48">
        <v>0.16239328682423002</v>
      </c>
      <c r="B48" s="1">
        <v>0.86295384168625011</v>
      </c>
      <c r="C48" s="1">
        <v>1.0361859922879999E-18</v>
      </c>
      <c r="D48" s="1">
        <v>-1.9402477482799002E-4</v>
      </c>
      <c r="E48" s="1">
        <v>0.10063185542822001</v>
      </c>
      <c r="G48">
        <v>24.199263285981001</v>
      </c>
      <c r="H48">
        <v>13.203477836752</v>
      </c>
      <c r="I48">
        <v>10.649031986463001</v>
      </c>
      <c r="J48">
        <v>24.199833213818998</v>
      </c>
      <c r="K48">
        <v>13.201042027494001</v>
      </c>
      <c r="L48">
        <v>10.647507304943</v>
      </c>
      <c r="M48">
        <v>-0.38967423979851001</v>
      </c>
      <c r="N48">
        <v>0.16557139677517002</v>
      </c>
      <c r="O48">
        <v>0.16735753127132003</v>
      </c>
      <c r="Q48">
        <v>0.16239328682423002</v>
      </c>
      <c r="R48">
        <v>2.425878494978E-2</v>
      </c>
      <c r="S48">
        <v>1.6651388723403001E-3</v>
      </c>
      <c r="T48">
        <v>4.2897677049041003E-3</v>
      </c>
      <c r="U48">
        <v>-2.8727815952152001E-3</v>
      </c>
      <c r="V48">
        <v>3.1706837471575E-3</v>
      </c>
      <c r="W48">
        <v>-4.1579123353586002E-4</v>
      </c>
      <c r="X48">
        <v>4.9436464905739004E-4</v>
      </c>
      <c r="Z48">
        <v>24.199263285981001</v>
      </c>
      <c r="AA48">
        <v>5.6789833209834999</v>
      </c>
      <c r="AB48">
        <v>0.38980913111347004</v>
      </c>
      <c r="AC48">
        <v>1.0042349316949</v>
      </c>
      <c r="AD48">
        <v>0.6725183803652901</v>
      </c>
      <c r="AE48">
        <v>5.1336747750349998</v>
      </c>
      <c r="AF48">
        <v>0.67321030336039012</v>
      </c>
      <c r="AG48">
        <v>5.5360080174097002</v>
      </c>
      <c r="AH48">
        <v>3.0629673225045999</v>
      </c>
      <c r="AI48">
        <v>24.199833213818998</v>
      </c>
      <c r="AJ48">
        <v>5.6556981448223</v>
      </c>
      <c r="AK48">
        <v>0.39071535836228999</v>
      </c>
      <c r="AL48">
        <v>1.0086295351732</v>
      </c>
      <c r="AM48">
        <v>0.67255923630451009</v>
      </c>
      <c r="AN48">
        <v>5.1128878391962003</v>
      </c>
      <c r="AO48">
        <v>0.67333834836508999</v>
      </c>
      <c r="AP48">
        <v>5.5196673003595</v>
      </c>
      <c r="AQ48">
        <v>3.0731614588990999</v>
      </c>
      <c r="AS48">
        <v>58.757400512695</v>
      </c>
      <c r="AV48">
        <v>2.4627026642044001</v>
      </c>
      <c r="AX48">
        <v>25.781168781184</v>
      </c>
      <c r="AY48">
        <v>-0.12254555971440001</v>
      </c>
      <c r="AZ48">
        <v>0.20101233793151999</v>
      </c>
      <c r="BA48">
        <v>-5.3401356653449E-2</v>
      </c>
      <c r="BB48">
        <v>-2.7637305533900005E-2</v>
      </c>
      <c r="BC48">
        <v>3.4016442434169E-3</v>
      </c>
      <c r="BD48">
        <v>8.2976027317968007E-4</v>
      </c>
      <c r="BE48">
        <f>(Table__150_diric[[#This Row],[F2]]+Table__150_diric_3[[#This Row],[F2]]+Table__150_diric_4[[#This Row],[F2]])/2</f>
        <v>-8.3326040525820502E-2</v>
      </c>
      <c r="BF48">
        <v>25.781168781184</v>
      </c>
      <c r="BG48">
        <v>-1.4784725467612E-2</v>
      </c>
      <c r="BH48">
        <v>1.9041352696271999E-2</v>
      </c>
      <c r="BI48">
        <v>-3.1093937530870001E-3</v>
      </c>
      <c r="BJ48">
        <v>-8.9582552999742002E-4</v>
      </c>
      <c r="BK48">
        <v>2.5140794557557003E-4</v>
      </c>
      <c r="BM48">
        <v>25.781168781184</v>
      </c>
      <c r="BN48">
        <v>-2.9321795869629002E-2</v>
      </c>
      <c r="BO48">
        <v>3.0982262365224E-2</v>
      </c>
      <c r="BP48">
        <v>-2.1402834288777002E-4</v>
      </c>
      <c r="BQ48">
        <v>-1.2251449120489E-3</v>
      </c>
      <c r="BR48">
        <v>2.2129324065795004E-4</v>
      </c>
    </row>
    <row r="49" spans="1:70" x14ac:dyDescent="0.25">
      <c r="A49">
        <v>0.16763935983181</v>
      </c>
      <c r="B49" s="1">
        <v>0.87117689847946012</v>
      </c>
      <c r="C49" s="1">
        <v>2.7568804850759001E-18</v>
      </c>
      <c r="D49" s="1">
        <v>-1.9486046221573001E-4</v>
      </c>
      <c r="E49" s="1">
        <v>0.10183796286583001</v>
      </c>
      <c r="G49">
        <v>24.981014209375999</v>
      </c>
      <c r="H49">
        <v>13.329293312476</v>
      </c>
      <c r="I49">
        <v>10.776664301574</v>
      </c>
      <c r="J49">
        <v>24.981597892242</v>
      </c>
      <c r="K49">
        <v>13.326943033881001</v>
      </c>
      <c r="L49">
        <v>10.775130386841001</v>
      </c>
      <c r="M49">
        <v>-0.40485151411068998</v>
      </c>
      <c r="N49">
        <v>0.15644455383607003</v>
      </c>
      <c r="O49">
        <v>0.15928082168668001</v>
      </c>
      <c r="Q49">
        <v>0.16763935983181</v>
      </c>
      <c r="R49">
        <v>2.3701816797255998E-2</v>
      </c>
      <c r="S49">
        <v>1.7299787141383E-3</v>
      </c>
      <c r="T49">
        <v>4.3212827295064996E-3</v>
      </c>
      <c r="U49">
        <v>-2.8893533162773002E-3</v>
      </c>
      <c r="V49">
        <v>3.1074401922524001E-3</v>
      </c>
      <c r="W49">
        <v>-4.2000476969406003E-4</v>
      </c>
      <c r="X49">
        <v>4.8905058065429005E-4</v>
      </c>
      <c r="Z49">
        <v>24.981014209375999</v>
      </c>
      <c r="AA49">
        <v>5.5485970359719001</v>
      </c>
      <c r="AB49">
        <v>0.4049881427939</v>
      </c>
      <c r="AC49">
        <v>1.0116126012463</v>
      </c>
      <c r="AD49">
        <v>0.67639782147111005</v>
      </c>
      <c r="AE49">
        <v>5.0312767219997001</v>
      </c>
      <c r="AF49">
        <v>0.68003246728905009</v>
      </c>
      <c r="AG49">
        <v>5.4764998682312998</v>
      </c>
      <c r="AH49">
        <v>3.0748161903482001</v>
      </c>
      <c r="AI49">
        <v>24.981597892242</v>
      </c>
      <c r="AJ49">
        <v>5.5249346633514005</v>
      </c>
      <c r="AK49">
        <v>0.40595154577652998</v>
      </c>
      <c r="AL49">
        <v>1.0160144917275</v>
      </c>
      <c r="AM49">
        <v>0.67644013191357999</v>
      </c>
      <c r="AN49">
        <v>5.0104139290126</v>
      </c>
      <c r="AO49">
        <v>0.68016904660988009</v>
      </c>
      <c r="AP49">
        <v>5.4602866799824001</v>
      </c>
      <c r="AQ49">
        <v>3.0851985810092</v>
      </c>
      <c r="AS49">
        <v>61.378398895263999</v>
      </c>
      <c r="AV49">
        <v>2.3853874344327002</v>
      </c>
      <c r="AX49">
        <v>26.600717352177</v>
      </c>
      <c r="AY49">
        <v>-0.11829890179800001</v>
      </c>
      <c r="AZ49">
        <v>0.19082345922273003</v>
      </c>
      <c r="BA49">
        <v>-5.3486280860213002E-2</v>
      </c>
      <c r="BB49">
        <v>-2.2278396327380001E-2</v>
      </c>
      <c r="BC49">
        <v>4.0590676256515006E-3</v>
      </c>
      <c r="BD49">
        <v>8.1894786279052001E-4</v>
      </c>
      <c r="BE49">
        <f>(Table__150_diric[[#This Row],[F2]]+Table__150_diric_3[[#This Row],[F2]]+Table__150_diric_4[[#This Row],[F2]])/2</f>
        <v>-8.10775319849735E-2</v>
      </c>
      <c r="BF49">
        <v>26.600717352177</v>
      </c>
      <c r="BG49">
        <v>-1.491819246744E-2</v>
      </c>
      <c r="BH49">
        <v>1.9765908277323E-2</v>
      </c>
      <c r="BI49">
        <v>-3.6772282360663005E-3</v>
      </c>
      <c r="BJ49">
        <v>-9.1689816572558004E-4</v>
      </c>
      <c r="BK49">
        <v>2.5358940809112998E-4</v>
      </c>
      <c r="BM49">
        <v>26.600717352177</v>
      </c>
      <c r="BN49">
        <v>-2.8937969704507002E-2</v>
      </c>
      <c r="BO49">
        <v>3.0627921454759004E-2</v>
      </c>
      <c r="BP49">
        <v>-3.3845073969318004E-4</v>
      </c>
      <c r="BQ49">
        <v>-1.1296967267283001E-3</v>
      </c>
      <c r="BR49">
        <v>2.2180428383050002E-4</v>
      </c>
    </row>
    <row r="50" spans="1:70" x14ac:dyDescent="0.25">
      <c r="A50">
        <v>0.17300893366337</v>
      </c>
      <c r="B50" s="1">
        <v>0.87913155555724998</v>
      </c>
      <c r="C50" s="1">
        <v>-6.8689078066402994E-19</v>
      </c>
      <c r="D50" s="1">
        <v>-1.957452041097E-4</v>
      </c>
      <c r="E50" s="1">
        <v>0.1030131354928</v>
      </c>
      <c r="G50">
        <v>25.781168781184</v>
      </c>
      <c r="H50">
        <v>13.451002184205</v>
      </c>
      <c r="I50">
        <v>10.901023043058</v>
      </c>
      <c r="J50">
        <v>25.781766647445</v>
      </c>
      <c r="K50">
        <v>13.448740267704999</v>
      </c>
      <c r="L50">
        <v>10.89947661191</v>
      </c>
      <c r="M50">
        <v>-0.41983716692463002</v>
      </c>
      <c r="N50">
        <v>0.14789450689048</v>
      </c>
      <c r="O50">
        <v>0.15165908113856</v>
      </c>
      <c r="Q50">
        <v>0.17300893366337</v>
      </c>
      <c r="R50">
        <v>2.3138672113419002E-2</v>
      </c>
      <c r="S50">
        <v>1.7939979443327002E-3</v>
      </c>
      <c r="T50">
        <v>4.3499404564499994E-3</v>
      </c>
      <c r="U50">
        <v>-2.9029471334070002E-3</v>
      </c>
      <c r="V50">
        <v>3.0424660071731E-3</v>
      </c>
      <c r="W50">
        <v>-4.2373200994916005E-4</v>
      </c>
      <c r="X50">
        <v>4.8332323785871002E-4</v>
      </c>
      <c r="Z50">
        <v>25.781168781184</v>
      </c>
      <c r="AA50">
        <v>5.4167648245302997</v>
      </c>
      <c r="AB50">
        <v>0.41997504923825002</v>
      </c>
      <c r="AC50">
        <v>1.0183213772079001</v>
      </c>
      <c r="AD50">
        <v>0.67958013504980008</v>
      </c>
      <c r="AE50">
        <v>4.9260765943397997</v>
      </c>
      <c r="AF50">
        <v>0.68606726634313009</v>
      </c>
      <c r="AG50">
        <v>5.4123637782111</v>
      </c>
      <c r="AH50">
        <v>3.0845634898443</v>
      </c>
      <c r="AI50">
        <v>25.781766647445</v>
      </c>
      <c r="AJ50">
        <v>5.3928875240843004</v>
      </c>
      <c r="AK50">
        <v>0.42099727199131998</v>
      </c>
      <c r="AL50">
        <v>1.0227493349073</v>
      </c>
      <c r="AM50">
        <v>0.67962638508830997</v>
      </c>
      <c r="AN50">
        <v>4.9052791180529001</v>
      </c>
      <c r="AO50">
        <v>0.68621118662682001</v>
      </c>
      <c r="AP50">
        <v>5.3964077106566997</v>
      </c>
      <c r="AQ50">
        <v>3.0951109459296999</v>
      </c>
      <c r="AS50">
        <v>64.041603088379006</v>
      </c>
      <c r="AV50">
        <v>2.3064801163566</v>
      </c>
      <c r="AX50">
        <v>27.440696903992002</v>
      </c>
      <c r="AY50">
        <v>-0.11406457527371</v>
      </c>
      <c r="AZ50">
        <v>0.18108056338233003</v>
      </c>
      <c r="BA50">
        <v>-5.3503725873920001E-2</v>
      </c>
      <c r="BB50">
        <v>-1.7273666314279002E-2</v>
      </c>
      <c r="BC50">
        <v>4.5699494184823003E-3</v>
      </c>
      <c r="BD50">
        <v>8.0854533890715996E-4</v>
      </c>
      <c r="BE50">
        <f>(Table__150_diric[[#This Row],[F2]]+Table__150_diric_3[[#This Row],[F2]]+Table__150_diric_4[[#This Row],[F2]])/2</f>
        <v>-7.8818811102571495E-2</v>
      </c>
      <c r="BF50">
        <v>27.440696903992002</v>
      </c>
      <c r="BG50">
        <v>-1.5030286420966E-2</v>
      </c>
      <c r="BH50">
        <v>2.0437604155186001E-2</v>
      </c>
      <c r="BI50">
        <v>-4.2204693697985001E-3</v>
      </c>
      <c r="BJ50">
        <v>-9.3053666531390004E-4</v>
      </c>
      <c r="BK50">
        <v>2.5631169910807E-4</v>
      </c>
      <c r="BM50">
        <v>27.440696903992002</v>
      </c>
      <c r="BN50">
        <v>-2.8542760510466999E-2</v>
      </c>
      <c r="BO50">
        <v>3.0278444598869001E-2</v>
      </c>
      <c r="BP50">
        <v>-4.6995875306947004E-4</v>
      </c>
      <c r="BQ50">
        <v>-1.0436481035523001E-3</v>
      </c>
      <c r="BR50">
        <v>2.2207723178032E-4</v>
      </c>
    </row>
    <row r="51" spans="1:70" x14ac:dyDescent="0.25">
      <c r="A51">
        <v>0.17850865423679002</v>
      </c>
      <c r="B51" s="1">
        <v>0.88683557510375999</v>
      </c>
      <c r="C51" s="1">
        <v>-1.7488583382841001E-18</v>
      </c>
      <c r="D51" s="1">
        <v>-1.9681241246872003E-4</v>
      </c>
      <c r="E51" s="1">
        <v>0.10415943711996001</v>
      </c>
      <c r="G51">
        <v>26.600717352177</v>
      </c>
      <c r="H51">
        <v>13.568876219202</v>
      </c>
      <c r="I51">
        <v>11.022326606843</v>
      </c>
      <c r="J51">
        <v>26.601334294389002</v>
      </c>
      <c r="K51">
        <v>13.566704577955001</v>
      </c>
      <c r="L51">
        <v>11.020765278704001</v>
      </c>
      <c r="M51">
        <v>-0.43459159646401002</v>
      </c>
      <c r="N51">
        <v>0.13988093186429001</v>
      </c>
      <c r="O51">
        <v>0.14446473137530999</v>
      </c>
      <c r="Q51">
        <v>0.17850865423679002</v>
      </c>
      <c r="R51">
        <v>2.2571496665478002E-2</v>
      </c>
      <c r="S51">
        <v>1.8570293905213E-3</v>
      </c>
      <c r="T51">
        <v>4.3758181855082998E-3</v>
      </c>
      <c r="U51">
        <v>-2.9136789962648998E-3</v>
      </c>
      <c r="V51">
        <v>2.9760650359094E-3</v>
      </c>
      <c r="W51">
        <v>-4.2698896140790999E-4</v>
      </c>
      <c r="X51">
        <v>4.7722342424094997E-4</v>
      </c>
      <c r="Z51">
        <v>26.600717352177</v>
      </c>
      <c r="AA51">
        <v>5.283989010919</v>
      </c>
      <c r="AB51">
        <v>0.43473071537503999</v>
      </c>
      <c r="AC51">
        <v>1.0243793554625</v>
      </c>
      <c r="AD51">
        <v>0.68209246492533004</v>
      </c>
      <c r="AE51">
        <v>4.8185663478449001</v>
      </c>
      <c r="AF51">
        <v>0.69134061773375011</v>
      </c>
      <c r="AG51">
        <v>5.3440566750291003</v>
      </c>
      <c r="AH51">
        <v>3.0921432439536001</v>
      </c>
      <c r="AI51">
        <v>26.601334294389002</v>
      </c>
      <c r="AJ51">
        <v>5.2600598999477999</v>
      </c>
      <c r="AK51">
        <v>0.43581288597718004</v>
      </c>
      <c r="AL51">
        <v>1.0288516147216999</v>
      </c>
      <c r="AM51">
        <v>0.68214530189850009</v>
      </c>
      <c r="AN51">
        <v>4.7979684408173</v>
      </c>
      <c r="AO51">
        <v>0.6914898970501</v>
      </c>
      <c r="AP51">
        <v>5.3284802925276997</v>
      </c>
      <c r="AQ51">
        <v>3.1028289705243002</v>
      </c>
      <c r="AS51">
        <v>66.745903015137003</v>
      </c>
      <c r="AV51">
        <v>2.2262133567456002</v>
      </c>
      <c r="AX51">
        <v>28.302211033788002</v>
      </c>
      <c r="AY51">
        <v>-0.10985062764025999</v>
      </c>
      <c r="AZ51">
        <v>0.17178197774946002</v>
      </c>
      <c r="BA51">
        <v>-5.3451609441994008E-2</v>
      </c>
      <c r="BB51">
        <v>-1.2633102693931999E-2</v>
      </c>
      <c r="BC51">
        <v>4.9501951210017001E-3</v>
      </c>
      <c r="BD51">
        <v>7.9683309426899001E-4</v>
      </c>
      <c r="BE51">
        <f>(Table__150_diric[[#This Row],[F2]]+Table__150_diric_3[[#This Row],[F2]]+Table__150_diric_4[[#This Row],[F2]])/2</f>
        <v>-7.6554022156662002E-2</v>
      </c>
      <c r="BF51">
        <v>28.302211033788002</v>
      </c>
      <c r="BG51">
        <v>-1.5120843402897002E-2</v>
      </c>
      <c r="BH51">
        <v>2.1050354796416003E-2</v>
      </c>
      <c r="BI51">
        <v>-4.7328887232205002E-3</v>
      </c>
      <c r="BJ51">
        <v>-9.3910737825770002E-4</v>
      </c>
      <c r="BK51">
        <v>2.5751529204053004E-4</v>
      </c>
      <c r="BM51">
        <v>28.302211033788002</v>
      </c>
      <c r="BN51">
        <v>-2.8136573270167001E-2</v>
      </c>
      <c r="BO51">
        <v>2.9931435294258998E-2</v>
      </c>
      <c r="BP51">
        <v>-6.0650400769847001E-4</v>
      </c>
      <c r="BQ51">
        <v>-9.6518931550646013E-4</v>
      </c>
      <c r="BR51">
        <v>2.231687008871E-4</v>
      </c>
    </row>
    <row r="52" spans="1:70" x14ac:dyDescent="0.25">
      <c r="A52">
        <v>0.18414548039436002</v>
      </c>
      <c r="B52" s="1">
        <v>0.89430582523346003</v>
      </c>
      <c r="C52" s="1">
        <v>-4.1472354371570999E-19</v>
      </c>
      <c r="D52" s="1">
        <v>-1.9822509784717002E-4</v>
      </c>
      <c r="E52" s="1">
        <v>0.10527883470058</v>
      </c>
      <c r="G52">
        <v>27.440696903992002</v>
      </c>
      <c r="H52">
        <v>13.683173505173</v>
      </c>
      <c r="I52">
        <v>11.140783139229001</v>
      </c>
      <c r="J52">
        <v>27.44133117714</v>
      </c>
      <c r="K52">
        <v>13.681093134379001</v>
      </c>
      <c r="L52">
        <v>11.139206219654001</v>
      </c>
      <c r="M52">
        <v>-0.44907605260364003</v>
      </c>
      <c r="N52">
        <v>0.1323765861607</v>
      </c>
      <c r="O52">
        <v>0.13767643037126001</v>
      </c>
      <c r="Q52">
        <v>0.18414548039436002</v>
      </c>
      <c r="R52">
        <v>2.2002240642904999E-2</v>
      </c>
      <c r="S52">
        <v>1.9189043669029999E-3</v>
      </c>
      <c r="T52">
        <v>4.3989769183099001E-3</v>
      </c>
      <c r="U52">
        <v>-2.9216562397778E-3</v>
      </c>
      <c r="V52">
        <v>2.9085143469274001E-3</v>
      </c>
      <c r="W52">
        <v>-4.2979084537365009E-4</v>
      </c>
      <c r="X52">
        <v>4.7078871284612006E-4</v>
      </c>
      <c r="Z52">
        <v>27.440696903992002</v>
      </c>
      <c r="AA52">
        <v>5.1507261346351996</v>
      </c>
      <c r="AB52">
        <v>0.44921565184589007</v>
      </c>
      <c r="AC52">
        <v>1.0298008164956001</v>
      </c>
      <c r="AD52">
        <v>0.68395993821183998</v>
      </c>
      <c r="AE52">
        <v>4.7091945858791</v>
      </c>
      <c r="AF52">
        <v>0.69587716637261998</v>
      </c>
      <c r="AG52">
        <v>5.2719993102086002</v>
      </c>
      <c r="AH52">
        <v>3.0974913769922998</v>
      </c>
      <c r="AI52">
        <v>27.44133117714</v>
      </c>
      <c r="AJ52">
        <v>5.1268991526603997</v>
      </c>
      <c r="AK52">
        <v>0.45035819167327001</v>
      </c>
      <c r="AL52">
        <v>1.0343345209289001</v>
      </c>
      <c r="AM52">
        <v>0.68402211729487006</v>
      </c>
      <c r="AN52">
        <v>4.6889212948115997</v>
      </c>
      <c r="AO52">
        <v>0.69602945789211002</v>
      </c>
      <c r="AP52">
        <v>5.256918111878</v>
      </c>
      <c r="AQ52">
        <v>3.1082855431888001</v>
      </c>
      <c r="AS52">
        <v>69.489799499512003</v>
      </c>
      <c r="AV52">
        <v>2.1447311242338998</v>
      </c>
      <c r="AX52">
        <v>29.186434395283996</v>
      </c>
      <c r="AY52">
        <v>-0.10566430994097001</v>
      </c>
      <c r="AZ52">
        <v>0.16291918215231002</v>
      </c>
      <c r="BA52">
        <v>-5.3327969546913996E-2</v>
      </c>
      <c r="BB52">
        <v>-8.360534867701901E-3</v>
      </c>
      <c r="BC52">
        <v>5.2149655014915005E-3</v>
      </c>
      <c r="BD52">
        <v>7.8133329821999009E-4</v>
      </c>
      <c r="BE52">
        <f>(Table__150_diric[[#This Row],[F2]]+Table__150_diric_3[[#This Row],[F2]]+Table__150_diric_4[[#This Row],[F2]])/2</f>
        <v>-7.428685798274251E-2</v>
      </c>
      <c r="BF52">
        <v>29.186434395283996</v>
      </c>
      <c r="BG52">
        <v>-1.5189745123108001E-2</v>
      </c>
      <c r="BH52">
        <v>2.1598550142561002E-2</v>
      </c>
      <c r="BI52">
        <v>-5.2086744819171008E-3</v>
      </c>
      <c r="BJ52">
        <v>-9.4061071540698011E-4</v>
      </c>
      <c r="BK52">
        <v>2.5951982212965005E-4</v>
      </c>
      <c r="BM52">
        <v>29.186434395283996</v>
      </c>
      <c r="BN52">
        <v>-2.7719660901407001E-2</v>
      </c>
      <c r="BO52">
        <v>2.9584237439220003E-2</v>
      </c>
      <c r="BP52">
        <v>-7.4571558281184001E-4</v>
      </c>
      <c r="BQ52">
        <v>-8.9600363984196005E-4</v>
      </c>
      <c r="BR52">
        <v>2.2285731515882002E-4</v>
      </c>
    </row>
    <row r="53" spans="1:70" x14ac:dyDescent="0.25">
      <c r="A53">
        <v>0.18992681801319</v>
      </c>
      <c r="B53" s="1">
        <v>0.9015587568283101</v>
      </c>
      <c r="C53" s="1">
        <v>2.2338641099260003E-18</v>
      </c>
      <c r="D53" s="1">
        <v>-2.0016962662339002E-4</v>
      </c>
      <c r="E53" s="1">
        <v>0.10637326538563002</v>
      </c>
      <c r="G53">
        <v>28.302211033788002</v>
      </c>
      <c r="H53">
        <v>13.794145746024999</v>
      </c>
      <c r="I53">
        <v>11.256597632784999</v>
      </c>
      <c r="J53">
        <v>28.302876462529998</v>
      </c>
      <c r="K53">
        <v>13.79215216333</v>
      </c>
      <c r="L53">
        <v>11.255005322972</v>
      </c>
      <c r="M53">
        <v>-0.46325093356722002</v>
      </c>
      <c r="N53">
        <v>0.12535068941681002</v>
      </c>
      <c r="O53">
        <v>0.13127550233431001</v>
      </c>
      <c r="Q53">
        <v>0.18992681801319</v>
      </c>
      <c r="R53">
        <v>2.1432671695948004E-2</v>
      </c>
      <c r="S53">
        <v>1.9794530235231001E-3</v>
      </c>
      <c r="T53">
        <v>4.4194618239999008E-3</v>
      </c>
      <c r="U53">
        <v>-2.9269771184772002E-3</v>
      </c>
      <c r="V53">
        <v>2.8400665614754001E-3</v>
      </c>
      <c r="W53">
        <v>-4.3215203913859996E-4</v>
      </c>
      <c r="X53">
        <v>4.6405353350565E-4</v>
      </c>
      <c r="Z53">
        <v>28.302211033788002</v>
      </c>
      <c r="AA53">
        <v>5.0173900027301004</v>
      </c>
      <c r="AB53">
        <v>0.46339009676411003</v>
      </c>
      <c r="AC53">
        <v>1.0345963344074001</v>
      </c>
      <c r="AD53">
        <v>0.68520555630234004</v>
      </c>
      <c r="AE53">
        <v>4.5983703291562001</v>
      </c>
      <c r="AF53">
        <v>0.69970019062756006</v>
      </c>
      <c r="AG53">
        <v>5.1965772368492003</v>
      </c>
      <c r="AH53">
        <v>3.1005478061232998</v>
      </c>
      <c r="AI53">
        <v>28.302876462529998</v>
      </c>
      <c r="AJ53">
        <v>4.9938059892583002</v>
      </c>
      <c r="AK53">
        <v>0.46459255699368002</v>
      </c>
      <c r="AL53">
        <v>1.0392072100553</v>
      </c>
      <c r="AM53">
        <v>0.68528004961222999</v>
      </c>
      <c r="AN53">
        <v>4.5785355893653001</v>
      </c>
      <c r="AO53">
        <v>0.69985311196083</v>
      </c>
      <c r="AP53">
        <v>5.1820992936302002</v>
      </c>
      <c r="AQ53">
        <v>3.1114145029084002</v>
      </c>
      <c r="AS53">
        <v>72.272102355957003</v>
      </c>
      <c r="AV53">
        <v>2.0621247289742999</v>
      </c>
      <c r="AX53">
        <v>30.094606037201999</v>
      </c>
      <c r="AY53">
        <v>-0.10151253987033</v>
      </c>
      <c r="AZ53">
        <v>0.15448865309986004</v>
      </c>
      <c r="BA53">
        <v>-5.3131062780357001E-2</v>
      </c>
      <c r="BB53">
        <v>-4.4558016106589007E-3</v>
      </c>
      <c r="BC53">
        <v>5.3762806375416998E-3</v>
      </c>
      <c r="BD53">
        <v>7.6552947606307008E-4</v>
      </c>
      <c r="BE53">
        <f>(Table__150_diric[[#This Row],[F2]]+Table__150_diric_3[[#This Row],[F2]]+Table__150_diric_4[[#This Row],[F2]])/2</f>
        <v>-7.20208883348675E-2</v>
      </c>
      <c r="BF53">
        <v>30.094606037201999</v>
      </c>
      <c r="BG53">
        <v>-1.5236918848094E-2</v>
      </c>
      <c r="BH53">
        <v>2.2077215468145003E-2</v>
      </c>
      <c r="BI53">
        <v>-5.6426106464143007E-3</v>
      </c>
      <c r="BJ53">
        <v>-9.3779044021394004E-4</v>
      </c>
      <c r="BK53">
        <v>2.5989553342236E-4</v>
      </c>
      <c r="BM53">
        <v>30.094606037201999</v>
      </c>
      <c r="BN53">
        <v>-2.7292317951311002E-2</v>
      </c>
      <c r="BO53">
        <v>2.9234020044683E-2</v>
      </c>
      <c r="BP53">
        <v>-8.8519088669615996E-4</v>
      </c>
      <c r="BQ53">
        <v>-8.3327156793795004E-4</v>
      </c>
      <c r="BR53">
        <v>2.2323963873833002E-4</v>
      </c>
    </row>
    <row r="54" spans="1:70" x14ac:dyDescent="0.25">
      <c r="A54">
        <v>0.19586054980754999</v>
      </c>
      <c r="B54" s="1">
        <v>0.90860986709594993</v>
      </c>
      <c r="C54" s="1">
        <v>-1.2512529515518002E-18</v>
      </c>
      <c r="D54" s="1">
        <v>-2.0284447236918002E-4</v>
      </c>
      <c r="E54" s="1">
        <v>0.10744459182024001</v>
      </c>
      <c r="G54">
        <v>29.186434395283996</v>
      </c>
      <c r="H54">
        <v>13.902030054137001</v>
      </c>
      <c r="I54">
        <v>11.369967195749</v>
      </c>
      <c r="J54">
        <v>29.187107081943001</v>
      </c>
      <c r="K54">
        <v>13.900117859718</v>
      </c>
      <c r="L54">
        <v>11.368359799589001</v>
      </c>
      <c r="M54">
        <v>-0.47707536010179008</v>
      </c>
      <c r="N54">
        <v>0.11877167745690001</v>
      </c>
      <c r="O54">
        <v>0.12523730644610001</v>
      </c>
      <c r="Q54">
        <v>0.19586054980754999</v>
      </c>
      <c r="R54">
        <v>2.0864386111498E-2</v>
      </c>
      <c r="S54">
        <v>2.0385037641972E-3</v>
      </c>
      <c r="T54">
        <v>4.4373031705618E-3</v>
      </c>
      <c r="U54">
        <v>-2.929731272161E-3</v>
      </c>
      <c r="V54">
        <v>2.7709498535842003E-3</v>
      </c>
      <c r="W54">
        <v>-4.3408569763415001E-4</v>
      </c>
      <c r="X54">
        <v>4.5704943477176E-4</v>
      </c>
      <c r="Z54">
        <v>29.186434395283996</v>
      </c>
      <c r="AA54">
        <v>4.8843543060812999</v>
      </c>
      <c r="AB54">
        <v>0.47721387945044003</v>
      </c>
      <c r="AC54">
        <v>1.038772994935</v>
      </c>
      <c r="AD54">
        <v>0.68585030388001</v>
      </c>
      <c r="AE54">
        <v>4.4864630157406999</v>
      </c>
      <c r="AF54">
        <v>0.70283098973391001</v>
      </c>
      <c r="AG54">
        <v>5.1181437428291998</v>
      </c>
      <c r="AH54">
        <v>3.1012549202718001</v>
      </c>
      <c r="AI54">
        <v>29.187107081943001</v>
      </c>
      <c r="AJ54">
        <v>4.8611344620957002</v>
      </c>
      <c r="AK54">
        <v>0.47847494107902</v>
      </c>
      <c r="AL54">
        <v>1.0434743693702999</v>
      </c>
      <c r="AM54">
        <v>0.68594035507257001</v>
      </c>
      <c r="AN54">
        <v>4.4671722716139</v>
      </c>
      <c r="AO54">
        <v>0.70298320629680999</v>
      </c>
      <c r="AP54">
        <v>5.1043706426095001</v>
      </c>
      <c r="AQ54">
        <v>3.1121519700825999</v>
      </c>
      <c r="AS54">
        <v>75.091598510742003</v>
      </c>
      <c r="AV54">
        <v>1.9787485883792</v>
      </c>
      <c r="AX54">
        <v>31.028049387926</v>
      </c>
      <c r="AY54">
        <v>-9.7402672152232E-2</v>
      </c>
      <c r="AZ54">
        <v>0.14647803491677999</v>
      </c>
      <c r="BA54">
        <v>-5.2859468182559002E-2</v>
      </c>
      <c r="BB54">
        <v>-9.1437718557116007E-4</v>
      </c>
      <c r="BC54">
        <v>5.4454245056938999E-3</v>
      </c>
      <c r="BD54">
        <v>7.4694190211001005E-4</v>
      </c>
      <c r="BE54">
        <f>(Table__150_diric[[#This Row],[F2]]+Table__150_diric_3[[#This Row],[F2]]+Table__150_diric_4[[#This Row],[F2]])/2</f>
        <v>-6.9760006968938498E-2</v>
      </c>
      <c r="BF54">
        <v>31.028049387926</v>
      </c>
      <c r="BG54">
        <v>-1.5262329232202001E-2</v>
      </c>
      <c r="BH54">
        <v>2.2482102923259001E-2</v>
      </c>
      <c r="BI54">
        <v>-6.0301715372634004E-3</v>
      </c>
      <c r="BJ54">
        <v>-9.2879099199159008E-4</v>
      </c>
      <c r="BK54">
        <v>2.6081116180231998E-4</v>
      </c>
      <c r="BM54">
        <v>31.028049387926</v>
      </c>
      <c r="BN54">
        <v>-2.6855012553442997E-2</v>
      </c>
      <c r="BO54">
        <v>2.8877894736671E-2</v>
      </c>
      <c r="BP54">
        <v>-1.0227762532375E-3</v>
      </c>
      <c r="BQ54">
        <v>-7.7700290770034007E-4</v>
      </c>
      <c r="BR54">
        <v>2.231030222897E-4</v>
      </c>
    </row>
    <row r="55" spans="1:70" x14ac:dyDescent="0.25">
      <c r="A55">
        <v>0.20195499062538003</v>
      </c>
      <c r="B55" s="1">
        <v>0.91547417640686002</v>
      </c>
      <c r="C55" s="1">
        <v>-2.4734950246601999E-18</v>
      </c>
      <c r="D55" s="1">
        <v>-2.0644797768909002E-4</v>
      </c>
      <c r="E55" s="1">
        <v>0.10849460959435001</v>
      </c>
      <c r="G55">
        <v>30.094606037201999</v>
      </c>
      <c r="H55">
        <v>14.007056246122001</v>
      </c>
      <c r="I55">
        <v>11.481081840462</v>
      </c>
      <c r="J55">
        <v>30.095302083185999</v>
      </c>
      <c r="K55">
        <v>14.005216387008</v>
      </c>
      <c r="L55">
        <v>11.479461338531001</v>
      </c>
      <c r="M55">
        <v>-0.49050930460548003</v>
      </c>
      <c r="N55">
        <v>0.11261533467919001</v>
      </c>
      <c r="O55">
        <v>0.11954396308679001</v>
      </c>
      <c r="Q55">
        <v>0.20195499062538003</v>
      </c>
      <c r="R55">
        <v>2.0298814401030998E-2</v>
      </c>
      <c r="S55">
        <v>2.0958844106644002E-3</v>
      </c>
      <c r="T55">
        <v>4.4525125995278003E-3</v>
      </c>
      <c r="U55">
        <v>-2.9299992602319002E-3</v>
      </c>
      <c r="V55">
        <v>2.701370511204E-3</v>
      </c>
      <c r="W55">
        <v>-4.3560401536524003E-4</v>
      </c>
      <c r="X55">
        <v>4.4980502570979004E-4</v>
      </c>
      <c r="Z55">
        <v>30.094606037201999</v>
      </c>
      <c r="AA55">
        <v>4.7519539275292999</v>
      </c>
      <c r="AB55">
        <v>0.49064669296147001</v>
      </c>
      <c r="AC55">
        <v>1.0423335233621001</v>
      </c>
      <c r="AD55">
        <v>0.68591303990689001</v>
      </c>
      <c r="AE55">
        <v>4.3738066478009001</v>
      </c>
      <c r="AF55">
        <v>0.70528930789434008</v>
      </c>
      <c r="AG55">
        <v>5.0370191989829998</v>
      </c>
      <c r="AH55">
        <v>3.0995583406676999</v>
      </c>
      <c r="AI55">
        <v>30.095302083185999</v>
      </c>
      <c r="AJ55">
        <v>4.7292006893459</v>
      </c>
      <c r="AK55">
        <v>0.49196386704482004</v>
      </c>
      <c r="AL55">
        <v>1.0471370889366001</v>
      </c>
      <c r="AM55">
        <v>0.68602194626317003</v>
      </c>
      <c r="AN55">
        <v>4.3551560808302003</v>
      </c>
      <c r="AO55">
        <v>0.7054410035905101</v>
      </c>
      <c r="AP55">
        <v>5.0240482960463</v>
      </c>
      <c r="AQ55">
        <v>3.1104342552286002</v>
      </c>
      <c r="AS55">
        <v>77.946701049805</v>
      </c>
      <c r="AV55">
        <v>1.895137585516</v>
      </c>
      <c r="AX55">
        <v>31.988163373435</v>
      </c>
      <c r="AY55">
        <v>-9.3343088576763988E-2</v>
      </c>
      <c r="AZ55">
        <v>0.13887658232655001</v>
      </c>
      <c r="BA55">
        <v>-5.2512114568469007E-2</v>
      </c>
      <c r="BB55">
        <v>2.2690155443709E-3</v>
      </c>
      <c r="BC55">
        <v>5.4389347136138003E-3</v>
      </c>
      <c r="BD55">
        <v>7.2932943929795004E-4</v>
      </c>
      <c r="BE55">
        <f>(Table__150_diric[[#This Row],[F2]]+Table__150_diric_3[[#This Row],[F2]]+Table__150_diric_4[[#This Row],[F2]])/2</f>
        <v>-6.7508655498511996E-2</v>
      </c>
      <c r="BF55">
        <v>31.988163373435</v>
      </c>
      <c r="BG55">
        <v>-1.5265968106657E-2</v>
      </c>
      <c r="BH55">
        <v>2.2809649178036004E-2</v>
      </c>
      <c r="BI55">
        <v>-6.3674750937734005E-3</v>
      </c>
      <c r="BJ55">
        <v>-9.1588659280181998E-4</v>
      </c>
      <c r="BK55">
        <v>2.6031938480449004E-4</v>
      </c>
      <c r="BM55">
        <v>31.988163373435</v>
      </c>
      <c r="BN55">
        <v>-2.6408254313603E-2</v>
      </c>
      <c r="BO55">
        <v>2.8512970408585997E-2</v>
      </c>
      <c r="BP55">
        <v>-1.1564128711395001E-3</v>
      </c>
      <c r="BQ55">
        <v>-7.2525943715799005E-4</v>
      </c>
      <c r="BR55">
        <v>2.2304378668623999E-4</v>
      </c>
    </row>
    <row r="56" spans="1:70" x14ac:dyDescent="0.25">
      <c r="A56">
        <v>0.20821902155876001</v>
      </c>
      <c r="B56" s="1">
        <v>0.92216610908508001</v>
      </c>
      <c r="C56" s="1">
        <v>-1.3184597219605E-19</v>
      </c>
      <c r="D56" s="1">
        <v>-2.1117010328452999E-4</v>
      </c>
      <c r="E56" s="1">
        <v>0.10952507704496001</v>
      </c>
      <c r="G56">
        <v>31.028049387926</v>
      </c>
      <c r="H56">
        <v>14.109445018885999</v>
      </c>
      <c r="I56">
        <v>11.590127637104001</v>
      </c>
      <c r="J56">
        <v>31.028776043172002</v>
      </c>
      <c r="K56">
        <v>14.107663877222</v>
      </c>
      <c r="L56">
        <v>11.588494529227999</v>
      </c>
      <c r="M56">
        <v>-0.50351231365089</v>
      </c>
      <c r="N56">
        <v>0.10685422248998</v>
      </c>
      <c r="O56">
        <v>0.11417539732543001</v>
      </c>
      <c r="Q56">
        <v>0.20821902155876001</v>
      </c>
      <c r="R56">
        <v>1.9737219437957001E-2</v>
      </c>
      <c r="S56">
        <v>2.1514210384339003E-3</v>
      </c>
      <c r="T56">
        <v>4.4650849886239E-3</v>
      </c>
      <c r="U56">
        <v>-2.9278530273587002E-3</v>
      </c>
      <c r="V56">
        <v>2.631512703374E-3</v>
      </c>
      <c r="W56">
        <v>-4.3671813909896005E-4</v>
      </c>
      <c r="X56">
        <v>4.4234641245566E-4</v>
      </c>
      <c r="Z56">
        <v>31.028049387926</v>
      </c>
      <c r="AA56">
        <v>4.6204845058312003</v>
      </c>
      <c r="AB56">
        <v>0.50364782156124999</v>
      </c>
      <c r="AC56">
        <v>1.0452767205638001</v>
      </c>
      <c r="AD56">
        <v>0.68541060663518005</v>
      </c>
      <c r="AE56">
        <v>4.2606994146314996</v>
      </c>
      <c r="AF56">
        <v>0.70709319291225003</v>
      </c>
      <c r="AG56">
        <v>4.9534959477709002</v>
      </c>
      <c r="AH56">
        <v>3.0954069208453001</v>
      </c>
      <c r="AI56">
        <v>31.028776043172002</v>
      </c>
      <c r="AJ56">
        <v>4.5982841630767002</v>
      </c>
      <c r="AK56">
        <v>0.50501747648468009</v>
      </c>
      <c r="AL56">
        <v>1.0501920985663</v>
      </c>
      <c r="AM56">
        <v>0.68554161014910009</v>
      </c>
      <c r="AN56">
        <v>4.2427804515716998</v>
      </c>
      <c r="AO56">
        <v>0.70724621072577998</v>
      </c>
      <c r="AP56">
        <v>4.9414216385880003</v>
      </c>
      <c r="AQ56">
        <v>3.1061993799245</v>
      </c>
      <c r="AS56">
        <v>80.836303710938012</v>
      </c>
      <c r="AV56">
        <v>1.8116889254475002</v>
      </c>
      <c r="AX56">
        <v>32.976437960920002</v>
      </c>
      <c r="AY56">
        <v>-8.9342871563430001E-2</v>
      </c>
      <c r="AZ56">
        <v>0.131672024547</v>
      </c>
      <c r="BA56">
        <v>-5.2088258666825003E-2</v>
      </c>
      <c r="BB56">
        <v>5.1004205515533E-3</v>
      </c>
      <c r="BC56">
        <v>5.3658663521618999E-3</v>
      </c>
      <c r="BD56">
        <v>7.0718122046565005E-4</v>
      </c>
      <c r="BE56">
        <f>(Table__150_diric[[#This Row],[F2]]+Table__150_diric_3[[#This Row],[F2]]+Table__150_diric_4[[#This Row],[F2]])/2</f>
        <v>-6.5271556652914009E-2</v>
      </c>
      <c r="BF56">
        <v>32.976437960920002</v>
      </c>
      <c r="BG56">
        <v>-1.5247863590891E-2</v>
      </c>
      <c r="BH56">
        <v>2.3056954928037002E-2</v>
      </c>
      <c r="BI56">
        <v>-6.6512500065638008E-3</v>
      </c>
      <c r="BJ56">
        <v>-8.9752065496097994E-4</v>
      </c>
      <c r="BK56">
        <v>2.6032067562129001E-4</v>
      </c>
      <c r="BM56">
        <v>32.976437960920002</v>
      </c>
      <c r="BN56">
        <v>-2.5952378151507E-2</v>
      </c>
      <c r="BO56">
        <v>2.8136402408289005E-2</v>
      </c>
      <c r="BP56">
        <v>-1.2838267633232001E-3</v>
      </c>
      <c r="BQ56">
        <v>-6.7818463760361007E-4</v>
      </c>
      <c r="BR56">
        <v>2.2201285585553003E-4</v>
      </c>
    </row>
    <row r="57" spans="1:70" x14ac:dyDescent="0.25">
      <c r="A57">
        <v>0.21466203033924003</v>
      </c>
      <c r="B57" s="1">
        <v>0.92869955301285012</v>
      </c>
      <c r="C57" s="1">
        <v>5.0119204186833007E-18</v>
      </c>
      <c r="D57" s="1">
        <v>-2.1718988136854001E-4</v>
      </c>
      <c r="E57" s="1">
        <v>0.11053767800331001</v>
      </c>
      <c r="G57">
        <v>31.988163373435</v>
      </c>
      <c r="H57">
        <v>14.209408861598</v>
      </c>
      <c r="I57">
        <v>11.697282771520001</v>
      </c>
      <c r="J57">
        <v>31.988914597024998</v>
      </c>
      <c r="K57">
        <v>14.207670078736999</v>
      </c>
      <c r="L57">
        <v>11.695636072674001</v>
      </c>
      <c r="M57">
        <v>-0.51604350798507004</v>
      </c>
      <c r="N57">
        <v>0.10146490508327</v>
      </c>
      <c r="O57">
        <v>0.10911182611754999</v>
      </c>
      <c r="Q57">
        <v>0.21466203033924003</v>
      </c>
      <c r="R57">
        <v>1.9180700182915001E-2</v>
      </c>
      <c r="S57">
        <v>2.2049390245229001E-3</v>
      </c>
      <c r="T57">
        <v>4.4749998487532E-3</v>
      </c>
      <c r="U57">
        <v>-2.9233554378152002E-3</v>
      </c>
      <c r="V57">
        <v>2.5615401100367E-3</v>
      </c>
      <c r="W57">
        <v>-4.3743840069509999E-4</v>
      </c>
      <c r="X57">
        <v>4.3469714000821E-4</v>
      </c>
      <c r="Z57">
        <v>31.988163373435</v>
      </c>
      <c r="AA57">
        <v>4.4902033077525996</v>
      </c>
      <c r="AB57">
        <v>0.51617638599682003</v>
      </c>
      <c r="AC57">
        <v>1.0475977900411999</v>
      </c>
      <c r="AD57">
        <v>0.68435772059597</v>
      </c>
      <c r="AE57">
        <v>4.1474063314971996</v>
      </c>
      <c r="AF57">
        <v>0.70825937316938004</v>
      </c>
      <c r="AG57">
        <v>4.8678376514561998</v>
      </c>
      <c r="AH57">
        <v>3.0887502748809998</v>
      </c>
      <c r="AI57">
        <v>31.988914597024998</v>
      </c>
      <c r="AJ57">
        <v>4.4686325455258</v>
      </c>
      <c r="AK57">
        <v>0.51759380198591998</v>
      </c>
      <c r="AL57">
        <v>1.0526323128519</v>
      </c>
      <c r="AM57">
        <v>0.68451368105441013</v>
      </c>
      <c r="AN57">
        <v>4.1303071365157997</v>
      </c>
      <c r="AO57">
        <v>0.70841683734288008</v>
      </c>
      <c r="AP57">
        <v>4.8567533022987996</v>
      </c>
      <c r="AQ57">
        <v>3.0993863163377</v>
      </c>
      <c r="AS57">
        <v>83.758796691895</v>
      </c>
      <c r="AV57">
        <v>1.7289357832256</v>
      </c>
      <c r="AX57">
        <v>33.994463040856999</v>
      </c>
      <c r="AY57">
        <v>-8.5410766412735997E-2</v>
      </c>
      <c r="AZ57">
        <v>0.12484874562091</v>
      </c>
      <c r="BA57">
        <v>-5.1587425002629E-2</v>
      </c>
      <c r="BB57">
        <v>7.5874018464260999E-3</v>
      </c>
      <c r="BC57">
        <v>5.2508071931294999E-3</v>
      </c>
      <c r="BD57">
        <v>6.8876324510057005E-4</v>
      </c>
      <c r="BE57">
        <f>(Table__150_diric[[#This Row],[F2]]+Table__150_diric_3[[#This Row],[F2]]+Table__150_diric_4[[#This Row],[F2]])/2</f>
        <v>-6.3053185820435995E-2</v>
      </c>
      <c r="BF57">
        <v>33.994463040856999</v>
      </c>
      <c r="BG57">
        <v>-1.5208087790042001E-2</v>
      </c>
      <c r="BH57">
        <v>2.3221829982396001E-2</v>
      </c>
      <c r="BI57">
        <v>-6.8788788099616999E-3</v>
      </c>
      <c r="BJ57">
        <v>-8.7610806139862003E-4</v>
      </c>
      <c r="BK57">
        <v>2.5875532099408E-4</v>
      </c>
      <c r="BM57">
        <v>33.994463040856999</v>
      </c>
      <c r="BN57">
        <v>-2.5487517438094E-2</v>
      </c>
      <c r="BO57">
        <v>2.7745389805477E-2</v>
      </c>
      <c r="BP57">
        <v>-1.4025956706842E-3</v>
      </c>
      <c r="BQ57">
        <v>-6.3337362230059008E-4</v>
      </c>
      <c r="BR57">
        <v>2.2190307439814001E-4</v>
      </c>
    </row>
    <row r="58" spans="1:70" x14ac:dyDescent="0.25">
      <c r="A58">
        <v>0.22129401564598</v>
      </c>
      <c r="B58" s="1">
        <v>0.93508797883987005</v>
      </c>
      <c r="C58" s="1">
        <v>-5.9159957409792992E-19</v>
      </c>
      <c r="D58" s="1">
        <v>-2.2467446979135001E-4</v>
      </c>
      <c r="E58" s="1">
        <v>0.1115340590477</v>
      </c>
      <c r="G58">
        <v>32.976437960920002</v>
      </c>
      <c r="H58">
        <v>14.307153879632999</v>
      </c>
      <c r="I58">
        <v>11.802721487393999</v>
      </c>
      <c r="J58">
        <v>32.977209967187001</v>
      </c>
      <c r="K58">
        <v>14.305435620431</v>
      </c>
      <c r="L58">
        <v>11.801056359115002</v>
      </c>
      <c r="M58">
        <v>-0.52806115670395004</v>
      </c>
      <c r="N58">
        <v>9.6425295393468002E-2</v>
      </c>
      <c r="O58">
        <v>0.10433710882771</v>
      </c>
      <c r="Q58">
        <v>0.22129401564598</v>
      </c>
      <c r="R58">
        <v>1.863019913435E-2</v>
      </c>
      <c r="S58">
        <v>2.2562630474567001E-3</v>
      </c>
      <c r="T58">
        <v>4.4822222553193994E-3</v>
      </c>
      <c r="U58">
        <v>-2.9165605083108E-3</v>
      </c>
      <c r="V58">
        <v>2.4915977846831001E-3</v>
      </c>
      <c r="W58">
        <v>-4.3777417158708003E-4</v>
      </c>
      <c r="X58">
        <v>4.2687827954069002E-4</v>
      </c>
      <c r="Z58">
        <v>32.976437960920002</v>
      </c>
      <c r="AA58">
        <v>4.3613309722478997</v>
      </c>
      <c r="AB58">
        <v>0.52819134349821006</v>
      </c>
      <c r="AC58">
        <v>1.0492885559436</v>
      </c>
      <c r="AD58">
        <v>0.68276702710482007</v>
      </c>
      <c r="AE58">
        <v>4.0341622554530003</v>
      </c>
      <c r="AF58">
        <v>0.70880302201481005</v>
      </c>
      <c r="AG58">
        <v>4.7802802698397997</v>
      </c>
      <c r="AH58">
        <v>3.0795389675292002</v>
      </c>
      <c r="AI58">
        <v>32.977209967187001</v>
      </c>
      <c r="AJ58">
        <v>4.3404647212769003</v>
      </c>
      <c r="AK58">
        <v>0.52965082163276</v>
      </c>
      <c r="AL58">
        <v>1.0544463951417999</v>
      </c>
      <c r="AM58">
        <v>0.68295025867471004</v>
      </c>
      <c r="AN58">
        <v>4.0179684694509001</v>
      </c>
      <c r="AO58">
        <v>0.70896881867324002</v>
      </c>
      <c r="AP58">
        <v>4.7702798191621998</v>
      </c>
      <c r="AQ58">
        <v>3.0899357476960998</v>
      </c>
      <c r="AS58">
        <v>86.712997436522997</v>
      </c>
      <c r="AV58">
        <v>1.6471157107901</v>
      </c>
      <c r="AX58">
        <v>35.043926206488997</v>
      </c>
      <c r="AY58">
        <v>-8.1554029509107992E-2</v>
      </c>
      <c r="AZ58">
        <v>0.11839242553252001</v>
      </c>
      <c r="BA58">
        <v>-5.1009345779619998E-2</v>
      </c>
      <c r="BB58">
        <v>9.7394262258994006E-3</v>
      </c>
      <c r="BC58">
        <v>5.0959789129923997E-3</v>
      </c>
      <c r="BD58">
        <v>6.6445538268127002E-4</v>
      </c>
      <c r="BE58">
        <f>(Table__150_diric[[#This Row],[F2]]+Table__150_diric_3[[#This Row],[F2]]+Table__150_diric_4[[#This Row],[F2]])/2</f>
        <v>-6.0857254373398499E-2</v>
      </c>
      <c r="BF58">
        <v>35.043926206488997</v>
      </c>
      <c r="BG58">
        <v>-1.5146766377548001E-2</v>
      </c>
      <c r="BH58">
        <v>2.3302882073807003E-2</v>
      </c>
      <c r="BI58">
        <v>-7.0485009783723008E-3</v>
      </c>
      <c r="BJ58">
        <v>-8.4975221612968994E-4</v>
      </c>
      <c r="BK58">
        <v>2.5786250175654E-4</v>
      </c>
      <c r="BM58">
        <v>35.043926206488997</v>
      </c>
      <c r="BN58">
        <v>-2.5013712860141004E-2</v>
      </c>
      <c r="BO58">
        <v>2.7337249172289999E-2</v>
      </c>
      <c r="BP58">
        <v>-1.5104409892508E-3</v>
      </c>
      <c r="BQ58">
        <v>-5.9251086875525998E-4</v>
      </c>
      <c r="BR58">
        <v>2.2058445414288E-4</v>
      </c>
    </row>
    <row r="59" spans="1:70" x14ac:dyDescent="0.25">
      <c r="A59">
        <v>0.2281256467104</v>
      </c>
      <c r="B59" s="1">
        <v>0.94134443998337014</v>
      </c>
      <c r="C59" s="1">
        <v>2.1522048398548004E-18</v>
      </c>
      <c r="D59" s="1">
        <v>-2.3377273464575003E-4</v>
      </c>
      <c r="E59" s="1">
        <v>0.11251581460238001</v>
      </c>
      <c r="G59">
        <v>33.994463040856999</v>
      </c>
      <c r="H59">
        <v>14.402879794571</v>
      </c>
      <c r="I59">
        <v>11.906612509378</v>
      </c>
      <c r="J59">
        <v>33.995260963416001</v>
      </c>
      <c r="K59">
        <v>14.401156571440001</v>
      </c>
      <c r="L59">
        <v>11.904921834574999</v>
      </c>
      <c r="M59">
        <v>-0.53952523220568005</v>
      </c>
      <c r="N59">
        <v>9.1713010103620013E-2</v>
      </c>
      <c r="O59">
        <v>9.9831816172359006E-2</v>
      </c>
      <c r="Q59">
        <v>0.2281256467104</v>
      </c>
      <c r="R59">
        <v>1.8086519092321E-2</v>
      </c>
      <c r="S59">
        <v>2.3052177857607998E-3</v>
      </c>
      <c r="T59">
        <v>4.4867047108710003E-3</v>
      </c>
      <c r="U59">
        <v>-2.9075131751597001E-3</v>
      </c>
      <c r="V59">
        <v>2.4218135513365004E-3</v>
      </c>
      <c r="W59">
        <v>-4.3773389188573008E-4</v>
      </c>
      <c r="X59">
        <v>4.1890883585438002E-4</v>
      </c>
      <c r="Z59">
        <v>33.994463040856999</v>
      </c>
      <c r="AA59">
        <v>4.2340554348693997</v>
      </c>
      <c r="AB59">
        <v>0.53965165129546</v>
      </c>
      <c r="AC59">
        <v>1.0503378991142001</v>
      </c>
      <c r="AD59">
        <v>0.68064904575618002</v>
      </c>
      <c r="AE59">
        <v>3.9211741472104999</v>
      </c>
      <c r="AF59">
        <v>0.70873780488713001</v>
      </c>
      <c r="AG59">
        <v>4.6910366230178999</v>
      </c>
      <c r="AH59">
        <v>3.0677231832730998</v>
      </c>
      <c r="AI59">
        <v>33.995260963416001</v>
      </c>
      <c r="AJ59">
        <v>4.2139721053342001</v>
      </c>
      <c r="AK59">
        <v>0.54114640450312002</v>
      </c>
      <c r="AL59">
        <v>1.0556191935649</v>
      </c>
      <c r="AM59">
        <v>0.68086148059281004</v>
      </c>
      <c r="AN59">
        <v>3.9059684967726001</v>
      </c>
      <c r="AO59">
        <v>0.70891596839383009</v>
      </c>
      <c r="AP59">
        <v>4.6822099898256999</v>
      </c>
      <c r="AQ59">
        <v>3.0777906386421998</v>
      </c>
      <c r="AS59">
        <v>89.697402954101989</v>
      </c>
      <c r="AV59">
        <v>1.5663522354385</v>
      </c>
      <c r="AX59">
        <v>36.126626076927998</v>
      </c>
      <c r="AY59">
        <v>-7.7777885725811999E-2</v>
      </c>
      <c r="AZ59">
        <v>0.11228819275769</v>
      </c>
      <c r="BA59">
        <v>-5.0353911693198999E-2</v>
      </c>
      <c r="BB59">
        <v>1.1569650894877E-2</v>
      </c>
      <c r="BC59">
        <v>4.917401655308201E-3</v>
      </c>
      <c r="BD59">
        <v>6.4344788886312005E-4</v>
      </c>
      <c r="BE59">
        <f>(Table__150_diric[[#This Row],[F2]]+Table__150_diric_3[[#This Row],[F2]]+Table__150_diric_4[[#This Row],[F2]])/2</f>
        <v>-5.8686514403045002E-2</v>
      </c>
      <c r="BF59">
        <v>36.126626076927998</v>
      </c>
      <c r="BG59">
        <v>-1.5064054874292002E-2</v>
      </c>
      <c r="BH59">
        <v>2.3299608401122E-2</v>
      </c>
      <c r="BI59">
        <v>-7.1590538095151002E-3</v>
      </c>
      <c r="BJ59">
        <v>-8.2124303416734E-4</v>
      </c>
      <c r="BK59">
        <v>2.5525668314701003E-4</v>
      </c>
      <c r="BM59">
        <v>36.126626076927998</v>
      </c>
      <c r="BN59">
        <v>-2.4531088205986002E-2</v>
      </c>
      <c r="BO59">
        <v>2.6909534818365999E-2</v>
      </c>
      <c r="BP59">
        <v>-1.6054274964649E-3</v>
      </c>
      <c r="BQ59">
        <v>-5.5368461552237009E-4</v>
      </c>
      <c r="BR59">
        <v>2.1933450039323004E-4</v>
      </c>
    </row>
    <row r="60" spans="1:70" x14ac:dyDescent="0.25">
      <c r="A60">
        <v>0.23516824841499001</v>
      </c>
      <c r="B60" s="1">
        <v>0.94748157262802002</v>
      </c>
      <c r="C60" s="1">
        <v>-4.2410410273431007E-18</v>
      </c>
      <c r="D60" s="1">
        <v>-2.4460392887703998E-4</v>
      </c>
      <c r="E60" s="1">
        <v>0.11348447203636002</v>
      </c>
      <c r="G60">
        <v>35.043926206488997</v>
      </c>
      <c r="H60">
        <v>14.496779944197</v>
      </c>
      <c r="I60">
        <v>12.009117466229</v>
      </c>
      <c r="J60">
        <v>35.044737453684</v>
      </c>
      <c r="K60">
        <v>14.495024441149999</v>
      </c>
      <c r="L60">
        <v>12.007389478957</v>
      </c>
      <c r="M60">
        <v>-0.55039357776064002</v>
      </c>
      <c r="N60">
        <v>8.7308453023900001E-2</v>
      </c>
      <c r="O60">
        <v>9.5578142647606001E-2</v>
      </c>
      <c r="Q60">
        <v>0.23516824841499001</v>
      </c>
      <c r="R60">
        <v>1.7550360411406001E-2</v>
      </c>
      <c r="S60">
        <v>2.3516276851296E-3</v>
      </c>
      <c r="T60">
        <v>4.4883899390697002E-3</v>
      </c>
      <c r="U60">
        <v>-2.8962502256036E-3</v>
      </c>
      <c r="V60">
        <v>2.3523012641816997E-3</v>
      </c>
      <c r="W60">
        <v>-4.3732495396398002E-4</v>
      </c>
      <c r="X60">
        <v>4.1080577648245004E-4</v>
      </c>
      <c r="Z60">
        <v>35.043926206488997</v>
      </c>
      <c r="AA60">
        <v>4.1085406486745004</v>
      </c>
      <c r="AB60">
        <v>0.55051621211291002</v>
      </c>
      <c r="AC60">
        <v>1.0507324111581</v>
      </c>
      <c r="AD60">
        <v>0.67801238844598011</v>
      </c>
      <c r="AE60">
        <v>3.8086263488243</v>
      </c>
      <c r="AF60">
        <v>0.70807569082567001</v>
      </c>
      <c r="AG60">
        <v>4.6002967172942997</v>
      </c>
      <c r="AH60">
        <v>3.0532525361893001</v>
      </c>
      <c r="AI60">
        <v>35.044737453684</v>
      </c>
      <c r="AJ60">
        <v>4.0893243114485003</v>
      </c>
      <c r="AK60">
        <v>0.55203891020314</v>
      </c>
      <c r="AL60">
        <v>1.0561323950684001</v>
      </c>
      <c r="AM60">
        <v>0.67825563128495003</v>
      </c>
      <c r="AN60">
        <v>3.7944863719702999</v>
      </c>
      <c r="AO60">
        <v>0.70826997862712004</v>
      </c>
      <c r="AP60">
        <v>4.5927255361026997</v>
      </c>
      <c r="AQ60">
        <v>3.0628975660576998</v>
      </c>
      <c r="AS60">
        <v>92.710502624511989</v>
      </c>
      <c r="AV60">
        <v>1.4868876358462999</v>
      </c>
      <c r="AX60">
        <v>37.244476738195999</v>
      </c>
      <c r="AY60">
        <v>-7.4086254503258994E-2</v>
      </c>
      <c r="AZ60">
        <v>0.10651991930996002</v>
      </c>
      <c r="BA60">
        <v>-4.9621150069516E-2</v>
      </c>
      <c r="BB60">
        <v>1.309302302494E-2</v>
      </c>
      <c r="BC60">
        <v>4.7140658515742E-3</v>
      </c>
      <c r="BD60">
        <v>6.1960361369898002E-4</v>
      </c>
      <c r="BE60">
        <f>(Table__150_diric[[#This Row],[F2]]+Table__150_diric_3[[#This Row],[F2]]+Table__150_diric_4[[#This Row],[F2]])/2</f>
        <v>-5.6543135896954498E-2</v>
      </c>
      <c r="BF60">
        <v>37.244476738195999</v>
      </c>
      <c r="BG60">
        <v>-1.4960131579467E-2</v>
      </c>
      <c r="BH60">
        <v>2.3212454380574999E-2</v>
      </c>
      <c r="BI60">
        <v>-7.2103167191683E-3</v>
      </c>
      <c r="BJ60">
        <v>-7.8875227398932004E-4</v>
      </c>
      <c r="BK60">
        <v>2.5325380795001001E-4</v>
      </c>
      <c r="BM60">
        <v>37.244476738195999</v>
      </c>
      <c r="BN60">
        <v>-2.4039885711183002E-2</v>
      </c>
      <c r="BO60">
        <v>2.6460208212968E-2</v>
      </c>
      <c r="BP60">
        <v>-1.6860290712362E-3</v>
      </c>
      <c r="BQ60">
        <v>-5.1662875802134002E-4</v>
      </c>
      <c r="BR60">
        <v>2.1766467252739001E-4</v>
      </c>
    </row>
    <row r="61" spans="1:70" x14ac:dyDescent="0.25">
      <c r="A61">
        <v>0.24243389070034002</v>
      </c>
      <c r="B61" s="1">
        <v>0.95351177453995006</v>
      </c>
      <c r="C61" s="1">
        <v>-2.4025560153276003E-18</v>
      </c>
      <c r="D61" s="1">
        <v>-2.5725012528710002E-4</v>
      </c>
      <c r="E61" s="1">
        <v>0.1144415140152</v>
      </c>
      <c r="G61">
        <v>36.126626076927998</v>
      </c>
      <c r="H61">
        <v>14.589044018414</v>
      </c>
      <c r="I61">
        <v>12.110393256103</v>
      </c>
      <c r="J61">
        <v>36.127469186935002</v>
      </c>
      <c r="K61">
        <v>14.587222531399998</v>
      </c>
      <c r="L61">
        <v>12.108613116786</v>
      </c>
      <c r="M61">
        <v>-0.56062659159252004</v>
      </c>
      <c r="N61">
        <v>8.3193197036699001E-2</v>
      </c>
      <c r="O61">
        <v>9.1561439944797013E-2</v>
      </c>
      <c r="Q61">
        <v>0.24243389070034002</v>
      </c>
      <c r="R61">
        <v>1.7022334039210999E-2</v>
      </c>
      <c r="S61">
        <v>2.3953188210726001E-3</v>
      </c>
      <c r="T61">
        <v>4.4872080907225999E-3</v>
      </c>
      <c r="U61">
        <v>-2.8828014619648001E-3</v>
      </c>
      <c r="V61">
        <v>2.2831638343632E-3</v>
      </c>
      <c r="W61">
        <v>-4.3655364424922E-4</v>
      </c>
      <c r="X61">
        <v>4.0258426452056002E-4</v>
      </c>
      <c r="Z61">
        <v>36.126626076927998</v>
      </c>
      <c r="AA61">
        <v>3.9849296365426001</v>
      </c>
      <c r="AB61">
        <v>0.56074431021463</v>
      </c>
      <c r="AC61">
        <v>1.0504557403740999</v>
      </c>
      <c r="AD61">
        <v>0.67486403190008004</v>
      </c>
      <c r="AE61">
        <v>3.6966854844009003</v>
      </c>
      <c r="AF61">
        <v>0.70682685822608005</v>
      </c>
      <c r="AG61">
        <v>4.5082303524701004</v>
      </c>
      <c r="AH61">
        <v>3.0360764502186002</v>
      </c>
      <c r="AI61">
        <v>36.127469186935002</v>
      </c>
      <c r="AJ61">
        <v>3.9666700241677</v>
      </c>
      <c r="AK61">
        <v>0.56228686184833998</v>
      </c>
      <c r="AL61">
        <v>1.0559641983989001</v>
      </c>
      <c r="AM61">
        <v>0.67513968715223005</v>
      </c>
      <c r="AN61">
        <v>3.6836812587757999</v>
      </c>
      <c r="AO61">
        <v>0.70704056137806004</v>
      </c>
      <c r="AP61">
        <v>4.5019830584787996</v>
      </c>
      <c r="AQ61">
        <v>3.0452090004777999</v>
      </c>
      <c r="AS61">
        <v>95.751098632812997</v>
      </c>
      <c r="AV61">
        <v>1.4089690860329001</v>
      </c>
      <c r="AX61">
        <v>38.399523286840001</v>
      </c>
      <c r="AY61">
        <v>-7.0482957570759994E-2</v>
      </c>
      <c r="AZ61">
        <v>0.10106979107119002</v>
      </c>
      <c r="BA61">
        <v>-4.8811356030983001E-2</v>
      </c>
      <c r="BB61">
        <v>1.4324980836825001E-2</v>
      </c>
      <c r="BC61">
        <v>4.4976464569358001E-3</v>
      </c>
      <c r="BD61">
        <v>5.9810476320632997E-4</v>
      </c>
      <c r="BE61">
        <f>(Table__150_diric[[#This Row],[F2]]+Table__150_diric_3[[#This Row],[F2]]+Table__150_diric_4[[#This Row],[F2]])/2</f>
        <v>-5.4429122639583001E-2</v>
      </c>
      <c r="BF61">
        <v>38.399523286840001</v>
      </c>
      <c r="BG61">
        <v>-1.4835212808481E-2</v>
      </c>
      <c r="BH61">
        <v>2.3042851902389E-2</v>
      </c>
      <c r="BI61">
        <v>-7.2030159995432001E-3</v>
      </c>
      <c r="BJ61">
        <v>-7.5477256360025004E-4</v>
      </c>
      <c r="BK61">
        <v>2.4985053076389001E-4</v>
      </c>
      <c r="BM61">
        <v>38.399523286840001</v>
      </c>
      <c r="BN61">
        <v>-2.3540074899925E-2</v>
      </c>
      <c r="BO61">
        <v>2.5987706300357002E-2</v>
      </c>
      <c r="BP61">
        <v>-1.7506723367271E-3</v>
      </c>
      <c r="BQ61">
        <v>-4.8137836361222998E-4</v>
      </c>
      <c r="BR61">
        <v>2.1558070009284E-4</v>
      </c>
    </row>
    <row r="62" spans="1:70" x14ac:dyDescent="0.25">
      <c r="A62">
        <v>0.24993541836739</v>
      </c>
      <c r="B62" s="1">
        <v>0.95944714546204013</v>
      </c>
      <c r="C62" s="1">
        <v>6.6583671796884009E-18</v>
      </c>
      <c r="D62" s="1">
        <v>-2.7176030562259002E-4</v>
      </c>
      <c r="E62" s="1">
        <v>0.11538837850094</v>
      </c>
      <c r="G62">
        <v>37.244476738195999</v>
      </c>
      <c r="H62">
        <v>14.679857147271001</v>
      </c>
      <c r="I62">
        <v>12.210592046562001</v>
      </c>
      <c r="J62">
        <v>37.245339205775998</v>
      </c>
      <c r="K62">
        <v>14.677933232083999</v>
      </c>
      <c r="L62">
        <v>12.208741050681001</v>
      </c>
      <c r="M62">
        <v>-0.57018296862282003</v>
      </c>
      <c r="N62">
        <v>7.9349300624191002E-2</v>
      </c>
      <c r="O62">
        <v>8.776419661757201E-2</v>
      </c>
      <c r="Q62">
        <v>0.24993541836739</v>
      </c>
      <c r="R62">
        <v>1.6502978280187E-2</v>
      </c>
      <c r="S62">
        <v>2.4361175019294002E-3</v>
      </c>
      <c r="T62">
        <v>4.4830795377493E-3</v>
      </c>
      <c r="U62">
        <v>-2.8671880718320998E-3</v>
      </c>
      <c r="V62">
        <v>2.2144916001706999E-3</v>
      </c>
      <c r="W62">
        <v>-4.3542525963858003E-4</v>
      </c>
      <c r="X62">
        <v>3.9425765862688005E-4</v>
      </c>
      <c r="Z62">
        <v>37.244476738195999</v>
      </c>
      <c r="AA62">
        <v>3.8633484155844</v>
      </c>
      <c r="AB62">
        <v>0.57029528437033006</v>
      </c>
      <c r="AC62">
        <v>1.0494892458228</v>
      </c>
      <c r="AD62">
        <v>0.67120893613450006</v>
      </c>
      <c r="AE62">
        <v>3.5854978212555002</v>
      </c>
      <c r="AF62">
        <v>0.70499988332915009</v>
      </c>
      <c r="AG62">
        <v>4.4149871218446002</v>
      </c>
      <c r="AH62">
        <v>3.0161447295734001</v>
      </c>
      <c r="AI62">
        <v>37.245339205775998</v>
      </c>
      <c r="AJ62">
        <v>3.8461444112623999</v>
      </c>
      <c r="AK62">
        <v>0.57184965460438997</v>
      </c>
      <c r="AL62">
        <v>1.0550901861527999</v>
      </c>
      <c r="AM62">
        <v>0.67151915301109</v>
      </c>
      <c r="AN62">
        <v>3.5736930854934998</v>
      </c>
      <c r="AO62">
        <v>0.70523544853411002</v>
      </c>
      <c r="AP62">
        <v>4.4101169723708997</v>
      </c>
      <c r="AQ62">
        <v>3.0246846369165001</v>
      </c>
      <c r="AS62">
        <v>98.817497253417997</v>
      </c>
      <c r="AV62">
        <v>1.3328240253031001</v>
      </c>
      <c r="AX62">
        <v>39.593944050453004</v>
      </c>
      <c r="AY62">
        <v>-6.6972051981140007E-2</v>
      </c>
      <c r="AZ62">
        <v>9.5919714026543007E-2</v>
      </c>
      <c r="BA62">
        <v>-4.7925196335643003E-2</v>
      </c>
      <c r="BB62">
        <v>1.5281042247136001E-2</v>
      </c>
      <c r="BC62">
        <v>4.2692993733645006E-3</v>
      </c>
      <c r="BD62">
        <v>5.7280733026095004E-4</v>
      </c>
      <c r="BE62">
        <f>(Table__150_diric[[#This Row],[F2]]+Table__150_diric_3[[#This Row],[F2]]+Table__150_diric_4[[#This Row],[F2]])/2</f>
        <v>-5.2346304750400002E-2</v>
      </c>
      <c r="BF62">
        <v>39.593944050453004</v>
      </c>
      <c r="BG62">
        <v>-1.4689580698208001E-2</v>
      </c>
      <c r="BH62">
        <v>2.2793110026178003E-2</v>
      </c>
      <c r="BI62">
        <v>-7.1387683422422001E-3</v>
      </c>
      <c r="BJ62">
        <v>-7.1823281974831997E-4</v>
      </c>
      <c r="BK62">
        <v>2.4652816598015002E-4</v>
      </c>
      <c r="BM62">
        <v>39.593944050453004</v>
      </c>
      <c r="BN62">
        <v>-2.3030976821452002E-2</v>
      </c>
      <c r="BO62">
        <v>2.5490955162866001E-2</v>
      </c>
      <c r="BP62">
        <v>-1.7974316727180999E-3</v>
      </c>
      <c r="BQ62">
        <v>-4.4932276699878999E-4</v>
      </c>
      <c r="BR62">
        <v>2.1322390169753003E-4</v>
      </c>
    </row>
    <row r="63" spans="1:70" x14ac:dyDescent="0.25">
      <c r="A63">
        <v>0.25768655538558999</v>
      </c>
      <c r="B63" s="1">
        <v>0.96529954671860008</v>
      </c>
      <c r="C63" s="1">
        <v>-1.9694310117051004E-18</v>
      </c>
      <c r="D63" s="1">
        <v>-2.8816127451137001E-4</v>
      </c>
      <c r="E63" s="1">
        <v>0.11632642894983002</v>
      </c>
      <c r="G63">
        <v>38.399523286840001</v>
      </c>
      <c r="H63">
        <v>14.769400812933998</v>
      </c>
      <c r="I63">
        <v>12.309858120834999</v>
      </c>
      <c r="J63">
        <v>38.400425962893003</v>
      </c>
      <c r="K63">
        <v>14.767330725548</v>
      </c>
      <c r="L63">
        <v>12.307913694828001</v>
      </c>
      <c r="M63">
        <v>-0.57902225542412999</v>
      </c>
      <c r="N63">
        <v>7.5758671718755E-2</v>
      </c>
      <c r="O63">
        <v>8.4170893748783004E-2</v>
      </c>
      <c r="Q63">
        <v>0.25768655538558999</v>
      </c>
      <c r="R63">
        <v>1.5992760658264001E-2</v>
      </c>
      <c r="S63">
        <v>2.4738525971770005E-3</v>
      </c>
      <c r="T63">
        <v>4.4759176671505E-3</v>
      </c>
      <c r="U63">
        <v>-2.8494265861809002E-3</v>
      </c>
      <c r="V63">
        <v>2.1463646553457E-3</v>
      </c>
      <c r="W63">
        <v>-4.3394393287599E-4</v>
      </c>
      <c r="X63">
        <v>3.8583780406043004E-4</v>
      </c>
      <c r="Z63">
        <v>38.399523286840001</v>
      </c>
      <c r="AA63">
        <v>3.7439064331863001</v>
      </c>
      <c r="AB63">
        <v>0.57912907291211002</v>
      </c>
      <c r="AC63">
        <v>1.0478126513946999</v>
      </c>
      <c r="AD63">
        <v>0.66705097105185007</v>
      </c>
      <c r="AE63">
        <v>3.4751930396884001</v>
      </c>
      <c r="AF63">
        <v>0.70260145748756009</v>
      </c>
      <c r="AG63">
        <v>4.3206996713277004</v>
      </c>
      <c r="AH63">
        <v>2.9934075587366</v>
      </c>
      <c r="AI63">
        <v>38.400425962893003</v>
      </c>
      <c r="AJ63">
        <v>3.7278643274504999</v>
      </c>
      <c r="AK63">
        <v>0.58068750118396995</v>
      </c>
      <c r="AL63">
        <v>1.0534809266378999</v>
      </c>
      <c r="AM63">
        <v>0.66739817109967003</v>
      </c>
      <c r="AN63">
        <v>3.4646482024792999</v>
      </c>
      <c r="AO63">
        <v>0.7028608161760701</v>
      </c>
      <c r="AP63">
        <v>4.3172434231389998</v>
      </c>
      <c r="AQ63">
        <v>3.00129462687</v>
      </c>
      <c r="AS63">
        <v>101.90799713134999</v>
      </c>
      <c r="AV63">
        <v>1.2590409836267</v>
      </c>
      <c r="AX63">
        <v>40.830061690260997</v>
      </c>
      <c r="AY63">
        <v>-6.3556786392823E-2</v>
      </c>
      <c r="AZ63">
        <v>9.1051685912882999E-2</v>
      </c>
      <c r="BA63">
        <v>-4.6963856938375001E-2</v>
      </c>
      <c r="BB63">
        <v>1.5979343438952E-2</v>
      </c>
      <c r="BC63">
        <v>4.0397782408602995E-3</v>
      </c>
      <c r="BD63">
        <v>5.5016426149650003E-4</v>
      </c>
      <c r="BE63">
        <f>(Table__150_diric[[#This Row],[F2]]+Table__150_diric_3[[#This Row],[F2]]+Table__150_diric_4[[#This Row],[F2]])/2</f>
        <v>-5.0296028113400497E-2</v>
      </c>
      <c r="BF63">
        <v>40.830061690260997</v>
      </c>
      <c r="BG63">
        <v>-1.4523579436780001E-2</v>
      </c>
      <c r="BH63">
        <v>2.2466119858539E-2</v>
      </c>
      <c r="BI63">
        <v>-7.0198017461216003E-3</v>
      </c>
      <c r="BJ63">
        <v>-6.8041724261108996E-4</v>
      </c>
      <c r="BK63">
        <v>2.423214330263E-4</v>
      </c>
      <c r="BM63">
        <v>40.830061690260997</v>
      </c>
      <c r="BN63">
        <v>-2.2511690397197998E-2</v>
      </c>
      <c r="BO63">
        <v>2.4969323566446003E-2</v>
      </c>
      <c r="BP63">
        <v>-1.8247959794998E-3</v>
      </c>
      <c r="BQ63">
        <v>-4.2257327837706997E-4</v>
      </c>
      <c r="BR63">
        <v>2.1026391137116002E-4</v>
      </c>
    </row>
    <row r="64" spans="1:70" x14ac:dyDescent="0.25">
      <c r="A64">
        <v>0.26570191979407998</v>
      </c>
      <c r="B64" s="1">
        <v>0.97108048200607</v>
      </c>
      <c r="C64" s="1">
        <v>1.2293359740416002E-18</v>
      </c>
      <c r="D64" s="1">
        <v>-3.0646449886261999E-4</v>
      </c>
      <c r="E64" s="1">
        <v>0.11725698411465001</v>
      </c>
      <c r="G64">
        <v>39.593944050453004</v>
      </c>
      <c r="H64">
        <v>14.857851025746001</v>
      </c>
      <c r="I64">
        <v>12.408331031555999</v>
      </c>
      <c r="J64">
        <v>39.59486120463</v>
      </c>
      <c r="K64">
        <v>14.85558645829</v>
      </c>
      <c r="L64">
        <v>12.406267519187999</v>
      </c>
      <c r="M64">
        <v>-0.58710527604568996</v>
      </c>
      <c r="N64">
        <v>7.2403963883913E-2</v>
      </c>
      <c r="O64">
        <v>8.0766346009166004E-2</v>
      </c>
      <c r="Q64">
        <v>0.26570191979407998</v>
      </c>
      <c r="R64">
        <v>1.5492089092731001E-2</v>
      </c>
      <c r="S64">
        <v>2.5083536747843001E-3</v>
      </c>
      <c r="T64">
        <v>4.4656265527009999E-3</v>
      </c>
      <c r="U64">
        <v>-2.8295279480517002E-3</v>
      </c>
      <c r="V64">
        <v>2.0788530819118001E-3</v>
      </c>
      <c r="W64">
        <v>-4.3211304000579E-4</v>
      </c>
      <c r="X64">
        <v>3.7733546923846001E-4</v>
      </c>
      <c r="Z64">
        <v>39.593944050453004</v>
      </c>
      <c r="AA64">
        <v>3.6266991832833999</v>
      </c>
      <c r="AB64">
        <v>0.58720577768908999</v>
      </c>
      <c r="AC64">
        <v>1.0454035007536999</v>
      </c>
      <c r="AD64">
        <v>0.66239269841865012</v>
      </c>
      <c r="AE64">
        <v>3.3658846099622002</v>
      </c>
      <c r="AF64">
        <v>0.69963704687677009</v>
      </c>
      <c r="AG64">
        <v>4.2254885881103004</v>
      </c>
      <c r="AH64">
        <v>2.9678175939539</v>
      </c>
      <c r="AI64">
        <v>39.59486120463</v>
      </c>
      <c r="AJ64">
        <v>3.6119276603594002</v>
      </c>
      <c r="AK64">
        <v>0.58876208588432999</v>
      </c>
      <c r="AL64">
        <v>1.0511023008930001</v>
      </c>
      <c r="AM64">
        <v>0.66277935756838002</v>
      </c>
      <c r="AN64">
        <v>3.3566548561573</v>
      </c>
      <c r="AO64">
        <v>0.69992109599554009</v>
      </c>
      <c r="AP64">
        <v>4.2234606123376999</v>
      </c>
      <c r="AQ64">
        <v>2.9750199585523998</v>
      </c>
      <c r="AS64">
        <v>105.02200317382999</v>
      </c>
      <c r="AV64">
        <v>1.1879257021937999</v>
      </c>
      <c r="AX64">
        <v>42.110354303709997</v>
      </c>
      <c r="AY64">
        <v>-6.0238881589386999E-2</v>
      </c>
      <c r="AZ64">
        <v>8.6444596970013013E-2</v>
      </c>
      <c r="BA64">
        <v>-4.5929196017331003E-2</v>
      </c>
      <c r="BB64">
        <v>1.6443366986258999E-2</v>
      </c>
      <c r="BC64">
        <v>3.8062177423766998E-3</v>
      </c>
      <c r="BD64">
        <v>5.2610409193126003E-4</v>
      </c>
      <c r="BE64">
        <f>(Table__150_diric[[#This Row],[F2]]+Table__150_diric_3[[#This Row],[F2]]+Table__150_diric_4[[#This Row],[F2]])/2</f>
        <v>-4.8279177469603501E-2</v>
      </c>
      <c r="BF64">
        <v>42.110354303709997</v>
      </c>
      <c r="BG64">
        <v>-1.4337599240230002E-2</v>
      </c>
      <c r="BH64">
        <v>2.2065116815546001E-2</v>
      </c>
      <c r="BI64">
        <v>-6.8486264350096004E-3</v>
      </c>
      <c r="BJ64">
        <v>-6.4103299248510998E-4</v>
      </c>
      <c r="BK64">
        <v>2.3785814782222001E-4</v>
      </c>
      <c r="BM64">
        <v>42.110354303709997</v>
      </c>
      <c r="BN64">
        <v>-2.1981874109590002E-2</v>
      </c>
      <c r="BO64">
        <v>2.4422540982218001E-2</v>
      </c>
      <c r="BP64">
        <v>-1.8326586140403002E-3</v>
      </c>
      <c r="BQ64">
        <v>-4.0115338857566E-4</v>
      </c>
      <c r="BR64">
        <v>2.0685487001207E-4</v>
      </c>
    </row>
    <row r="65" spans="1:70" x14ac:dyDescent="0.25">
      <c r="A65">
        <v>0.27399709820747004</v>
      </c>
      <c r="B65" s="1">
        <v>0.9768012166023301</v>
      </c>
      <c r="C65" s="1">
        <v>-1.0402358685671002E-18</v>
      </c>
      <c r="D65" s="1">
        <v>-3.2666628248989999E-4</v>
      </c>
      <c r="E65" s="1">
        <v>0.11818128079176</v>
      </c>
      <c r="G65">
        <v>40.830061690260997</v>
      </c>
      <c r="H65">
        <v>14.945380148166</v>
      </c>
      <c r="I65">
        <v>12.506141658595</v>
      </c>
      <c r="J65">
        <v>40.831007616519997</v>
      </c>
      <c r="K65">
        <v>14.942865493162001</v>
      </c>
      <c r="L65">
        <v>12.50393110529</v>
      </c>
      <c r="M65">
        <v>-0.59439285453675994</v>
      </c>
      <c r="N65">
        <v>6.9268653096718008E-2</v>
      </c>
      <c r="O65">
        <v>7.7534838139581008E-2</v>
      </c>
      <c r="Q65">
        <v>0.27399709820747004</v>
      </c>
      <c r="R65">
        <v>1.5001324005424999E-2</v>
      </c>
      <c r="S65">
        <v>2.5394526310265004E-3</v>
      </c>
      <c r="T65">
        <v>4.4520916417241001E-3</v>
      </c>
      <c r="U65">
        <v>-2.8074996080250003E-3</v>
      </c>
      <c r="V65">
        <v>2.0120216067880002E-3</v>
      </c>
      <c r="W65">
        <v>-4.2993470560759008E-4</v>
      </c>
      <c r="X65">
        <v>3.6876043304801004E-4</v>
      </c>
      <c r="Z65">
        <v>40.830061690260997</v>
      </c>
      <c r="AA65">
        <v>3.5118110406536003</v>
      </c>
      <c r="AB65">
        <v>0.59448604560709006</v>
      </c>
      <c r="AC65">
        <v>1.0422349771096</v>
      </c>
      <c r="AD65">
        <v>0.65723586241636012</v>
      </c>
      <c r="AE65">
        <v>3.2576773318540999</v>
      </c>
      <c r="AF65">
        <v>0.69611009141751001</v>
      </c>
      <c r="AG65">
        <v>4.1294633783984001</v>
      </c>
      <c r="AH65">
        <v>2.9393292026907001</v>
      </c>
      <c r="AI65">
        <v>40.831007616519997</v>
      </c>
      <c r="AJ65">
        <v>3.4984050460498999</v>
      </c>
      <c r="AK65">
        <v>0.59603683710300004</v>
      </c>
      <c r="AL65">
        <v>1.0479148486493</v>
      </c>
      <c r="AM65">
        <v>0.65766314844228002</v>
      </c>
      <c r="AN65">
        <v>3.2498009260286</v>
      </c>
      <c r="AO65">
        <v>0.69641831525568998</v>
      </c>
      <c r="AP65">
        <v>4.1288471664606998</v>
      </c>
      <c r="AQ65">
        <v>2.9458530272493002</v>
      </c>
      <c r="AS65">
        <v>108.15799713134999</v>
      </c>
      <c r="AV65">
        <v>1.1196603430745</v>
      </c>
      <c r="AX65">
        <v>43.437459865498994</v>
      </c>
      <c r="AY65">
        <v>-5.7019027203833006E-2</v>
      </c>
      <c r="AZ65">
        <v>8.2080668957636008E-2</v>
      </c>
      <c r="BA65">
        <v>-4.48239571179E-2</v>
      </c>
      <c r="BB65">
        <v>1.6699607202117002E-2</v>
      </c>
      <c r="BC65">
        <v>3.5646651356417997E-3</v>
      </c>
      <c r="BD65">
        <v>5.0195697366148002E-4</v>
      </c>
      <c r="BE65">
        <f>(Table__150_diric[[#This Row],[F2]]+Table__150_diric_3[[#This Row],[F2]]+Table__150_diric_4[[#This Row],[F2]])/2</f>
        <v>-4.6296472377998506E-2</v>
      </c>
      <c r="BF65">
        <v>43.437459865498994</v>
      </c>
      <c r="BG65">
        <v>-1.4132065041874999E-2</v>
      </c>
      <c r="BH65">
        <v>2.1593559021393E-2</v>
      </c>
      <c r="BI65">
        <v>-6.6279270072429003E-3</v>
      </c>
      <c r="BJ65">
        <v>-6.0071932888129003E-4</v>
      </c>
      <c r="BK65">
        <v>2.3284764339404001E-4</v>
      </c>
      <c r="BM65">
        <v>43.437459865498994</v>
      </c>
      <c r="BN65">
        <v>-2.1441852510289003E-2</v>
      </c>
      <c r="BO65">
        <v>2.3850607410184001E-2</v>
      </c>
      <c r="BP65">
        <v>-1.822328058952E-3</v>
      </c>
      <c r="BQ65">
        <v>-3.8307499731712999E-4</v>
      </c>
      <c r="BR65">
        <v>2.0335184362660003E-4</v>
      </c>
    </row>
    <row r="66" spans="1:70" x14ac:dyDescent="0.25">
      <c r="A66">
        <v>0.28258872032165999</v>
      </c>
      <c r="B66" s="1">
        <v>0.98247259855269997</v>
      </c>
      <c r="C66" s="1">
        <v>2.3593705699075004E-18</v>
      </c>
      <c r="D66" s="1">
        <v>-3.4874878474511006E-4</v>
      </c>
      <c r="E66" s="1">
        <v>0.1191004961729</v>
      </c>
      <c r="G66">
        <v>42.110354303709997</v>
      </c>
      <c r="H66">
        <v>15.032154158857999</v>
      </c>
      <c r="I66">
        <v>12.603414574359</v>
      </c>
      <c r="J66">
        <v>42.111334471413997</v>
      </c>
      <c r="K66">
        <v>15.029330157167999</v>
      </c>
      <c r="L66">
        <v>12.601028301598001</v>
      </c>
      <c r="M66">
        <v>-0.60084538912103003</v>
      </c>
      <c r="N66">
        <v>6.6334502637725001E-2</v>
      </c>
      <c r="O66">
        <v>7.4463301994071002E-2</v>
      </c>
      <c r="Q66">
        <v>0.28258872032165999</v>
      </c>
      <c r="R66">
        <v>1.4520802535117002E-2</v>
      </c>
      <c r="S66">
        <v>2.5669843889773E-3</v>
      </c>
      <c r="T66">
        <v>4.4351634569466001E-3</v>
      </c>
      <c r="U66">
        <v>-2.7833436615765004E-3</v>
      </c>
      <c r="V66">
        <v>1.9459290197119002E-3</v>
      </c>
      <c r="W66">
        <v>-4.2740930803120006E-4</v>
      </c>
      <c r="X66">
        <v>3.6012160126119998E-4</v>
      </c>
      <c r="Z66">
        <v>42.110354303709997</v>
      </c>
      <c r="AA66">
        <v>3.3993209295081002</v>
      </c>
      <c r="AB66">
        <v>0.60093123214564004</v>
      </c>
      <c r="AC66">
        <v>1.0382720878220999</v>
      </c>
      <c r="AD66">
        <v>0.65158095359601997</v>
      </c>
      <c r="AE66">
        <v>3.1506663922125999</v>
      </c>
      <c r="AF66">
        <v>0.69202120369843012</v>
      </c>
      <c r="AG66">
        <v>4.0327237710577997</v>
      </c>
      <c r="AH66">
        <v>2.9079016959373001</v>
      </c>
      <c r="AI66">
        <v>42.111334471413997</v>
      </c>
      <c r="AJ66">
        <v>3.3873324565902001</v>
      </c>
      <c r="AK66">
        <v>0.60247736336286006</v>
      </c>
      <c r="AL66">
        <v>1.0438763844818</v>
      </c>
      <c r="AM66">
        <v>0.65204725458977009</v>
      </c>
      <c r="AN66">
        <v>3.1441495872713001</v>
      </c>
      <c r="AO66">
        <v>0.69235143675210009</v>
      </c>
      <c r="AP66">
        <v>4.0334608319371998</v>
      </c>
      <c r="AQ66">
        <v>2.9137955440215002</v>
      </c>
      <c r="AS66">
        <v>111.31300354003999</v>
      </c>
      <c r="AV66">
        <v>1.0545440400595001</v>
      </c>
      <c r="AX66">
        <v>44.814193991723997</v>
      </c>
      <c r="AY66">
        <v>-5.3897634188310999E-2</v>
      </c>
      <c r="AZ66">
        <v>7.7941233927796005E-2</v>
      </c>
      <c r="BA66">
        <v>-4.3652105264343002E-2</v>
      </c>
      <c r="BB66">
        <v>1.6774664448633E-2</v>
      </c>
      <c r="BC66">
        <v>3.3126686796703998E-3</v>
      </c>
      <c r="BD66">
        <v>4.7882760344574002E-4</v>
      </c>
      <c r="BE66">
        <f>(Table__150_diric[[#This Row],[F2]]+Table__150_diric_3[[#This Row],[F2]]+Table__150_diric_4[[#This Row],[F2]])/2</f>
        <v>-4.4348694684473999E-2</v>
      </c>
      <c r="BF66">
        <v>44.814193991723997</v>
      </c>
      <c r="BG66">
        <v>-1.3907446860382E-2</v>
      </c>
      <c r="BH66">
        <v>2.1055113645315E-2</v>
      </c>
      <c r="BI66">
        <v>-6.3606296633785002E-3</v>
      </c>
      <c r="BJ66">
        <v>-5.5956970441608004E-4</v>
      </c>
      <c r="BK66">
        <v>2.2746741713769E-4</v>
      </c>
      <c r="BM66">
        <v>44.814193991723997</v>
      </c>
      <c r="BN66">
        <v>-2.0892308320255001E-2</v>
      </c>
      <c r="BO66">
        <v>2.3253727796463002E-2</v>
      </c>
      <c r="BP66">
        <v>-1.7958341372999E-3</v>
      </c>
      <c r="BQ66">
        <v>-3.6669236903499999E-4</v>
      </c>
      <c r="BR66">
        <v>1.9889296987322E-4</v>
      </c>
    </row>
    <row r="67" spans="1:70" x14ac:dyDescent="0.25">
      <c r="A67">
        <v>0.29149448871613004</v>
      </c>
      <c r="B67" s="1">
        <v>0.98810505867004006</v>
      </c>
      <c r="C67" s="1">
        <v>-7.1239772203272002E-19</v>
      </c>
      <c r="D67" s="1">
        <v>-3.7268354208209005E-4</v>
      </c>
      <c r="E67" s="1">
        <v>0.12001574039459001</v>
      </c>
      <c r="G67">
        <v>43.437459865498994</v>
      </c>
      <c r="H67">
        <v>15.118332652693001</v>
      </c>
      <c r="I67">
        <v>12.700267255358998</v>
      </c>
      <c r="J67">
        <v>43.438470923137004</v>
      </c>
      <c r="K67">
        <v>15.115139129511999</v>
      </c>
      <c r="L67">
        <v>12.697676645827</v>
      </c>
      <c r="M67">
        <v>-0.60642583297550001</v>
      </c>
      <c r="N67">
        <v>6.3586406490209996E-2</v>
      </c>
      <c r="O67">
        <v>7.1538837687003004E-2</v>
      </c>
      <c r="Q67">
        <v>0.29149448871613004</v>
      </c>
      <c r="R67">
        <v>1.4050819911063E-2</v>
      </c>
      <c r="S67">
        <v>2.5907882954925004E-3</v>
      </c>
      <c r="T67">
        <v>4.4146510772407003E-3</v>
      </c>
      <c r="U67">
        <v>-2.7570526581257998E-3</v>
      </c>
      <c r="V67">
        <v>1.8806277075782002E-3</v>
      </c>
      <c r="W67">
        <v>-4.2453457717783998E-4</v>
      </c>
      <c r="X67">
        <v>3.5142639535478998E-4</v>
      </c>
      <c r="Z67">
        <v>43.437459865498994</v>
      </c>
      <c r="AA67">
        <v>3.2892979630372001</v>
      </c>
      <c r="AB67">
        <v>0.60650372839201006</v>
      </c>
      <c r="AC67">
        <v>1.0334701382411999</v>
      </c>
      <c r="AD67">
        <v>0.64542622777616998</v>
      </c>
      <c r="AE67">
        <v>3.0449366110012002</v>
      </c>
      <c r="AF67">
        <v>0.68736670818775003</v>
      </c>
      <c r="AG67">
        <v>3.9353528734770999</v>
      </c>
      <c r="AH67">
        <v>2.8735008492926002</v>
      </c>
      <c r="AI67">
        <v>43.438470923137004</v>
      </c>
      <c r="AJ67">
        <v>3.2787090199299</v>
      </c>
      <c r="AK67">
        <v>0.60805090828077013</v>
      </c>
      <c r="AL67">
        <v>1.0389446139589</v>
      </c>
      <c r="AM67">
        <v>0.64592693423825009</v>
      </c>
      <c r="AN67">
        <v>3.0397353505048001</v>
      </c>
      <c r="AO67">
        <v>0.68771635881278004</v>
      </c>
      <c r="AP67">
        <v>3.9373348863703002</v>
      </c>
      <c r="AQ67">
        <v>2.8788528321691</v>
      </c>
      <c r="AS67">
        <v>114.48699951172001</v>
      </c>
      <c r="AV67">
        <v>0.99289266041012003</v>
      </c>
      <c r="AX67">
        <v>46.243567704012001</v>
      </c>
      <c r="AY67">
        <v>-5.0876890203226E-2</v>
      </c>
      <c r="AZ67">
        <v>7.4009577377129002E-2</v>
      </c>
      <c r="BA67">
        <v>-4.2418878879479996E-2</v>
      </c>
      <c r="BB67">
        <v>1.6691408045838001E-2</v>
      </c>
      <c r="BC67">
        <v>3.0494763272636001E-3</v>
      </c>
      <c r="BD67">
        <v>4.5469266752498004E-4</v>
      </c>
      <c r="BE67">
        <f>(Table__150_diric[[#This Row],[F2]]+Table__150_diric_3[[#This Row],[F2]]+Table__150_diric_4[[#This Row],[F2]])/2</f>
        <v>-4.2437488983083999E-2</v>
      </c>
      <c r="BF67">
        <v>46.243567704012001</v>
      </c>
      <c r="BG67">
        <v>-1.3664266240526999E-2</v>
      </c>
      <c r="BH67">
        <v>2.0453678762507001E-2</v>
      </c>
      <c r="BI67">
        <v>-6.0499189854941E-3</v>
      </c>
      <c r="BJ67">
        <v>-5.1787216075800007E-4</v>
      </c>
      <c r="BK67">
        <v>2.2162137572710001E-4</v>
      </c>
      <c r="BM67">
        <v>46.243567704012001</v>
      </c>
      <c r="BN67">
        <v>-2.0333821522414999E-2</v>
      </c>
      <c r="BO67">
        <v>2.2632223223308E-2</v>
      </c>
      <c r="BP67">
        <v>-1.7548402585722E-3</v>
      </c>
      <c r="BQ67">
        <v>-3.4875397560548999E-4</v>
      </c>
      <c r="BR67">
        <v>1.9480746671596001E-4</v>
      </c>
    </row>
    <row r="68" spans="1:70" x14ac:dyDescent="0.25">
      <c r="A68">
        <v>0.30073329806328003</v>
      </c>
      <c r="B68" s="1">
        <v>0.99370872974396007</v>
      </c>
      <c r="C68" s="1">
        <v>-2.5293065549503E-18</v>
      </c>
      <c r="D68" s="1">
        <v>-3.9843079866841002E-4</v>
      </c>
      <c r="E68" s="1">
        <v>0.12092807143927001</v>
      </c>
      <c r="G68">
        <v>44.814193991723997</v>
      </c>
      <c r="H68">
        <v>15.204070664687999</v>
      </c>
      <c r="I68">
        <v>12.796811659073001</v>
      </c>
      <c r="J68">
        <v>44.815241535594993</v>
      </c>
      <c r="K68">
        <v>15.200450177453</v>
      </c>
      <c r="L68">
        <v>12.793988153786</v>
      </c>
      <c r="M68">
        <v>-0.61109841675384002</v>
      </c>
      <c r="N68">
        <v>6.1009090702736003E-2</v>
      </c>
      <c r="O68">
        <v>6.8751516133426005E-2</v>
      </c>
      <c r="Q68">
        <v>0.30073329806328003</v>
      </c>
      <c r="R68">
        <v>1.3591577298938999E-2</v>
      </c>
      <c r="S68">
        <v>2.6107099838555002E-3</v>
      </c>
      <c r="T68">
        <v>4.3903253972530001E-3</v>
      </c>
      <c r="U68">
        <v>-2.7286082040519004E-3</v>
      </c>
      <c r="V68">
        <v>1.8161580665037001E-3</v>
      </c>
      <c r="W68">
        <v>-4.2130591464228999E-4</v>
      </c>
      <c r="X68">
        <v>3.4268043236807005E-4</v>
      </c>
      <c r="Z68">
        <v>44.814193991723997</v>
      </c>
      <c r="AA68">
        <v>3.1817892341403002</v>
      </c>
      <c r="AB68">
        <v>0.61116739708660006</v>
      </c>
      <c r="AC68">
        <v>1.0277754947869999</v>
      </c>
      <c r="AD68">
        <v>0.63876737900881997</v>
      </c>
      <c r="AE68">
        <v>2.9405533938366002</v>
      </c>
      <c r="AF68">
        <v>0.68213915957755011</v>
      </c>
      <c r="AG68">
        <v>3.8374135865422998</v>
      </c>
      <c r="AH68">
        <v>2.8361019451340002</v>
      </c>
      <c r="AI68">
        <v>44.815241535594993</v>
      </c>
      <c r="AJ68">
        <v>3.1725005081013999</v>
      </c>
      <c r="AK68">
        <v>0.61272640507073006</v>
      </c>
      <c r="AL68">
        <v>1.0330783327118001</v>
      </c>
      <c r="AM68">
        <v>0.63929559250859003</v>
      </c>
      <c r="AN68">
        <v>2.9365691535211003</v>
      </c>
      <c r="AO68">
        <v>0.68250662248298</v>
      </c>
      <c r="AP68">
        <v>3.8404849898086</v>
      </c>
      <c r="AQ68">
        <v>2.8410288841669002</v>
      </c>
      <c r="AS68">
        <v>117.67800140381</v>
      </c>
      <c r="AV68">
        <v>0.93505996558412008</v>
      </c>
      <c r="AX68">
        <v>47.728778547452997</v>
      </c>
      <c r="AY68">
        <v>-4.7961649385199E-2</v>
      </c>
      <c r="AZ68">
        <v>7.0270829355669001E-2</v>
      </c>
      <c r="BA68">
        <v>-4.1130478266584995E-2</v>
      </c>
      <c r="BB68">
        <v>1.6466181936764E-2</v>
      </c>
      <c r="BC68">
        <v>2.7867454274194E-3</v>
      </c>
      <c r="BD68">
        <v>4.3162906806859004E-4</v>
      </c>
      <c r="BE68">
        <f>(Table__150_diric[[#This Row],[F2]]+Table__150_diric_3[[#This Row],[F2]]+Table__150_diric_4[[#This Row],[F2]])/2</f>
        <v>-4.0565612313465005E-2</v>
      </c>
      <c r="BF68">
        <v>47.728778547452997</v>
      </c>
      <c r="BG68">
        <v>-1.3403105521613E-2</v>
      </c>
      <c r="BH68">
        <v>1.9793513153335999E-2</v>
      </c>
      <c r="BI68">
        <v>-5.6992341225711009E-3</v>
      </c>
      <c r="BJ68">
        <v>-4.7569564933527001E-4</v>
      </c>
      <c r="BK68">
        <v>2.1547785981701999E-4</v>
      </c>
      <c r="BM68">
        <v>47.728778547452997</v>
      </c>
      <c r="BN68">
        <v>-1.9766469720118002E-2</v>
      </c>
      <c r="BO68">
        <v>2.1986517246034998E-2</v>
      </c>
      <c r="BP68">
        <v>-1.7001306095982E-3</v>
      </c>
      <c r="BQ68">
        <v>-3.3032458646526004E-4</v>
      </c>
      <c r="BR68">
        <v>1.8959232985383002E-4</v>
      </c>
    </row>
    <row r="69" spans="1:70" x14ac:dyDescent="0.25">
      <c r="A69">
        <v>0.31032535433769004</v>
      </c>
      <c r="B69" s="1">
        <v>0.99929332733153997</v>
      </c>
      <c r="C69" s="1">
        <v>-5.6422982198977004E-19</v>
      </c>
      <c r="D69" s="1">
        <v>-4.2592902900651E-4</v>
      </c>
      <c r="E69" s="1">
        <v>0.12183851003647</v>
      </c>
      <c r="G69">
        <v>46.243567704012001</v>
      </c>
      <c r="H69">
        <v>15.289516846062</v>
      </c>
      <c r="I69">
        <v>12.893155800817</v>
      </c>
      <c r="J69">
        <v>46.244648518226001</v>
      </c>
      <c r="K69">
        <v>15.285419244346002</v>
      </c>
      <c r="L69">
        <v>12.890068530534</v>
      </c>
      <c r="M69">
        <v>-0.61482779693526002</v>
      </c>
      <c r="N69">
        <v>5.8589175526041003E-2</v>
      </c>
      <c r="O69">
        <v>6.6091851841942995E-2</v>
      </c>
      <c r="Q69">
        <v>0.31032535433769004</v>
      </c>
      <c r="R69">
        <v>1.3143125921487999E-2</v>
      </c>
      <c r="S69">
        <v>2.6266032364219002E-3</v>
      </c>
      <c r="T69">
        <v>4.3619317002594003E-3</v>
      </c>
      <c r="U69">
        <v>-2.6979816611856001E-3</v>
      </c>
      <c r="V69">
        <v>1.7525460571051E-3</v>
      </c>
      <c r="W69">
        <v>-4.1771749965847005E-4</v>
      </c>
      <c r="X69">
        <v>3.3388732117601005E-4</v>
      </c>
      <c r="Z69">
        <v>46.243567704012001</v>
      </c>
      <c r="AA69">
        <v>3.0768067340649998</v>
      </c>
      <c r="AB69">
        <v>0.61488800866825999</v>
      </c>
      <c r="AC69">
        <v>1.0211285282558</v>
      </c>
      <c r="AD69">
        <v>0.6315977030964901</v>
      </c>
      <c r="AE69">
        <v>2.8375587737229</v>
      </c>
      <c r="AF69">
        <v>0.67632913342740997</v>
      </c>
      <c r="AG69">
        <v>3.7389463232578999</v>
      </c>
      <c r="AH69">
        <v>2.7956909134299002</v>
      </c>
      <c r="AI69">
        <v>46.244648518226001</v>
      </c>
      <c r="AJ69">
        <v>3.0686515459211998</v>
      </c>
      <c r="AK69">
        <v>0.61647393151254004</v>
      </c>
      <c r="AL69">
        <v>1.0262368814031</v>
      </c>
      <c r="AM69">
        <v>0.63214532644645005</v>
      </c>
      <c r="AN69">
        <v>2.8346485447463001</v>
      </c>
      <c r="AO69">
        <v>0.67671411870998999</v>
      </c>
      <c r="AP69">
        <v>3.7429179935232999</v>
      </c>
      <c r="AQ69">
        <v>2.8003235098973001</v>
      </c>
      <c r="AS69">
        <v>120.88400268555</v>
      </c>
      <c r="AV69">
        <v>0.88151820057204999</v>
      </c>
      <c r="AX69">
        <v>49.273228354741001</v>
      </c>
      <c r="AY69">
        <v>-4.5156800116862003E-2</v>
      </c>
      <c r="AZ69">
        <v>6.6711016398741996E-2</v>
      </c>
      <c r="BA69">
        <v>-3.9793592867003E-2</v>
      </c>
      <c r="BB69">
        <v>1.6113131842176002E-2</v>
      </c>
      <c r="BC69">
        <v>2.5354072599103003E-3</v>
      </c>
      <c r="BD69">
        <v>4.0916251696212997E-4</v>
      </c>
      <c r="BE69">
        <f>(Table__150_diric[[#This Row],[F2]]+Table__150_diric_3[[#This Row],[F2]]+Table__150_diric_4[[#This Row],[F2]])/2</f>
        <v>-3.8735873241361504E-2</v>
      </c>
      <c r="BF69">
        <v>49.273228354741001</v>
      </c>
      <c r="BG69">
        <v>-1.312462904486E-2</v>
      </c>
      <c r="BH69">
        <v>1.9079419388540998E-2</v>
      </c>
      <c r="BI69">
        <v>-5.3124033498973995E-3</v>
      </c>
      <c r="BJ69">
        <v>-4.3340723392728002E-4</v>
      </c>
      <c r="BK69">
        <v>2.0897975985595003E-4</v>
      </c>
      <c r="BM69">
        <v>49.273228354741001</v>
      </c>
      <c r="BN69">
        <v>-1.9190317321001002E-2</v>
      </c>
      <c r="BO69">
        <v>2.1317212406234E-2</v>
      </c>
      <c r="BP69">
        <v>-1.6326596367237001E-3</v>
      </c>
      <c r="BQ69">
        <v>-3.0927530132121003E-4</v>
      </c>
      <c r="BR69">
        <v>1.8496014718775002E-4</v>
      </c>
    </row>
    <row r="70" spans="1:70" x14ac:dyDescent="0.25">
      <c r="A70">
        <v>0.32029211521149004</v>
      </c>
      <c r="B70" s="1">
        <v>1.0048683881760001</v>
      </c>
      <c r="C70" s="1">
        <v>-2.2871742460438001E-18</v>
      </c>
      <c r="D70" s="1">
        <v>-4.5508440234698003E-4</v>
      </c>
      <c r="E70" s="1">
        <v>0.12274801731110002</v>
      </c>
      <c r="G70">
        <v>47.728778547452997</v>
      </c>
      <c r="H70">
        <v>15.374817112128</v>
      </c>
      <c r="I70">
        <v>12.989401388440999</v>
      </c>
      <c r="J70">
        <v>47.729889490547002</v>
      </c>
      <c r="K70">
        <v>15.370198625753</v>
      </c>
      <c r="L70">
        <v>12.986016381536</v>
      </c>
      <c r="M70">
        <v>-0.61758373990558013</v>
      </c>
      <c r="N70">
        <v>5.6315112300735999E-2</v>
      </c>
      <c r="O70">
        <v>6.3548385319958003E-2</v>
      </c>
      <c r="Q70">
        <v>0.32029211521149004</v>
      </c>
      <c r="R70">
        <v>1.2705327942967E-2</v>
      </c>
      <c r="S70">
        <v>2.6383334770799004E-3</v>
      </c>
      <c r="T70">
        <v>4.3292054906487005E-3</v>
      </c>
      <c r="U70">
        <v>-2.6651311200112E-3</v>
      </c>
      <c r="V70">
        <v>1.6898025060072999E-3</v>
      </c>
      <c r="W70">
        <v>-4.1376292938367004E-4</v>
      </c>
      <c r="X70">
        <v>3.2504866248928005E-4</v>
      </c>
      <c r="Z70">
        <v>47.728778547452997</v>
      </c>
      <c r="AA70">
        <v>2.9743181954541003</v>
      </c>
      <c r="AB70">
        <v>0.61763405885937006</v>
      </c>
      <c r="AC70">
        <v>1.0134673202058999</v>
      </c>
      <c r="AD70">
        <v>0.62390738901848009</v>
      </c>
      <c r="AE70">
        <v>2.7359702801194001</v>
      </c>
      <c r="AF70">
        <v>0.66992626285287005</v>
      </c>
      <c r="AG70">
        <v>3.6399690087468999</v>
      </c>
      <c r="AH70">
        <v>2.7522633810624999</v>
      </c>
      <c r="AI70">
        <v>47.729889490547002</v>
      </c>
      <c r="AJ70">
        <v>2.9671019619301999</v>
      </c>
      <c r="AK70">
        <v>0.61926498246746009</v>
      </c>
      <c r="AL70">
        <v>1.0183775295763</v>
      </c>
      <c r="AM70">
        <v>0.62446681601603005</v>
      </c>
      <c r="AN70">
        <v>2.7339678667015002</v>
      </c>
      <c r="AO70">
        <v>0.67032866403233005</v>
      </c>
      <c r="AP70">
        <v>3.6446420537897</v>
      </c>
      <c r="AQ70">
        <v>2.7567315761779998</v>
      </c>
      <c r="AS70">
        <v>124.10399627686</v>
      </c>
      <c r="AV70">
        <v>0.83267630887191002</v>
      </c>
      <c r="AX70">
        <v>50.880549892384003</v>
      </c>
      <c r="AY70">
        <v>-4.2465438363408999E-2</v>
      </c>
      <c r="AZ70">
        <v>6.3316163174060996E-2</v>
      </c>
      <c r="BA70">
        <v>-3.8415193581420003E-2</v>
      </c>
      <c r="BB70">
        <v>1.5649414536388E-2</v>
      </c>
      <c r="BC70">
        <v>2.3011914673224999E-3</v>
      </c>
      <c r="BD70">
        <v>3.8613723294274999E-4</v>
      </c>
      <c r="BE70">
        <f>(Table__150_diric[[#This Row],[F2]]+Table__150_diric_3[[#This Row],[F2]]+Table__150_diric_4[[#This Row],[F2]])/2</f>
        <v>-3.69505753609305E-2</v>
      </c>
      <c r="BF70">
        <v>50.880549892384003</v>
      </c>
      <c r="BG70">
        <v>-1.2829581111218E-2</v>
      </c>
      <c r="BH70">
        <v>1.8316982933035998E-2</v>
      </c>
      <c r="BI70">
        <v>-4.89384813993E-3</v>
      </c>
      <c r="BJ70">
        <v>-3.9134367018457005E-4</v>
      </c>
      <c r="BK70">
        <v>2.0221001170271001E-4</v>
      </c>
      <c r="BM70">
        <v>50.880549892384003</v>
      </c>
      <c r="BN70">
        <v>-1.8606131247233999E-2</v>
      </c>
      <c r="BO70">
        <v>2.0625347097578999E-2</v>
      </c>
      <c r="BP70">
        <v>-1.5544436449583001E-3</v>
      </c>
      <c r="BQ70">
        <v>-2.8556680125234004E-4</v>
      </c>
      <c r="BR70">
        <v>1.7920540413488001E-4</v>
      </c>
    </row>
    <row r="71" spans="1:70" x14ac:dyDescent="0.25">
      <c r="A71">
        <v>0.33065640926361001</v>
      </c>
      <c r="B71" s="1">
        <v>1.0104432106018</v>
      </c>
      <c r="C71" s="1">
        <v>-1.463831751533E-18</v>
      </c>
      <c r="D71" s="1">
        <v>-4.8577666166237999E-4</v>
      </c>
      <c r="E71" s="1">
        <v>0.12365746498107999</v>
      </c>
      <c r="G71">
        <v>49.273228354741001</v>
      </c>
      <c r="H71">
        <v>15.460113730309999</v>
      </c>
      <c r="I71">
        <v>13.085640668602</v>
      </c>
      <c r="J71">
        <v>49.274375246710001</v>
      </c>
      <c r="K71">
        <v>15.454938793332001</v>
      </c>
      <c r="L71">
        <v>13.081924001508</v>
      </c>
      <c r="M71">
        <v>-0.61933728952731004</v>
      </c>
      <c r="N71">
        <v>5.4176328809789003E-2</v>
      </c>
      <c r="O71">
        <v>6.1110175256985005E-2</v>
      </c>
      <c r="Q71">
        <v>0.33065640926361001</v>
      </c>
      <c r="R71">
        <v>1.2277902103961E-2</v>
      </c>
      <c r="S71">
        <v>2.6457817293704003E-3</v>
      </c>
      <c r="T71">
        <v>4.2918776161969003E-3</v>
      </c>
      <c r="U71">
        <v>-2.6300041936338E-3</v>
      </c>
      <c r="V71">
        <v>1.6279292758554001E-3</v>
      </c>
      <c r="W71">
        <v>-4.094353353139E-4</v>
      </c>
      <c r="X71">
        <v>3.1616463093087001E-4</v>
      </c>
      <c r="Z71">
        <v>49.273228354741001</v>
      </c>
      <c r="AA71">
        <v>2.8742577754576999</v>
      </c>
      <c r="AB71">
        <v>0.61937769526226005</v>
      </c>
      <c r="AC71">
        <v>1.0047288620820001</v>
      </c>
      <c r="AD71">
        <v>0.61568417299889</v>
      </c>
      <c r="AE71">
        <v>2.6357909288468999</v>
      </c>
      <c r="AF71">
        <v>0.66291942701424</v>
      </c>
      <c r="AG71">
        <v>3.5404835984772998</v>
      </c>
      <c r="AH71">
        <v>2.7058241014207001</v>
      </c>
      <c r="AI71">
        <v>49.274375246710001</v>
      </c>
      <c r="AJ71">
        <v>2.8677944188318998</v>
      </c>
      <c r="AK71">
        <v>0.6210727423938901</v>
      </c>
      <c r="AL71">
        <v>1.0094522054677</v>
      </c>
      <c r="AM71">
        <v>0.61624796152173</v>
      </c>
      <c r="AN71">
        <v>2.6345220276562</v>
      </c>
      <c r="AO71">
        <v>0.66333663335566007</v>
      </c>
      <c r="AP71">
        <v>3.5456692418952001</v>
      </c>
      <c r="AQ71">
        <v>2.7102479498268002</v>
      </c>
      <c r="AS71">
        <v>127.33699798584</v>
      </c>
      <c r="AV71">
        <v>0.78877840702036006</v>
      </c>
      <c r="AX71">
        <v>52.554589096560001</v>
      </c>
      <c r="AY71">
        <v>-3.9889690833628005E-2</v>
      </c>
      <c r="AZ71">
        <v>6.0074444304250005E-2</v>
      </c>
      <c r="BA71">
        <v>-3.7002366080345003E-2</v>
      </c>
      <c r="BB71">
        <v>1.5094805038353001E-2</v>
      </c>
      <c r="BC71">
        <v>2.0878322862622001E-3</v>
      </c>
      <c r="BD71">
        <v>3.6502471489167004E-4</v>
      </c>
      <c r="BE71">
        <f>(Table__150_diric[[#This Row],[F2]]+Table__150_diric_3[[#This Row],[F2]]+Table__150_diric_4[[#This Row],[F2]])/2</f>
        <v>-3.5211648937663001E-2</v>
      </c>
      <c r="BF71">
        <v>52.554589096560001</v>
      </c>
      <c r="BG71">
        <v>-1.2518788494830999E-2</v>
      </c>
      <c r="BH71">
        <v>1.7512946514158002E-2</v>
      </c>
      <c r="BI71">
        <v>-4.4489954615635008E-3</v>
      </c>
      <c r="BJ71">
        <v>-3.5001471755822004E-4</v>
      </c>
      <c r="BK71">
        <v>1.9514784020586E-4</v>
      </c>
      <c r="BM71">
        <v>52.554589096560001</v>
      </c>
      <c r="BN71">
        <v>-1.8014818546867001E-2</v>
      </c>
      <c r="BO71">
        <v>1.991264013486E-2</v>
      </c>
      <c r="BP71">
        <v>-1.4669300767399E-3</v>
      </c>
      <c r="BQ71">
        <v>-2.5715327765879004E-4</v>
      </c>
      <c r="BR71">
        <v>1.7373823359414001E-4</v>
      </c>
    </row>
    <row r="72" spans="1:70" x14ac:dyDescent="0.25">
      <c r="A72">
        <v>0.34144261479378002</v>
      </c>
      <c r="B72" s="1">
        <v>1.0160269737244001</v>
      </c>
      <c r="C72" s="1">
        <v>4.8180292831008999E-19</v>
      </c>
      <c r="D72" s="1">
        <v>-5.178835708648E-4</v>
      </c>
      <c r="E72" s="1">
        <v>0.12456762790680001</v>
      </c>
      <c r="G72">
        <v>50.880549892384003</v>
      </c>
      <c r="H72">
        <v>15.545547144095</v>
      </c>
      <c r="I72">
        <v>13.181955638327</v>
      </c>
      <c r="J72">
        <v>50.881729755501006</v>
      </c>
      <c r="K72">
        <v>15.539788394847001</v>
      </c>
      <c r="L72">
        <v>13.177873430197</v>
      </c>
      <c r="M72">
        <v>-0.62006587704619998</v>
      </c>
      <c r="N72">
        <v>5.2162436933381996E-2</v>
      </c>
      <c r="O72">
        <v>5.8765537990578001E-2</v>
      </c>
      <c r="Q72">
        <v>0.34144261479378002</v>
      </c>
      <c r="R72">
        <v>1.1860499158502E-2</v>
      </c>
      <c r="S72">
        <v>2.6488481089473001E-3</v>
      </c>
      <c r="T72">
        <v>4.2496877722442003E-3</v>
      </c>
      <c r="U72">
        <v>-2.5925382506101998E-3</v>
      </c>
      <c r="V72">
        <v>1.5669265994802E-3</v>
      </c>
      <c r="W72">
        <v>-4.0472613181919006E-4</v>
      </c>
      <c r="X72">
        <v>3.0723537201992999E-4</v>
      </c>
      <c r="Z72">
        <v>50.880549892384003</v>
      </c>
      <c r="AA72">
        <v>2.7765437155698001</v>
      </c>
      <c r="AB72">
        <v>0.62009553494422009</v>
      </c>
      <c r="AC72">
        <v>0.99485221654442002</v>
      </c>
      <c r="AD72">
        <v>0.60691339301234004</v>
      </c>
      <c r="AE72">
        <v>2.5370210968831</v>
      </c>
      <c r="AF72">
        <v>0.65529472486191009</v>
      </c>
      <c r="AG72">
        <v>3.4404917220056999</v>
      </c>
      <c r="AH72">
        <v>2.6563903768406001</v>
      </c>
      <c r="AI72">
        <v>50.881729755501006</v>
      </c>
      <c r="AJ72">
        <v>2.7706748495182998</v>
      </c>
      <c r="AK72">
        <v>0.62187306640378004</v>
      </c>
      <c r="AL72">
        <v>0.99940618793154001</v>
      </c>
      <c r="AM72">
        <v>0.60747393811129002</v>
      </c>
      <c r="AN72">
        <v>2.5363080102883</v>
      </c>
      <c r="AO72">
        <v>0.65572119568108</v>
      </c>
      <c r="AP72">
        <v>3.4460201116536999</v>
      </c>
      <c r="AQ72">
        <v>2.6608686383686999</v>
      </c>
      <c r="AS72">
        <v>130.58000183105</v>
      </c>
      <c r="AV72">
        <v>0.75004085599020009</v>
      </c>
      <c r="AX72">
        <v>54.299436160364998</v>
      </c>
      <c r="AY72">
        <v>-3.7430438812518001E-2</v>
      </c>
      <c r="AZ72">
        <v>5.6973941068902002E-2</v>
      </c>
      <c r="BA72">
        <v>-3.5561583928546997E-2</v>
      </c>
      <c r="BB72">
        <v>1.4471473799517002E-2</v>
      </c>
      <c r="BC72">
        <v>1.8910748086706001E-3</v>
      </c>
      <c r="BD72">
        <v>3.4446693602568001E-4</v>
      </c>
      <c r="BE72">
        <f>(Table__150_diric[[#This Row],[F2]]+Table__150_diric_3[[#This Row],[F2]]+Table__150_diric_4[[#This Row],[F2]])/2</f>
        <v>-3.3520237442772001E-2</v>
      </c>
      <c r="BF72">
        <v>54.299436160364998</v>
      </c>
      <c r="BG72">
        <v>-1.2193211026594999E-2</v>
      </c>
      <c r="BH72">
        <v>1.6675506610388E-2</v>
      </c>
      <c r="BI72">
        <v>-3.9847173402422003E-3</v>
      </c>
      <c r="BJ72">
        <v>-3.0973398856696003E-4</v>
      </c>
      <c r="BK72">
        <v>1.8784425498398003E-4</v>
      </c>
      <c r="BM72">
        <v>54.299436160364998</v>
      </c>
      <c r="BN72">
        <v>-1.7416825046431002E-2</v>
      </c>
      <c r="BO72">
        <v>1.9181358222161E-2</v>
      </c>
      <c r="BP72">
        <v>-1.3687775242584E-3</v>
      </c>
      <c r="BQ72">
        <v>-2.2787676106652999E-4</v>
      </c>
      <c r="BR72">
        <v>1.6787889040511002E-4</v>
      </c>
    </row>
    <row r="73" spans="1:70" x14ac:dyDescent="0.25">
      <c r="A73">
        <v>0.35267654061317</v>
      </c>
      <c r="B73" s="1">
        <v>1.0216286182404</v>
      </c>
      <c r="C73" s="1">
        <v>2.1588222847552004E-18</v>
      </c>
      <c r="D73" s="1">
        <v>-5.5130332475528002E-4</v>
      </c>
      <c r="E73" s="1">
        <v>0.12547916173935</v>
      </c>
      <c r="G73">
        <v>52.554589096560001</v>
      </c>
      <c r="H73">
        <v>15.631254149086001</v>
      </c>
      <c r="I73">
        <v>13.278415679715</v>
      </c>
      <c r="J73">
        <v>52.555807924896001</v>
      </c>
      <c r="K73">
        <v>15.624893342210001</v>
      </c>
      <c r="L73">
        <v>13.273941185445</v>
      </c>
      <c r="M73">
        <v>-0.61975076613797009</v>
      </c>
      <c r="N73">
        <v>5.0264885653830998E-2</v>
      </c>
      <c r="O73">
        <v>5.6506000354385001E-2</v>
      </c>
      <c r="Q73">
        <v>0.35267654061317</v>
      </c>
      <c r="R73">
        <v>1.1452763341367E-2</v>
      </c>
      <c r="S73">
        <v>2.647454617545E-3</v>
      </c>
      <c r="T73">
        <v>4.2024049907923005E-3</v>
      </c>
      <c r="U73">
        <v>-2.5526632089168002E-3</v>
      </c>
      <c r="V73">
        <v>1.5067959902807999E-3</v>
      </c>
      <c r="W73">
        <v>-3.9962393930182007E-4</v>
      </c>
      <c r="X73">
        <v>2.9826140962541E-4</v>
      </c>
      <c r="Z73">
        <v>52.554589096560001</v>
      </c>
      <c r="AA73">
        <v>2.6810927311257</v>
      </c>
      <c r="AB73">
        <v>0.61976931850560002</v>
      </c>
      <c r="AC73">
        <v>0.98378331396784002</v>
      </c>
      <c r="AD73">
        <v>0.59757864285195006</v>
      </c>
      <c r="AE73">
        <v>2.4396632345825999</v>
      </c>
      <c r="AF73">
        <v>0.64703373161486011</v>
      </c>
      <c r="AG73">
        <v>3.3399992457358998</v>
      </c>
      <c r="AH73">
        <v>2.6039952909095998</v>
      </c>
      <c r="AI73">
        <v>52.555807924896001</v>
      </c>
      <c r="AJ73">
        <v>2.6756992154575001</v>
      </c>
      <c r="AK73">
        <v>0.62164480728137006</v>
      </c>
      <c r="AL73">
        <v>0.98818486482811996</v>
      </c>
      <c r="AM73">
        <v>0.59812801332278009</v>
      </c>
      <c r="AN73">
        <v>2.439336186642</v>
      </c>
      <c r="AO73">
        <v>0.6474631155813001</v>
      </c>
      <c r="AP73">
        <v>3.3457250044090001</v>
      </c>
      <c r="AQ73">
        <v>2.6085892690929002</v>
      </c>
      <c r="AS73">
        <v>133.83299255371</v>
      </c>
      <c r="AV73">
        <v>0.71663335906864001</v>
      </c>
      <c r="AX73">
        <v>56.119412210707004</v>
      </c>
      <c r="AY73">
        <v>-3.5086673456538001E-2</v>
      </c>
      <c r="AZ73">
        <v>5.4001170146117994E-2</v>
      </c>
      <c r="BA73">
        <v>-3.4098060955309005E-2</v>
      </c>
      <c r="BB73">
        <v>1.3800885444667E-2</v>
      </c>
      <c r="BC73">
        <v>1.7068400500090002E-3</v>
      </c>
      <c r="BD73">
        <v>3.2416122894733998E-4</v>
      </c>
      <c r="BE73">
        <f>(Table__150_diric[[#This Row],[F2]]+Table__150_diric_3[[#This Row],[F2]]+Table__150_diric_4[[#This Row],[F2]])/2</f>
        <v>-3.1876676031611997E-2</v>
      </c>
      <c r="BF73">
        <v>56.119412210707004</v>
      </c>
      <c r="BG73">
        <v>-1.1853961073547E-2</v>
      </c>
      <c r="BH73">
        <v>1.5814101673690999E-2</v>
      </c>
      <c r="BI73">
        <v>-3.5091229294508999E-3</v>
      </c>
      <c r="BJ73">
        <v>-2.7066313318637001E-4</v>
      </c>
      <c r="BK73">
        <v>1.8035453750593001E-4</v>
      </c>
      <c r="BM73">
        <v>56.119412210707004</v>
      </c>
      <c r="BN73">
        <v>-1.6812717533139E-2</v>
      </c>
      <c r="BO73">
        <v>1.8433985306453002E-2</v>
      </c>
      <c r="BP73">
        <v>-1.25848256917E-3</v>
      </c>
      <c r="BQ73">
        <v>-2.0104172203275002E-4</v>
      </c>
      <c r="BR73">
        <v>1.6174348211044E-4</v>
      </c>
    </row>
    <row r="74" spans="1:70" x14ac:dyDescent="0.25">
      <c r="A74">
        <v>0.36438563466072005</v>
      </c>
      <c r="B74" s="1">
        <v>1.0272570848464999</v>
      </c>
      <c r="C74" s="1">
        <v>1.9099534169400004E-18</v>
      </c>
      <c r="D74" s="1">
        <v>-5.8595556765795003E-4</v>
      </c>
      <c r="E74" s="1">
        <v>0.12639266252518</v>
      </c>
      <c r="G74">
        <v>54.299436160364998</v>
      </c>
      <c r="H74">
        <v>15.717371540884999</v>
      </c>
      <c r="I74">
        <v>13.375083867402999</v>
      </c>
      <c r="J74">
        <v>54.300695602055001</v>
      </c>
      <c r="K74">
        <v>15.710403195131999</v>
      </c>
      <c r="L74">
        <v>13.370192741280999</v>
      </c>
      <c r="M74">
        <v>-0.61837960786163004</v>
      </c>
      <c r="N74">
        <v>4.8475184468755005E-2</v>
      </c>
      <c r="O74">
        <v>5.4326165298143006E-2</v>
      </c>
      <c r="Q74">
        <v>0.36438563466072005</v>
      </c>
      <c r="R74">
        <v>1.1054373346269001E-2</v>
      </c>
      <c r="S74">
        <v>2.6415467727928998E-3</v>
      </c>
      <c r="T74">
        <v>4.1498504579066996E-3</v>
      </c>
      <c r="U74">
        <v>-2.5102978106587999E-3</v>
      </c>
      <c r="V74">
        <v>1.4475373318419001E-3</v>
      </c>
      <c r="W74">
        <v>-3.9411342004314005E-4</v>
      </c>
      <c r="X74">
        <v>2.8924306388944003E-4</v>
      </c>
      <c r="Z74">
        <v>54.299436160364998</v>
      </c>
      <c r="AA74">
        <v>2.5878296043</v>
      </c>
      <c r="AB74">
        <v>0.61838629161948999</v>
      </c>
      <c r="AC74">
        <v>0.97148029399725999</v>
      </c>
      <c r="AD74">
        <v>0.58766090003869997</v>
      </c>
      <c r="AE74">
        <v>2.3437171534562999</v>
      </c>
      <c r="AF74">
        <v>0.63811161387258997</v>
      </c>
      <c r="AG74">
        <v>3.2390097546927001</v>
      </c>
      <c r="AH74">
        <v>2.5486865676532999</v>
      </c>
      <c r="AI74">
        <v>54.300695602055001</v>
      </c>
      <c r="AJ74">
        <v>2.5828428812333</v>
      </c>
      <c r="AK74">
        <v>0.62037014250208</v>
      </c>
      <c r="AL74">
        <v>0.97575171905813995</v>
      </c>
      <c r="AM74">
        <v>0.58819269165038002</v>
      </c>
      <c r="AN74">
        <v>2.3436384271802</v>
      </c>
      <c r="AO74">
        <v>0.63853962170488998</v>
      </c>
      <c r="AP74">
        <v>3.2448220915296999</v>
      </c>
      <c r="AQ74">
        <v>2.5534045186993999</v>
      </c>
      <c r="AS74">
        <v>137.09399414063</v>
      </c>
      <c r="AV74">
        <v>0.68875888579203004</v>
      </c>
      <c r="AX74">
        <v>58.019091513479999</v>
      </c>
      <c r="AY74">
        <v>-3.2856554278160005E-2</v>
      </c>
      <c r="AZ74">
        <v>5.1143591255588004E-2</v>
      </c>
      <c r="BA74">
        <v>-3.2616234927276E-2</v>
      </c>
      <c r="BB74">
        <v>1.3100364471124001E-2</v>
      </c>
      <c r="BC74">
        <v>1.5333405277483001E-3</v>
      </c>
      <c r="BD74">
        <v>3.0450704902457002E-4</v>
      </c>
      <c r="BE74">
        <f>(Table__150_diric[[#This Row],[F2]]+Table__150_diric_3[[#This Row],[F2]]+Table__150_diric_4[[#This Row],[F2]])/2</f>
        <v>-3.0281402361938502E-2</v>
      </c>
      <c r="BF74">
        <v>58.019091513479999</v>
      </c>
      <c r="BG74">
        <v>-1.1502178179603998E-2</v>
      </c>
      <c r="BH74">
        <v>1.4938310885699E-2</v>
      </c>
      <c r="BI74">
        <v>-3.0302832126464E-3</v>
      </c>
      <c r="BJ74">
        <v>-2.3336982297834E-4</v>
      </c>
      <c r="BK74">
        <v>1.7247967046976002E-4</v>
      </c>
      <c r="BM74">
        <v>58.019091513479999</v>
      </c>
      <c r="BN74">
        <v>-1.6204072266113E-2</v>
      </c>
      <c r="BO74">
        <v>1.7672990305322999E-2</v>
      </c>
      <c r="BP74">
        <v>-1.1390868688699999E-3</v>
      </c>
      <c r="BQ74">
        <v>-1.7445397580990001E-4</v>
      </c>
      <c r="BR74">
        <v>1.5537719452977E-4</v>
      </c>
    </row>
    <row r="75" spans="1:70" x14ac:dyDescent="0.25">
      <c r="A75">
        <v>0.37659889459610002</v>
      </c>
      <c r="B75" s="1">
        <v>1.0329209566116</v>
      </c>
      <c r="C75" s="1">
        <v>-3.1269280039077E-18</v>
      </c>
      <c r="D75" s="1">
        <v>-6.2177289510146E-4</v>
      </c>
      <c r="E75" s="1">
        <v>0.12730865180492001</v>
      </c>
      <c r="G75">
        <v>56.119412210707004</v>
      </c>
      <c r="H75">
        <v>15.804030643271002</v>
      </c>
      <c r="I75">
        <v>13.472015391698001</v>
      </c>
      <c r="J75">
        <v>56.120727337881</v>
      </c>
      <c r="K75">
        <v>15.796454746033</v>
      </c>
      <c r="L75">
        <v>13.466685683296999</v>
      </c>
      <c r="M75">
        <v>-0.61594558900836005</v>
      </c>
      <c r="N75">
        <v>4.6783454692028999E-2</v>
      </c>
      <c r="O75">
        <v>5.2220193702802002E-2</v>
      </c>
      <c r="Q75">
        <v>0.37659889459610002</v>
      </c>
      <c r="R75">
        <v>1.0665020905435E-2</v>
      </c>
      <c r="S75">
        <v>2.6310971006751E-3</v>
      </c>
      <c r="T75">
        <v>4.0918760932982003E-3</v>
      </c>
      <c r="U75">
        <v>-2.4653542786837001E-3</v>
      </c>
      <c r="V75">
        <v>1.3891444541514E-3</v>
      </c>
      <c r="W75">
        <v>-3.8817632594146002E-4</v>
      </c>
      <c r="X75">
        <v>2.8017972363159001E-4</v>
      </c>
      <c r="Z75">
        <v>56.119412210707004</v>
      </c>
      <c r="AA75">
        <v>2.4966821695847998</v>
      </c>
      <c r="AB75">
        <v>0.61594002261674996</v>
      </c>
      <c r="AC75">
        <v>0.95790849102617015</v>
      </c>
      <c r="AD75">
        <v>0.57713961593477003</v>
      </c>
      <c r="AE75">
        <v>2.2491728635977002</v>
      </c>
      <c r="AF75">
        <v>0.62849882601441009</v>
      </c>
      <c r="AG75">
        <v>3.1375164047380002</v>
      </c>
      <c r="AH75">
        <v>2.4905168746220001</v>
      </c>
      <c r="AI75">
        <v>56.120727337881</v>
      </c>
      <c r="AJ75">
        <v>2.4920969083317002</v>
      </c>
      <c r="AK75">
        <v>0.61803468323870003</v>
      </c>
      <c r="AL75">
        <v>0.96210075527694006</v>
      </c>
      <c r="AM75">
        <v>0.57765020507263998</v>
      </c>
      <c r="AN75">
        <v>2.2492582944881998</v>
      </c>
      <c r="AO75">
        <v>0.62892242665877007</v>
      </c>
      <c r="AP75">
        <v>3.1433521543922001</v>
      </c>
      <c r="AQ75">
        <v>2.4953153377774999</v>
      </c>
      <c r="AS75">
        <v>140.36099243164</v>
      </c>
      <c r="AV75">
        <v>0.66671801118364005</v>
      </c>
      <c r="AX75">
        <v>60.003279268389996</v>
      </c>
      <c r="AY75">
        <v>-3.0737711861763998E-2</v>
      </c>
      <c r="AZ75">
        <v>4.8386390411797001E-2</v>
      </c>
      <c r="BA75">
        <v>-3.1120893385804E-2</v>
      </c>
      <c r="BB75">
        <v>1.2385492680019001E-2</v>
      </c>
      <c r="BC75">
        <v>1.3728724620258E-3</v>
      </c>
      <c r="BD75">
        <v>2.8615030627364999E-4</v>
      </c>
      <c r="BE75">
        <f>(Table__150_diric[[#This Row],[F2]]+Table__150_diric_3[[#This Row],[F2]]+Table__150_diric_4[[#This Row],[F2]])/2</f>
        <v>-2.8734560172747503E-2</v>
      </c>
      <c r="BF75">
        <v>60.003279268389996</v>
      </c>
      <c r="BG75">
        <v>-1.1138933553750001E-2</v>
      </c>
      <c r="BH75">
        <v>1.4056553433010001E-2</v>
      </c>
      <c r="BI75">
        <v>-2.5549359099536002E-3</v>
      </c>
      <c r="BJ75">
        <v>-1.9814123924512004E-4</v>
      </c>
      <c r="BK75">
        <v>1.6454273006035001E-4</v>
      </c>
      <c r="BM75">
        <v>60.003279268389996</v>
      </c>
      <c r="BN75">
        <v>-1.5592474929981002E-2</v>
      </c>
      <c r="BO75">
        <v>1.6900772454679001E-2</v>
      </c>
      <c r="BP75">
        <v>-1.0154678489841E-3</v>
      </c>
      <c r="BQ75">
        <v>-1.4411237600474999E-4</v>
      </c>
      <c r="BR75">
        <v>1.4871729970909002E-4</v>
      </c>
    </row>
    <row r="76" spans="1:70" x14ac:dyDescent="0.25">
      <c r="A76">
        <v>0.38934701681137002</v>
      </c>
      <c r="B76" s="1">
        <v>1.0386284589767001</v>
      </c>
      <c r="C76" s="1">
        <v>-2.5275463146068002E-18</v>
      </c>
      <c r="D76" s="1">
        <v>-6.5865897340700009E-4</v>
      </c>
      <c r="E76" s="1">
        <v>0.12822757661343001</v>
      </c>
      <c r="G76">
        <v>58.019091513479999</v>
      </c>
      <c r="H76">
        <v>15.891357308198998</v>
      </c>
      <c r="I76">
        <v>13.569257558577</v>
      </c>
      <c r="J76">
        <v>58.020433093356004</v>
      </c>
      <c r="K76">
        <v>15.883181139533001</v>
      </c>
      <c r="L76">
        <v>13.563472075177</v>
      </c>
      <c r="M76">
        <v>-0.61244998705480003</v>
      </c>
      <c r="N76">
        <v>4.5180306215243E-2</v>
      </c>
      <c r="O76">
        <v>5.0182919138394004E-2</v>
      </c>
      <c r="Q76">
        <v>0.38934701681137002</v>
      </c>
      <c r="R76">
        <v>1.0284361429513E-2</v>
      </c>
      <c r="S76">
        <v>2.6161086279899003E-3</v>
      </c>
      <c r="T76">
        <v>4.0283324196935004E-3</v>
      </c>
      <c r="U76">
        <v>-2.4177450686693001E-3</v>
      </c>
      <c r="V76">
        <v>1.3316061813384002E-3</v>
      </c>
      <c r="W76">
        <v>-3.8179420516826001E-4</v>
      </c>
      <c r="X76">
        <v>2.7107045752927997E-4</v>
      </c>
      <c r="Z76">
        <v>58.019091513479999</v>
      </c>
      <c r="AA76">
        <v>2.4075697585875</v>
      </c>
      <c r="AB76">
        <v>0.61243122007109008</v>
      </c>
      <c r="AC76">
        <v>0.94303291241403997</v>
      </c>
      <c r="AD76">
        <v>0.56599429640799004</v>
      </c>
      <c r="AE76">
        <v>2.1560122700809998</v>
      </c>
      <c r="AF76">
        <v>0.61816549256419007</v>
      </c>
      <c r="AG76">
        <v>3.0355087667095</v>
      </c>
      <c r="AH76">
        <v>2.4295362174680002</v>
      </c>
      <c r="AI76">
        <v>58.020433093356004</v>
      </c>
      <c r="AJ76">
        <v>2.4034453818379999</v>
      </c>
      <c r="AK76">
        <v>0.61462807389590002</v>
      </c>
      <c r="AL76">
        <v>0.94724647131798001</v>
      </c>
      <c r="AM76">
        <v>0.56648082345529005</v>
      </c>
      <c r="AN76">
        <v>2.1562269046983999</v>
      </c>
      <c r="AO76">
        <v>0.61857739698862002</v>
      </c>
      <c r="AP76">
        <v>3.0413432505835001</v>
      </c>
      <c r="AQ76">
        <v>2.4343394072880002</v>
      </c>
      <c r="AS76">
        <v>143.63200378418</v>
      </c>
      <c r="AV76">
        <v>0.6508003616311</v>
      </c>
      <c r="AX76">
        <v>62.077020491025003</v>
      </c>
      <c r="AY76">
        <v>-2.8724754031317003E-2</v>
      </c>
      <c r="AZ76">
        <v>4.5715131083161997E-2</v>
      </c>
      <c r="BA76">
        <v>-2.9617692843796003E-2</v>
      </c>
      <c r="BB76">
        <v>1.1670952327165002E-2</v>
      </c>
      <c r="BC76">
        <v>1.2245695067046002E-3</v>
      </c>
      <c r="BD76">
        <v>2.6820604191862997E-4</v>
      </c>
      <c r="BE76">
        <f>(Table__150_diric[[#This Row],[F2]]+Table__150_diric_3[[#This Row],[F2]]+Table__150_diric_4[[#This Row],[F2]])/2</f>
        <v>-2.7234175919756999E-2</v>
      </c>
      <c r="BF76">
        <v>62.077020491025003</v>
      </c>
      <c r="BG76">
        <v>-1.0765389832397E-2</v>
      </c>
      <c r="BH76">
        <v>1.3175546083118E-2</v>
      </c>
      <c r="BI76">
        <v>-2.0879771973958999E-3</v>
      </c>
      <c r="BJ76">
        <v>-1.6594930483087003E-4</v>
      </c>
      <c r="BK76">
        <v>1.5622974849417002E-4</v>
      </c>
      <c r="BM76">
        <v>62.077020491025003</v>
      </c>
      <c r="BN76">
        <v>-1.49782079758E-2</v>
      </c>
      <c r="BO76">
        <v>1.6119848492871E-2</v>
      </c>
      <c r="BP76">
        <v>-8.8877545038523005E-4</v>
      </c>
      <c r="BQ76">
        <v>-1.1100049109007E-4</v>
      </c>
      <c r="BR76">
        <v>1.4186457559601999E-4</v>
      </c>
    </row>
    <row r="77" spans="1:70" x14ac:dyDescent="0.25">
      <c r="A77">
        <v>0.40266224741935996</v>
      </c>
      <c r="B77" s="1">
        <v>1.0443871021271001</v>
      </c>
      <c r="C77" s="1">
        <v>-2.2879418696523001E-18</v>
      </c>
      <c r="D77" s="1">
        <v>-6.9636665284634005E-4</v>
      </c>
      <c r="E77" s="1">
        <v>0.12914976477623</v>
      </c>
      <c r="G77">
        <v>60.003279268389996</v>
      </c>
      <c r="H77">
        <v>15.979466443975001</v>
      </c>
      <c r="I77">
        <v>13.666845059090001</v>
      </c>
      <c r="J77">
        <v>60.004680355969995</v>
      </c>
      <c r="K77">
        <v>15.970704576859999</v>
      </c>
      <c r="L77">
        <v>13.660603980609</v>
      </c>
      <c r="M77">
        <v>-0.60790046686089005</v>
      </c>
      <c r="N77">
        <v>4.3653921764802997E-2</v>
      </c>
      <c r="O77">
        <v>4.8205855012659005E-2</v>
      </c>
      <c r="Q77">
        <v>0.40266224741935996</v>
      </c>
      <c r="R77">
        <v>9.9119944497942994E-3</v>
      </c>
      <c r="S77">
        <v>2.5966162793338004E-3</v>
      </c>
      <c r="T77">
        <v>3.9591011591256003E-3</v>
      </c>
      <c r="U77">
        <v>-2.3673824034631001E-3</v>
      </c>
      <c r="V77">
        <v>1.2749106390402001E-3</v>
      </c>
      <c r="W77">
        <v>-3.7494959542528001E-4</v>
      </c>
      <c r="X77">
        <v>2.6191532379016004E-4</v>
      </c>
      <c r="Z77">
        <v>60.003279268389996</v>
      </c>
      <c r="AA77">
        <v>2.3203986215548</v>
      </c>
      <c r="AB77">
        <v>0.60786805983310999</v>
      </c>
      <c r="AC77">
        <v>0.92682586928019006</v>
      </c>
      <c r="AD77">
        <v>0.55420439282055001</v>
      </c>
      <c r="AE77">
        <v>2.0642161470478002</v>
      </c>
      <c r="AF77">
        <v>0.60708334020067012</v>
      </c>
      <c r="AG77">
        <v>2.9329874924297998</v>
      </c>
      <c r="AH77">
        <v>2.3657947919792002</v>
      </c>
      <c r="AI77">
        <v>60.004680355969995</v>
      </c>
      <c r="AJ77">
        <v>2.3168333625936</v>
      </c>
      <c r="AK77">
        <v>0.61014535468855002</v>
      </c>
      <c r="AL77">
        <v>0.93119856873899998</v>
      </c>
      <c r="AM77">
        <v>0.55466132846352001</v>
      </c>
      <c r="AN77">
        <v>2.0645421834020001</v>
      </c>
      <c r="AO77">
        <v>0.60746785337473996</v>
      </c>
      <c r="AP77">
        <v>2.9387979901115999</v>
      </c>
      <c r="AQ77">
        <v>2.3705183630421001</v>
      </c>
      <c r="AS77">
        <v>146.90699768066</v>
      </c>
      <c r="AV77">
        <v>0.64117978056915004</v>
      </c>
      <c r="AX77">
        <v>64.245591130786991</v>
      </c>
      <c r="AY77">
        <v>-2.6811094398919998E-2</v>
      </c>
      <c r="AZ77">
        <v>4.3118736113010002E-2</v>
      </c>
      <c r="BA77">
        <v>-2.8112415514442001E-2</v>
      </c>
      <c r="BB77">
        <v>1.0970468767585999E-2</v>
      </c>
      <c r="BC77">
        <v>1.0866624998556E-3</v>
      </c>
      <c r="BD77">
        <v>2.5235746708976003E-4</v>
      </c>
      <c r="BE77">
        <f>(Table__150_diric[[#This Row],[F2]]+Table__150_diric_3[[#This Row],[F2]]+Table__150_diric_4[[#This Row],[F2]])/2</f>
        <v>-2.57773885685595E-2</v>
      </c>
      <c r="BF77">
        <v>64.245591130786991</v>
      </c>
      <c r="BG77">
        <v>-1.0382926595733E-2</v>
      </c>
      <c r="BH77">
        <v>1.2300719908197E-2</v>
      </c>
      <c r="BI77">
        <v>-1.6330338227154E-3</v>
      </c>
      <c r="BJ77">
        <v>-1.3675885987422001E-4</v>
      </c>
      <c r="BK77">
        <v>1.4800062987436999E-4</v>
      </c>
      <c r="BM77">
        <v>64.245591130786991</v>
      </c>
      <c r="BN77">
        <v>-1.4360756142466E-2</v>
      </c>
      <c r="BO77">
        <v>1.5333186039713001E-2</v>
      </c>
      <c r="BP77">
        <v>-7.5684933648581011E-4</v>
      </c>
      <c r="BQ77">
        <v>-8.0980505813985993E-5</v>
      </c>
      <c r="BR77">
        <v>1.3460005494695E-4</v>
      </c>
    </row>
    <row r="78" spans="1:70" x14ac:dyDescent="0.25">
      <c r="A78">
        <v>0.41657844185829007</v>
      </c>
      <c r="B78" s="1">
        <v>1.0502033233643</v>
      </c>
      <c r="C78" s="1">
        <v>4.0170537523535001E-19</v>
      </c>
      <c r="D78" s="1">
        <v>-7.3438428808004E-4</v>
      </c>
      <c r="E78" s="1">
        <v>0.13007533550262002</v>
      </c>
      <c r="G78">
        <v>62.077020491025003</v>
      </c>
      <c r="H78">
        <v>16.068456543431999</v>
      </c>
      <c r="I78">
        <v>13.764790508163999</v>
      </c>
      <c r="J78">
        <v>62.078460965079003</v>
      </c>
      <c r="K78">
        <v>16.059143611443002</v>
      </c>
      <c r="L78">
        <v>13.758120841778002</v>
      </c>
      <c r="M78">
        <v>-0.60231235814649009</v>
      </c>
      <c r="N78">
        <v>4.2192294380721002E-2</v>
      </c>
      <c r="O78">
        <v>4.6278342276107998E-2</v>
      </c>
      <c r="Q78">
        <v>0.41657844185829007</v>
      </c>
      <c r="R78">
        <v>9.5474831759930004E-3</v>
      </c>
      <c r="S78">
        <v>2.5726845487952003E-3</v>
      </c>
      <c r="T78">
        <v>3.8841662462801001E-3</v>
      </c>
      <c r="U78">
        <v>-2.3141701240093002E-3</v>
      </c>
      <c r="V78">
        <v>1.2190432753414E-3</v>
      </c>
      <c r="W78">
        <v>-3.6762445233761999E-4</v>
      </c>
      <c r="X78">
        <v>2.5271554477513005E-4</v>
      </c>
      <c r="Z78">
        <v>62.077020491025003</v>
      </c>
      <c r="AA78">
        <v>2.2350665058485002</v>
      </c>
      <c r="AB78">
        <v>0.60226563997357008</v>
      </c>
      <c r="AC78">
        <v>0.90928360073336012</v>
      </c>
      <c r="AD78">
        <v>0.54174739433049002</v>
      </c>
      <c r="AE78">
        <v>1.9737609333970001</v>
      </c>
      <c r="AF78">
        <v>0.59522315315857999</v>
      </c>
      <c r="AG78">
        <v>2.8299662701747001</v>
      </c>
      <c r="AH78">
        <v>2.2993534415349002</v>
      </c>
      <c r="AI78">
        <v>62.078460965079003</v>
      </c>
      <c r="AJ78">
        <v>2.2321415977429</v>
      </c>
      <c r="AK78">
        <v>0.60458865123883998</v>
      </c>
      <c r="AL78">
        <v>0.91394925359193013</v>
      </c>
      <c r="AM78">
        <v>0.54216566759961005</v>
      </c>
      <c r="AN78">
        <v>1.9741711286404</v>
      </c>
      <c r="AO78">
        <v>0.59555867230404003</v>
      </c>
      <c r="AP78">
        <v>2.8357026704341002</v>
      </c>
      <c r="AQ78">
        <v>2.3039138032259001</v>
      </c>
      <c r="AS78">
        <v>150.18299865723003</v>
      </c>
      <c r="AV78">
        <v>0.63796163994540001</v>
      </c>
      <c r="AX78">
        <v>66.514458101572998</v>
      </c>
      <c r="AY78">
        <v>-2.4994375802113E-2</v>
      </c>
      <c r="AZ78">
        <v>4.0586388221031999E-2</v>
      </c>
      <c r="BA78">
        <v>-2.6610021093838001E-2</v>
      </c>
      <c r="BB78">
        <v>1.0293160037227E-2</v>
      </c>
      <c r="BC78">
        <v>9.6134019964845996E-4</v>
      </c>
      <c r="BD78">
        <v>2.3649156195665002E-4</v>
      </c>
      <c r="BE78">
        <f>(Table__150_diric[[#This Row],[F2]]+Table__150_diric_3[[#This Row],[F2]]+Table__150_diric_4[[#This Row],[F2]])/2</f>
        <v>-2.43634242849467E-2</v>
      </c>
      <c r="BF78">
        <v>66.514458101572998</v>
      </c>
      <c r="BG78">
        <v>-9.9930759600814004E-3</v>
      </c>
      <c r="BH78">
        <v>1.1436734016698001E-2</v>
      </c>
      <c r="BI78">
        <v>-1.1932134892226002E-3</v>
      </c>
      <c r="BJ78">
        <v>-1.1095839048426E-4</v>
      </c>
      <c r="BK78">
        <v>1.3948617691009001E-4</v>
      </c>
      <c r="BM78">
        <v>66.514458101572998</v>
      </c>
      <c r="BN78">
        <v>-1.3739396807699001E-2</v>
      </c>
      <c r="BO78">
        <v>1.4543729487790001E-2</v>
      </c>
      <c r="BP78">
        <v>-6.1789448651519002E-4</v>
      </c>
      <c r="BQ78">
        <v>-5.8804959440071006E-5</v>
      </c>
      <c r="BR78">
        <v>1.2763323413492999E-4</v>
      </c>
    </row>
    <row r="79" spans="1:70" x14ac:dyDescent="0.25">
      <c r="A79">
        <v>0.43113100528716997</v>
      </c>
      <c r="B79" s="1">
        <v>1.0560823678969999</v>
      </c>
      <c r="C79" s="1">
        <v>-2.3022355506371999E-18</v>
      </c>
      <c r="D79" s="1">
        <v>-7.7192432945593996E-4</v>
      </c>
      <c r="E79" s="1">
        <v>0.13100418448448001</v>
      </c>
      <c r="G79">
        <v>64.245591130786991</v>
      </c>
      <c r="H79">
        <v>16.158407859992</v>
      </c>
      <c r="I79">
        <v>13.863082867739001</v>
      </c>
      <c r="J79">
        <v>64.247086521994007</v>
      </c>
      <c r="K79">
        <v>16.14860220552</v>
      </c>
      <c r="L79">
        <v>13.856049479372</v>
      </c>
      <c r="M79">
        <v>-0.59570610053807005</v>
      </c>
      <c r="N79">
        <v>4.0785900448943001E-2</v>
      </c>
      <c r="O79">
        <v>4.4394586914926995E-2</v>
      </c>
      <c r="Q79">
        <v>0.43113100528716997</v>
      </c>
      <c r="R79">
        <v>9.1903517022729007E-3</v>
      </c>
      <c r="S79">
        <v>2.5444000493735001E-3</v>
      </c>
      <c r="T79">
        <v>3.8036252371966999E-3</v>
      </c>
      <c r="U79">
        <v>-2.2580025251954998E-3</v>
      </c>
      <c r="V79">
        <v>1.1639859294519E-3</v>
      </c>
      <c r="W79">
        <v>-3.5979764652438001E-4</v>
      </c>
      <c r="X79">
        <v>2.4347311409655999E-4</v>
      </c>
      <c r="Z79">
        <v>64.245591130786991</v>
      </c>
      <c r="AA79">
        <v>2.151462001878</v>
      </c>
      <c r="AB79">
        <v>0.59564423660193</v>
      </c>
      <c r="AC79">
        <v>0.89042894464952005</v>
      </c>
      <c r="AD79">
        <v>0.52859855536335998</v>
      </c>
      <c r="AE79">
        <v>1.8846172248746</v>
      </c>
      <c r="AF79">
        <v>0.58255072071919001</v>
      </c>
      <c r="AG79">
        <v>2.72646742487</v>
      </c>
      <c r="AH79">
        <v>2.2302872696813001</v>
      </c>
      <c r="AI79">
        <v>64.247086521994007</v>
      </c>
      <c r="AJ79">
        <v>2.149198511422</v>
      </c>
      <c r="AK79">
        <v>0.59796810112957</v>
      </c>
      <c r="AL79">
        <v>0.89547999481143004</v>
      </c>
      <c r="AM79">
        <v>0.52896735234074999</v>
      </c>
      <c r="AN79">
        <v>1.8850692349152001</v>
      </c>
      <c r="AO79">
        <v>0.58281840762456005</v>
      </c>
      <c r="AP79">
        <v>2.7320553340449001</v>
      </c>
      <c r="AQ79">
        <v>2.2345962615651001</v>
      </c>
      <c r="AX79">
        <v>68.889257076607009</v>
      </c>
      <c r="AY79">
        <v>-2.3273738948751E-2</v>
      </c>
      <c r="AZ79">
        <v>3.8110033847862004E-2</v>
      </c>
      <c r="BA79">
        <v>-2.5115023861847E-2</v>
      </c>
      <c r="BB79">
        <v>9.6486557843300999E-3</v>
      </c>
      <c r="BC79">
        <v>8.5158979952243007E-4</v>
      </c>
      <c r="BD79">
        <v>2.2151662111589003E-4</v>
      </c>
      <c r="BE79">
        <f>(Table__150_diric[[#This Row],[F2]]+Table__150_diric_3[[#This Row],[F2]]+Table__150_diric_4[[#This Row],[F2]])/2</f>
        <v>-2.2993350507700999E-2</v>
      </c>
      <c r="BF79">
        <v>68.889257076607009</v>
      </c>
      <c r="BG79">
        <v>-9.5975398580050008E-3</v>
      </c>
      <c r="BH79">
        <v>1.0587120996573001E-2</v>
      </c>
      <c r="BI79">
        <v>-7.7108115347281005E-4</v>
      </c>
      <c r="BJ79">
        <v>-8.7504107817727017E-5</v>
      </c>
      <c r="BK79">
        <v>1.3099587727771999E-4</v>
      </c>
      <c r="BM79">
        <v>68.889257076607009</v>
      </c>
      <c r="BN79">
        <v>-1.3115422208646E-2</v>
      </c>
      <c r="BO79">
        <v>1.3752847877181E-2</v>
      </c>
      <c r="BP79">
        <v>-4.7400614055341999E-4</v>
      </c>
      <c r="BQ79">
        <v>-4.3196348513678004E-5</v>
      </c>
      <c r="BR79">
        <v>1.2022317946730002E-4</v>
      </c>
    </row>
    <row r="80" spans="1:70" x14ac:dyDescent="0.25">
      <c r="A80">
        <v>0.44635662436485002</v>
      </c>
      <c r="B80" s="1">
        <v>1.0620282888412</v>
      </c>
      <c r="C80" s="1">
        <v>-2.6046263128070001E-18</v>
      </c>
      <c r="D80" s="1">
        <v>-8.0792332300916E-4</v>
      </c>
      <c r="E80" s="1">
        <v>0.13193601369858002</v>
      </c>
      <c r="G80">
        <v>66.514458101572998</v>
      </c>
      <c r="H80">
        <v>16.249382407660001</v>
      </c>
      <c r="I80">
        <v>13.961690600495</v>
      </c>
      <c r="J80">
        <v>66.516010744449005</v>
      </c>
      <c r="K80">
        <v>16.239167906239999</v>
      </c>
      <c r="L80">
        <v>13.954385160326</v>
      </c>
      <c r="M80">
        <v>-0.58810554026653994</v>
      </c>
      <c r="N80">
        <v>3.9424932162623001E-2</v>
      </c>
      <c r="O80">
        <v>4.2547094703089997E-2</v>
      </c>
      <c r="Q80">
        <v>0.44635662436485002</v>
      </c>
      <c r="R80">
        <v>8.8400579988956018E-3</v>
      </c>
      <c r="S80">
        <v>2.5118666235358004E-3</v>
      </c>
      <c r="T80">
        <v>3.7176106125116001E-3</v>
      </c>
      <c r="U80">
        <v>-2.1987603977322999E-3</v>
      </c>
      <c r="V80">
        <v>1.1097214883193001E-3</v>
      </c>
      <c r="W80">
        <v>-3.5144455614500003E-4</v>
      </c>
      <c r="X80">
        <v>2.3419033095706002E-4</v>
      </c>
      <c r="Z80">
        <v>66.514458101572998</v>
      </c>
      <c r="AA80">
        <v>2.0694582204419998</v>
      </c>
      <c r="AB80">
        <v>0.58802815924729002</v>
      </c>
      <c r="AC80">
        <v>0.87029291475527004</v>
      </c>
      <c r="AD80">
        <v>0.51472996901577994</v>
      </c>
      <c r="AE80">
        <v>1.7967573136257</v>
      </c>
      <c r="AF80">
        <v>0.56902617749955009</v>
      </c>
      <c r="AG80">
        <v>2.6225167035105001</v>
      </c>
      <c r="AH80">
        <v>2.1586734714558999</v>
      </c>
      <c r="AI80">
        <v>66.516010744449005</v>
      </c>
      <c r="AJ80">
        <v>2.0678266414289999</v>
      </c>
      <c r="AK80">
        <v>0.59030392502322004</v>
      </c>
      <c r="AL80">
        <v>0.87577128027578</v>
      </c>
      <c r="AM80">
        <v>0.51504131124561003</v>
      </c>
      <c r="AN80">
        <v>1.7972085919984</v>
      </c>
      <c r="AO80">
        <v>0.56921731042790003</v>
      </c>
      <c r="AP80">
        <v>2.6278890954217</v>
      </c>
      <c r="AQ80">
        <v>2.1626448270888998</v>
      </c>
      <c r="AX80">
        <v>71.375765842226997</v>
      </c>
      <c r="AY80">
        <v>-2.1645499407758E-2</v>
      </c>
      <c r="AZ80">
        <v>3.5684079777384005E-2</v>
      </c>
      <c r="BA80">
        <v>-2.3632361653645999E-2</v>
      </c>
      <c r="BB80">
        <v>9.0498323819711013E-3</v>
      </c>
      <c r="BC80">
        <v>7.5029888523520008E-4</v>
      </c>
      <c r="BD80">
        <v>2.0634998318580001E-4</v>
      </c>
      <c r="BE80">
        <f>(Table__150_diric[[#This Row],[F2]]+Table__150_diric_3[[#This Row],[F2]]+Table__150_diric_4[[#This Row],[F2]])/2</f>
        <v>-2.1668141205982649E-2</v>
      </c>
      <c r="BF80">
        <v>71.375765842226997</v>
      </c>
      <c r="BG80">
        <v>-9.1980375021623005E-3</v>
      </c>
      <c r="BH80">
        <v>9.753533396699399E-3</v>
      </c>
      <c r="BI80">
        <v>-3.6746245085456E-4</v>
      </c>
      <c r="BJ80">
        <v>-6.5729158977372005E-5</v>
      </c>
      <c r="BK80">
        <v>1.2230428470517E-4</v>
      </c>
      <c r="BM80">
        <v>71.375765842226997</v>
      </c>
      <c r="BN80">
        <v>-1.2492745502045001E-2</v>
      </c>
      <c r="BO80">
        <v>1.2959674968954001E-2</v>
      </c>
      <c r="BP80">
        <v>-3.2973561909236006E-4</v>
      </c>
      <c r="BQ80">
        <v>-2.3869161912696E-5</v>
      </c>
      <c r="BR80">
        <v>1.1332468590402001E-4</v>
      </c>
    </row>
    <row r="81" spans="1:70" x14ac:dyDescent="0.25">
      <c r="A81">
        <v>0.46229311823844998</v>
      </c>
      <c r="B81" s="1">
        <v>1.068043589592</v>
      </c>
      <c r="C81" s="1">
        <v>2.1501931366050002E-18</v>
      </c>
      <c r="D81" s="1">
        <v>-8.4101955872029001E-4</v>
      </c>
      <c r="E81" s="1">
        <v>0.13287025690078999</v>
      </c>
      <c r="G81">
        <v>68.889257076607009</v>
      </c>
      <c r="H81">
        <v>16.341418489205999</v>
      </c>
      <c r="I81">
        <v>14.060553785528001</v>
      </c>
      <c r="J81">
        <v>68.890864995703993</v>
      </c>
      <c r="K81">
        <v>16.330902726166002</v>
      </c>
      <c r="L81">
        <v>14.053086864769</v>
      </c>
      <c r="M81">
        <v>-0.57953878181828999</v>
      </c>
      <c r="N81">
        <v>3.8101608282584999E-2</v>
      </c>
      <c r="O81">
        <v>4.0732659947620001E-2</v>
      </c>
      <c r="Q81">
        <v>0.46229311823844998</v>
      </c>
      <c r="R81">
        <v>8.4960563108325005E-3</v>
      </c>
      <c r="S81">
        <v>2.4752030149101998E-3</v>
      </c>
      <c r="T81">
        <v>3.6261836066842001E-3</v>
      </c>
      <c r="U81">
        <v>-2.1363110281526999E-3</v>
      </c>
      <c r="V81">
        <v>1.0562429670244E-3</v>
      </c>
      <c r="W81">
        <v>-3.4253834746778006E-4</v>
      </c>
      <c r="X81">
        <v>2.2487099340651E-4</v>
      </c>
      <c r="Z81">
        <v>68.889257076607009</v>
      </c>
      <c r="AA81">
        <v>1.9889274002485999</v>
      </c>
      <c r="AB81">
        <v>0.57944520580166003</v>
      </c>
      <c r="AC81">
        <v>0.84888984604196005</v>
      </c>
      <c r="AD81">
        <v>0.50011056705553003</v>
      </c>
      <c r="AE81">
        <v>1.7101698903217999</v>
      </c>
      <c r="AF81">
        <v>0.55460607682933005</v>
      </c>
      <c r="AG81">
        <v>2.5181566375245001</v>
      </c>
      <c r="AH81">
        <v>2.0845715592891998</v>
      </c>
      <c r="AI81">
        <v>68.890864995703993</v>
      </c>
      <c r="AJ81">
        <v>1.9878794833413</v>
      </c>
      <c r="AK81">
        <v>0.58162877029665006</v>
      </c>
      <c r="AL81">
        <v>0.85480654103243003</v>
      </c>
      <c r="AM81">
        <v>0.50036350843238009</v>
      </c>
      <c r="AN81">
        <v>1.7105997605168999</v>
      </c>
      <c r="AO81">
        <v>0.55472214302718004</v>
      </c>
      <c r="AP81">
        <v>2.5232664316331999</v>
      </c>
      <c r="AQ81">
        <v>2.0881657756804</v>
      </c>
      <c r="AX81">
        <v>73.979802154085007</v>
      </c>
      <c r="AY81">
        <v>-2.0105354120547002E-2</v>
      </c>
      <c r="AZ81">
        <v>3.3300784417329997E-2</v>
      </c>
      <c r="BA81">
        <v>-2.2166377960665E-2</v>
      </c>
      <c r="BB81">
        <v>8.5038087458310999E-3</v>
      </c>
      <c r="BC81">
        <v>6.605460223903601E-4</v>
      </c>
      <c r="BD81">
        <v>1.9340710434001001E-4</v>
      </c>
      <c r="BE81">
        <f>(Table__150_diric[[#This Row],[F2]]+Table__150_diric_3[[#This Row],[F2]]+Table__150_diric_4[[#This Row],[F2]])/2</f>
        <v>-2.0387263053129202E-2</v>
      </c>
      <c r="BF81">
        <v>73.979802154085007</v>
      </c>
      <c r="BG81">
        <v>-8.7961704434544007E-3</v>
      </c>
      <c r="BH81">
        <v>8.9363531000134014E-3</v>
      </c>
      <c r="BI81">
        <v>1.8449575067884004E-5</v>
      </c>
      <c r="BJ81">
        <v>-4.5110564941959004E-5</v>
      </c>
      <c r="BK81">
        <v>1.1352166668485E-4</v>
      </c>
      <c r="BM81">
        <v>73.979802154085007</v>
      </c>
      <c r="BN81">
        <v>-1.1873001542257001E-2</v>
      </c>
      <c r="BO81">
        <v>1.2163150508516001E-2</v>
      </c>
      <c r="BP81">
        <v>-1.8381238794610999E-4</v>
      </c>
      <c r="BQ81">
        <v>-9.5404033330161001E-8</v>
      </c>
      <c r="BR81">
        <v>1.062411742798E-4</v>
      </c>
    </row>
    <row r="82" spans="1:70" x14ac:dyDescent="0.25">
      <c r="A82">
        <v>0.47897925972939004</v>
      </c>
      <c r="B82" s="1">
        <v>1.0741294622421</v>
      </c>
      <c r="C82" s="1">
        <v>1.4885545256810001E-18</v>
      </c>
      <c r="D82" s="1">
        <v>-8.6958141764626005E-4</v>
      </c>
      <c r="E82" s="1">
        <v>0.13380616903305001</v>
      </c>
      <c r="G82">
        <v>71.375765842226997</v>
      </c>
      <c r="H82">
        <v>16.434534344043001</v>
      </c>
      <c r="I82">
        <v>14.159593579544001</v>
      </c>
      <c r="J82">
        <v>71.377422755444996</v>
      </c>
      <c r="K82">
        <v>16.423834023782</v>
      </c>
      <c r="L82">
        <v>14.152074130639999</v>
      </c>
      <c r="M82">
        <v>-0.5700407428885701</v>
      </c>
      <c r="N82">
        <v>3.680981288363E-2</v>
      </c>
      <c r="O82">
        <v>3.8946612413094002E-2</v>
      </c>
      <c r="Q82">
        <v>0.47897925972939004</v>
      </c>
      <c r="R82">
        <v>8.1578399986029018E-3</v>
      </c>
      <c r="S82">
        <v>2.4345587007701002E-3</v>
      </c>
      <c r="T82">
        <v>3.5293565597384999E-3</v>
      </c>
      <c r="U82">
        <v>-2.0705196075141001E-3</v>
      </c>
      <c r="V82">
        <v>1.0035537416115E-3</v>
      </c>
      <c r="W82">
        <v>-3.3305128454231002E-4</v>
      </c>
      <c r="X82">
        <v>2.1552103862632001E-4</v>
      </c>
      <c r="Z82">
        <v>71.375765842226997</v>
      </c>
      <c r="AA82">
        <v>1.9097509369585999</v>
      </c>
      <c r="AB82">
        <v>0.56993036890558002</v>
      </c>
      <c r="AC82">
        <v>0.82622262731015006</v>
      </c>
      <c r="AD82">
        <v>0.48470879069931005</v>
      </c>
      <c r="AE82">
        <v>1.6248604211385</v>
      </c>
      <c r="AF82">
        <v>0.53924551124996001</v>
      </c>
      <c r="AG82">
        <v>2.4134537128225002</v>
      </c>
      <c r="AH82">
        <v>2.0080423765602999</v>
      </c>
      <c r="AI82">
        <v>71.377422755444996</v>
      </c>
      <c r="AJ82">
        <v>1.9092290638019001</v>
      </c>
      <c r="AK82">
        <v>0.57198989116646004</v>
      </c>
      <c r="AL82">
        <v>0.83258294291846002</v>
      </c>
      <c r="AM82">
        <v>0.48490767339080998</v>
      </c>
      <c r="AN82">
        <v>1.6252798912469</v>
      </c>
      <c r="AO82">
        <v>0.53929245445030005</v>
      </c>
      <c r="AP82">
        <v>2.418288480493</v>
      </c>
      <c r="AQ82">
        <v>2.0113047376192998</v>
      </c>
      <c r="AX82">
        <v>76.707197090937001</v>
      </c>
      <c r="AY82">
        <v>-1.8647457072874001E-2</v>
      </c>
      <c r="AZ82">
        <v>3.0951789374007999E-2</v>
      </c>
      <c r="BA82">
        <v>-2.0718189056101004E-2</v>
      </c>
      <c r="BB82">
        <v>8.0189453164640004E-3</v>
      </c>
      <c r="BC82">
        <v>5.7539181902714002E-4</v>
      </c>
      <c r="BD82">
        <v>1.8048038052477001E-4</v>
      </c>
      <c r="BE82">
        <f>(Table__150_diric[[#This Row],[F2]]+Table__150_diric_3[[#This Row],[F2]]+Table__150_diric_4[[#This Row],[F2]])/2</f>
        <v>-1.9148117436586402E-2</v>
      </c>
      <c r="BF82">
        <v>76.707197090937001</v>
      </c>
      <c r="BG82">
        <v>-8.3935751071618006E-3</v>
      </c>
      <c r="BH82">
        <v>8.1377402386164002E-3</v>
      </c>
      <c r="BI82">
        <v>3.8605089739896003E-4</v>
      </c>
      <c r="BJ82">
        <v>-2.5541412290418004E-5</v>
      </c>
      <c r="BK82">
        <v>1.0467461656318001E-4</v>
      </c>
      <c r="BM82">
        <v>76.707197090937001</v>
      </c>
      <c r="BN82">
        <v>-1.1255202693137002E-2</v>
      </c>
      <c r="BO82">
        <v>1.1364257554089E-2</v>
      </c>
      <c r="BP82">
        <v>-3.0455141692781002E-5</v>
      </c>
      <c r="BQ82">
        <v>2.1049039711900002E-5</v>
      </c>
      <c r="BR82">
        <v>9.9648758971284006E-5</v>
      </c>
    </row>
    <row r="83" spans="1:70" x14ac:dyDescent="0.25">
      <c r="A83">
        <v>0.49645408987999001</v>
      </c>
      <c r="B83" s="1">
        <v>1.0802851915359</v>
      </c>
      <c r="C83" s="1">
        <v>2.1588222847552004E-18</v>
      </c>
      <c r="D83" s="1">
        <v>-8.9175306493416006E-4</v>
      </c>
      <c r="E83" s="1">
        <v>0.13474264740944</v>
      </c>
      <c r="G83">
        <v>73.979802154085007</v>
      </c>
      <c r="H83">
        <v>16.528719028523</v>
      </c>
      <c r="I83">
        <v>14.258693294463999</v>
      </c>
      <c r="J83">
        <v>73.981528561567004</v>
      </c>
      <c r="K83">
        <v>16.517947207895002</v>
      </c>
      <c r="L83">
        <v>14.251233364443001</v>
      </c>
      <c r="M83">
        <v>-0.55965869011360003</v>
      </c>
      <c r="N83">
        <v>3.5540171409515001E-2</v>
      </c>
      <c r="O83">
        <v>3.7183130072810003E-2</v>
      </c>
      <c r="Q83">
        <v>0.49645408987999001</v>
      </c>
      <c r="R83">
        <v>7.8248810023069E-3</v>
      </c>
      <c r="S83">
        <v>2.3901364766060998E-3</v>
      </c>
      <c r="T83">
        <v>3.4272959455848E-3</v>
      </c>
      <c r="U83">
        <v>-2.0012594759464004E-3</v>
      </c>
      <c r="V83">
        <v>9.5166754908860001E-4</v>
      </c>
      <c r="W83">
        <v>-3.2295545679517004E-4</v>
      </c>
      <c r="X83">
        <v>2.0614877576008E-4</v>
      </c>
      <c r="Z83">
        <v>73.979802154085007</v>
      </c>
      <c r="AA83">
        <v>1.831805211711</v>
      </c>
      <c r="AB83">
        <v>0.55953112299814001</v>
      </c>
      <c r="AC83">
        <v>0.80233023011432003</v>
      </c>
      <c r="AD83">
        <v>0.46849498886230001</v>
      </c>
      <c r="AE83">
        <v>1.5408511477549001</v>
      </c>
      <c r="AF83">
        <v>0.52289929056963003</v>
      </c>
      <c r="AG83">
        <v>2.3085009770884999</v>
      </c>
      <c r="AH83">
        <v>1.9291840332182999</v>
      </c>
      <c r="AI83">
        <v>73.981528561567004</v>
      </c>
      <c r="AJ83">
        <v>1.8317229920499001</v>
      </c>
      <c r="AK83">
        <v>0.56144958471405004</v>
      </c>
      <c r="AL83">
        <v>0.80911569230806002</v>
      </c>
      <c r="AM83">
        <v>0.46864491946023001</v>
      </c>
      <c r="AN83">
        <v>1.5412803831947</v>
      </c>
      <c r="AO83">
        <v>0.52288652079247011</v>
      </c>
      <c r="AP83">
        <v>2.3131299494178998</v>
      </c>
      <c r="AQ83">
        <v>1.9322280660322</v>
      </c>
      <c r="AX83">
        <v>79.563635177391006</v>
      </c>
      <c r="AY83">
        <v>-1.7268762726012001E-2</v>
      </c>
      <c r="AZ83">
        <v>2.8632617282694998E-2</v>
      </c>
      <c r="BA83">
        <v>-1.9286193627607001E-2</v>
      </c>
      <c r="BB83">
        <v>7.6008288058186995E-3</v>
      </c>
      <c r="BC83">
        <v>4.8961679641290005E-4</v>
      </c>
      <c r="BD83">
        <v>1.6810653130871001E-4</v>
      </c>
      <c r="BE83">
        <f>(Table__150_diric[[#This Row],[F2]]+Table__150_diric_3[[#This Row],[F2]]+Table__150_diric_4[[#This Row],[F2]])/2</f>
        <v>-1.7950678279114549E-2</v>
      </c>
      <c r="BF83">
        <v>79.563635177391006</v>
      </c>
      <c r="BG83">
        <v>-7.9918029319011007E-3</v>
      </c>
      <c r="BH83">
        <v>7.3622398342892996E-3</v>
      </c>
      <c r="BI83">
        <v>7.3303698348525998E-4</v>
      </c>
      <c r="BJ83">
        <v>-7.6905300234266993E-6</v>
      </c>
      <c r="BK83">
        <v>9.5783355850092002E-5</v>
      </c>
      <c r="BM83">
        <v>79.563635177391006</v>
      </c>
      <c r="BN83">
        <v>-1.0640790900316E-2</v>
      </c>
      <c r="BO83">
        <v>1.0566255432128999E-2</v>
      </c>
      <c r="BP83">
        <v>1.2779171066763001E-4</v>
      </c>
      <c r="BQ83">
        <v>3.9254013102542001E-5</v>
      </c>
      <c r="BR83">
        <v>9.2510255582526002E-5</v>
      </c>
    </row>
    <row r="84" spans="1:70" x14ac:dyDescent="0.25">
      <c r="A84">
        <v>0.51475673913955999</v>
      </c>
      <c r="B84" s="1">
        <v>1.0865073204041</v>
      </c>
      <c r="C84" s="1">
        <v>-6.9299206486222994E-19</v>
      </c>
      <c r="D84" s="1">
        <v>-9.0545229613780997E-4</v>
      </c>
      <c r="E84" s="1">
        <v>0.1356782913208</v>
      </c>
      <c r="G84">
        <v>76.707197090937001</v>
      </c>
      <c r="H84">
        <v>16.623919648346003</v>
      </c>
      <c r="I84">
        <v>14.357704704892999</v>
      </c>
      <c r="J84">
        <v>76.708973658310001</v>
      </c>
      <c r="K84">
        <v>16.613189385439</v>
      </c>
      <c r="L84">
        <v>14.350400486683</v>
      </c>
      <c r="M84">
        <v>-0.5484577748028</v>
      </c>
      <c r="N84">
        <v>3.42811089444E-2</v>
      </c>
      <c r="O84">
        <v>3.5437772847263002E-2</v>
      </c>
      <c r="Q84">
        <v>0.51475673913955999</v>
      </c>
      <c r="R84">
        <v>7.4966442771255996E-3</v>
      </c>
      <c r="S84">
        <v>2.3422136437147999E-3</v>
      </c>
      <c r="T84">
        <v>3.3203985076398E-3</v>
      </c>
      <c r="U84">
        <v>-1.9284099107608E-3</v>
      </c>
      <c r="V84">
        <v>9.006080799736101E-4</v>
      </c>
      <c r="W84">
        <v>-3.1222231336869001E-4</v>
      </c>
      <c r="X84">
        <v>1.9676520605571999E-4</v>
      </c>
      <c r="Z84">
        <v>76.707197090937001</v>
      </c>
      <c r="AA84">
        <v>1.7549649704746999</v>
      </c>
      <c r="AB84">
        <v>0.54831238433304996</v>
      </c>
      <c r="AC84">
        <v>0.77730553211719</v>
      </c>
      <c r="AD84">
        <v>0.45144090035431</v>
      </c>
      <c r="AE84">
        <v>1.4581804276438</v>
      </c>
      <c r="AF84">
        <v>0.50552118790809997</v>
      </c>
      <c r="AG84">
        <v>2.2034216248040002</v>
      </c>
      <c r="AH84">
        <v>1.8481366591713</v>
      </c>
      <c r="AI84">
        <v>76.708973658310001</v>
      </c>
      <c r="AJ84">
        <v>1.7551654928306</v>
      </c>
      <c r="AK84">
        <v>0.55008388281042997</v>
      </c>
      <c r="AL84">
        <v>0.7844277350203801</v>
      </c>
      <c r="AM84">
        <v>0.45154486114379006</v>
      </c>
      <c r="AN84">
        <v>1.4585875641202999</v>
      </c>
      <c r="AO84">
        <v>0.50546026086611007</v>
      </c>
      <c r="AP84">
        <v>2.2079936034115999</v>
      </c>
      <c r="AQ84">
        <v>1.8510966006275</v>
      </c>
      <c r="AX84">
        <v>82.554592209413016</v>
      </c>
      <c r="AY84">
        <v>-1.5970601333323002E-2</v>
      </c>
      <c r="AZ84">
        <v>2.6342879397859002E-2</v>
      </c>
      <c r="BA84">
        <v>-1.7871162272592001E-2</v>
      </c>
      <c r="BB84">
        <v>7.2458397989083002E-3</v>
      </c>
      <c r="BC84">
        <v>4.0982407944807007E-4</v>
      </c>
      <c r="BD84">
        <v>1.5677967029989001E-4</v>
      </c>
      <c r="BE84">
        <f>(Table__150_diric[[#This Row],[F2]]+Table__150_diric_3[[#This Row],[F2]]+Table__150_diric_4[[#This Row],[F2]])/2</f>
        <v>-1.6797862461256301E-2</v>
      </c>
      <c r="BF84">
        <v>82.554592209413016</v>
      </c>
      <c r="BG84">
        <v>-7.5924465143406006E-3</v>
      </c>
      <c r="BH84">
        <v>6.6142466149918004E-3</v>
      </c>
      <c r="BI84">
        <v>1.0578753387621999E-3</v>
      </c>
      <c r="BJ84">
        <v>7.3200855436664999E-6</v>
      </c>
      <c r="BK84">
        <v>8.6995524956994015E-5</v>
      </c>
      <c r="BM84">
        <v>82.554592209413016</v>
      </c>
      <c r="BN84">
        <v>-1.0032677074848999E-2</v>
      </c>
      <c r="BO84">
        <v>9.7744515639813009E-3</v>
      </c>
      <c r="BP84">
        <v>2.8475065048216001E-4</v>
      </c>
      <c r="BQ84">
        <v>5.9640518880449009E-5</v>
      </c>
      <c r="BR84">
        <v>8.6165658494502008E-5</v>
      </c>
    </row>
    <row r="85" spans="1:70" x14ac:dyDescent="0.25">
      <c r="A85">
        <v>0.53392535448074008</v>
      </c>
      <c r="B85" s="1">
        <v>1.0927890539169001</v>
      </c>
      <c r="C85" s="1">
        <v>-6.8008804730640001E-19</v>
      </c>
      <c r="D85" s="1">
        <v>-9.0852909488602996E-4</v>
      </c>
      <c r="E85" s="1">
        <v>0.13661126792431</v>
      </c>
      <c r="G85">
        <v>79.563635177391006</v>
      </c>
      <c r="H85">
        <v>16.720032238854003</v>
      </c>
      <c r="I85">
        <v>14.456433856324001</v>
      </c>
      <c r="J85">
        <v>79.565495996250007</v>
      </c>
      <c r="K85">
        <v>16.709467537567001</v>
      </c>
      <c r="L85">
        <v>14.449378286428999</v>
      </c>
      <c r="M85">
        <v>-0.53652316206649009</v>
      </c>
      <c r="N85">
        <v>3.3023672887583004E-2</v>
      </c>
      <c r="O85">
        <v>3.3704693589138003E-2</v>
      </c>
      <c r="Q85">
        <v>0.53392535448074008</v>
      </c>
      <c r="R85">
        <v>7.1724397130310995E-3</v>
      </c>
      <c r="S85">
        <v>2.2911557462066E-3</v>
      </c>
      <c r="T85">
        <v>3.2091550529003E-3</v>
      </c>
      <c r="U85">
        <v>-1.8518428551033003E-3</v>
      </c>
      <c r="V85">
        <v>8.5038173710926999E-4</v>
      </c>
      <c r="W85">
        <v>-3.0082356533967002E-4</v>
      </c>
      <c r="X85">
        <v>1.8738205835689003E-4</v>
      </c>
      <c r="Z85">
        <v>79.563635177391006</v>
      </c>
      <c r="AA85">
        <v>1.6790686584421999</v>
      </c>
      <c r="AB85">
        <v>0.53635972681316002</v>
      </c>
      <c r="AC85">
        <v>0.75126343127241002</v>
      </c>
      <c r="AD85">
        <v>0.43351654705648007</v>
      </c>
      <c r="AE85">
        <v>1.3768586276893999</v>
      </c>
      <c r="AF85">
        <v>0.48706540048495006</v>
      </c>
      <c r="AG85">
        <v>2.0983469982337999</v>
      </c>
      <c r="AH85">
        <v>1.7650824042858</v>
      </c>
      <c r="AI85">
        <v>79.565495996250007</v>
      </c>
      <c r="AJ85">
        <v>1.6793511983373</v>
      </c>
      <c r="AK85">
        <v>0.53797993596579008</v>
      </c>
      <c r="AL85">
        <v>0.75855836781454</v>
      </c>
      <c r="AM85">
        <v>0.43357853002614005</v>
      </c>
      <c r="AN85">
        <v>1.3771468393551001</v>
      </c>
      <c r="AO85">
        <v>0.48696148443100001</v>
      </c>
      <c r="AP85">
        <v>2.1030257660528</v>
      </c>
      <c r="AQ85">
        <v>1.7680671886386001</v>
      </c>
      <c r="AX85">
        <v>85.68513984880299</v>
      </c>
      <c r="AY85">
        <v>-1.4754940155420001E-2</v>
      </c>
      <c r="AZ85">
        <v>2.4081808300488002E-2</v>
      </c>
      <c r="BA85">
        <v>-1.6478084745917002E-2</v>
      </c>
      <c r="BB85">
        <v>6.9506666062858005E-3</v>
      </c>
      <c r="BC85">
        <v>3.4670709776494005E-4</v>
      </c>
      <c r="BD85">
        <v>1.4615710320171001E-4</v>
      </c>
      <c r="BE85">
        <f>(Table__150_diric[[#This Row],[F2]]+Table__150_diric_3[[#This Row],[F2]]+Table__150_diric_4[[#This Row],[F2]])/2</f>
        <v>-1.5691844840437452E-2</v>
      </c>
      <c r="BF85">
        <v>85.68513984880299</v>
      </c>
      <c r="BG85">
        <v>-7.1975884204729E-3</v>
      </c>
      <c r="BH85">
        <v>5.8982864741999007E-3</v>
      </c>
      <c r="BI85">
        <v>1.3579079107653E-3</v>
      </c>
      <c r="BJ85">
        <v>1.9429378952168002E-5</v>
      </c>
      <c r="BK85">
        <v>7.8035343444372003E-5</v>
      </c>
      <c r="BM85">
        <v>85.68513984880299</v>
      </c>
      <c r="BN85">
        <v>-9.4311611049819992E-3</v>
      </c>
      <c r="BO85">
        <v>8.9950845095295995E-3</v>
      </c>
      <c r="BP85">
        <v>4.3971834835468003E-4</v>
      </c>
      <c r="BQ85">
        <v>7.5863344602810007E-5</v>
      </c>
      <c r="BR85">
        <v>7.9505097505126008E-5</v>
      </c>
    </row>
    <row r="86" spans="1:70" x14ac:dyDescent="0.25">
      <c r="A86">
        <v>0.55399668216705</v>
      </c>
      <c r="B86" s="1">
        <v>1.0991204977036</v>
      </c>
      <c r="C86" s="1">
        <v>-3.3083915779670997E-20</v>
      </c>
      <c r="D86" s="1">
        <v>-8.993573137559001E-4</v>
      </c>
      <c r="E86" s="1">
        <v>0.13753928244114</v>
      </c>
      <c r="G86">
        <v>82.554592209413016</v>
      </c>
      <c r="H86">
        <v>16.816905412914</v>
      </c>
      <c r="I86">
        <v>14.554637911406999</v>
      </c>
      <c r="J86">
        <v>82.556513764016003</v>
      </c>
      <c r="K86">
        <v>16.806619337275997</v>
      </c>
      <c r="L86">
        <v>14.547931688252</v>
      </c>
      <c r="M86">
        <v>-0.52395832751373006</v>
      </c>
      <c r="N86">
        <v>3.1762014648225999E-2</v>
      </c>
      <c r="O86">
        <v>3.1975225552721004E-2</v>
      </c>
      <c r="Q86">
        <v>0.55399668216705</v>
      </c>
      <c r="R86">
        <v>6.8512386642395999E-3</v>
      </c>
      <c r="S86">
        <v>2.2374044638127002E-3</v>
      </c>
      <c r="T86">
        <v>3.0941611621529003E-3</v>
      </c>
      <c r="U86">
        <v>-1.7714286223053999E-3</v>
      </c>
      <c r="V86">
        <v>8.0096308374776992E-4</v>
      </c>
      <c r="W86">
        <v>-2.8873395058326E-4</v>
      </c>
      <c r="X86">
        <v>1.7801443755161001E-4</v>
      </c>
      <c r="Z86">
        <v>82.554592209413016</v>
      </c>
      <c r="AA86">
        <v>1.6038754695605</v>
      </c>
      <c r="AB86">
        <v>0.52377654769564008</v>
      </c>
      <c r="AC86">
        <v>0.72434335308540998</v>
      </c>
      <c r="AD86">
        <v>0.41469156931029999</v>
      </c>
      <c r="AE86">
        <v>1.2968445630872001</v>
      </c>
      <c r="AF86">
        <v>0.46749102622876998</v>
      </c>
      <c r="AG86">
        <v>1.9934462453564001</v>
      </c>
      <c r="AH86">
        <v>1.6802513325896999</v>
      </c>
      <c r="AI86">
        <v>82.556513764016003</v>
      </c>
      <c r="AJ86">
        <v>1.6040892385973</v>
      </c>
      <c r="AK86">
        <v>0.52523655836087002</v>
      </c>
      <c r="AL86">
        <v>0.7315837315678001</v>
      </c>
      <c r="AM86">
        <v>0.41472088191750001</v>
      </c>
      <c r="AN86">
        <v>1.2969227553664</v>
      </c>
      <c r="AO86">
        <v>0.46733927417959004</v>
      </c>
      <c r="AP86">
        <v>1.9983256176491</v>
      </c>
      <c r="AQ86">
        <v>1.6833221530923002</v>
      </c>
      <c r="AX86">
        <v>88.959754658687004</v>
      </c>
      <c r="AY86">
        <v>-1.3620237650467999E-2</v>
      </c>
      <c r="AZ86">
        <v>2.1846770064440003E-2</v>
      </c>
      <c r="BA86">
        <v>-1.5112485028661001E-2</v>
      </c>
      <c r="BB86">
        <v>6.7194650865454999E-3</v>
      </c>
      <c r="BC86">
        <v>3.0207562061284005E-4</v>
      </c>
      <c r="BD86">
        <v>1.3558809246874999E-4</v>
      </c>
      <c r="BE86">
        <f>(Table__150_diric[[#This Row],[F2]]+Table__150_diric_3[[#This Row],[F2]]+Table__150_diric_4[[#This Row],[F2]])/2</f>
        <v>-1.4633971065015499E-2</v>
      </c>
      <c r="BF86">
        <v>88.959754658687004</v>
      </c>
      <c r="BG86">
        <v>-6.8095836134716998E-3</v>
      </c>
      <c r="BH86">
        <v>5.2198348890778005E-3</v>
      </c>
      <c r="BI86">
        <v>1.6287381012594E-3</v>
      </c>
      <c r="BJ86">
        <v>3.0291515736219002E-5</v>
      </c>
      <c r="BK86">
        <v>6.9280892601762009E-5</v>
      </c>
      <c r="BM86">
        <v>88.959754658687004</v>
      </c>
      <c r="BN86">
        <v>-8.8381208660913008E-3</v>
      </c>
      <c r="BO86">
        <v>8.2332396651567004E-3</v>
      </c>
      <c r="BP86">
        <v>5.9343990583156001E-4</v>
      </c>
      <c r="BQ86">
        <v>8.465651101963901E-5</v>
      </c>
      <c r="BR86">
        <v>7.3215215916611003E-5</v>
      </c>
    </row>
    <row r="87" spans="1:70" x14ac:dyDescent="0.25">
      <c r="A87">
        <v>0.57500475645064997</v>
      </c>
      <c r="B87" s="1">
        <v>1.1054881811141999</v>
      </c>
      <c r="C87" s="1">
        <v>2.7975910061032995E-19</v>
      </c>
      <c r="D87" s="1">
        <v>-8.7763398187234998E-4</v>
      </c>
      <c r="E87" s="1">
        <v>0.13845938444138001</v>
      </c>
      <c r="G87">
        <v>85.68513984880299</v>
      </c>
      <c r="H87">
        <v>16.914333065150998</v>
      </c>
      <c r="I87">
        <v>14.652004650693</v>
      </c>
      <c r="J87">
        <v>85.687125388284002</v>
      </c>
      <c r="K87">
        <v>16.904420445</v>
      </c>
      <c r="L87">
        <v>14.645776708409999</v>
      </c>
      <c r="M87">
        <v>-0.51087568909016001</v>
      </c>
      <c r="N87">
        <v>3.0487947824666999E-2</v>
      </c>
      <c r="O87">
        <v>3.0241528763324001E-2</v>
      </c>
      <c r="Q87">
        <v>0.57500475645064997</v>
      </c>
      <c r="R87">
        <v>6.5318462438880998E-3</v>
      </c>
      <c r="S87">
        <v>2.1814396604895999E-3</v>
      </c>
      <c r="T87">
        <v>2.9762326739728E-3</v>
      </c>
      <c r="U87">
        <v>-1.6870554536581E-3</v>
      </c>
      <c r="V87">
        <v>7.5231760274619005E-4</v>
      </c>
      <c r="W87">
        <v>-2.7592942933552005E-4</v>
      </c>
      <c r="X87">
        <v>1.6868638340383998E-4</v>
      </c>
      <c r="Z87">
        <v>85.68513984880299</v>
      </c>
      <c r="AA87">
        <v>1.5291056807281</v>
      </c>
      <c r="AB87">
        <v>0.51067518316760008</v>
      </c>
      <c r="AC87">
        <v>0.69673628542602006</v>
      </c>
      <c r="AD87">
        <v>0.39493980439386001</v>
      </c>
      <c r="AE87">
        <v>1.2180823469055999</v>
      </c>
      <c r="AF87">
        <v>0.44675914220064006</v>
      </c>
      <c r="AG87">
        <v>1.8889885689279</v>
      </c>
      <c r="AH87">
        <v>1.5939191406455</v>
      </c>
      <c r="AI87">
        <v>85.687125388284002</v>
      </c>
      <c r="AJ87">
        <v>1.5292126160100001</v>
      </c>
      <c r="AK87">
        <v>0.51197033219788002</v>
      </c>
      <c r="AL87">
        <v>0.7036115244716501</v>
      </c>
      <c r="AM87">
        <v>0.39494782643294002</v>
      </c>
      <c r="AN87">
        <v>1.2179356790772999</v>
      </c>
      <c r="AO87">
        <v>0.44655284912018001</v>
      </c>
      <c r="AP87">
        <v>1.8940443755443002</v>
      </c>
      <c r="AQ87">
        <v>1.5971016128439999</v>
      </c>
      <c r="AX87">
        <v>92.382140462128007</v>
      </c>
      <c r="AY87">
        <v>-1.2564299403114002E-2</v>
      </c>
      <c r="AZ87">
        <v>1.9636778144332002E-2</v>
      </c>
      <c r="BA87">
        <v>-1.3778893796377001E-2</v>
      </c>
      <c r="BB87">
        <v>6.5595557745830001E-3</v>
      </c>
      <c r="BC87">
        <v>2.7073734367296E-4</v>
      </c>
      <c r="BD87">
        <v>1.2387806309697001E-4</v>
      </c>
      <c r="BE87">
        <f>(Table__150_diric[[#This Row],[F2]]+Table__150_diric_3[[#This Row],[F2]]+Table__150_diric_4[[#This Row],[F2]])/2</f>
        <v>-1.3625909449906999E-2</v>
      </c>
      <c r="BF87">
        <v>92.382140462128007</v>
      </c>
      <c r="BG87">
        <v>-6.4306993992860996E-3</v>
      </c>
      <c r="BH87">
        <v>4.5814875022313004E-3</v>
      </c>
      <c r="BI87">
        <v>1.8694796589792E-3</v>
      </c>
      <c r="BJ87">
        <v>4.0324353905658003E-5</v>
      </c>
      <c r="BK87">
        <v>6.0592115830067006E-5</v>
      </c>
      <c r="BM87">
        <v>92.382140462128007</v>
      </c>
      <c r="BN87">
        <v>-8.2568200974138996E-3</v>
      </c>
      <c r="BO87">
        <v>7.4919106105173E-3</v>
      </c>
      <c r="BP87">
        <v>7.4543757623176006E-4</v>
      </c>
      <c r="BQ87">
        <v>8.6890048405902011E-5</v>
      </c>
      <c r="BR87">
        <v>6.7418137741064008E-5</v>
      </c>
    </row>
    <row r="88" spans="1:70" x14ac:dyDescent="0.25">
      <c r="A88">
        <v>0.5969796180725101</v>
      </c>
      <c r="B88" s="1">
        <v>1.1118737459182999</v>
      </c>
      <c r="C88" s="1">
        <v>-1.5362530685233002E-18</v>
      </c>
      <c r="D88" s="1">
        <v>-8.4487529238686009E-4</v>
      </c>
      <c r="E88" s="1">
        <v>0.1393680870533</v>
      </c>
      <c r="G88">
        <v>88.959754658687004</v>
      </c>
      <c r="H88">
        <v>17.012034308593002</v>
      </c>
      <c r="I88">
        <v>14.748165087559</v>
      </c>
      <c r="J88">
        <v>88.961825300930002</v>
      </c>
      <c r="K88">
        <v>17.002569917416</v>
      </c>
      <c r="L88">
        <v>14.742561522602999</v>
      </c>
      <c r="M88">
        <v>-0.49739405212468002</v>
      </c>
      <c r="N88">
        <v>2.9187869399036004E-2</v>
      </c>
      <c r="O88">
        <v>2.8500465017251002E-2</v>
      </c>
      <c r="Q88">
        <v>0.5969796180725101</v>
      </c>
      <c r="R88">
        <v>6.2133348546922007E-3</v>
      </c>
      <c r="S88">
        <v>2.1237717010081001E-3</v>
      </c>
      <c r="T88">
        <v>2.8562548104674001E-3</v>
      </c>
      <c r="U88">
        <v>-1.5986496582626999E-3</v>
      </c>
      <c r="V88">
        <v>7.0442818105221001E-4</v>
      </c>
      <c r="W88">
        <v>-2.6238511782140001E-4</v>
      </c>
      <c r="X88">
        <v>1.5943057951516999E-4</v>
      </c>
      <c r="Z88">
        <v>88.959754658687004</v>
      </c>
      <c r="AA88">
        <v>1.4545421413533</v>
      </c>
      <c r="AB88">
        <v>0.49717510965903999</v>
      </c>
      <c r="AC88">
        <v>0.66864945885389004</v>
      </c>
      <c r="AD88">
        <v>0.37424400126242002</v>
      </c>
      <c r="AE88">
        <v>1.1405442712895999</v>
      </c>
      <c r="AF88">
        <v>0.42482945891778007</v>
      </c>
      <c r="AG88">
        <v>1.7853399673685</v>
      </c>
      <c r="AH88">
        <v>1.5064352976129001</v>
      </c>
      <c r="AI88">
        <v>88.961825300930002</v>
      </c>
      <c r="AJ88">
        <v>1.4546039308261001</v>
      </c>
      <c r="AK88">
        <v>0.49831904139788002</v>
      </c>
      <c r="AL88">
        <v>0.67478547128869004</v>
      </c>
      <c r="AM88">
        <v>0.37423876138807</v>
      </c>
      <c r="AN88">
        <v>1.1402459569262</v>
      </c>
      <c r="AO88">
        <v>0.42457066880949007</v>
      </c>
      <c r="AP88">
        <v>1.7904485868149</v>
      </c>
      <c r="AQ88">
        <v>1.5097259164859</v>
      </c>
      <c r="AX88">
        <v>95.954979644177001</v>
      </c>
      <c r="AY88">
        <v>-1.1583688873141E-2</v>
      </c>
      <c r="AZ88">
        <v>1.7451956128959001E-2</v>
      </c>
      <c r="BA88">
        <v>-1.2482713428778E-2</v>
      </c>
      <c r="BB88">
        <v>6.4786043608900008E-3</v>
      </c>
      <c r="BC88">
        <v>2.5041185041344E-4</v>
      </c>
      <c r="BD88">
        <v>1.1457003834249E-4</v>
      </c>
      <c r="BE88">
        <f>(Table__150_diric[[#This Row],[F2]]+Table__150_diric_3[[#This Row],[F2]]+Table__150_diric_4[[#This Row],[F2]])/2</f>
        <v>-1.2669130217267951E-2</v>
      </c>
      <c r="BF88">
        <v>95.954979644177001</v>
      </c>
      <c r="BG88">
        <v>-6.0634514460012005E-3</v>
      </c>
      <c r="BH88">
        <v>3.9847718454057001E-3</v>
      </c>
      <c r="BI88">
        <v>2.0805753761008001E-3</v>
      </c>
      <c r="BJ88">
        <v>4.9923349728053005E-5</v>
      </c>
      <c r="BK88">
        <v>5.1819125233272001E-5</v>
      </c>
      <c r="BM88">
        <v>95.954979644177001</v>
      </c>
      <c r="BN88">
        <v>-7.6911201153936999E-3</v>
      </c>
      <c r="BO88">
        <v>6.7734842847519995E-3</v>
      </c>
      <c r="BP88">
        <v>8.9102459438978015E-4</v>
      </c>
      <c r="BQ88">
        <v>8.8859477102071999E-5</v>
      </c>
      <c r="BR88">
        <v>6.2248240850167004E-5</v>
      </c>
    </row>
    <row r="89" spans="1:70" x14ac:dyDescent="0.25">
      <c r="A89">
        <v>0.61994612216949008</v>
      </c>
      <c r="B89" s="1">
        <v>1.1182522773743</v>
      </c>
      <c r="C89" s="1">
        <v>-2.9842029522953001E-19</v>
      </c>
      <c r="D89" s="1">
        <v>-8.0390693619847005E-4</v>
      </c>
      <c r="E89" s="1">
        <v>0.14026129245757998</v>
      </c>
      <c r="G89">
        <v>92.382140462128007</v>
      </c>
      <c r="H89">
        <v>17.109627939493997</v>
      </c>
      <c r="I89">
        <v>14.842685583878001</v>
      </c>
      <c r="J89">
        <v>92.384290764401001</v>
      </c>
      <c r="K89">
        <v>17.100675616259</v>
      </c>
      <c r="L89">
        <v>14.837847533721</v>
      </c>
      <c r="M89">
        <v>-0.48365095827048005</v>
      </c>
      <c r="N89">
        <v>2.7846033818447E-2</v>
      </c>
      <c r="O89">
        <v>2.6746201887268999E-2</v>
      </c>
      <c r="Q89">
        <v>0.61994612216949008</v>
      </c>
      <c r="R89">
        <v>5.8952602557837998E-3</v>
      </c>
      <c r="S89">
        <v>2.0649861544371003E-3</v>
      </c>
      <c r="T89">
        <v>2.7349807787686998E-3</v>
      </c>
      <c r="U89">
        <v>-1.5061746817082E-3</v>
      </c>
      <c r="V89">
        <v>6.5732153598219004E-4</v>
      </c>
      <c r="W89">
        <v>-2.4807962472551005E-4</v>
      </c>
      <c r="X89">
        <v>1.5028451161925002E-4</v>
      </c>
      <c r="Z89">
        <v>92.382140462128007</v>
      </c>
      <c r="AA89">
        <v>1.3800808546166001</v>
      </c>
      <c r="AB89">
        <v>0.48341340893154006</v>
      </c>
      <c r="AC89">
        <v>0.64025919921347008</v>
      </c>
      <c r="AD89">
        <v>0.35259560252569</v>
      </c>
      <c r="AE89">
        <v>1.0642735944209001</v>
      </c>
      <c r="AF89">
        <v>0.40166734156165007</v>
      </c>
      <c r="AG89">
        <v>1.6829202144672</v>
      </c>
      <c r="AH89">
        <v>1.4182636391911001</v>
      </c>
      <c r="AI89">
        <v>92.384290764401001</v>
      </c>
      <c r="AJ89">
        <v>1.3802041016491999</v>
      </c>
      <c r="AK89">
        <v>0.48444107206634002</v>
      </c>
      <c r="AL89">
        <v>0.64530052972684004</v>
      </c>
      <c r="AM89">
        <v>0.35258150533258004</v>
      </c>
      <c r="AN89">
        <v>1.0639602323852</v>
      </c>
      <c r="AO89">
        <v>0.40136949043951997</v>
      </c>
      <c r="AP89">
        <v>1.6879553633794</v>
      </c>
      <c r="AQ89">
        <v>1.4216332856823</v>
      </c>
      <c r="AX89">
        <v>99.679622279426994</v>
      </c>
      <c r="AY89">
        <v>-1.0675327061269E-2</v>
      </c>
      <c r="AZ89">
        <v>1.5297193879003999E-2</v>
      </c>
      <c r="BA89">
        <v>-1.1229741851592001E-2</v>
      </c>
      <c r="BB89">
        <v>6.4799191864001997E-3</v>
      </c>
      <c r="BC89">
        <v>2.3099751270026002E-4</v>
      </c>
      <c r="BD89">
        <v>1.0304166524399001E-4</v>
      </c>
      <c r="BE89">
        <f>(Table__150_diric[[#This Row],[F2]]+Table__150_diric_3[[#This Row],[F2]]+Table__150_diric_4[[#This Row],[F2]])/2</f>
        <v>-1.17665289617016E-2</v>
      </c>
      <c r="BF89">
        <v>99.679622279426994</v>
      </c>
      <c r="BG89">
        <v>-5.7106227919458009E-3</v>
      </c>
      <c r="BH89">
        <v>3.4331627800600001E-3</v>
      </c>
      <c r="BI89">
        <v>2.2617180576079998E-3</v>
      </c>
      <c r="BJ89">
        <v>5.9022650492233007E-5</v>
      </c>
      <c r="BK89">
        <v>4.3280696214498005E-5</v>
      </c>
      <c r="BM89">
        <v>99.679622279426994</v>
      </c>
      <c r="BN89">
        <v>-7.1471080701884003E-3</v>
      </c>
      <c r="BO89">
        <v>6.0815404134177999E-3</v>
      </c>
      <c r="BP89">
        <v>1.0256347478763E-3</v>
      </c>
      <c r="BQ89">
        <v>9.7094095164492012E-5</v>
      </c>
      <c r="BR89">
        <v>5.7161186270193006E-5</v>
      </c>
    </row>
    <row r="90" spans="1:70" x14ac:dyDescent="0.25">
      <c r="A90">
        <v>0.64392226934433006</v>
      </c>
      <c r="B90" s="1">
        <v>1.1245911121368</v>
      </c>
      <c r="C90" s="1">
        <v>-7.8850826455494997E-19</v>
      </c>
      <c r="D90" s="1">
        <v>-7.5757340528071003E-4</v>
      </c>
      <c r="E90" s="1">
        <v>0.14113423228263999</v>
      </c>
      <c r="G90">
        <v>95.954979644177001</v>
      </c>
      <c r="H90">
        <v>17.206614197919002</v>
      </c>
      <c r="I90">
        <v>14.935061542562</v>
      </c>
      <c r="J90">
        <v>95.957204226179996</v>
      </c>
      <c r="K90">
        <v>17.198234145427001</v>
      </c>
      <c r="L90">
        <v>14.931109371843</v>
      </c>
      <c r="M90">
        <v>-0.46980694376054005</v>
      </c>
      <c r="N90">
        <v>2.6442621664348E-2</v>
      </c>
      <c r="O90">
        <v>2.4972597342747E-2</v>
      </c>
      <c r="Q90">
        <v>0.64392226934433006</v>
      </c>
      <c r="R90">
        <v>5.5777099914849004E-3</v>
      </c>
      <c r="S90">
        <v>2.0057724323124001E-3</v>
      </c>
      <c r="T90">
        <v>2.6130124460905998E-3</v>
      </c>
      <c r="U90">
        <v>-1.4096394879742999E-3</v>
      </c>
      <c r="V90">
        <v>6.1110116075724006E-4</v>
      </c>
      <c r="W90">
        <v>-2.3300008615479003E-4</v>
      </c>
      <c r="X90">
        <v>1.4129126793705E-4</v>
      </c>
      <c r="Z90">
        <v>95.954979644177001</v>
      </c>
      <c r="AA90">
        <v>1.3057423146502001</v>
      </c>
      <c r="AB90">
        <v>0.46955147227577998</v>
      </c>
      <c r="AC90">
        <v>0.6117064036632901</v>
      </c>
      <c r="AD90">
        <v>0.32999670665198999</v>
      </c>
      <c r="AE90">
        <v>0.98943788284991008</v>
      </c>
      <c r="AF90">
        <v>0.37725196211895001</v>
      </c>
      <c r="AG90">
        <v>1.5822118219434</v>
      </c>
      <c r="AH90">
        <v>1.3299986242092001</v>
      </c>
      <c r="AI90">
        <v>95.957204226179996</v>
      </c>
      <c r="AJ90">
        <v>1.3059998297146</v>
      </c>
      <c r="AK90">
        <v>0.47051301435526</v>
      </c>
      <c r="AL90">
        <v>0.61543477477238007</v>
      </c>
      <c r="AM90">
        <v>0.32997194327989998</v>
      </c>
      <c r="AN90">
        <v>0.98922899438545997</v>
      </c>
      <c r="AO90">
        <v>0.37692722627085007</v>
      </c>
      <c r="AP90">
        <v>1.5870992675203</v>
      </c>
      <c r="AQ90">
        <v>1.3334181239188001</v>
      </c>
      <c r="AX90">
        <v>103.55586408027</v>
      </c>
      <c r="AY90">
        <v>-9.8431660044563992E-3</v>
      </c>
      <c r="AZ90">
        <v>1.3185452000780001E-2</v>
      </c>
      <c r="BA90">
        <v>-1.0026781909683001E-2</v>
      </c>
      <c r="BB90">
        <v>6.5491650727776997E-3</v>
      </c>
      <c r="BC90">
        <v>2.2938286518609001E-4</v>
      </c>
      <c r="BD90">
        <v>9.405202460410101E-5</v>
      </c>
      <c r="BE90">
        <f>(Table__150_diric[[#This Row],[F2]]+Table__150_diric_3[[#This Row],[F2]]+Table__150_diric_4[[#This Row],[F2]])/2</f>
        <v>-1.09237492453956E-2</v>
      </c>
      <c r="BF90">
        <v>103.55586408027</v>
      </c>
      <c r="BG90">
        <v>-5.3751045546067003E-3</v>
      </c>
      <c r="BH90">
        <v>2.9269557701836002E-3</v>
      </c>
      <c r="BI90">
        <v>2.4168120451539999E-3</v>
      </c>
      <c r="BJ90">
        <v>6.601554239627401E-5</v>
      </c>
      <c r="BK90">
        <v>3.4678803127088002E-5</v>
      </c>
      <c r="BM90">
        <v>103.55586408027</v>
      </c>
      <c r="BN90">
        <v>-6.6292279317281006E-3</v>
      </c>
      <c r="BO90">
        <v>5.4203019113105997E-3</v>
      </c>
      <c r="BP90">
        <v>1.1533904829624999E-3</v>
      </c>
      <c r="BQ90">
        <v>1.0844411121194999E-4</v>
      </c>
      <c r="BR90">
        <v>5.2908573756992E-5</v>
      </c>
    </row>
    <row r="91" spans="1:70" x14ac:dyDescent="0.25">
      <c r="A91">
        <v>0.66891711950302002</v>
      </c>
      <c r="B91" s="1">
        <v>1.1308480501175</v>
      </c>
      <c r="C91" s="1">
        <v>-1.2845784040703002E-18</v>
      </c>
      <c r="D91" s="1">
        <v>-7.0771330501884005E-4</v>
      </c>
      <c r="E91" s="1">
        <v>0.14198134839535001</v>
      </c>
      <c r="G91">
        <v>99.679622279426994</v>
      </c>
      <c r="H91">
        <v>17.302347408621998</v>
      </c>
      <c r="I91">
        <v>15.024704792625002</v>
      </c>
      <c r="J91">
        <v>99.681933556838999</v>
      </c>
      <c r="K91">
        <v>17.294625379288</v>
      </c>
      <c r="L91">
        <v>15.021739627301001</v>
      </c>
      <c r="M91">
        <v>-0.45605320426755003</v>
      </c>
      <c r="N91">
        <v>2.4958068450684E-2</v>
      </c>
      <c r="O91">
        <v>2.3168786967053E-2</v>
      </c>
      <c r="Q91">
        <v>0.66891711950302002</v>
      </c>
      <c r="R91">
        <v>5.2611674182117003E-3</v>
      </c>
      <c r="S91">
        <v>1.9469455583021001E-3</v>
      </c>
      <c r="T91">
        <v>2.4910569190979E-3</v>
      </c>
      <c r="U91">
        <v>-1.3090892462060001E-3</v>
      </c>
      <c r="V91">
        <v>5.6593021145090005E-4</v>
      </c>
      <c r="W91">
        <v>-2.1714210743085E-4</v>
      </c>
      <c r="X91">
        <v>1.3250038318801999E-4</v>
      </c>
      <c r="Z91">
        <v>99.679622279426994</v>
      </c>
      <c r="AA91">
        <v>1.2316396752261001</v>
      </c>
      <c r="AB91">
        <v>0.45578009679174003</v>
      </c>
      <c r="AC91">
        <v>0.58315660592498997</v>
      </c>
      <c r="AD91">
        <v>0.30645788774142002</v>
      </c>
      <c r="AE91">
        <v>0.91630130364164009</v>
      </c>
      <c r="AF91">
        <v>0.35157620513716004</v>
      </c>
      <c r="AG91">
        <v>1.4837694908754999</v>
      </c>
      <c r="AH91">
        <v>1.242363718474</v>
      </c>
      <c r="AI91">
        <v>99.681933556838999</v>
      </c>
      <c r="AJ91">
        <v>1.2320395138049001</v>
      </c>
      <c r="AK91">
        <v>0.45672249530115999</v>
      </c>
      <c r="AL91">
        <v>0.58556847478660001</v>
      </c>
      <c r="AM91">
        <v>0.30641748765617005</v>
      </c>
      <c r="AN91">
        <v>0.91621951571136018</v>
      </c>
      <c r="AO91">
        <v>0.35122968546128003</v>
      </c>
      <c r="AP91">
        <v>1.4884406353499999</v>
      </c>
      <c r="AQ91">
        <v>1.2457939435192</v>
      </c>
      <c r="AX91">
        <v>107.58162664241</v>
      </c>
      <c r="AY91">
        <v>-9.0876631540247003E-3</v>
      </c>
      <c r="AZ91">
        <v>1.1131934937379E-2</v>
      </c>
      <c r="BA91">
        <v>-8.8819289747790013E-3</v>
      </c>
      <c r="BB91">
        <v>6.6780573115073003E-3</v>
      </c>
      <c r="BC91">
        <v>2.4476543282443003E-4</v>
      </c>
      <c r="BD91">
        <v>8.5165552907333011E-5</v>
      </c>
      <c r="BE91">
        <f>(Table__150_diric[[#This Row],[F2]]+Table__150_diric_3[[#This Row],[F2]]+Table__150_diric_4[[#This Row],[F2]])/2</f>
        <v>-1.0145016170129549E-2</v>
      </c>
      <c r="BF91">
        <v>107.58162664241</v>
      </c>
      <c r="BG91">
        <v>-5.0601094969315993E-3</v>
      </c>
      <c r="BH91">
        <v>2.4661525236607E-3</v>
      </c>
      <c r="BI91">
        <v>2.5499430158059003E-3</v>
      </c>
      <c r="BJ91">
        <v>7.0472704714918011E-5</v>
      </c>
      <c r="BK91">
        <v>2.6458747249840001E-5</v>
      </c>
      <c r="BM91">
        <v>107.58162664241</v>
      </c>
      <c r="BN91">
        <v>-6.1422596893028003E-3</v>
      </c>
      <c r="BO91">
        <v>4.7949709941017002E-3</v>
      </c>
      <c r="BP91">
        <v>1.2759770747200001E-3</v>
      </c>
      <c r="BQ91">
        <v>1.1907553562066E-4</v>
      </c>
      <c r="BR91">
        <v>4.776391513967601E-5</v>
      </c>
    </row>
    <row r="92" spans="1:70" x14ac:dyDescent="0.25">
      <c r="A92">
        <v>0.69492930173874001</v>
      </c>
      <c r="B92" s="1">
        <v>1.1369718313217001</v>
      </c>
      <c r="C92" s="1">
        <v>-1.4039571100740001E-18</v>
      </c>
      <c r="D92" s="1">
        <v>-6.5431965049356005E-4</v>
      </c>
      <c r="E92" s="1">
        <v>0.14279617369174999</v>
      </c>
      <c r="G92">
        <v>103.55586408027</v>
      </c>
      <c r="H92">
        <v>17.396043276815</v>
      </c>
      <c r="I92">
        <v>15.110930974264001</v>
      </c>
      <c r="J92">
        <v>103.5582833463</v>
      </c>
      <c r="K92">
        <v>17.389072336902998</v>
      </c>
      <c r="L92">
        <v>15.109044117618</v>
      </c>
      <c r="M92">
        <v>-0.44260605917175999</v>
      </c>
      <c r="N92">
        <v>2.3378847824840003E-2</v>
      </c>
      <c r="O92">
        <v>2.1325654163682001E-2</v>
      </c>
      <c r="Q92">
        <v>0.69492930173874001</v>
      </c>
      <c r="R92">
        <v>4.9463817849755001E-3</v>
      </c>
      <c r="S92">
        <v>1.8894313834608002E-3</v>
      </c>
      <c r="T92">
        <v>2.3702755570412003E-3</v>
      </c>
      <c r="U92">
        <v>-1.2045931071043002E-3</v>
      </c>
      <c r="V92">
        <v>5.2197568584233999E-4</v>
      </c>
      <c r="W92">
        <v>-2.0050893363076998E-4</v>
      </c>
      <c r="X92">
        <v>1.2396795500536E-4</v>
      </c>
      <c r="Z92">
        <v>103.55586408027</v>
      </c>
      <c r="AA92">
        <v>1.1579483355925</v>
      </c>
      <c r="AB92">
        <v>0.44231602427862005</v>
      </c>
      <c r="AC92">
        <v>0.55488168028357998</v>
      </c>
      <c r="AD92">
        <v>0.28199533397814003</v>
      </c>
      <c r="AE92">
        <v>0.84513424399161008</v>
      </c>
      <c r="AF92">
        <v>0.32464532474179003</v>
      </c>
      <c r="AG92">
        <v>1.3882214153460999</v>
      </c>
      <c r="AH92">
        <v>1.1561892439771</v>
      </c>
      <c r="AI92">
        <v>103.5582833463</v>
      </c>
      <c r="AJ92">
        <v>1.1585300478141001</v>
      </c>
      <c r="AK92">
        <v>0.44326013961286004</v>
      </c>
      <c r="AL92">
        <v>0.55614212409308006</v>
      </c>
      <c r="AM92">
        <v>0.28194211984004997</v>
      </c>
      <c r="AN92">
        <v>0.84517223920414009</v>
      </c>
      <c r="AO92">
        <v>0.32428773508432002</v>
      </c>
      <c r="AP92">
        <v>1.3926006487947999</v>
      </c>
      <c r="AQ92">
        <v>1.1595251133348001</v>
      </c>
      <c r="AX92">
        <v>111.75267321858999</v>
      </c>
      <c r="AY92">
        <v>-8.4083154234843999E-3</v>
      </c>
      <c r="AZ92">
        <v>9.1577902785140008E-3</v>
      </c>
      <c r="BA92">
        <v>-7.8026533329423001E-3</v>
      </c>
      <c r="BB92">
        <v>6.8599912753003001E-3</v>
      </c>
      <c r="BC92">
        <v>2.6902978955970999E-4</v>
      </c>
      <c r="BD92">
        <v>7.5842586947250009E-5</v>
      </c>
      <c r="BE92">
        <f>(Table__150_diric[[#This Row],[F2]]+Table__150_diric_3[[#This Row],[F2]]+Table__150_diric_4[[#This Row],[F2]])/2</f>
        <v>-9.4342596229178999E-3</v>
      </c>
      <c r="BF92">
        <v>111.75267321858999</v>
      </c>
      <c r="BG92">
        <v>-4.7688432341910997E-3</v>
      </c>
      <c r="BH92">
        <v>2.0526557944240999E-3</v>
      </c>
      <c r="BI92">
        <v>2.6617939202879999E-3</v>
      </c>
      <c r="BJ92">
        <v>7.2909033117593997E-5</v>
      </c>
      <c r="BK92">
        <v>1.8515513638639001E-5</v>
      </c>
      <c r="BM92">
        <v>111.75267321858999</v>
      </c>
      <c r="BN92">
        <v>-5.6913605881603003E-3</v>
      </c>
      <c r="BO92">
        <v>4.2117715338689E-3</v>
      </c>
      <c r="BP92">
        <v>1.3895971033630002E-3</v>
      </c>
      <c r="BQ92">
        <v>1.3425284028602001E-4</v>
      </c>
      <c r="BR92">
        <v>4.4260889357595997E-5</v>
      </c>
    </row>
    <row r="93" spans="1:70" x14ac:dyDescent="0.25">
      <c r="A93">
        <v>0.72194486856461004</v>
      </c>
      <c r="B93" s="1">
        <v>1.1429020166396999</v>
      </c>
      <c r="C93" s="1">
        <v>-1.4082981539287002E-18</v>
      </c>
      <c r="D93" s="1">
        <v>-5.9626466827467008E-4</v>
      </c>
      <c r="E93" s="1">
        <v>0.14357142150402</v>
      </c>
      <c r="G93">
        <v>107.58162664241</v>
      </c>
      <c r="H93">
        <v>17.486777064222</v>
      </c>
      <c r="I93">
        <v>15.192969000048</v>
      </c>
      <c r="J93">
        <v>107.58412184821</v>
      </c>
      <c r="K93">
        <v>17.480624766937002</v>
      </c>
      <c r="L93">
        <v>15.192205600696999</v>
      </c>
      <c r="M93">
        <v>-0.42968566028336003</v>
      </c>
      <c r="N93">
        <v>2.1687872677979999E-2</v>
      </c>
      <c r="O93">
        <v>1.9433054269243001E-2</v>
      </c>
      <c r="Q93">
        <v>0.72194486856461004</v>
      </c>
      <c r="R93">
        <v>4.6351449564099E-3</v>
      </c>
      <c r="S93">
        <v>1.8341736868024002E-3</v>
      </c>
      <c r="T93">
        <v>2.2521903738379001E-3</v>
      </c>
      <c r="U93">
        <v>-1.0962816886604001E-3</v>
      </c>
      <c r="V93">
        <v>4.7947451821528007E-4</v>
      </c>
      <c r="W93">
        <v>-1.8311476742383E-4</v>
      </c>
      <c r="X93">
        <v>1.1576825636439001E-4</v>
      </c>
      <c r="Z93">
        <v>107.58162664241</v>
      </c>
      <c r="AA93">
        <v>1.0850877713903</v>
      </c>
      <c r="AB93">
        <v>0.42938019347223</v>
      </c>
      <c r="AC93">
        <v>0.52723793030786004</v>
      </c>
      <c r="AD93">
        <v>0.25663962304338001</v>
      </c>
      <c r="AE93">
        <v>0.77632032574696008</v>
      </c>
      <c r="AF93">
        <v>0.29648231656749002</v>
      </c>
      <c r="AG93">
        <v>1.2963993210615001</v>
      </c>
      <c r="AH93">
        <v>1.0723930801354999</v>
      </c>
      <c r="AI93">
        <v>107.58412184821</v>
      </c>
      <c r="AJ93">
        <v>1.0858972102199</v>
      </c>
      <c r="AK93">
        <v>0.43031801633224004</v>
      </c>
      <c r="AL93">
        <v>0.52763883846572002</v>
      </c>
      <c r="AM93">
        <v>0.25658306547162002</v>
      </c>
      <c r="AN93">
        <v>0.77648464988228005</v>
      </c>
      <c r="AO93">
        <v>0.29612631519154003</v>
      </c>
      <c r="AP93">
        <v>1.3003822115943</v>
      </c>
      <c r="AQ93">
        <v>1.0754512888889001</v>
      </c>
      <c r="AX93">
        <v>116.06239554894999</v>
      </c>
      <c r="AY93">
        <v>-7.807156052003E-3</v>
      </c>
      <c r="AZ93">
        <v>7.2881730538822999E-3</v>
      </c>
      <c r="BA93">
        <v>-6.7972949249361994E-3</v>
      </c>
      <c r="BB93">
        <v>7.0813174394642004E-3</v>
      </c>
      <c r="BC93">
        <v>3.0381223383409004E-4</v>
      </c>
      <c r="BD93">
        <v>6.8851750241340009E-5</v>
      </c>
      <c r="BE93">
        <f>(Table__150_diric[[#This Row],[F2]]+Table__150_diric_3[[#This Row],[F2]]+Table__150_diric_4[[#This Row],[F2]])/2</f>
        <v>-8.7943544622465005E-3</v>
      </c>
      <c r="BF93">
        <v>116.06239554894999</v>
      </c>
      <c r="BG93">
        <v>-4.5044137491019997E-3</v>
      </c>
      <c r="BH93">
        <v>1.6903660487082002E-3</v>
      </c>
      <c r="BI93">
        <v>2.7506233428708001E-3</v>
      </c>
      <c r="BJ93">
        <v>7.4460647231388007E-5</v>
      </c>
      <c r="BK93">
        <v>1.1036289708438001E-5</v>
      </c>
      <c r="BM93">
        <v>116.06239554894999</v>
      </c>
      <c r="BN93">
        <v>-5.2771391233880005E-3</v>
      </c>
      <c r="BO93">
        <v>3.6766022215132003E-3</v>
      </c>
      <c r="BP93">
        <v>1.4963049313807999E-3</v>
      </c>
      <c r="BQ93">
        <v>1.4463872663134002E-4</v>
      </c>
      <c r="BR93">
        <v>4.0406756137306E-5</v>
      </c>
    </row>
    <row r="94" spans="1:70" x14ac:dyDescent="0.25">
      <c r="A94">
        <v>0.74993538856506003</v>
      </c>
      <c r="B94" s="1">
        <v>1.1485682725905999</v>
      </c>
      <c r="C94" s="1">
        <v>-1.7766516068659E-19</v>
      </c>
      <c r="D94" s="1">
        <v>-5.3403503261507002E-4</v>
      </c>
      <c r="E94" s="1">
        <v>0.14429891109467002</v>
      </c>
      <c r="G94">
        <v>111.75267321858999</v>
      </c>
      <c r="H94">
        <v>17.573472645436002</v>
      </c>
      <c r="I94">
        <v>15.269953170593</v>
      </c>
      <c r="J94">
        <v>111.75527439265001</v>
      </c>
      <c r="K94">
        <v>17.568173738849001</v>
      </c>
      <c r="L94">
        <v>15.270338993878001</v>
      </c>
      <c r="M94">
        <v>-0.41749938464602998</v>
      </c>
      <c r="N94">
        <v>1.9870746407761999E-2</v>
      </c>
      <c r="O94">
        <v>1.7481733689447002E-2</v>
      </c>
      <c r="Q94">
        <v>0.74993538856506003</v>
      </c>
      <c r="R94">
        <v>4.3305982835591004E-3</v>
      </c>
      <c r="S94">
        <v>1.7820568755269003E-3</v>
      </c>
      <c r="T94">
        <v>2.1385960280895003E-3</v>
      </c>
      <c r="U94">
        <v>-9.8433962557465012E-4</v>
      </c>
      <c r="V94">
        <v>4.3880677549168001E-4</v>
      </c>
      <c r="W94">
        <v>-1.6498376498930002E-4</v>
      </c>
      <c r="X94">
        <v>1.0799609299283E-4</v>
      </c>
      <c r="Z94">
        <v>111.75267321858999</v>
      </c>
      <c r="AA94">
        <v>1.0137933731275</v>
      </c>
      <c r="AB94">
        <v>0.41717964416240005</v>
      </c>
      <c r="AC94">
        <v>0.50064548570692002</v>
      </c>
      <c r="AD94">
        <v>0.23043397793393999</v>
      </c>
      <c r="AE94">
        <v>0.71047491774469007</v>
      </c>
      <c r="AF94">
        <v>0.26712629204196003</v>
      </c>
      <c r="AG94">
        <v>1.209364864169</v>
      </c>
      <c r="AH94">
        <v>0.99198684319755004</v>
      </c>
      <c r="AI94">
        <v>111.75527439265001</v>
      </c>
      <c r="AJ94">
        <v>1.0148094274493999</v>
      </c>
      <c r="AK94">
        <v>0.41809053813589997</v>
      </c>
      <c r="AL94">
        <v>0.50052194904099001</v>
      </c>
      <c r="AM94">
        <v>0.23038221020884003</v>
      </c>
      <c r="AN94">
        <v>0.71074201390866998</v>
      </c>
      <c r="AO94">
        <v>0.26676895146486002</v>
      </c>
      <c r="AP94">
        <v>1.2127214194636</v>
      </c>
      <c r="AQ94">
        <v>0.99458085530424012</v>
      </c>
      <c r="AX94">
        <v>120.50160069136999</v>
      </c>
      <c r="AY94">
        <v>-7.2857001114453998E-3</v>
      </c>
      <c r="AZ94">
        <v>5.5526871149899001E-3</v>
      </c>
      <c r="BA94">
        <v>-5.8781074792563998E-3</v>
      </c>
      <c r="BB94">
        <v>7.3271092383039001E-3</v>
      </c>
      <c r="BC94">
        <v>3.4452037279752003E-4</v>
      </c>
      <c r="BD94">
        <v>6.0509135389562998E-5</v>
      </c>
      <c r="BE94">
        <f>(Table__150_diric[[#This Row],[F2]]+Table__150_diric_3[[#This Row],[F2]]+Table__150_diric_4[[#This Row],[F2]])/2</f>
        <v>-8.2296015866884491E-3</v>
      </c>
      <c r="BF94">
        <v>120.50160069136999</v>
      </c>
      <c r="BG94">
        <v>-4.2692903676685E-3</v>
      </c>
      <c r="BH94">
        <v>1.3814764661762E-3</v>
      </c>
      <c r="BI94">
        <v>2.8169290884741001E-3</v>
      </c>
      <c r="BJ94">
        <v>7.5147941842634012E-5</v>
      </c>
      <c r="BK94">
        <v>4.2631288243996999E-6</v>
      </c>
      <c r="BM94">
        <v>120.50160069136999</v>
      </c>
      <c r="BN94">
        <v>-4.9042126942630002E-3</v>
      </c>
      <c r="BO94">
        <v>3.1946345307879999E-3</v>
      </c>
      <c r="BP94">
        <v>1.5948141033188001E-3</v>
      </c>
      <c r="BQ94">
        <v>1.5159809121525003E-4</v>
      </c>
      <c r="BR94">
        <v>3.6834031059046001E-5</v>
      </c>
    </row>
    <row r="95" spans="1:70" x14ac:dyDescent="0.25">
      <c r="A95">
        <v>0.77885651588440008</v>
      </c>
      <c r="B95" s="1">
        <v>1.1538916826248</v>
      </c>
      <c r="C95" s="1">
        <v>-7.5407108129314001E-19</v>
      </c>
      <c r="D95" s="1">
        <v>-4.7039872151799007E-4</v>
      </c>
      <c r="E95" s="1">
        <v>0.14496996998787001</v>
      </c>
      <c r="G95">
        <v>116.06239554894999</v>
      </c>
      <c r="H95">
        <v>17.654922571267999</v>
      </c>
      <c r="I95">
        <v>15.340965749941001</v>
      </c>
      <c r="J95">
        <v>116.06509703684</v>
      </c>
      <c r="K95">
        <v>17.650475353575999</v>
      </c>
      <c r="L95">
        <v>15.342541859942001</v>
      </c>
      <c r="M95">
        <v>-0.40623757628134005</v>
      </c>
      <c r="N95">
        <v>1.7912559616233999E-2</v>
      </c>
      <c r="O95">
        <v>1.5474595507646001E-2</v>
      </c>
      <c r="Q95">
        <v>0.77885651588440008</v>
      </c>
      <c r="R95">
        <v>4.0370416827499997E-3</v>
      </c>
      <c r="S95">
        <v>1.7338953912258003E-3</v>
      </c>
      <c r="T95">
        <v>2.0316692534833999E-3</v>
      </c>
      <c r="U95">
        <v>-8.6901942268014008E-4</v>
      </c>
      <c r="V95">
        <v>4.0047860238701002E-4</v>
      </c>
      <c r="W95">
        <v>-1.4614436076954002E-4</v>
      </c>
      <c r="X95">
        <v>1.0075384489028001E-4</v>
      </c>
      <c r="Z95">
        <v>116.06239554894999</v>
      </c>
      <c r="AA95">
        <v>0.94507175152895018</v>
      </c>
      <c r="AB95">
        <v>0.40590503718492998</v>
      </c>
      <c r="AC95">
        <v>0.47561391999529001</v>
      </c>
      <c r="AD95">
        <v>0.20343751004957</v>
      </c>
      <c r="AE95">
        <v>0.64841752220121007</v>
      </c>
      <c r="AF95">
        <v>0.23662328955665002</v>
      </c>
      <c r="AG95">
        <v>1.1282645192389</v>
      </c>
      <c r="AH95">
        <v>0.91611714565938007</v>
      </c>
      <c r="AI95">
        <v>116.06509703684</v>
      </c>
      <c r="AJ95">
        <v>0.94625952857956008</v>
      </c>
      <c r="AK95">
        <v>0.40677048260644</v>
      </c>
      <c r="AL95">
        <v>0.47520546161969002</v>
      </c>
      <c r="AM95">
        <v>0.20339511999614002</v>
      </c>
      <c r="AN95">
        <v>0.64873977277681005</v>
      </c>
      <c r="AO95">
        <v>0.23625536411871001</v>
      </c>
      <c r="AP95">
        <v>1.1307756478665001</v>
      </c>
      <c r="AQ95">
        <v>0.91813332358601007</v>
      </c>
      <c r="AX95">
        <v>125.05841331865</v>
      </c>
      <c r="AY95">
        <v>-6.8450964141449E-3</v>
      </c>
      <c r="AZ95">
        <v>3.9857721860898001E-3</v>
      </c>
      <c r="BA95">
        <v>-5.0621233847555E-3</v>
      </c>
      <c r="BB95">
        <v>7.5763718707069008E-3</v>
      </c>
      <c r="BC95">
        <v>4.0090477314952996E-4</v>
      </c>
      <c r="BD95">
        <v>5.5829031045901009E-5</v>
      </c>
      <c r="BE95">
        <f>(Table__150_diric[[#This Row],[F2]]+Table__150_diric_3[[#This Row],[F2]]+Table__150_diric_4[[#This Row],[F2]])/2</f>
        <v>-7.7450201185263502E-3</v>
      </c>
      <c r="BF95">
        <v>125.05841331865</v>
      </c>
      <c r="BG95">
        <v>-4.065483393655E-3</v>
      </c>
      <c r="BH95">
        <v>1.1254810007009001E-3</v>
      </c>
      <c r="BI95">
        <v>2.8631396243436005E-3</v>
      </c>
      <c r="BJ95">
        <v>7.4923551575180997E-5</v>
      </c>
      <c r="BK95">
        <v>-1.9392170353131003E-6</v>
      </c>
      <c r="BM95">
        <v>125.05841331865</v>
      </c>
      <c r="BN95">
        <v>-4.5794604292527996E-3</v>
      </c>
      <c r="BO95">
        <v>2.7716850033581001E-3</v>
      </c>
      <c r="BP95">
        <v>1.6795810748302001E-3</v>
      </c>
      <c r="BQ95">
        <v>1.6202539587553E-4</v>
      </c>
      <c r="BR95">
        <v>3.3831044811134006E-5</v>
      </c>
    </row>
    <row r="96" spans="1:70" x14ac:dyDescent="0.25">
      <c r="A96">
        <v>0.80864655971527</v>
      </c>
      <c r="B96" s="1">
        <v>1.1587846279144001</v>
      </c>
      <c r="C96" s="1">
        <v>-5.4591273450540004E-19</v>
      </c>
      <c r="D96" s="1">
        <v>-4.0754021028988004E-4</v>
      </c>
      <c r="E96" s="1">
        <v>0.14557591080666002</v>
      </c>
      <c r="G96">
        <v>120.50160069136999</v>
      </c>
      <c r="H96">
        <v>17.729786244813003</v>
      </c>
      <c r="I96">
        <v>15.405087425267002</v>
      </c>
      <c r="J96">
        <v>120.50440550693999</v>
      </c>
      <c r="K96">
        <v>17.726150743539002</v>
      </c>
      <c r="L96">
        <v>15.407872319482001</v>
      </c>
      <c r="M96">
        <v>-0.39608035939765007</v>
      </c>
      <c r="N96">
        <v>1.5799234618284998E-2</v>
      </c>
      <c r="O96">
        <v>1.3414884216373E-2</v>
      </c>
      <c r="Q96">
        <v>0.80864655971527</v>
      </c>
      <c r="R96">
        <v>3.7598921917379002E-3</v>
      </c>
      <c r="S96">
        <v>1.6904588555917003E-3</v>
      </c>
      <c r="T96">
        <v>1.9335057586432002E-3</v>
      </c>
      <c r="U96">
        <v>-7.5064675183967005E-4</v>
      </c>
      <c r="V96">
        <v>3.6510391510092004E-4</v>
      </c>
      <c r="W96">
        <v>-1.2663721281569001E-4</v>
      </c>
      <c r="X96">
        <v>9.4144954346120005E-5</v>
      </c>
      <c r="Z96">
        <v>120.50160069136999</v>
      </c>
      <c r="AA96">
        <v>0.88019103552709999</v>
      </c>
      <c r="AB96">
        <v>0.39573654103403</v>
      </c>
      <c r="AC96">
        <v>0.45263383871415996</v>
      </c>
      <c r="AD96">
        <v>0.17572645919707003</v>
      </c>
      <c r="AE96">
        <v>0.59114213484723999</v>
      </c>
      <c r="AF96">
        <v>0.20503913882785998</v>
      </c>
      <c r="AG96">
        <v>1.0542566566047</v>
      </c>
      <c r="AH96">
        <v>0.84610714088472005</v>
      </c>
      <c r="AI96">
        <v>120.50440550693999</v>
      </c>
      <c r="AJ96">
        <v>0.88160202547989008</v>
      </c>
      <c r="AK96">
        <v>0.39654326940347001</v>
      </c>
      <c r="AL96">
        <v>0.45210662493907006</v>
      </c>
      <c r="AM96">
        <v>0.17570380842341002</v>
      </c>
      <c r="AN96">
        <v>0.59147279410143005</v>
      </c>
      <c r="AO96">
        <v>0.20467744003499</v>
      </c>
      <c r="AP96">
        <v>1.0559773018697001</v>
      </c>
      <c r="AQ96">
        <v>0.84750320822826009</v>
      </c>
      <c r="AX96">
        <v>129.71831124684999</v>
      </c>
      <c r="AY96">
        <v>-6.4828447655587004E-3</v>
      </c>
      <c r="AZ96">
        <v>2.6248156617519002E-3</v>
      </c>
      <c r="BA96">
        <v>-4.3672935304792998E-3</v>
      </c>
      <c r="BB96">
        <v>7.8160755444790005E-3</v>
      </c>
      <c r="BC96">
        <v>4.5832747021245005E-4</v>
      </c>
      <c r="BD96">
        <v>4.9080380405331005E-5</v>
      </c>
      <c r="BE96">
        <f>(Table__150_diric[[#This Row],[F2]]+Table__150_diric_3[[#This Row],[F2]]+Table__150_diric_4[[#This Row],[F2]])/2</f>
        <v>-7.3408560242459505E-3</v>
      </c>
      <c r="BF96">
        <v>129.71831124684999</v>
      </c>
      <c r="BG96">
        <v>-3.8950709159376999E-3</v>
      </c>
      <c r="BH96">
        <v>9.2011824264005002E-4</v>
      </c>
      <c r="BI96">
        <v>2.8928875786260002E-3</v>
      </c>
      <c r="BJ96">
        <v>7.4977167509944999E-5</v>
      </c>
      <c r="BK96">
        <v>-7.0879271617758992E-6</v>
      </c>
      <c r="BM96">
        <v>129.71831124684999</v>
      </c>
      <c r="BN96">
        <v>-4.3037963669955003E-3</v>
      </c>
      <c r="BO96">
        <v>2.4133754820747999E-3</v>
      </c>
      <c r="BP96">
        <v>1.7521289469766001E-3</v>
      </c>
      <c r="BQ96">
        <v>1.7008287444467002E-4</v>
      </c>
      <c r="BR96">
        <v>3.1790936500551002E-5</v>
      </c>
    </row>
    <row r="97" spans="1:70" x14ac:dyDescent="0.25">
      <c r="A97">
        <v>0.83922582864760997</v>
      </c>
      <c r="B97" s="1">
        <v>1.1631536483764999</v>
      </c>
      <c r="C97" s="1">
        <v>1.7120653446378002E-18</v>
      </c>
      <c r="D97" s="1">
        <v>-3.4547643736004997E-4</v>
      </c>
      <c r="E97" s="1">
        <v>0.14610804617405002</v>
      </c>
      <c r="G97">
        <v>125.05841331865</v>
      </c>
      <c r="H97">
        <v>17.796633696034</v>
      </c>
      <c r="I97">
        <v>15.461398883744998</v>
      </c>
      <c r="J97">
        <v>125.06131531708999</v>
      </c>
      <c r="K97">
        <v>17.793693368231001</v>
      </c>
      <c r="L97">
        <v>15.465317497156001</v>
      </c>
      <c r="M97">
        <v>-0.38719039935569</v>
      </c>
      <c r="N97">
        <v>1.3521223554074001E-2</v>
      </c>
      <c r="O97">
        <v>1.1299161546923E-2</v>
      </c>
      <c r="Q97">
        <v>0.83922582864760997</v>
      </c>
      <c r="R97">
        <v>3.5057545173913002E-3</v>
      </c>
      <c r="S97">
        <v>1.6524425009266E-3</v>
      </c>
      <c r="T97">
        <v>1.8460549181327003E-3</v>
      </c>
      <c r="U97">
        <v>-6.2960031209514E-4</v>
      </c>
      <c r="V97">
        <v>3.3335972693749E-4</v>
      </c>
      <c r="W97">
        <v>-1.0652711353032001E-4</v>
      </c>
      <c r="X97">
        <v>8.8277694885619012E-5</v>
      </c>
      <c r="Z97">
        <v>125.05841331865</v>
      </c>
      <c r="AA97">
        <v>0.82069738748019005</v>
      </c>
      <c r="AB97">
        <v>0.38683690964215001</v>
      </c>
      <c r="AC97">
        <v>0.43216159059074005</v>
      </c>
      <c r="AD97">
        <v>0.14738947884966999</v>
      </c>
      <c r="AE97">
        <v>0.53974491234763</v>
      </c>
      <c r="AF97">
        <v>0.17247874565799004</v>
      </c>
      <c r="AG97">
        <v>0.98855374788034001</v>
      </c>
      <c r="AH97">
        <v>0.78339453891241007</v>
      </c>
      <c r="AI97">
        <v>125.06131531708999</v>
      </c>
      <c r="AJ97">
        <v>0.82244290747726001</v>
      </c>
      <c r="AK97">
        <v>0.38757810350443</v>
      </c>
      <c r="AL97">
        <v>0.43165315233797003</v>
      </c>
      <c r="AM97">
        <v>0.14740008601875002</v>
      </c>
      <c r="AN97">
        <v>0.54011429751067996</v>
      </c>
      <c r="AO97">
        <v>0.17215280762324003</v>
      </c>
      <c r="AP97">
        <v>0.98982583112248013</v>
      </c>
      <c r="AQ97">
        <v>0.78419381866973004</v>
      </c>
      <c r="AX97">
        <v>134.46423202006</v>
      </c>
      <c r="AY97">
        <v>-6.1975534894308003E-3</v>
      </c>
      <c r="AZ97">
        <v>1.5101831052404E-3</v>
      </c>
      <c r="BA97">
        <v>-3.8090527502778002E-3</v>
      </c>
      <c r="BB97">
        <v>8.0340253333208989E-3</v>
      </c>
      <c r="BC97">
        <v>5.0943681241840007E-4</v>
      </c>
      <c r="BD97">
        <v>4.7039011271114001E-5</v>
      </c>
      <c r="BE97">
        <f>(Table__150_diric[[#This Row],[F2]]+Table__150_diric_3[[#This Row],[F2]]+Table__150_diric_4[[#This Row],[F2]])/2</f>
        <v>-7.0195387285343505E-3</v>
      </c>
      <c r="BF97">
        <v>134.46423202006</v>
      </c>
      <c r="BG97">
        <v>-3.7601281957405004E-3</v>
      </c>
      <c r="BH97">
        <v>7.6221041701389004E-4</v>
      </c>
      <c r="BI97">
        <v>2.9109999530176002E-3</v>
      </c>
      <c r="BJ97">
        <v>7.5325753913124002E-5</v>
      </c>
      <c r="BK97">
        <v>-1.1592071795837001E-5</v>
      </c>
      <c r="BM97">
        <v>134.46423202006</v>
      </c>
      <c r="BN97">
        <v>-4.0813957718974E-3</v>
      </c>
      <c r="BO97">
        <v>2.1261976352789E-3</v>
      </c>
      <c r="BP97">
        <v>1.8120847151128002E-3</v>
      </c>
      <c r="BQ97">
        <v>1.7199472891514002E-4</v>
      </c>
      <c r="BR97">
        <v>2.8881307409451004E-5</v>
      </c>
    </row>
    <row r="98" spans="1:70" x14ac:dyDescent="0.25">
      <c r="A98">
        <v>0.87049686908722002</v>
      </c>
      <c r="B98" s="1">
        <v>1.1669018268585001</v>
      </c>
      <c r="C98" s="1">
        <v>4.3071625367880999E-19</v>
      </c>
      <c r="D98" s="1">
        <v>-2.8389238286763001E-4</v>
      </c>
      <c r="E98" s="1">
        <v>0.1465577185154</v>
      </c>
      <c r="G98">
        <v>129.71831124684999</v>
      </c>
      <c r="H98">
        <v>17.8539820606</v>
      </c>
      <c r="I98">
        <v>15.508983966282003</v>
      </c>
      <c r="J98">
        <v>129.72133059212001</v>
      </c>
      <c r="K98">
        <v>17.85159121545</v>
      </c>
      <c r="L98">
        <v>15.513889760622002</v>
      </c>
      <c r="M98">
        <v>-0.37970736693641999</v>
      </c>
      <c r="N98">
        <v>1.1072341039183E-2</v>
      </c>
      <c r="O98">
        <v>9.1206344204663014E-3</v>
      </c>
      <c r="Q98">
        <v>0.87049686908722002</v>
      </c>
      <c r="R98">
        <v>3.2826415263116E-3</v>
      </c>
      <c r="S98">
        <v>1.6204431885853002E-3</v>
      </c>
      <c r="T98">
        <v>1.7714803107083E-3</v>
      </c>
      <c r="U98">
        <v>-5.0632318016142E-4</v>
      </c>
      <c r="V98">
        <v>3.0598504235967999E-4</v>
      </c>
      <c r="W98">
        <v>-8.5895910160616013E-5</v>
      </c>
      <c r="X98">
        <v>8.3269209426362E-5</v>
      </c>
      <c r="Z98">
        <v>129.71831124684999</v>
      </c>
      <c r="AA98">
        <v>0.7684666200423601</v>
      </c>
      <c r="AB98">
        <v>0.37934586829589001</v>
      </c>
      <c r="AC98">
        <v>0.41470366956916999</v>
      </c>
      <c r="AD98">
        <v>0.11853029329856</v>
      </c>
      <c r="AE98">
        <v>0.49542238165764002</v>
      </c>
      <c r="AF98">
        <v>0.13907462945983001</v>
      </c>
      <c r="AG98">
        <v>0.93246758615660996</v>
      </c>
      <c r="AH98">
        <v>0.72941353227338013</v>
      </c>
      <c r="AI98">
        <v>129.72133059212001</v>
      </c>
      <c r="AJ98">
        <v>0.77044114094409999</v>
      </c>
      <c r="AK98">
        <v>0.38001737434515004</v>
      </c>
      <c r="AL98">
        <v>0.41428837230292004</v>
      </c>
      <c r="AM98">
        <v>0.11856621163615</v>
      </c>
      <c r="AN98">
        <v>0.49585565370991003</v>
      </c>
      <c r="AO98">
        <v>0.13878475122747999</v>
      </c>
      <c r="AP98">
        <v>0.93363423282133007</v>
      </c>
      <c r="AQ98">
        <v>0.7297292822547301</v>
      </c>
      <c r="AX98">
        <v>139.27686601876999</v>
      </c>
      <c r="AY98">
        <v>-5.9894467557598001E-3</v>
      </c>
      <c r="AZ98">
        <v>6.8097361665855004E-4</v>
      </c>
      <c r="BA98">
        <v>-3.3991570951524002E-3</v>
      </c>
      <c r="BB98">
        <v>8.2097491380432007E-3</v>
      </c>
      <c r="BC98">
        <v>5.3993903696182999E-4</v>
      </c>
      <c r="BD98">
        <v>4.2057940751452007E-5</v>
      </c>
      <c r="BE98">
        <f>(Table__150_diric[[#This Row],[F2]]+Table__150_diric_3[[#This Row],[F2]]+Table__150_diric_4[[#This Row],[F2]])/2</f>
        <v>-6.7861624042814999E-3</v>
      </c>
      <c r="BF98">
        <v>139.27686601876999</v>
      </c>
      <c r="BG98">
        <v>-3.6626521840247002E-3</v>
      </c>
      <c r="BH98">
        <v>6.5178608818781004E-4</v>
      </c>
      <c r="BI98">
        <v>2.9202948226264998E-3</v>
      </c>
      <c r="BJ98">
        <v>7.5839040078930006E-5</v>
      </c>
      <c r="BK98">
        <v>-1.4732233131442001E-5</v>
      </c>
      <c r="BM98">
        <v>139.27686601876999</v>
      </c>
      <c r="BN98">
        <v>-3.9202258687784999E-3</v>
      </c>
      <c r="BO98">
        <v>1.9183525527377001E-3</v>
      </c>
      <c r="BP98">
        <v>1.8539897078796001E-3</v>
      </c>
      <c r="BQ98">
        <v>1.7622180691040002E-4</v>
      </c>
      <c r="BR98">
        <v>2.8338198749162004E-5</v>
      </c>
    </row>
    <row r="99" spans="1:70" x14ac:dyDescent="0.25">
      <c r="A99">
        <v>0.90234518051147006</v>
      </c>
      <c r="B99" s="1">
        <v>1.1699340343475</v>
      </c>
      <c r="C99" s="1">
        <v>-4.6438581333216997E-19</v>
      </c>
      <c r="D99" s="1">
        <v>-2.2382785391527999E-4</v>
      </c>
      <c r="E99" s="1">
        <v>0.14691667258739002</v>
      </c>
      <c r="G99">
        <v>134.46423202006</v>
      </c>
      <c r="H99">
        <v>17.900375833295001</v>
      </c>
      <c r="I99">
        <v>15.546969089165001</v>
      </c>
      <c r="J99">
        <v>134.46736183219002</v>
      </c>
      <c r="K99">
        <v>17.898447178626</v>
      </c>
      <c r="L99">
        <v>15.552751357844002</v>
      </c>
      <c r="M99">
        <v>-0.37375815815421004</v>
      </c>
      <c r="N99">
        <v>8.4598053666876012E-3</v>
      </c>
      <c r="O99">
        <v>6.8847389954573004E-3</v>
      </c>
      <c r="Q99">
        <v>0.90234518051147006</v>
      </c>
      <c r="R99">
        <v>3.0991248786449003E-3</v>
      </c>
      <c r="S99">
        <v>1.5950029483065E-3</v>
      </c>
      <c r="T99">
        <v>1.7116717062891E-3</v>
      </c>
      <c r="U99">
        <v>-3.8127443986014003E-4</v>
      </c>
      <c r="V99">
        <v>2.8373854001984E-4</v>
      </c>
      <c r="W99">
        <v>-6.4832755015232008E-5</v>
      </c>
      <c r="X99">
        <v>7.9232100688387007E-5</v>
      </c>
      <c r="Z99">
        <v>134.46423202006</v>
      </c>
      <c r="AA99">
        <v>0.72550535947719008</v>
      </c>
      <c r="AB99">
        <v>0.37339030619646002</v>
      </c>
      <c r="AC99">
        <v>0.40070247092500005</v>
      </c>
      <c r="AD99">
        <v>8.9256374099755009E-2</v>
      </c>
      <c r="AE99">
        <v>0.45940292434116003</v>
      </c>
      <c r="AF99">
        <v>0.10497113731892001</v>
      </c>
      <c r="AG99">
        <v>0.88725912235727</v>
      </c>
      <c r="AH99">
        <v>0.68553689971263998</v>
      </c>
      <c r="AI99">
        <v>134.46736183219002</v>
      </c>
      <c r="AJ99">
        <v>0.72737728874332008</v>
      </c>
      <c r="AK99">
        <v>0.37397046971423004</v>
      </c>
      <c r="AL99">
        <v>0.40042255717012004</v>
      </c>
      <c r="AM99">
        <v>8.9297947280875006E-2</v>
      </c>
      <c r="AN99">
        <v>0.45981199888011998</v>
      </c>
      <c r="AO99">
        <v>0.10469530737602001</v>
      </c>
      <c r="AP99">
        <v>0.88842881108606009</v>
      </c>
      <c r="AQ99">
        <v>0.68554665234821011</v>
      </c>
      <c r="AX99">
        <v>144.13507391710002</v>
      </c>
      <c r="AY99">
        <v>-5.8640457129480999E-3</v>
      </c>
      <c r="AZ99">
        <v>1.7035312306628E-4</v>
      </c>
      <c r="BA99">
        <v>-3.1470258887636E-3</v>
      </c>
      <c r="BB99">
        <v>8.321100969488E-3</v>
      </c>
      <c r="BC99">
        <v>5.6108380005180007E-4</v>
      </c>
      <c r="BD99">
        <v>4.1466290894396E-5</v>
      </c>
      <c r="BE99">
        <f>(Table__150_diric[[#This Row],[F2]]+Table__150_diric_3[[#This Row],[F2]]+Table__150_diric_4[[#This Row],[F2]])/2</f>
        <v>-6.6458099923138499E-3</v>
      </c>
      <c r="BF99">
        <v>144.13507391710002</v>
      </c>
      <c r="BG99">
        <v>-3.6042576274025002E-3</v>
      </c>
      <c r="BH99">
        <v>5.8806940700751003E-4</v>
      </c>
      <c r="BI99">
        <v>2.923242562251E-3</v>
      </c>
      <c r="BJ99">
        <v>7.6018040935922014E-5</v>
      </c>
      <c r="BK99">
        <v>-1.6927617208012E-5</v>
      </c>
      <c r="BM99">
        <v>144.13507391710002</v>
      </c>
      <c r="BN99">
        <v>-3.8233166442771002E-3</v>
      </c>
      <c r="BO99">
        <v>1.7942462344474001E-3</v>
      </c>
      <c r="BP99">
        <v>1.8816630031741003E-3</v>
      </c>
      <c r="BQ99">
        <v>1.7433453485696999E-4</v>
      </c>
      <c r="BR99">
        <v>2.6927128201433005E-5</v>
      </c>
    </row>
    <row r="100" spans="1:70" x14ac:dyDescent="0.25">
      <c r="A100">
        <v>0.93464118242264016</v>
      </c>
      <c r="B100" s="1">
        <v>1.1721643209457</v>
      </c>
      <c r="C100" s="1">
        <v>-7.5142410333297003E-19</v>
      </c>
      <c r="D100" s="1">
        <v>-1.6812383546494002E-4</v>
      </c>
      <c r="E100" s="1">
        <v>0.14717797935009</v>
      </c>
      <c r="G100">
        <v>139.27686601876999</v>
      </c>
      <c r="H100">
        <v>17.934499952391999</v>
      </c>
      <c r="I100">
        <v>15.574621009746</v>
      </c>
      <c r="J100">
        <v>139.28011673285999</v>
      </c>
      <c r="K100">
        <v>17.933030125988999</v>
      </c>
      <c r="L100">
        <v>15.581214417096</v>
      </c>
      <c r="M100">
        <v>-0.36945646843136004</v>
      </c>
      <c r="N100">
        <v>5.7057482805252004E-3</v>
      </c>
      <c r="O100">
        <v>4.6040296759087005E-3</v>
      </c>
      <c r="Q100">
        <v>0.93464118242264016</v>
      </c>
      <c r="R100">
        <v>2.9628691263497002E-3</v>
      </c>
      <c r="S100">
        <v>1.5766087453812001E-3</v>
      </c>
      <c r="T100">
        <v>1.6679784748703003E-3</v>
      </c>
      <c r="U100">
        <v>-2.5490956613794002E-4</v>
      </c>
      <c r="V100">
        <v>2.6730156969278997E-4</v>
      </c>
      <c r="W100">
        <v>-4.343294131103901E-5</v>
      </c>
      <c r="X100">
        <v>7.6264717790764015E-5</v>
      </c>
      <c r="Z100">
        <v>139.27686601876999</v>
      </c>
      <c r="AA100">
        <v>0.69360787795556</v>
      </c>
      <c r="AB100">
        <v>0.36908422195392004</v>
      </c>
      <c r="AC100">
        <v>0.39047388227224999</v>
      </c>
      <c r="AD100">
        <v>5.9674347971400005E-2</v>
      </c>
      <c r="AE100">
        <v>0.43278971827113999</v>
      </c>
      <c r="AF100">
        <v>7.0322559105414004E-2</v>
      </c>
      <c r="AG100">
        <v>0.85402969233373005</v>
      </c>
      <c r="AH100">
        <v>0.65305333252366005</v>
      </c>
      <c r="AI100">
        <v>139.28011673285999</v>
      </c>
      <c r="AJ100">
        <v>0.69503812709502011</v>
      </c>
      <c r="AK100">
        <v>0.36952339555608005</v>
      </c>
      <c r="AL100">
        <v>0.39033048448625007</v>
      </c>
      <c r="AM100">
        <v>5.9706288583958995E-2</v>
      </c>
      <c r="AN100">
        <v>0.43310035502851996</v>
      </c>
      <c r="AO100">
        <v>7.0048537055549004E-2</v>
      </c>
      <c r="AP100">
        <v>0.85510879526749994</v>
      </c>
      <c r="AQ100">
        <v>0.65293359720763</v>
      </c>
      <c r="AX100">
        <v>149.01640184285</v>
      </c>
      <c r="AY100">
        <v>-5.8224207845207999E-3</v>
      </c>
      <c r="AZ100">
        <v>9.2977049274935004E-10</v>
      </c>
      <c r="BA100">
        <v>-3.0593123653099002E-3</v>
      </c>
      <c r="BB100">
        <v>8.356594184810601E-3</v>
      </c>
      <c r="BC100">
        <v>5.6490136756022003E-4</v>
      </c>
      <c r="BD100">
        <v>3.9763332310542004E-5</v>
      </c>
      <c r="BE100">
        <f>(Table__150_diric[[#This Row],[F2]]+Table__150_diric_3[[#This Row],[F2]]+Table__150_diric_4[[#This Row],[F2]])/2</f>
        <v>-6.60101781828805E-3</v>
      </c>
      <c r="BF100">
        <v>149.01640184285</v>
      </c>
      <c r="BG100">
        <v>-3.5856964457745E-3</v>
      </c>
      <c r="BH100">
        <v>5.6982642704410001E-4</v>
      </c>
      <c r="BI100">
        <v>2.9229125924812999E-3</v>
      </c>
      <c r="BJ100">
        <v>7.5517562659624E-5</v>
      </c>
      <c r="BK100">
        <v>-1.7439863589477002E-5</v>
      </c>
      <c r="BM100">
        <v>149.01640184285</v>
      </c>
      <c r="BN100">
        <v>-3.7939184062807997E-3</v>
      </c>
      <c r="BO100">
        <v>1.754451675601E-3</v>
      </c>
      <c r="BP100">
        <v>1.8936071381447999E-3</v>
      </c>
      <c r="BQ100">
        <v>1.7264973557709002E-4</v>
      </c>
      <c r="BR100">
        <v>2.6790143042060001E-5</v>
      </c>
    </row>
    <row r="101" spans="1:70" x14ac:dyDescent="0.25">
      <c r="A101">
        <v>0.96724301576614014</v>
      </c>
      <c r="B101" s="1">
        <v>1.1735241413116</v>
      </c>
      <c r="C101" s="1">
        <v>-1.4833664488791E-19</v>
      </c>
      <c r="D101" s="1">
        <v>-1.2065620103385E-4</v>
      </c>
      <c r="E101" s="1">
        <v>0.14733611047268</v>
      </c>
      <c r="G101">
        <v>144.13507391710002</v>
      </c>
      <c r="H101">
        <v>17.955305651603002</v>
      </c>
      <c r="I101">
        <v>15.591354710773</v>
      </c>
      <c r="J101">
        <v>144.13843771165</v>
      </c>
      <c r="K101">
        <v>17.954342384834</v>
      </c>
      <c r="L101">
        <v>15.598723592396</v>
      </c>
      <c r="M101">
        <v>-0.36689257278483001</v>
      </c>
      <c r="N101">
        <v>2.8500436249853005E-3</v>
      </c>
      <c r="O101">
        <v>2.2805174321404E-3</v>
      </c>
      <c r="Q101">
        <v>0.96724301576614014</v>
      </c>
      <c r="R101">
        <v>2.8794857207686004E-3</v>
      </c>
      <c r="S101">
        <v>1.5656466130167003E-3</v>
      </c>
      <c r="T101">
        <v>1.6414732672274002E-3</v>
      </c>
      <c r="U101">
        <v>-1.2766358850058E-4</v>
      </c>
      <c r="V101">
        <v>2.5720548001117999E-4</v>
      </c>
      <c r="W101">
        <v>-2.1812431441504E-5</v>
      </c>
      <c r="X101">
        <v>7.4447358201724007E-5</v>
      </c>
      <c r="Z101">
        <v>144.13507391710002</v>
      </c>
      <c r="AA101">
        <v>0.67408781664489004</v>
      </c>
      <c r="AB101">
        <v>0.36651798597016</v>
      </c>
      <c r="AC101">
        <v>0.38426901123543006</v>
      </c>
      <c r="AD101">
        <v>2.9886055352426003E-2</v>
      </c>
      <c r="AE101">
        <v>0.41644307349099008</v>
      </c>
      <c r="AF101">
        <v>3.5316650288385001E-2</v>
      </c>
      <c r="AG101">
        <v>0.83367848543690004</v>
      </c>
      <c r="AH101">
        <v>0.63305791646568998</v>
      </c>
      <c r="AI101">
        <v>144.13843771165</v>
      </c>
      <c r="AJ101">
        <v>0.67485665238082004</v>
      </c>
      <c r="AK101">
        <v>0.36675264701832</v>
      </c>
      <c r="AL101">
        <v>0.38419874572830004</v>
      </c>
      <c r="AM101">
        <v>2.9906107711796998E-2</v>
      </c>
      <c r="AN101">
        <v>0.41668060769372001</v>
      </c>
      <c r="AO101">
        <v>3.5034381270801995E-2</v>
      </c>
      <c r="AP101">
        <v>0.83462838801195005</v>
      </c>
      <c r="AQ101">
        <v>0.63293438670173008</v>
      </c>
      <c r="BE101">
        <f>(Table__150_diric[[#This Row],[F2]]+Table__150_diric_3[[#This Row],[F2]]+Table__150_diric_4[[#This Row],[F2]])/2</f>
        <v>0</v>
      </c>
    </row>
    <row r="102" spans="1:70" x14ac:dyDescent="0.25">
      <c r="A102">
        <v>1</v>
      </c>
      <c r="B102" s="1">
        <v>1.1739702224731001</v>
      </c>
      <c r="C102" s="1">
        <v>-1.4553084825013001E-19</v>
      </c>
      <c r="D102" s="1">
        <v>-8.4347266238183E-5</v>
      </c>
      <c r="E102" s="1">
        <v>0.14738699793815999</v>
      </c>
      <c r="G102">
        <v>149.01640184285</v>
      </c>
      <c r="H102">
        <v>17.962130840211003</v>
      </c>
      <c r="I102">
        <v>15.596739707851999</v>
      </c>
      <c r="J102">
        <v>149.01987037373999</v>
      </c>
      <c r="K102">
        <v>17.961712760356999</v>
      </c>
      <c r="L102">
        <v>15.604865529631001</v>
      </c>
      <c r="M102">
        <v>-0.36612140271077998</v>
      </c>
      <c r="N102">
        <v>-5.6542727714348005E-5</v>
      </c>
      <c r="O102">
        <v>-7.6935442952781003E-5</v>
      </c>
      <c r="Q102">
        <v>1</v>
      </c>
      <c r="R102">
        <v>2.8524985536932997E-3</v>
      </c>
      <c r="S102">
        <v>1.5623477520421002E-3</v>
      </c>
      <c r="T102">
        <v>1.6325549222529002E-3</v>
      </c>
      <c r="U102">
        <v>3.5121047403663E-8</v>
      </c>
      <c r="V102">
        <v>2.5380137958564E-4</v>
      </c>
      <c r="W102">
        <v>-9.2252584238395013E-8</v>
      </c>
      <c r="X102">
        <v>7.3836308729369004E-5</v>
      </c>
      <c r="Z102">
        <v>149.01640184285</v>
      </c>
      <c r="AA102">
        <v>0.66777011886991</v>
      </c>
      <c r="AB102">
        <v>0.36574572237609004</v>
      </c>
      <c r="AC102">
        <v>0.38218122602830001</v>
      </c>
      <c r="AD102">
        <v>-8.2218397514046993E-6</v>
      </c>
      <c r="AE102">
        <v>0.41093147224662996</v>
      </c>
      <c r="AF102">
        <v>1.4936676199920999E-4</v>
      </c>
      <c r="AG102">
        <v>0.82683581417301011</v>
      </c>
      <c r="AH102">
        <v>0.62627939360727003</v>
      </c>
      <c r="AI102">
        <v>149.01987037373999</v>
      </c>
      <c r="AJ102">
        <v>0.66773903369554999</v>
      </c>
      <c r="AK102">
        <v>0.36572869665237007</v>
      </c>
      <c r="AL102">
        <v>0.38216343522019003</v>
      </c>
      <c r="AM102">
        <v>8.221457018911901E-6</v>
      </c>
      <c r="AN102">
        <v>0.41113599577546006</v>
      </c>
      <c r="AO102">
        <v>-1.4944110290352001E-4</v>
      </c>
      <c r="AP102">
        <v>0.82769759308347002</v>
      </c>
      <c r="AQ102">
        <v>0.62622108746127003</v>
      </c>
      <c r="BE102">
        <f>(Table__150_diric[[#This Row],[F2]]+Table__150_diric_3[[#This Row],[F2]]+Table__150_diric_4[[#This Row],[F2]])/2</f>
        <v>0</v>
      </c>
    </row>
    <row r="103" spans="1:70" x14ac:dyDescent="0.25">
      <c r="A103">
        <v>1.0327569246292001</v>
      </c>
      <c r="B103" s="1">
        <v>1.1734884977341</v>
      </c>
      <c r="C103" s="1">
        <v>-7.8932882772260005E-20</v>
      </c>
      <c r="D103" s="1">
        <v>-6.0375710745575008E-5</v>
      </c>
      <c r="E103" s="1">
        <v>0.14732898771763001</v>
      </c>
      <c r="Q103">
        <v>1.0327569246292001</v>
      </c>
      <c r="R103">
        <v>2.8829041402787E-3</v>
      </c>
      <c r="S103">
        <v>1.5667219413444001E-3</v>
      </c>
      <c r="T103">
        <v>1.6412495169788998E-3</v>
      </c>
      <c r="U103">
        <v>1.2775519280694E-4</v>
      </c>
      <c r="V103">
        <v>2.5722416467033001E-4</v>
      </c>
      <c r="W103">
        <v>2.1627331079799001E-5</v>
      </c>
      <c r="X103">
        <v>7.445458322763401E-5</v>
      </c>
      <c r="BE103">
        <f>(Table__150_diric[[#This Row],[F2]]+Table__150_diric_3[[#This Row],[F2]]+Table__150_diric_4[[#This Row],[F2]])/2</f>
        <v>0</v>
      </c>
    </row>
    <row r="104" spans="1:70" x14ac:dyDescent="0.25">
      <c r="A104">
        <v>1.0653587579727</v>
      </c>
      <c r="B104" s="1">
        <v>1.1720955371857</v>
      </c>
      <c r="C104" s="1">
        <v>-9.1320739625854005E-19</v>
      </c>
      <c r="D104" s="1">
        <v>-4.8488800530322004E-5</v>
      </c>
      <c r="E104" s="1">
        <v>0.14716361463070002</v>
      </c>
      <c r="Q104">
        <v>1.0653587579727</v>
      </c>
      <c r="R104">
        <v>2.9691169038414999E-3</v>
      </c>
      <c r="S104">
        <v>1.5785582363605001E-3</v>
      </c>
      <c r="T104">
        <v>1.6674435464665001E-3</v>
      </c>
      <c r="U104">
        <v>2.5505787925795003E-4</v>
      </c>
      <c r="V104">
        <v>2.6736035943031002E-4</v>
      </c>
      <c r="W104">
        <v>4.3242176616332003E-5</v>
      </c>
      <c r="X104">
        <v>7.628157618455601E-5</v>
      </c>
      <c r="BE104">
        <f>(Table__150_diric[[#This Row],[F2]]+Table__150_diric_3[[#This Row],[F2]]+Table__150_diric_4[[#This Row],[F2]])/2</f>
        <v>0</v>
      </c>
    </row>
    <row r="105" spans="1:70" x14ac:dyDescent="0.25">
      <c r="A105">
        <v>1.0976548194885001</v>
      </c>
      <c r="B105" s="1">
        <v>1.1698352098464999</v>
      </c>
      <c r="C105" s="1">
        <v>-5.6126520667437999E-19</v>
      </c>
      <c r="D105" s="1">
        <v>-4.6982062485768003E-5</v>
      </c>
      <c r="E105" s="1">
        <v>0.14689478278160001</v>
      </c>
      <c r="Q105">
        <v>1.0976548194885001</v>
      </c>
      <c r="R105">
        <v>3.1072658021002999E-3</v>
      </c>
      <c r="S105">
        <v>1.5975555870682001E-3</v>
      </c>
      <c r="T105">
        <v>1.7105556325986999E-3</v>
      </c>
      <c r="U105">
        <v>3.8146978477016005E-4</v>
      </c>
      <c r="V105">
        <v>2.8384992037900004E-4</v>
      </c>
      <c r="W105">
        <v>6.4630228735041009E-5</v>
      </c>
      <c r="X105">
        <v>7.9253950389102006E-5</v>
      </c>
      <c r="BE105">
        <f>(Table__150_diric[[#This Row],[F2]]+Table__150_diric_3[[#This Row],[F2]]+Table__150_diric_4[[#This Row],[F2]])/2</f>
        <v>0</v>
      </c>
    </row>
    <row r="106" spans="1:70" x14ac:dyDescent="0.25">
      <c r="A106">
        <v>1.1295031309128001</v>
      </c>
      <c r="B106" s="1">
        <v>1.1667727231978999</v>
      </c>
      <c r="C106" s="1">
        <v>-1.1911930216356E-18</v>
      </c>
      <c r="D106" s="1">
        <v>-5.3512740123551007E-5</v>
      </c>
      <c r="E106" s="1">
        <v>0.14652773737907002</v>
      </c>
      <c r="Q106">
        <v>1.1295031309128001</v>
      </c>
      <c r="R106">
        <v>3.2912292517722E-3</v>
      </c>
      <c r="S106">
        <v>1.6233872156590002E-3</v>
      </c>
      <c r="T106">
        <v>1.7697886796667998E-3</v>
      </c>
      <c r="U106">
        <v>5.0650018965825005E-4</v>
      </c>
      <c r="V106">
        <v>3.0610029352829001E-4</v>
      </c>
      <c r="W106">
        <v>8.5674233559984998E-5</v>
      </c>
      <c r="X106">
        <v>8.3286584413145009E-5</v>
      </c>
      <c r="AX106">
        <v>0</v>
      </c>
      <c r="AY106">
        <v>-0.25450318423893997</v>
      </c>
      <c r="AZ106">
        <v>0</v>
      </c>
      <c r="BA106">
        <v>1.2917036236503E-8</v>
      </c>
      <c r="BB106">
        <v>2.3294195455962001E-4</v>
      </c>
      <c r="BC106">
        <v>0.25197241163581002</v>
      </c>
      <c r="BD106">
        <v>-2.2978177315339998E-3</v>
      </c>
      <c r="BE106">
        <f>(Table__150_diric[[#This Row],[F2]]+Table__150_diric_3[[#This Row],[F2]]+Table__150_diric_4[[#This Row],[F2]])/2</f>
        <v>-0.16202890273360634</v>
      </c>
      <c r="BF106">
        <v>0</v>
      </c>
      <c r="BG106">
        <v>-1.0408537371702001E-5</v>
      </c>
      <c r="BH106">
        <v>0</v>
      </c>
      <c r="BI106">
        <v>-1.2240507614623997E-7</v>
      </c>
      <c r="BJ106">
        <v>-5.2956005732479005E-5</v>
      </c>
      <c r="BK106">
        <v>-6.3486948180327014E-5</v>
      </c>
      <c r="BM106">
        <v>0</v>
      </c>
      <c r="BN106">
        <v>-6.9544212690901011E-2</v>
      </c>
      <c r="BO106">
        <v>8.8320585451624019E-9</v>
      </c>
      <c r="BP106">
        <v>-1.005470574393E-5</v>
      </c>
      <c r="BQ106">
        <v>6.8279456517888998E-2</v>
      </c>
      <c r="BR106">
        <v>-1.2748020466971E-3</v>
      </c>
    </row>
    <row r="107" spans="1:70" x14ac:dyDescent="0.25">
      <c r="A107">
        <v>1.1607742309569999</v>
      </c>
      <c r="B107" s="1">
        <v>1.1629885435103999</v>
      </c>
      <c r="C107" s="1">
        <v>-1.1024133808515E-18</v>
      </c>
      <c r="D107" s="1">
        <v>-6.513478729175401E-5</v>
      </c>
      <c r="E107" s="1">
        <v>0.1460689753294</v>
      </c>
      <c r="Q107">
        <v>1.1607742309569999</v>
      </c>
      <c r="R107">
        <v>3.5133743658662003E-3</v>
      </c>
      <c r="S107">
        <v>1.6556857153773002E-3</v>
      </c>
      <c r="T107">
        <v>1.8439688719809001E-3</v>
      </c>
      <c r="U107">
        <v>6.2967493431642999E-4</v>
      </c>
      <c r="V107">
        <v>3.3342192182317002E-4</v>
      </c>
      <c r="W107">
        <v>1.0627291339915E-4</v>
      </c>
      <c r="X107">
        <v>8.8299260823987004E-5</v>
      </c>
      <c r="AX107">
        <v>0.49326833971353001</v>
      </c>
      <c r="AY107">
        <v>-0.25286319486093001</v>
      </c>
      <c r="AZ107">
        <v>1.2964251829313E-4</v>
      </c>
      <c r="BA107">
        <v>1.2446536609632E-3</v>
      </c>
      <c r="BB107">
        <v>1.5528575027797E-4</v>
      </c>
      <c r="BC107">
        <v>0.25146856028695003</v>
      </c>
      <c r="BD107">
        <v>1.3494735555752001E-4</v>
      </c>
      <c r="BE107">
        <f>(Table__150_diric[[#This Row],[F2]]+Table__150_diric_3[[#This Row],[F2]]+Table__150_diric_4[[#This Row],[F2]])/2</f>
        <v>-0.15416520563899389</v>
      </c>
      <c r="BF107">
        <v>0.49326833971353001</v>
      </c>
      <c r="BG107">
        <v>-1.1764729218679E-4</v>
      </c>
      <c r="BH107">
        <v>-5.5347276480768005E-5</v>
      </c>
      <c r="BI107">
        <v>2.6629373542684E-8</v>
      </c>
      <c r="BJ107">
        <v>1.6997190998923001E-4</v>
      </c>
      <c r="BK107">
        <v>-2.9960293047873E-6</v>
      </c>
      <c r="BM107">
        <v>0.49326833971353001</v>
      </c>
      <c r="BN107">
        <v>-5.5349569124871004E-2</v>
      </c>
      <c r="BO107">
        <v>7.0824458369133005E-3</v>
      </c>
      <c r="BP107">
        <v>-7.879633921148E-6</v>
      </c>
      <c r="BQ107">
        <v>4.8442561267253E-2</v>
      </c>
      <c r="BR107">
        <v>1.6755834537389002E-4</v>
      </c>
    </row>
    <row r="108" spans="1:70" x14ac:dyDescent="0.25">
      <c r="A108">
        <v>1.1913534402846999</v>
      </c>
      <c r="B108" s="1">
        <v>1.1585739850998</v>
      </c>
      <c r="C108" s="1">
        <v>-5.6520920383503004E-19</v>
      </c>
      <c r="D108" s="1">
        <v>-7.782900502206801E-5</v>
      </c>
      <c r="E108" s="1">
        <v>0.14552640914917001</v>
      </c>
      <c r="Q108">
        <v>1.1913534402846999</v>
      </c>
      <c r="R108">
        <v>3.7660948000848003E-3</v>
      </c>
      <c r="S108">
        <v>1.6939837951213002E-3</v>
      </c>
      <c r="T108">
        <v>1.9313435768709001E-3</v>
      </c>
      <c r="U108">
        <v>7.5058493530378006E-4</v>
      </c>
      <c r="V108">
        <v>3.6512641236186E-4</v>
      </c>
      <c r="W108">
        <v>1.2635093298741002E-4</v>
      </c>
      <c r="X108">
        <v>9.4200426246971E-5</v>
      </c>
      <c r="AX108">
        <v>0.98678538316733</v>
      </c>
      <c r="AY108">
        <v>-0.252523947192</v>
      </c>
      <c r="AZ108">
        <v>1.3156858702267E-3</v>
      </c>
      <c r="BA108">
        <v>1.4631189490058002E-3</v>
      </c>
      <c r="BB108">
        <v>1.8589850803572001E-3</v>
      </c>
      <c r="BC108">
        <v>0.24791073264168004</v>
      </c>
      <c r="BD108">
        <v>2.4575349279216001E-5</v>
      </c>
      <c r="BE108">
        <f>(Table__150_diric[[#This Row],[F2]]+Table__150_diric_3[[#This Row],[F2]]+Table__150_diric_4[[#This Row],[F2]])/2</f>
        <v>-0.14891169681342464</v>
      </c>
      <c r="BF108">
        <v>0.98678538316733</v>
      </c>
      <c r="BG108">
        <v>-3.8845283944029003E-4</v>
      </c>
      <c r="BH108">
        <v>-1.2263096597292002E-4</v>
      </c>
      <c r="BI108">
        <v>-3.817317799713E-7</v>
      </c>
      <c r="BJ108">
        <v>5.1654221305449E-4</v>
      </c>
      <c r="BK108">
        <v>5.0766758613124997E-6</v>
      </c>
      <c r="BM108">
        <v>0.98678538316733</v>
      </c>
      <c r="BN108">
        <v>-4.4910993595409003E-2</v>
      </c>
      <c r="BO108">
        <v>1.2225970392504001E-2</v>
      </c>
      <c r="BP108">
        <v>-8.9487636967673003E-5</v>
      </c>
      <c r="BQ108">
        <v>3.2782803718786002E-2</v>
      </c>
      <c r="BR108">
        <v>8.2928789131158994E-6</v>
      </c>
    </row>
    <row r="109" spans="1:70" x14ac:dyDescent="0.25">
      <c r="A109">
        <v>1.2211434841155999</v>
      </c>
      <c r="B109" s="1">
        <v>1.1536278724669999</v>
      </c>
      <c r="C109" s="1">
        <v>-3.1054345428710998E-19</v>
      </c>
      <c r="D109" s="1">
        <v>-8.8182961917482005E-5</v>
      </c>
      <c r="E109" s="1">
        <v>0.14490936696529</v>
      </c>
      <c r="Q109">
        <v>1.2211434841155999</v>
      </c>
      <c r="R109">
        <v>4.0423036552965997E-3</v>
      </c>
      <c r="S109">
        <v>1.7376731848344001E-3</v>
      </c>
      <c r="T109">
        <v>2.0300189498811999E-3</v>
      </c>
      <c r="U109">
        <v>8.6887879297137E-4</v>
      </c>
      <c r="V109">
        <v>4.0047831134871006E-4</v>
      </c>
      <c r="W109">
        <v>1.4584453310817E-4</v>
      </c>
      <c r="X109">
        <v>1.0087295231642E-4</v>
      </c>
      <c r="AX109">
        <v>1.4807643049959001</v>
      </c>
      <c r="AY109">
        <v>-0.25262675475271001</v>
      </c>
      <c r="AZ109">
        <v>4.5875764470259001E-3</v>
      </c>
      <c r="BA109">
        <v>9.1301340228665999E-4</v>
      </c>
      <c r="BB109">
        <v>6.0982446205479005E-3</v>
      </c>
      <c r="BC109">
        <v>0.24109535721942002</v>
      </c>
      <c r="BD109">
        <v>6.743693656741101E-5</v>
      </c>
      <c r="BE109">
        <f>(Table__150_diric[[#This Row],[F2]]+Table__150_diric_3[[#This Row],[F2]]+Table__150_diric_4[[#This Row],[F2]])/2</f>
        <v>-0.14514034279057739</v>
      </c>
      <c r="BF109">
        <v>1.4807643049959001</v>
      </c>
      <c r="BG109">
        <v>-6.9890026549171999E-4</v>
      </c>
      <c r="BH109">
        <v>-2.8308838950369001E-4</v>
      </c>
      <c r="BI109">
        <v>-1.9824432280591999E-6</v>
      </c>
      <c r="BJ109">
        <v>9.7151838190219009E-4</v>
      </c>
      <c r="BK109">
        <v>-1.2452716321278002E-5</v>
      </c>
      <c r="BM109">
        <v>1.4807643049959001</v>
      </c>
      <c r="BN109">
        <v>-3.6955030562953003E-2</v>
      </c>
      <c r="BO109">
        <v>1.6051231409212999E-2</v>
      </c>
      <c r="BP109">
        <v>-2.8450690166578003E-4</v>
      </c>
      <c r="BQ109">
        <v>2.1275311304559001E-2</v>
      </c>
      <c r="BR109">
        <v>8.7005249152908006E-5</v>
      </c>
    </row>
    <row r="110" spans="1:70" x14ac:dyDescent="0.25">
      <c r="A110">
        <v>1.2500646114349001</v>
      </c>
      <c r="B110" s="1">
        <v>1.1482486724854</v>
      </c>
      <c r="C110" s="1">
        <v>9.0653701179891012E-19</v>
      </c>
      <c r="D110" s="1">
        <v>-9.4833550974727002E-5</v>
      </c>
      <c r="E110" s="1">
        <v>0.14422741532326</v>
      </c>
      <c r="Q110">
        <v>1.2500646114349001</v>
      </c>
      <c r="R110">
        <v>4.3351403437555001E-3</v>
      </c>
      <c r="S110">
        <v>1.7860310617834002E-3</v>
      </c>
      <c r="T110">
        <v>2.1381678525358E-3</v>
      </c>
      <c r="U110">
        <v>9.8416430409998005E-4</v>
      </c>
      <c r="V110">
        <v>4.3875336996280004E-4</v>
      </c>
      <c r="W110">
        <v>1.6468109970447001E-4</v>
      </c>
      <c r="X110">
        <v>1.0818307782756001E-4</v>
      </c>
      <c r="AX110">
        <v>1.9754715734924</v>
      </c>
      <c r="AY110">
        <v>-0.25176057738214003</v>
      </c>
      <c r="AZ110">
        <v>1.1014530533575999E-2</v>
      </c>
      <c r="BA110">
        <v>-2.0091866645734002E-4</v>
      </c>
      <c r="BB110">
        <v>1.3776233407293002E-2</v>
      </c>
      <c r="BC110">
        <v>0.22718175986558001</v>
      </c>
      <c r="BD110">
        <v>1.1027757850113002E-5</v>
      </c>
      <c r="BE110">
        <f>(Table__150_diric[[#This Row],[F2]]+Table__150_diric_3[[#This Row],[F2]]+Table__150_diric_4[[#This Row],[F2]])/2</f>
        <v>-0.1418897465971497</v>
      </c>
      <c r="BF110">
        <v>1.9754715734924</v>
      </c>
      <c r="BG110">
        <v>-1.0581244846784E-3</v>
      </c>
      <c r="BH110">
        <v>-2.5389898760387001E-4</v>
      </c>
      <c r="BI110">
        <v>-5.5326726240210998E-6</v>
      </c>
      <c r="BJ110">
        <v>1.3465558994063E-3</v>
      </c>
      <c r="BK110">
        <v>2.8999754500000002E-5</v>
      </c>
      <c r="BM110">
        <v>1.9754715734924</v>
      </c>
      <c r="BN110">
        <v>-3.0960791327481002E-2</v>
      </c>
      <c r="BO110">
        <v>1.8923182768321001E-2</v>
      </c>
      <c r="BP110">
        <v>-6.1444236375635998E-4</v>
      </c>
      <c r="BQ110">
        <v>1.2716822091921001E-2</v>
      </c>
      <c r="BR110">
        <v>6.4771169005573012E-5</v>
      </c>
    </row>
    <row r="111" spans="1:70" x14ac:dyDescent="0.25">
      <c r="A111">
        <v>1.27805519104</v>
      </c>
      <c r="B111" s="1">
        <v>1.1425265073776001</v>
      </c>
      <c r="C111" s="1">
        <v>6.6767372067319993E-19</v>
      </c>
      <c r="D111" s="1">
        <v>-9.7145311883651018E-5</v>
      </c>
      <c r="E111" s="1">
        <v>0.14348945021629</v>
      </c>
      <c r="Q111">
        <v>1.27805519104</v>
      </c>
      <c r="R111">
        <v>4.6388185583055002E-3</v>
      </c>
      <c r="S111">
        <v>1.8382653361185999E-3</v>
      </c>
      <c r="T111">
        <v>2.2540078498423004E-3</v>
      </c>
      <c r="U111">
        <v>1.0960911167786E-3</v>
      </c>
      <c r="V111">
        <v>4.793374391738301E-4</v>
      </c>
      <c r="W111">
        <v>1.8280390941072001E-4</v>
      </c>
      <c r="X111">
        <v>1.1600302241277001E-4</v>
      </c>
      <c r="AX111">
        <v>2.4711203632914001</v>
      </c>
      <c r="AY111">
        <v>-0.24930011579298</v>
      </c>
      <c r="AZ111">
        <v>2.1426029580644001E-2</v>
      </c>
      <c r="BA111">
        <v>-1.7221912983714002E-3</v>
      </c>
      <c r="BB111">
        <v>2.4692335583748004E-2</v>
      </c>
      <c r="BC111">
        <v>0.20498551314598001</v>
      </c>
      <c r="BD111">
        <v>8.1571219014892006E-5</v>
      </c>
      <c r="BE111">
        <f>(Table__150_diric[[#This Row],[F2]]+Table__150_diric_3[[#This Row],[F2]]+Table__150_diric_4[[#This Row],[F2]])/2</f>
        <v>-0.13862857066055095</v>
      </c>
      <c r="BF111">
        <v>2.4711203632914001</v>
      </c>
      <c r="BG111">
        <v>-1.3880069742209001E-3</v>
      </c>
      <c r="BH111">
        <v>-3.4957306099813004E-4</v>
      </c>
      <c r="BI111">
        <v>-1.0320114809934002E-5</v>
      </c>
      <c r="BJ111">
        <v>1.7194438381085001E-3</v>
      </c>
      <c r="BK111">
        <v>-2.8456311920391005E-5</v>
      </c>
      <c r="BM111">
        <v>2.4711203632914001</v>
      </c>
      <c r="BN111">
        <v>-2.6569018553901001E-2</v>
      </c>
      <c r="BO111">
        <v>2.1196796355025999E-2</v>
      </c>
      <c r="BP111">
        <v>-1.0579822515709E-3</v>
      </c>
      <c r="BQ111">
        <v>6.5398043423788004E-3</v>
      </c>
      <c r="BR111">
        <v>1.0959989193205001E-4</v>
      </c>
    </row>
    <row r="112" spans="1:70" x14ac:dyDescent="0.25">
      <c r="A112">
        <v>1.3050706386566</v>
      </c>
      <c r="B112" s="1">
        <v>1.1365426778793</v>
      </c>
      <c r="C112" s="1">
        <v>-6.1626940868670997E-19</v>
      </c>
      <c r="D112" s="1">
        <v>-9.4205417553894018E-5</v>
      </c>
      <c r="E112" s="1">
        <v>0.14270399510859999</v>
      </c>
      <c r="Q112">
        <v>1.3050706386566</v>
      </c>
      <c r="R112">
        <v>4.9490970559418002E-3</v>
      </c>
      <c r="S112">
        <v>1.8935524858534002E-3</v>
      </c>
      <c r="T112">
        <v>2.3757703602314E-3</v>
      </c>
      <c r="U112">
        <v>1.2044218601659001E-3</v>
      </c>
      <c r="V112">
        <v>5.2173947915435E-4</v>
      </c>
      <c r="W112">
        <v>2.0018844224978E-4</v>
      </c>
      <c r="X112">
        <v>1.242295402335E-4</v>
      </c>
      <c r="AX112">
        <v>2.9679771426858998</v>
      </c>
      <c r="AY112">
        <v>-0.24496416592063999</v>
      </c>
      <c r="AZ112">
        <v>3.6388938037205998E-2</v>
      </c>
      <c r="BA112">
        <v>-3.5321528476951001E-3</v>
      </c>
      <c r="BB112">
        <v>3.7883236465761E-2</v>
      </c>
      <c r="BC112">
        <v>0.17426665299892</v>
      </c>
      <c r="BD112">
        <v>4.2508733546748003E-5</v>
      </c>
      <c r="BE112">
        <f>(Table__150_diric[[#This Row],[F2]]+Table__150_diric_3[[#This Row],[F2]]+Table__150_diric_4[[#This Row],[F2]])/2</f>
        <v>-0.13510659786568643</v>
      </c>
      <c r="BF112">
        <v>2.9679771426858998</v>
      </c>
      <c r="BG112">
        <v>-1.7160894769939002E-3</v>
      </c>
      <c r="BH112">
        <v>-1.9725747412687001E-4</v>
      </c>
      <c r="BI112">
        <v>-1.3754064311141E-5</v>
      </c>
      <c r="BJ112">
        <v>1.9745496100792002E-3</v>
      </c>
      <c r="BK112">
        <v>4.7448594647276011E-5</v>
      </c>
      <c r="BM112">
        <v>2.9679771426858998</v>
      </c>
      <c r="BN112">
        <v>-2.3532940333739E-2</v>
      </c>
      <c r="BO112">
        <v>2.3060393287585003E-2</v>
      </c>
      <c r="BP112">
        <v>-1.5819174280252001E-3</v>
      </c>
      <c r="BQ112">
        <v>2.1557575272829997E-3</v>
      </c>
      <c r="BR112">
        <v>1.0129305310429999E-4</v>
      </c>
    </row>
    <row r="113" spans="1:70" x14ac:dyDescent="0.25">
      <c r="A113">
        <v>1.3310829401016</v>
      </c>
      <c r="B113" s="1">
        <v>1.1303696632385001</v>
      </c>
      <c r="C113" s="1">
        <v>2.3980561527953002E-18</v>
      </c>
      <c r="D113" s="1">
        <v>-8.6123480286915004E-5</v>
      </c>
      <c r="E113" s="1">
        <v>0.14187940955162001</v>
      </c>
      <c r="Q113">
        <v>1.3310829401016</v>
      </c>
      <c r="R113">
        <v>5.2631204016507002E-3</v>
      </c>
      <c r="S113">
        <v>1.9510620040819001E-3</v>
      </c>
      <c r="T113">
        <v>2.5014760904014002E-3</v>
      </c>
      <c r="U113">
        <v>1.3089776039124001E-3</v>
      </c>
      <c r="V113">
        <v>5.6559819495305007E-4</v>
      </c>
      <c r="W113">
        <v>2.1682017541024999E-4</v>
      </c>
      <c r="X113">
        <v>1.3277912512421998E-4</v>
      </c>
      <c r="AX113">
        <v>3.4662728508634002</v>
      </c>
      <c r="AY113">
        <v>-0.23895566449493</v>
      </c>
      <c r="AZ113">
        <v>5.6082534514737999E-2</v>
      </c>
      <c r="BA113">
        <v>-5.5443748232663001E-3</v>
      </c>
      <c r="BB113">
        <v>5.1643194899009003E-2</v>
      </c>
      <c r="BC113">
        <v>0.13685623877690001</v>
      </c>
      <c r="BD113">
        <v>8.1928872456061002E-5</v>
      </c>
      <c r="BE113">
        <f>(Table__150_diric[[#This Row],[F2]]+Table__150_diric_3[[#This Row],[F2]]+Table__150_diric_4[[#This Row],[F2]])/2</f>
        <v>-0.13130431718628061</v>
      </c>
      <c r="BF113">
        <v>3.4662728508634002</v>
      </c>
      <c r="BG113">
        <v>-2.0221224692262003E-3</v>
      </c>
      <c r="BH113">
        <v>-1.8394575519596002E-4</v>
      </c>
      <c r="BI113">
        <v>-1.1181180236282001E-5</v>
      </c>
      <c r="BJ113">
        <v>2.1927330675631002E-3</v>
      </c>
      <c r="BK113">
        <v>-2.4516337095252001E-5</v>
      </c>
      <c r="BM113">
        <v>3.4662728508634002</v>
      </c>
      <c r="BN113">
        <v>-2.1630847408405002E-2</v>
      </c>
      <c r="BO113">
        <v>2.4688412926613001E-2</v>
      </c>
      <c r="BP113">
        <v>-2.1395819863372001E-3</v>
      </c>
      <c r="BQ113">
        <v>-7.8718535404301998E-4</v>
      </c>
      <c r="BR113">
        <v>1.3079817782767999E-4</v>
      </c>
    </row>
    <row r="114" spans="1:70" x14ac:dyDescent="0.25">
      <c r="A114">
        <v>1.3560777902603001</v>
      </c>
      <c r="B114" s="1">
        <v>1.1240695714951001</v>
      </c>
      <c r="C114" s="1">
        <v>-6.3845108399292994E-19</v>
      </c>
      <c r="D114" s="1">
        <v>-7.4660601967480007E-5</v>
      </c>
      <c r="E114" s="1">
        <v>0.14102341234683999</v>
      </c>
      <c r="Q114">
        <v>1.3560777902603001</v>
      </c>
      <c r="R114">
        <v>5.5790697224438008E-3</v>
      </c>
      <c r="S114">
        <v>2.0099733956158001E-3</v>
      </c>
      <c r="T114">
        <v>2.6290612295270001E-3</v>
      </c>
      <c r="U114">
        <v>1.4095993246883E-3</v>
      </c>
      <c r="V114">
        <v>6.1066821217537002E-4</v>
      </c>
      <c r="W114">
        <v>2.3268371296581003E-4</v>
      </c>
      <c r="X114">
        <v>1.4158015255816002E-4</v>
      </c>
      <c r="AX114">
        <v>3.9662561915641001</v>
      </c>
      <c r="AY114">
        <v>-0.23178061688357002</v>
      </c>
      <c r="AZ114">
        <v>8.0295701067332997E-2</v>
      </c>
      <c r="BA114">
        <v>-7.691132424804E-3</v>
      </c>
      <c r="BB114">
        <v>6.4058703418004001E-2</v>
      </c>
      <c r="BC114">
        <v>9.5186695986625006E-2</v>
      </c>
      <c r="BD114">
        <v>6.935116358904E-5</v>
      </c>
      <c r="BE114">
        <f>(Table__150_diric[[#This Row],[F2]]+Table__150_diric_3[[#This Row],[F2]]+Table__150_diric_4[[#This Row],[F2]])/2</f>
        <v>-0.12737702541684393</v>
      </c>
      <c r="BF114">
        <v>3.9662561915641001</v>
      </c>
      <c r="BG114">
        <v>-2.3199461309328E-3</v>
      </c>
      <c r="BH114">
        <v>5.2117540954394007E-5</v>
      </c>
      <c r="BI114">
        <v>3.5739916992901E-6</v>
      </c>
      <c r="BJ114">
        <v>2.3186290792023001E-3</v>
      </c>
      <c r="BK114">
        <v>5.4374480923190009E-5</v>
      </c>
      <c r="BM114">
        <v>3.9662561915641001</v>
      </c>
      <c r="BN114">
        <v>-2.0653487819184999E-2</v>
      </c>
      <c r="BO114">
        <v>2.6158187905856001E-2</v>
      </c>
      <c r="BP114">
        <v>-2.6886856802659999E-3</v>
      </c>
      <c r="BQ114">
        <v>-2.6871113117494998E-3</v>
      </c>
      <c r="BR114">
        <v>1.2890309465630001E-4</v>
      </c>
    </row>
    <row r="115" spans="1:70" x14ac:dyDescent="0.25">
      <c r="A115">
        <v>1.3800538778305</v>
      </c>
      <c r="B115" s="1">
        <v>1.1176931858062999</v>
      </c>
      <c r="C115" s="1">
        <v>2.3595690932545004E-18</v>
      </c>
      <c r="D115" s="1">
        <v>-6.1934319091961005E-5</v>
      </c>
      <c r="E115" s="1">
        <v>0.14014256000519001</v>
      </c>
      <c r="Q115">
        <v>1.3800538778305</v>
      </c>
      <c r="R115">
        <v>5.8960611931980003E-3</v>
      </c>
      <c r="S115">
        <v>2.069472335279E-3</v>
      </c>
      <c r="T115">
        <v>2.7566440403461001E-3</v>
      </c>
      <c r="U115">
        <v>1.5061845770105999E-3</v>
      </c>
      <c r="V115">
        <v>6.5680110128596002E-4</v>
      </c>
      <c r="W115">
        <v>2.4777234648354005E-4</v>
      </c>
      <c r="X115">
        <v>1.5057720884215E-4</v>
      </c>
      <c r="AX115">
        <v>4.4681758685283999</v>
      </c>
      <c r="AY115">
        <v>-0.22409469193992002</v>
      </c>
      <c r="AZ115">
        <v>0.10844815666804</v>
      </c>
      <c r="BA115">
        <v>-9.9234368189170009E-3</v>
      </c>
      <c r="BB115">
        <v>7.335058136092E-2</v>
      </c>
      <c r="BC115">
        <v>5.2312869306795004E-2</v>
      </c>
      <c r="BD115">
        <v>9.3478576916876022E-5</v>
      </c>
      <c r="BE115">
        <f>(Table__150_diric[[#This Row],[F2]]+Table__150_diric_3[[#This Row],[F2]]+Table__150_diric_4[[#This Row],[F2]])/2</f>
        <v>-0.12355439431013986</v>
      </c>
      <c r="BF115">
        <v>4.4681758685283999</v>
      </c>
      <c r="BG115">
        <v>-2.6112931350247004E-3</v>
      </c>
      <c r="BH115">
        <v>1.5806024679488001E-4</v>
      </c>
      <c r="BI115">
        <v>3.7519379280483008E-5</v>
      </c>
      <c r="BJ115">
        <v>2.4077446413378E-3</v>
      </c>
      <c r="BK115">
        <v>-7.9688676114975001E-6</v>
      </c>
      <c r="BM115">
        <v>4.4681758685283999</v>
      </c>
      <c r="BN115">
        <v>-2.0402803545335E-2</v>
      </c>
      <c r="BO115">
        <v>2.7540322421273002E-2</v>
      </c>
      <c r="BP115">
        <v>-3.1914606037644999E-3</v>
      </c>
      <c r="BQ115">
        <v>-3.7967111897244002E-3</v>
      </c>
      <c r="BR115">
        <v>1.4934708244903E-4</v>
      </c>
    </row>
    <row r="116" spans="1:70" x14ac:dyDescent="0.25">
      <c r="A116">
        <v>1.4030203819275</v>
      </c>
      <c r="B116" s="1">
        <v>1.1112810373305999</v>
      </c>
      <c r="C116" s="1">
        <v>6.4813902332715004E-19</v>
      </c>
      <c r="D116" s="1">
        <v>-4.9552065320313011E-5</v>
      </c>
      <c r="E116" s="1">
        <v>0.13924258947372001</v>
      </c>
      <c r="Q116">
        <v>1.4030203819275</v>
      </c>
      <c r="R116">
        <v>6.2138880603014998E-3</v>
      </c>
      <c r="S116">
        <v>2.1287573035806001E-3</v>
      </c>
      <c r="T116">
        <v>2.8826000634581002E-3</v>
      </c>
      <c r="U116">
        <v>1.5987016959116002E-3</v>
      </c>
      <c r="V116">
        <v>7.0389360189438007E-4</v>
      </c>
      <c r="W116">
        <v>2.6209483621642004E-4</v>
      </c>
      <c r="X116">
        <v>1.5972030814737003E-4</v>
      </c>
      <c r="AX116">
        <v>4.9722805854964003</v>
      </c>
      <c r="AY116">
        <v>-0.21654070035651998</v>
      </c>
      <c r="AZ116">
        <v>0.13966826399671001</v>
      </c>
      <c r="BA116">
        <v>-1.2200834041858E-2</v>
      </c>
      <c r="BB116">
        <v>7.8219443411961007E-2</v>
      </c>
      <c r="BC116">
        <v>1.0954061982683002E-2</v>
      </c>
      <c r="BD116">
        <v>1.0023499297204E-4</v>
      </c>
      <c r="BE116">
        <f>(Table__150_diric[[#This Row],[F2]]+Table__150_diric_3[[#This Row],[F2]]+Table__150_diric_4[[#This Row],[F2]])/2</f>
        <v>-0.12007155696466459</v>
      </c>
      <c r="BF116">
        <v>4.9722805854964003</v>
      </c>
      <c r="BG116">
        <v>-2.9044899952812E-3</v>
      </c>
      <c r="BH116">
        <v>4.2920632096153004E-4</v>
      </c>
      <c r="BI116">
        <v>9.758129920224001E-5</v>
      </c>
      <c r="BJ116">
        <v>2.4356526141015998E-3</v>
      </c>
      <c r="BK116">
        <v>5.7950238984185007E-5</v>
      </c>
      <c r="BM116">
        <v>4.9722805854964003</v>
      </c>
      <c r="BN116">
        <v>-2.0697923577528001E-2</v>
      </c>
      <c r="BO116">
        <v>2.8852472986572002E-2</v>
      </c>
      <c r="BP116">
        <v>-3.6207862630719002E-3</v>
      </c>
      <c r="BQ116">
        <v>-4.3828867350521996E-3</v>
      </c>
      <c r="BR116">
        <v>1.5087641092024001E-4</v>
      </c>
    </row>
    <row r="117" spans="1:70" x14ac:dyDescent="0.25">
      <c r="A117">
        <v>1.4249953031540001</v>
      </c>
      <c r="B117" s="1">
        <v>1.1048660278319999</v>
      </c>
      <c r="C117" s="1">
        <v>1.3963867531079E-18</v>
      </c>
      <c r="D117" s="1">
        <v>-3.9163398469100005E-5</v>
      </c>
      <c r="E117" s="1">
        <v>0.13832846283913</v>
      </c>
      <c r="Q117">
        <v>1.4249953031540001</v>
      </c>
      <c r="R117">
        <v>6.5326071344315997E-3</v>
      </c>
      <c r="S117">
        <v>2.1870739292353001E-3</v>
      </c>
      <c r="T117">
        <v>3.0057413969189002E-3</v>
      </c>
      <c r="U117">
        <v>1.687168260105E-3</v>
      </c>
      <c r="V117">
        <v>7.5185281457379005E-4</v>
      </c>
      <c r="W117">
        <v>2.7566481730900998E-4</v>
      </c>
      <c r="X117">
        <v>1.6896176384762003E-4</v>
      </c>
      <c r="AX117">
        <v>5.4788368107613001</v>
      </c>
      <c r="AY117">
        <v>-0.20964226949848</v>
      </c>
      <c r="AZ117">
        <v>0.17289254603314</v>
      </c>
      <c r="BA117">
        <v>-1.4493986738674001E-2</v>
      </c>
      <c r="BB117">
        <v>7.7973374116611011E-2</v>
      </c>
      <c r="BC117">
        <v>-2.6615573759649003E-2</v>
      </c>
      <c r="BD117">
        <v>1.1409015294366002E-4</v>
      </c>
      <c r="BE117">
        <f>(Table__150_diric[[#This Row],[F2]]+Table__150_diric_3[[#This Row],[F2]]+Table__150_diric_4[[#This Row],[F2]])/2</f>
        <v>-0.11711373315846066</v>
      </c>
      <c r="BF117">
        <v>5.4788368107613001</v>
      </c>
      <c r="BG117">
        <v>-3.2045421305023003E-3</v>
      </c>
      <c r="BH117">
        <v>5.909871248885901E-4</v>
      </c>
      <c r="BI117">
        <v>1.8979349250206E-4</v>
      </c>
      <c r="BJ117">
        <v>2.4368192457589004E-3</v>
      </c>
      <c r="BK117">
        <v>1.3057732647259E-5</v>
      </c>
      <c r="BM117">
        <v>5.4788368107613001</v>
      </c>
      <c r="BN117">
        <v>-2.1380654687939E-2</v>
      </c>
      <c r="BO117">
        <v>3.0112301580184998E-2</v>
      </c>
      <c r="BP117">
        <v>-3.9588663824249998E-3</v>
      </c>
      <c r="BQ117">
        <v>-4.6073363315266005E-3</v>
      </c>
      <c r="BR117">
        <v>1.6544417829425002E-4</v>
      </c>
    </row>
    <row r="118" spans="1:70" x14ac:dyDescent="0.25">
      <c r="A118">
        <v>1.4460033178329001</v>
      </c>
      <c r="B118" s="1">
        <v>1.0984737873077</v>
      </c>
      <c r="C118" s="1">
        <v>-1.2357151909256003E-18</v>
      </c>
      <c r="D118" s="1">
        <v>-3.2285657653119002E-5</v>
      </c>
      <c r="E118" s="1">
        <v>0.13740432262421001</v>
      </c>
      <c r="Q118">
        <v>1.4460033178329001</v>
      </c>
      <c r="R118">
        <v>6.8524708040059003E-3</v>
      </c>
      <c r="S118">
        <v>2.2437456063925999E-3</v>
      </c>
      <c r="T118">
        <v>3.1252352055162001E-3</v>
      </c>
      <c r="U118">
        <v>1.7716363072395002E-3</v>
      </c>
      <c r="V118">
        <v>8.0061290645972003E-4</v>
      </c>
      <c r="W118">
        <v>2.8849663794972003E-4</v>
      </c>
      <c r="X118">
        <v>1.7826436669566E-4</v>
      </c>
      <c r="AX118">
        <v>5.9880932480634002</v>
      </c>
      <c r="AY118">
        <v>-0.20374798408979</v>
      </c>
      <c r="AZ118">
        <v>0.20697314033736</v>
      </c>
      <c r="BA118">
        <v>-1.6777636285586001E-2</v>
      </c>
      <c r="BB118">
        <v>7.2541376952684006E-2</v>
      </c>
      <c r="BC118">
        <v>-5.8850142094009995E-2</v>
      </c>
      <c r="BD118">
        <v>1.387548206565E-4</v>
      </c>
      <c r="BE118">
        <f>(Table__150_diric[[#This Row],[F2]]+Table__150_diric_3[[#This Row],[F2]]+Table__150_diric_4[[#This Row],[F2]])/2</f>
        <v>-0.11479131248525665</v>
      </c>
      <c r="BF118">
        <v>5.9880932480634002</v>
      </c>
      <c r="BG118">
        <v>-3.5163549160533002E-3</v>
      </c>
      <c r="BH118">
        <v>8.6028157652190016E-4</v>
      </c>
      <c r="BI118">
        <v>3.1859015818002002E-4</v>
      </c>
      <c r="BJ118">
        <v>2.4003181641263E-3</v>
      </c>
      <c r="BK118">
        <v>6.283498277487701E-5</v>
      </c>
      <c r="BM118">
        <v>5.9880932480634002</v>
      </c>
      <c r="BN118">
        <v>-2.231828596467E-2</v>
      </c>
      <c r="BO118">
        <v>3.1311479967232998E-2</v>
      </c>
      <c r="BP118">
        <v>-4.1972629722130993E-3</v>
      </c>
      <c r="BQ118">
        <v>-4.6273971941021E-3</v>
      </c>
      <c r="BR118">
        <v>1.6853383624807001E-4</v>
      </c>
    </row>
    <row r="119" spans="1:70" x14ac:dyDescent="0.25">
      <c r="A119">
        <v>1.4660745859146</v>
      </c>
      <c r="B119" s="1">
        <v>1.0921239852905</v>
      </c>
      <c r="C119" s="1">
        <v>-7.0663723624689996E-19</v>
      </c>
      <c r="D119" s="1">
        <v>-2.9215296308394E-5</v>
      </c>
      <c r="E119" s="1">
        <v>0.13647349178790999</v>
      </c>
      <c r="Q119">
        <v>1.4660745859146</v>
      </c>
      <c r="R119">
        <v>7.1739805862308E-3</v>
      </c>
      <c r="S119">
        <v>2.2981837391852999E-3</v>
      </c>
      <c r="T119">
        <v>3.2404675148427001E-3</v>
      </c>
      <c r="U119">
        <v>1.8521938472986E-3</v>
      </c>
      <c r="V119">
        <v>8.501366246491701E-4</v>
      </c>
      <c r="W119">
        <v>3.0060976860112997E-4</v>
      </c>
      <c r="X119">
        <v>1.87604338862E-4</v>
      </c>
      <c r="AX119">
        <v>6.5003341302487003</v>
      </c>
      <c r="AY119">
        <v>-0.19902593265088001</v>
      </c>
      <c r="AZ119">
        <v>0.24077712770789003</v>
      </c>
      <c r="BA119">
        <v>-1.9033402093344001E-2</v>
      </c>
      <c r="BB119">
        <v>6.2371354196668005E-2</v>
      </c>
      <c r="BC119">
        <v>-8.4942939880200005E-2</v>
      </c>
      <c r="BD119">
        <v>1.4620728012592E-4</v>
      </c>
      <c r="BE119">
        <f>(Table__150_diric[[#This Row],[F2]]+Table__150_diric_3[[#This Row],[F2]]+Table__150_diric_4[[#This Row],[F2]])/2</f>
        <v>-0.1131363452749181</v>
      </c>
      <c r="BF119">
        <v>6.5003341302487003</v>
      </c>
      <c r="BG119">
        <v>-3.8430168990652002E-3</v>
      </c>
      <c r="BH119">
        <v>1.0450737657766E-3</v>
      </c>
      <c r="BI119">
        <v>4.8629647252670005E-4</v>
      </c>
      <c r="BJ119">
        <v>2.3462539717119001E-3</v>
      </c>
      <c r="BK119">
        <v>3.4607310949950998E-5</v>
      </c>
      <c r="BM119">
        <v>6.5003341302487003</v>
      </c>
      <c r="BN119">
        <v>-2.3403740999890999E-2</v>
      </c>
      <c r="BO119">
        <v>3.2445581723666003E-2</v>
      </c>
      <c r="BP119">
        <v>-4.3347428469622997E-3</v>
      </c>
      <c r="BQ119">
        <v>-4.5278802100713004E-3</v>
      </c>
      <c r="BR119">
        <v>1.7921766674165002E-4</v>
      </c>
    </row>
    <row r="120" spans="1:70" x14ac:dyDescent="0.25">
      <c r="A120">
        <v>1.4852433204650999</v>
      </c>
      <c r="B120" s="1">
        <v>1.085831284523</v>
      </c>
      <c r="C120" s="1">
        <v>-1.7880865516538003E-18</v>
      </c>
      <c r="D120" s="1">
        <v>-2.9300985261216005E-5</v>
      </c>
      <c r="E120" s="1">
        <v>0.13553865253924999</v>
      </c>
      <c r="Q120">
        <v>1.4852433204650999</v>
      </c>
      <c r="R120">
        <v>7.4978498741984003E-3</v>
      </c>
      <c r="S120">
        <v>2.3498903028666999E-3</v>
      </c>
      <c r="T120">
        <v>3.3509782515466001E-3</v>
      </c>
      <c r="U120">
        <v>1.9289437914267E-3</v>
      </c>
      <c r="V120">
        <v>9.0041139628738013E-4</v>
      </c>
      <c r="W120">
        <v>3.1202938407660002E-4</v>
      </c>
      <c r="X120">
        <v>1.9696819072123999E-4</v>
      </c>
      <c r="AX120">
        <v>7.0158436901633001</v>
      </c>
      <c r="AY120">
        <v>-0.19548730999347003</v>
      </c>
      <c r="AZ120">
        <v>0.27326905800576001</v>
      </c>
      <c r="BA120">
        <v>-2.1245075799316001E-2</v>
      </c>
      <c r="BB120">
        <v>4.8282001889836001E-2</v>
      </c>
      <c r="BC120">
        <v>-0.10463372304985</v>
      </c>
      <c r="BD120">
        <v>1.8495105295881001E-4</v>
      </c>
      <c r="BE120">
        <f>(Table__150_diric[[#This Row],[F2]]+Table__150_diric_3[[#This Row],[F2]]+Table__150_diric_4[[#This Row],[F2]])/2</f>
        <v>-0.11211374507618291</v>
      </c>
      <c r="BF120">
        <v>7.0158436901633001</v>
      </c>
      <c r="BG120">
        <v>-4.1864122889718001E-3</v>
      </c>
      <c r="BH120">
        <v>1.2947679707316E-3</v>
      </c>
      <c r="BI120">
        <v>6.9283248022538007E-4</v>
      </c>
      <c r="BJ120">
        <v>2.2693058738068998E-3</v>
      </c>
      <c r="BK120">
        <v>7.0494035792089012E-5</v>
      </c>
      <c r="BM120">
        <v>7.0158436901633001</v>
      </c>
      <c r="BN120">
        <v>-2.4553767869923998E-2</v>
      </c>
      <c r="BO120">
        <v>3.3499603457843002E-2</v>
      </c>
      <c r="BP120">
        <v>-4.3757153262296003E-3</v>
      </c>
      <c r="BQ120">
        <v>-4.3878024816161997E-3</v>
      </c>
      <c r="BR120">
        <v>1.8231778007379002E-4</v>
      </c>
    </row>
    <row r="121" spans="1:70" x14ac:dyDescent="0.25">
      <c r="A121">
        <v>1.5035458803177</v>
      </c>
      <c r="B121" s="1">
        <v>1.079606294632</v>
      </c>
      <c r="C121" s="1">
        <v>4.3886894579613003E-19</v>
      </c>
      <c r="D121" s="1">
        <v>-3.1872888939688003E-5</v>
      </c>
      <c r="E121" s="1">
        <v>0.13460202515125</v>
      </c>
      <c r="Q121">
        <v>1.5035458803177</v>
      </c>
      <c r="R121">
        <v>7.8248940408230001E-3</v>
      </c>
      <c r="S121">
        <v>2.3984431754798001E-3</v>
      </c>
      <c r="T121">
        <v>3.4564421512187E-3</v>
      </c>
      <c r="U121">
        <v>2.0019931253046001E-3</v>
      </c>
      <c r="V121">
        <v>9.5145910745487007E-4</v>
      </c>
      <c r="W121">
        <v>3.2278691651300002E-4</v>
      </c>
      <c r="X121">
        <v>2.0634707470890002E-4</v>
      </c>
      <c r="AX121">
        <v>7.5348528669943997</v>
      </c>
      <c r="AY121">
        <v>-0.19302660557282</v>
      </c>
      <c r="AZ121">
        <v>0.30356423162362001</v>
      </c>
      <c r="BA121">
        <v>-2.3400850873675001E-2</v>
      </c>
      <c r="BB121">
        <v>3.1302778797364005E-2</v>
      </c>
      <c r="BC121">
        <v>-0.11824811885296001</v>
      </c>
      <c r="BD121">
        <v>1.9143512153438003E-4</v>
      </c>
      <c r="BE121">
        <f>(Table__150_diric[[#This Row],[F2]]+Table__150_diric_3[[#This Row],[F2]]+Table__150_diric_4[[#This Row],[F2]])/2</f>
        <v>-0.11163989215198855</v>
      </c>
      <c r="BF121">
        <v>7.5348528669943997</v>
      </c>
      <c r="BG121">
        <v>-4.5471374341761002E-3</v>
      </c>
      <c r="BH121">
        <v>1.4860649711465001E-3</v>
      </c>
      <c r="BI121">
        <v>9.3563233815964009E-4</v>
      </c>
      <c r="BJ121">
        <v>2.1807027424536E-3</v>
      </c>
      <c r="BK121">
        <v>5.5262617583667007E-5</v>
      </c>
      <c r="BM121">
        <v>7.5348528669943997</v>
      </c>
      <c r="BN121">
        <v>-2.5706041296981001E-2</v>
      </c>
      <c r="BO121">
        <v>3.4463938190159998E-2</v>
      </c>
      <c r="BP121">
        <v>-4.3284363129537E-3</v>
      </c>
      <c r="BQ121">
        <v>-4.2387059296345999E-3</v>
      </c>
      <c r="BR121">
        <v>1.9075465059104001E-4</v>
      </c>
    </row>
    <row r="122" spans="1:70" x14ac:dyDescent="0.25">
      <c r="A122">
        <v>1.5210207700729002</v>
      </c>
      <c r="B122" s="1">
        <v>1.0734550952910999</v>
      </c>
      <c r="C122" s="1">
        <v>2.8416896589198005E-18</v>
      </c>
      <c r="D122" s="1">
        <v>-3.6332246963866008E-5</v>
      </c>
      <c r="E122" s="1">
        <v>0.13366547226906</v>
      </c>
      <c r="Q122">
        <v>1.5210207700729002</v>
      </c>
      <c r="R122">
        <v>8.1559903919696999E-3</v>
      </c>
      <c r="S122">
        <v>2.4434700608253002E-3</v>
      </c>
      <c r="T122">
        <v>3.5566913429648001E-3</v>
      </c>
      <c r="U122">
        <v>2.0714655984193E-3</v>
      </c>
      <c r="V122">
        <v>1.0033134603872999E-3</v>
      </c>
      <c r="W122">
        <v>3.3291458385065003E-4</v>
      </c>
      <c r="X122">
        <v>2.1572793775703999E-4</v>
      </c>
      <c r="AX122">
        <v>8.0576991872468007</v>
      </c>
      <c r="AY122">
        <v>-0.19146441432196004</v>
      </c>
      <c r="AZ122">
        <v>0.33096551757623005</v>
      </c>
      <c r="BA122">
        <v>-2.5490330684625001E-2</v>
      </c>
      <c r="BB122">
        <v>1.2530745880960002E-2</v>
      </c>
      <c r="BC122">
        <v>-0.12630555859265999</v>
      </c>
      <c r="BD122">
        <v>2.3595985795496E-4</v>
      </c>
      <c r="BE122">
        <f>(Table__150_diric[[#This Row],[F2]]+Table__150_diric_3[[#This Row],[F2]]+Table__150_diric_4[[#This Row],[F2]])/2</f>
        <v>-0.11160252993225271</v>
      </c>
      <c r="BF122">
        <v>8.0576991872468007</v>
      </c>
      <c r="BG122">
        <v>-4.9247962400384001E-3</v>
      </c>
      <c r="BH122">
        <v>1.7183716291305001E-3</v>
      </c>
      <c r="BI122">
        <v>1.2097749615304001E-3</v>
      </c>
      <c r="BJ122">
        <v>2.0775674218029001E-3</v>
      </c>
      <c r="BK122">
        <v>8.0917772425388013E-5</v>
      </c>
      <c r="BM122">
        <v>8.0576991872468007</v>
      </c>
      <c r="BN122">
        <v>-2.6815849302507001E-2</v>
      </c>
      <c r="BO122">
        <v>3.5326355874908004E-2</v>
      </c>
      <c r="BP122">
        <v>-4.2037148099069999E-3</v>
      </c>
      <c r="BQ122">
        <v>-4.1135945331666002E-3</v>
      </c>
      <c r="BR122">
        <v>1.9319722932777E-4</v>
      </c>
    </row>
    <row r="123" spans="1:70" x14ac:dyDescent="0.25">
      <c r="A123">
        <v>1.5377068519592001</v>
      </c>
      <c r="B123" s="1">
        <v>1.0673811435699001</v>
      </c>
      <c r="C123" s="1">
        <v>1.3969690882592001E-18</v>
      </c>
      <c r="D123" s="1">
        <v>-4.2106323235203001E-5</v>
      </c>
      <c r="E123" s="1">
        <v>0.13273054361343001</v>
      </c>
      <c r="Q123">
        <v>1.5377068519592001</v>
      </c>
      <c r="R123">
        <v>8.4919752553105007E-3</v>
      </c>
      <c r="S123">
        <v>2.4846461601555E-3</v>
      </c>
      <c r="T123">
        <v>3.6516278050840001E-3</v>
      </c>
      <c r="U123">
        <v>2.1374910138547E-3</v>
      </c>
      <c r="V123">
        <v>1.0559828951955E-3</v>
      </c>
      <c r="W123">
        <v>3.4243959817104004E-4</v>
      </c>
      <c r="X123">
        <v>2.2509269183502002E-4</v>
      </c>
      <c r="AX123">
        <v>8.5846491192135996</v>
      </c>
      <c r="AY123">
        <v>-0.1905858662894</v>
      </c>
      <c r="AZ123">
        <v>0.35497240260711999</v>
      </c>
      <c r="BA123">
        <v>-2.7506110535144002E-2</v>
      </c>
      <c r="BB123">
        <v>-6.9805269478837003E-3</v>
      </c>
      <c r="BC123">
        <v>-0.12965324084464</v>
      </c>
      <c r="BD123">
        <v>2.4665799005363001E-4</v>
      </c>
      <c r="BE123">
        <f>(Table__150_diric[[#This Row],[F2]]+Table__150_diric_3[[#This Row],[F2]]+Table__150_diric_4[[#This Row],[F2]])/2</f>
        <v>-0.1118784388271043</v>
      </c>
      <c r="BF123">
        <v>8.5846491192135996</v>
      </c>
      <c r="BG123">
        <v>-5.3181963582676003E-3</v>
      </c>
      <c r="BH123">
        <v>1.9185223315079001E-3</v>
      </c>
      <c r="BI123">
        <v>1.5082828543351E-3</v>
      </c>
      <c r="BJ123">
        <v>1.9661668164507001E-3</v>
      </c>
      <c r="BK123">
        <v>7.4775644026150011E-5</v>
      </c>
      <c r="BM123">
        <v>8.5846491192135996</v>
      </c>
      <c r="BN123">
        <v>-2.7852815006541E-2</v>
      </c>
      <c r="BO123">
        <v>3.6079981893008005E-2</v>
      </c>
      <c r="BP123">
        <v>-4.0137672139290001E-3</v>
      </c>
      <c r="BQ123">
        <v>-4.0145642807705006E-3</v>
      </c>
      <c r="BR123">
        <v>1.9883539176748002E-4</v>
      </c>
    </row>
    <row r="124" spans="1:70" x14ac:dyDescent="0.25">
      <c r="A124">
        <v>1.5536433458328001</v>
      </c>
      <c r="B124" s="1">
        <v>1.0613853931427</v>
      </c>
      <c r="C124" s="1">
        <v>-1.1608586542120001E-18</v>
      </c>
      <c r="D124" s="1">
        <v>-4.8743109800853005E-5</v>
      </c>
      <c r="E124" s="1">
        <v>0.13179831206799</v>
      </c>
      <c r="Q124">
        <v>1.5536433458328001</v>
      </c>
      <c r="R124">
        <v>8.8334996253251995E-3</v>
      </c>
      <c r="S124">
        <v>2.5217053480446E-3</v>
      </c>
      <c r="T124">
        <v>3.7411865778267002E-3</v>
      </c>
      <c r="U124">
        <v>2.200192771852E-3</v>
      </c>
      <c r="V124">
        <v>1.1094480287284002E-3</v>
      </c>
      <c r="W124">
        <v>3.5138771636412003E-4</v>
      </c>
      <c r="X124">
        <v>2.3442575184163002E-4</v>
      </c>
      <c r="AX124">
        <v>9.1160046602937008</v>
      </c>
      <c r="AY124">
        <v>-0.19017078341466001</v>
      </c>
      <c r="AZ124">
        <v>0.37527195718726003</v>
      </c>
      <c r="BA124">
        <v>-2.9441968840318002E-2</v>
      </c>
      <c r="BB124">
        <v>-2.6297652479230004E-2</v>
      </c>
      <c r="BC124">
        <v>-0.12906518771714001</v>
      </c>
      <c r="BD124">
        <v>2.9636473590493998E-4</v>
      </c>
      <c r="BE124">
        <f>(Table__150_diric[[#This Row],[F2]]+Table__150_diric_3[[#This Row],[F2]]+Table__150_diric_4[[#This Row],[F2]])/2</f>
        <v>-0.112347112369528</v>
      </c>
      <c r="BF124">
        <v>9.1160046602937008</v>
      </c>
      <c r="BG124">
        <v>-5.7255754222309994E-3</v>
      </c>
      <c r="BH124">
        <v>2.1516024182928997E-3</v>
      </c>
      <c r="BI124">
        <v>1.8225519603568001E-3</v>
      </c>
      <c r="BJ124">
        <v>1.8448466731090002E-3</v>
      </c>
      <c r="BK124">
        <v>9.3425629527687013E-5</v>
      </c>
      <c r="BM124">
        <v>9.1160046602937008</v>
      </c>
      <c r="BN124">
        <v>-2.8797865902164998E-2</v>
      </c>
      <c r="BO124">
        <v>3.6718764065896997E-2</v>
      </c>
      <c r="BP124">
        <v>-3.7714184058634001E-3</v>
      </c>
      <c r="BQ124">
        <v>-3.9474715394265001E-3</v>
      </c>
      <c r="BR124">
        <v>2.0200821844258999E-4</v>
      </c>
    </row>
    <row r="125" spans="1:70" x14ac:dyDescent="0.25">
      <c r="A125">
        <v>1.5688689947128001</v>
      </c>
      <c r="B125" s="1">
        <v>1.0554660558700999</v>
      </c>
      <c r="C125" s="1">
        <v>-6.1473416146981001E-19</v>
      </c>
      <c r="D125" s="1">
        <v>-5.5857093684608008E-5</v>
      </c>
      <c r="E125" s="1">
        <v>0.13086953759193001</v>
      </c>
      <c r="Q125">
        <v>1.5688689947128001</v>
      </c>
      <c r="R125">
        <v>9.181110188365E-3</v>
      </c>
      <c r="S125">
        <v>2.5544457603246E-3</v>
      </c>
      <c r="T125">
        <v>3.8253797683865001E-3</v>
      </c>
      <c r="U125">
        <v>2.2596830967814003E-3</v>
      </c>
      <c r="V125">
        <v>1.1636859271674999E-3</v>
      </c>
      <c r="W125">
        <v>3.5978390951641002E-4</v>
      </c>
      <c r="X125">
        <v>2.4371809558943001E-4</v>
      </c>
      <c r="AX125">
        <v>9.6520678078861</v>
      </c>
      <c r="AY125">
        <v>-0.19001444293175002</v>
      </c>
      <c r="AZ125">
        <v>0.39172798797423003</v>
      </c>
      <c r="BA125">
        <v>-3.1293878100733002E-2</v>
      </c>
      <c r="BB125">
        <v>-4.4650365377753007E-2</v>
      </c>
      <c r="BC125">
        <v>-0.12545793642706002</v>
      </c>
      <c r="BD125">
        <v>3.1136513693292E-4</v>
      </c>
      <c r="BE125">
        <f>(Table__150_diric[[#This Row],[F2]]+Table__150_diric_3[[#This Row],[F2]]+Table__150_diric_4[[#This Row],[F2]])/2</f>
        <v>-0.11289991281440041</v>
      </c>
      <c r="BF125">
        <v>9.6520678078861</v>
      </c>
      <c r="BG125">
        <v>-6.1447900549738005E-3</v>
      </c>
      <c r="BH125">
        <v>2.3775303806321002E-3</v>
      </c>
      <c r="BI125">
        <v>2.1428534541289E-3</v>
      </c>
      <c r="BJ125">
        <v>1.7176517623009001E-3</v>
      </c>
      <c r="BK125">
        <v>9.3245542088209003E-5</v>
      </c>
      <c r="BM125">
        <v>9.6520678078861</v>
      </c>
      <c r="BN125">
        <v>-2.9640592642077E-2</v>
      </c>
      <c r="BO125">
        <v>3.7241112159750997E-2</v>
      </c>
      <c r="BP125">
        <v>-3.4893752784361E-3</v>
      </c>
      <c r="BQ125">
        <v>-3.9056249840104E-3</v>
      </c>
      <c r="BR125">
        <v>2.0551925522677999E-4</v>
      </c>
    </row>
    <row r="126" spans="1:70" x14ac:dyDescent="0.25">
      <c r="A126">
        <v>1.5834215879440001</v>
      </c>
      <c r="B126" s="1">
        <v>1.0496190786362001</v>
      </c>
      <c r="C126" s="1">
        <v>2.2033444540452002E-18</v>
      </c>
      <c r="D126" s="1">
        <v>-6.3171632064041008E-5</v>
      </c>
      <c r="E126" s="1">
        <v>0.12994460761547</v>
      </c>
      <c r="Q126">
        <v>1.5834215879440001</v>
      </c>
      <c r="R126">
        <v>9.5354327932000004E-3</v>
      </c>
      <c r="S126">
        <v>2.5827279314399E-3</v>
      </c>
      <c r="T126">
        <v>3.9042781572788997E-3</v>
      </c>
      <c r="U126">
        <v>2.3160646669567E-3</v>
      </c>
      <c r="V126">
        <v>1.2186900712550001E-3</v>
      </c>
      <c r="W126">
        <v>3.6764869582839001E-4</v>
      </c>
      <c r="X126">
        <v>2.5296414969489E-4</v>
      </c>
      <c r="AX126">
        <v>10.193193853047999</v>
      </c>
      <c r="AY126">
        <v>-0.18993998191070002</v>
      </c>
      <c r="AZ126">
        <v>0.40434884108283997</v>
      </c>
      <c r="BA126">
        <v>-3.3058936549513002E-2</v>
      </c>
      <c r="BB126">
        <v>-6.1448562415990997E-2</v>
      </c>
      <c r="BC126">
        <v>-0.11954440466219002</v>
      </c>
      <c r="BD126">
        <v>3.5695554443502999E-4</v>
      </c>
      <c r="BE126">
        <f>(Table__150_diric[[#This Row],[F2]]+Table__150_diric_3[[#This Row],[F2]]+Table__150_diric_4[[#This Row],[F2]])/2</f>
        <v>-0.11344522760415275</v>
      </c>
      <c r="BF126">
        <v>10.193193853047999</v>
      </c>
      <c r="BG126">
        <v>-6.5734732507305004E-3</v>
      </c>
      <c r="BH126">
        <v>2.6384950604336002E-3</v>
      </c>
      <c r="BI126">
        <v>2.4588550564083999E-3</v>
      </c>
      <c r="BJ126">
        <v>1.5835720700073002E-3</v>
      </c>
      <c r="BK126">
        <v>1.0744893611877E-4</v>
      </c>
      <c r="BM126">
        <v>10.193193853047999</v>
      </c>
      <c r="BN126">
        <v>-3.0377000046874998E-2</v>
      </c>
      <c r="BO126">
        <v>3.7647247495769996E-2</v>
      </c>
      <c r="BP126">
        <v>-3.1796875399435999E-3</v>
      </c>
      <c r="BQ126">
        <v>-3.8835225588586E-3</v>
      </c>
      <c r="BR126">
        <v>2.0703735009369999E-4</v>
      </c>
    </row>
    <row r="127" spans="1:70" x14ac:dyDescent="0.25">
      <c r="A127">
        <v>1.5973377227782999</v>
      </c>
      <c r="B127" s="1">
        <v>1.0438387393951001</v>
      </c>
      <c r="C127" s="1">
        <v>-2.3759274170482999E-19</v>
      </c>
      <c r="D127" s="1">
        <v>-7.0627225795761008E-5</v>
      </c>
      <c r="E127" s="1">
        <v>0.12902356684208002</v>
      </c>
      <c r="Q127">
        <v>1.5973377227782999</v>
      </c>
      <c r="R127">
        <v>9.8972255364060003E-3</v>
      </c>
      <c r="S127">
        <v>2.6064654812216997E-3</v>
      </c>
      <c r="T127">
        <v>3.9779650978744004E-3</v>
      </c>
      <c r="U127">
        <v>2.3694445844740001E-3</v>
      </c>
      <c r="V127">
        <v>1.2744776904582999E-3</v>
      </c>
      <c r="W127">
        <v>3.7500043981709004E-4</v>
      </c>
      <c r="X127">
        <v>2.6216096011922002E-4</v>
      </c>
      <c r="AX127">
        <v>10.739667028626002</v>
      </c>
      <c r="AY127">
        <v>-0.18980406397376004</v>
      </c>
      <c r="AZ127">
        <v>0.4132601904564</v>
      </c>
      <c r="BA127">
        <v>-3.4735911892060004E-2</v>
      </c>
      <c r="BB127">
        <v>-7.6278733947939006E-2</v>
      </c>
      <c r="BC127">
        <v>-0.11205794457967999</v>
      </c>
      <c r="BD127">
        <v>3.8353606297066007E-4</v>
      </c>
      <c r="BE127">
        <f>(Table__150_diric[[#This Row],[F2]]+Table__150_diric_3[[#This Row],[F2]]+Table__150_diric_4[[#This Row],[F2]])/2</f>
        <v>-0.11391044665626474</v>
      </c>
      <c r="BF127">
        <v>10.739667028626002</v>
      </c>
      <c r="BG127">
        <v>-7.0091581517394003E-3</v>
      </c>
      <c r="BH127">
        <v>2.9142431768534997E-3</v>
      </c>
      <c r="BI127">
        <v>2.7601298853889003E-3</v>
      </c>
      <c r="BJ127">
        <v>1.4456514932253001E-3</v>
      </c>
      <c r="BK127">
        <v>1.1086640372831001E-4</v>
      </c>
      <c r="BM127">
        <v>10.739667028626002</v>
      </c>
      <c r="BN127">
        <v>-3.1007671187030003E-2</v>
      </c>
      <c r="BO127">
        <v>3.7940634707102003E-2</v>
      </c>
      <c r="BP127">
        <v>-2.8533389046814001E-3</v>
      </c>
      <c r="BQ127">
        <v>-3.8685741438137002E-3</v>
      </c>
      <c r="BR127">
        <v>2.1105047157728E-4</v>
      </c>
    </row>
    <row r="128" spans="1:70" x14ac:dyDescent="0.25">
      <c r="A128">
        <v>1.6106530427933001</v>
      </c>
      <c r="B128" s="1">
        <v>1.0381182432175</v>
      </c>
      <c r="C128" s="1">
        <v>-2.3524222527620002E-18</v>
      </c>
      <c r="D128" s="1">
        <v>-7.8381890489254011E-5</v>
      </c>
      <c r="E128" s="1">
        <v>0.12810616195202001</v>
      </c>
      <c r="Q128">
        <v>1.6106530427933001</v>
      </c>
      <c r="R128">
        <v>1.0267221368849E-2</v>
      </c>
      <c r="S128">
        <v>2.6256151031703E-3</v>
      </c>
      <c r="T128">
        <v>4.0465197525918007E-3</v>
      </c>
      <c r="U128">
        <v>2.4199360050260999E-3</v>
      </c>
      <c r="V128">
        <v>1.3310762587934999E-3</v>
      </c>
      <c r="W128">
        <v>3.8185855373740001E-4</v>
      </c>
      <c r="X128">
        <v>2.7130870148540004E-4</v>
      </c>
      <c r="AX128">
        <v>11.291860390229999</v>
      </c>
      <c r="AY128">
        <v>-0.18949760923299</v>
      </c>
      <c r="AZ128">
        <v>0.41867851613021001</v>
      </c>
      <c r="BA128">
        <v>-3.632457187773E-2</v>
      </c>
      <c r="BB128">
        <v>-8.8887887927769998E-2</v>
      </c>
      <c r="BC128">
        <v>-0.10354456782497</v>
      </c>
      <c r="BD128">
        <v>4.2387926674529003E-4</v>
      </c>
      <c r="BE128">
        <f>(Table__150_diric[[#This Row],[F2]]+Table__150_diric_3[[#This Row],[F2]]+Table__150_diric_4[[#This Row],[F2]])/2</f>
        <v>-0.1142416413564053</v>
      </c>
      <c r="BF128">
        <v>11.291860390229999</v>
      </c>
      <c r="BG128">
        <v>-7.4493673073466006E-3</v>
      </c>
      <c r="BH128">
        <v>3.2316143657803E-3</v>
      </c>
      <c r="BI128">
        <v>3.0365997301775999E-3</v>
      </c>
      <c r="BJ128">
        <v>1.3033971289254001E-3</v>
      </c>
      <c r="BK128">
        <v>1.2224391753668E-4</v>
      </c>
      <c r="BM128">
        <v>11.291860390229999</v>
      </c>
      <c r="BN128">
        <v>-3.1536306172474E-2</v>
      </c>
      <c r="BO128">
        <v>3.8126366913764004E-2</v>
      </c>
      <c r="BP128">
        <v>-2.5200276826404001E-3</v>
      </c>
      <c r="BQ128">
        <v>-3.8591566541221001E-3</v>
      </c>
      <c r="BR128">
        <v>2.1087640452734002E-4</v>
      </c>
    </row>
    <row r="129" spans="1:70" x14ac:dyDescent="0.25">
      <c r="A129">
        <v>1.6234010457993</v>
      </c>
      <c r="B129" s="1">
        <v>1.0324498414993</v>
      </c>
      <c r="C129" s="1">
        <v>-2.5597335666025002E-18</v>
      </c>
      <c r="D129" s="1">
        <v>-8.6772153736092015E-5</v>
      </c>
      <c r="E129" s="1">
        <v>0.12719202041625999</v>
      </c>
      <c r="Q129">
        <v>1.6234010457993</v>
      </c>
      <c r="R129">
        <v>1.0645929723978001E-2</v>
      </c>
      <c r="S129">
        <v>2.6401677168906004E-3</v>
      </c>
      <c r="T129">
        <v>4.1099754162133E-3</v>
      </c>
      <c r="U129">
        <v>2.4676502216606998E-3</v>
      </c>
      <c r="V129">
        <v>1.3885061489418002E-3</v>
      </c>
      <c r="W129">
        <v>3.8824471994302999E-4</v>
      </c>
      <c r="X129">
        <v>2.8040859615430003E-4</v>
      </c>
      <c r="AX129">
        <v>11.850111464364</v>
      </c>
      <c r="AY129">
        <v>-0.18894349216724002</v>
      </c>
      <c r="AZ129">
        <v>0.42088367798227999</v>
      </c>
      <c r="BA129">
        <v>-3.7825900156313E-2</v>
      </c>
      <c r="BB129">
        <v>-9.9160741097620006E-2</v>
      </c>
      <c r="BC129">
        <v>-9.4500345376922007E-2</v>
      </c>
      <c r="BD129">
        <v>4.5319918418443002E-4</v>
      </c>
      <c r="BE129">
        <f>(Table__150_diric[[#This Row],[F2]]+Table__150_diric_3[[#This Row],[F2]]+Table__150_diric_4[[#This Row],[F2]])/2</f>
        <v>-0.11440189146074775</v>
      </c>
      <c r="BF129">
        <v>11.850111464364</v>
      </c>
      <c r="BG129">
        <v>-7.8916812578275E-3</v>
      </c>
      <c r="BH129">
        <v>3.5809797887251002E-3</v>
      </c>
      <c r="BI129">
        <v>3.2789129967871998E-3</v>
      </c>
      <c r="BJ129">
        <v>1.1595514225621998E-3</v>
      </c>
      <c r="BK129">
        <v>1.2776295024696999E-4</v>
      </c>
      <c r="BM129">
        <v>11.850111464364</v>
      </c>
      <c r="BN129">
        <v>-3.1968609496427998E-2</v>
      </c>
      <c r="BO129">
        <v>3.8211575576724E-2</v>
      </c>
      <c r="BP129">
        <v>-2.1880232398941999E-3</v>
      </c>
      <c r="BQ129">
        <v>-3.8405317584822999E-3</v>
      </c>
      <c r="BR129">
        <v>2.1441108191992E-4</v>
      </c>
    </row>
    <row r="130" spans="1:70" x14ac:dyDescent="0.25">
      <c r="A130">
        <v>1.6356143951416</v>
      </c>
      <c r="B130" s="1">
        <v>1.0268255472183001</v>
      </c>
      <c r="C130" s="1">
        <v>-5.3871295445374002E-19</v>
      </c>
      <c r="D130" s="1">
        <v>-9.6220246632583006E-5</v>
      </c>
      <c r="E130" s="1">
        <v>0.12628065049648002</v>
      </c>
      <c r="Q130">
        <v>1.6356143951416</v>
      </c>
      <c r="R130">
        <v>1.1033585295081002E-2</v>
      </c>
      <c r="S130">
        <v>2.6501445099711002E-3</v>
      </c>
      <c r="T130">
        <v>4.1682906448841E-3</v>
      </c>
      <c r="U130">
        <v>2.5126864202321001E-3</v>
      </c>
      <c r="V130">
        <v>1.4467686414719001E-3</v>
      </c>
      <c r="W130">
        <v>3.9418158121407005E-4</v>
      </c>
      <c r="X130">
        <v>2.8946041129529005E-4</v>
      </c>
      <c r="AX130">
        <v>12.41479330664</v>
      </c>
      <c r="AY130">
        <v>-0.18809229456944002</v>
      </c>
      <c r="AZ130">
        <v>0.42019401491656999</v>
      </c>
      <c r="BA130">
        <v>-3.9241639973821005E-2</v>
      </c>
      <c r="BB130">
        <v>-0.10709299083051001</v>
      </c>
      <c r="BC130">
        <v>-8.5270823932273004E-2</v>
      </c>
      <c r="BD130">
        <v>4.9626561051999011E-4</v>
      </c>
      <c r="BE130">
        <f>(Table__150_diric[[#This Row],[F2]]+Table__150_diric_3[[#This Row],[F2]]+Table__150_diric_4[[#This Row],[F2]])/2</f>
        <v>-0.11436875204487647</v>
      </c>
      <c r="BF130">
        <v>12.41479330664</v>
      </c>
      <c r="BG130">
        <v>-8.3337780687489007E-3</v>
      </c>
      <c r="BH130">
        <v>3.9786540288354998E-3</v>
      </c>
      <c r="BI130">
        <v>3.4787333175659001E-3</v>
      </c>
      <c r="BJ130">
        <v>1.0139453993295001E-3</v>
      </c>
      <c r="BK130">
        <v>1.3755467698196999E-4</v>
      </c>
      <c r="BM130">
        <v>12.41479330664</v>
      </c>
      <c r="BN130">
        <v>-3.2311431451564003E-2</v>
      </c>
      <c r="BO130">
        <v>3.8204430453951999E-2</v>
      </c>
      <c r="BP130">
        <v>-1.8642012901239E-3</v>
      </c>
      <c r="BQ130">
        <v>-3.8154063817483E-3</v>
      </c>
      <c r="BR130">
        <v>2.1339133051588002E-4</v>
      </c>
    </row>
    <row r="131" spans="1:70" x14ac:dyDescent="0.25">
      <c r="A131">
        <v>1.6473234891891</v>
      </c>
      <c r="B131" s="1">
        <v>1.0212366580962999</v>
      </c>
      <c r="C131" s="1">
        <v>8.3093932125646998E-19</v>
      </c>
      <c r="D131" s="1">
        <v>-1.0708597255871001E-4</v>
      </c>
      <c r="E131" s="1">
        <v>0.12537156045437001</v>
      </c>
      <c r="Q131">
        <v>1.6473234891891</v>
      </c>
      <c r="R131">
        <v>1.1430256068707002E-2</v>
      </c>
      <c r="S131">
        <v>2.6555897202343E-3</v>
      </c>
      <c r="T131">
        <v>4.2214035056531004E-3</v>
      </c>
      <c r="U131">
        <v>2.5551288854330999E-3</v>
      </c>
      <c r="V131">
        <v>1.5058445278554999E-3</v>
      </c>
      <c r="W131">
        <v>3.9969020872377006E-4</v>
      </c>
      <c r="X131">
        <v>2.9846164397895E-4</v>
      </c>
      <c r="AX131">
        <v>12.986278972668</v>
      </c>
      <c r="AY131">
        <v>-0.18691739500000001</v>
      </c>
      <c r="AZ131">
        <v>0.41694424766870997</v>
      </c>
      <c r="BA131">
        <v>-4.0574302369578999E-2</v>
      </c>
      <c r="BB131">
        <v>-0.11276566000359001</v>
      </c>
      <c r="BC131">
        <v>-7.6165542101098008E-2</v>
      </c>
      <c r="BD131">
        <v>5.213481944452E-4</v>
      </c>
      <c r="BE131">
        <f>(Table__150_diric[[#This Row],[F2]]+Table__150_diric_3[[#This Row],[F2]]+Table__150_diric_4[[#This Row],[F2]])/2</f>
        <v>-0.11413151091670051</v>
      </c>
      <c r="BF131">
        <v>12.986278972668</v>
      </c>
      <c r="BG131">
        <v>-8.7734643144410009E-3</v>
      </c>
      <c r="BH131">
        <v>4.4198223253219E-3</v>
      </c>
      <c r="BI131">
        <v>3.6289474286242004E-3</v>
      </c>
      <c r="BJ131">
        <v>8.6859212206743012E-4</v>
      </c>
      <c r="BK131">
        <v>1.4389756157254002E-4</v>
      </c>
      <c r="BM131">
        <v>12.986278972668</v>
      </c>
      <c r="BN131">
        <v>-3.2572162518960002E-2</v>
      </c>
      <c r="BO131">
        <v>3.8114136868055003E-2</v>
      </c>
      <c r="BP131">
        <v>-1.5541188048610001E-3</v>
      </c>
      <c r="BQ131">
        <v>-3.7711434779147002E-3</v>
      </c>
      <c r="BR131">
        <v>2.1671206631925004E-4</v>
      </c>
    </row>
    <row r="132" spans="1:70" x14ac:dyDescent="0.25">
      <c r="A132">
        <v>1.6585574150085001</v>
      </c>
      <c r="B132" s="1">
        <v>1.0156742334366</v>
      </c>
      <c r="C132" s="1">
        <v>1.7671224862093003E-18</v>
      </c>
      <c r="D132" s="1">
        <v>-1.1954661022173001E-4</v>
      </c>
      <c r="E132" s="1">
        <v>0.12446420639753</v>
      </c>
      <c r="Q132">
        <v>1.6585574150085001</v>
      </c>
      <c r="R132">
        <v>1.1835980229080001E-2</v>
      </c>
      <c r="S132">
        <v>2.6565648149698999E-3</v>
      </c>
      <c r="T132">
        <v>4.2693396098912005E-3</v>
      </c>
      <c r="U132">
        <v>2.5950535200536004E-3</v>
      </c>
      <c r="V132">
        <v>1.5657069161533999E-3</v>
      </c>
      <c r="W132">
        <v>4.0478806477040004E-4</v>
      </c>
      <c r="X132">
        <v>3.0740865622647004E-4</v>
      </c>
      <c r="AX132">
        <v>13.564977047163001</v>
      </c>
      <c r="AY132">
        <v>-0.18541001677177002</v>
      </c>
      <c r="AZ132">
        <v>0.41147565044180001</v>
      </c>
      <c r="BA132">
        <v>-4.1826835560591004E-2</v>
      </c>
      <c r="BB132">
        <v>-0.11632129180931</v>
      </c>
      <c r="BC132">
        <v>-6.7352131464751011E-2</v>
      </c>
      <c r="BD132">
        <v>5.6537483537197006E-4</v>
      </c>
      <c r="BE132">
        <f>(Table__150_diric[[#This Row],[F2]]+Table__150_diric_3[[#This Row],[F2]]+Table__150_diric_4[[#This Row],[F2]])/2</f>
        <v>-0.11368850003442887</v>
      </c>
      <c r="BF132">
        <v>13.564977047163001</v>
      </c>
      <c r="BG132">
        <v>-9.2086897450787009E-3</v>
      </c>
      <c r="BH132">
        <v>4.9133720223357999E-3</v>
      </c>
      <c r="BI132">
        <v>3.7238102469307004E-3</v>
      </c>
      <c r="BJ132">
        <v>7.2419192936230001E-4</v>
      </c>
      <c r="BK132">
        <v>1.5268445355008E-4</v>
      </c>
      <c r="BM132">
        <v>13.564977047163001</v>
      </c>
      <c r="BN132">
        <v>-3.2758293552009002E-2</v>
      </c>
      <c r="BO132">
        <v>3.7950301798638002E-2</v>
      </c>
      <c r="BP132">
        <v>-1.262165373891E-3</v>
      </c>
      <c r="BQ132">
        <v>-3.7142545115904E-3</v>
      </c>
      <c r="BR132">
        <v>2.1558836114836001E-4</v>
      </c>
    </row>
    <row r="133" spans="1:70" x14ac:dyDescent="0.25">
      <c r="A133">
        <v>1.6693435907364</v>
      </c>
      <c r="B133" s="1">
        <v>1.0101284980773999</v>
      </c>
      <c r="C133" s="1">
        <v>-1.2370916194649001E-18</v>
      </c>
      <c r="D133" s="1">
        <v>-1.3353620306589002E-4</v>
      </c>
      <c r="E133" s="1">
        <v>0.12355796992779</v>
      </c>
      <c r="Q133">
        <v>1.6693435907364</v>
      </c>
      <c r="R133">
        <v>1.2250863015652001E-2</v>
      </c>
      <c r="S133">
        <v>2.6531459297984999E-3</v>
      </c>
      <c r="T133">
        <v>4.3122549541295E-3</v>
      </c>
      <c r="U133">
        <v>2.6325350627302998E-3</v>
      </c>
      <c r="V133">
        <v>1.6263361321762E-3</v>
      </c>
      <c r="W133">
        <v>4.0948920650408003E-4</v>
      </c>
      <c r="X133">
        <v>3.1629804288967999E-4</v>
      </c>
      <c r="AX133">
        <v>14.151260585736001</v>
      </c>
      <c r="AY133">
        <v>-0.18357466454398003</v>
      </c>
      <c r="AZ133">
        <v>0.40412343602116008</v>
      </c>
      <c r="BA133">
        <v>-4.3002545703093004E-2</v>
      </c>
      <c r="BB133">
        <v>-0.11794334672858001</v>
      </c>
      <c r="BC133">
        <v>-5.9012910501551996E-2</v>
      </c>
      <c r="BD133">
        <v>5.8996854395969008E-4</v>
      </c>
      <c r="BE133">
        <f>(Table__150_diric[[#This Row],[F2]]+Table__150_diric_3[[#This Row],[F2]]+Table__150_diric_4[[#This Row],[F2]])/2</f>
        <v>-0.11304467750963752</v>
      </c>
      <c r="BF133">
        <v>14.151260585736001</v>
      </c>
      <c r="BG133">
        <v>-9.6375554743299997E-3</v>
      </c>
      <c r="BH133">
        <v>5.4559433410671003E-3</v>
      </c>
      <c r="BI133">
        <v>3.7590089442772001E-3</v>
      </c>
      <c r="BJ133">
        <v>5.8225212368495996E-4</v>
      </c>
      <c r="BK133">
        <v>1.5964893469914003E-4</v>
      </c>
      <c r="BM133">
        <v>14.151260585736001</v>
      </c>
      <c r="BN133">
        <v>-3.2877135000965001E-2</v>
      </c>
      <c r="BO133">
        <v>3.7722775405391998E-2</v>
      </c>
      <c r="BP133">
        <v>-9.9177737241729004E-4</v>
      </c>
      <c r="BQ133">
        <v>-3.6358965288037001E-3</v>
      </c>
      <c r="BR133">
        <v>2.1796650320597002E-4</v>
      </c>
    </row>
    <row r="134" spans="1:70" x14ac:dyDescent="0.25">
      <c r="A134">
        <v>1.6797078847884999</v>
      </c>
      <c r="B134" s="1">
        <v>1.0045899152755999</v>
      </c>
      <c r="C134" s="1">
        <v>-1.7459466625279004E-18</v>
      </c>
      <c r="D134" s="1">
        <v>-1.4875111810397002E-4</v>
      </c>
      <c r="E134" s="1">
        <v>0.12265212833881001</v>
      </c>
      <c r="Q134">
        <v>1.6797078847884999</v>
      </c>
      <c r="R134">
        <v>1.2675092555583E-2</v>
      </c>
      <c r="S134">
        <v>2.6454234030098001E-3</v>
      </c>
      <c r="T134">
        <v>4.3503828346729001E-3</v>
      </c>
      <c r="U134">
        <v>2.6676449924707001E-3</v>
      </c>
      <c r="V134">
        <v>1.6877257730811999E-3</v>
      </c>
      <c r="W134">
        <v>4.1380550828762E-4</v>
      </c>
      <c r="X134">
        <v>3.2512709731236003E-4</v>
      </c>
      <c r="AX134">
        <v>14.745591466762999</v>
      </c>
      <c r="AY134">
        <v>-0.18142534771569002</v>
      </c>
      <c r="AZ134">
        <v>0.39520043478994005</v>
      </c>
      <c r="BA134">
        <v>-4.4104850980101001E-2</v>
      </c>
      <c r="BB134">
        <v>-0.11783928068167</v>
      </c>
      <c r="BC134">
        <v>-5.1202941121082007E-2</v>
      </c>
      <c r="BD134">
        <v>6.2801429139809997E-4</v>
      </c>
      <c r="BE134">
        <f>(Table__150_diric[[#This Row],[F2]]+Table__150_diric_3[[#This Row],[F2]]+Table__150_diric_4[[#This Row],[F2]])/2</f>
        <v>-0.11220965831108001</v>
      </c>
      <c r="BF134">
        <v>14.745591466762999</v>
      </c>
      <c r="BG134">
        <v>-1.0058316060628E-2</v>
      </c>
      <c r="BH134">
        <v>6.0510562449616005E-3</v>
      </c>
      <c r="BI134">
        <v>3.7316830504982999E-3</v>
      </c>
      <c r="BJ134">
        <v>4.4305939405333005E-4</v>
      </c>
      <c r="BK134">
        <v>1.6748262888542002E-4</v>
      </c>
      <c r="BM134">
        <v>14.745591466762999</v>
      </c>
      <c r="BN134">
        <v>-3.2935652845841996E-2</v>
      </c>
      <c r="BO134">
        <v>3.7441268497621E-2</v>
      </c>
      <c r="BP134">
        <v>-7.456085471171601E-4</v>
      </c>
      <c r="BQ134">
        <v>-3.5430055770576002E-3</v>
      </c>
      <c r="BR134">
        <v>2.1700152760435E-4</v>
      </c>
    </row>
    <row r="135" spans="1:70" x14ac:dyDescent="0.25">
      <c r="A135">
        <v>1.68967461586</v>
      </c>
      <c r="B135" s="1">
        <v>0.9990487694740301</v>
      </c>
      <c r="C135" s="1">
        <v>6.4162745754512998E-20</v>
      </c>
      <c r="D135" s="1">
        <v>-1.6472072456963003E-4</v>
      </c>
      <c r="E135" s="1">
        <v>0.12174590677023001</v>
      </c>
      <c r="Q135">
        <v>1.68967461586</v>
      </c>
      <c r="R135">
        <v>1.3108899816871E-2</v>
      </c>
      <c r="S135">
        <v>2.6335003785789E-3</v>
      </c>
      <c r="T135">
        <v>4.3839570134878002E-3</v>
      </c>
      <c r="U135">
        <v>2.70044663921E-3</v>
      </c>
      <c r="V135">
        <v>1.7498777015134998E-3</v>
      </c>
      <c r="W135">
        <v>4.1774736018851004E-4</v>
      </c>
      <c r="X135">
        <v>3.3389398595317998E-4</v>
      </c>
      <c r="AX135">
        <v>15.348396039511002</v>
      </c>
      <c r="AY135">
        <v>-0.17898221049211002</v>
      </c>
      <c r="AZ135">
        <v>0.38500003569968</v>
      </c>
      <c r="BA135">
        <v>-4.5137199630596994E-2</v>
      </c>
      <c r="BB135">
        <v>-0.11622719493245</v>
      </c>
      <c r="BC135">
        <v>-4.3996357004812997E-2</v>
      </c>
      <c r="BD135">
        <v>6.5707363969820997E-4</v>
      </c>
      <c r="BE135">
        <f>(Table__150_diric[[#This Row],[F2]]+Table__150_diric_3[[#This Row],[F2]]+Table__150_diric_4[[#This Row],[F2]])/2</f>
        <v>-0.11119596194118753</v>
      </c>
      <c r="BF135">
        <v>15.348396039511002</v>
      </c>
      <c r="BG135">
        <v>-1.0469376817223E-2</v>
      </c>
      <c r="BH135">
        <v>6.6951070920323996E-3</v>
      </c>
      <c r="BI135">
        <v>3.6403835751753003E-3</v>
      </c>
      <c r="BJ135">
        <v>3.0837211162306003E-4</v>
      </c>
      <c r="BK135">
        <v>1.7448596160725001E-4</v>
      </c>
      <c r="BM135">
        <v>15.348396039511002</v>
      </c>
      <c r="BN135">
        <v>-3.2940336573042003E-2</v>
      </c>
      <c r="BO135">
        <v>3.7115202254415003E-2</v>
      </c>
      <c r="BP135">
        <v>-5.2571449839952005E-4</v>
      </c>
      <c r="BQ135">
        <v>-3.4301446393928E-3</v>
      </c>
      <c r="BR135">
        <v>2.1900654358055001E-4</v>
      </c>
    </row>
    <row r="136" spans="1:70" x14ac:dyDescent="0.25">
      <c r="A136">
        <v>1.6992666721343999</v>
      </c>
      <c r="B136" s="1">
        <v>0.99349522590636996</v>
      </c>
      <c r="C136" s="1">
        <v>-4.7772658225143001E-19</v>
      </c>
      <c r="D136" s="1">
        <v>-1.8089465447702002E-4</v>
      </c>
      <c r="E136" s="1">
        <v>0.12083843350410001</v>
      </c>
      <c r="Q136">
        <v>1.6992666721343999</v>
      </c>
      <c r="R136">
        <v>1.3552529737353E-2</v>
      </c>
      <c r="S136">
        <v>2.6174914091825004E-3</v>
      </c>
      <c r="T136">
        <v>4.4131828472017999E-3</v>
      </c>
      <c r="U136">
        <v>2.7309916913509E-3</v>
      </c>
      <c r="V136">
        <v>1.8127950606868001E-3</v>
      </c>
      <c r="W136">
        <v>4.2132317321375007E-4</v>
      </c>
      <c r="X136">
        <v>3.4259763197041999E-4</v>
      </c>
      <c r="AX136">
        <v>15.960136182356003</v>
      </c>
      <c r="AY136">
        <v>-0.17626906828620001</v>
      </c>
      <c r="AZ136">
        <v>0.37378864447916005</v>
      </c>
      <c r="BA136">
        <v>-4.6102895078454997E-2</v>
      </c>
      <c r="BB136">
        <v>-0.11332531780426001</v>
      </c>
      <c r="BC136">
        <v>-3.7407479780956002E-2</v>
      </c>
      <c r="BD136">
        <v>6.8388352928951005E-4</v>
      </c>
      <c r="BE136">
        <f>(Table__150_diric[[#This Row],[F2]]+Table__150_diric_3[[#This Row],[F2]]+Table__150_diric_4[[#This Row],[F2]])/2</f>
        <v>-0.11001774878947501</v>
      </c>
      <c r="BF136">
        <v>15.960136182356003</v>
      </c>
      <c r="BG136">
        <v>-1.0869288157409E-2</v>
      </c>
      <c r="BH136">
        <v>7.3877536541238006E-3</v>
      </c>
      <c r="BI136">
        <v>3.4849900189124002E-3</v>
      </c>
      <c r="BJ136">
        <v>1.7847254666489E-4</v>
      </c>
      <c r="BK136">
        <v>1.8192806229212999E-4</v>
      </c>
      <c r="BM136">
        <v>15.960136182356003</v>
      </c>
      <c r="BN136">
        <v>-3.2897141135341E-2</v>
      </c>
      <c r="BO136">
        <v>3.6753473241642E-2</v>
      </c>
      <c r="BP136">
        <v>-3.3358682064898998E-4</v>
      </c>
      <c r="BQ136">
        <v>-3.3044106331186003E-3</v>
      </c>
      <c r="BR136">
        <v>2.1833465253258999E-4</v>
      </c>
    </row>
    <row r="137" spans="1:70" x14ac:dyDescent="0.25">
      <c r="A137">
        <v>1.7085055112839</v>
      </c>
      <c r="B137" s="1">
        <v>0.98791933059691994</v>
      </c>
      <c r="C137" s="1">
        <v>-2.5241581828178001E-19</v>
      </c>
      <c r="D137" s="1">
        <v>-1.9670334586408E-4</v>
      </c>
      <c r="E137" s="1">
        <v>0.11992877721785999</v>
      </c>
      <c r="Q137">
        <v>1.7085055112839</v>
      </c>
      <c r="R137">
        <v>1.4006239362061001E-2</v>
      </c>
      <c r="S137">
        <v>2.5975182652473003E-3</v>
      </c>
      <c r="T137">
        <v>4.4382428750396E-3</v>
      </c>
      <c r="U137">
        <v>2.7593199629336999E-3</v>
      </c>
      <c r="V137">
        <v>1.8764813430607E-3</v>
      </c>
      <c r="W137">
        <v>4.2453923379071008E-4</v>
      </c>
      <c r="X137">
        <v>3.5123730776832001E-4</v>
      </c>
      <c r="AX137">
        <v>16.581309302777999</v>
      </c>
      <c r="AY137">
        <v>-0.17331118790399003</v>
      </c>
      <c r="AZ137">
        <v>0.36180632714742</v>
      </c>
      <c r="BA137">
        <v>-4.7005022158707999E-2</v>
      </c>
      <c r="BB137">
        <v>-0.10934445009938001</v>
      </c>
      <c r="BC137">
        <v>-3.1437433783584996E-2</v>
      </c>
      <c r="BD137">
        <v>7.0823320176065002E-4</v>
      </c>
      <c r="BE137">
        <f>(Table__150_diric[[#This Row],[F2]]+Table__150_diric_3[[#This Row],[F2]]+Table__150_diric_4[[#This Row],[F2]])/2</f>
        <v>-0.10868968222619152</v>
      </c>
      <c r="BF137">
        <v>16.581309302777999</v>
      </c>
      <c r="BG137">
        <v>-1.1256741903203001E-2</v>
      </c>
      <c r="BH137">
        <v>8.1245039305334003E-3</v>
      </c>
      <c r="BI137">
        <v>3.2665882999814004E-3</v>
      </c>
      <c r="BJ137">
        <v>5.4149783680295001E-5</v>
      </c>
      <c r="BK137">
        <v>1.8850011099248002E-4</v>
      </c>
      <c r="BM137">
        <v>16.581309302777999</v>
      </c>
      <c r="BN137">
        <v>-3.2811434645189999E-2</v>
      </c>
      <c r="BO137">
        <v>3.6364355046968999E-2</v>
      </c>
      <c r="BP137">
        <v>-1.7020067333471003E-4</v>
      </c>
      <c r="BQ137">
        <v>-3.1630517760027001E-3</v>
      </c>
      <c r="BR137">
        <v>2.1966795244136002E-4</v>
      </c>
    </row>
    <row r="138" spans="1:70" x14ac:dyDescent="0.25">
      <c r="A138">
        <v>1.7174112796782999</v>
      </c>
      <c r="B138" s="1">
        <v>0.98231089115143</v>
      </c>
      <c r="C138" s="1">
        <v>9.0590173708846998E-19</v>
      </c>
      <c r="D138" s="1">
        <v>-2.1159723110031E-4</v>
      </c>
      <c r="E138" s="1">
        <v>0.11901593953370999</v>
      </c>
      <c r="Q138">
        <v>1.7174112796782999</v>
      </c>
      <c r="R138">
        <v>1.4470265246928E-2</v>
      </c>
      <c r="S138">
        <v>2.5737087707967E-3</v>
      </c>
      <c r="T138">
        <v>4.4593107886611999E-3</v>
      </c>
      <c r="U138">
        <v>2.7854652144015E-3</v>
      </c>
      <c r="V138">
        <v>1.9409380620345001E-3</v>
      </c>
      <c r="W138">
        <v>4.2740054777822998E-4</v>
      </c>
      <c r="X138">
        <v>3.5981240216643003E-4</v>
      </c>
      <c r="AX138">
        <v>17.212395043705001</v>
      </c>
      <c r="AY138">
        <v>-0.17013395647264001</v>
      </c>
      <c r="AZ138">
        <v>0.34926690234205005</v>
      </c>
      <c r="BA138">
        <v>-4.7846354217287002E-2</v>
      </c>
      <c r="BB138">
        <v>-0.10448300424051001</v>
      </c>
      <c r="BC138">
        <v>-2.6063590211015002E-2</v>
      </c>
      <c r="BD138">
        <v>7.3999720060025E-4</v>
      </c>
      <c r="BE138">
        <f>(Table__150_diric[[#This Row],[F2]]+Table__150_diric_3[[#This Row],[F2]]+Table__150_diric_4[[#This Row],[F2]])/2</f>
        <v>-0.10722625992480901</v>
      </c>
      <c r="BF138">
        <v>17.212395043705001</v>
      </c>
      <c r="BG138">
        <v>-1.1630559661638999E-2</v>
      </c>
      <c r="BH138">
        <v>8.9022812833103003E-3</v>
      </c>
      <c r="BI138">
        <v>2.9874051838755999E-3</v>
      </c>
      <c r="BJ138">
        <v>-6.3543911946035002E-5</v>
      </c>
      <c r="BK138">
        <v>1.9558289360115E-4</v>
      </c>
      <c r="BM138">
        <v>17.212395043705001</v>
      </c>
      <c r="BN138">
        <v>-3.2688003715339004E-2</v>
      </c>
      <c r="BO138">
        <v>3.5955383520724998E-2</v>
      </c>
      <c r="BP138">
        <v>-3.6078288489698001E-5</v>
      </c>
      <c r="BQ138">
        <v>-3.0117221664981001E-3</v>
      </c>
      <c r="BR138">
        <v>2.1957935039812002E-4</v>
      </c>
    </row>
    <row r="139" spans="1:70" x14ac:dyDescent="0.25">
      <c r="A139">
        <v>1.7260029315948</v>
      </c>
      <c r="B139" s="1">
        <v>0.97665959596634</v>
      </c>
      <c r="C139" s="1">
        <v>7.0727251095733994E-20</v>
      </c>
      <c r="D139" s="1">
        <v>-2.2507620451506002E-4</v>
      </c>
      <c r="E139" s="1">
        <v>0.11809886246920001</v>
      </c>
      <c r="Q139">
        <v>1.7260029315948</v>
      </c>
      <c r="R139">
        <v>1.4944753609598E-2</v>
      </c>
      <c r="S139">
        <v>2.5461956392974E-3</v>
      </c>
      <c r="T139">
        <v>4.4765626080334004E-3</v>
      </c>
      <c r="U139">
        <v>2.8094556182623001E-3</v>
      </c>
      <c r="V139">
        <v>2.0061584655195002E-3</v>
      </c>
      <c r="W139">
        <v>4.2991110240108999E-4</v>
      </c>
      <c r="X139">
        <v>3.6832151818089003E-4</v>
      </c>
      <c r="AX139">
        <v>17.853961870829</v>
      </c>
      <c r="AY139">
        <v>-0.16676204139168002</v>
      </c>
      <c r="AZ139">
        <v>0.33635201477249005</v>
      </c>
      <c r="BA139">
        <v>-4.8629295731455996E-2</v>
      </c>
      <c r="BB139">
        <v>-9.8923792894792001E-2</v>
      </c>
      <c r="BC139">
        <v>-2.1282018036873001E-2</v>
      </c>
      <c r="BD139">
        <v>7.5486671769507002E-4</v>
      </c>
      <c r="BE139">
        <f>(Table__150_diric[[#This Row],[F2]]+Table__150_diric_3[[#This Row],[F2]]+Table__150_diric_4[[#This Row],[F2]])/2</f>
        <v>-0.1056414064038145</v>
      </c>
      <c r="BF139">
        <v>17.853961870829</v>
      </c>
      <c r="BG139">
        <v>-1.1989682300596001E-2</v>
      </c>
      <c r="BH139">
        <v>9.7155567809331014E-3</v>
      </c>
      <c r="BI139">
        <v>2.6506758421625002E-3</v>
      </c>
      <c r="BJ139">
        <v>-1.7485290640542001E-4</v>
      </c>
      <c r="BK139">
        <v>2.0169741609376998E-4</v>
      </c>
      <c r="BM139">
        <v>17.853961870829</v>
      </c>
      <c r="BN139">
        <v>-3.2531089115352997E-2</v>
      </c>
      <c r="BO139">
        <v>3.5533291199241E-2</v>
      </c>
      <c r="BP139">
        <v>6.8725948979779012E-5</v>
      </c>
      <c r="BQ139">
        <v>-2.8503675630432001E-3</v>
      </c>
      <c r="BR139">
        <v>2.2056046982412003E-4</v>
      </c>
    </row>
    <row r="140" spans="1:70" x14ac:dyDescent="0.25">
      <c r="A140">
        <v>1.7342981100082</v>
      </c>
      <c r="B140" s="1">
        <v>0.97095507383347002</v>
      </c>
      <c r="C140" s="1">
        <v>9.4740635150392992E-19</v>
      </c>
      <c r="D140" s="1">
        <v>-2.3671373492107001E-4</v>
      </c>
      <c r="E140" s="1">
        <v>0.11717643588781</v>
      </c>
      <c r="Q140">
        <v>1.7342981100082</v>
      </c>
      <c r="R140">
        <v>1.5429708175361002E-2</v>
      </c>
      <c r="S140">
        <v>2.5151188019663E-3</v>
      </c>
      <c r="T140">
        <v>4.4901790097356007E-3</v>
      </c>
      <c r="U140">
        <v>2.8313114307821001E-3</v>
      </c>
      <c r="V140">
        <v>2.0721212495118002E-3</v>
      </c>
      <c r="W140">
        <v>4.3207342969254001E-4</v>
      </c>
      <c r="X140">
        <v>3.7676168722101E-4</v>
      </c>
      <c r="AX140">
        <v>18.506524956183</v>
      </c>
      <c r="AY140">
        <v>-0.16321902591399001</v>
      </c>
      <c r="AZ140">
        <v>0.32322201099635001</v>
      </c>
      <c r="BA140">
        <v>-4.9355808536070002E-2</v>
      </c>
      <c r="BB140">
        <v>-9.2832612544645005E-2</v>
      </c>
      <c r="BC140">
        <v>-1.7035813517194999E-2</v>
      </c>
      <c r="BD140">
        <v>7.7875048444940001E-4</v>
      </c>
      <c r="BE140">
        <f>(Table__150_diric[[#This Row],[F2]]+Table__150_diric_3[[#This Row],[F2]]+Table__150_diric_4[[#This Row],[F2]])/2</f>
        <v>-0.10394830436511052</v>
      </c>
      <c r="BF140">
        <v>18.506524956183</v>
      </c>
      <c r="BG140">
        <v>-1.2333163115942999E-2</v>
      </c>
      <c r="BH140">
        <v>1.0559309027848001E-2</v>
      </c>
      <c r="BI140">
        <v>2.2605658518294E-3</v>
      </c>
      <c r="BJ140">
        <v>-2.7849511164683004E-4</v>
      </c>
      <c r="BK140">
        <v>2.0821665208723E-4</v>
      </c>
      <c r="BM140">
        <v>18.506524956183</v>
      </c>
      <c r="BN140">
        <v>-3.2344419700288E-2</v>
      </c>
      <c r="BO140">
        <v>3.5103963587087998E-2</v>
      </c>
      <c r="BP140">
        <v>1.4454656894048E-4</v>
      </c>
      <c r="BQ140">
        <v>-2.6835409296438999E-3</v>
      </c>
      <c r="BR140">
        <v>2.2054952609617002E-4</v>
      </c>
    </row>
    <row r="141" spans="1:70" x14ac:dyDescent="0.25">
      <c r="A141">
        <v>1.7423133850098</v>
      </c>
      <c r="B141" s="1">
        <v>0.96518671512604015</v>
      </c>
      <c r="C141" s="1">
        <v>5.0821976835257998E-21</v>
      </c>
      <c r="D141" s="1">
        <v>-2.4618109455332003E-4</v>
      </c>
      <c r="E141" s="1">
        <v>0.11624749004841001</v>
      </c>
      <c r="Q141">
        <v>1.7423133850098</v>
      </c>
      <c r="R141">
        <v>1.5924975275993E-2</v>
      </c>
      <c r="S141">
        <v>2.4806251749395999E-3</v>
      </c>
      <c r="T141">
        <v>4.5003402046858995E-3</v>
      </c>
      <c r="U141">
        <v>2.8510424308479001E-3</v>
      </c>
      <c r="V141">
        <v>2.1387874148786003E-3</v>
      </c>
      <c r="W141">
        <v>4.3388816993684005E-4</v>
      </c>
      <c r="X141">
        <v>3.8512775790878003E-4</v>
      </c>
      <c r="AX141">
        <v>19.170670530013002</v>
      </c>
      <c r="AY141">
        <v>-0.15952737144728002</v>
      </c>
      <c r="AZ141">
        <v>0.31001386484309001</v>
      </c>
      <c r="BA141">
        <v>-5.0027340782207004E-2</v>
      </c>
      <c r="BB141">
        <v>-8.6358887989491998E-2</v>
      </c>
      <c r="BC141">
        <v>-1.3305622038383001E-2</v>
      </c>
      <c r="BD141">
        <v>7.9464258572537003E-4</v>
      </c>
      <c r="BE141">
        <f>(Table__150_diric[[#This Row],[F2]]+Table__150_diric_3[[#This Row],[F2]]+Table__150_diric_4[[#This Row],[F2]])/2</f>
        <v>-0.10215938756663301</v>
      </c>
      <c r="BF141">
        <v>19.170670530013002</v>
      </c>
      <c r="BG141">
        <v>-1.2660151377699E-2</v>
      </c>
      <c r="BH141">
        <v>1.1427044569267001E-2</v>
      </c>
      <c r="BI141">
        <v>1.8220639633351001E-3</v>
      </c>
      <c r="BJ141">
        <v>-3.7499010862946004E-4</v>
      </c>
      <c r="BK141">
        <v>2.1396704627359999E-4</v>
      </c>
      <c r="BM141">
        <v>19.170670530013002</v>
      </c>
      <c r="BN141">
        <v>-3.2131252308286999E-2</v>
      </c>
      <c r="BO141">
        <v>3.4672409101106999E-2</v>
      </c>
      <c r="BP141">
        <v>1.9210178485719E-4</v>
      </c>
      <c r="BQ141">
        <v>-2.5112690000595999E-3</v>
      </c>
      <c r="BR141">
        <v>2.2198957761762001E-4</v>
      </c>
    </row>
    <row r="142" spans="1:70" x14ac:dyDescent="0.25">
      <c r="A142">
        <v>1.7500646114349001</v>
      </c>
      <c r="B142" s="1">
        <v>0.95934373140334994</v>
      </c>
      <c r="C142" s="1">
        <v>2.0845480831928E-18</v>
      </c>
      <c r="D142" s="1">
        <v>-2.5326918694191001E-4</v>
      </c>
      <c r="E142" s="1">
        <v>0.11531081050634001</v>
      </c>
      <c r="Q142">
        <v>1.7500646114349001</v>
      </c>
      <c r="R142">
        <v>1.643025316298E-2</v>
      </c>
      <c r="S142">
        <v>2.4428709875792E-3</v>
      </c>
      <c r="T142">
        <v>4.5072147622705E-3</v>
      </c>
      <c r="U142">
        <v>2.8686467558146004E-3</v>
      </c>
      <c r="V142">
        <v>2.2061027120799E-3</v>
      </c>
      <c r="W142">
        <v>4.3535407166928004E-4</v>
      </c>
      <c r="X142">
        <v>3.9341271622105999E-4</v>
      </c>
      <c r="AX142">
        <v>19.847038116221999</v>
      </c>
      <c r="AY142">
        <v>-0.15570830194526</v>
      </c>
      <c r="AZ142">
        <v>0.29684149413456001</v>
      </c>
      <c r="BA142">
        <v>-5.0644799613562004E-2</v>
      </c>
      <c r="BB142">
        <v>-7.9635402805626004E-2</v>
      </c>
      <c r="BC142">
        <v>-1.0043870535618001E-2</v>
      </c>
      <c r="BD142">
        <v>8.0911923449798013E-4</v>
      </c>
      <c r="BE142">
        <f>(Table__150_diric[[#This Row],[F2]]+Table__150_diric_3[[#This Row],[F2]]+Table__150_diric_4[[#This Row],[F2]])/2</f>
        <v>-0.10028627056957551</v>
      </c>
      <c r="BF142">
        <v>19.847038116221999</v>
      </c>
      <c r="BG142">
        <v>-1.2969896492585E-2</v>
      </c>
      <c r="BH142">
        <v>1.2312379927915E-2</v>
      </c>
      <c r="BI142">
        <v>1.3408519327777E-3</v>
      </c>
      <c r="BJ142">
        <v>-4.6356540026023005E-4</v>
      </c>
      <c r="BK142">
        <v>2.1976996784835002E-4</v>
      </c>
      <c r="BM142">
        <v>19.847038116221999</v>
      </c>
      <c r="BN142">
        <v>-3.1894342701305999E-2</v>
      </c>
      <c r="BO142">
        <v>3.4242742676249001E-2</v>
      </c>
      <c r="BP142">
        <v>2.1249908011744003E-4</v>
      </c>
      <c r="BQ142">
        <v>-2.3400516897494001E-3</v>
      </c>
      <c r="BR142">
        <v>2.2084736531145999E-4</v>
      </c>
    </row>
    <row r="143" spans="1:70" x14ac:dyDescent="0.25">
      <c r="A143">
        <v>1.7575660943984999</v>
      </c>
      <c r="B143" s="1">
        <v>0.95341491699219005</v>
      </c>
      <c r="C143" s="1">
        <v>-1.6686549060910001E-19</v>
      </c>
      <c r="D143" s="1">
        <v>-2.5789890787564001E-4</v>
      </c>
      <c r="E143" s="1">
        <v>0.11436510831118002</v>
      </c>
      <c r="Q143">
        <v>1.7575660943984999</v>
      </c>
      <c r="R143">
        <v>1.6945123672485001E-2</v>
      </c>
      <c r="S143">
        <v>2.4020199198276E-3</v>
      </c>
      <c r="T143">
        <v>4.5109484344721005E-3</v>
      </c>
      <c r="U143">
        <v>2.8841132298112002E-3</v>
      </c>
      <c r="V143">
        <v>2.2740003187208999E-3</v>
      </c>
      <c r="W143">
        <v>4.3646839912981001E-4</v>
      </c>
      <c r="X143">
        <v>4.0160780190490002E-4</v>
      </c>
      <c r="AX143">
        <v>20.536249474160002</v>
      </c>
      <c r="AY143">
        <v>-0.15178162295474001</v>
      </c>
      <c r="AZ143">
        <v>0.28380005341691</v>
      </c>
      <c r="BA143">
        <v>-5.1208480125072002E-2</v>
      </c>
      <c r="BB143">
        <v>-7.2778686795059999E-2</v>
      </c>
      <c r="BC143">
        <v>-7.2110999133062001E-3</v>
      </c>
      <c r="BD143">
        <v>8.2016362873422999E-4</v>
      </c>
      <c r="BE143">
        <f>(Table__150_diric[[#This Row],[F2]]+Table__150_diric_3[[#This Row],[F2]]+Table__150_diric_4[[#This Row],[F2]])/2</f>
        <v>-9.8339640747830498E-2</v>
      </c>
      <c r="BF143">
        <v>20.536249474160002</v>
      </c>
      <c r="BG143">
        <v>-1.3261737322771002E-2</v>
      </c>
      <c r="BH143">
        <v>1.3208091425656E-2</v>
      </c>
      <c r="BI143">
        <v>8.2321375148145003E-4</v>
      </c>
      <c r="BJ143">
        <v>-5.4463264130738E-4</v>
      </c>
      <c r="BK143">
        <v>2.2493521305950003E-4</v>
      </c>
      <c r="BM143">
        <v>20.536249474160002</v>
      </c>
      <c r="BN143">
        <v>-3.1635921218149995E-2</v>
      </c>
      <c r="BO143">
        <v>3.3818188497932999E-2</v>
      </c>
      <c r="BP143">
        <v>2.0732408678518E-4</v>
      </c>
      <c r="BQ143">
        <v>-2.1662436109956E-3</v>
      </c>
      <c r="BR143">
        <v>2.2334775557232E-4</v>
      </c>
    </row>
    <row r="144" spans="1:70" x14ac:dyDescent="0.25">
      <c r="A144">
        <v>1.7648317813873</v>
      </c>
      <c r="B144" s="1">
        <v>0.94738888740539995</v>
      </c>
      <c r="C144" s="1">
        <v>4.0318768289304999E-19</v>
      </c>
      <c r="D144" s="1">
        <v>-2.6011560112238001E-4</v>
      </c>
      <c r="E144" s="1">
        <v>0.11340905725956002</v>
      </c>
      <c r="Q144">
        <v>1.7648317813873</v>
      </c>
      <c r="R144">
        <v>1.7469087615608999E-2</v>
      </c>
      <c r="S144">
        <v>2.3582419380545998E-3</v>
      </c>
      <c r="T144">
        <v>4.5116669498383999E-3</v>
      </c>
      <c r="U144">
        <v>2.8974241577089002E-3</v>
      </c>
      <c r="V144">
        <v>2.3424022365361001E-3</v>
      </c>
      <c r="W144">
        <v>4.3722733971662998E-4</v>
      </c>
      <c r="X144">
        <v>4.0970265399664998E-4</v>
      </c>
      <c r="AX144">
        <v>21.238961892283999</v>
      </c>
      <c r="AY144">
        <v>-0.14776552212766</v>
      </c>
      <c r="AZ144">
        <v>0.27097214659727004</v>
      </c>
      <c r="BA144">
        <v>-5.1718070827635007E-2</v>
      </c>
      <c r="BB144">
        <v>-6.5889965439117001E-2</v>
      </c>
      <c r="BC144">
        <v>-4.7675570779261E-3</v>
      </c>
      <c r="BD144">
        <v>8.3103112493762999E-4</v>
      </c>
      <c r="BE144">
        <f>(Table__150_diric[[#This Row],[F2]]+Table__150_diric_3[[#This Row],[F2]]+Table__150_diric_4[[#This Row],[F2]])/2</f>
        <v>-9.6329152575075502E-2</v>
      </c>
      <c r="BF144">
        <v>21.238961892283999</v>
      </c>
      <c r="BG144">
        <v>-1.3535101871726001E-2</v>
      </c>
      <c r="BH144">
        <v>1.4106999785211001E-2</v>
      </c>
      <c r="BI144">
        <v>2.7582412035188003E-4</v>
      </c>
      <c r="BJ144">
        <v>-6.1745736983514999E-4</v>
      </c>
      <c r="BK144">
        <v>2.3026466400218003E-4</v>
      </c>
      <c r="BM144">
        <v>21.238961892283999</v>
      </c>
      <c r="BN144">
        <v>-3.1357681150765003E-2</v>
      </c>
      <c r="BO144">
        <v>3.3401090931487999E-2</v>
      </c>
      <c r="BP144">
        <v>1.7866767192213E-4</v>
      </c>
      <c r="BQ144">
        <v>-1.9999892605348001E-3</v>
      </c>
      <c r="BR144">
        <v>2.2208819211048001E-4</v>
      </c>
    </row>
    <row r="145" spans="1:70" x14ac:dyDescent="0.25">
      <c r="A145">
        <v>1.7718743085861002</v>
      </c>
      <c r="B145" s="1">
        <v>0.94125372171402</v>
      </c>
      <c r="C145" s="1">
        <v>-1.0282979979667E-18</v>
      </c>
      <c r="D145" s="1">
        <v>-2.6006734697148003E-4</v>
      </c>
      <c r="E145" s="1">
        <v>0.11244125664234</v>
      </c>
      <c r="Q145">
        <v>1.7718743085861002</v>
      </c>
      <c r="R145">
        <v>1.8001567572355E-2</v>
      </c>
      <c r="S145">
        <v>2.3117105010897004E-3</v>
      </c>
      <c r="T145">
        <v>4.5094746164978002E-3</v>
      </c>
      <c r="U145">
        <v>2.9085560236125998E-3</v>
      </c>
      <c r="V145">
        <v>2.4112220853566998E-3</v>
      </c>
      <c r="W145">
        <v>4.3762612040155005E-4</v>
      </c>
      <c r="X145">
        <v>4.1768528171815E-4</v>
      </c>
      <c r="AX145">
        <v>21.955921481814002</v>
      </c>
      <c r="AY145">
        <v>-0.14367655194254</v>
      </c>
      <c r="AZ145">
        <v>0.25841669206563006</v>
      </c>
      <c r="BA145">
        <v>-5.217266457756E-2</v>
      </c>
      <c r="BB145">
        <v>-5.9055843851596998E-2</v>
      </c>
      <c r="BC145">
        <v>-2.6743135438789E-3</v>
      </c>
      <c r="BD145">
        <v>8.3731815005662011E-4</v>
      </c>
      <c r="BE145">
        <f>(Table__150_diric[[#This Row],[F2]]+Table__150_diric_3[[#This Row],[F2]]+Table__150_diric_4[[#This Row],[F2]])/2</f>
        <v>-9.4263462024639505E-2</v>
      </c>
      <c r="BF145">
        <v>21.955921481814002</v>
      </c>
      <c r="BG145">
        <v>-1.3789494718038999E-2</v>
      </c>
      <c r="BH145">
        <v>1.5001550029729001E-2</v>
      </c>
      <c r="BI145">
        <v>-2.9434847618102001E-4</v>
      </c>
      <c r="BJ145">
        <v>-6.8296978354439003E-4</v>
      </c>
      <c r="BK145">
        <v>2.3473705196446E-4</v>
      </c>
      <c r="BM145">
        <v>21.955921481814002</v>
      </c>
      <c r="BN145">
        <v>-3.10608773887E-2</v>
      </c>
      <c r="BO145">
        <v>3.2992969169366997E-2</v>
      </c>
      <c r="BP145">
        <v>1.2909696828721E-4</v>
      </c>
      <c r="BQ145">
        <v>-1.8375585233392001E-3</v>
      </c>
      <c r="BR145">
        <v>2.2363022561449003E-4</v>
      </c>
    </row>
    <row r="146" spans="1:70" x14ac:dyDescent="0.25">
      <c r="A146">
        <v>1.7787059545516999</v>
      </c>
      <c r="B146" s="1">
        <v>0.93499743938446001</v>
      </c>
      <c r="C146" s="1">
        <v>-5.3473189960164004E-18</v>
      </c>
      <c r="D146" s="1">
        <v>-2.5797256967053002E-4</v>
      </c>
      <c r="E146" s="1">
        <v>0.11146025359631001</v>
      </c>
      <c r="Q146">
        <v>1.7787059545516999</v>
      </c>
      <c r="R146">
        <v>1.8541928380728E-2</v>
      </c>
      <c r="S146">
        <v>2.2626027930528004E-3</v>
      </c>
      <c r="T146">
        <v>4.5044645667076007E-3</v>
      </c>
      <c r="U146">
        <v>2.9174790252000002E-3</v>
      </c>
      <c r="V146">
        <v>2.4803616106510002E-3</v>
      </c>
      <c r="W146">
        <v>4.3765874579548998E-4</v>
      </c>
      <c r="X146">
        <v>4.2554171523079005E-4</v>
      </c>
      <c r="AX146">
        <v>22.687838824867001</v>
      </c>
      <c r="AY146">
        <v>-0.13952948676429999</v>
      </c>
      <c r="AZ146">
        <v>0.24618636526586002</v>
      </c>
      <c r="BA146">
        <v>-5.2570856941533996E-2</v>
      </c>
      <c r="BB146">
        <v>-5.2348818970822997E-2</v>
      </c>
      <c r="BC146">
        <v>-8.9407277269028002E-4</v>
      </c>
      <c r="BD146">
        <v>8.4312981651840993E-4</v>
      </c>
      <c r="BE146">
        <f>(Table__150_diric[[#This Row],[F2]]+Table__150_diric_3[[#This Row],[F2]]+Table__150_diric_4[[#This Row],[F2]])/2</f>
        <v>-9.2150222210641008E-2</v>
      </c>
      <c r="BF146">
        <v>22.687838824867001</v>
      </c>
      <c r="BG146">
        <v>-1.4024487198101001E-2</v>
      </c>
      <c r="BH146">
        <v>1.5884273251716003E-2</v>
      </c>
      <c r="BI146">
        <v>-8.801378487930001E-4</v>
      </c>
      <c r="BJ146">
        <v>-7.4021761254992001E-4</v>
      </c>
      <c r="BK146">
        <v>2.3943059227186998E-4</v>
      </c>
      <c r="BM146">
        <v>22.687838824867001</v>
      </c>
      <c r="BN146">
        <v>-3.0746470458881001E-2</v>
      </c>
      <c r="BO146">
        <v>3.2594571878353004E-2</v>
      </c>
      <c r="BP146">
        <v>6.1499732799410997E-5</v>
      </c>
      <c r="BQ146">
        <v>-1.6860223951798E-3</v>
      </c>
      <c r="BR146">
        <v>2.2357875709172001E-4</v>
      </c>
    </row>
    <row r="147" spans="1:70" x14ac:dyDescent="0.25">
      <c r="A147">
        <v>1.7853379249573</v>
      </c>
      <c r="B147" s="1">
        <v>0.92860752344131015</v>
      </c>
      <c r="C147" s="1">
        <v>2.6906001569533E-18</v>
      </c>
      <c r="D147" s="1">
        <v>-2.5408642250113005E-4</v>
      </c>
      <c r="E147" s="1">
        <v>0.11046456545590999</v>
      </c>
      <c r="Q147">
        <v>1.7853379249573</v>
      </c>
      <c r="R147">
        <v>1.9089445471764003E-2</v>
      </c>
      <c r="S147">
        <v>2.2110966965555997E-3</v>
      </c>
      <c r="T147">
        <v>4.4967150315642001E-3</v>
      </c>
      <c r="U147">
        <v>2.9241577722132002E-3</v>
      </c>
      <c r="V147">
        <v>2.5497102178633001E-3</v>
      </c>
      <c r="W147">
        <v>4.3731799814850005E-4</v>
      </c>
      <c r="X147">
        <v>4.3325574370100997E-4</v>
      </c>
      <c r="AX147">
        <v>23.435531090872999</v>
      </c>
      <c r="AY147">
        <v>-0.13533742494439002</v>
      </c>
      <c r="AZ147">
        <v>0.23432098549951999</v>
      </c>
      <c r="BA147">
        <v>-5.2910844561613997E-2</v>
      </c>
      <c r="BB147">
        <v>-4.5828676161182004E-2</v>
      </c>
      <c r="BC147">
        <v>5.9777620306023004E-4</v>
      </c>
      <c r="BD147">
        <v>8.4181603539779006E-4</v>
      </c>
      <c r="BE147">
        <f>(Table__150_diric[[#This Row],[F2]]+Table__150_diric_3[[#This Row],[F2]]+Table__150_diric_4[[#This Row],[F2]])/2</f>
        <v>-8.9996232493474021E-2</v>
      </c>
      <c r="BF147">
        <v>23.435531090872999</v>
      </c>
      <c r="BG147">
        <v>-1.4239705075543001E-2</v>
      </c>
      <c r="BH147">
        <v>1.6747583052176E-2</v>
      </c>
      <c r="BI147">
        <v>-1.4742679743287E-3</v>
      </c>
      <c r="BJ147">
        <v>-7.9042099633901E-4</v>
      </c>
      <c r="BK147">
        <v>2.4318900596496002E-4</v>
      </c>
      <c r="BM147">
        <v>23.435531090872999</v>
      </c>
      <c r="BN147">
        <v>-3.0415334967015002E-2</v>
      </c>
      <c r="BO147">
        <v>3.2205948240934999E-2</v>
      </c>
      <c r="BP147">
        <v>-2.1239373303833003E-5</v>
      </c>
      <c r="BQ147">
        <v>-1.5447241060953002E-3</v>
      </c>
      <c r="BR147">
        <v>2.2464979452071999E-4</v>
      </c>
    </row>
    <row r="148" spans="1:70" x14ac:dyDescent="0.25">
      <c r="A148">
        <v>1.7917809486389</v>
      </c>
      <c r="B148" s="1">
        <v>0.92207115888596014</v>
      </c>
      <c r="C148" s="1">
        <v>1.2231155758352001E-18</v>
      </c>
      <c r="D148" s="1">
        <v>-2.4867444881238E-4</v>
      </c>
      <c r="E148" s="1">
        <v>0.10945262014866</v>
      </c>
      <c r="Q148">
        <v>1.7917809486389</v>
      </c>
      <c r="R148">
        <v>1.9643301144242002E-2</v>
      </c>
      <c r="S148">
        <v>2.1573721896857002E-3</v>
      </c>
      <c r="T148">
        <v>4.4862907379866002E-3</v>
      </c>
      <c r="U148">
        <v>2.9285489581525001E-3</v>
      </c>
      <c r="V148">
        <v>2.6191419456154004E-3</v>
      </c>
      <c r="W148">
        <v>4.3659535003826006E-4</v>
      </c>
      <c r="X148">
        <v>4.4080874067731001E-4</v>
      </c>
      <c r="AX148">
        <v>24.199833213818998</v>
      </c>
      <c r="AY148">
        <v>-0.13111209983362002</v>
      </c>
      <c r="AZ148">
        <v>0.22285058860571</v>
      </c>
      <c r="BA148">
        <v>-5.3190572702683001E-2</v>
      </c>
      <c r="BB148">
        <v>-3.9543592294286001E-2</v>
      </c>
      <c r="BC148">
        <v>1.8400969964448999E-3</v>
      </c>
      <c r="BD148">
        <v>8.4442077156337008E-4</v>
      </c>
      <c r="BE148">
        <f>(Table__150_diric[[#This Row],[F2]]+Table__150_diric_3[[#This Row],[F2]]+Table__150_diric_4[[#This Row],[F2]])/2</f>
        <v>-8.7807670404273008E-2</v>
      </c>
      <c r="BF148">
        <v>24.199833213818998</v>
      </c>
      <c r="BG148">
        <v>-1.4434819744914E-2</v>
      </c>
      <c r="BH148">
        <v>1.7584039213398999E-2</v>
      </c>
      <c r="BI148">
        <v>-2.0694203547048E-3</v>
      </c>
      <c r="BJ148">
        <v>-8.3271670442750011E-4</v>
      </c>
      <c r="BK148">
        <v>2.4708240935262003E-4</v>
      </c>
      <c r="BM148">
        <v>24.199833213818998</v>
      </c>
      <c r="BN148">
        <v>-3.0068421230012E-2</v>
      </c>
      <c r="BO148">
        <v>3.1826551785008997E-2</v>
      </c>
      <c r="BP148">
        <v>-1.1641956060556E-4</v>
      </c>
      <c r="BQ148">
        <v>-1.4172903344216001E-3</v>
      </c>
      <c r="BR148">
        <v>2.2442065996987004E-4</v>
      </c>
    </row>
    <row r="149" spans="1:70" x14ac:dyDescent="0.25">
      <c r="A149">
        <v>1.7980450391769001</v>
      </c>
      <c r="B149" s="1">
        <v>0.91537523269653009</v>
      </c>
      <c r="C149" s="1">
        <v>-1.4784960094324001E-18</v>
      </c>
      <c r="D149" s="1">
        <v>-2.4199461040553001E-4</v>
      </c>
      <c r="E149" s="1">
        <v>0.10842280834913001</v>
      </c>
      <c r="Q149">
        <v>1.7980450391769001</v>
      </c>
      <c r="R149">
        <v>2.0202560350299003E-2</v>
      </c>
      <c r="S149">
        <v>2.1016087848692998E-3</v>
      </c>
      <c r="T149">
        <v>4.4732401147485005E-3</v>
      </c>
      <c r="U149">
        <v>2.9306008946151001E-3</v>
      </c>
      <c r="V149">
        <v>2.6885133702308E-3</v>
      </c>
      <c r="W149">
        <v>4.3548096437007004E-4</v>
      </c>
      <c r="X149">
        <v>4.4817960588260997E-4</v>
      </c>
      <c r="AX149">
        <v>24.981597892242</v>
      </c>
      <c r="AY149">
        <v>-0.12686443614951001</v>
      </c>
      <c r="AZ149">
        <v>0.21179596036878001</v>
      </c>
      <c r="BA149">
        <v>-5.3407850011600998E-2</v>
      </c>
      <c r="BB149">
        <v>-3.3532289907870001E-2</v>
      </c>
      <c r="BC149">
        <v>2.8457384398081001E-3</v>
      </c>
      <c r="BD149">
        <v>8.3712273960160006E-4</v>
      </c>
      <c r="BE149">
        <f>(Table__150_diric[[#This Row],[F2]]+Table__150_diric_3[[#This Row],[F2]]+Table__150_diric_4[[#This Row],[F2]])/2</f>
        <v>-8.5590380588372511E-2</v>
      </c>
      <c r="BF149">
        <v>24.981597892242</v>
      </c>
      <c r="BG149">
        <v>-1.4609539749517E-2</v>
      </c>
      <c r="BH149">
        <v>1.8386314910640002E-2</v>
      </c>
      <c r="BI149">
        <v>-2.6583809603440999E-3</v>
      </c>
      <c r="BJ149">
        <v>-8.6821431464009996E-4</v>
      </c>
      <c r="BK149">
        <v>2.5017988613829003E-4</v>
      </c>
      <c r="BM149">
        <v>24.981597892242</v>
      </c>
      <c r="BN149">
        <v>-2.9706785277718001E-2</v>
      </c>
      <c r="BO149">
        <v>3.1455325087051997E-2</v>
      </c>
      <c r="BP149">
        <v>-2.2171998261170001E-4</v>
      </c>
      <c r="BQ149">
        <v>-1.3013839640733001E-3</v>
      </c>
      <c r="BR149">
        <v>2.2543586264875E-4</v>
      </c>
    </row>
    <row r="150" spans="1:70" x14ac:dyDescent="0.25">
      <c r="A150">
        <v>1.8041394948959</v>
      </c>
      <c r="B150" s="1">
        <v>0.90850603580474998</v>
      </c>
      <c r="C150" s="1">
        <v>-1.7385351242395004E-18</v>
      </c>
      <c r="D150" s="1">
        <v>-2.3428608255926999E-4</v>
      </c>
      <c r="E150" s="1">
        <v>0.10737346112728</v>
      </c>
      <c r="Q150">
        <v>1.8041394948959</v>
      </c>
      <c r="R150">
        <v>2.0766165107489E-2</v>
      </c>
      <c r="S150">
        <v>2.0439857617020997E-3</v>
      </c>
      <c r="T150">
        <v>4.4575934298337E-3</v>
      </c>
      <c r="U150">
        <v>2.9302523471415E-3</v>
      </c>
      <c r="V150">
        <v>2.7576629072427997E-3</v>
      </c>
      <c r="W150">
        <v>4.3396372348070004E-4</v>
      </c>
      <c r="X150">
        <v>4.5534491073340004E-4</v>
      </c>
      <c r="AX150">
        <v>25.781766647445</v>
      </c>
      <c r="AY150">
        <v>-0.12260502749088001</v>
      </c>
      <c r="AZ150">
        <v>0.20117081095873002</v>
      </c>
      <c r="BA150">
        <v>-5.3560457811621998E-2</v>
      </c>
      <c r="BB150">
        <v>-2.7826194520917003E-2</v>
      </c>
      <c r="BC150">
        <v>3.6586699196490004E-3</v>
      </c>
      <c r="BD150">
        <v>8.3780105495644011E-4</v>
      </c>
      <c r="BE150">
        <f>(Table__150_diric[[#This Row],[F2]]+Table__150_diric_3[[#This Row],[F2]]+Table__150_diric_4[[#This Row],[F2]])/2</f>
        <v>-8.33500814795895E-2</v>
      </c>
      <c r="BF150">
        <v>25.781766647445</v>
      </c>
      <c r="BG150">
        <v>-1.4763605676397999E-2</v>
      </c>
      <c r="BH150">
        <v>1.9147342893401E-2</v>
      </c>
      <c r="BI150">
        <v>-3.2340898661098001E-3</v>
      </c>
      <c r="BJ150">
        <v>-8.9635760551154008E-4</v>
      </c>
      <c r="BK150">
        <v>2.5328974538153001E-4</v>
      </c>
      <c r="BM150">
        <v>25.781766647445</v>
      </c>
      <c r="BN150">
        <v>-2.9331529791900998E-2</v>
      </c>
      <c r="BO150">
        <v>3.1090776278217002E-2</v>
      </c>
      <c r="BP150">
        <v>-3.3512516925523003E-4</v>
      </c>
      <c r="BQ150">
        <v>-1.1985538457416E-3</v>
      </c>
      <c r="BR150">
        <v>2.2556747131948003E-4</v>
      </c>
    </row>
    <row r="151" spans="1:70" x14ac:dyDescent="0.25">
      <c r="A151">
        <v>1.8100731372832999</v>
      </c>
      <c r="B151" s="1">
        <v>0.90144944190979004</v>
      </c>
      <c r="C151" s="1">
        <v>4.1009100141317005E-18</v>
      </c>
      <c r="D151" s="1">
        <v>-2.2576468472835002E-4</v>
      </c>
      <c r="E151" s="1">
        <v>0.10630283504725001</v>
      </c>
      <c r="Q151">
        <v>1.8100731372832999</v>
      </c>
      <c r="R151">
        <v>2.1332921460271003E-2</v>
      </c>
      <c r="S151">
        <v>1.9846819341183004E-3</v>
      </c>
      <c r="T151">
        <v>4.4393646530807001E-3</v>
      </c>
      <c r="U151">
        <v>2.9274316038935999E-3</v>
      </c>
      <c r="V151">
        <v>2.8264094144106002E-3</v>
      </c>
      <c r="W151">
        <v>4.3203146196902004E-4</v>
      </c>
      <c r="X151">
        <v>4.6227884013206E-4</v>
      </c>
      <c r="AX151">
        <v>26.601334294389002</v>
      </c>
      <c r="AY151">
        <v>-0.11834428870274001</v>
      </c>
      <c r="AZ151">
        <v>0.19098436988306</v>
      </c>
      <c r="BA151">
        <v>-5.364622660849E-2</v>
      </c>
      <c r="BB151">
        <v>-2.2450269274765004E-2</v>
      </c>
      <c r="BC151">
        <v>4.2795040433990994E-3</v>
      </c>
      <c r="BD151">
        <v>8.2308934046931999E-4</v>
      </c>
      <c r="BE151">
        <f>(Table__150_diric[[#This Row],[F2]]+Table__150_diric_3[[#This Row],[F2]]+Table__150_diric_4[[#This Row],[F2]])/2</f>
        <v>-8.1092387133964508E-2</v>
      </c>
      <c r="BF151">
        <v>26.601334294389002</v>
      </c>
      <c r="BG151">
        <v>-1.4896791098809002E-2</v>
      </c>
      <c r="BH151">
        <v>1.9860262204405E-2</v>
      </c>
      <c r="BI151">
        <v>-3.7896559003697998E-3</v>
      </c>
      <c r="BJ151">
        <v>-9.1818409443869011E-4</v>
      </c>
      <c r="BK151">
        <v>2.5563111078765003E-4</v>
      </c>
      <c r="BM151">
        <v>26.601334294389002</v>
      </c>
      <c r="BN151">
        <v>-2.8943694466380003E-2</v>
      </c>
      <c r="BO151">
        <v>3.0731066479871002E-2</v>
      </c>
      <c r="BP151">
        <v>-4.5487209201218004E-4</v>
      </c>
      <c r="BQ151">
        <v>-1.1067902980291E-3</v>
      </c>
      <c r="BR151">
        <v>2.2570962344970003E-4</v>
      </c>
    </row>
    <row r="152" spans="1:70" x14ac:dyDescent="0.25">
      <c r="A152">
        <v>1.8158545494080001</v>
      </c>
      <c r="B152" s="1">
        <v>0.89419066905975009</v>
      </c>
      <c r="C152" s="1">
        <v>1.7279472123987999E-19</v>
      </c>
      <c r="D152" s="1">
        <v>-2.1662309882231E-4</v>
      </c>
      <c r="E152" s="1">
        <v>0.10520911961793999</v>
      </c>
      <c r="Q152">
        <v>1.8158545494080001</v>
      </c>
      <c r="R152">
        <v>2.1901478990912004E-2</v>
      </c>
      <c r="S152">
        <v>1.9238744862377999E-3</v>
      </c>
      <c r="T152">
        <v>4.4185491278768002E-3</v>
      </c>
      <c r="U152">
        <v>2.9220578726381003E-3</v>
      </c>
      <c r="V152">
        <v>2.8945524245500998E-3</v>
      </c>
      <c r="W152">
        <v>4.2967105400749006E-4</v>
      </c>
      <c r="X152">
        <v>4.6895319246687006E-4</v>
      </c>
      <c r="AX152">
        <v>27.44133117714</v>
      </c>
      <c r="AY152">
        <v>-0.11409223753898</v>
      </c>
      <c r="AZ152">
        <v>0.18123694016101002</v>
      </c>
      <c r="BA152">
        <v>-5.3663068878764E-2</v>
      </c>
      <c r="BB152">
        <v>-1.7422967156423001E-2</v>
      </c>
      <c r="BC152">
        <v>4.7614831305339998E-3</v>
      </c>
      <c r="BD152">
        <v>8.2014971737707013E-4</v>
      </c>
      <c r="BE152">
        <f>(Table__150_diric[[#This Row],[F2]]+Table__150_diric_3[[#This Row],[F2]]+Table__150_diric_4[[#This Row],[F2]])/2</f>
        <v>-7.8822666095904007E-2</v>
      </c>
      <c r="BF152">
        <v>27.44133117714</v>
      </c>
      <c r="BG152">
        <v>-1.5008902890363001E-2</v>
      </c>
      <c r="BH152">
        <v>2.0518509713671002E-2</v>
      </c>
      <c r="BI152">
        <v>-4.3184356452817003E-3</v>
      </c>
      <c r="BJ152">
        <v>-9.3347176890922997E-4</v>
      </c>
      <c r="BK152">
        <v>2.5769940911793003E-4</v>
      </c>
      <c r="BM152">
        <v>27.44133117714</v>
      </c>
      <c r="BN152">
        <v>-2.8544191762465001E-2</v>
      </c>
      <c r="BO152">
        <v>3.0374058986083998E-2</v>
      </c>
      <c r="BP152">
        <v>-5.7928148873465004E-4</v>
      </c>
      <c r="BQ152">
        <v>-1.0237998543496001E-3</v>
      </c>
      <c r="BR152">
        <v>2.2678588053470002E-4</v>
      </c>
    </row>
    <row r="153" spans="1:70" x14ac:dyDescent="0.25">
      <c r="A153">
        <v>1.8214913606644001</v>
      </c>
      <c r="B153" s="1">
        <v>0.88671427965164007</v>
      </c>
      <c r="C153" s="1">
        <v>-6.6957954480451989E-19</v>
      </c>
      <c r="D153" s="1">
        <v>-2.0703315385617001E-4</v>
      </c>
      <c r="E153" s="1">
        <v>0.10409045219421001</v>
      </c>
      <c r="Q153">
        <v>1.8214913606644001</v>
      </c>
      <c r="R153">
        <v>2.2470325231551999E-2</v>
      </c>
      <c r="S153">
        <v>1.8617387395352002E-3</v>
      </c>
      <c r="T153">
        <v>4.3951268307865004E-3</v>
      </c>
      <c r="U153">
        <v>2.9140403494239001E-3</v>
      </c>
      <c r="V153">
        <v>2.9618691187351998E-3</v>
      </c>
      <c r="W153">
        <v>4.2686870438047003E-4</v>
      </c>
      <c r="X153">
        <v>4.7533703036606003E-4</v>
      </c>
      <c r="AX153">
        <v>28.302876462529998</v>
      </c>
      <c r="AY153">
        <v>-0.10985836271759</v>
      </c>
      <c r="AZ153">
        <v>0.17192891719021</v>
      </c>
      <c r="BA153">
        <v>-5.3608989999261003E-2</v>
      </c>
      <c r="BB153">
        <v>-1.2756892755179E-2</v>
      </c>
      <c r="BC153">
        <v>5.0965594470048009E-3</v>
      </c>
      <c r="BD153">
        <v>8.0123116519242009E-4</v>
      </c>
      <c r="BE153">
        <f>(Table__150_diric[[#This Row],[F2]]+Table__150_diric_3[[#This Row],[F2]]+Table__150_diric_4[[#This Row],[F2]])/2</f>
        <v>-7.6545950214902E-2</v>
      </c>
      <c r="BF153">
        <v>28.302876462529998</v>
      </c>
      <c r="BG153">
        <v>-1.5099785151964001E-2</v>
      </c>
      <c r="BH153">
        <v>2.1115932145299002E-2</v>
      </c>
      <c r="BI153">
        <v>-4.8141882966042998E-3</v>
      </c>
      <c r="BJ153">
        <v>-9.4250524784457999E-4</v>
      </c>
      <c r="BK153">
        <v>2.5945344888647003E-4</v>
      </c>
      <c r="BM153">
        <v>28.302876462529998</v>
      </c>
      <c r="BN153">
        <v>-2.8133752560250001E-2</v>
      </c>
      <c r="BO153">
        <v>3.0017403966803999E-2</v>
      </c>
      <c r="BP153">
        <v>-7.0651052935429004E-4</v>
      </c>
      <c r="BQ153">
        <v>-9.5105018024254999E-4</v>
      </c>
      <c r="BR153">
        <v>2.2609069695736999E-4</v>
      </c>
    </row>
    <row r="154" spans="1:70" x14ac:dyDescent="0.25">
      <c r="A154">
        <v>1.8269910812378001</v>
      </c>
      <c r="B154" s="1">
        <v>0.87900418043137007</v>
      </c>
      <c r="C154" s="1">
        <v>-2.6787416956917006E-18</v>
      </c>
      <c r="D154" s="1">
        <v>-1.9714771769940999E-4</v>
      </c>
      <c r="E154" s="1">
        <v>0.10294488817453001</v>
      </c>
      <c r="Q154">
        <v>1.8269910812378001</v>
      </c>
      <c r="R154">
        <v>2.3037748411298003E-2</v>
      </c>
      <c r="S154">
        <v>1.7984482692555003E-3</v>
      </c>
      <c r="T154">
        <v>4.3690586462616999E-3</v>
      </c>
      <c r="U154">
        <v>2.9032798483967998E-3</v>
      </c>
      <c r="V154">
        <v>3.0281138606368997E-3</v>
      </c>
      <c r="W154">
        <v>4.2361006489955008E-4</v>
      </c>
      <c r="X154">
        <v>4.8139662249014004E-4</v>
      </c>
      <c r="AX154">
        <v>29.187107081943001</v>
      </c>
      <c r="AY154">
        <v>-0.10565177188731001</v>
      </c>
      <c r="AZ154">
        <v>0.16305589704471002</v>
      </c>
      <c r="BA154">
        <v>-5.3482006276239002E-2</v>
      </c>
      <c r="BB154">
        <v>-8.4593727734289994E-3</v>
      </c>
      <c r="BC154">
        <v>5.3294745712663006E-3</v>
      </c>
      <c r="BD154">
        <v>7.9222067899907002E-4</v>
      </c>
      <c r="BE154">
        <f>(Table__150_diric[[#This Row],[F2]]+Table__150_diric_3[[#This Row],[F2]]+Table__150_diric_4[[#This Row],[F2]])/2</f>
        <v>-7.4267024532930506E-2</v>
      </c>
      <c r="BF154">
        <v>29.187107081943001</v>
      </c>
      <c r="BG154">
        <v>-1.5169318347883001E-2</v>
      </c>
      <c r="BH154">
        <v>2.1647023792831004E-2</v>
      </c>
      <c r="BI154">
        <v>-5.2712802365669003E-3</v>
      </c>
      <c r="BJ154">
        <v>-9.4589492499641005E-4</v>
      </c>
      <c r="BK154">
        <v>2.6053028338551002E-4</v>
      </c>
      <c r="BM154">
        <v>29.187107081943001</v>
      </c>
      <c r="BN154">
        <v>-2.7712958830667999E-2</v>
      </c>
      <c r="BO154">
        <v>2.9658606776873004E-2</v>
      </c>
      <c r="BP154">
        <v>-8.3447292846200005E-4</v>
      </c>
      <c r="BQ154">
        <v>-8.8420121555150008E-4</v>
      </c>
      <c r="BR154">
        <v>2.2697380219159001E-4</v>
      </c>
    </row>
    <row r="155" spans="1:70" x14ac:dyDescent="0.25">
      <c r="A155">
        <v>1.8323606252669999</v>
      </c>
      <c r="B155" s="1">
        <v>0.87104356288910001</v>
      </c>
      <c r="C155" s="1">
        <v>4.8789097761847998E-19</v>
      </c>
      <c r="D155" s="1">
        <v>-1.8710202130023E-4</v>
      </c>
      <c r="E155" s="1">
        <v>0.10177044570446002</v>
      </c>
      <c r="Q155">
        <v>1.8323606252669999</v>
      </c>
      <c r="R155">
        <v>2.3601837456226002E-2</v>
      </c>
      <c r="S155">
        <v>1.7341747879981999E-3</v>
      </c>
      <c r="T155">
        <v>4.3402882292867002E-3</v>
      </c>
      <c r="U155">
        <v>2.8896685689688002E-3</v>
      </c>
      <c r="V155">
        <v>3.0930154025555E-3</v>
      </c>
      <c r="W155">
        <v>4.1988014709204002E-4</v>
      </c>
      <c r="X155">
        <v>4.8709506518207003E-4</v>
      </c>
      <c r="AX155">
        <v>30.095302083185999</v>
      </c>
      <c r="AY155">
        <v>-0.10148139645632</v>
      </c>
      <c r="AZ155">
        <v>0.15460797276549001</v>
      </c>
      <c r="BA155">
        <v>-5.3280117621796005E-2</v>
      </c>
      <c r="BB155">
        <v>-4.5323800633279001E-3</v>
      </c>
      <c r="BC155">
        <v>5.4598337359410996E-3</v>
      </c>
      <c r="BD155">
        <v>7.7391235998277002E-4</v>
      </c>
      <c r="BE155">
        <f>(Table__150_diric[[#This Row],[F2]]+Table__150_diric_3[[#This Row],[F2]]+Table__150_diric_4[[#This Row],[F2]])/2</f>
        <v>-7.1990550825662997E-2</v>
      </c>
      <c r="BF155">
        <v>30.095302083185999</v>
      </c>
      <c r="BG155">
        <v>-1.5217416635443E-2</v>
      </c>
      <c r="BH155">
        <v>2.2107065869641999E-2</v>
      </c>
      <c r="BI155">
        <v>-5.6848407664201999E-3</v>
      </c>
      <c r="BJ155">
        <v>-9.4346544529950993E-4</v>
      </c>
      <c r="BK155">
        <v>2.6134302247946001E-4</v>
      </c>
      <c r="BM155">
        <v>30.095302083185999</v>
      </c>
      <c r="BN155">
        <v>-2.7282288559563002E-2</v>
      </c>
      <c r="BO155">
        <v>2.9295052547268999E-2</v>
      </c>
      <c r="BP155">
        <v>-9.6086259825551006E-4</v>
      </c>
      <c r="BQ155">
        <v>-8.2558439095762996E-4</v>
      </c>
      <c r="BR155">
        <v>2.2631699849321E-4</v>
      </c>
    </row>
    <row r="156" spans="1:70" x14ac:dyDescent="0.25">
      <c r="A156">
        <v>1.8376066684723</v>
      </c>
      <c r="B156" s="1">
        <v>0.86281472444534002</v>
      </c>
      <c r="C156" s="1">
        <v>1.2015162356802002E-18</v>
      </c>
      <c r="D156" s="1">
        <v>-1.7701483739074E-4</v>
      </c>
      <c r="E156" s="1">
        <v>0.10056505352259</v>
      </c>
      <c r="Q156">
        <v>1.8376066684723</v>
      </c>
      <c r="R156">
        <v>2.4160442873836001E-2</v>
      </c>
      <c r="S156">
        <v>1.6690876800567001E-3</v>
      </c>
      <c r="T156">
        <v>4.3087406083941E-3</v>
      </c>
      <c r="U156">
        <v>2.8730898629874E-3</v>
      </c>
      <c r="V156">
        <v>3.1562743242829999E-3</v>
      </c>
      <c r="W156">
        <v>4.1566343861632E-4</v>
      </c>
      <c r="X156">
        <v>4.9239222425967E-4</v>
      </c>
      <c r="AX156">
        <v>31.028776043172002</v>
      </c>
      <c r="AY156">
        <v>-9.7355830116848008E-2</v>
      </c>
      <c r="AZ156">
        <v>0.14657675675635001</v>
      </c>
      <c r="BA156">
        <v>-5.3001329412747003E-2</v>
      </c>
      <c r="BB156">
        <v>-9.7430792865828004E-4</v>
      </c>
      <c r="BC156">
        <v>5.5116237645400998E-3</v>
      </c>
      <c r="BD156">
        <v>7.5691306263763001E-4</v>
      </c>
      <c r="BE156">
        <f>(Table__150_diric[[#This Row],[F2]]+Table__150_diric_3[[#This Row],[F2]]+Table__150_diric_4[[#This Row],[F2]])/2</f>
        <v>-6.9721000059261004E-2</v>
      </c>
      <c r="BF156">
        <v>31.028776043172002</v>
      </c>
      <c r="BG156">
        <v>-1.5244016241311E-2</v>
      </c>
      <c r="BH156">
        <v>2.2492249465159004E-2</v>
      </c>
      <c r="BI156">
        <v>-6.0508610982991E-3</v>
      </c>
      <c r="BJ156">
        <v>-9.3599087367941998E-4</v>
      </c>
      <c r="BK156">
        <v>2.6138125186953996E-4</v>
      </c>
      <c r="BM156">
        <v>31.028776043172002</v>
      </c>
      <c r="BN156">
        <v>-2.6842153760362999E-2</v>
      </c>
      <c r="BO156">
        <v>2.8924085423562E-2</v>
      </c>
      <c r="BP156">
        <v>-1.0833838889339001E-3</v>
      </c>
      <c r="BQ156">
        <v>-7.7222898708573001E-4</v>
      </c>
      <c r="BR156">
        <v>2.2631878717879002E-4</v>
      </c>
    </row>
    <row r="157" spans="1:70" x14ac:dyDescent="0.25">
      <c r="A157">
        <v>1.8427355289459</v>
      </c>
      <c r="B157" s="1">
        <v>0.85429924726485995</v>
      </c>
      <c r="C157" s="1">
        <v>1.382357769919E-18</v>
      </c>
      <c r="D157" s="1">
        <v>-1.6698939725757E-4</v>
      </c>
      <c r="E157" s="1">
        <v>9.9326588213444006E-2</v>
      </c>
      <c r="Q157">
        <v>1.8427355289459</v>
      </c>
      <c r="R157">
        <v>2.4711167439818001E-2</v>
      </c>
      <c r="S157">
        <v>1.6033546999097001E-3</v>
      </c>
      <c r="T157">
        <v>4.2743207886815002E-3</v>
      </c>
      <c r="U157">
        <v>2.8534187003969999E-3</v>
      </c>
      <c r="V157">
        <v>3.2175600063056001E-3</v>
      </c>
      <c r="W157">
        <v>4.1094399057329005E-4</v>
      </c>
      <c r="X157">
        <v>4.9724447308108005E-4</v>
      </c>
      <c r="AX157">
        <v>31.988914597024998</v>
      </c>
      <c r="AY157">
        <v>-9.3283191245599015E-2</v>
      </c>
      <c r="AZ157">
        <v>0.13895060797200001</v>
      </c>
      <c r="BA157">
        <v>-5.2643789108658003E-2</v>
      </c>
      <c r="BB157">
        <v>2.2198289341835002E-3</v>
      </c>
      <c r="BC157">
        <v>5.496992987471E-3</v>
      </c>
      <c r="BD157">
        <v>7.4044953939458001E-4</v>
      </c>
      <c r="BE157">
        <f>(Table__150_diric[[#This Row],[F2]]+Table__150_diric_3[[#This Row],[F2]]+Table__150_diric_4[[#This Row],[F2]])/2</f>
        <v>-6.7462553942274503E-2</v>
      </c>
      <c r="BF157">
        <v>31.988914597024998</v>
      </c>
      <c r="BG157">
        <v>-1.5249070356489001E-2</v>
      </c>
      <c r="BH157">
        <v>2.2799719262634001E-2</v>
      </c>
      <c r="BI157">
        <v>-6.3662465291463004E-3</v>
      </c>
      <c r="BJ157">
        <v>-9.2277290391941011E-4</v>
      </c>
      <c r="BK157">
        <v>2.6162947307962001E-4</v>
      </c>
      <c r="BM157">
        <v>31.988914597024998</v>
      </c>
      <c r="BN157">
        <v>-2.6392846282461E-2</v>
      </c>
      <c r="BO157">
        <v>2.8543106930892001E-2</v>
      </c>
      <c r="BP157">
        <v>-1.1999444047521E-3</v>
      </c>
      <c r="BQ157">
        <v>-7.2444175903324005E-4</v>
      </c>
      <c r="BR157">
        <v>2.2587448464606E-4</v>
      </c>
    </row>
    <row r="158" spans="1:70" x14ac:dyDescent="0.25">
      <c r="A158">
        <v>1.8477529287337999</v>
      </c>
      <c r="B158" s="1">
        <v>0.84547770023346003</v>
      </c>
      <c r="C158" s="1">
        <v>2.1586634660775998E-18</v>
      </c>
      <c r="D158" s="1">
        <v>-1.5711375453975E-4</v>
      </c>
      <c r="E158" s="1">
        <v>9.8052866756915991E-2</v>
      </c>
      <c r="Q158">
        <v>1.8477529287337999</v>
      </c>
      <c r="R158">
        <v>2.5251345708965998E-2</v>
      </c>
      <c r="S158">
        <v>1.5371417393908E-3</v>
      </c>
      <c r="T158">
        <v>4.2369170114398003E-3</v>
      </c>
      <c r="U158">
        <v>2.8305205050856001E-3</v>
      </c>
      <c r="V158">
        <v>3.2765096984804002E-3</v>
      </c>
      <c r="W158">
        <v>4.0570559212938005E-4</v>
      </c>
      <c r="X158">
        <v>5.0160486716777E-4</v>
      </c>
      <c r="AX158">
        <v>32.977209967187001</v>
      </c>
      <c r="AY158">
        <v>-8.927124133993701E-2</v>
      </c>
      <c r="AZ158">
        <v>0.13171508256921002</v>
      </c>
      <c r="BA158">
        <v>-5.2205977517076001E-2</v>
      </c>
      <c r="BB158">
        <v>5.0571584757404999E-3</v>
      </c>
      <c r="BC158">
        <v>5.4210854098477998E-3</v>
      </c>
      <c r="BD158">
        <v>7.1610759778243001E-4</v>
      </c>
      <c r="BE158">
        <f>(Table__150_diric[[#This Row],[F2]]+Table__150_diric_3[[#This Row],[F2]]+Table__150_diric_4[[#This Row],[F2]])/2</f>
        <v>-6.5219153855174003E-2</v>
      </c>
      <c r="BF158">
        <v>32.977209967187001</v>
      </c>
      <c r="BG158">
        <v>-1.5232541910764001E-2</v>
      </c>
      <c r="BH158">
        <v>2.3027498399229001E-2</v>
      </c>
      <c r="BI158">
        <v>-6.6287498063584997E-3</v>
      </c>
      <c r="BJ158">
        <v>-9.0590646383456E-4</v>
      </c>
      <c r="BK158">
        <v>2.6030021827175E-4</v>
      </c>
      <c r="BM158">
        <v>32.977209967187001</v>
      </c>
      <c r="BN158">
        <v>-2.5934524459647001E-2</v>
      </c>
      <c r="BO158">
        <v>2.8149682536033001E-2</v>
      </c>
      <c r="BP158">
        <v>-1.3088583941956E-3</v>
      </c>
      <c r="BQ158">
        <v>-6.8175148075167E-4</v>
      </c>
      <c r="BR158">
        <v>2.2454820143838001E-4</v>
      </c>
    </row>
    <row r="159" spans="1:70" x14ac:dyDescent="0.25">
      <c r="A159">
        <v>1.8526644706725999</v>
      </c>
      <c r="B159" s="1">
        <v>0.83632981777191007</v>
      </c>
      <c r="C159" s="1">
        <v>1.4136979889674001E-18</v>
      </c>
      <c r="D159" s="1">
        <v>-1.4746042143088002E-4</v>
      </c>
      <c r="E159" s="1">
        <v>9.6741639077662991E-2</v>
      </c>
      <c r="Q159">
        <v>1.8526644706725999</v>
      </c>
      <c r="R159">
        <v>2.5778029114007998E-2</v>
      </c>
      <c r="S159">
        <v>1.4706131769344E-3</v>
      </c>
      <c r="T159">
        <v>4.1964021511375999E-3</v>
      </c>
      <c r="U159">
        <v>2.8042525518686E-3</v>
      </c>
      <c r="V159">
        <v>3.3327259588987E-3</v>
      </c>
      <c r="W159">
        <v>3.9993188693188001E-4</v>
      </c>
      <c r="X159">
        <v>5.0542288227006999E-4</v>
      </c>
      <c r="AX159">
        <v>33.995260963416001</v>
      </c>
      <c r="AY159">
        <v>-8.5327145318118011E-2</v>
      </c>
      <c r="AZ159">
        <v>0.12486139510773001</v>
      </c>
      <c r="BA159">
        <v>-5.1686927382375999E-2</v>
      </c>
      <c r="BB159">
        <v>7.5460024058407E-3</v>
      </c>
      <c r="BC159">
        <v>5.3065564235198004E-3</v>
      </c>
      <c r="BD159">
        <v>6.9988123659630002E-4</v>
      </c>
      <c r="BE159">
        <f>(Table__150_diric[[#This Row],[F2]]+Table__150_diric_3[[#This Row],[F2]]+Table__150_diric_4[[#This Row],[F2]])/2</f>
        <v>-6.29944208980735E-2</v>
      </c>
      <c r="BF159">
        <v>33.995260963416001</v>
      </c>
      <c r="BG159">
        <v>-1.5194410641181001E-2</v>
      </c>
      <c r="BH159">
        <v>2.3174267144809E-2</v>
      </c>
      <c r="BI159">
        <v>-6.8367329280138002E-3</v>
      </c>
      <c r="BJ159">
        <v>-8.8330716169965004E-4</v>
      </c>
      <c r="BK159">
        <v>2.5981641391511004E-4</v>
      </c>
      <c r="BM159">
        <v>33.995260963416001</v>
      </c>
      <c r="BN159">
        <v>-2.5467285836848E-2</v>
      </c>
      <c r="BO159">
        <v>2.7741599026959003E-2</v>
      </c>
      <c r="BP159">
        <v>-1.4089146354219E-3</v>
      </c>
      <c r="BQ159">
        <v>-6.4095021436496008E-4</v>
      </c>
      <c r="BR159">
        <v>2.2444834032379004E-4</v>
      </c>
    </row>
    <row r="160" spans="1:70" x14ac:dyDescent="0.25">
      <c r="A160">
        <v>1.8574756383896001</v>
      </c>
      <c r="B160" s="1">
        <v>0.82683426141739003</v>
      </c>
      <c r="C160" s="1">
        <v>-2.168404344971E-18</v>
      </c>
      <c r="D160" s="1">
        <v>-1.3808574294670999E-4</v>
      </c>
      <c r="E160" s="1">
        <v>9.5390595495701003E-2</v>
      </c>
      <c r="Q160">
        <v>1.8574756383896001</v>
      </c>
      <c r="R160">
        <v>2.6287967339158003E-2</v>
      </c>
      <c r="S160">
        <v>1.4039315283298E-3</v>
      </c>
      <c r="T160">
        <v>4.1526383720337998E-3</v>
      </c>
      <c r="U160">
        <v>2.7744637336581997E-3</v>
      </c>
      <c r="V160">
        <v>3.3857757225633001E-3</v>
      </c>
      <c r="W160">
        <v>3.9360669325106003E-4</v>
      </c>
      <c r="X160">
        <v>5.0864455988630999E-4</v>
      </c>
      <c r="AX160">
        <v>35.044737453684</v>
      </c>
      <c r="AY160">
        <v>-8.1457253496165991E-2</v>
      </c>
      <c r="AZ160">
        <v>0.11837052291279999</v>
      </c>
      <c r="BA160">
        <v>-5.1086376397946998E-2</v>
      </c>
      <c r="BB160">
        <v>9.6971538808413998E-3</v>
      </c>
      <c r="BC160">
        <v>5.1486131289550999E-3</v>
      </c>
      <c r="BD160">
        <v>6.7266002848429007E-4</v>
      </c>
      <c r="BE160">
        <f>(Table__150_diric[[#This Row],[F2]]+Table__150_diric_3[[#This Row],[F2]]+Table__150_diric_4[[#This Row],[F2]])/2</f>
        <v>-6.0791529207982989E-2</v>
      </c>
      <c r="BF160">
        <v>35.044737453684</v>
      </c>
      <c r="BG160">
        <v>-1.5134686286524E-2</v>
      </c>
      <c r="BH160">
        <v>2.3239149777827001E-2</v>
      </c>
      <c r="BI160">
        <v>-6.9889448474796997E-3</v>
      </c>
      <c r="BJ160">
        <v>-8.5804590396956011E-4</v>
      </c>
      <c r="BK160">
        <v>2.5747273985442004E-4</v>
      </c>
      <c r="BM160">
        <v>35.044737453684</v>
      </c>
      <c r="BN160">
        <v>-2.4991118633276001E-2</v>
      </c>
      <c r="BO160">
        <v>2.7316848118685001E-2</v>
      </c>
      <c r="BP160">
        <v>-1.4989873498634002E-3</v>
      </c>
      <c r="BQ160">
        <v>-6.0502726634390001E-4</v>
      </c>
      <c r="BR160">
        <v>2.2171486920163002E-4</v>
      </c>
    </row>
    <row r="161" spans="1:70" x14ac:dyDescent="0.25">
      <c r="A161">
        <v>1.8621912002563001</v>
      </c>
      <c r="B161" s="1">
        <v>0.81696879863739003</v>
      </c>
      <c r="C161" s="1">
        <v>-1.5526113923171E-18</v>
      </c>
      <c r="D161" s="1">
        <v>-1.2902996968478E-4</v>
      </c>
      <c r="E161" s="1">
        <v>9.3997374176978996E-2</v>
      </c>
      <c r="Q161">
        <v>1.8621912002563001</v>
      </c>
      <c r="R161">
        <v>2.6777587831020001E-2</v>
      </c>
      <c r="S161">
        <v>1.3372579123825E-3</v>
      </c>
      <c r="T161">
        <v>4.1054831817746006E-3</v>
      </c>
      <c r="U161">
        <v>2.7409950271249E-3</v>
      </c>
      <c r="V161">
        <v>3.4351891372352999E-3</v>
      </c>
      <c r="W161">
        <v>3.8671420770697003E-4</v>
      </c>
      <c r="X161">
        <v>5.1121250726282998E-4</v>
      </c>
      <c r="AX161">
        <v>36.127469186935002</v>
      </c>
      <c r="AY161">
        <v>-7.7667036557928004E-2</v>
      </c>
      <c r="AZ161">
        <v>0.11222905227522001</v>
      </c>
      <c r="BA161">
        <v>-5.0404799994521E-2</v>
      </c>
      <c r="BB161">
        <v>1.1523851727840999E-2</v>
      </c>
      <c r="BC161">
        <v>4.9732201791893001E-3</v>
      </c>
      <c r="BD161">
        <v>6.5428762979876005E-4</v>
      </c>
      <c r="BE161">
        <f>(Table__150_diric[[#This Row],[F2]]+Table__150_diric_3[[#This Row],[F2]]+Table__150_diric_4[[#This Row],[F2]])/2</f>
        <v>-5.8613136373623503E-2</v>
      </c>
      <c r="BF161">
        <v>36.127469186935002</v>
      </c>
      <c r="BG161">
        <v>-1.5053431991816999E-2</v>
      </c>
      <c r="BH161">
        <v>2.3221689994075E-2</v>
      </c>
      <c r="BI161">
        <v>-7.0844940121707004E-3</v>
      </c>
      <c r="BJ161">
        <v>-8.278253825500701E-4</v>
      </c>
      <c r="BK161">
        <v>2.5593860753732003E-4</v>
      </c>
      <c r="BM161">
        <v>36.127469186935002</v>
      </c>
      <c r="BN161">
        <v>-2.4505804197502E-2</v>
      </c>
      <c r="BO161">
        <v>2.687360732674E-2</v>
      </c>
      <c r="BP161">
        <v>-1.5775631693208001E-3</v>
      </c>
      <c r="BQ161">
        <v>-5.6885383112646997E-4</v>
      </c>
      <c r="BR161">
        <v>2.2138612879063003E-4</v>
      </c>
    </row>
    <row r="162" spans="1:70" x14ac:dyDescent="0.25">
      <c r="A162">
        <v>1.866816163063</v>
      </c>
      <c r="B162" s="1">
        <v>0.80671000480652</v>
      </c>
      <c r="C162" s="1">
        <v>-1.6347735882008001E-19</v>
      </c>
      <c r="D162" s="1">
        <v>-1.2031864753226001E-4</v>
      </c>
      <c r="E162" s="1">
        <v>9.2559553682803997E-2</v>
      </c>
      <c r="Q162">
        <v>1.866816163063</v>
      </c>
      <c r="R162">
        <v>2.7242973446846001E-2</v>
      </c>
      <c r="S162">
        <v>1.2707517016679001E-3</v>
      </c>
      <c r="T162">
        <v>4.0547959506512E-3</v>
      </c>
      <c r="U162">
        <v>2.7036801911891001E-3</v>
      </c>
      <c r="V162">
        <v>3.4804583992809001E-3</v>
      </c>
      <c r="W162">
        <v>3.7923944182694007E-4</v>
      </c>
      <c r="X162">
        <v>5.1306613022462011E-4</v>
      </c>
      <c r="AX162">
        <v>37.245339205775998</v>
      </c>
      <c r="AY162">
        <v>-7.3961006388174003E-2</v>
      </c>
      <c r="AZ162">
        <v>0.10642100702343001</v>
      </c>
      <c r="BA162">
        <v>-4.9643362157680997E-2</v>
      </c>
      <c r="BB162">
        <v>1.304328504331E-2</v>
      </c>
      <c r="BC162">
        <v>4.7678419427286999E-3</v>
      </c>
      <c r="BD162">
        <v>6.2776546361653E-4</v>
      </c>
      <c r="BE162">
        <f>(Table__150_diric[[#This Row],[F2]]+Table__150_diric_3[[#This Row],[F2]]+Table__150_diric_4[[#This Row],[F2]])/2</f>
        <v>-5.6461423254492001E-2</v>
      </c>
      <c r="BF162">
        <v>37.245339205775998</v>
      </c>
      <c r="BG162">
        <v>-1.4950796352068002E-2</v>
      </c>
      <c r="BH162">
        <v>2.3122054467544003E-2</v>
      </c>
      <c r="BI162">
        <v>-7.1230611754899004E-3</v>
      </c>
      <c r="BJ162">
        <v>-7.9540248239454007E-4</v>
      </c>
      <c r="BK162">
        <v>2.5279445759219003E-4</v>
      </c>
      <c r="BM162">
        <v>37.245339205775998</v>
      </c>
      <c r="BN162">
        <v>-2.4011043768742E-2</v>
      </c>
      <c r="BO162">
        <v>2.6410259093695002E-2</v>
      </c>
      <c r="BP162">
        <v>-1.6427758098701E-3</v>
      </c>
      <c r="BQ162">
        <v>-5.3840300396532006E-4</v>
      </c>
      <c r="BR162">
        <v>2.1803651111817002E-4</v>
      </c>
    </row>
    <row r="163" spans="1:70" x14ac:dyDescent="0.25">
      <c r="A163">
        <v>1.8713549375534</v>
      </c>
      <c r="B163" s="1">
        <v>0.79603332281113004</v>
      </c>
      <c r="C163" s="1">
        <v>1.4907779871676001E-19</v>
      </c>
      <c r="D163" s="1">
        <v>-1.1196544801351001E-4</v>
      </c>
      <c r="E163" s="1">
        <v>9.1074675321578993E-2</v>
      </c>
      <c r="Q163">
        <v>1.8713549375534</v>
      </c>
      <c r="R163">
        <v>2.7679828926921002E-2</v>
      </c>
      <c r="S163">
        <v>1.2045707553625001E-3</v>
      </c>
      <c r="T163">
        <v>4.0004397742449994E-3</v>
      </c>
      <c r="U163">
        <v>2.6623476296663002E-3</v>
      </c>
      <c r="V163">
        <v>3.5210361238569E-3</v>
      </c>
      <c r="W163">
        <v>3.7116845487617005E-4</v>
      </c>
      <c r="X163">
        <v>5.1414169138297005E-4</v>
      </c>
      <c r="AX163">
        <v>38.400425962893003</v>
      </c>
      <c r="AY163">
        <v>-7.0342473231288005E-2</v>
      </c>
      <c r="AZ163">
        <v>0.10092748902123001</v>
      </c>
      <c r="BA163">
        <v>-4.8803899033700998E-2</v>
      </c>
      <c r="BB163">
        <v>1.4276738813245999E-2</v>
      </c>
      <c r="BC163">
        <v>4.5478911631364003E-3</v>
      </c>
      <c r="BD163">
        <v>6.0574673262439008E-4</v>
      </c>
      <c r="BE163">
        <f>(Table__150_diric[[#This Row],[F2]]+Table__150_diric_3[[#This Row],[F2]]+Table__150_diric_4[[#This Row],[F2]])/2</f>
        <v>-5.4338097593632506E-2</v>
      </c>
      <c r="BF163">
        <v>38.400425962893003</v>
      </c>
      <c r="BG163">
        <v>-1.4827020637817002E-2</v>
      </c>
      <c r="BH163">
        <v>2.2941245974548E-2</v>
      </c>
      <c r="BI163">
        <v>-7.1050860772614004E-3</v>
      </c>
      <c r="BJ163">
        <v>-7.5897551954976004E-4</v>
      </c>
      <c r="BK163">
        <v>2.5016373991988E-4</v>
      </c>
      <c r="BM163">
        <v>38.400425962893003</v>
      </c>
      <c r="BN163">
        <v>-2.350670131816E-2</v>
      </c>
      <c r="BO163">
        <v>2.592545090109E-2</v>
      </c>
      <c r="BP163">
        <v>-1.6930809566219E-3</v>
      </c>
      <c r="BQ163">
        <v>-5.0882879832362001E-4</v>
      </c>
      <c r="BR163">
        <v>2.1683982798428999E-4</v>
      </c>
    </row>
    <row r="164" spans="1:70" x14ac:dyDescent="0.25">
      <c r="A164">
        <v>1.8758116960526001</v>
      </c>
      <c r="B164" s="1">
        <v>0.78491318225861006</v>
      </c>
      <c r="C164" s="1">
        <v>1.6644197413546999E-19</v>
      </c>
      <c r="D164" s="1">
        <v>-1.0397584264865001E-4</v>
      </c>
      <c r="E164" s="1">
        <v>8.9540228247643003E-2</v>
      </c>
      <c r="Q164">
        <v>1.8758116960526001</v>
      </c>
      <c r="R164">
        <v>2.8083456680179E-2</v>
      </c>
      <c r="S164">
        <v>1.1388713028282001E-3</v>
      </c>
      <c r="T164">
        <v>3.9422893896699004E-3</v>
      </c>
      <c r="U164">
        <v>2.6168206240981999E-3</v>
      </c>
      <c r="V164">
        <v>3.5563353449106E-3</v>
      </c>
      <c r="W164">
        <v>3.6248887772672003E-4</v>
      </c>
      <c r="X164">
        <v>5.1437248475850008E-4</v>
      </c>
      <c r="AX164">
        <v>39.59486120463</v>
      </c>
      <c r="AY164">
        <v>-6.6814243113921007E-2</v>
      </c>
      <c r="AZ164">
        <v>9.5732173939895998E-2</v>
      </c>
      <c r="BA164">
        <v>-4.7888929858982E-2</v>
      </c>
      <c r="BB164">
        <v>1.5247864771775E-2</v>
      </c>
      <c r="BC164">
        <v>4.3043101234533001E-3</v>
      </c>
      <c r="BD164">
        <v>5.8117586222073997E-4</v>
      </c>
      <c r="BE164">
        <f>(Table__150_diric[[#This Row],[F2]]+Table__150_diric_3[[#This Row],[F2]]+Table__150_diric_4[[#This Row],[F2]])/2</f>
        <v>-5.2244845771595508E-2</v>
      </c>
      <c r="BF164">
        <v>39.59486120463</v>
      </c>
      <c r="BG164">
        <v>-1.4682411777865001E-2</v>
      </c>
      <c r="BH164">
        <v>2.2681052845049999E-2</v>
      </c>
      <c r="BI164">
        <v>-7.0316547953319002E-3</v>
      </c>
      <c r="BJ164">
        <v>-7.2076667984732998E-4</v>
      </c>
      <c r="BK164">
        <v>2.4621959200577003E-4</v>
      </c>
      <c r="BM164">
        <v>39.59486120463</v>
      </c>
      <c r="BN164">
        <v>-2.2993036651405001E-2</v>
      </c>
      <c r="BO164">
        <v>2.5418130790122E-2</v>
      </c>
      <c r="BP164">
        <v>-1.7280254140377999E-3</v>
      </c>
      <c r="BQ164">
        <v>-4.8356489937849E-4</v>
      </c>
      <c r="BR164">
        <v>2.1350382530098999E-4</v>
      </c>
    </row>
    <row r="165" spans="1:70" x14ac:dyDescent="0.25">
      <c r="A165">
        <v>1.8801907300948999</v>
      </c>
      <c r="B165" s="1">
        <v>0.77332276105881004</v>
      </c>
      <c r="C165" s="1">
        <v>-3.0112021274890001E-19</v>
      </c>
      <c r="D165" s="1">
        <v>-9.6350755484309007E-5</v>
      </c>
      <c r="E165" s="1">
        <v>8.7953679263592002E-2</v>
      </c>
      <c r="Q165">
        <v>1.8801907300948999</v>
      </c>
      <c r="R165">
        <v>2.8448725119233E-2</v>
      </c>
      <c r="S165">
        <v>1.0738077107817002E-3</v>
      </c>
      <c r="T165">
        <v>3.8802316412330003E-3</v>
      </c>
      <c r="U165">
        <v>2.5669203605503E-3</v>
      </c>
      <c r="V165">
        <v>3.5857281181961003E-3</v>
      </c>
      <c r="W165">
        <v>3.5319026210345003E-4</v>
      </c>
      <c r="X165">
        <v>5.1368935965002006E-4</v>
      </c>
      <c r="AX165">
        <v>40.831007616519997</v>
      </c>
      <c r="AY165">
        <v>-6.3379961483146993E-2</v>
      </c>
      <c r="AZ165">
        <v>9.0816523966706003E-2</v>
      </c>
      <c r="BA165">
        <v>-4.6901635101177001E-2</v>
      </c>
      <c r="BB165">
        <v>1.5979497806688E-2</v>
      </c>
      <c r="BC165">
        <v>4.0430518160828001E-3</v>
      </c>
      <c r="BD165">
        <v>5.5747700515396007E-4</v>
      </c>
      <c r="BE165">
        <f>(Table__150_diric[[#This Row],[F2]]+Table__150_diric_3[[#This Row],[F2]]+Table__150_diric_4[[#This Row],[F2]])/2</f>
        <v>-5.0183937789171996E-2</v>
      </c>
      <c r="BF165">
        <v>40.831007616519997</v>
      </c>
      <c r="BG165">
        <v>-1.4517306702751E-2</v>
      </c>
      <c r="BH165">
        <v>2.2343869993049E-2</v>
      </c>
      <c r="BI165">
        <v>-6.9042550900475005E-3</v>
      </c>
      <c r="BJ165">
        <v>-6.7950937861921011E-4</v>
      </c>
      <c r="BK165">
        <v>2.4279882163171E-4</v>
      </c>
      <c r="BM165">
        <v>40.831007616519997</v>
      </c>
      <c r="BN165">
        <v>-2.2470607392445999E-2</v>
      </c>
      <c r="BO165">
        <v>2.4887525502762999E-2</v>
      </c>
      <c r="BP165">
        <v>-1.7481725571355002E-3</v>
      </c>
      <c r="BQ165">
        <v>-4.5771172644124003E-4</v>
      </c>
      <c r="BR165">
        <v>2.1103382674010003E-4</v>
      </c>
    </row>
    <row r="166" spans="1:70" x14ac:dyDescent="0.25">
      <c r="A166">
        <v>1.8844959735870002</v>
      </c>
      <c r="B166" s="1">
        <v>0.76123416423798007</v>
      </c>
      <c r="C166" s="1">
        <v>1.304007222298E-18</v>
      </c>
      <c r="D166" s="1">
        <v>-8.9089422544930008E-5</v>
      </c>
      <c r="E166" s="1">
        <v>8.6312487721442996E-2</v>
      </c>
      <c r="Q166">
        <v>1.8844959735870002</v>
      </c>
      <c r="R166">
        <v>2.8770046308637002E-2</v>
      </c>
      <c r="S166">
        <v>1.0095323668793E-3</v>
      </c>
      <c r="T166">
        <v>3.8141680415720003E-3</v>
      </c>
      <c r="U166">
        <v>2.5124694220722004E-3</v>
      </c>
      <c r="V166">
        <v>3.6085464525968001E-3</v>
      </c>
      <c r="W166">
        <v>3.4326472086831998E-4</v>
      </c>
      <c r="X166">
        <v>5.1202095346525008E-4</v>
      </c>
      <c r="AX166">
        <v>42.111334471413997</v>
      </c>
      <c r="AY166">
        <v>-6.0044178236413004E-2</v>
      </c>
      <c r="AZ166">
        <v>8.6164790689603005E-2</v>
      </c>
      <c r="BA166">
        <v>-4.5845719841155999E-2</v>
      </c>
      <c r="BB166">
        <v>1.6491770746812E-2</v>
      </c>
      <c r="BC166">
        <v>3.7657991201395001E-3</v>
      </c>
      <c r="BD166">
        <v>5.3246247898548998E-4</v>
      </c>
      <c r="BE166">
        <f>(Table__150_diric[[#This Row],[F2]]+Table__150_diric_3[[#This Row],[F2]]+Table__150_diric_4[[#This Row],[F2]])/2</f>
        <v>-4.8158084562785003E-2</v>
      </c>
      <c r="BF166">
        <v>42.111334471413997</v>
      </c>
      <c r="BG166">
        <v>-1.4332064333818999E-2</v>
      </c>
      <c r="BH166">
        <v>2.1932679790059001E-2</v>
      </c>
      <c r="BI166">
        <v>-6.7247549525706E-3</v>
      </c>
      <c r="BJ166">
        <v>-6.3779398553949007E-4</v>
      </c>
      <c r="BK166">
        <v>2.3806651812920002E-4</v>
      </c>
      <c r="BM166">
        <v>42.111334471413997</v>
      </c>
      <c r="BN166">
        <v>-2.1939926555338E-2</v>
      </c>
      <c r="BO166">
        <v>2.4333151411201001E-2</v>
      </c>
      <c r="BP166">
        <v>-1.7541787220751001E-3</v>
      </c>
      <c r="BQ166">
        <v>-4.3145028520465004E-4</v>
      </c>
      <c r="BR166">
        <v>2.0759584858264001E-4</v>
      </c>
    </row>
    <row r="167" spans="1:70" x14ac:dyDescent="0.25">
      <c r="A167">
        <v>1.8887308835983001</v>
      </c>
      <c r="B167" s="1">
        <v>0.74861836433411</v>
      </c>
      <c r="C167" s="1">
        <v>-6.2002811739014997E-19</v>
      </c>
      <c r="D167" s="1">
        <v>-8.2191138062626001E-5</v>
      </c>
      <c r="E167" s="1">
        <v>8.4614090621471003E-2</v>
      </c>
      <c r="Q167">
        <v>1.8887308835983001</v>
      </c>
      <c r="R167">
        <v>2.9041366651654001E-2</v>
      </c>
      <c r="S167">
        <v>9.4619573792443005E-4</v>
      </c>
      <c r="T167">
        <v>3.7440175656229002E-3</v>
      </c>
      <c r="U167">
        <v>2.453294582665E-3</v>
      </c>
      <c r="V167">
        <v>3.6240832414478003E-3</v>
      </c>
      <c r="W167">
        <v>3.3270742278546003E-4</v>
      </c>
      <c r="X167">
        <v>5.0929433200507998E-4</v>
      </c>
      <c r="AX167">
        <v>43.438470923137004</v>
      </c>
      <c r="AY167">
        <v>-5.6811956913528E-2</v>
      </c>
      <c r="AZ167">
        <v>8.1760809279116012E-2</v>
      </c>
      <c r="BA167">
        <v>-4.4725249831381E-2</v>
      </c>
      <c r="BB167">
        <v>1.6802210380564002E-2</v>
      </c>
      <c r="BC167">
        <v>3.4823684758288E-3</v>
      </c>
      <c r="BD167">
        <v>5.0818139059957993E-4</v>
      </c>
      <c r="BE167">
        <f>(Table__150_diric[[#This Row],[F2]]+Table__150_diric_3[[#This Row],[F2]]+Table__150_diric_4[[#This Row],[F2]])/2</f>
        <v>-4.6170167987362502E-2</v>
      </c>
      <c r="BF167">
        <v>43.438470923137004</v>
      </c>
      <c r="BG167">
        <v>-1.4127094642497E-2</v>
      </c>
      <c r="BH167">
        <v>2.1451102613774E-2</v>
      </c>
      <c r="BI167">
        <v>-6.4955666859898E-3</v>
      </c>
      <c r="BJ167">
        <v>-5.9470463996909003E-4</v>
      </c>
      <c r="BK167">
        <v>2.3373664531753003E-4</v>
      </c>
      <c r="BM167">
        <v>43.438470923137004</v>
      </c>
      <c r="BN167">
        <v>-2.1401284418700001E-2</v>
      </c>
      <c r="BO167">
        <v>2.3754888291571002E-2</v>
      </c>
      <c r="BP167">
        <v>-1.7461174070436002E-3</v>
      </c>
      <c r="BQ167">
        <v>-4.0319632559649002E-4</v>
      </c>
      <c r="BR167">
        <v>2.0429014023180998E-4</v>
      </c>
    </row>
    <row r="168" spans="1:70" x14ac:dyDescent="0.25">
      <c r="A168">
        <v>1.8928992748260001</v>
      </c>
      <c r="B168" s="1">
        <v>0.73544532060623002</v>
      </c>
      <c r="C168" s="1">
        <v>1.0922489854844001E-18</v>
      </c>
      <c r="D168" s="1">
        <v>-7.5655778346118006E-5</v>
      </c>
      <c r="E168" s="1">
        <v>8.2855947315693013E-2</v>
      </c>
      <c r="Q168">
        <v>1.8928992748260001</v>
      </c>
      <c r="R168">
        <v>2.9256142675876999E-2</v>
      </c>
      <c r="S168">
        <v>8.8394567137584003E-4</v>
      </c>
      <c r="T168">
        <v>3.669717349112E-3</v>
      </c>
      <c r="U168">
        <v>2.3892330937088E-3</v>
      </c>
      <c r="V168">
        <v>3.6315945908427E-3</v>
      </c>
      <c r="W168">
        <v>3.2151740742846998E-4</v>
      </c>
      <c r="X168">
        <v>5.0543545512483001E-4</v>
      </c>
      <c r="AX168">
        <v>44.815241535594993</v>
      </c>
      <c r="AY168">
        <v>-5.3688825374429996E-2</v>
      </c>
      <c r="AZ168">
        <v>7.7590700882572999E-2</v>
      </c>
      <c r="BA168">
        <v>-4.3544596848689998E-2</v>
      </c>
      <c r="BB168">
        <v>1.6924403672922E-2</v>
      </c>
      <c r="BC168">
        <v>3.2023261946908001E-3</v>
      </c>
      <c r="BD168">
        <v>4.8400852706597004E-4</v>
      </c>
      <c r="BE168">
        <f>(Table__150_diric[[#This Row],[F2]]+Table__150_diric_3[[#This Row],[F2]]+Table__150_diric_4[[#This Row],[F2]])/2</f>
        <v>-4.4223233239553503E-2</v>
      </c>
      <c r="BF168">
        <v>44.815241535594993</v>
      </c>
      <c r="BG168">
        <v>-1.3902881897713999E-2</v>
      </c>
      <c r="BH168">
        <v>2.0903313511075997E-2</v>
      </c>
      <c r="BI168">
        <v>-6.2197614319897E-3</v>
      </c>
      <c r="BJ168">
        <v>-5.5231209884360009E-4</v>
      </c>
      <c r="BK168">
        <v>2.2835808252789002E-4</v>
      </c>
      <c r="BM168">
        <v>44.815241535594993</v>
      </c>
      <c r="BN168">
        <v>-2.0854759206962999E-2</v>
      </c>
      <c r="BO168">
        <v>2.3153047632975002E-2</v>
      </c>
      <c r="BP168">
        <v>-1.7235376979362002E-3</v>
      </c>
      <c r="BQ168">
        <v>-3.7467318513010001E-4</v>
      </c>
      <c r="BR168">
        <v>2.0007754294562E-4</v>
      </c>
    </row>
    <row r="169" spans="1:70" x14ac:dyDescent="0.25">
      <c r="A169">
        <v>1.8970043659210001</v>
      </c>
      <c r="B169" s="1">
        <v>0.72168391942978005</v>
      </c>
      <c r="C169" s="1">
        <v>1.4336032632279002E-18</v>
      </c>
      <c r="D169" s="1">
        <v>-6.9483714469243004E-5</v>
      </c>
      <c r="E169" s="1">
        <v>8.1035546958447002E-2</v>
      </c>
      <c r="Q169">
        <v>1.8970043659210001</v>
      </c>
      <c r="R169">
        <v>2.9407352209090999E-2</v>
      </c>
      <c r="S169">
        <v>8.2292739534751014E-4</v>
      </c>
      <c r="T169">
        <v>3.5912243183702001E-3</v>
      </c>
      <c r="U169">
        <v>2.3201375734060998E-3</v>
      </c>
      <c r="V169">
        <v>3.6303037777543003E-3</v>
      </c>
      <c r="W169">
        <v>3.0969834187998999E-4</v>
      </c>
      <c r="X169">
        <v>5.0037045730278004E-4</v>
      </c>
      <c r="AX169">
        <v>46.244648518226001</v>
      </c>
      <c r="AY169">
        <v>-5.0678822701593997E-2</v>
      </c>
      <c r="AZ169">
        <v>7.3637979353132002E-2</v>
      </c>
      <c r="BA169">
        <v>-4.2308526129838001E-2</v>
      </c>
      <c r="BB169">
        <v>1.6872132227939002E-2</v>
      </c>
      <c r="BC169">
        <v>2.9374423532942001E-3</v>
      </c>
      <c r="BD169">
        <v>4.6020510293318009E-4</v>
      </c>
      <c r="BE169">
        <f>(Table__150_diric[[#This Row],[F2]]+Table__150_diric_3[[#This Row],[F2]]+Table__150_diric_4[[#This Row],[F2]])/2</f>
        <v>-4.2319462278395996E-2</v>
      </c>
      <c r="BF169">
        <v>46.244648518226001</v>
      </c>
      <c r="BG169">
        <v>-1.3659990320683E-2</v>
      </c>
      <c r="BH169">
        <v>2.0294129633568997E-2</v>
      </c>
      <c r="BI169">
        <v>-5.9012301813627004E-3</v>
      </c>
      <c r="BJ169">
        <v>-5.0977255678370001E-4</v>
      </c>
      <c r="BK169">
        <v>2.2313657474014003E-4</v>
      </c>
      <c r="BM169">
        <v>46.244648518226001</v>
      </c>
      <c r="BN169">
        <v>-2.0300111534515001E-2</v>
      </c>
      <c r="BO169">
        <v>2.2528457340651002E-2</v>
      </c>
      <c r="BP169">
        <v>-1.6857293506906E-3</v>
      </c>
      <c r="BQ169">
        <v>-3.4676411486017004E-4</v>
      </c>
      <c r="BR169">
        <v>1.9585234058522001E-4</v>
      </c>
    </row>
    <row r="170" spans="1:70" x14ac:dyDescent="0.25">
      <c r="A170">
        <v>1.9010494947433001</v>
      </c>
      <c r="B170" s="1">
        <v>0.70730245113373003</v>
      </c>
      <c r="C170" s="1">
        <v>-2.0413494028828997E-19</v>
      </c>
      <c r="D170" s="1">
        <v>-6.3675601268187003E-5</v>
      </c>
      <c r="E170" s="1">
        <v>7.9150438308716001E-2</v>
      </c>
      <c r="Q170">
        <v>1.9010494947433001</v>
      </c>
      <c r="R170">
        <v>2.9487511143088001E-2</v>
      </c>
      <c r="S170">
        <v>7.6328287832439E-4</v>
      </c>
      <c r="T170">
        <v>3.5085161216557E-3</v>
      </c>
      <c r="U170">
        <v>2.2458850871771999E-3</v>
      </c>
      <c r="V170">
        <v>3.6194077692926004E-3</v>
      </c>
      <c r="W170">
        <v>2.9725933563896001E-4</v>
      </c>
      <c r="X170">
        <v>4.9402622971684001E-4</v>
      </c>
      <c r="AX170">
        <v>47.729889490547002</v>
      </c>
      <c r="AY170">
        <v>-4.7782885703289008E-2</v>
      </c>
      <c r="AZ170">
        <v>6.9886680402688001E-2</v>
      </c>
      <c r="BA170">
        <v>-4.1022169047891001E-2</v>
      </c>
      <c r="BB170">
        <v>1.6664473569788001E-2</v>
      </c>
      <c r="BC170">
        <v>2.6905642645448E-3</v>
      </c>
      <c r="BD170">
        <v>4.3666348584029004E-4</v>
      </c>
      <c r="BE170">
        <f>(Table__150_diric[[#This Row],[F2]]+Table__150_diric_3[[#This Row],[F2]]+Table__150_diric_4[[#This Row],[F2]])/2</f>
        <v>-4.0459537682751005E-2</v>
      </c>
      <c r="BF170">
        <v>47.729889490547002</v>
      </c>
      <c r="BG170">
        <v>-1.3399048691334001E-2</v>
      </c>
      <c r="BH170">
        <v>1.9629051222991002E-2</v>
      </c>
      <c r="BI170">
        <v>-5.5446940832684002E-3</v>
      </c>
      <c r="BJ170">
        <v>-4.6829648897956001E-4</v>
      </c>
      <c r="BK170">
        <v>2.1701195940964003E-4</v>
      </c>
      <c r="BM170">
        <v>47.729889490547002</v>
      </c>
      <c r="BN170">
        <v>-1.9737140970879002E-2</v>
      </c>
      <c r="BO170">
        <v>2.1882356540096001E-2</v>
      </c>
      <c r="BP170">
        <v>-1.6325095846266E-3</v>
      </c>
      <c r="BQ170">
        <v>-3.2168786123104999E-4</v>
      </c>
      <c r="BR170">
        <v>1.9101812335954002E-4</v>
      </c>
    </row>
    <row r="171" spans="1:70" x14ac:dyDescent="0.25">
      <c r="A171">
        <v>1.9050377607346001</v>
      </c>
      <c r="B171" s="1">
        <v>0.69226849079132002</v>
      </c>
      <c r="C171" s="1">
        <v>-9.2411294545443994E-19</v>
      </c>
      <c r="D171" s="1">
        <v>-5.8232271840097003E-5</v>
      </c>
      <c r="E171" s="1">
        <v>7.7198259532452004E-2</v>
      </c>
      <c r="Q171">
        <v>1.9050377607346001</v>
      </c>
      <c r="R171">
        <v>2.9488692060112998E-2</v>
      </c>
      <c r="S171">
        <v>7.0515030529349999E-4</v>
      </c>
      <c r="T171">
        <v>3.4215904306619999E-3</v>
      </c>
      <c r="U171">
        <v>2.1663843654096001E-3</v>
      </c>
      <c r="V171">
        <v>3.5980849061161002E-3</v>
      </c>
      <c r="W171">
        <v>2.8421598835848001E-4</v>
      </c>
      <c r="X171">
        <v>4.8633216647431E-4</v>
      </c>
      <c r="AX171">
        <v>49.274375246710001</v>
      </c>
      <c r="AY171">
        <v>-4.5000817404740004E-2</v>
      </c>
      <c r="AZ171">
        <v>6.6323555061449005E-2</v>
      </c>
      <c r="BA171">
        <v>-3.9691042238749003E-2</v>
      </c>
      <c r="BB171">
        <v>1.6322884113787999E-2</v>
      </c>
      <c r="BC171">
        <v>2.4602333028691001E-3</v>
      </c>
      <c r="BD171">
        <v>4.1481283461785001E-4</v>
      </c>
      <c r="BE171">
        <f>(Table__150_diric[[#This Row],[F2]]+Table__150_diric_3[[#This Row],[F2]]+Table__150_diric_4[[#This Row],[F2]])/2</f>
        <v>-3.8643756642635002E-2</v>
      </c>
      <c r="BF171">
        <v>49.274375246710001</v>
      </c>
      <c r="BG171">
        <v>-1.3120714848875E-2</v>
      </c>
      <c r="BH171">
        <v>1.8914070345971E-2</v>
      </c>
      <c r="BI171">
        <v>-5.1553786635977995E-3</v>
      </c>
      <c r="BJ171">
        <v>-4.2702309096383006E-4</v>
      </c>
      <c r="BK171">
        <v>2.1095374253479E-4</v>
      </c>
      <c r="BM171">
        <v>49.274375246710001</v>
      </c>
      <c r="BN171">
        <v>-1.9165981031655004E-2</v>
      </c>
      <c r="BO171">
        <v>2.1216104580673002E-2</v>
      </c>
      <c r="BP171">
        <v>-1.5649299178514E-3</v>
      </c>
      <c r="BQ171">
        <v>-2.9907782338665001E-4</v>
      </c>
      <c r="BR171">
        <v>1.8611580777982999E-4</v>
      </c>
    </row>
    <row r="172" spans="1:70" x14ac:dyDescent="0.25">
      <c r="A172">
        <v>1.9089720249175999</v>
      </c>
      <c r="B172" s="1">
        <v>0.67654943466187012</v>
      </c>
      <c r="C172" s="1">
        <v>2.168404344971E-19</v>
      </c>
      <c r="D172" s="1">
        <v>-5.3154748457018008E-5</v>
      </c>
      <c r="E172" s="1">
        <v>7.5176760554313993E-2</v>
      </c>
      <c r="Q172">
        <v>1.9089720249175999</v>
      </c>
      <c r="R172">
        <v>2.9402585700154003E-2</v>
      </c>
      <c r="S172">
        <v>6.4866390312091004E-4</v>
      </c>
      <c r="T172">
        <v>3.3304656390101004E-3</v>
      </c>
      <c r="U172">
        <v>2.0815862808377002E-3</v>
      </c>
      <c r="V172">
        <v>3.5655063111335E-3</v>
      </c>
      <c r="W172">
        <v>2.7059143758379004E-4</v>
      </c>
      <c r="X172">
        <v>4.7722161980346008E-4</v>
      </c>
      <c r="AX172">
        <v>50.881729755501006</v>
      </c>
      <c r="AY172">
        <v>-4.2333474190701999E-2</v>
      </c>
      <c r="AZ172">
        <v>6.2932338025303E-2</v>
      </c>
      <c r="BA172">
        <v>-3.8320919180199003E-2</v>
      </c>
      <c r="BB172">
        <v>1.5864933100041001E-2</v>
      </c>
      <c r="BC172">
        <v>2.2486465044893001E-3</v>
      </c>
      <c r="BD172">
        <v>3.9152425893287002E-4</v>
      </c>
      <c r="BE172">
        <f>(Table__150_diric[[#This Row],[F2]]+Table__150_diric_3[[#This Row],[F2]]+Table__150_diric_4[[#This Row],[F2]])/2</f>
        <v>-3.6873385278615001E-2</v>
      </c>
      <c r="BF172">
        <v>50.881729755501006</v>
      </c>
      <c r="BG172">
        <v>-1.2825691713665001E-2</v>
      </c>
      <c r="BH172">
        <v>1.8155659964593E-2</v>
      </c>
      <c r="BI172">
        <v>-4.7388345418315995E-3</v>
      </c>
      <c r="BJ172">
        <v>-3.8693987464949003E-4</v>
      </c>
      <c r="BK172">
        <v>2.0419383444736998E-4</v>
      </c>
      <c r="BM172">
        <v>50.881729755501006</v>
      </c>
      <c r="BN172">
        <v>-1.8587604652863E-2</v>
      </c>
      <c r="BO172">
        <v>2.0530961080582003E-2</v>
      </c>
      <c r="BP172">
        <v>-1.4860167375657001E-3</v>
      </c>
      <c r="BQ172">
        <v>-2.7695929954927001E-4</v>
      </c>
      <c r="BR172">
        <v>1.8038039060375001E-4</v>
      </c>
    </row>
    <row r="173" spans="1:70" x14ac:dyDescent="0.25">
      <c r="A173">
        <v>1.9128553867339999</v>
      </c>
      <c r="B173" s="1">
        <v>0.66011255979538008</v>
      </c>
      <c r="C173" s="1">
        <v>-1.6093625997831998E-20</v>
      </c>
      <c r="D173" s="1">
        <v>-4.844412251259201E-5</v>
      </c>
      <c r="E173" s="1">
        <v>7.3083847761153994E-2</v>
      </c>
      <c r="Q173">
        <v>1.9128553867339999</v>
      </c>
      <c r="R173">
        <v>2.9220592230558E-2</v>
      </c>
      <c r="S173">
        <v>5.9395295102148999E-4</v>
      </c>
      <c r="T173">
        <v>3.2351785339415004E-3</v>
      </c>
      <c r="U173">
        <v>1.9914961885661E-3</v>
      </c>
      <c r="V173">
        <v>3.5208498593419998E-3</v>
      </c>
      <c r="W173">
        <v>2.5641749380155997E-4</v>
      </c>
      <c r="X173">
        <v>4.6663387911394E-4</v>
      </c>
      <c r="AX173">
        <v>52.555807924896001</v>
      </c>
      <c r="AY173">
        <v>-3.9781143198251996E-2</v>
      </c>
      <c r="AZ173">
        <v>5.9703819756795999E-2</v>
      </c>
      <c r="BA173">
        <v>-3.6917346564106002E-2</v>
      </c>
      <c r="BB173">
        <v>1.5307453978338001E-2</v>
      </c>
      <c r="BC173">
        <v>2.0575323778002003E-3</v>
      </c>
      <c r="BD173">
        <v>3.7031635057576003E-4</v>
      </c>
      <c r="BE173">
        <f>(Table__150_diric[[#This Row],[F2]]+Table__150_diric_3[[#This Row],[F2]]+Table__150_diric_4[[#This Row],[F2]])/2</f>
        <v>-3.5150102117381996E-2</v>
      </c>
      <c r="BF173">
        <v>52.555807924896001</v>
      </c>
      <c r="BG173">
        <v>-1.2514766870657001E-2</v>
      </c>
      <c r="BH173">
        <v>1.7360948807464999E-2</v>
      </c>
      <c r="BI173">
        <v>-4.3010698391372001E-3</v>
      </c>
      <c r="BJ173">
        <v>-3.4779075194734001E-4</v>
      </c>
      <c r="BK173">
        <v>1.9732134572302001E-4</v>
      </c>
      <c r="BM173">
        <v>52.555807924896001</v>
      </c>
      <c r="BN173">
        <v>-1.8004294165855E-2</v>
      </c>
      <c r="BO173">
        <v>1.9828009420772001E-2</v>
      </c>
      <c r="BP173">
        <v>-1.4006963034391001E-3</v>
      </c>
      <c r="BQ173">
        <v>-2.4817804885713003E-4</v>
      </c>
      <c r="BR173">
        <v>1.7484090262079001E-4</v>
      </c>
    </row>
    <row r="174" spans="1:70" x14ac:dyDescent="0.25">
      <c r="A174">
        <v>1.9166903495789001</v>
      </c>
      <c r="B174" s="1">
        <v>0.64292567968369008</v>
      </c>
      <c r="C174" s="1">
        <v>6.2765141391543992E-19</v>
      </c>
      <c r="D174" s="1">
        <v>-4.4101063394919004E-5</v>
      </c>
      <c r="E174" s="1">
        <v>7.0917621254921001E-2</v>
      </c>
      <c r="Q174">
        <v>1.9166903495789001</v>
      </c>
      <c r="R174">
        <v>2.8933936730027001E-2</v>
      </c>
      <c r="S174">
        <v>5.4114148952066996E-4</v>
      </c>
      <c r="T174">
        <v>3.1357831321657003E-3</v>
      </c>
      <c r="U174">
        <v>1.8961855676025003E-3</v>
      </c>
      <c r="V174">
        <v>3.4633204340935005E-3</v>
      </c>
      <c r="W174">
        <v>2.4173580459319004E-4</v>
      </c>
      <c r="X174">
        <v>4.5451647019944998E-4</v>
      </c>
      <c r="AX174">
        <v>54.300695602055001</v>
      </c>
      <c r="AY174">
        <v>-3.7342009557711997E-2</v>
      </c>
      <c r="AZ174">
        <v>5.6622419931997001E-2</v>
      </c>
      <c r="BA174">
        <v>-3.5485065035980999E-2</v>
      </c>
      <c r="BB174">
        <v>1.4671265652695999E-2</v>
      </c>
      <c r="BC174">
        <v>1.8841798230347E-3</v>
      </c>
      <c r="BD174">
        <v>3.5079081403502002E-4</v>
      </c>
      <c r="BE174">
        <f>(Table__150_diric[[#This Row],[F2]]+Table__150_diric_3[[#This Row],[F2]]+Table__150_diric_4[[#This Row],[F2]])/2</f>
        <v>-3.3473952632778498E-2</v>
      </c>
      <c r="BF174">
        <v>54.300695602055001</v>
      </c>
      <c r="BG174">
        <v>-1.2188849639618001E-2</v>
      </c>
      <c r="BH174">
        <v>1.6537855255387E-2</v>
      </c>
      <c r="BI174">
        <v>-3.8487497320313004E-3</v>
      </c>
      <c r="BJ174">
        <v>-3.1036282356951001E-4</v>
      </c>
      <c r="BK174">
        <v>1.8989306016821002E-4</v>
      </c>
      <c r="BM174">
        <v>54.300695602055001</v>
      </c>
      <c r="BN174">
        <v>-1.7417046068226999E-2</v>
      </c>
      <c r="BO174">
        <v>1.9108427248629E-2</v>
      </c>
      <c r="BP174">
        <v>-1.3116615850568001E-3</v>
      </c>
      <c r="BQ174">
        <v>-2.1111056339335002E-4</v>
      </c>
      <c r="BR174">
        <v>1.6860903195157001E-4</v>
      </c>
    </row>
    <row r="175" spans="1:70" x14ac:dyDescent="0.25">
      <c r="A175">
        <v>1.9204796552658001</v>
      </c>
      <c r="B175" s="1">
        <v>0.62495762109756003</v>
      </c>
      <c r="C175" s="1">
        <v>3.6168306847759E-19</v>
      </c>
      <c r="D175" s="1">
        <v>-4.0125007217284001E-5</v>
      </c>
      <c r="E175" s="1">
        <v>6.867643445730201E-2</v>
      </c>
      <c r="Q175">
        <v>1.9204796552658001</v>
      </c>
      <c r="R175">
        <v>2.8533862903714003E-2</v>
      </c>
      <c r="S175">
        <v>4.9034791300073006E-4</v>
      </c>
      <c r="T175">
        <v>3.0323460232466004E-3</v>
      </c>
      <c r="U175">
        <v>1.7958085518330002E-3</v>
      </c>
      <c r="V175">
        <v>3.3921729773283E-3</v>
      </c>
      <c r="W175">
        <v>2.2659909154753999E-4</v>
      </c>
      <c r="X175">
        <v>4.4082803651690006E-4</v>
      </c>
      <c r="AX175">
        <v>56.120727337881</v>
      </c>
      <c r="AY175">
        <v>-3.5012927641576999E-2</v>
      </c>
      <c r="AZ175">
        <v>5.3671767767527002E-2</v>
      </c>
      <c r="BA175">
        <v>-3.4028509216955001E-2</v>
      </c>
      <c r="BB175">
        <v>1.398033781795E-2</v>
      </c>
      <c r="BC175">
        <v>1.7190955754573002E-3</v>
      </c>
      <c r="BD175">
        <v>3.2976430240132004E-4</v>
      </c>
      <c r="BE175">
        <f>(Table__150_diric[[#This Row],[F2]]+Table__150_diric_3[[#This Row],[F2]]+Table__150_diric_4[[#This Row],[F2]])/2</f>
        <v>-3.1842911942942503E-2</v>
      </c>
      <c r="BF175">
        <v>56.120727337881</v>
      </c>
      <c r="BG175">
        <v>-1.1849041131542001E-2</v>
      </c>
      <c r="BH175">
        <v>1.5694648797487002E-2</v>
      </c>
      <c r="BI175">
        <v>-3.3888317889701003E-3</v>
      </c>
      <c r="BJ175">
        <v>-2.7442080157550003E-4</v>
      </c>
      <c r="BK175">
        <v>1.8235507539911001E-4</v>
      </c>
      <c r="BM175">
        <v>56.120727337881</v>
      </c>
      <c r="BN175">
        <v>-1.6823855112766E-2</v>
      </c>
      <c r="BO175">
        <v>1.8373787037634003E-2</v>
      </c>
      <c r="BP175">
        <v>-1.2162057535911E-3</v>
      </c>
      <c r="BQ175">
        <v>-1.7111686914389002E-4</v>
      </c>
      <c r="BR175">
        <v>1.6260930213378999E-4</v>
      </c>
    </row>
    <row r="176" spans="1:70" x14ac:dyDescent="0.25">
      <c r="A176">
        <v>1.9242258071899001</v>
      </c>
      <c r="B176" s="1">
        <v>0.60617882013321012</v>
      </c>
      <c r="C176" s="1">
        <v>-2.7126230135818997E-19</v>
      </c>
      <c r="D176" s="1">
        <v>-3.6513218219625002E-5</v>
      </c>
      <c r="E176" s="1">
        <v>6.6358938813209992E-2</v>
      </c>
      <c r="Q176">
        <v>1.9242258071899001</v>
      </c>
      <c r="R176">
        <v>2.8011865913867999E-2</v>
      </c>
      <c r="S176">
        <v>4.4168421300127999E-4</v>
      </c>
      <c r="T176">
        <v>2.9249438084662E-3</v>
      </c>
      <c r="U176">
        <v>1.6906167147681002E-3</v>
      </c>
      <c r="V176">
        <v>3.3067436888813998E-3</v>
      </c>
      <c r="W176">
        <v>2.1107227075845E-4</v>
      </c>
      <c r="X176">
        <v>4.2554151150398005E-4</v>
      </c>
      <c r="AX176">
        <v>58.020433093356004</v>
      </c>
      <c r="AY176">
        <v>-3.2790463742806003E-2</v>
      </c>
      <c r="AZ176">
        <v>5.0839031265487E-2</v>
      </c>
      <c r="BA176">
        <v>-3.2552649270823006E-2</v>
      </c>
      <c r="BB176">
        <v>1.3259801590786E-2</v>
      </c>
      <c r="BC176">
        <v>1.5550659198061002E-3</v>
      </c>
      <c r="BD176">
        <v>3.1078576244993001E-4</v>
      </c>
      <c r="BE176">
        <f>(Table__150_diric[[#This Row],[F2]]+Table__150_diric_3[[#This Row],[F2]]+Table__150_diric_4[[#This Row],[F2]])/2</f>
        <v>-3.0254798324455E-2</v>
      </c>
      <c r="BF176">
        <v>58.020433093356004</v>
      </c>
      <c r="BG176">
        <v>-1.1496638960973001E-2</v>
      </c>
      <c r="BH176">
        <v>1.4838577020057E-2</v>
      </c>
      <c r="BI176">
        <v>-2.9273736497626998E-3</v>
      </c>
      <c r="BJ176">
        <v>-2.4022248170150001E-4</v>
      </c>
      <c r="BK176">
        <v>1.7434192762051E-4</v>
      </c>
      <c r="BM176">
        <v>58.020433093356004</v>
      </c>
      <c r="BN176">
        <v>-1.6222493945130999E-2</v>
      </c>
      <c r="BO176">
        <v>1.7625862089769E-2</v>
      </c>
      <c r="BP176">
        <v>-1.1096544880834002E-3</v>
      </c>
      <c r="BQ176">
        <v>-1.3788671742585002E-4</v>
      </c>
      <c r="BR176">
        <v>1.5582693912923E-4</v>
      </c>
    </row>
    <row r="177" spans="1:70" x14ac:dyDescent="0.25">
      <c r="A177">
        <v>1.9279313087463001</v>
      </c>
      <c r="B177" s="1">
        <v>0.58656191825866999</v>
      </c>
      <c r="C177" s="1">
        <v>1.1754699725522E-18</v>
      </c>
      <c r="D177" s="1">
        <v>-3.3259879273828004E-5</v>
      </c>
      <c r="E177" s="1">
        <v>6.3964135944843001E-2</v>
      </c>
      <c r="Q177">
        <v>1.9279313087463001</v>
      </c>
      <c r="R177">
        <v>2.7360009029508001E-2</v>
      </c>
      <c r="S177">
        <v>3.9525545435026001E-4</v>
      </c>
      <c r="T177">
        <v>2.8136551845818997E-3</v>
      </c>
      <c r="U177">
        <v>1.5809758333489002E-3</v>
      </c>
      <c r="V177">
        <v>3.2064854167401999E-3</v>
      </c>
      <c r="W177">
        <v>1.9523361697793001E-4</v>
      </c>
      <c r="X177">
        <v>4.0864790207706001E-4</v>
      </c>
      <c r="AX177">
        <v>60.004680355969995</v>
      </c>
      <c r="AY177">
        <v>-3.0671735966471003E-2</v>
      </c>
      <c r="AZ177">
        <v>4.8112061907174999E-2</v>
      </c>
      <c r="BA177">
        <v>-3.1063223154686001E-2</v>
      </c>
      <c r="BB177">
        <v>1.2528555081109002E-2</v>
      </c>
      <c r="BC177">
        <v>1.3869154113852001E-3</v>
      </c>
      <c r="BD177">
        <v>2.9257327851150001E-4</v>
      </c>
      <c r="BE177">
        <f>(Table__150_diric[[#This Row],[F2]]+Table__150_diric_3[[#This Row],[F2]]+Table__150_diric_4[[#This Row],[F2]])/2</f>
        <v>-2.8708932025840499E-2</v>
      </c>
      <c r="BF177">
        <v>60.004680355969995</v>
      </c>
      <c r="BG177">
        <v>-1.1132978598048999E-2</v>
      </c>
      <c r="BH177">
        <v>1.3974640142857001E-2</v>
      </c>
      <c r="BI177">
        <v>-2.4680292272581E-3</v>
      </c>
      <c r="BJ177">
        <v>-2.0732949061403E-4</v>
      </c>
      <c r="BK177">
        <v>1.6630282693623E-4</v>
      </c>
      <c r="BM177">
        <v>60.004680355969995</v>
      </c>
      <c r="BN177">
        <v>-1.5613149487161001E-2</v>
      </c>
      <c r="BO177">
        <v>1.6865987163149999E-2</v>
      </c>
      <c r="BP177">
        <v>-9.9042733359858007E-4</v>
      </c>
      <c r="BQ177">
        <v>-1.1312647241014001E-4</v>
      </c>
      <c r="BR177">
        <v>1.4928386998003002E-4</v>
      </c>
    </row>
    <row r="178" spans="1:70" x14ac:dyDescent="0.25">
      <c r="A178">
        <v>1.9315984249114999</v>
      </c>
      <c r="B178" s="1">
        <v>0.56608283519744995</v>
      </c>
      <c r="C178" s="1">
        <v>7.7927031147396004E-20</v>
      </c>
      <c r="D178" s="1">
        <v>-3.0355318813235004E-5</v>
      </c>
      <c r="E178" s="1">
        <v>6.1491455882787996E-2</v>
      </c>
      <c r="Q178">
        <v>1.9315984249114999</v>
      </c>
      <c r="R178">
        <v>2.6571324095130001E-2</v>
      </c>
      <c r="S178">
        <v>3.5115962964483001E-4</v>
      </c>
      <c r="T178">
        <v>2.6985548902302998E-3</v>
      </c>
      <c r="U178">
        <v>1.4673832338303E-3</v>
      </c>
      <c r="V178">
        <v>3.0910125933588002E-3</v>
      </c>
      <c r="W178">
        <v>1.7917553486768002E-4</v>
      </c>
      <c r="X178">
        <v>3.9016024675220002E-4</v>
      </c>
      <c r="AX178">
        <v>62.078460965079003</v>
      </c>
      <c r="AY178">
        <v>-2.8655537331560003E-2</v>
      </c>
      <c r="AZ178">
        <v>4.5480424387229997E-2</v>
      </c>
      <c r="BA178">
        <v>-2.9566654648137999E-2</v>
      </c>
      <c r="BB178">
        <v>1.1795300062148999E-2</v>
      </c>
      <c r="BC178">
        <v>1.2225342814649002E-3</v>
      </c>
      <c r="BD178">
        <v>2.7606675114529006E-4</v>
      </c>
      <c r="BE178">
        <f>(Table__150_diric[[#This Row],[F2]]+Table__150_diric_3[[#This Row],[F2]]+Table__150_diric_4[[#This Row],[F2]])/2</f>
        <v>-2.7206376852266002E-2</v>
      </c>
      <c r="BF178">
        <v>62.078460965079003</v>
      </c>
      <c r="BG178">
        <v>-1.0759347918527999E-2</v>
      </c>
      <c r="BH178">
        <v>1.3105869719889002E-2</v>
      </c>
      <c r="BI178">
        <v>-2.0123941599081E-3</v>
      </c>
      <c r="BJ178">
        <v>-1.7626758042663999E-4</v>
      </c>
      <c r="BK178">
        <v>1.5786006102642001E-4</v>
      </c>
      <c r="BM178">
        <v>62.078460965079003</v>
      </c>
      <c r="BN178">
        <v>-1.4997868454444001E-2</v>
      </c>
      <c r="BO178">
        <v>1.6094782503615002E-2</v>
      </c>
      <c r="BP178">
        <v>-8.6073995138738002E-4</v>
      </c>
      <c r="BQ178">
        <v>-9.3851469391038008E-5</v>
      </c>
      <c r="BR178">
        <v>1.4232262839200001E-4</v>
      </c>
    </row>
    <row r="179" spans="1:70" x14ac:dyDescent="0.25">
      <c r="A179">
        <v>1.9352296590805</v>
      </c>
      <c r="B179" s="1">
        <v>0.54472154378891002</v>
      </c>
      <c r="C179" s="1">
        <v>1.1837285437878999E-19</v>
      </c>
      <c r="D179" s="1">
        <v>-2.7785325073637004E-5</v>
      </c>
      <c r="E179" s="1">
        <v>5.8940801769495003E-2</v>
      </c>
      <c r="Q179">
        <v>1.9352296590805</v>
      </c>
      <c r="R179">
        <v>2.5640297681093004E-2</v>
      </c>
      <c r="S179">
        <v>3.0948696075939005E-4</v>
      </c>
      <c r="T179">
        <v>2.5797034613787998E-3</v>
      </c>
      <c r="U179">
        <v>1.3504836242646001E-3</v>
      </c>
      <c r="V179">
        <v>2.9601508285850005E-3</v>
      </c>
      <c r="W179">
        <v>1.6300519928336003E-4</v>
      </c>
      <c r="X179">
        <v>3.7011833046563002E-4</v>
      </c>
      <c r="AX179">
        <v>64.247086521994007</v>
      </c>
      <c r="AY179">
        <v>-2.6741627667073001E-2</v>
      </c>
      <c r="AZ179">
        <v>4.2930636988076004E-2</v>
      </c>
      <c r="BA179">
        <v>-2.8069632569743003E-2</v>
      </c>
      <c r="BB179">
        <v>1.1065367948605001E-2</v>
      </c>
      <c r="BC179">
        <v>1.0736096326591001E-3</v>
      </c>
      <c r="BD179">
        <v>2.583543325246E-4</v>
      </c>
      <c r="BE179">
        <f>(Table__150_diric[[#This Row],[F2]]+Table__150_diric_3[[#This Row],[F2]]+Table__150_diric_4[[#This Row],[F2]])/2</f>
        <v>-2.5748580112821502E-2</v>
      </c>
      <c r="BF179">
        <v>64.247086521994007</v>
      </c>
      <c r="BG179">
        <v>-1.0377089775177999E-2</v>
      </c>
      <c r="BH179">
        <v>1.2235375177429999E-2</v>
      </c>
      <c r="BI179">
        <v>-1.5622730234135002E-3</v>
      </c>
      <c r="BJ179">
        <v>-1.4666069918514E-4</v>
      </c>
      <c r="BK179">
        <v>1.4935167965356001E-4</v>
      </c>
      <c r="BM179">
        <v>64.247086521994007</v>
      </c>
      <c r="BN179">
        <v>-1.4378442783392001E-2</v>
      </c>
      <c r="BO179">
        <v>1.5313121100352002E-2</v>
      </c>
      <c r="BP179">
        <v>-7.2261434633809005E-4</v>
      </c>
      <c r="BQ179">
        <v>-7.6481791723258E-5</v>
      </c>
      <c r="BR179">
        <v>1.3558217889889001E-4</v>
      </c>
    </row>
    <row r="180" spans="1:70" x14ac:dyDescent="0.25">
      <c r="A180">
        <v>1.938826918602</v>
      </c>
      <c r="B180" s="1">
        <v>0.52246320247650002</v>
      </c>
      <c r="C180" s="1">
        <v>-1.5288944697939998E-19</v>
      </c>
      <c r="D180" s="1">
        <v>-2.553054218879E-5</v>
      </c>
      <c r="E180" s="1">
        <v>5.6312631815672004E-2</v>
      </c>
      <c r="Q180">
        <v>1.938826918602</v>
      </c>
      <c r="R180">
        <v>2.4563455954194E-2</v>
      </c>
      <c r="S180">
        <v>2.7031966601498002E-4</v>
      </c>
      <c r="T180">
        <v>2.4571393150835999E-3</v>
      </c>
      <c r="U180">
        <v>1.2310824822634001E-3</v>
      </c>
      <c r="V180">
        <v>2.8139930218457998E-3</v>
      </c>
      <c r="W180">
        <v>1.4684470079373999E-4</v>
      </c>
      <c r="X180">
        <v>3.4859316656366001E-4</v>
      </c>
      <c r="AX180">
        <v>66.516010744449005</v>
      </c>
      <c r="AY180">
        <v>-2.4927606205469001E-2</v>
      </c>
      <c r="AZ180">
        <v>4.0451074093820996E-2</v>
      </c>
      <c r="BA180">
        <v>-2.6578026029907002E-2</v>
      </c>
      <c r="BB180">
        <v>1.0349174172306E-2</v>
      </c>
      <c r="BC180">
        <v>9.4746810942753011E-4</v>
      </c>
      <c r="BD180">
        <v>2.4208414017816004E-4</v>
      </c>
      <c r="BE180">
        <f>(Table__150_diric[[#This Row],[F2]]+Table__150_diric_3[[#This Row],[F2]]+Table__150_diric_4[[#This Row],[F2]])/2</f>
        <v>-2.4335467431463653E-2</v>
      </c>
      <c r="BF180">
        <v>66.516010744449005</v>
      </c>
      <c r="BG180">
        <v>-9.9876321565953007E-3</v>
      </c>
      <c r="BH180">
        <v>1.1367916287513999E-2</v>
      </c>
      <c r="BI180">
        <v>-1.1211163181193999E-3</v>
      </c>
      <c r="BJ180">
        <v>-1.1865080285919002E-4</v>
      </c>
      <c r="BK180">
        <v>1.4051700994000002E-4</v>
      </c>
      <c r="BM180">
        <v>66.516010744449005</v>
      </c>
      <c r="BN180">
        <v>-1.3755696500863E-2</v>
      </c>
      <c r="BO180">
        <v>1.452286778942E-2</v>
      </c>
      <c r="BP180">
        <v>-5.7747407377017001E-4</v>
      </c>
      <c r="BQ180">
        <v>-6.113402985930901E-5</v>
      </c>
      <c r="BR180">
        <v>1.2856318492744003E-4</v>
      </c>
    </row>
    <row r="181" spans="1:70" x14ac:dyDescent="0.25">
      <c r="A181">
        <v>1.9423925876617001</v>
      </c>
      <c r="B181" s="1">
        <v>0.49929904937744002</v>
      </c>
      <c r="C181" s="1">
        <v>-2.2933417046909999E-19</v>
      </c>
      <c r="D181" s="1">
        <v>-2.3565948140458001E-5</v>
      </c>
      <c r="E181" s="1">
        <v>5.3608011454344004E-2</v>
      </c>
      <c r="Q181">
        <v>1.9423925876617001</v>
      </c>
      <c r="R181">
        <v>2.3340040817857004E-2</v>
      </c>
      <c r="S181">
        <v>2.3373149451800002E-4</v>
      </c>
      <c r="T181">
        <v>2.3308699019253002E-3</v>
      </c>
      <c r="U181">
        <v>1.110156881623E-3</v>
      </c>
      <c r="V181">
        <v>2.6529617607594E-3</v>
      </c>
      <c r="W181">
        <v>1.3083060912322001E-4</v>
      </c>
      <c r="X181">
        <v>3.2569179893471002E-4</v>
      </c>
      <c r="AX181">
        <v>68.890864995703993</v>
      </c>
      <c r="AY181">
        <v>-2.3208136249733998E-2</v>
      </c>
      <c r="AZ181">
        <v>3.8028319854000001E-2</v>
      </c>
      <c r="BA181">
        <v>-2.5095941766500002E-2</v>
      </c>
      <c r="BB181">
        <v>9.6651364967650002E-3</v>
      </c>
      <c r="BC181">
        <v>8.3724081936506999E-4</v>
      </c>
      <c r="BD181">
        <v>2.2661915389673003E-4</v>
      </c>
      <c r="BE181">
        <f>(Table__150_diric[[#This Row],[F2]]+Table__150_diric_3[[#This Row],[F2]]+Table__150_diric_4[[#This Row],[F2]])/2</f>
        <v>-2.296581831854505E-2</v>
      </c>
      <c r="BF181">
        <v>68.890864995703993</v>
      </c>
      <c r="BG181">
        <v>-9.5924555151531005E-3</v>
      </c>
      <c r="BH181">
        <v>1.0509726247587E-2</v>
      </c>
      <c r="BI181">
        <v>-6.9356483404669003E-4</v>
      </c>
      <c r="BJ181">
        <v>-9.2069633071957001E-5</v>
      </c>
      <c r="BK181">
        <v>1.316362653156E-4</v>
      </c>
      <c r="BM181">
        <v>68.890864995703993</v>
      </c>
      <c r="BN181">
        <v>-1.3131044872202999E-2</v>
      </c>
      <c r="BO181">
        <v>1.3726440709882E-2</v>
      </c>
      <c r="BP181">
        <v>-4.2833490320213E-4</v>
      </c>
      <c r="BQ181">
        <v>-4.5378943456627003E-5</v>
      </c>
      <c r="BR181">
        <v>1.2168199102053002E-4</v>
      </c>
    </row>
    <row r="182" spans="1:70" x14ac:dyDescent="0.25">
      <c r="A182">
        <v>1.9459286928177</v>
      </c>
      <c r="B182" s="1">
        <v>0.47522783279419001</v>
      </c>
      <c r="C182" s="1">
        <v>2.5432164241309997E-19</v>
      </c>
      <c r="D182" s="1">
        <v>-2.1860509150429002E-5</v>
      </c>
      <c r="E182" s="1">
        <v>5.0828680396080003E-2</v>
      </c>
      <c r="Q182">
        <v>1.9459286928177</v>
      </c>
      <c r="R182">
        <v>2.1972736343741001E-2</v>
      </c>
      <c r="S182">
        <v>1.99787406018E-4</v>
      </c>
      <c r="T182">
        <v>2.2008630912750998E-3</v>
      </c>
      <c r="U182">
        <v>9.8885863553733002E-4</v>
      </c>
      <c r="V182">
        <v>2.4778712540864996E-3</v>
      </c>
      <c r="W182">
        <v>1.1511270713527001E-4</v>
      </c>
      <c r="X182">
        <v>3.0156178399920003E-4</v>
      </c>
      <c r="AX182">
        <v>71.377422755444996</v>
      </c>
      <c r="AY182">
        <v>-2.1578028598316999E-2</v>
      </c>
      <c r="AZ182">
        <v>3.5649523978501997E-2</v>
      </c>
      <c r="BA182">
        <v>-2.3626068422277002E-2</v>
      </c>
      <c r="BB182">
        <v>9.0327455797255991E-3</v>
      </c>
      <c r="BC182">
        <v>7.3455808072417003E-4</v>
      </c>
      <c r="BD182">
        <v>2.1273061835759002E-4</v>
      </c>
      <c r="BE182">
        <f>(Table__150_diric[[#This Row],[F2]]+Table__150_diric_3[[#This Row],[F2]]+Table__150_diric_4[[#This Row],[F2]])/2</f>
        <v>-2.1638480691525099E-2</v>
      </c>
      <c r="BF182">
        <v>71.377422755444996</v>
      </c>
      <c r="BG182">
        <v>-9.1931109879531993E-3</v>
      </c>
      <c r="BH182">
        <v>9.667131155355101E-3</v>
      </c>
      <c r="BI182">
        <v>-2.8403546278746002E-4</v>
      </c>
      <c r="BJ182">
        <v>-6.7349622531261006E-5</v>
      </c>
      <c r="BK182">
        <v>1.2263508208324001E-4</v>
      </c>
      <c r="BM182">
        <v>71.377422755444996</v>
      </c>
      <c r="BN182">
        <v>-1.2505821796780002E-2</v>
      </c>
      <c r="BO182">
        <v>1.2926618672392001E-2</v>
      </c>
      <c r="BP182">
        <v>-2.7693837611343002E-4</v>
      </c>
      <c r="BQ182">
        <v>-2.9125823241093001E-5</v>
      </c>
      <c r="BR182">
        <v>1.1473267625743E-4</v>
      </c>
    </row>
    <row r="183" spans="1:70" x14ac:dyDescent="0.25">
      <c r="A183">
        <v>1.9494372606277</v>
      </c>
      <c r="B183" s="1">
        <v>0.45025673508643999</v>
      </c>
      <c r="C183" s="1">
        <v>1.1371417316889001E-19</v>
      </c>
      <c r="D183" s="1">
        <v>-2.0377123291837001E-5</v>
      </c>
      <c r="E183" s="1">
        <v>4.7977104783058E-2</v>
      </c>
      <c r="Q183">
        <v>1.9494372606277</v>
      </c>
      <c r="R183">
        <v>2.0468460395932003E-2</v>
      </c>
      <c r="S183">
        <v>1.6854288696777E-4</v>
      </c>
      <c r="T183">
        <v>2.0670455414802001E-3</v>
      </c>
      <c r="U183">
        <v>8.6850952357054006E-4</v>
      </c>
      <c r="V183">
        <v>2.2899887990206003E-3</v>
      </c>
      <c r="W183">
        <v>9.9851851700805006E-5</v>
      </c>
      <c r="X183">
        <v>2.7639479958452002E-4</v>
      </c>
      <c r="AX183">
        <v>73.981528561567004</v>
      </c>
      <c r="AY183">
        <v>-2.0036308587347999E-2</v>
      </c>
      <c r="AZ183">
        <v>3.3304782532886004E-2</v>
      </c>
      <c r="BA183">
        <v>-2.2170606913642001E-2</v>
      </c>
      <c r="BB183">
        <v>8.4635757154723004E-3</v>
      </c>
      <c r="BC183">
        <v>6.3549327458693999E-4</v>
      </c>
      <c r="BD183">
        <v>1.9693602195453003E-4</v>
      </c>
      <c r="BE183">
        <f>(Table__150_diric[[#This Row],[F2]]+Table__150_diric_3[[#This Row],[F2]]+Table__150_diric_4[[#This Row],[F2]])/2</f>
        <v>-2.0354315490400201E-2</v>
      </c>
      <c r="BF183">
        <v>73.981528561567004</v>
      </c>
      <c r="BG183">
        <v>-8.7910942638544012E-3</v>
      </c>
      <c r="BH183">
        <v>8.8459249813096011E-3</v>
      </c>
      <c r="BI183">
        <v>1.0364168230966E-4</v>
      </c>
      <c r="BJ183">
        <v>-4.4867416988066007E-5</v>
      </c>
      <c r="BK183">
        <v>1.1360498277678001E-4</v>
      </c>
      <c r="BM183">
        <v>73.981528561567004</v>
      </c>
      <c r="BN183">
        <v>-1.1881228129598001E-2</v>
      </c>
      <c r="BO183">
        <v>1.2126990632500001E-2</v>
      </c>
      <c r="BP183">
        <v>-1.2280348768001001E-4</v>
      </c>
      <c r="BQ183">
        <v>-1.5002850653636003E-5</v>
      </c>
      <c r="BR183">
        <v>1.0795616456856001E-4</v>
      </c>
    </row>
    <row r="184" spans="1:70" x14ac:dyDescent="0.25">
      <c r="A184">
        <v>1.9529200792313</v>
      </c>
      <c r="B184" s="1">
        <v>0.42440235614777005</v>
      </c>
      <c r="C184" s="1">
        <v>-3.9852900168314999E-19</v>
      </c>
      <c r="D184" s="1">
        <v>-1.9073035218753002E-5</v>
      </c>
      <c r="E184" s="1">
        <v>4.5056503266095997E-2</v>
      </c>
      <c r="Q184">
        <v>1.9529200792313</v>
      </c>
      <c r="R184">
        <v>1.8839102238417001E-2</v>
      </c>
      <c r="S184">
        <v>1.4004303375259001E-4</v>
      </c>
      <c r="T184">
        <v>1.9293059594929001E-3</v>
      </c>
      <c r="U184">
        <v>7.5058551738038995E-4</v>
      </c>
      <c r="V184">
        <v>2.0910883322357997E-3</v>
      </c>
      <c r="W184">
        <v>8.5216524894349006E-5</v>
      </c>
      <c r="X184">
        <v>2.5042923516593998E-4</v>
      </c>
      <c r="AX184">
        <v>76.708973658310001</v>
      </c>
      <c r="AY184">
        <v>-1.8585077438197001E-2</v>
      </c>
      <c r="AZ184">
        <v>3.0991566388314001E-2</v>
      </c>
      <c r="BA184">
        <v>-2.0731072334504001E-2</v>
      </c>
      <c r="BB184">
        <v>7.9608975766623999E-3</v>
      </c>
      <c r="BC184">
        <v>5.4732582126563003E-4</v>
      </c>
      <c r="BD184">
        <v>1.8364001354081002E-4</v>
      </c>
      <c r="BE184">
        <f>(Table__150_diric[[#This Row],[F2]]+Table__150_diric_3[[#This Row],[F2]]+Table__150_diric_4[[#This Row],[F2]])/2</f>
        <v>-1.911640056387295E-2</v>
      </c>
      <c r="BF184">
        <v>76.708973658310001</v>
      </c>
      <c r="BG184">
        <v>-8.3878919212399001E-3</v>
      </c>
      <c r="BH184">
        <v>8.0511694233228008E-3</v>
      </c>
      <c r="BI184">
        <v>4.6645424852661003E-4</v>
      </c>
      <c r="BJ184">
        <v>-2.5116281808549002E-5</v>
      </c>
      <c r="BK184">
        <v>1.0461546880097E-4</v>
      </c>
      <c r="BM184">
        <v>76.708973658310001</v>
      </c>
      <c r="BN184">
        <v>-1.1259831768308999E-2</v>
      </c>
      <c r="BO184">
        <v>1.1331205657684999E-2</v>
      </c>
      <c r="BP184">
        <v>3.1578310283609002E-5</v>
      </c>
      <c r="BQ184">
        <v>-2.0711617643143995E-6</v>
      </c>
      <c r="BR184">
        <v>1.0088103789533001E-4</v>
      </c>
    </row>
    <row r="185" spans="1:70" x14ac:dyDescent="0.25">
      <c r="A185">
        <v>1.9563794136046999</v>
      </c>
      <c r="B185" s="1">
        <v>0.39769175648689004</v>
      </c>
      <c r="C185" s="1">
        <v>-4.5093916529450997E-19</v>
      </c>
      <c r="D185" s="1">
        <v>-1.7900927559822002E-5</v>
      </c>
      <c r="E185" s="1">
        <v>4.2070869356394001E-2</v>
      </c>
      <c r="Q185">
        <v>1.9563794136046999</v>
      </c>
      <c r="R185">
        <v>1.7102180048823003E-2</v>
      </c>
      <c r="S185">
        <v>1.1432119208620999E-4</v>
      </c>
      <c r="T185">
        <v>1.7875068588182003E-3</v>
      </c>
      <c r="U185">
        <v>6.3668488292024006E-4</v>
      </c>
      <c r="V185">
        <v>1.8834854708984002E-3</v>
      </c>
      <c r="W185">
        <v>7.1378126449417011E-5</v>
      </c>
      <c r="X185">
        <v>2.2395091946237003E-4</v>
      </c>
      <c r="AX185">
        <v>79.565495996250007</v>
      </c>
      <c r="AY185">
        <v>-1.7221056950223003E-2</v>
      </c>
      <c r="AZ185">
        <v>2.8702836668655998E-2</v>
      </c>
      <c r="BA185">
        <v>-1.9308681951478997E-2</v>
      </c>
      <c r="BB185">
        <v>7.5260069066872999E-3</v>
      </c>
      <c r="BC185">
        <v>4.7135817379623002E-4</v>
      </c>
      <c r="BD185">
        <v>1.7046284743708E-4</v>
      </c>
      <c r="BE185">
        <f>(Table__150_diric[[#This Row],[F2]]+Table__150_diric_3[[#This Row],[F2]]+Table__150_diric_4[[#This Row],[F2]])/2</f>
        <v>-1.7925043783206401E-2</v>
      </c>
      <c r="BF185">
        <v>79.565495996250007</v>
      </c>
      <c r="BG185">
        <v>-7.9854589426277996E-3</v>
      </c>
      <c r="BH185">
        <v>7.2867410178889007E-3</v>
      </c>
      <c r="BI185">
        <v>8.0225438196214016E-4</v>
      </c>
      <c r="BJ185">
        <v>-7.9931204432296996E-6</v>
      </c>
      <c r="BK185">
        <v>9.5543336780035015E-5</v>
      </c>
      <c r="BM185">
        <v>79.565495996250007</v>
      </c>
      <c r="BN185">
        <v>-1.0643571673562001E-2</v>
      </c>
      <c r="BO185">
        <v>1.0542110184525E-2</v>
      </c>
      <c r="BP185">
        <v>1.8297714047833E-4</v>
      </c>
      <c r="BQ185">
        <v>1.2832204681078002E-5</v>
      </c>
      <c r="BR185">
        <v>9.434785612289901E-5</v>
      </c>
    </row>
    <row r="186" spans="1:70" x14ac:dyDescent="0.25">
      <c r="A186">
        <v>1.9598168134689</v>
      </c>
      <c r="B186" s="1">
        <v>0.3701628446579</v>
      </c>
      <c r="C186" s="1">
        <v>6.5221536938580994E-20</v>
      </c>
      <c r="D186" s="1">
        <v>-1.6810841771076E-5</v>
      </c>
      <c r="E186" s="1">
        <v>3.9024960249662004E-2</v>
      </c>
      <c r="Q186">
        <v>1.9598168134689</v>
      </c>
      <c r="R186">
        <v>1.5281259082258001E-2</v>
      </c>
      <c r="S186">
        <v>9.1396766947582012E-5</v>
      </c>
      <c r="T186">
        <v>1.6415133140981E-3</v>
      </c>
      <c r="U186">
        <v>5.2847998449579001E-4</v>
      </c>
      <c r="V186">
        <v>1.6700506675988E-3</v>
      </c>
      <c r="W186">
        <v>5.8504698245088004E-5</v>
      </c>
      <c r="X186">
        <v>1.9729135965463002E-4</v>
      </c>
      <c r="AX186">
        <v>82.556513764016003</v>
      </c>
      <c r="AY186">
        <v>-1.5939168818364002E-2</v>
      </c>
      <c r="AZ186">
        <v>2.6433443564163998E-2</v>
      </c>
      <c r="BA186">
        <v>-1.7905526020366002E-2</v>
      </c>
      <c r="BB186">
        <v>7.1615091180285998E-3</v>
      </c>
      <c r="BC186">
        <v>4.0636299422929005E-4</v>
      </c>
      <c r="BD186">
        <v>1.5662083769135999E-4</v>
      </c>
      <c r="BE186">
        <f>(Table__150_diric[[#This Row],[F2]]+Table__150_diric_3[[#This Row],[F2]]+Table__150_diric_4[[#This Row],[F2]])/2</f>
        <v>-1.67795174098491E-2</v>
      </c>
      <c r="BF186">
        <v>82.556513764016003</v>
      </c>
      <c r="BG186">
        <v>-7.5861130017332006E-3</v>
      </c>
      <c r="BH186">
        <v>6.5556733682804007E-3</v>
      </c>
      <c r="BI186">
        <v>1.1095646157008E-3</v>
      </c>
      <c r="BJ186">
        <v>7.4446827728463001E-6</v>
      </c>
      <c r="BK186">
        <v>8.6569665020860012E-5</v>
      </c>
      <c r="BM186">
        <v>82.556513764016003</v>
      </c>
      <c r="BN186">
        <v>-1.0033752999601001E-2</v>
      </c>
      <c r="BO186">
        <v>9.7623136173206008E-3</v>
      </c>
      <c r="BP186">
        <v>3.3179309458412004E-4</v>
      </c>
      <c r="BQ186">
        <v>2.7183725833969003E-5</v>
      </c>
      <c r="BR186">
        <v>8.7537438137756001E-5</v>
      </c>
    </row>
    <row r="187" spans="1:70" x14ac:dyDescent="0.25">
      <c r="A187">
        <v>1.9632341861725</v>
      </c>
      <c r="B187" s="1">
        <v>0.34186452627182001</v>
      </c>
      <c r="C187" s="1">
        <v>-3.6845933205561999E-20</v>
      </c>
      <c r="D187" s="1">
        <v>-1.5752937542857E-5</v>
      </c>
      <c r="E187" s="1">
        <v>3.5924237221479E-2</v>
      </c>
      <c r="Q187">
        <v>1.9632341861725</v>
      </c>
      <c r="R187">
        <v>1.3406052254140001E-2</v>
      </c>
      <c r="S187">
        <v>7.1272072091233012E-5</v>
      </c>
      <c r="T187">
        <v>1.4912387123331003E-3</v>
      </c>
      <c r="U187">
        <v>4.2764903628267001E-4</v>
      </c>
      <c r="V187">
        <v>1.4541834825650001E-3</v>
      </c>
      <c r="W187">
        <v>4.6753179049119001E-5</v>
      </c>
      <c r="X187">
        <v>1.7082285194192003E-4</v>
      </c>
      <c r="AX187">
        <v>85.687125388284002</v>
      </c>
      <c r="AY187">
        <v>-1.4737455075634001E-2</v>
      </c>
      <c r="AZ187">
        <v>2.4183708952345003E-2</v>
      </c>
      <c r="BA187">
        <v>-1.6524663418774004E-2</v>
      </c>
      <c r="BB187">
        <v>6.8692229774109008E-3</v>
      </c>
      <c r="BC187">
        <v>3.5374685456000999E-4</v>
      </c>
      <c r="BD187">
        <v>1.4456028990792E-4</v>
      </c>
      <c r="BE187">
        <f>(Table__150_diric[[#This Row],[F2]]+Table__150_diric_3[[#This Row],[F2]]+Table__150_diric_4[[#This Row],[F2]])/2</f>
        <v>-1.5681917088929302E-2</v>
      </c>
      <c r="BF187">
        <v>85.687125388284002</v>
      </c>
      <c r="BG187">
        <v>-7.1920332302031001E-3</v>
      </c>
      <c r="BH187">
        <v>5.8590771790506995E-3</v>
      </c>
      <c r="BI187">
        <v>1.3890907129490001E-3</v>
      </c>
      <c r="BJ187">
        <v>2.1484552987424003E-5</v>
      </c>
      <c r="BK187">
        <v>7.7619214784023009E-5</v>
      </c>
      <c r="BM187">
        <v>85.687125388284002</v>
      </c>
      <c r="BN187">
        <v>-9.4343458720215004E-3</v>
      </c>
      <c r="BO187">
        <v>8.9942252149640012E-3</v>
      </c>
      <c r="BP187">
        <v>4.7978905922974003E-4</v>
      </c>
      <c r="BQ187">
        <v>4.1011078648599004E-5</v>
      </c>
      <c r="BR187">
        <v>8.0679480820872014E-5</v>
      </c>
    </row>
    <row r="188" spans="1:70" x14ac:dyDescent="0.25">
      <c r="A188">
        <v>1.9666334390640001</v>
      </c>
      <c r="B188" s="1">
        <v>0.31285643577576</v>
      </c>
      <c r="C188" s="1">
        <v>4.5522726958998005E-19</v>
      </c>
      <c r="D188" s="1">
        <v>-1.4680963431601001E-5</v>
      </c>
      <c r="E188" s="1">
        <v>3.2774802297354001E-2</v>
      </c>
      <c r="Q188">
        <v>1.9666334390640001</v>
      </c>
      <c r="R188">
        <v>1.1512013152242E-2</v>
      </c>
      <c r="S188">
        <v>5.3927884437143999E-5</v>
      </c>
      <c r="T188">
        <v>1.3367169303819999E-3</v>
      </c>
      <c r="U188">
        <v>3.357874811627E-4</v>
      </c>
      <c r="V188">
        <v>1.2397430837154E-3</v>
      </c>
      <c r="W188">
        <v>3.6260302294977003E-5</v>
      </c>
      <c r="X188">
        <v>1.4494979404843999E-4</v>
      </c>
      <c r="AX188">
        <v>88.961825300930002</v>
      </c>
      <c r="AY188">
        <v>-1.3612512802118001E-2</v>
      </c>
      <c r="AZ188">
        <v>2.1953719964818E-2</v>
      </c>
      <c r="BA188">
        <v>-1.5169300571778002E-2</v>
      </c>
      <c r="BB188">
        <v>6.6495363954985004E-3</v>
      </c>
      <c r="BC188">
        <v>3.1183133574148999E-4</v>
      </c>
      <c r="BD188">
        <v>1.3327432216212999E-4</v>
      </c>
      <c r="BE188">
        <f>(Table__150_diric[[#This Row],[F2]]+Table__150_diric_3[[#This Row],[F2]]+Table__150_diric_4[[#This Row],[F2]])/2</f>
        <v>-1.4632203158460751E-2</v>
      </c>
      <c r="BF188">
        <v>88.961825300930002</v>
      </c>
      <c r="BG188">
        <v>-6.8052625737736001E-3</v>
      </c>
      <c r="BH188">
        <v>5.1968469127742995E-3</v>
      </c>
      <c r="BI188">
        <v>1.6431692343007E-3</v>
      </c>
      <c r="BJ188">
        <v>3.3971275033650006E-5</v>
      </c>
      <c r="BK188">
        <v>6.8724848335028013E-5</v>
      </c>
      <c r="BM188">
        <v>88.961825300930002</v>
      </c>
      <c r="BN188">
        <v>-8.846630941029901E-3</v>
      </c>
      <c r="BO188">
        <v>8.2405247400399E-3</v>
      </c>
      <c r="BP188">
        <v>6.2500007954322001E-4</v>
      </c>
      <c r="BQ188">
        <v>5.5847977209649005E-5</v>
      </c>
      <c r="BR188">
        <v>7.4741855762840007E-5</v>
      </c>
    </row>
    <row r="189" spans="1:70" x14ac:dyDescent="0.25">
      <c r="A189">
        <v>1.9700162410736</v>
      </c>
      <c r="B189" s="1">
        <v>0.28320756554604004</v>
      </c>
      <c r="C189" s="1">
        <v>-2.1334642358967998E-19</v>
      </c>
      <c r="D189" s="1">
        <v>-1.3555979421653001E-5</v>
      </c>
      <c r="E189" s="1">
        <v>2.9583239927888E-2</v>
      </c>
      <c r="Q189">
        <v>1.9700162410736</v>
      </c>
      <c r="R189">
        <v>9.6393441781402016E-3</v>
      </c>
      <c r="S189">
        <v>3.9317517803283002E-5</v>
      </c>
      <c r="T189">
        <v>1.1782061774284001E-3</v>
      </c>
      <c r="U189">
        <v>2.5430173263884999E-4</v>
      </c>
      <c r="V189">
        <v>1.0309246135876001E-3</v>
      </c>
      <c r="W189">
        <v>2.7132598916069005E-5</v>
      </c>
      <c r="X189">
        <v>1.2009622878395002E-4</v>
      </c>
      <c r="AX189">
        <v>92.384290764401001</v>
      </c>
      <c r="AY189">
        <v>-1.2560722311398001E-2</v>
      </c>
      <c r="AZ189">
        <v>1.974442239364E-2</v>
      </c>
      <c r="BA189">
        <v>-1.3842276401963002E-2</v>
      </c>
      <c r="BB189">
        <v>6.5035055158875997E-3</v>
      </c>
      <c r="BC189">
        <v>2.7716624614215003E-4</v>
      </c>
      <c r="BD189">
        <v>1.2209544230916999E-4</v>
      </c>
      <c r="BE189">
        <f>(Table__150_diric[[#This Row],[F2]]+Table__150_diric_3[[#This Row],[F2]]+Table__150_diric_4[[#This Row],[F2]])/2</f>
        <v>-1.3630152647393602E-2</v>
      </c>
      <c r="BF189">
        <v>92.384290764401001</v>
      </c>
      <c r="BG189">
        <v>-6.4280076525972006E-3</v>
      </c>
      <c r="BH189">
        <v>4.5702818068807998E-3</v>
      </c>
      <c r="BI189">
        <v>1.8728248687871001E-3</v>
      </c>
      <c r="BJ189">
        <v>4.4871158358295001E-5</v>
      </c>
      <c r="BK189">
        <v>5.9970181429039005E-5</v>
      </c>
      <c r="BM189">
        <v>92.384290764401001</v>
      </c>
      <c r="BN189">
        <v>-8.2715753307920012E-3</v>
      </c>
      <c r="BO189">
        <v>7.5046064674100998E-3</v>
      </c>
      <c r="BP189">
        <v>7.6251530737212001E-4</v>
      </c>
      <c r="BQ189">
        <v>7.2417619048169003E-5</v>
      </c>
      <c r="BR189">
        <v>6.7964063038367009E-5</v>
      </c>
    </row>
    <row r="190" spans="1:70" x14ac:dyDescent="0.25">
      <c r="A190">
        <v>1.9733843803406002</v>
      </c>
      <c r="B190" s="1">
        <v>0.25299462676048001</v>
      </c>
      <c r="C190" s="1">
        <v>-1.1779051922754999E-19</v>
      </c>
      <c r="D190" s="1">
        <v>-1.2349670214462003E-5</v>
      </c>
      <c r="E190" s="1">
        <v>2.6356443762779E-2</v>
      </c>
      <c r="Q190">
        <v>1.9733843803406002</v>
      </c>
      <c r="R190">
        <v>7.8313183039426994E-3</v>
      </c>
      <c r="S190">
        <v>2.7359541491023001E-5</v>
      </c>
      <c r="T190">
        <v>1.0163330007344001E-3</v>
      </c>
      <c r="U190">
        <v>1.8429022748023001E-4</v>
      </c>
      <c r="V190">
        <v>8.3208043361082998E-4</v>
      </c>
      <c r="W190">
        <v>1.9436185539233999E-5</v>
      </c>
      <c r="X190">
        <v>9.6689560450613011E-5</v>
      </c>
      <c r="AX190">
        <v>95.957204226179996</v>
      </c>
      <c r="AY190">
        <v>-1.1581495977762001E-2</v>
      </c>
      <c r="AZ190">
        <v>1.7560665190438002E-2</v>
      </c>
      <c r="BA190">
        <v>-1.2547489987798E-2</v>
      </c>
      <c r="BB190">
        <v>6.4308206739680995E-3</v>
      </c>
      <c r="BC190">
        <v>2.4920278020406999E-4</v>
      </c>
      <c r="BD190">
        <v>1.1170267904997999E-4</v>
      </c>
      <c r="BE190">
        <f>(Table__150_diric[[#This Row],[F2]]+Table__150_diric_3[[#This Row],[F2]]+Table__150_diric_4[[#This Row],[F2]])/2</f>
        <v>-1.267830392287315E-2</v>
      </c>
      <c r="BF190">
        <v>95.957204226179996</v>
      </c>
      <c r="BG190">
        <v>-6.0626879263982998E-3</v>
      </c>
      <c r="BH190">
        <v>3.9813276436087997E-3</v>
      </c>
      <c r="BI190">
        <v>2.0789705593535E-3</v>
      </c>
      <c r="BJ190">
        <v>5.3767720321918007E-5</v>
      </c>
      <c r="BK190">
        <v>5.1377996885986004E-5</v>
      </c>
      <c r="BM190">
        <v>95.957204226179996</v>
      </c>
      <c r="BN190">
        <v>-7.7124239415859996E-3</v>
      </c>
      <c r="BO190">
        <v>6.7901611330531998E-3</v>
      </c>
      <c r="BP190">
        <v>8.9187639412418001E-4</v>
      </c>
      <c r="BQ190">
        <v>9.3568948133597007E-5</v>
      </c>
      <c r="BR190">
        <v>6.3182533724985004E-5</v>
      </c>
    </row>
    <row r="191" spans="1:70" x14ac:dyDescent="0.25">
      <c r="A191">
        <v>1.976739525795</v>
      </c>
      <c r="B191" s="1">
        <v>0.22229912877083002</v>
      </c>
      <c r="C191" s="1">
        <v>4.6983858793011996E-20</v>
      </c>
      <c r="D191" s="1">
        <v>-1.1046501640521002E-5</v>
      </c>
      <c r="E191" s="1">
        <v>2.3101387545466003E-2</v>
      </c>
      <c r="Q191">
        <v>1.976739525795</v>
      </c>
      <c r="R191">
        <v>6.1319721862674002E-3</v>
      </c>
      <c r="S191">
        <v>1.7928608940565004E-5</v>
      </c>
      <c r="T191">
        <v>8.5228099487721996E-4</v>
      </c>
      <c r="U191">
        <v>1.2642215006053E-4</v>
      </c>
      <c r="V191">
        <v>6.4749509328976002E-4</v>
      </c>
      <c r="W191">
        <v>1.3187480362831E-5</v>
      </c>
      <c r="X191">
        <v>7.5141520937905E-5</v>
      </c>
      <c r="AX191">
        <v>99.681933556838999</v>
      </c>
      <c r="AY191">
        <v>-1.0677254203399001E-2</v>
      </c>
      <c r="AZ191">
        <v>1.5408799462805002E-2</v>
      </c>
      <c r="BA191">
        <v>-1.1290643765697E-2</v>
      </c>
      <c r="BB191">
        <v>6.4267558749129001E-3</v>
      </c>
      <c r="BC191">
        <v>2.3355463371571E-4</v>
      </c>
      <c r="BD191">
        <v>1.0121200233797002E-4</v>
      </c>
      <c r="BE191">
        <f>(Table__150_diric[[#This Row],[F2]]+Table__150_diric_3[[#This Row],[F2]]+Table__150_diric_4[[#This Row],[F2]])/2</f>
        <v>-1.1780609753466951E-2</v>
      </c>
      <c r="BF191">
        <v>99.681933556838999</v>
      </c>
      <c r="BG191">
        <v>-5.7119713509919002E-3</v>
      </c>
      <c r="BH191">
        <v>3.4325333737827003E-3</v>
      </c>
      <c r="BI191">
        <v>2.2619309468796E-3</v>
      </c>
      <c r="BJ191">
        <v>6.0473458672480004E-5</v>
      </c>
      <c r="BK191">
        <v>4.2966428342904002E-5</v>
      </c>
      <c r="BM191">
        <v>99.681933556838999</v>
      </c>
      <c r="BN191">
        <v>-7.171993952543E-3</v>
      </c>
      <c r="BO191">
        <v>6.1007667630762E-3</v>
      </c>
      <c r="BP191">
        <v>1.0166265159012001E-3</v>
      </c>
      <c r="BQ191">
        <v>1.1211059828518001E-4</v>
      </c>
      <c r="BR191">
        <v>5.7509924719596009E-5</v>
      </c>
    </row>
    <row r="192" spans="1:70" x14ac:dyDescent="0.25">
      <c r="A192">
        <v>1.9800833463669001</v>
      </c>
      <c r="B192" s="1">
        <v>0.19120393693447002</v>
      </c>
      <c r="C192" s="1">
        <v>-7.1203707128564998E-21</v>
      </c>
      <c r="D192" s="1">
        <v>-9.6440771812921999E-6</v>
      </c>
      <c r="E192" s="1">
        <v>1.9824847579002002E-2</v>
      </c>
      <c r="Q192">
        <v>1.9800833463669001</v>
      </c>
      <c r="R192">
        <v>4.5833429321647003E-3</v>
      </c>
      <c r="S192">
        <v>1.0847044904949E-5</v>
      </c>
      <c r="T192">
        <v>6.8803259637206999E-4</v>
      </c>
      <c r="U192">
        <v>8.0832927778828998E-5</v>
      </c>
      <c r="V192">
        <v>4.8113131197169E-4</v>
      </c>
      <c r="W192">
        <v>8.3465511124813997E-6</v>
      </c>
      <c r="X192">
        <v>5.5828033509897E-5</v>
      </c>
      <c r="AX192">
        <v>103.5582833463</v>
      </c>
      <c r="AY192">
        <v>-9.8482914294721006E-3</v>
      </c>
      <c r="AZ192">
        <v>1.3295404247376E-2</v>
      </c>
      <c r="BA192">
        <v>-1.0078792690536001E-2</v>
      </c>
      <c r="BB192">
        <v>6.4907197202251996E-3</v>
      </c>
      <c r="BC192">
        <v>2.3283435271898001E-4</v>
      </c>
      <c r="BD192">
        <v>9.1874200312210011E-5</v>
      </c>
      <c r="BE192">
        <f>(Table__150_diric[[#This Row],[F2]]+Table__150_diric_3[[#This Row],[F2]]+Table__150_diric_4[[#This Row],[F2]])/2</f>
        <v>-1.094164536531585E-2</v>
      </c>
      <c r="BF192">
        <v>103.5582833463</v>
      </c>
      <c r="BG192">
        <v>-5.3785213269548996E-3</v>
      </c>
      <c r="BH192">
        <v>2.9278052483175001E-3</v>
      </c>
      <c r="BI192">
        <v>2.4200758996371003E-3</v>
      </c>
      <c r="BJ192">
        <v>6.5393155212528013E-5</v>
      </c>
      <c r="BK192">
        <v>3.4752976212218005E-5</v>
      </c>
      <c r="BM192">
        <v>103.5582833463</v>
      </c>
      <c r="BN192">
        <v>-6.6564779742046996E-3</v>
      </c>
      <c r="BO192">
        <v>5.4399576658177001E-3</v>
      </c>
      <c r="BP192">
        <v>1.1401634898934E-3</v>
      </c>
      <c r="BQ192">
        <v>1.2976396431573002E-4</v>
      </c>
      <c r="BR192">
        <v>5.3407145822089001E-5</v>
      </c>
    </row>
    <row r="193" spans="1:70" x14ac:dyDescent="0.25">
      <c r="A193">
        <v>1.9834175109863001</v>
      </c>
      <c r="B193" s="1">
        <v>0.15978901088238001</v>
      </c>
      <c r="C193" s="1">
        <v>1.4346620544120001E-20</v>
      </c>
      <c r="D193" s="1">
        <v>-8.1515381680219011E-6</v>
      </c>
      <c r="E193" s="1">
        <v>1.6533114016055998E-2</v>
      </c>
      <c r="Q193">
        <v>1.9834175109863001</v>
      </c>
      <c r="R193">
        <v>3.2226284965872999E-3</v>
      </c>
      <c r="S193">
        <v>5.8733548939926999E-6</v>
      </c>
      <c r="T193">
        <v>5.2666413830593001E-4</v>
      </c>
      <c r="U193">
        <v>4.7045083192643002E-5</v>
      </c>
      <c r="V193">
        <v>3.3638361492194002E-4</v>
      </c>
      <c r="W193">
        <v>4.8136689656530998E-6</v>
      </c>
      <c r="X193">
        <v>3.9070739148883E-5</v>
      </c>
      <c r="AX193">
        <v>107.58412184821</v>
      </c>
      <c r="AY193">
        <v>-9.0937633661670007E-3</v>
      </c>
      <c r="AZ193">
        <v>1.1234656066444E-2</v>
      </c>
      <c r="BA193">
        <v>-8.9219973137658996E-3</v>
      </c>
      <c r="BB193">
        <v>6.6213732971724002E-3</v>
      </c>
      <c r="BC193">
        <v>2.418708882636E-4</v>
      </c>
      <c r="BD193">
        <v>8.2139571946613003E-5</v>
      </c>
      <c r="BE193">
        <f>(Table__150_diric[[#This Row],[F2]]+Table__150_diric_3[[#This Row],[F2]]+Table__150_diric_4[[#This Row],[F2]])/2</f>
        <v>-1.0163511155133201E-2</v>
      </c>
      <c r="BF193">
        <v>107.58412184821</v>
      </c>
      <c r="BG193">
        <v>-5.0649691325820997E-3</v>
      </c>
      <c r="BH193">
        <v>2.4707648403161004E-3</v>
      </c>
      <c r="BI193">
        <v>2.5518102042649E-3</v>
      </c>
      <c r="BJ193">
        <v>6.9191429585787009E-5</v>
      </c>
      <c r="BK193">
        <v>2.6797341584691001E-5</v>
      </c>
      <c r="BM193">
        <v>107.58412184821</v>
      </c>
      <c r="BN193">
        <v>-6.1682898115173E-3</v>
      </c>
      <c r="BO193">
        <v>4.8124256458436003E-3</v>
      </c>
      <c r="BP193">
        <v>1.2634761645075E-3</v>
      </c>
      <c r="BQ193">
        <v>1.4179080711183002E-4</v>
      </c>
      <c r="BR193">
        <v>4.9402805945561E-5</v>
      </c>
    </row>
    <row r="194" spans="1:70" x14ac:dyDescent="0.25">
      <c r="A194">
        <v>1.9867435693741</v>
      </c>
      <c r="B194" s="1">
        <v>0.12812721729279</v>
      </c>
      <c r="C194" s="1">
        <v>3.9837018300553999E-20</v>
      </c>
      <c r="D194" s="1">
        <v>-6.5862764131451991E-6</v>
      </c>
      <c r="E194" s="1">
        <v>1.3231702148914001E-2</v>
      </c>
      <c r="Q194">
        <v>1.9867435693741</v>
      </c>
      <c r="R194">
        <v>2.0797888282686004E-3</v>
      </c>
      <c r="S194">
        <v>2.7021160349249996E-6</v>
      </c>
      <c r="T194">
        <v>3.7270333268679998E-4</v>
      </c>
      <c r="U194">
        <v>2.3969412723090005E-5</v>
      </c>
      <c r="V194">
        <v>2.1588086383417002E-4</v>
      </c>
      <c r="W194">
        <v>2.4337339254998001E-6</v>
      </c>
      <c r="X194">
        <v>2.5122979423031001E-5</v>
      </c>
      <c r="AX194">
        <v>111.75527439265001</v>
      </c>
      <c r="AY194">
        <v>-8.4163663217286001E-3</v>
      </c>
      <c r="AZ194">
        <v>9.2486603464436001E-3</v>
      </c>
      <c r="BA194">
        <v>-7.8311857113048996E-3</v>
      </c>
      <c r="BB194">
        <v>6.8068587886841005E-3</v>
      </c>
      <c r="BC194">
        <v>2.6723365614733001E-4</v>
      </c>
      <c r="BD194">
        <v>7.520075824152401E-5</v>
      </c>
      <c r="BE194">
        <f>(Table__150_diric[[#This Row],[F2]]+Table__150_diric_3[[#This Row],[F2]]+Table__150_diric_4[[#This Row],[F2]])/2</f>
        <v>-9.4507195181904001E-3</v>
      </c>
      <c r="BF194">
        <v>111.75527439265001</v>
      </c>
      <c r="BG194">
        <v>-4.7742552525869E-3</v>
      </c>
      <c r="BH194">
        <v>2.0647193306484002E-3</v>
      </c>
      <c r="BI194">
        <v>2.6565744031729998E-3</v>
      </c>
      <c r="BJ194">
        <v>7.1939063528366002E-5</v>
      </c>
      <c r="BK194">
        <v>1.8977544762975003E-5</v>
      </c>
      <c r="BM194">
        <v>111.75527439265001</v>
      </c>
      <c r="BN194">
        <v>-5.7108174620653001E-3</v>
      </c>
      <c r="BO194">
        <v>4.2250583009462994E-3</v>
      </c>
      <c r="BP194">
        <v>1.3832852843195999E-3</v>
      </c>
      <c r="BQ194">
        <v>1.477022880677E-4</v>
      </c>
      <c r="BR194">
        <v>4.5228411268205006E-5</v>
      </c>
    </row>
    <row r="195" spans="1:70" x14ac:dyDescent="0.25">
      <c r="A195">
        <v>1.9900633096695</v>
      </c>
      <c r="B195" s="1">
        <v>9.6279554069041998E-2</v>
      </c>
      <c r="C195" s="1">
        <v>-6.0496681279678003E-20</v>
      </c>
      <c r="D195" s="1">
        <v>-4.9696795940690005E-6</v>
      </c>
      <c r="E195" s="1">
        <v>9.9250925704837002E-3</v>
      </c>
      <c r="Q195">
        <v>1.9900633096695</v>
      </c>
      <c r="R195">
        <v>1.1761758942157E-3</v>
      </c>
      <c r="S195">
        <v>9.5238095809691004E-7</v>
      </c>
      <c r="T195">
        <v>2.3255811538547004E-4</v>
      </c>
      <c r="U195">
        <v>9.9166445579613E-6</v>
      </c>
      <c r="V195">
        <v>1.213829673361E-4</v>
      </c>
      <c r="W195">
        <v>1.0012155371441999E-6</v>
      </c>
      <c r="X195">
        <v>1.416305804014E-5</v>
      </c>
      <c r="AX195">
        <v>116.06509703684</v>
      </c>
      <c r="AY195">
        <v>-7.8166556425087012E-3</v>
      </c>
      <c r="AZ195">
        <v>7.3647388822211E-3</v>
      </c>
      <c r="BA195">
        <v>-6.8164662509139001E-3</v>
      </c>
      <c r="BB195">
        <v>7.0300647241583001E-3</v>
      </c>
      <c r="BC195">
        <v>3.0482752657717003E-4</v>
      </c>
      <c r="BD195">
        <v>6.650923953395701E-5</v>
      </c>
      <c r="BE195">
        <f>(Table__150_diric[[#This Row],[F2]]+Table__150_diric_3[[#This Row],[F2]]+Table__150_diric_4[[#This Row],[F2]])/2</f>
        <v>-8.8083616791483511E-3</v>
      </c>
      <c r="BF195">
        <v>116.06509703684</v>
      </c>
      <c r="BG195">
        <v>-4.5097089376903007E-3</v>
      </c>
      <c r="BH195">
        <v>1.7113588550715E-3</v>
      </c>
      <c r="BI195">
        <v>2.7360552570729001E-3</v>
      </c>
      <c r="BJ195">
        <v>7.3854577777942014E-5</v>
      </c>
      <c r="BK195">
        <v>1.1559752232000001E-5</v>
      </c>
      <c r="BM195">
        <v>116.06509703684</v>
      </c>
      <c r="BN195">
        <v>-5.2903587780977002E-3</v>
      </c>
      <c r="BO195">
        <v>3.6859178023987004E-3</v>
      </c>
      <c r="BP195">
        <v>1.4927703595799E-3</v>
      </c>
      <c r="BQ195">
        <v>1.5341361215395999E-4</v>
      </c>
      <c r="BR195">
        <v>4.1742996034870008E-5</v>
      </c>
    </row>
    <row r="196" spans="1:70" x14ac:dyDescent="0.25">
      <c r="A196">
        <v>1.9933781623839999</v>
      </c>
      <c r="B196" s="1">
        <v>6.4292646944522996E-2</v>
      </c>
      <c r="C196" s="1">
        <v>-2.2201527640922999E-21</v>
      </c>
      <c r="D196" s="1">
        <v>-3.3228388929273997E-6</v>
      </c>
      <c r="E196" s="1">
        <v>6.6165472380816997E-3</v>
      </c>
      <c r="Q196">
        <v>1.9933781623839999</v>
      </c>
      <c r="R196">
        <v>5.2471290109678994E-4</v>
      </c>
      <c r="S196">
        <v>2.0636466047107999E-7</v>
      </c>
      <c r="T196">
        <v>1.1504995200085001E-4</v>
      </c>
      <c r="U196">
        <v>2.8297636163188001E-6</v>
      </c>
      <c r="V196">
        <v>5.3811887482880009E-5</v>
      </c>
      <c r="W196">
        <v>2.8486289238571999E-7</v>
      </c>
      <c r="X196">
        <v>6.2976773733681E-6</v>
      </c>
      <c r="AX196">
        <v>120.50440550693999</v>
      </c>
      <c r="AY196">
        <v>-7.2933472226028003E-3</v>
      </c>
      <c r="AZ196">
        <v>5.6116461846348002E-3</v>
      </c>
      <c r="BA196">
        <v>-5.8892642981267004E-3</v>
      </c>
      <c r="BB196">
        <v>7.2797623850568002E-3</v>
      </c>
      <c r="BC196">
        <v>3.5260448620717003E-4</v>
      </c>
      <c r="BD196">
        <v>6.1401535169258007E-5</v>
      </c>
      <c r="BE196">
        <f>(Table__150_diric[[#This Row],[F2]]+Table__150_diric_3[[#This Row],[F2]]+Table__150_diric_4[[#This Row],[F2]])/2</f>
        <v>-8.24041479280525E-3</v>
      </c>
      <c r="BF196">
        <v>120.50440550693999</v>
      </c>
      <c r="BG196">
        <v>-4.2742626616700001E-3</v>
      </c>
      <c r="BH196">
        <v>1.4088511096949001E-3</v>
      </c>
      <c r="BI196">
        <v>2.7951560702706001E-3</v>
      </c>
      <c r="BJ196">
        <v>7.4863431788828005E-5</v>
      </c>
      <c r="BK196">
        <v>4.6079500842619004E-6</v>
      </c>
      <c r="BM196">
        <v>120.50440550693999</v>
      </c>
      <c r="BN196">
        <v>-4.9132197013376996E-3</v>
      </c>
      <c r="BO196">
        <v>3.2011861158878999E-3</v>
      </c>
      <c r="BP196">
        <v>1.5912648543842001E-3</v>
      </c>
      <c r="BQ196">
        <v>1.5876281952052E-4</v>
      </c>
      <c r="BR196">
        <v>3.7994088454973004E-5</v>
      </c>
    </row>
    <row r="197" spans="1:70" x14ac:dyDescent="0.25">
      <c r="A197">
        <v>1.9966899156569999</v>
      </c>
      <c r="B197" s="1">
        <v>3.2194264233112002E-2</v>
      </c>
      <c r="C197" s="1">
        <v>1.5295396706717999E-20</v>
      </c>
      <c r="D197" s="1">
        <v>-1.6628036973997999E-6</v>
      </c>
      <c r="E197" s="1">
        <v>3.3079851418734E-3</v>
      </c>
      <c r="Q197">
        <v>1.9966899156569999</v>
      </c>
      <c r="R197">
        <v>1.3167105498724003E-4</v>
      </c>
      <c r="S197">
        <v>9.4014209750526011E-9</v>
      </c>
      <c r="T197">
        <v>3.2142783311429004E-5</v>
      </c>
      <c r="U197">
        <v>2.7774137834058E-7</v>
      </c>
      <c r="V197">
        <v>1.3406802281679001E-5</v>
      </c>
      <c r="W197">
        <v>2.8187399081503003E-8</v>
      </c>
      <c r="X197">
        <v>1.5737440435259E-6</v>
      </c>
      <c r="AX197">
        <v>125.06131531708999</v>
      </c>
      <c r="AY197">
        <v>-6.8465007513372001E-3</v>
      </c>
      <c r="AZ197">
        <v>4.0255340557248994E-3</v>
      </c>
      <c r="BA197">
        <v>-5.0641990063852995E-3</v>
      </c>
      <c r="BB197">
        <v>7.5455645582811004E-3</v>
      </c>
      <c r="BC197">
        <v>3.9440999008419006E-4</v>
      </c>
      <c r="BD197">
        <v>5.4808846367664004E-5</v>
      </c>
      <c r="BE197">
        <f>(Table__150_diric[[#This Row],[F2]]+Table__150_diric_3[[#This Row],[F2]]+Table__150_diric_4[[#This Row],[F2]])/2</f>
        <v>-7.7514257328725501E-3</v>
      </c>
      <c r="BF197">
        <v>125.06131531708999</v>
      </c>
      <c r="BG197">
        <v>-4.0701606646618002E-3</v>
      </c>
      <c r="BH197">
        <v>1.1536009911581001E-3</v>
      </c>
      <c r="BI197">
        <v>2.839957545189E-3</v>
      </c>
      <c r="BJ197">
        <v>7.4920918053885999E-5</v>
      </c>
      <c r="BK197">
        <v>-1.6812102608043E-6</v>
      </c>
      <c r="BM197">
        <v>125.06131531708999</v>
      </c>
      <c r="BN197">
        <v>-4.5861900497461E-3</v>
      </c>
      <c r="BO197">
        <v>2.7760369660672999E-3</v>
      </c>
      <c r="BP197">
        <v>1.6794706882377998E-3</v>
      </c>
      <c r="BQ197">
        <v>1.6527125786170002E-4</v>
      </c>
      <c r="BR197">
        <v>3.4588862420720004E-5</v>
      </c>
    </row>
    <row r="198" spans="1:70" x14ac:dyDescent="0.25">
      <c r="A198">
        <v>2</v>
      </c>
      <c r="B198" s="1">
        <v>-9.4467008216939999E-28</v>
      </c>
      <c r="C198" s="1">
        <v>0</v>
      </c>
      <c r="D198" s="1">
        <v>4.9777123119445997E-28</v>
      </c>
      <c r="E198" s="1">
        <v>0</v>
      </c>
      <c r="Q198">
        <v>2</v>
      </c>
      <c r="R198">
        <v>1.0719570847292E-12</v>
      </c>
      <c r="S198">
        <v>0</v>
      </c>
      <c r="T198">
        <v>7.2914395875256004E-13</v>
      </c>
      <c r="U198">
        <v>0</v>
      </c>
      <c r="V198">
        <v>0</v>
      </c>
      <c r="W198">
        <v>0</v>
      </c>
      <c r="X198">
        <v>0</v>
      </c>
      <c r="AX198">
        <v>129.72133059212001</v>
      </c>
      <c r="AY198">
        <v>-6.4815613089785999E-3</v>
      </c>
      <c r="AZ198">
        <v>2.6503160926527E-3</v>
      </c>
      <c r="BA198">
        <v>-4.3601622579018994E-3</v>
      </c>
      <c r="BB198">
        <v>7.7992434725256002E-3</v>
      </c>
      <c r="BC198">
        <v>4.4307620300438E-4</v>
      </c>
      <c r="BD198">
        <v>5.0912201302122002E-5</v>
      </c>
      <c r="BE198">
        <f>(Table__150_diric[[#This Row],[F2]]+Table__150_diric_3[[#This Row],[F2]]+Table__150_diric_4[[#This Row],[F2]])/2</f>
        <v>-7.3467620227615996E-3</v>
      </c>
      <c r="BF198">
        <v>129.72133059212001</v>
      </c>
      <c r="BG198">
        <v>-3.8994247655217999E-3</v>
      </c>
      <c r="BH198">
        <v>9.4363855290934006E-4</v>
      </c>
      <c r="BI198">
        <v>2.8745622389764001E-3</v>
      </c>
      <c r="BJ198">
        <v>7.4096008017837008E-5</v>
      </c>
      <c r="BK198">
        <v>-7.1279656182770998E-6</v>
      </c>
      <c r="BM198">
        <v>129.72133059212001</v>
      </c>
      <c r="BN198">
        <v>-4.3125379710227995E-3</v>
      </c>
      <c r="BO198">
        <v>2.4173622200425E-3</v>
      </c>
      <c r="BP198">
        <v>1.7555485893321001E-3</v>
      </c>
      <c r="BQ198">
        <v>1.7164090031884002E-4</v>
      </c>
      <c r="BR198">
        <v>3.2013738670635001E-5</v>
      </c>
    </row>
    <row r="199" spans="1:70" x14ac:dyDescent="0.25">
      <c r="B199" s="1"/>
      <c r="C199" s="1"/>
      <c r="D199" s="1"/>
      <c r="E199" s="1"/>
      <c r="AX199">
        <v>134.46736183219002</v>
      </c>
      <c r="AY199">
        <v>-6.1978414472713007E-3</v>
      </c>
      <c r="AZ199">
        <v>1.5275668812046001E-3</v>
      </c>
      <c r="BA199">
        <v>-3.7958430571199001E-3</v>
      </c>
      <c r="BB199">
        <v>8.0190303299606993E-3</v>
      </c>
      <c r="BC199">
        <v>4.9350345545102006E-4</v>
      </c>
      <c r="BD199">
        <v>4.6416162225189998E-5</v>
      </c>
      <c r="BE199">
        <f>(Table__150_diric[[#This Row],[F2]]+Table__150_diric_3[[#This Row],[F2]]+Table__150_diric_4[[#This Row],[F2]])/2</f>
        <v>-7.0272274656456501E-3</v>
      </c>
      <c r="BF199">
        <v>134.46736183219002</v>
      </c>
      <c r="BG199">
        <v>-3.7642410858312E-3</v>
      </c>
      <c r="BH199">
        <v>7.7995982574599002E-4</v>
      </c>
      <c r="BI199">
        <v>2.8994339681075003E-3</v>
      </c>
      <c r="BJ199">
        <v>7.3159267714773007E-5</v>
      </c>
      <c r="BK199">
        <v>-1.1688024262988E-5</v>
      </c>
      <c r="BM199">
        <v>134.46736183219002</v>
      </c>
      <c r="BN199">
        <v>-4.0923723981888E-3</v>
      </c>
      <c r="BO199">
        <v>2.1316604557763998E-3</v>
      </c>
      <c r="BP199">
        <v>1.8176522901725001E-3</v>
      </c>
      <c r="BQ199">
        <v>1.7269309784139001E-4</v>
      </c>
      <c r="BR199">
        <v>2.9633445601534999E-5</v>
      </c>
    </row>
    <row r="200" spans="1:70" x14ac:dyDescent="0.25">
      <c r="B200" s="1"/>
      <c r="C200" s="1"/>
      <c r="D200" s="1"/>
      <c r="E200" s="1"/>
      <c r="AX200">
        <v>139.28011673285999</v>
      </c>
      <c r="AY200">
        <v>-5.9916455329835005E-3</v>
      </c>
      <c r="AZ200">
        <v>6.9315141221229005E-4</v>
      </c>
      <c r="BA200">
        <v>-3.3853444828872E-3</v>
      </c>
      <c r="BB200">
        <v>8.1952900282170997E-3</v>
      </c>
      <c r="BC200">
        <v>5.3178402269068005E-4</v>
      </c>
      <c r="BD200">
        <v>4.3235447249306006E-5</v>
      </c>
      <c r="BE200">
        <f>(Table__150_diric[[#This Row],[F2]]+Table__150_diric_3[[#This Row],[F2]]+Table__150_diric_4[[#This Row],[F2]])/2</f>
        <v>-6.7939126876189505E-3</v>
      </c>
      <c r="BF200">
        <v>139.28011673285999</v>
      </c>
      <c r="BG200">
        <v>-3.6662743294892997E-3</v>
      </c>
      <c r="BH200">
        <v>6.6403772276340004E-4</v>
      </c>
      <c r="BI200">
        <v>2.9142918286531997E-3</v>
      </c>
      <c r="BJ200">
        <v>7.3090043917419011E-5</v>
      </c>
      <c r="BK200">
        <v>-1.4854734155226003E-5</v>
      </c>
      <c r="BM200">
        <v>139.28011673285999</v>
      </c>
      <c r="BN200">
        <v>-3.9299055127651004E-3</v>
      </c>
      <c r="BO200">
        <v>1.9240630463341999E-3</v>
      </c>
      <c r="BP200">
        <v>1.8612560189791001E-3</v>
      </c>
      <c r="BQ200">
        <v>1.7227712857756001E-4</v>
      </c>
      <c r="BR200">
        <v>2.7690681125836004E-5</v>
      </c>
    </row>
    <row r="201" spans="1:70" x14ac:dyDescent="0.25">
      <c r="B201" s="1"/>
      <c r="C201" s="1"/>
      <c r="D201" s="1"/>
      <c r="E201" s="1"/>
      <c r="AX201">
        <v>144.13843771165</v>
      </c>
      <c r="AY201">
        <v>-5.8648162384536996E-3</v>
      </c>
      <c r="AZ201">
        <v>1.7698258436064002E-4</v>
      </c>
      <c r="BA201">
        <v>-3.1384138898304E-3</v>
      </c>
      <c r="BB201">
        <v>8.3124958457929006E-3</v>
      </c>
      <c r="BC201">
        <v>5.5461826957889002E-4</v>
      </c>
      <c r="BD201">
        <v>4.0866571448327004E-5</v>
      </c>
      <c r="BE201">
        <f>(Table__150_diric[[#This Row],[F2]]+Table__150_diric_3[[#This Row],[F2]]+Table__150_diric_4[[#This Row],[F2]])/2</f>
        <v>-6.6506855177659498E-3</v>
      </c>
      <c r="BF201">
        <v>144.13843771165</v>
      </c>
      <c r="BG201">
        <v>-3.6063695716967003E-3</v>
      </c>
      <c r="BH201">
        <v>5.9472738490173004E-4</v>
      </c>
      <c r="BI201">
        <v>2.9207368494392001E-3</v>
      </c>
      <c r="BJ201">
        <v>7.3936380053647006E-5</v>
      </c>
      <c r="BK201">
        <v>-1.6968957302085002E-5</v>
      </c>
      <c r="BM201">
        <v>144.13843771165</v>
      </c>
      <c r="BN201">
        <v>-3.8301852253815002E-3</v>
      </c>
      <c r="BO201">
        <v>1.797851215161E-3</v>
      </c>
      <c r="BP201">
        <v>1.8857476014291002E-3</v>
      </c>
      <c r="BQ201">
        <v>1.7404399220274003E-4</v>
      </c>
      <c r="BR201">
        <v>2.7457583411280002E-5</v>
      </c>
    </row>
    <row r="202" spans="1:70" x14ac:dyDescent="0.25">
      <c r="B202" s="1"/>
      <c r="C202" s="1"/>
      <c r="D202" s="1"/>
      <c r="E202" s="1"/>
      <c r="AX202">
        <v>149.01987037373999</v>
      </c>
      <c r="AY202">
        <v>-5.8218787214739005E-3</v>
      </c>
      <c r="AZ202">
        <v>9.2968393180762008E-10</v>
      </c>
      <c r="BA202">
        <v>-3.0590275456028001E-3</v>
      </c>
      <c r="BB202">
        <v>8.3558161921038002E-3</v>
      </c>
      <c r="BC202">
        <v>5.6484877566282006E-4</v>
      </c>
      <c r="BD202">
        <v>3.9759630373863002E-5</v>
      </c>
      <c r="BE202">
        <f>(Table__150_diric[[#This Row],[F2]]+Table__150_diric_3[[#This Row],[F2]]+Table__150_diric_4[[#This Row],[F2]])/2</f>
        <v>-6.6004032684360506E-3</v>
      </c>
      <c r="BF202">
        <v>149.01987037373999</v>
      </c>
      <c r="BG202">
        <v>-3.5853626201008001E-3</v>
      </c>
      <c r="BH202">
        <v>5.6977337662732002E-4</v>
      </c>
      <c r="BI202">
        <v>2.9226404714917005E-3</v>
      </c>
      <c r="BJ202">
        <v>7.5510532030675999E-5</v>
      </c>
      <c r="BK202">
        <v>-1.743823995114E-5</v>
      </c>
      <c r="BM202">
        <v>149.01987037373999</v>
      </c>
      <c r="BN202">
        <v>-3.7935651952974003E-3</v>
      </c>
      <c r="BO202">
        <v>1.7542883374542001E-3</v>
      </c>
      <c r="BP202">
        <v>1.8934308447278001E-3</v>
      </c>
      <c r="BQ202">
        <v>1.7263366201504001E-4</v>
      </c>
      <c r="BR202">
        <v>2.6787648899657002E-5</v>
      </c>
    </row>
    <row r="203" spans="1:70" x14ac:dyDescent="0.25">
      <c r="B203" s="1"/>
      <c r="C203" s="1"/>
      <c r="D203" s="1"/>
      <c r="E203" s="1"/>
    </row>
    <row r="204" spans="1:70" x14ac:dyDescent="0.25">
      <c r="B204" s="1"/>
      <c r="C204" s="1"/>
      <c r="D204" s="1"/>
      <c r="E204" s="1"/>
    </row>
    <row r="205" spans="1:70" x14ac:dyDescent="0.25">
      <c r="B205" s="1"/>
      <c r="C205" s="1"/>
      <c r="D205" s="1"/>
      <c r="E205" s="1"/>
    </row>
    <row r="206" spans="1:70" x14ac:dyDescent="0.25">
      <c r="B206" s="1"/>
      <c r="C206" s="1"/>
      <c r="D206" s="1"/>
      <c r="E206" s="1"/>
    </row>
    <row r="207" spans="1:70" x14ac:dyDescent="0.25">
      <c r="B207" s="1"/>
      <c r="C207" s="1"/>
      <c r="D207" s="1"/>
      <c r="E207" s="1"/>
    </row>
    <row r="208" spans="1:70" x14ac:dyDescent="0.25">
      <c r="B208" s="1"/>
      <c r="C208" s="1"/>
      <c r="D208" s="1"/>
      <c r="E208" s="1"/>
    </row>
    <row r="209" spans="2:5" x14ac:dyDescent="0.25">
      <c r="B209" s="1"/>
      <c r="C209" s="1"/>
      <c r="D209" s="1"/>
      <c r="E209" s="1"/>
    </row>
    <row r="210" spans="2:5" x14ac:dyDescent="0.25">
      <c r="B210" s="1"/>
      <c r="C210" s="1"/>
      <c r="D210" s="1"/>
      <c r="E210" s="1"/>
    </row>
    <row r="211" spans="2:5" x14ac:dyDescent="0.25">
      <c r="B211" s="1"/>
      <c r="C211" s="1"/>
      <c r="D211" s="1"/>
      <c r="E211" s="1"/>
    </row>
    <row r="212" spans="2:5" x14ac:dyDescent="0.25">
      <c r="B212" s="1"/>
      <c r="C212" s="1"/>
      <c r="D212" s="1"/>
      <c r="E212" s="1"/>
    </row>
    <row r="213" spans="2:5" x14ac:dyDescent="0.25">
      <c r="B213" s="1"/>
      <c r="C213" s="1"/>
      <c r="D213" s="1"/>
      <c r="E213" s="1"/>
    </row>
    <row r="214" spans="2:5" x14ac:dyDescent="0.25">
      <c r="B214" s="1"/>
      <c r="C214" s="1"/>
      <c r="D214" s="1"/>
      <c r="E214" s="1"/>
    </row>
    <row r="215" spans="2:5" x14ac:dyDescent="0.25">
      <c r="B215" s="1"/>
      <c r="C215" s="1"/>
      <c r="D215" s="1"/>
      <c r="E215" s="1"/>
    </row>
    <row r="216" spans="2:5" x14ac:dyDescent="0.25">
      <c r="B216" s="1"/>
      <c r="C216" s="1"/>
      <c r="D216" s="1"/>
      <c r="E216" s="1"/>
    </row>
    <row r="217" spans="2:5" x14ac:dyDescent="0.25">
      <c r="B217" s="1"/>
      <c r="C217" s="1"/>
      <c r="D217" s="1"/>
      <c r="E217" s="1"/>
    </row>
    <row r="218" spans="2:5" x14ac:dyDescent="0.25">
      <c r="B218" s="1"/>
      <c r="C218" s="1"/>
      <c r="D218" s="1"/>
      <c r="E218" s="1"/>
    </row>
    <row r="219" spans="2:5" x14ac:dyDescent="0.25">
      <c r="B219" s="1"/>
      <c r="C219" s="1"/>
      <c r="D219" s="1"/>
      <c r="E219" s="1"/>
    </row>
    <row r="220" spans="2:5" x14ac:dyDescent="0.25">
      <c r="B220" s="1"/>
      <c r="C220" s="1"/>
      <c r="D220" s="1"/>
      <c r="E220" s="1"/>
    </row>
    <row r="221" spans="2:5" x14ac:dyDescent="0.25">
      <c r="B221" s="1"/>
      <c r="C221" s="1"/>
      <c r="D221" s="1"/>
      <c r="E221" s="1"/>
    </row>
    <row r="222" spans="2:5" x14ac:dyDescent="0.25">
      <c r="B222" s="1"/>
      <c r="C222" s="1"/>
      <c r="D222" s="1"/>
      <c r="E222" s="1"/>
    </row>
    <row r="223" spans="2:5" x14ac:dyDescent="0.25">
      <c r="B223" s="1"/>
      <c r="C223" s="1"/>
      <c r="D223" s="1"/>
      <c r="E223" s="1"/>
    </row>
    <row r="224" spans="2:5" x14ac:dyDescent="0.25">
      <c r="B224" s="1"/>
      <c r="C224" s="1"/>
      <c r="D224" s="1"/>
      <c r="E224" s="1"/>
    </row>
    <row r="225" spans="2:5" x14ac:dyDescent="0.25">
      <c r="B225" s="1"/>
      <c r="C225" s="1"/>
      <c r="D225" s="1"/>
      <c r="E225" s="1"/>
    </row>
    <row r="228" spans="2:5" x14ac:dyDescent="0.25">
      <c r="B228" s="1"/>
      <c r="C228" s="1"/>
      <c r="D228" s="1"/>
    </row>
    <row r="229" spans="2:5" x14ac:dyDescent="0.25">
      <c r="B229" s="1"/>
      <c r="C229" s="1"/>
      <c r="D229" s="1"/>
    </row>
    <row r="230" spans="2:5" x14ac:dyDescent="0.25">
      <c r="B230" s="1"/>
      <c r="C230" s="1"/>
      <c r="D230" s="1"/>
    </row>
    <row r="231" spans="2:5" x14ac:dyDescent="0.25">
      <c r="B231" s="1"/>
      <c r="C231" s="1"/>
      <c r="D231" s="1"/>
    </row>
    <row r="232" spans="2:5" x14ac:dyDescent="0.25">
      <c r="B232" s="1"/>
      <c r="C232" s="1"/>
      <c r="D232" s="1"/>
    </row>
    <row r="233" spans="2:5" x14ac:dyDescent="0.25">
      <c r="B233" s="1"/>
      <c r="C233" s="1"/>
      <c r="D233" s="1"/>
    </row>
    <row r="234" spans="2:5" x14ac:dyDescent="0.25">
      <c r="B234" s="1"/>
      <c r="C234" s="1"/>
      <c r="D234" s="1"/>
    </row>
    <row r="235" spans="2:5" x14ac:dyDescent="0.25">
      <c r="B235" s="1"/>
      <c r="C235" s="1"/>
      <c r="D235" s="1"/>
    </row>
    <row r="236" spans="2:5" x14ac:dyDescent="0.25">
      <c r="B236" s="1"/>
      <c r="C236" s="1"/>
      <c r="D236" s="1"/>
    </row>
    <row r="237" spans="2:5" x14ac:dyDescent="0.25">
      <c r="B237" s="1"/>
      <c r="C237" s="1"/>
      <c r="D237" s="1"/>
    </row>
    <row r="238" spans="2:5" x14ac:dyDescent="0.25">
      <c r="B238" s="1"/>
      <c r="C238" s="1"/>
      <c r="D238" s="1"/>
    </row>
    <row r="239" spans="2:5" x14ac:dyDescent="0.25">
      <c r="B239" s="1"/>
      <c r="C239" s="1"/>
      <c r="D239" s="1"/>
    </row>
    <row r="240" spans="2:5" x14ac:dyDescent="0.25">
      <c r="B240" s="1"/>
      <c r="C240" s="1"/>
      <c r="D240" s="1"/>
    </row>
    <row r="241" spans="2:4" x14ac:dyDescent="0.25">
      <c r="B241" s="1"/>
      <c r="C241" s="1"/>
      <c r="D241" s="1"/>
    </row>
    <row r="242" spans="2:4" x14ac:dyDescent="0.25">
      <c r="B242" s="1"/>
      <c r="C242" s="1"/>
      <c r="D242" s="1"/>
    </row>
    <row r="243" spans="2:4" x14ac:dyDescent="0.25">
      <c r="B243" s="1"/>
      <c r="C243" s="1"/>
      <c r="D243" s="1"/>
    </row>
    <row r="244" spans="2:4" x14ac:dyDescent="0.25">
      <c r="B244" s="1"/>
      <c r="C244" s="1"/>
      <c r="D244" s="1"/>
    </row>
    <row r="245" spans="2:4" x14ac:dyDescent="0.25">
      <c r="B245" s="1"/>
      <c r="C245" s="1"/>
      <c r="D245" s="1"/>
    </row>
    <row r="246" spans="2:4" x14ac:dyDescent="0.25">
      <c r="B246" s="1"/>
      <c r="C246" s="1"/>
      <c r="D246" s="1"/>
    </row>
    <row r="247" spans="2:4" x14ac:dyDescent="0.25">
      <c r="B247" s="1"/>
      <c r="C247" s="1"/>
      <c r="D247" s="1"/>
    </row>
    <row r="248" spans="2:4" x14ac:dyDescent="0.25">
      <c r="B248" s="1"/>
      <c r="C248" s="1"/>
      <c r="D248" s="1"/>
    </row>
    <row r="249" spans="2:4" x14ac:dyDescent="0.25">
      <c r="B249" s="1"/>
      <c r="C249" s="1"/>
      <c r="D249" s="1"/>
    </row>
    <row r="250" spans="2:4" x14ac:dyDescent="0.25">
      <c r="B250" s="1"/>
      <c r="C250" s="1"/>
      <c r="D250" s="1"/>
    </row>
    <row r="251" spans="2:4" x14ac:dyDescent="0.25">
      <c r="B251" s="1"/>
      <c r="C251" s="1"/>
      <c r="D251" s="1"/>
    </row>
    <row r="252" spans="2:4" x14ac:dyDescent="0.25">
      <c r="B252" s="1"/>
      <c r="C252" s="1"/>
      <c r="D252" s="1"/>
    </row>
    <row r="253" spans="2:4" x14ac:dyDescent="0.25">
      <c r="B253" s="1"/>
      <c r="C253" s="1"/>
      <c r="D253" s="1"/>
    </row>
    <row r="254" spans="2:4" x14ac:dyDescent="0.25">
      <c r="B254" s="1"/>
      <c r="C254" s="1"/>
      <c r="D254" s="1"/>
    </row>
    <row r="255" spans="2:4" x14ac:dyDescent="0.25">
      <c r="B255" s="1"/>
      <c r="C255" s="1"/>
      <c r="D255" s="1"/>
    </row>
    <row r="256" spans="2:4" x14ac:dyDescent="0.25">
      <c r="B256" s="1"/>
      <c r="C256" s="1"/>
      <c r="D256" s="1"/>
    </row>
    <row r="257" spans="2:4" x14ac:dyDescent="0.25">
      <c r="B257" s="1"/>
      <c r="C257" s="1"/>
      <c r="D257" s="1"/>
    </row>
    <row r="258" spans="2:4" x14ac:dyDescent="0.25">
      <c r="B258" s="1"/>
      <c r="C258" s="1"/>
      <c r="D258" s="1"/>
    </row>
    <row r="259" spans="2:4" x14ac:dyDescent="0.25">
      <c r="B259" s="1"/>
      <c r="C259" s="1"/>
      <c r="D259" s="1"/>
    </row>
    <row r="260" spans="2:4" x14ac:dyDescent="0.25">
      <c r="B260" s="1"/>
      <c r="C260" s="1"/>
      <c r="D260" s="1"/>
    </row>
    <row r="261" spans="2:4" x14ac:dyDescent="0.25">
      <c r="B261" s="1"/>
      <c r="C261" s="1"/>
      <c r="D261" s="1"/>
    </row>
    <row r="262" spans="2:4" x14ac:dyDescent="0.25">
      <c r="B262" s="1"/>
      <c r="C262" s="1"/>
      <c r="D262" s="1"/>
    </row>
    <row r="263" spans="2:4" x14ac:dyDescent="0.25">
      <c r="B263" s="1"/>
      <c r="C263" s="1"/>
      <c r="D263" s="1"/>
    </row>
    <row r="264" spans="2:4" x14ac:dyDescent="0.25">
      <c r="B264" s="1"/>
      <c r="C264" s="1"/>
      <c r="D264" s="1"/>
    </row>
    <row r="265" spans="2:4" x14ac:dyDescent="0.25">
      <c r="B265" s="1"/>
      <c r="C265" s="1"/>
      <c r="D265" s="1"/>
    </row>
    <row r="266" spans="2:4" x14ac:dyDescent="0.25">
      <c r="B266" s="1"/>
      <c r="C266" s="1"/>
      <c r="D266" s="1"/>
    </row>
    <row r="267" spans="2:4" x14ac:dyDescent="0.25">
      <c r="B267" s="1"/>
      <c r="C267" s="1"/>
      <c r="D267" s="1"/>
    </row>
    <row r="268" spans="2:4" x14ac:dyDescent="0.25">
      <c r="B268" s="1"/>
      <c r="C268" s="1"/>
      <c r="D268" s="1"/>
    </row>
    <row r="269" spans="2:4" x14ac:dyDescent="0.25">
      <c r="B269" s="1"/>
      <c r="C269" s="1"/>
      <c r="D269" s="1"/>
    </row>
    <row r="270" spans="2:4" x14ac:dyDescent="0.25">
      <c r="B270" s="1"/>
      <c r="C270" s="1"/>
      <c r="D270" s="1"/>
    </row>
    <row r="271" spans="2:4" x14ac:dyDescent="0.25">
      <c r="B271" s="1"/>
      <c r="C271" s="1"/>
      <c r="D271" s="1"/>
    </row>
    <row r="272" spans="2:4" x14ac:dyDescent="0.25">
      <c r="B272" s="1"/>
      <c r="C272" s="1"/>
      <c r="D272" s="1"/>
    </row>
    <row r="273" spans="2:4" x14ac:dyDescent="0.25">
      <c r="B273" s="1"/>
      <c r="C273" s="1"/>
      <c r="D273" s="1"/>
    </row>
    <row r="274" spans="2:4" x14ac:dyDescent="0.25">
      <c r="B274" s="1"/>
      <c r="C274" s="1"/>
      <c r="D274" s="1"/>
    </row>
    <row r="275" spans="2:4" x14ac:dyDescent="0.25">
      <c r="B275" s="1"/>
      <c r="C275" s="1"/>
      <c r="D275" s="1"/>
    </row>
    <row r="276" spans="2:4" x14ac:dyDescent="0.25">
      <c r="B276" s="1"/>
      <c r="C276" s="1"/>
      <c r="D276" s="1"/>
    </row>
    <row r="277" spans="2:4" x14ac:dyDescent="0.25">
      <c r="B277" s="1"/>
      <c r="C277" s="1"/>
      <c r="D277" s="1"/>
    </row>
    <row r="278" spans="2:4" x14ac:dyDescent="0.25">
      <c r="B278" s="1"/>
      <c r="C278" s="1"/>
      <c r="D278" s="1"/>
    </row>
    <row r="279" spans="2:4" x14ac:dyDescent="0.25">
      <c r="B279" s="1"/>
      <c r="C279" s="1"/>
      <c r="D279" s="1"/>
    </row>
    <row r="280" spans="2:4" x14ac:dyDescent="0.25">
      <c r="B280" s="1"/>
      <c r="C280" s="1"/>
      <c r="D280" s="1"/>
    </row>
    <row r="281" spans="2:4" x14ac:dyDescent="0.25">
      <c r="B281" s="1"/>
      <c r="C281" s="1"/>
      <c r="D281" s="1"/>
    </row>
    <row r="282" spans="2:4" x14ac:dyDescent="0.25">
      <c r="B282" s="1"/>
      <c r="C282" s="1"/>
      <c r="D282" s="1"/>
    </row>
    <row r="283" spans="2:4" x14ac:dyDescent="0.25">
      <c r="B283" s="1"/>
      <c r="C283" s="1"/>
      <c r="D283" s="1"/>
    </row>
    <row r="284" spans="2:4" x14ac:dyDescent="0.25">
      <c r="B284" s="1"/>
      <c r="C284" s="1"/>
      <c r="D284" s="1"/>
    </row>
    <row r="285" spans="2:4" x14ac:dyDescent="0.25">
      <c r="B285" s="1"/>
      <c r="C285" s="1"/>
      <c r="D285" s="1"/>
    </row>
    <row r="286" spans="2:4" x14ac:dyDescent="0.25">
      <c r="B286" s="1"/>
      <c r="C286" s="1"/>
      <c r="D286" s="1"/>
    </row>
    <row r="287" spans="2:4" x14ac:dyDescent="0.25">
      <c r="B287" s="1"/>
      <c r="C287" s="1"/>
      <c r="D287" s="1"/>
    </row>
    <row r="288" spans="2:4" x14ac:dyDescent="0.25">
      <c r="B288" s="1"/>
      <c r="C288" s="1"/>
      <c r="D288" s="1"/>
    </row>
    <row r="289" spans="2:4" x14ac:dyDescent="0.25">
      <c r="B289" s="1"/>
      <c r="C289" s="1"/>
      <c r="D289" s="1"/>
    </row>
    <row r="290" spans="2:4" x14ac:dyDescent="0.25">
      <c r="B290" s="1"/>
      <c r="C290" s="1"/>
      <c r="D290" s="1"/>
    </row>
    <row r="291" spans="2:4" x14ac:dyDescent="0.25">
      <c r="B291" s="1"/>
      <c r="C291" s="1"/>
      <c r="D291" s="1"/>
    </row>
    <row r="292" spans="2:4" x14ac:dyDescent="0.25">
      <c r="B292" s="1"/>
      <c r="C292" s="1"/>
      <c r="D292" s="1"/>
    </row>
    <row r="293" spans="2:4" x14ac:dyDescent="0.25">
      <c r="B293" s="1"/>
      <c r="C293" s="1"/>
      <c r="D293" s="1"/>
    </row>
    <row r="294" spans="2:4" x14ac:dyDescent="0.25">
      <c r="B294" s="1"/>
      <c r="C294" s="1"/>
      <c r="D294" s="1"/>
    </row>
    <row r="295" spans="2:4" x14ac:dyDescent="0.25">
      <c r="B295" s="1"/>
      <c r="C295" s="1"/>
      <c r="D295" s="1"/>
    </row>
    <row r="296" spans="2:4" x14ac:dyDescent="0.25">
      <c r="B296" s="1"/>
      <c r="C296" s="1"/>
      <c r="D296" s="1"/>
    </row>
    <row r="297" spans="2:4" x14ac:dyDescent="0.25">
      <c r="B297" s="1"/>
      <c r="C297" s="1"/>
      <c r="D297" s="1"/>
    </row>
    <row r="298" spans="2:4" x14ac:dyDescent="0.25">
      <c r="B298" s="1"/>
      <c r="C298" s="1"/>
      <c r="D298" s="1"/>
    </row>
    <row r="299" spans="2:4" x14ac:dyDescent="0.25">
      <c r="B299" s="1"/>
      <c r="C299" s="1"/>
      <c r="D299" s="1"/>
    </row>
    <row r="300" spans="2:4" x14ac:dyDescent="0.25">
      <c r="B300" s="1"/>
      <c r="C300" s="1"/>
      <c r="D300" s="1"/>
    </row>
    <row r="301" spans="2:4" x14ac:dyDescent="0.25">
      <c r="B301" s="1"/>
      <c r="C301" s="1"/>
      <c r="D301" s="1"/>
    </row>
    <row r="302" spans="2:4" x14ac:dyDescent="0.25">
      <c r="B302" s="1"/>
      <c r="C302" s="1"/>
      <c r="D302" s="1"/>
    </row>
    <row r="303" spans="2:4" x14ac:dyDescent="0.25">
      <c r="B303" s="1"/>
      <c r="C303" s="1"/>
      <c r="D303" s="1"/>
    </row>
    <row r="304" spans="2:4" x14ac:dyDescent="0.25">
      <c r="B304" s="1"/>
      <c r="C304" s="1"/>
      <c r="D304" s="1"/>
    </row>
    <row r="305" spans="2:4" x14ac:dyDescent="0.25">
      <c r="B305" s="1"/>
      <c r="C305" s="1"/>
      <c r="D305" s="1"/>
    </row>
    <row r="306" spans="2:4" x14ac:dyDescent="0.25">
      <c r="B306" s="1"/>
      <c r="C306" s="1"/>
      <c r="D306" s="1"/>
    </row>
    <row r="307" spans="2:4" x14ac:dyDescent="0.25">
      <c r="B307" s="1"/>
      <c r="C307" s="1"/>
      <c r="D307" s="1"/>
    </row>
    <row r="308" spans="2:4" x14ac:dyDescent="0.25">
      <c r="B308" s="1"/>
      <c r="C308" s="1"/>
      <c r="D308" s="1"/>
    </row>
    <row r="309" spans="2:4" x14ac:dyDescent="0.25">
      <c r="B309" s="1"/>
      <c r="C309" s="1"/>
      <c r="D309" s="1"/>
    </row>
    <row r="310" spans="2:4" x14ac:dyDescent="0.25">
      <c r="B310" s="1"/>
      <c r="C310" s="1"/>
      <c r="D310" s="1"/>
    </row>
    <row r="311" spans="2:4" x14ac:dyDescent="0.25">
      <c r="B311" s="1"/>
      <c r="C311" s="1"/>
      <c r="D311" s="1"/>
    </row>
    <row r="312" spans="2:4" x14ac:dyDescent="0.25">
      <c r="B312" s="1"/>
      <c r="C312" s="1"/>
      <c r="D312" s="1"/>
    </row>
    <row r="313" spans="2:4" x14ac:dyDescent="0.25">
      <c r="B313" s="1"/>
      <c r="C313" s="1"/>
      <c r="D313" s="1"/>
    </row>
    <row r="314" spans="2:4" x14ac:dyDescent="0.25">
      <c r="B314" s="1"/>
      <c r="C314" s="1"/>
      <c r="D314" s="1"/>
    </row>
    <row r="315" spans="2:4" x14ac:dyDescent="0.25">
      <c r="B315" s="1"/>
      <c r="C315" s="1"/>
      <c r="D315" s="1"/>
    </row>
    <row r="316" spans="2:4" x14ac:dyDescent="0.25">
      <c r="B316" s="1"/>
      <c r="C316" s="1"/>
      <c r="D316" s="1"/>
    </row>
    <row r="317" spans="2:4" x14ac:dyDescent="0.25">
      <c r="B317" s="1"/>
      <c r="C317" s="1"/>
      <c r="D317" s="1"/>
    </row>
    <row r="318" spans="2:4" x14ac:dyDescent="0.25">
      <c r="B318" s="1"/>
      <c r="C318" s="1"/>
      <c r="D318" s="1"/>
    </row>
    <row r="319" spans="2:4" x14ac:dyDescent="0.25">
      <c r="B319" s="1"/>
      <c r="C319" s="1"/>
      <c r="D319" s="1"/>
    </row>
    <row r="320" spans="2:4" x14ac:dyDescent="0.25">
      <c r="B320" s="1"/>
      <c r="C320" s="1"/>
      <c r="D320" s="1"/>
    </row>
    <row r="321" spans="2:4" x14ac:dyDescent="0.25">
      <c r="B321" s="1"/>
      <c r="C321" s="1"/>
      <c r="D321" s="1"/>
    </row>
    <row r="322" spans="2:4" x14ac:dyDescent="0.25">
      <c r="B322" s="1"/>
      <c r="C322" s="1"/>
      <c r="D322" s="1"/>
    </row>
    <row r="323" spans="2:4" x14ac:dyDescent="0.25">
      <c r="B323" s="1"/>
      <c r="C323" s="1"/>
      <c r="D323" s="1"/>
    </row>
    <row r="324" spans="2:4" x14ac:dyDescent="0.25">
      <c r="B324" s="1"/>
      <c r="C324" s="1"/>
      <c r="D324" s="1"/>
    </row>
    <row r="325" spans="2:4" x14ac:dyDescent="0.25">
      <c r="B325" s="1"/>
      <c r="C325" s="1"/>
      <c r="D325" s="1"/>
    </row>
    <row r="326" spans="2:4" x14ac:dyDescent="0.25">
      <c r="B326" s="1"/>
      <c r="C326" s="1"/>
      <c r="D326" s="1"/>
    </row>
    <row r="327" spans="2:4" x14ac:dyDescent="0.25">
      <c r="B327" s="1"/>
      <c r="C327" s="1"/>
      <c r="D327" s="1"/>
    </row>
    <row r="328" spans="2:4" x14ac:dyDescent="0.25">
      <c r="B328" s="1"/>
      <c r="C328" s="1"/>
      <c r="D328" s="1"/>
    </row>
    <row r="329" spans="2:4" x14ac:dyDescent="0.25">
      <c r="B329" s="1"/>
      <c r="C329" s="1"/>
      <c r="D329" s="1"/>
    </row>
    <row r="330" spans="2:4" x14ac:dyDescent="0.25">
      <c r="B330" s="1"/>
      <c r="C330" s="1"/>
      <c r="D330" s="1"/>
    </row>
    <row r="331" spans="2:4" x14ac:dyDescent="0.25">
      <c r="B331" s="1"/>
      <c r="C331" s="1"/>
      <c r="D331" s="1"/>
    </row>
    <row r="332" spans="2:4" x14ac:dyDescent="0.25">
      <c r="B332" s="1"/>
      <c r="C332" s="1"/>
      <c r="D332" s="1"/>
    </row>
    <row r="333" spans="2:4" x14ac:dyDescent="0.25">
      <c r="B333" s="1"/>
      <c r="C333" s="1"/>
      <c r="D333" s="1"/>
    </row>
    <row r="334" spans="2:4" x14ac:dyDescent="0.25">
      <c r="B334" s="1"/>
      <c r="C334" s="1"/>
      <c r="D334" s="1"/>
    </row>
    <row r="335" spans="2:4" x14ac:dyDescent="0.25">
      <c r="B335" s="1"/>
      <c r="C335" s="1"/>
      <c r="D335" s="1"/>
    </row>
    <row r="336" spans="2:4" x14ac:dyDescent="0.25">
      <c r="B336" s="1"/>
      <c r="C336" s="1"/>
      <c r="D336" s="1"/>
    </row>
    <row r="337" spans="2:4" x14ac:dyDescent="0.25">
      <c r="B337" s="1"/>
      <c r="C337" s="1"/>
      <c r="D337" s="1"/>
    </row>
    <row r="338" spans="2:4" x14ac:dyDescent="0.25">
      <c r="B338" s="1"/>
      <c r="C338" s="1"/>
      <c r="D338" s="1"/>
    </row>
    <row r="339" spans="2:4" x14ac:dyDescent="0.25">
      <c r="B339" s="1"/>
      <c r="C339" s="1"/>
      <c r="D339" s="1"/>
    </row>
    <row r="340" spans="2:4" x14ac:dyDescent="0.25">
      <c r="B340" s="1"/>
      <c r="C340" s="1"/>
      <c r="D340" s="1"/>
    </row>
    <row r="341" spans="2:4" x14ac:dyDescent="0.25">
      <c r="B341" s="1"/>
      <c r="C341" s="1"/>
      <c r="D341" s="1"/>
    </row>
    <row r="342" spans="2:4" x14ac:dyDescent="0.25">
      <c r="B342" s="1"/>
      <c r="C342" s="1"/>
      <c r="D342" s="1"/>
    </row>
    <row r="343" spans="2:4" x14ac:dyDescent="0.25">
      <c r="B343" s="1"/>
      <c r="C343" s="1"/>
      <c r="D343" s="1"/>
    </row>
    <row r="344" spans="2:4" x14ac:dyDescent="0.25">
      <c r="B344" s="1"/>
      <c r="C344" s="1"/>
      <c r="D344" s="1"/>
    </row>
    <row r="345" spans="2:4" x14ac:dyDescent="0.25">
      <c r="B345" s="1"/>
      <c r="C345" s="1"/>
      <c r="D345" s="1"/>
    </row>
    <row r="346" spans="2:4" x14ac:dyDescent="0.25">
      <c r="B346" s="1"/>
      <c r="C346" s="1"/>
      <c r="D346" s="1"/>
    </row>
    <row r="347" spans="2:4" x14ac:dyDescent="0.25">
      <c r="B347" s="1"/>
      <c r="C347" s="1"/>
      <c r="D347" s="1"/>
    </row>
    <row r="348" spans="2:4" x14ac:dyDescent="0.25">
      <c r="B348" s="1"/>
      <c r="C348" s="1"/>
      <c r="D348" s="1"/>
    </row>
    <row r="349" spans="2:4" x14ac:dyDescent="0.25">
      <c r="B349" s="1"/>
      <c r="C349" s="1"/>
      <c r="D349" s="1"/>
    </row>
    <row r="350" spans="2:4" x14ac:dyDescent="0.25">
      <c r="B350" s="1"/>
      <c r="C350" s="1"/>
      <c r="D350" s="1"/>
    </row>
    <row r="351" spans="2:4" x14ac:dyDescent="0.25">
      <c r="B351" s="1"/>
      <c r="C351" s="1"/>
      <c r="D351" s="1"/>
    </row>
    <row r="352" spans="2:4" x14ac:dyDescent="0.25">
      <c r="B352" s="1"/>
      <c r="C352" s="1"/>
      <c r="D352" s="1"/>
    </row>
    <row r="353" spans="2:4" x14ac:dyDescent="0.25">
      <c r="B353" s="1"/>
      <c r="C353" s="1"/>
      <c r="D353" s="1"/>
    </row>
    <row r="354" spans="2:4" x14ac:dyDescent="0.25">
      <c r="B354" s="1"/>
      <c r="C354" s="1"/>
      <c r="D354" s="1"/>
    </row>
    <row r="355" spans="2:4" x14ac:dyDescent="0.25">
      <c r="B355" s="1"/>
      <c r="C355" s="1"/>
      <c r="D355" s="1"/>
    </row>
    <row r="356" spans="2:4" x14ac:dyDescent="0.25">
      <c r="B356" s="1"/>
      <c r="C356" s="1"/>
      <c r="D356" s="1"/>
    </row>
    <row r="357" spans="2:4" x14ac:dyDescent="0.25">
      <c r="B357" s="1"/>
      <c r="C357" s="1"/>
      <c r="D357" s="1"/>
    </row>
    <row r="358" spans="2:4" x14ac:dyDescent="0.25">
      <c r="B358" s="1"/>
      <c r="C358" s="1"/>
      <c r="D358" s="1"/>
    </row>
    <row r="359" spans="2:4" x14ac:dyDescent="0.25">
      <c r="B359" s="1"/>
      <c r="C359" s="1"/>
      <c r="D359" s="1"/>
    </row>
    <row r="360" spans="2:4" x14ac:dyDescent="0.25">
      <c r="B360" s="1"/>
      <c r="C360" s="1"/>
      <c r="D360" s="1"/>
    </row>
    <row r="361" spans="2:4" x14ac:dyDescent="0.25">
      <c r="B361" s="1"/>
      <c r="C361" s="1"/>
      <c r="D361" s="1"/>
    </row>
    <row r="362" spans="2:4" x14ac:dyDescent="0.25">
      <c r="B362" s="1"/>
      <c r="C362" s="1"/>
      <c r="D362" s="1"/>
    </row>
    <row r="363" spans="2:4" x14ac:dyDescent="0.25">
      <c r="B363" s="1"/>
      <c r="C363" s="1"/>
      <c r="D363" s="1"/>
    </row>
    <row r="364" spans="2:4" x14ac:dyDescent="0.25">
      <c r="B364" s="1"/>
      <c r="C364" s="1"/>
      <c r="D364" s="1"/>
    </row>
    <row r="365" spans="2:4" x14ac:dyDescent="0.25">
      <c r="B365" s="1"/>
      <c r="C365" s="1"/>
      <c r="D365" s="1"/>
    </row>
    <row r="366" spans="2:4" x14ac:dyDescent="0.25">
      <c r="B366" s="1"/>
      <c r="C366" s="1"/>
      <c r="D366" s="1"/>
    </row>
    <row r="367" spans="2:4" x14ac:dyDescent="0.25">
      <c r="B367" s="1"/>
      <c r="C367" s="1"/>
      <c r="D367" s="1"/>
    </row>
    <row r="368" spans="2:4" x14ac:dyDescent="0.25">
      <c r="B368" s="1"/>
      <c r="C368" s="1"/>
      <c r="D368" s="1"/>
    </row>
    <row r="369" spans="2:4" x14ac:dyDescent="0.25">
      <c r="B369" s="1"/>
      <c r="C369" s="1"/>
      <c r="D369" s="1"/>
    </row>
    <row r="370" spans="2:4" x14ac:dyDescent="0.25">
      <c r="B370" s="1"/>
      <c r="C370" s="1"/>
      <c r="D370" s="1"/>
    </row>
    <row r="371" spans="2:4" x14ac:dyDescent="0.25">
      <c r="B371" s="1"/>
      <c r="C371" s="1"/>
      <c r="D371" s="1"/>
    </row>
    <row r="372" spans="2:4" x14ac:dyDescent="0.25">
      <c r="B372" s="1"/>
      <c r="C372" s="1"/>
      <c r="D372" s="1"/>
    </row>
    <row r="373" spans="2:4" x14ac:dyDescent="0.25">
      <c r="B373" s="1"/>
      <c r="C373" s="1"/>
      <c r="D373" s="1"/>
    </row>
    <row r="374" spans="2:4" x14ac:dyDescent="0.25">
      <c r="B374" s="1"/>
      <c r="C374" s="1"/>
      <c r="D374" s="1"/>
    </row>
    <row r="375" spans="2:4" x14ac:dyDescent="0.25">
      <c r="B375" s="1"/>
      <c r="C375" s="1"/>
      <c r="D375" s="1"/>
    </row>
    <row r="376" spans="2:4" x14ac:dyDescent="0.25">
      <c r="B376" s="1"/>
      <c r="C376" s="1"/>
      <c r="D376" s="1"/>
    </row>
    <row r="377" spans="2:4" x14ac:dyDescent="0.25">
      <c r="B377" s="1"/>
      <c r="C377" s="1"/>
      <c r="D377" s="1"/>
    </row>
    <row r="378" spans="2:4" x14ac:dyDescent="0.25">
      <c r="B378" s="1"/>
      <c r="C378" s="1"/>
      <c r="D378" s="1"/>
    </row>
    <row r="379" spans="2:4" x14ac:dyDescent="0.25">
      <c r="B379" s="1"/>
      <c r="C379" s="1"/>
      <c r="D379" s="1"/>
    </row>
    <row r="380" spans="2:4" x14ac:dyDescent="0.25">
      <c r="B380" s="1"/>
      <c r="C380" s="1"/>
      <c r="D380" s="1"/>
    </row>
    <row r="381" spans="2:4" x14ac:dyDescent="0.25">
      <c r="B381" s="1"/>
      <c r="C381" s="1"/>
      <c r="D381" s="1"/>
    </row>
    <row r="382" spans="2:4" x14ac:dyDescent="0.25">
      <c r="B382" s="1"/>
      <c r="C382" s="1"/>
      <c r="D382" s="1"/>
    </row>
    <row r="383" spans="2:4" x14ac:dyDescent="0.25">
      <c r="B383" s="1"/>
      <c r="C383" s="1"/>
      <c r="D383" s="1"/>
    </row>
    <row r="384" spans="2:4" x14ac:dyDescent="0.25">
      <c r="B384" s="1"/>
      <c r="C384" s="1"/>
      <c r="D384" s="1"/>
    </row>
    <row r="385" spans="2:4" x14ac:dyDescent="0.25">
      <c r="B385" s="1"/>
      <c r="C385" s="1"/>
      <c r="D385" s="1"/>
    </row>
    <row r="386" spans="2:4" x14ac:dyDescent="0.25">
      <c r="B386" s="1"/>
      <c r="C386" s="1"/>
      <c r="D386" s="1"/>
    </row>
    <row r="387" spans="2:4" x14ac:dyDescent="0.25">
      <c r="B387" s="1"/>
      <c r="C387" s="1"/>
      <c r="D387" s="1"/>
    </row>
    <row r="388" spans="2:4" x14ac:dyDescent="0.25">
      <c r="B388" s="1"/>
      <c r="C388" s="1"/>
      <c r="D388" s="1"/>
    </row>
    <row r="389" spans="2:4" x14ac:dyDescent="0.25">
      <c r="B389" s="1"/>
      <c r="C389" s="1"/>
      <c r="D389" s="1"/>
    </row>
    <row r="390" spans="2:4" x14ac:dyDescent="0.25">
      <c r="B390" s="1"/>
      <c r="C390" s="1"/>
      <c r="D390" s="1"/>
    </row>
    <row r="391" spans="2:4" x14ac:dyDescent="0.25">
      <c r="B391" s="1"/>
      <c r="C391" s="1"/>
      <c r="D391" s="1"/>
    </row>
    <row r="392" spans="2:4" x14ac:dyDescent="0.25">
      <c r="B392" s="1"/>
      <c r="C392" s="1"/>
      <c r="D392" s="1"/>
    </row>
    <row r="393" spans="2:4" x14ac:dyDescent="0.25">
      <c r="B393" s="1"/>
      <c r="C393" s="1"/>
      <c r="D393" s="1"/>
    </row>
    <row r="394" spans="2:4" x14ac:dyDescent="0.25">
      <c r="B394" s="1"/>
      <c r="C394" s="1"/>
      <c r="D394" s="1"/>
    </row>
    <row r="395" spans="2:4" x14ac:dyDescent="0.25">
      <c r="B395" s="1"/>
      <c r="C395" s="1"/>
      <c r="D395" s="1"/>
    </row>
    <row r="396" spans="2:4" x14ac:dyDescent="0.25">
      <c r="B396" s="1"/>
      <c r="C396" s="1"/>
      <c r="D396" s="1"/>
    </row>
    <row r="397" spans="2:4" x14ac:dyDescent="0.25">
      <c r="B397" s="1"/>
      <c r="C397" s="1"/>
      <c r="D397" s="1"/>
    </row>
    <row r="398" spans="2:4" x14ac:dyDescent="0.25">
      <c r="B398" s="1"/>
      <c r="C398" s="1"/>
      <c r="D398" s="1"/>
    </row>
    <row r="399" spans="2:4" x14ac:dyDescent="0.25">
      <c r="B399" s="1"/>
      <c r="C399" s="1"/>
      <c r="D399" s="1"/>
    </row>
    <row r="400" spans="2:4" x14ac:dyDescent="0.25">
      <c r="B400" s="1"/>
      <c r="C400" s="1"/>
      <c r="D400" s="1"/>
    </row>
    <row r="401" spans="2:4" x14ac:dyDescent="0.25">
      <c r="B401" s="1"/>
      <c r="C401" s="1"/>
      <c r="D401" s="1"/>
    </row>
    <row r="402" spans="2:4" x14ac:dyDescent="0.25">
      <c r="B402" s="1"/>
      <c r="C402" s="1"/>
      <c r="D402" s="1"/>
    </row>
    <row r="403" spans="2:4" x14ac:dyDescent="0.25">
      <c r="B403" s="1"/>
      <c r="C403" s="1"/>
      <c r="D403" s="1"/>
    </row>
    <row r="404" spans="2:4" x14ac:dyDescent="0.25">
      <c r="B404" s="1"/>
      <c r="C404" s="1"/>
      <c r="D404" s="1"/>
    </row>
    <row r="405" spans="2:4" x14ac:dyDescent="0.25">
      <c r="B405" s="1"/>
      <c r="C405" s="1"/>
      <c r="D405" s="1"/>
    </row>
    <row r="406" spans="2:4" x14ac:dyDescent="0.25">
      <c r="B406" s="1"/>
      <c r="C406" s="1"/>
      <c r="D406" s="1"/>
    </row>
    <row r="407" spans="2:4" x14ac:dyDescent="0.25">
      <c r="B407" s="1"/>
      <c r="C407" s="1"/>
      <c r="D407" s="1"/>
    </row>
    <row r="408" spans="2:4" x14ac:dyDescent="0.25">
      <c r="B408" s="1"/>
      <c r="C408" s="1"/>
      <c r="D408" s="1"/>
    </row>
    <row r="409" spans="2:4" x14ac:dyDescent="0.25">
      <c r="B409" s="1"/>
      <c r="C409" s="1"/>
      <c r="D409" s="1"/>
    </row>
    <row r="410" spans="2:4" x14ac:dyDescent="0.25">
      <c r="B410" s="1"/>
      <c r="C410" s="1"/>
      <c r="D410" s="1"/>
    </row>
    <row r="411" spans="2:4" x14ac:dyDescent="0.25">
      <c r="B411" s="1"/>
      <c r="C411" s="1"/>
      <c r="D411" s="1"/>
    </row>
    <row r="412" spans="2:4" x14ac:dyDescent="0.25">
      <c r="B412" s="1"/>
      <c r="C412" s="1"/>
      <c r="D412" s="1"/>
    </row>
    <row r="413" spans="2:4" x14ac:dyDescent="0.25">
      <c r="B413" s="1"/>
      <c r="C413" s="1"/>
      <c r="D413" s="1"/>
    </row>
    <row r="414" spans="2:4" x14ac:dyDescent="0.25">
      <c r="B414" s="1"/>
      <c r="C414" s="1"/>
      <c r="D414" s="1"/>
    </row>
    <row r="415" spans="2:4" x14ac:dyDescent="0.25">
      <c r="B415" s="1"/>
      <c r="C415" s="1"/>
      <c r="D415" s="1"/>
    </row>
    <row r="416" spans="2:4" x14ac:dyDescent="0.25">
      <c r="B416" s="1"/>
      <c r="C416" s="1"/>
      <c r="D416" s="1"/>
    </row>
    <row r="417" spans="2:4" x14ac:dyDescent="0.25">
      <c r="B417" s="1"/>
      <c r="C417" s="1"/>
      <c r="D417" s="1"/>
    </row>
    <row r="418" spans="2:4" x14ac:dyDescent="0.25">
      <c r="B418" s="1"/>
      <c r="C418" s="1"/>
      <c r="D418" s="1"/>
    </row>
    <row r="419" spans="2:4" x14ac:dyDescent="0.25">
      <c r="B419" s="1"/>
      <c r="C419" s="1"/>
      <c r="D419" s="1"/>
    </row>
    <row r="420" spans="2:4" x14ac:dyDescent="0.25">
      <c r="B420" s="1"/>
      <c r="C420" s="1"/>
      <c r="D420" s="1"/>
    </row>
    <row r="421" spans="2:4" x14ac:dyDescent="0.25">
      <c r="B421" s="1"/>
      <c r="C421" s="1"/>
      <c r="D421" s="1"/>
    </row>
    <row r="422" spans="2:4" x14ac:dyDescent="0.25">
      <c r="B422" s="1"/>
      <c r="C422" s="1"/>
      <c r="D422" s="1"/>
    </row>
    <row r="423" spans="2:4" x14ac:dyDescent="0.25">
      <c r="B423" s="1"/>
      <c r="C423" s="1"/>
      <c r="D423" s="1"/>
    </row>
    <row r="424" spans="2:4" x14ac:dyDescent="0.25">
      <c r="B424" s="1"/>
      <c r="C424" s="1"/>
      <c r="D424" s="1"/>
    </row>
    <row r="425" spans="2:4" x14ac:dyDescent="0.25">
      <c r="B425" s="1"/>
      <c r="C425" s="1"/>
      <c r="D425" s="1"/>
    </row>
    <row r="426" spans="2:4" x14ac:dyDescent="0.25">
      <c r="B426" s="1"/>
      <c r="C426" s="1"/>
      <c r="D426" s="1"/>
    </row>
    <row r="427" spans="2:4" x14ac:dyDescent="0.25">
      <c r="B427" s="1"/>
      <c r="C427" s="1"/>
      <c r="D427" s="1"/>
    </row>
    <row r="428" spans="2:4" x14ac:dyDescent="0.25">
      <c r="B428" s="1"/>
      <c r="C428" s="1"/>
      <c r="D428" s="1"/>
    </row>
    <row r="429" spans="2:4" x14ac:dyDescent="0.25">
      <c r="B429" s="1"/>
      <c r="C429" s="1"/>
      <c r="D429" s="1"/>
    </row>
    <row r="430" spans="2:4" x14ac:dyDescent="0.25">
      <c r="B430" s="1"/>
      <c r="C430" s="1"/>
      <c r="D430" s="1"/>
    </row>
    <row r="431" spans="2:4" x14ac:dyDescent="0.25">
      <c r="B431" s="1"/>
      <c r="C431" s="1"/>
      <c r="D431" s="1"/>
    </row>
    <row r="432" spans="2:4" x14ac:dyDescent="0.25">
      <c r="B432" s="1"/>
      <c r="C432" s="1"/>
      <c r="D432" s="1"/>
    </row>
    <row r="433" spans="2:4" x14ac:dyDescent="0.25">
      <c r="B433" s="1"/>
      <c r="C433" s="1"/>
      <c r="D433" s="1"/>
    </row>
    <row r="434" spans="2:4" x14ac:dyDescent="0.25">
      <c r="B434" s="1"/>
      <c r="C434" s="1"/>
      <c r="D434" s="1"/>
    </row>
    <row r="435" spans="2:4" x14ac:dyDescent="0.25">
      <c r="B435" s="1"/>
      <c r="C435" s="1"/>
      <c r="D435" s="1"/>
    </row>
    <row r="436" spans="2:4" x14ac:dyDescent="0.25">
      <c r="B436" s="1"/>
      <c r="C436" s="1"/>
      <c r="D436" s="1"/>
    </row>
    <row r="437" spans="2:4" x14ac:dyDescent="0.25">
      <c r="B437" s="1"/>
      <c r="C437" s="1"/>
      <c r="D437" s="1"/>
    </row>
    <row r="438" spans="2:4" x14ac:dyDescent="0.25">
      <c r="B438" s="1"/>
      <c r="C438" s="1"/>
      <c r="D438" s="1"/>
    </row>
    <row r="439" spans="2:4" x14ac:dyDescent="0.25">
      <c r="B439" s="1"/>
      <c r="C439" s="1"/>
      <c r="D439" s="1"/>
    </row>
    <row r="440" spans="2:4" x14ac:dyDescent="0.25">
      <c r="B440" s="1"/>
      <c r="C440" s="1"/>
      <c r="D440" s="1"/>
    </row>
    <row r="441" spans="2:4" x14ac:dyDescent="0.25">
      <c r="B441" s="1"/>
      <c r="C441" s="1"/>
      <c r="D441" s="1"/>
    </row>
    <row r="442" spans="2:4" x14ac:dyDescent="0.25">
      <c r="B442" s="1"/>
      <c r="C442" s="1"/>
      <c r="D442" s="1"/>
    </row>
    <row r="443" spans="2:4" x14ac:dyDescent="0.25">
      <c r="B443" s="1"/>
      <c r="C443" s="1"/>
      <c r="D443" s="1"/>
    </row>
    <row r="444" spans="2:4" x14ac:dyDescent="0.25">
      <c r="B444" s="1"/>
      <c r="C444" s="1"/>
      <c r="D444" s="1"/>
    </row>
    <row r="445" spans="2:4" x14ac:dyDescent="0.25">
      <c r="B445" s="1"/>
      <c r="C445" s="1"/>
      <c r="D445" s="1"/>
    </row>
    <row r="446" spans="2:4" x14ac:dyDescent="0.25">
      <c r="B446" s="1"/>
      <c r="C446" s="1"/>
      <c r="D446" s="1"/>
    </row>
    <row r="447" spans="2:4" x14ac:dyDescent="0.25">
      <c r="B447" s="1"/>
      <c r="C447" s="1"/>
      <c r="D447" s="1"/>
    </row>
    <row r="448" spans="2:4" x14ac:dyDescent="0.25">
      <c r="B448" s="1"/>
      <c r="C448" s="1"/>
      <c r="D448" s="1"/>
    </row>
    <row r="449" spans="2:8" x14ac:dyDescent="0.25">
      <c r="B449" s="1"/>
      <c r="C449" s="1"/>
      <c r="D449" s="1"/>
    </row>
    <row r="450" spans="2:8" x14ac:dyDescent="0.25">
      <c r="B450" s="1"/>
      <c r="C450" s="1"/>
      <c r="D450" s="1"/>
    </row>
    <row r="451" spans="2:8" x14ac:dyDescent="0.25">
      <c r="B451" s="1"/>
      <c r="C451" s="1"/>
      <c r="D451" s="1"/>
    </row>
    <row r="459" spans="2:8" x14ac:dyDescent="0.25">
      <c r="B459" s="1"/>
      <c r="C459" s="1"/>
      <c r="D459" s="1"/>
      <c r="E459" s="1"/>
      <c r="F459" s="1"/>
      <c r="G459" s="1"/>
      <c r="H459" s="1"/>
    </row>
    <row r="460" spans="2:8" x14ac:dyDescent="0.25">
      <c r="B460" s="1"/>
      <c r="C460" s="1"/>
      <c r="D460" s="1"/>
      <c r="E460" s="1"/>
      <c r="F460" s="1"/>
      <c r="G460" s="1"/>
      <c r="H460" s="1"/>
    </row>
    <row r="461" spans="2:8" x14ac:dyDescent="0.25">
      <c r="B461" s="1"/>
      <c r="C461" s="1"/>
      <c r="D461" s="1"/>
      <c r="E461" s="1"/>
      <c r="F461" s="1"/>
      <c r="G461" s="1"/>
      <c r="H461" s="1"/>
    </row>
    <row r="462" spans="2:8" x14ac:dyDescent="0.25">
      <c r="B462" s="1"/>
      <c r="C462" s="1"/>
      <c r="D462" s="1"/>
      <c r="E462" s="1"/>
      <c r="F462" s="1"/>
      <c r="G462" s="1"/>
      <c r="H462" s="1"/>
    </row>
    <row r="463" spans="2:8" x14ac:dyDescent="0.25">
      <c r="B463" s="1"/>
      <c r="C463" s="1"/>
      <c r="D463" s="1"/>
      <c r="E463" s="1"/>
      <c r="F463" s="1"/>
      <c r="G463" s="1"/>
      <c r="H463" s="1"/>
    </row>
    <row r="464" spans="2:8" x14ac:dyDescent="0.25">
      <c r="B464" s="1"/>
      <c r="C464" s="1"/>
      <c r="D464" s="1"/>
      <c r="E464" s="1"/>
      <c r="F464" s="1"/>
      <c r="G464" s="1"/>
      <c r="H464" s="1"/>
    </row>
    <row r="465" spans="2:8" x14ac:dyDescent="0.25">
      <c r="B465" s="1"/>
      <c r="C465" s="1"/>
      <c r="D465" s="1"/>
      <c r="E465" s="1"/>
      <c r="F465" s="1"/>
      <c r="G465" s="1"/>
      <c r="H465" s="1"/>
    </row>
    <row r="466" spans="2:8" x14ac:dyDescent="0.25">
      <c r="B466" s="1"/>
      <c r="C466" s="1"/>
      <c r="D466" s="1"/>
      <c r="E466" s="1"/>
      <c r="F466" s="1"/>
      <c r="G466" s="1"/>
      <c r="H466" s="1"/>
    </row>
    <row r="467" spans="2:8" x14ac:dyDescent="0.25">
      <c r="B467" s="1"/>
      <c r="C467" s="1"/>
      <c r="D467" s="1"/>
      <c r="E467" s="1"/>
      <c r="F467" s="1"/>
      <c r="G467" s="1"/>
      <c r="H467" s="1"/>
    </row>
    <row r="468" spans="2:8" x14ac:dyDescent="0.25">
      <c r="B468" s="1"/>
      <c r="C468" s="1"/>
      <c r="D468" s="1"/>
      <c r="E468" s="1"/>
      <c r="F468" s="1"/>
      <c r="G468" s="1"/>
      <c r="H468" s="1"/>
    </row>
    <row r="469" spans="2:8" x14ac:dyDescent="0.25">
      <c r="B469" s="1"/>
      <c r="C469" s="1"/>
      <c r="D469" s="1"/>
      <c r="E469" s="1"/>
      <c r="F469" s="1"/>
      <c r="G469" s="1"/>
      <c r="H469" s="1"/>
    </row>
    <row r="470" spans="2:8" x14ac:dyDescent="0.25">
      <c r="B470" s="1"/>
      <c r="C470" s="1"/>
      <c r="D470" s="1"/>
      <c r="E470" s="1"/>
      <c r="F470" s="1"/>
      <c r="G470" s="1"/>
      <c r="H470" s="1"/>
    </row>
    <row r="471" spans="2:8" x14ac:dyDescent="0.25">
      <c r="B471" s="1"/>
      <c r="C471" s="1"/>
      <c r="D471" s="1"/>
      <c r="E471" s="1"/>
      <c r="F471" s="1"/>
      <c r="G471" s="1"/>
      <c r="H471" s="1"/>
    </row>
    <row r="472" spans="2:8" x14ac:dyDescent="0.25">
      <c r="B472" s="1"/>
      <c r="C472" s="1"/>
      <c r="D472" s="1"/>
      <c r="E472" s="1"/>
      <c r="F472" s="1"/>
      <c r="G472" s="1"/>
      <c r="H472" s="1"/>
    </row>
    <row r="473" spans="2:8" x14ac:dyDescent="0.25">
      <c r="B473" s="1"/>
      <c r="C473" s="1"/>
      <c r="D473" s="1"/>
      <c r="E473" s="1"/>
      <c r="F473" s="1"/>
      <c r="G473" s="1"/>
      <c r="H473" s="1"/>
    </row>
    <row r="474" spans="2:8" x14ac:dyDescent="0.25">
      <c r="B474" s="1"/>
      <c r="C474" s="1"/>
      <c r="D474" s="1"/>
      <c r="E474" s="1"/>
      <c r="F474" s="1"/>
      <c r="G474" s="1"/>
      <c r="H474" s="1"/>
    </row>
    <row r="475" spans="2:8" x14ac:dyDescent="0.25">
      <c r="B475" s="1"/>
      <c r="C475" s="1"/>
      <c r="D475" s="1"/>
      <c r="E475" s="1"/>
      <c r="F475" s="1"/>
      <c r="G475" s="1"/>
      <c r="H475" s="1"/>
    </row>
    <row r="476" spans="2:8" x14ac:dyDescent="0.25">
      <c r="B476" s="1"/>
      <c r="C476" s="1"/>
      <c r="D476" s="1"/>
      <c r="E476" s="1"/>
      <c r="F476" s="1"/>
      <c r="G476" s="1"/>
      <c r="H476" s="1"/>
    </row>
    <row r="477" spans="2:8" x14ac:dyDescent="0.25">
      <c r="B477" s="1"/>
      <c r="C477" s="1"/>
      <c r="D477" s="1"/>
      <c r="E477" s="1"/>
      <c r="F477" s="1"/>
      <c r="G477" s="1"/>
      <c r="H477" s="1"/>
    </row>
    <row r="478" spans="2:8" x14ac:dyDescent="0.25">
      <c r="B478" s="1"/>
      <c r="C478" s="1"/>
      <c r="D478" s="1"/>
      <c r="E478" s="1"/>
      <c r="F478" s="1"/>
      <c r="G478" s="1"/>
      <c r="H478" s="1"/>
    </row>
    <row r="479" spans="2:8" x14ac:dyDescent="0.25">
      <c r="B479" s="1"/>
      <c r="C479" s="1"/>
      <c r="D479" s="1"/>
      <c r="E479" s="1"/>
      <c r="F479" s="1"/>
      <c r="G479" s="1"/>
      <c r="H479" s="1"/>
    </row>
    <row r="480" spans="2:8" x14ac:dyDescent="0.25">
      <c r="B480" s="1"/>
      <c r="C480" s="1"/>
      <c r="D480" s="1"/>
      <c r="E480" s="1"/>
      <c r="F480" s="1"/>
      <c r="G480" s="1"/>
      <c r="H480" s="1"/>
    </row>
    <row r="481" spans="2:8" x14ac:dyDescent="0.25">
      <c r="B481" s="1"/>
      <c r="C481" s="1"/>
      <c r="D481" s="1"/>
      <c r="E481" s="1"/>
      <c r="F481" s="1"/>
      <c r="G481" s="1"/>
      <c r="H481" s="1"/>
    </row>
    <row r="482" spans="2:8" x14ac:dyDescent="0.25">
      <c r="B482" s="1"/>
      <c r="C482" s="1"/>
      <c r="D482" s="1"/>
      <c r="E482" s="1"/>
      <c r="F482" s="1"/>
      <c r="G482" s="1"/>
      <c r="H482" s="1"/>
    </row>
    <row r="483" spans="2:8" x14ac:dyDescent="0.25">
      <c r="B483" s="1"/>
      <c r="C483" s="1"/>
      <c r="D483" s="1"/>
      <c r="E483" s="1"/>
      <c r="F483" s="1"/>
      <c r="G483" s="1"/>
      <c r="H483" s="1"/>
    </row>
    <row r="484" spans="2:8" x14ac:dyDescent="0.25">
      <c r="B484" s="1"/>
      <c r="C484" s="1"/>
      <c r="D484" s="1"/>
      <c r="E484" s="1"/>
      <c r="F484" s="1"/>
      <c r="G484" s="1"/>
      <c r="H484" s="1"/>
    </row>
    <row r="485" spans="2:8" x14ac:dyDescent="0.25">
      <c r="B485" s="1"/>
      <c r="C485" s="1"/>
      <c r="D485" s="1"/>
      <c r="E485" s="1"/>
      <c r="F485" s="1"/>
      <c r="G485" s="1"/>
      <c r="H485" s="1"/>
    </row>
    <row r="486" spans="2:8" x14ac:dyDescent="0.25">
      <c r="B486" s="1"/>
      <c r="C486" s="1"/>
      <c r="D486" s="1"/>
      <c r="E486" s="1"/>
      <c r="F486" s="1"/>
      <c r="G486" s="1"/>
      <c r="H486" s="1"/>
    </row>
    <row r="487" spans="2:8" x14ac:dyDescent="0.25">
      <c r="B487" s="1"/>
      <c r="C487" s="1"/>
      <c r="D487" s="1"/>
      <c r="E487" s="1"/>
      <c r="F487" s="1"/>
      <c r="G487" s="1"/>
      <c r="H487" s="1"/>
    </row>
    <row r="488" spans="2:8" x14ac:dyDescent="0.25">
      <c r="B488" s="1"/>
      <c r="C488" s="1"/>
      <c r="D488" s="1"/>
      <c r="E488" s="1"/>
      <c r="F488" s="1"/>
      <c r="G488" s="1"/>
      <c r="H488" s="1"/>
    </row>
    <row r="489" spans="2:8" x14ac:dyDescent="0.25">
      <c r="B489" s="1"/>
      <c r="C489" s="1"/>
      <c r="D489" s="1"/>
      <c r="E489" s="1"/>
      <c r="F489" s="1"/>
      <c r="G489" s="1"/>
      <c r="H489" s="1"/>
    </row>
    <row r="490" spans="2:8" x14ac:dyDescent="0.25">
      <c r="B490" s="1"/>
      <c r="C490" s="1"/>
      <c r="D490" s="1"/>
      <c r="E490" s="1"/>
      <c r="F490" s="1"/>
      <c r="G490" s="1"/>
      <c r="H490" s="1"/>
    </row>
    <row r="491" spans="2:8" x14ac:dyDescent="0.25">
      <c r="B491" s="1"/>
      <c r="C491" s="1"/>
      <c r="D491" s="1"/>
      <c r="E491" s="1"/>
      <c r="F491" s="1"/>
      <c r="G491" s="1"/>
      <c r="H491" s="1"/>
    </row>
    <row r="492" spans="2:8" x14ac:dyDescent="0.25">
      <c r="B492" s="1"/>
      <c r="C492" s="1"/>
      <c r="D492" s="1"/>
      <c r="E492" s="1"/>
      <c r="F492" s="1"/>
      <c r="G492" s="1"/>
      <c r="H492" s="1"/>
    </row>
    <row r="493" spans="2:8" x14ac:dyDescent="0.25">
      <c r="B493" s="1"/>
      <c r="C493" s="1"/>
      <c r="D493" s="1"/>
      <c r="E493" s="1"/>
      <c r="F493" s="1"/>
      <c r="G493" s="1"/>
      <c r="H493" s="1"/>
    </row>
    <row r="494" spans="2:8" x14ac:dyDescent="0.25">
      <c r="B494" s="1"/>
      <c r="C494" s="1"/>
      <c r="D494" s="1"/>
      <c r="E494" s="1"/>
      <c r="F494" s="1"/>
      <c r="G494" s="1"/>
      <c r="H494" s="1"/>
    </row>
    <row r="495" spans="2:8" x14ac:dyDescent="0.25">
      <c r="B495" s="1"/>
      <c r="C495" s="1"/>
      <c r="D495" s="1"/>
      <c r="E495" s="1"/>
      <c r="F495" s="1"/>
      <c r="G495" s="1"/>
      <c r="H495" s="1"/>
    </row>
    <row r="496" spans="2:8" x14ac:dyDescent="0.25">
      <c r="B496" s="1"/>
      <c r="C496" s="1"/>
      <c r="D496" s="1"/>
      <c r="E496" s="1"/>
      <c r="F496" s="1"/>
      <c r="G496" s="1"/>
      <c r="H496" s="1"/>
    </row>
    <row r="497" spans="2:8" x14ac:dyDescent="0.25">
      <c r="B497" s="1"/>
      <c r="C497" s="1"/>
      <c r="D497" s="1"/>
      <c r="E497" s="1"/>
      <c r="F497" s="1"/>
      <c r="G497" s="1"/>
      <c r="H497" s="1"/>
    </row>
    <row r="498" spans="2:8" x14ac:dyDescent="0.25">
      <c r="B498" s="1"/>
      <c r="C498" s="1"/>
      <c r="D498" s="1"/>
      <c r="E498" s="1"/>
      <c r="F498" s="1"/>
      <c r="G498" s="1"/>
      <c r="H498" s="1"/>
    </row>
    <row r="499" spans="2:8" x14ac:dyDescent="0.25">
      <c r="B499" s="1"/>
      <c r="C499" s="1"/>
      <c r="D499" s="1"/>
      <c r="E499" s="1"/>
      <c r="F499" s="1"/>
      <c r="G499" s="1"/>
      <c r="H499" s="1"/>
    </row>
    <row r="500" spans="2:8" x14ac:dyDescent="0.25">
      <c r="B500" s="1"/>
      <c r="C500" s="1"/>
      <c r="D500" s="1"/>
      <c r="E500" s="1"/>
      <c r="F500" s="1"/>
      <c r="G500" s="1"/>
      <c r="H500" s="1"/>
    </row>
    <row r="501" spans="2:8" x14ac:dyDescent="0.25">
      <c r="B501" s="1"/>
      <c r="C501" s="1"/>
      <c r="D501" s="1"/>
      <c r="E501" s="1"/>
      <c r="F501" s="1"/>
      <c r="G501" s="1"/>
      <c r="H501" s="1"/>
    </row>
    <row r="502" spans="2:8" x14ac:dyDescent="0.25">
      <c r="B502" s="1"/>
      <c r="C502" s="1"/>
      <c r="D502" s="1"/>
      <c r="E502" s="1"/>
      <c r="F502" s="1"/>
      <c r="G502" s="1"/>
      <c r="H502" s="1"/>
    </row>
    <row r="503" spans="2:8" x14ac:dyDescent="0.25">
      <c r="B503" s="1"/>
      <c r="C503" s="1"/>
      <c r="D503" s="1"/>
      <c r="E503" s="1"/>
      <c r="F503" s="1"/>
      <c r="G503" s="1"/>
      <c r="H503" s="1"/>
    </row>
    <row r="504" spans="2:8" x14ac:dyDescent="0.25">
      <c r="B504" s="1"/>
      <c r="C504" s="1"/>
      <c r="D504" s="1"/>
      <c r="E504" s="1"/>
      <c r="F504" s="1"/>
      <c r="G504" s="1"/>
      <c r="H504" s="1"/>
    </row>
    <row r="505" spans="2:8" x14ac:dyDescent="0.25">
      <c r="B505" s="1"/>
      <c r="C505" s="1"/>
      <c r="D505" s="1"/>
      <c r="E505" s="1"/>
      <c r="F505" s="1"/>
      <c r="G505" s="1"/>
      <c r="H505" s="1"/>
    </row>
    <row r="506" spans="2:8" x14ac:dyDescent="0.25">
      <c r="B506" s="1"/>
      <c r="C506" s="1"/>
      <c r="D506" s="1"/>
      <c r="E506" s="1"/>
      <c r="F506" s="1"/>
      <c r="G506" s="1"/>
      <c r="H506" s="1"/>
    </row>
    <row r="507" spans="2:8" x14ac:dyDescent="0.25">
      <c r="B507" s="1"/>
      <c r="C507" s="1"/>
      <c r="D507" s="1"/>
      <c r="E507" s="1"/>
      <c r="F507" s="1"/>
      <c r="G507" s="1"/>
      <c r="H507" s="1"/>
    </row>
    <row r="508" spans="2:8" x14ac:dyDescent="0.25">
      <c r="B508" s="1"/>
      <c r="C508" s="1"/>
      <c r="D508" s="1"/>
      <c r="E508" s="1"/>
      <c r="F508" s="1"/>
      <c r="G508" s="1"/>
      <c r="H508" s="1"/>
    </row>
    <row r="509" spans="2:8" x14ac:dyDescent="0.25">
      <c r="B509" s="1"/>
      <c r="C509" s="1"/>
      <c r="D509" s="1"/>
      <c r="E509" s="1"/>
      <c r="F509" s="1"/>
      <c r="G509" s="1"/>
      <c r="H509" s="1"/>
    </row>
    <row r="510" spans="2:8" x14ac:dyDescent="0.25">
      <c r="B510" s="1"/>
      <c r="C510" s="1"/>
      <c r="D510" s="1"/>
      <c r="E510" s="1"/>
      <c r="F510" s="1"/>
      <c r="G510" s="1"/>
      <c r="H510" s="1"/>
    </row>
    <row r="511" spans="2:8" x14ac:dyDescent="0.25">
      <c r="B511" s="1"/>
      <c r="C511" s="1"/>
      <c r="D511" s="1"/>
      <c r="E511" s="1"/>
      <c r="F511" s="1"/>
      <c r="G511" s="1"/>
      <c r="H511" s="1"/>
    </row>
    <row r="512" spans="2:8" x14ac:dyDescent="0.25">
      <c r="B512" s="1"/>
      <c r="C512" s="1"/>
      <c r="D512" s="1"/>
      <c r="E512" s="1"/>
      <c r="F512" s="1"/>
      <c r="G512" s="1"/>
      <c r="H512" s="1"/>
    </row>
    <row r="513" spans="2:8" x14ac:dyDescent="0.25">
      <c r="B513" s="1"/>
      <c r="C513" s="1"/>
      <c r="D513" s="1"/>
      <c r="E513" s="1"/>
      <c r="F513" s="1"/>
      <c r="G513" s="1"/>
      <c r="H513" s="1"/>
    </row>
    <row r="514" spans="2:8" x14ac:dyDescent="0.25">
      <c r="B514" s="1"/>
      <c r="C514" s="1"/>
      <c r="D514" s="1"/>
      <c r="E514" s="1"/>
      <c r="F514" s="1"/>
      <c r="G514" s="1"/>
      <c r="H514" s="1"/>
    </row>
    <row r="515" spans="2:8" x14ac:dyDescent="0.25">
      <c r="B515" s="1"/>
      <c r="C515" s="1"/>
      <c r="D515" s="1"/>
      <c r="E515" s="1"/>
      <c r="F515" s="1"/>
      <c r="G515" s="1"/>
      <c r="H515" s="1"/>
    </row>
    <row r="516" spans="2:8" x14ac:dyDescent="0.25">
      <c r="B516" s="1"/>
      <c r="C516" s="1"/>
      <c r="D516" s="1"/>
      <c r="E516" s="1"/>
      <c r="F516" s="1"/>
      <c r="G516" s="1"/>
      <c r="H516" s="1"/>
    </row>
    <row r="517" spans="2:8" x14ac:dyDescent="0.25">
      <c r="B517" s="1"/>
      <c r="C517" s="1"/>
      <c r="D517" s="1"/>
      <c r="E517" s="1"/>
      <c r="F517" s="1"/>
      <c r="G517" s="1"/>
      <c r="H517" s="1"/>
    </row>
    <row r="518" spans="2:8" x14ac:dyDescent="0.25">
      <c r="B518" s="1"/>
      <c r="C518" s="1"/>
      <c r="D518" s="1"/>
      <c r="E518" s="1"/>
      <c r="F518" s="1"/>
      <c r="G518" s="1"/>
      <c r="H518" s="1"/>
    </row>
    <row r="519" spans="2:8" x14ac:dyDescent="0.25">
      <c r="B519" s="1"/>
      <c r="C519" s="1"/>
      <c r="D519" s="1"/>
      <c r="E519" s="1"/>
      <c r="F519" s="1"/>
      <c r="G519" s="1"/>
      <c r="H519" s="1"/>
    </row>
    <row r="520" spans="2:8" x14ac:dyDescent="0.25">
      <c r="B520" s="1"/>
      <c r="C520" s="1"/>
      <c r="D520" s="1"/>
      <c r="E520" s="1"/>
      <c r="F520" s="1"/>
      <c r="G520" s="1"/>
      <c r="H520" s="1"/>
    </row>
    <row r="521" spans="2:8" x14ac:dyDescent="0.25">
      <c r="B521" s="1"/>
      <c r="C521" s="1"/>
      <c r="D521" s="1"/>
      <c r="E521" s="1"/>
      <c r="F521" s="1"/>
      <c r="G521" s="1"/>
      <c r="H521" s="1"/>
    </row>
    <row r="522" spans="2:8" x14ac:dyDescent="0.25">
      <c r="B522" s="1"/>
      <c r="C522" s="1"/>
      <c r="D522" s="1"/>
      <c r="E522" s="1"/>
      <c r="F522" s="1"/>
      <c r="G522" s="1"/>
      <c r="H522" s="1"/>
    </row>
    <row r="523" spans="2:8" x14ac:dyDescent="0.25">
      <c r="B523" s="1"/>
      <c r="C523" s="1"/>
      <c r="D523" s="1"/>
      <c r="E523" s="1"/>
      <c r="F523" s="1"/>
      <c r="G523" s="1"/>
      <c r="H523" s="1"/>
    </row>
    <row r="524" spans="2:8" x14ac:dyDescent="0.25">
      <c r="B524" s="1"/>
      <c r="C524" s="1"/>
      <c r="D524" s="1"/>
      <c r="E524" s="1"/>
      <c r="F524" s="1"/>
      <c r="G524" s="1"/>
      <c r="H524" s="1"/>
    </row>
    <row r="525" spans="2:8" x14ac:dyDescent="0.25">
      <c r="B525" s="1"/>
      <c r="C525" s="1"/>
      <c r="D525" s="1"/>
      <c r="E525" s="1"/>
      <c r="F525" s="1"/>
      <c r="G525" s="1"/>
      <c r="H525" s="1"/>
    </row>
    <row r="526" spans="2:8" x14ac:dyDescent="0.25">
      <c r="B526" s="1"/>
      <c r="C526" s="1"/>
      <c r="D526" s="1"/>
      <c r="E526" s="1"/>
      <c r="F526" s="1"/>
      <c r="G526" s="1"/>
      <c r="H526" s="1"/>
    </row>
    <row r="527" spans="2:8" x14ac:dyDescent="0.25">
      <c r="B527" s="1"/>
      <c r="C527" s="1"/>
      <c r="D527" s="1"/>
      <c r="E527" s="1"/>
      <c r="F527" s="1"/>
      <c r="G527" s="1"/>
      <c r="H527" s="1"/>
    </row>
    <row r="528" spans="2:8" x14ac:dyDescent="0.25">
      <c r="B528" s="1"/>
      <c r="C528" s="1"/>
      <c r="D528" s="1"/>
      <c r="E528" s="1"/>
      <c r="F528" s="1"/>
      <c r="G528" s="1"/>
      <c r="H528" s="1"/>
    </row>
    <row r="529" spans="2:8" x14ac:dyDescent="0.25">
      <c r="B529" s="1"/>
      <c r="C529" s="1"/>
      <c r="D529" s="1"/>
      <c r="E529" s="1"/>
      <c r="F529" s="1"/>
      <c r="G529" s="1"/>
      <c r="H529" s="1"/>
    </row>
    <row r="530" spans="2:8" x14ac:dyDescent="0.25">
      <c r="B530" s="1"/>
      <c r="C530" s="1"/>
      <c r="D530" s="1"/>
      <c r="E530" s="1"/>
      <c r="F530" s="1"/>
      <c r="G530" s="1"/>
      <c r="H530" s="1"/>
    </row>
    <row r="531" spans="2:8" x14ac:dyDescent="0.25">
      <c r="B531" s="1"/>
      <c r="C531" s="1"/>
      <c r="D531" s="1"/>
      <c r="E531" s="1"/>
      <c r="F531" s="1"/>
      <c r="G531" s="1"/>
      <c r="H531" s="1"/>
    </row>
    <row r="532" spans="2:8" x14ac:dyDescent="0.25">
      <c r="B532" s="1"/>
      <c r="C532" s="1"/>
      <c r="D532" s="1"/>
      <c r="E532" s="1"/>
      <c r="F532" s="1"/>
      <c r="G532" s="1"/>
      <c r="H532" s="1"/>
    </row>
    <row r="533" spans="2:8" x14ac:dyDescent="0.25">
      <c r="B533" s="1"/>
      <c r="C533" s="1"/>
      <c r="D533" s="1"/>
      <c r="E533" s="1"/>
      <c r="F533" s="1"/>
      <c r="G533" s="1"/>
      <c r="H533" s="1"/>
    </row>
    <row r="534" spans="2:8" x14ac:dyDescent="0.25">
      <c r="B534" s="1"/>
      <c r="C534" s="1"/>
      <c r="D534" s="1"/>
      <c r="E534" s="1"/>
      <c r="F534" s="1"/>
      <c r="G534" s="1"/>
      <c r="H534" s="1"/>
    </row>
    <row r="535" spans="2:8" x14ac:dyDescent="0.25">
      <c r="B535" s="1"/>
      <c r="C535" s="1"/>
      <c r="D535" s="1"/>
      <c r="E535" s="1"/>
      <c r="F535" s="1"/>
      <c r="G535" s="1"/>
      <c r="H535" s="1"/>
    </row>
    <row r="536" spans="2:8" x14ac:dyDescent="0.25">
      <c r="B536" s="1"/>
      <c r="C536" s="1"/>
      <c r="D536" s="1"/>
      <c r="E536" s="1"/>
      <c r="F536" s="1"/>
      <c r="G536" s="1"/>
      <c r="H536" s="1"/>
    </row>
    <row r="537" spans="2:8" x14ac:dyDescent="0.25">
      <c r="B537" s="1"/>
      <c r="C537" s="1"/>
      <c r="D537" s="1"/>
      <c r="E537" s="1"/>
      <c r="F537" s="1"/>
      <c r="G537" s="1"/>
      <c r="H537" s="1"/>
    </row>
    <row r="538" spans="2:8" x14ac:dyDescent="0.25">
      <c r="B538" s="1"/>
      <c r="C538" s="1"/>
      <c r="D538" s="1"/>
      <c r="E538" s="1"/>
      <c r="F538" s="1"/>
      <c r="G538" s="1"/>
      <c r="H538" s="1"/>
    </row>
    <row r="539" spans="2:8" x14ac:dyDescent="0.25">
      <c r="B539" s="1"/>
      <c r="C539" s="1"/>
      <c r="D539" s="1"/>
      <c r="E539" s="1"/>
      <c r="F539" s="1"/>
      <c r="G539" s="1"/>
      <c r="H539" s="1"/>
    </row>
    <row r="540" spans="2:8" x14ac:dyDescent="0.25">
      <c r="B540" s="1"/>
      <c r="C540" s="1"/>
      <c r="D540" s="1"/>
      <c r="E540" s="1"/>
      <c r="F540" s="1"/>
      <c r="G540" s="1"/>
      <c r="H540" s="1"/>
    </row>
    <row r="541" spans="2:8" x14ac:dyDescent="0.25">
      <c r="B541" s="1"/>
      <c r="C541" s="1"/>
      <c r="D541" s="1"/>
      <c r="E541" s="1"/>
      <c r="F541" s="1"/>
      <c r="G541" s="1"/>
      <c r="H541" s="1"/>
    </row>
    <row r="542" spans="2:8" x14ac:dyDescent="0.25">
      <c r="B542" s="1"/>
      <c r="C542" s="1"/>
      <c r="D542" s="1"/>
      <c r="E542" s="1"/>
      <c r="F542" s="1"/>
      <c r="G542" s="1"/>
      <c r="H542" s="1"/>
    </row>
    <row r="543" spans="2:8" x14ac:dyDescent="0.25">
      <c r="B543" s="1"/>
      <c r="C543" s="1"/>
      <c r="D543" s="1"/>
      <c r="E543" s="1"/>
      <c r="F543" s="1"/>
      <c r="G543" s="1"/>
      <c r="H543" s="1"/>
    </row>
    <row r="544" spans="2:8" x14ac:dyDescent="0.25">
      <c r="B544" s="1"/>
      <c r="C544" s="1"/>
      <c r="D544" s="1"/>
      <c r="E544" s="1"/>
      <c r="F544" s="1"/>
      <c r="G544" s="1"/>
      <c r="H544" s="1"/>
    </row>
    <row r="545" spans="2:8" x14ac:dyDescent="0.25">
      <c r="B545" s="1"/>
      <c r="C545" s="1"/>
      <c r="D545" s="1"/>
      <c r="E545" s="1"/>
      <c r="F545" s="1"/>
      <c r="G545" s="1"/>
      <c r="H545" s="1"/>
    </row>
    <row r="546" spans="2:8" x14ac:dyDescent="0.25">
      <c r="B546" s="1"/>
      <c r="C546" s="1"/>
      <c r="D546" s="1"/>
      <c r="E546" s="1"/>
      <c r="F546" s="1"/>
      <c r="G546" s="1"/>
      <c r="H546" s="1"/>
    </row>
    <row r="547" spans="2:8" x14ac:dyDescent="0.25">
      <c r="B547" s="1"/>
      <c r="C547" s="1"/>
      <c r="D547" s="1"/>
      <c r="E547" s="1"/>
      <c r="F547" s="1"/>
      <c r="G547" s="1"/>
      <c r="H547" s="1"/>
    </row>
    <row r="548" spans="2:8" x14ac:dyDescent="0.25">
      <c r="B548" s="1"/>
      <c r="C548" s="1"/>
      <c r="D548" s="1"/>
      <c r="E548" s="1"/>
      <c r="F548" s="1"/>
      <c r="G548" s="1"/>
      <c r="H548" s="1"/>
    </row>
    <row r="549" spans="2:8" x14ac:dyDescent="0.25">
      <c r="B549" s="1"/>
      <c r="C549" s="1"/>
      <c r="D549" s="1"/>
      <c r="E549" s="1"/>
      <c r="F549" s="1"/>
      <c r="G549" s="1"/>
      <c r="H549" s="1"/>
    </row>
    <row r="550" spans="2:8" x14ac:dyDescent="0.25">
      <c r="B550" s="1"/>
      <c r="C550" s="1"/>
      <c r="D550" s="1"/>
      <c r="E550" s="1"/>
      <c r="F550" s="1"/>
      <c r="G550" s="1"/>
      <c r="H550" s="1"/>
    </row>
    <row r="551" spans="2:8" x14ac:dyDescent="0.25">
      <c r="B551" s="1"/>
      <c r="C551" s="1"/>
      <c r="D551" s="1"/>
      <c r="E551" s="1"/>
      <c r="F551" s="1"/>
      <c r="G551" s="1"/>
      <c r="H551" s="1"/>
    </row>
    <row r="552" spans="2:8" x14ac:dyDescent="0.25">
      <c r="B552" s="1"/>
      <c r="C552" s="1"/>
      <c r="D552" s="1"/>
      <c r="E552" s="1"/>
      <c r="F552" s="1"/>
      <c r="G552" s="1"/>
      <c r="H552" s="1"/>
    </row>
    <row r="553" spans="2:8" x14ac:dyDescent="0.25">
      <c r="B553" s="1"/>
      <c r="C553" s="1"/>
      <c r="D553" s="1"/>
      <c r="E553" s="1"/>
      <c r="F553" s="1"/>
      <c r="G553" s="1"/>
      <c r="H553" s="1"/>
    </row>
    <row r="554" spans="2:8" x14ac:dyDescent="0.25">
      <c r="B554" s="1"/>
      <c r="C554" s="1"/>
      <c r="D554" s="1"/>
      <c r="E554" s="1"/>
      <c r="F554" s="1"/>
      <c r="G554" s="1"/>
      <c r="H554" s="1"/>
    </row>
    <row r="555" spans="2:8" x14ac:dyDescent="0.25">
      <c r="B555" s="1"/>
      <c r="C555" s="1"/>
      <c r="D555" s="1"/>
      <c r="E555" s="1"/>
      <c r="F555" s="1"/>
      <c r="G555" s="1"/>
      <c r="H555" s="1"/>
    </row>
    <row r="556" spans="2:8" x14ac:dyDescent="0.25">
      <c r="B556" s="1"/>
      <c r="C556" s="1"/>
      <c r="D556" s="1"/>
      <c r="E556" s="1"/>
      <c r="F556" s="1"/>
      <c r="G556" s="1"/>
      <c r="H556" s="1"/>
    </row>
    <row r="557" spans="2:8" x14ac:dyDescent="0.25">
      <c r="B557" s="1"/>
      <c r="C557" s="1"/>
      <c r="D557" s="1"/>
      <c r="E557" s="1"/>
      <c r="F557" s="1"/>
      <c r="G557" s="1"/>
      <c r="H557" s="1"/>
    </row>
    <row r="558" spans="2:8" x14ac:dyDescent="0.25">
      <c r="B558" s="1"/>
      <c r="C558" s="1"/>
      <c r="D558" s="1"/>
      <c r="E558" s="1"/>
      <c r="F558" s="1"/>
      <c r="G558" s="1"/>
      <c r="H558" s="1"/>
    </row>
    <row r="559" spans="2:8" x14ac:dyDescent="0.25">
      <c r="B559" s="1"/>
      <c r="C559" s="1"/>
      <c r="D559" s="1"/>
      <c r="E559" s="1"/>
      <c r="F559" s="1"/>
      <c r="G559" s="1"/>
      <c r="H559" s="1"/>
    </row>
    <row r="560" spans="2:8" x14ac:dyDescent="0.25">
      <c r="B560" s="1"/>
      <c r="C560" s="1"/>
      <c r="D560" s="1"/>
      <c r="E560" s="1"/>
      <c r="F560" s="1"/>
      <c r="G560" s="1"/>
      <c r="H560" s="1"/>
    </row>
    <row r="561" spans="2:8" x14ac:dyDescent="0.25">
      <c r="B561" s="1"/>
      <c r="C561" s="1"/>
      <c r="D561" s="1"/>
      <c r="E561" s="1"/>
      <c r="F561" s="1"/>
      <c r="G561" s="1"/>
      <c r="H561" s="1"/>
    </row>
    <row r="562" spans="2:8" x14ac:dyDescent="0.25">
      <c r="B562" s="1"/>
      <c r="C562" s="1"/>
      <c r="D562" s="1"/>
      <c r="E562" s="1"/>
      <c r="F562" s="1"/>
      <c r="G562" s="1"/>
      <c r="H562" s="1"/>
    </row>
    <row r="563" spans="2:8" x14ac:dyDescent="0.25">
      <c r="B563" s="1"/>
      <c r="C563" s="1"/>
      <c r="D563" s="1"/>
      <c r="E563" s="1"/>
      <c r="F563" s="1"/>
      <c r="G563" s="1"/>
      <c r="H563" s="1"/>
    </row>
    <row r="564" spans="2:8" x14ac:dyDescent="0.25">
      <c r="B564" s="1"/>
      <c r="C564" s="1"/>
      <c r="D564" s="1"/>
      <c r="E564" s="1"/>
      <c r="F564" s="1"/>
      <c r="G564" s="1"/>
      <c r="H564" s="1"/>
    </row>
    <row r="565" spans="2:8" x14ac:dyDescent="0.25">
      <c r="B565" s="1"/>
      <c r="C565" s="1"/>
      <c r="D565" s="1"/>
      <c r="E565" s="1"/>
      <c r="F565" s="1"/>
      <c r="G565" s="1"/>
      <c r="H565" s="1"/>
    </row>
    <row r="566" spans="2:8" x14ac:dyDescent="0.25">
      <c r="B566" s="1"/>
      <c r="C566" s="1"/>
      <c r="D566" s="1"/>
      <c r="E566" s="1"/>
      <c r="F566" s="1"/>
      <c r="G566" s="1"/>
      <c r="H566" s="1"/>
    </row>
    <row r="567" spans="2:8" x14ac:dyDescent="0.25">
      <c r="B567" s="1"/>
      <c r="C567" s="1"/>
      <c r="D567" s="1"/>
      <c r="E567" s="1"/>
      <c r="F567" s="1"/>
      <c r="G567" s="1"/>
      <c r="H567" s="1"/>
    </row>
    <row r="568" spans="2:8" x14ac:dyDescent="0.25">
      <c r="B568" s="1"/>
      <c r="C568" s="1"/>
      <c r="D568" s="1"/>
      <c r="E568" s="1"/>
      <c r="F568" s="1"/>
      <c r="G568" s="1"/>
      <c r="H568" s="1"/>
    </row>
    <row r="569" spans="2:8" x14ac:dyDescent="0.25">
      <c r="B569" s="1"/>
      <c r="C569" s="1"/>
      <c r="D569" s="1"/>
      <c r="E569" s="1"/>
      <c r="F569" s="1"/>
      <c r="G569" s="1"/>
      <c r="H569" s="1"/>
    </row>
    <row r="570" spans="2:8" x14ac:dyDescent="0.25">
      <c r="B570" s="1"/>
      <c r="C570" s="1"/>
      <c r="D570" s="1"/>
      <c r="E570" s="1"/>
      <c r="F570" s="1"/>
      <c r="G570" s="1"/>
      <c r="H570" s="1"/>
    </row>
    <row r="571" spans="2:8" x14ac:dyDescent="0.25">
      <c r="B571" s="1"/>
      <c r="C571" s="1"/>
      <c r="D571" s="1"/>
      <c r="E571" s="1"/>
      <c r="F571" s="1"/>
      <c r="G571" s="1"/>
      <c r="H571" s="1"/>
    </row>
    <row r="572" spans="2:8" x14ac:dyDescent="0.25">
      <c r="B572" s="1"/>
      <c r="C572" s="1"/>
      <c r="D572" s="1"/>
      <c r="E572" s="1"/>
      <c r="F572" s="1"/>
      <c r="G572" s="1"/>
      <c r="H572" s="1"/>
    </row>
    <row r="573" spans="2:8" x14ac:dyDescent="0.25">
      <c r="B573" s="1"/>
      <c r="C573" s="1"/>
      <c r="D573" s="1"/>
      <c r="E573" s="1"/>
      <c r="F573" s="1"/>
      <c r="G573" s="1"/>
      <c r="H573" s="1"/>
    </row>
    <row r="574" spans="2:8" x14ac:dyDescent="0.25">
      <c r="B574" s="1"/>
      <c r="C574" s="1"/>
      <c r="D574" s="1"/>
      <c r="E574" s="1"/>
      <c r="F574" s="1"/>
      <c r="G574" s="1"/>
      <c r="H574" s="1"/>
    </row>
    <row r="575" spans="2:8" x14ac:dyDescent="0.25">
      <c r="B575" s="1"/>
      <c r="C575" s="1"/>
      <c r="D575" s="1"/>
      <c r="E575" s="1"/>
      <c r="F575" s="1"/>
      <c r="G575" s="1"/>
      <c r="H575" s="1"/>
    </row>
    <row r="576" spans="2:8" x14ac:dyDescent="0.25">
      <c r="B576" s="1"/>
      <c r="C576" s="1"/>
      <c r="D576" s="1"/>
      <c r="E576" s="1"/>
      <c r="F576" s="1"/>
      <c r="G576" s="1"/>
      <c r="H576" s="1"/>
    </row>
    <row r="577" spans="2:8" x14ac:dyDescent="0.25">
      <c r="B577" s="1"/>
      <c r="C577" s="1"/>
      <c r="D577" s="1"/>
      <c r="E577" s="1"/>
      <c r="F577" s="1"/>
      <c r="G577" s="1"/>
      <c r="H577" s="1"/>
    </row>
    <row r="578" spans="2:8" x14ac:dyDescent="0.25">
      <c r="B578" s="1"/>
      <c r="C578" s="1"/>
      <c r="D578" s="1"/>
      <c r="E578" s="1"/>
      <c r="F578" s="1"/>
      <c r="G578" s="1"/>
      <c r="H578" s="1"/>
    </row>
    <row r="579" spans="2:8" x14ac:dyDescent="0.25">
      <c r="B579" s="1"/>
      <c r="C579" s="1"/>
      <c r="D579" s="1"/>
      <c r="E579" s="1"/>
      <c r="F579" s="1"/>
      <c r="G579" s="1"/>
      <c r="H579" s="1"/>
    </row>
    <row r="580" spans="2:8" x14ac:dyDescent="0.25">
      <c r="B580" s="1"/>
      <c r="C580" s="1"/>
      <c r="D580" s="1"/>
      <c r="E580" s="1"/>
      <c r="F580" s="1"/>
      <c r="G580" s="1"/>
      <c r="H580" s="1"/>
    </row>
    <row r="581" spans="2:8" x14ac:dyDescent="0.25">
      <c r="B581" s="1"/>
      <c r="C581" s="1"/>
      <c r="D581" s="1"/>
      <c r="E581" s="1"/>
      <c r="F581" s="1"/>
      <c r="G581" s="1"/>
      <c r="H581" s="1"/>
    </row>
    <row r="582" spans="2:8" x14ac:dyDescent="0.25">
      <c r="B582" s="1"/>
      <c r="C582" s="1"/>
      <c r="D582" s="1"/>
      <c r="E582" s="1"/>
      <c r="F582" s="1"/>
      <c r="G582" s="1"/>
      <c r="H582" s="1"/>
    </row>
    <row r="583" spans="2:8" x14ac:dyDescent="0.25">
      <c r="B583" s="1"/>
      <c r="C583" s="1"/>
      <c r="D583" s="1"/>
      <c r="E583" s="1"/>
      <c r="F583" s="1"/>
      <c r="G583" s="1"/>
      <c r="H583" s="1"/>
    </row>
    <row r="584" spans="2:8" x14ac:dyDescent="0.25">
      <c r="B584" s="1"/>
      <c r="C584" s="1"/>
      <c r="D584" s="1"/>
      <c r="E584" s="1"/>
      <c r="F584" s="1"/>
      <c r="G584" s="1"/>
      <c r="H584" s="1"/>
    </row>
    <row r="585" spans="2:8" x14ac:dyDescent="0.25">
      <c r="B585" s="1"/>
      <c r="C585" s="1"/>
      <c r="D585" s="1"/>
      <c r="E585" s="1"/>
      <c r="F585" s="1"/>
      <c r="G585" s="1"/>
      <c r="H585" s="1"/>
    </row>
    <row r="586" spans="2:8" x14ac:dyDescent="0.25">
      <c r="B586" s="1"/>
      <c r="C586" s="1"/>
      <c r="D586" s="1"/>
      <c r="E586" s="1"/>
      <c r="F586" s="1"/>
      <c r="G586" s="1"/>
      <c r="H586" s="1"/>
    </row>
    <row r="587" spans="2:8" x14ac:dyDescent="0.25">
      <c r="B587" s="1"/>
      <c r="C587" s="1"/>
      <c r="D587" s="1"/>
      <c r="E587" s="1"/>
      <c r="F587" s="1"/>
      <c r="G587" s="1"/>
      <c r="H587" s="1"/>
    </row>
    <row r="588" spans="2:8" x14ac:dyDescent="0.25">
      <c r="B588" s="1"/>
      <c r="C588" s="1"/>
      <c r="D588" s="1"/>
      <c r="E588" s="1"/>
      <c r="F588" s="1"/>
      <c r="G588" s="1"/>
      <c r="H588" s="1"/>
    </row>
    <row r="589" spans="2:8" x14ac:dyDescent="0.25">
      <c r="B589" s="1"/>
      <c r="C589" s="1"/>
      <c r="D589" s="1"/>
      <c r="E589" s="1"/>
      <c r="F589" s="1"/>
      <c r="G589" s="1"/>
      <c r="H589" s="1"/>
    </row>
    <row r="590" spans="2:8" x14ac:dyDescent="0.25">
      <c r="B590" s="1"/>
      <c r="C590" s="1"/>
      <c r="D590" s="1"/>
      <c r="E590" s="1"/>
      <c r="F590" s="1"/>
      <c r="G590" s="1"/>
      <c r="H590" s="1"/>
    </row>
    <row r="591" spans="2:8" x14ac:dyDescent="0.25">
      <c r="B591" s="1"/>
      <c r="C591" s="1"/>
      <c r="D591" s="1"/>
      <c r="E591" s="1"/>
      <c r="F591" s="1"/>
      <c r="G591" s="1"/>
      <c r="H591" s="1"/>
    </row>
    <row r="592" spans="2:8" x14ac:dyDescent="0.25">
      <c r="B592" s="1"/>
      <c r="C592" s="1"/>
      <c r="D592" s="1"/>
      <c r="E592" s="1"/>
      <c r="F592" s="1"/>
      <c r="G592" s="1"/>
      <c r="H592" s="1"/>
    </row>
    <row r="593" spans="2:8" x14ac:dyDescent="0.25">
      <c r="B593" s="1"/>
      <c r="C593" s="1"/>
      <c r="D593" s="1"/>
      <c r="E593" s="1"/>
      <c r="F593" s="1"/>
      <c r="G593" s="1"/>
      <c r="H593" s="1"/>
    </row>
    <row r="594" spans="2:8" x14ac:dyDescent="0.25">
      <c r="B594" s="1"/>
      <c r="C594" s="1"/>
      <c r="D594" s="1"/>
      <c r="E594" s="1"/>
      <c r="F594" s="1"/>
      <c r="G594" s="1"/>
      <c r="H594" s="1"/>
    </row>
    <row r="595" spans="2:8" x14ac:dyDescent="0.25">
      <c r="B595" s="1"/>
      <c r="C595" s="1"/>
      <c r="D595" s="1"/>
      <c r="E595" s="1"/>
      <c r="F595" s="1"/>
      <c r="G595" s="1"/>
      <c r="H595" s="1"/>
    </row>
    <row r="596" spans="2:8" x14ac:dyDescent="0.25">
      <c r="B596" s="1"/>
      <c r="C596" s="1"/>
      <c r="D596" s="1"/>
      <c r="E596" s="1"/>
      <c r="F596" s="1"/>
      <c r="G596" s="1"/>
      <c r="H596" s="1"/>
    </row>
    <row r="597" spans="2:8" x14ac:dyDescent="0.25">
      <c r="B597" s="1"/>
      <c r="C597" s="1"/>
      <c r="D597" s="1"/>
      <c r="E597" s="1"/>
      <c r="F597" s="1"/>
      <c r="G597" s="1"/>
      <c r="H597" s="1"/>
    </row>
    <row r="598" spans="2:8" x14ac:dyDescent="0.25">
      <c r="B598" s="1"/>
      <c r="C598" s="1"/>
      <c r="D598" s="1"/>
      <c r="E598" s="1"/>
      <c r="F598" s="1"/>
      <c r="G598" s="1"/>
      <c r="H598" s="1"/>
    </row>
    <row r="599" spans="2:8" x14ac:dyDescent="0.25">
      <c r="B599" s="1"/>
      <c r="C599" s="1"/>
      <c r="D599" s="1"/>
      <c r="E599" s="1"/>
      <c r="F599" s="1"/>
      <c r="G599" s="1"/>
      <c r="H599" s="1"/>
    </row>
    <row r="600" spans="2:8" x14ac:dyDescent="0.25">
      <c r="B600" s="1"/>
      <c r="C600" s="1"/>
      <c r="D600" s="1"/>
      <c r="E600" s="1"/>
      <c r="F600" s="1"/>
      <c r="G600" s="1"/>
      <c r="H600" s="1"/>
    </row>
    <row r="601" spans="2:8" x14ac:dyDescent="0.25">
      <c r="B601" s="1"/>
      <c r="C601" s="1"/>
      <c r="D601" s="1"/>
      <c r="E601" s="1"/>
      <c r="F601" s="1"/>
      <c r="G601" s="1"/>
      <c r="H601" s="1"/>
    </row>
    <row r="602" spans="2:8" x14ac:dyDescent="0.25">
      <c r="B602" s="1"/>
      <c r="C602" s="1"/>
      <c r="D602" s="1"/>
      <c r="E602" s="1"/>
      <c r="F602" s="1"/>
      <c r="G602" s="1"/>
      <c r="H602" s="1"/>
    </row>
    <row r="603" spans="2:8" x14ac:dyDescent="0.25">
      <c r="B603" s="1"/>
      <c r="C603" s="1"/>
      <c r="D603" s="1"/>
      <c r="E603" s="1"/>
      <c r="F603" s="1"/>
      <c r="G603" s="1"/>
      <c r="H603" s="1"/>
    </row>
    <row r="604" spans="2:8" x14ac:dyDescent="0.25">
      <c r="B604" s="1"/>
      <c r="C604" s="1"/>
      <c r="D604" s="1"/>
      <c r="E604" s="1"/>
      <c r="F604" s="1"/>
      <c r="G604" s="1"/>
      <c r="H604" s="1"/>
    </row>
    <row r="605" spans="2:8" x14ac:dyDescent="0.25">
      <c r="B605" s="1"/>
      <c r="C605" s="1"/>
      <c r="D605" s="1"/>
      <c r="E605" s="1"/>
      <c r="F605" s="1"/>
      <c r="G605" s="1"/>
      <c r="H605" s="1"/>
    </row>
    <row r="606" spans="2:8" x14ac:dyDescent="0.25">
      <c r="B606" s="1"/>
      <c r="C606" s="1"/>
      <c r="D606" s="1"/>
      <c r="E606" s="1"/>
      <c r="F606" s="1"/>
      <c r="G606" s="1"/>
      <c r="H606" s="1"/>
    </row>
    <row r="607" spans="2:8" x14ac:dyDescent="0.25">
      <c r="B607" s="1"/>
      <c r="C607" s="1"/>
      <c r="D607" s="1"/>
      <c r="E607" s="1"/>
      <c r="F607" s="1"/>
      <c r="G607" s="1"/>
      <c r="H607" s="1"/>
    </row>
    <row r="608" spans="2:8" x14ac:dyDescent="0.25">
      <c r="B608" s="1"/>
      <c r="C608" s="1"/>
      <c r="D608" s="1"/>
      <c r="E608" s="1"/>
      <c r="F608" s="1"/>
      <c r="G608" s="1"/>
      <c r="H608" s="1"/>
    </row>
    <row r="609" spans="2:8" x14ac:dyDescent="0.25">
      <c r="B609" s="1"/>
      <c r="C609" s="1"/>
      <c r="D609" s="1"/>
      <c r="E609" s="1"/>
      <c r="F609" s="1"/>
      <c r="G609" s="1"/>
      <c r="H609" s="1"/>
    </row>
    <row r="610" spans="2:8" x14ac:dyDescent="0.25">
      <c r="B610" s="1"/>
      <c r="C610" s="1"/>
      <c r="D610" s="1"/>
      <c r="E610" s="1"/>
      <c r="F610" s="1"/>
      <c r="G610" s="1"/>
      <c r="H610" s="1"/>
    </row>
    <row r="611" spans="2:8" x14ac:dyDescent="0.25">
      <c r="B611" s="1"/>
      <c r="C611" s="1"/>
      <c r="D611" s="1"/>
      <c r="E611" s="1"/>
      <c r="F611" s="1"/>
      <c r="G611" s="1"/>
      <c r="H611" s="1"/>
    </row>
    <row r="612" spans="2:8" x14ac:dyDescent="0.25">
      <c r="B612" s="1"/>
      <c r="C612" s="1"/>
      <c r="D612" s="1"/>
      <c r="E612" s="1"/>
      <c r="F612" s="1"/>
      <c r="G612" s="1"/>
      <c r="H612" s="1"/>
    </row>
    <row r="613" spans="2:8" x14ac:dyDescent="0.25">
      <c r="B613" s="1"/>
      <c r="C613" s="1"/>
      <c r="D613" s="1"/>
      <c r="E613" s="1"/>
      <c r="F613" s="1"/>
      <c r="G613" s="1"/>
      <c r="H613" s="1"/>
    </row>
    <row r="614" spans="2:8" x14ac:dyDescent="0.25">
      <c r="B614" s="1"/>
      <c r="C614" s="1"/>
      <c r="D614" s="1"/>
      <c r="E614" s="1"/>
      <c r="F614" s="1"/>
      <c r="G614" s="1"/>
      <c r="H614" s="1"/>
    </row>
    <row r="615" spans="2:8" x14ac:dyDescent="0.25">
      <c r="B615" s="1"/>
      <c r="C615" s="1"/>
      <c r="D615" s="1"/>
      <c r="E615" s="1"/>
      <c r="F615" s="1"/>
      <c r="G615" s="1"/>
      <c r="H615" s="1"/>
    </row>
    <row r="616" spans="2:8" x14ac:dyDescent="0.25">
      <c r="B616" s="1"/>
      <c r="C616" s="1"/>
      <c r="D616" s="1"/>
      <c r="E616" s="1"/>
      <c r="F616" s="1"/>
      <c r="G616" s="1"/>
      <c r="H616" s="1"/>
    </row>
    <row r="617" spans="2:8" x14ac:dyDescent="0.25">
      <c r="B617" s="1"/>
      <c r="C617" s="1"/>
      <c r="D617" s="1"/>
      <c r="E617" s="1"/>
      <c r="F617" s="1"/>
      <c r="G617" s="1"/>
      <c r="H617" s="1"/>
    </row>
    <row r="618" spans="2:8" x14ac:dyDescent="0.25">
      <c r="B618" s="1"/>
      <c r="C618" s="1"/>
      <c r="D618" s="1"/>
      <c r="E618" s="1"/>
      <c r="F618" s="1"/>
      <c r="G618" s="1"/>
      <c r="H618" s="1"/>
    </row>
    <row r="619" spans="2:8" x14ac:dyDescent="0.25">
      <c r="B619" s="1"/>
      <c r="C619" s="1"/>
      <c r="D619" s="1"/>
      <c r="E619" s="1"/>
      <c r="F619" s="1"/>
      <c r="G619" s="1"/>
      <c r="H619" s="1"/>
    </row>
    <row r="620" spans="2:8" x14ac:dyDescent="0.25">
      <c r="B620" s="1"/>
      <c r="C620" s="1"/>
      <c r="D620" s="1"/>
      <c r="E620" s="1"/>
      <c r="F620" s="1"/>
      <c r="G620" s="1"/>
      <c r="H620" s="1"/>
    </row>
    <row r="621" spans="2:8" x14ac:dyDescent="0.25">
      <c r="B621" s="1"/>
      <c r="C621" s="1"/>
      <c r="D621" s="1"/>
      <c r="E621" s="1"/>
      <c r="F621" s="1"/>
      <c r="G621" s="1"/>
      <c r="H621" s="1"/>
    </row>
    <row r="622" spans="2:8" x14ac:dyDescent="0.25">
      <c r="B622" s="1"/>
      <c r="C622" s="1"/>
      <c r="D622" s="1"/>
      <c r="E622" s="1"/>
      <c r="F622" s="1"/>
      <c r="G622" s="1"/>
      <c r="H622" s="1"/>
    </row>
    <row r="623" spans="2:8" x14ac:dyDescent="0.25">
      <c r="B623" s="1"/>
      <c r="C623" s="1"/>
      <c r="D623" s="1"/>
      <c r="E623" s="1"/>
      <c r="F623" s="1"/>
      <c r="G623" s="1"/>
      <c r="H623" s="1"/>
    </row>
    <row r="624" spans="2:8" x14ac:dyDescent="0.25">
      <c r="B624" s="1"/>
      <c r="C624" s="1"/>
      <c r="D624" s="1"/>
      <c r="E624" s="1"/>
      <c r="F624" s="1"/>
      <c r="G624" s="1"/>
      <c r="H624" s="1"/>
    </row>
    <row r="625" spans="2:8" x14ac:dyDescent="0.25">
      <c r="B625" s="1"/>
      <c r="C625" s="1"/>
      <c r="D625" s="1"/>
      <c r="E625" s="1"/>
      <c r="F625" s="1"/>
      <c r="G625" s="1"/>
      <c r="H625" s="1"/>
    </row>
    <row r="626" spans="2:8" x14ac:dyDescent="0.25">
      <c r="B626" s="1"/>
      <c r="C626" s="1"/>
      <c r="D626" s="1"/>
      <c r="E626" s="1"/>
      <c r="F626" s="1"/>
      <c r="G626" s="1"/>
      <c r="H626" s="1"/>
    </row>
    <row r="627" spans="2:8" x14ac:dyDescent="0.25">
      <c r="B627" s="1"/>
      <c r="C627" s="1"/>
      <c r="D627" s="1"/>
      <c r="E627" s="1"/>
      <c r="F627" s="1"/>
      <c r="G627" s="1"/>
      <c r="H627" s="1"/>
    </row>
    <row r="628" spans="2:8" x14ac:dyDescent="0.25">
      <c r="B628" s="1"/>
      <c r="C628" s="1"/>
      <c r="D628" s="1"/>
      <c r="E628" s="1"/>
      <c r="F628" s="1"/>
      <c r="G628" s="1"/>
      <c r="H628" s="1"/>
    </row>
    <row r="629" spans="2:8" x14ac:dyDescent="0.25">
      <c r="B629" s="1"/>
      <c r="C629" s="1"/>
      <c r="D629" s="1"/>
      <c r="E629" s="1"/>
      <c r="F629" s="1"/>
      <c r="G629" s="1"/>
      <c r="H629" s="1"/>
    </row>
    <row r="630" spans="2:8" x14ac:dyDescent="0.25">
      <c r="B630" s="1"/>
      <c r="C630" s="1"/>
      <c r="D630" s="1"/>
      <c r="E630" s="1"/>
      <c r="F630" s="1"/>
      <c r="G630" s="1"/>
      <c r="H630" s="1"/>
    </row>
    <row r="631" spans="2:8" x14ac:dyDescent="0.25">
      <c r="B631" s="1"/>
      <c r="C631" s="1"/>
      <c r="D631" s="1"/>
      <c r="E631" s="1"/>
      <c r="F631" s="1"/>
      <c r="G631" s="1"/>
      <c r="H631" s="1"/>
    </row>
    <row r="632" spans="2:8" x14ac:dyDescent="0.25">
      <c r="B632" s="1"/>
      <c r="C632" s="1"/>
      <c r="D632" s="1"/>
      <c r="E632" s="1"/>
      <c r="F632" s="1"/>
      <c r="G632" s="1"/>
      <c r="H632" s="1"/>
    </row>
    <row r="633" spans="2:8" x14ac:dyDescent="0.25">
      <c r="B633" s="1"/>
      <c r="C633" s="1"/>
      <c r="D633" s="1"/>
      <c r="E633" s="1"/>
      <c r="F633" s="1"/>
      <c r="G633" s="1"/>
      <c r="H633" s="1"/>
    </row>
    <row r="634" spans="2:8" x14ac:dyDescent="0.25">
      <c r="B634" s="1"/>
      <c r="C634" s="1"/>
      <c r="D634" s="1"/>
      <c r="E634" s="1"/>
      <c r="F634" s="1"/>
      <c r="G634" s="1"/>
      <c r="H634" s="1"/>
    </row>
    <row r="635" spans="2:8" x14ac:dyDescent="0.25">
      <c r="B635" s="1"/>
      <c r="C635" s="1"/>
      <c r="D635" s="1"/>
      <c r="E635" s="1"/>
      <c r="F635" s="1"/>
      <c r="G635" s="1"/>
      <c r="H635" s="1"/>
    </row>
    <row r="636" spans="2:8" x14ac:dyDescent="0.25">
      <c r="B636" s="1"/>
      <c r="C636" s="1"/>
      <c r="D636" s="1"/>
      <c r="E636" s="1"/>
      <c r="F636" s="1"/>
      <c r="G636" s="1"/>
      <c r="H636" s="1"/>
    </row>
    <row r="637" spans="2:8" x14ac:dyDescent="0.25">
      <c r="B637" s="1"/>
      <c r="C637" s="1"/>
      <c r="D637" s="1"/>
      <c r="E637" s="1"/>
      <c r="F637" s="1"/>
      <c r="G637" s="1"/>
      <c r="H637" s="1"/>
    </row>
    <row r="638" spans="2:8" x14ac:dyDescent="0.25">
      <c r="B638" s="1"/>
      <c r="C638" s="1"/>
      <c r="D638" s="1"/>
      <c r="E638" s="1"/>
      <c r="F638" s="1"/>
      <c r="G638" s="1"/>
      <c r="H638" s="1"/>
    </row>
    <row r="639" spans="2:8" x14ac:dyDescent="0.25">
      <c r="B639" s="1"/>
      <c r="C639" s="1"/>
      <c r="D639" s="1"/>
      <c r="E639" s="1"/>
      <c r="F639" s="1"/>
      <c r="G639" s="1"/>
      <c r="H639" s="1"/>
    </row>
    <row r="640" spans="2:8" x14ac:dyDescent="0.25">
      <c r="B640" s="1"/>
      <c r="C640" s="1"/>
      <c r="D640" s="1"/>
      <c r="E640" s="1"/>
      <c r="F640" s="1"/>
      <c r="G640" s="1"/>
      <c r="H640" s="1"/>
    </row>
    <row r="641" spans="2:8" x14ac:dyDescent="0.25">
      <c r="B641" s="1"/>
      <c r="C641" s="1"/>
      <c r="D641" s="1"/>
      <c r="E641" s="1"/>
      <c r="F641" s="1"/>
      <c r="G641" s="1"/>
      <c r="H641" s="1"/>
    </row>
    <row r="642" spans="2:8" x14ac:dyDescent="0.25">
      <c r="B642" s="1"/>
      <c r="C642" s="1"/>
      <c r="D642" s="1"/>
      <c r="E642" s="1"/>
      <c r="F642" s="1"/>
      <c r="G642" s="1"/>
      <c r="H642" s="1"/>
    </row>
    <row r="643" spans="2:8" x14ac:dyDescent="0.25">
      <c r="B643" s="1"/>
      <c r="C643" s="1"/>
      <c r="D643" s="1"/>
      <c r="E643" s="1"/>
      <c r="F643" s="1"/>
      <c r="G643" s="1"/>
      <c r="H643" s="1"/>
    </row>
    <row r="644" spans="2:8" x14ac:dyDescent="0.25">
      <c r="B644" s="1"/>
      <c r="C644" s="1"/>
      <c r="D644" s="1"/>
      <c r="E644" s="1"/>
      <c r="F644" s="1"/>
      <c r="G644" s="1"/>
      <c r="H644" s="1"/>
    </row>
    <row r="645" spans="2:8" x14ac:dyDescent="0.25">
      <c r="B645" s="1"/>
      <c r="C645" s="1"/>
      <c r="D645" s="1"/>
      <c r="E645" s="1"/>
      <c r="F645" s="1"/>
      <c r="G645" s="1"/>
      <c r="H645" s="1"/>
    </row>
    <row r="646" spans="2:8" x14ac:dyDescent="0.25">
      <c r="B646" s="1"/>
      <c r="C646" s="1"/>
      <c r="D646" s="1"/>
      <c r="E646" s="1"/>
      <c r="F646" s="1"/>
      <c r="G646" s="1"/>
      <c r="H646" s="1"/>
    </row>
    <row r="647" spans="2:8" x14ac:dyDescent="0.25">
      <c r="B647" s="1"/>
      <c r="C647" s="1"/>
      <c r="D647" s="1"/>
      <c r="E647" s="1"/>
      <c r="F647" s="1"/>
      <c r="G647" s="1"/>
      <c r="H647" s="1"/>
    </row>
    <row r="648" spans="2:8" x14ac:dyDescent="0.25">
      <c r="B648" s="1"/>
      <c r="C648" s="1"/>
      <c r="D648" s="1"/>
      <c r="E648" s="1"/>
      <c r="F648" s="1"/>
      <c r="G648" s="1"/>
      <c r="H648" s="1"/>
    </row>
    <row r="649" spans="2:8" x14ac:dyDescent="0.25">
      <c r="B649" s="1"/>
      <c r="C649" s="1"/>
      <c r="D649" s="1"/>
      <c r="E649" s="1"/>
      <c r="F649" s="1"/>
      <c r="G649" s="1"/>
      <c r="H649" s="1"/>
    </row>
    <row r="650" spans="2:8" x14ac:dyDescent="0.25">
      <c r="B650" s="1"/>
      <c r="C650" s="1"/>
      <c r="D650" s="1"/>
      <c r="E650" s="1"/>
      <c r="F650" s="1"/>
      <c r="G650" s="1"/>
      <c r="H650" s="1"/>
    </row>
    <row r="651" spans="2:8" x14ac:dyDescent="0.25">
      <c r="B651" s="1"/>
      <c r="C651" s="1"/>
      <c r="D651" s="1"/>
      <c r="E651" s="1"/>
      <c r="F651" s="1"/>
      <c r="G651" s="1"/>
      <c r="H651" s="1"/>
    </row>
    <row r="652" spans="2:8" x14ac:dyDescent="0.25">
      <c r="B652" s="1"/>
      <c r="C652" s="1"/>
      <c r="D652" s="1"/>
      <c r="E652" s="1"/>
      <c r="F652" s="1"/>
      <c r="G652" s="1"/>
      <c r="H652" s="1"/>
    </row>
    <row r="653" spans="2:8" x14ac:dyDescent="0.25">
      <c r="B653" s="1"/>
      <c r="C653" s="1"/>
      <c r="D653" s="1"/>
      <c r="E653" s="1"/>
      <c r="F653" s="1"/>
      <c r="G653" s="1"/>
      <c r="H653" s="1"/>
    </row>
    <row r="654" spans="2:8" x14ac:dyDescent="0.25">
      <c r="B654" s="1"/>
      <c r="C654" s="1"/>
      <c r="D654" s="1"/>
      <c r="E654" s="1"/>
      <c r="F654" s="1"/>
      <c r="G654" s="1"/>
      <c r="H654" s="1"/>
    </row>
    <row r="655" spans="2:8" x14ac:dyDescent="0.25">
      <c r="B655" s="1"/>
      <c r="C655" s="1"/>
      <c r="D655" s="1"/>
      <c r="E655" s="1"/>
      <c r="F655" s="1"/>
      <c r="G655" s="1"/>
      <c r="H655" s="1"/>
    </row>
    <row r="656" spans="2:8" x14ac:dyDescent="0.25">
      <c r="B656" s="1"/>
      <c r="C656" s="1"/>
      <c r="D656" s="1"/>
      <c r="E656" s="1"/>
      <c r="F656" s="1"/>
      <c r="G656" s="1"/>
      <c r="H656" s="1"/>
    </row>
    <row r="657" spans="2:8" x14ac:dyDescent="0.25">
      <c r="B657" s="1"/>
      <c r="C657" s="1"/>
      <c r="D657" s="1"/>
      <c r="E657" s="1"/>
      <c r="F657" s="1"/>
      <c r="G657" s="1"/>
      <c r="H657" s="1"/>
    </row>
    <row r="658" spans="2:8" x14ac:dyDescent="0.25">
      <c r="B658" s="1"/>
      <c r="C658" s="1"/>
      <c r="D658" s="1"/>
      <c r="E658" s="1"/>
      <c r="F658" s="1"/>
      <c r="G658" s="1"/>
      <c r="H658" s="1"/>
    </row>
    <row r="659" spans="2:8" x14ac:dyDescent="0.25">
      <c r="B659" s="1"/>
      <c r="C659" s="1"/>
      <c r="D659" s="1"/>
      <c r="E659" s="1"/>
      <c r="F659" s="1"/>
      <c r="G659" s="1"/>
      <c r="H659" s="1"/>
    </row>
    <row r="660" spans="2:8" x14ac:dyDescent="0.25">
      <c r="B660" s="1"/>
      <c r="C660" s="1"/>
      <c r="D660" s="1"/>
      <c r="E660" s="1"/>
      <c r="F660" s="1"/>
      <c r="G660" s="1"/>
      <c r="H660" s="1"/>
    </row>
    <row r="661" spans="2:8" x14ac:dyDescent="0.25">
      <c r="B661" s="1"/>
      <c r="C661" s="1"/>
      <c r="D661" s="1"/>
      <c r="E661" s="1"/>
      <c r="F661" s="1"/>
      <c r="G661" s="1"/>
      <c r="H661" s="1"/>
    </row>
    <row r="662" spans="2:8" x14ac:dyDescent="0.25">
      <c r="B662" s="1"/>
      <c r="C662" s="1"/>
      <c r="D662" s="1"/>
      <c r="E662" s="1"/>
      <c r="F662" s="1"/>
      <c r="G662" s="1"/>
      <c r="H662" s="1"/>
    </row>
    <row r="663" spans="2:8" x14ac:dyDescent="0.25">
      <c r="B663" s="1"/>
      <c r="C663" s="1"/>
      <c r="D663" s="1"/>
      <c r="E663" s="1"/>
      <c r="F663" s="1"/>
      <c r="G663" s="1"/>
      <c r="H663" s="1"/>
    </row>
    <row r="664" spans="2:8" x14ac:dyDescent="0.25">
      <c r="B664" s="1"/>
      <c r="C664" s="1"/>
      <c r="D664" s="1"/>
      <c r="E664" s="1"/>
      <c r="F664" s="1"/>
      <c r="G664" s="1"/>
      <c r="H664" s="1"/>
    </row>
    <row r="665" spans="2:8" x14ac:dyDescent="0.25">
      <c r="B665" s="1"/>
      <c r="C665" s="1"/>
      <c r="D665" s="1"/>
      <c r="E665" s="1"/>
      <c r="F665" s="1"/>
      <c r="G665" s="1"/>
      <c r="H665" s="1"/>
    </row>
    <row r="666" spans="2:8" x14ac:dyDescent="0.25">
      <c r="B666" s="1"/>
      <c r="C666" s="1"/>
      <c r="D666" s="1"/>
      <c r="E666" s="1"/>
      <c r="F666" s="1"/>
      <c r="G666" s="1"/>
      <c r="H666" s="1"/>
    </row>
    <row r="667" spans="2:8" x14ac:dyDescent="0.25">
      <c r="B667" s="1"/>
      <c r="C667" s="1"/>
      <c r="D667" s="1"/>
      <c r="E667" s="1"/>
      <c r="F667" s="1"/>
      <c r="G667" s="1"/>
      <c r="H667" s="1"/>
    </row>
    <row r="668" spans="2:8" x14ac:dyDescent="0.25">
      <c r="B668" s="1"/>
      <c r="C668" s="1"/>
      <c r="D668" s="1"/>
      <c r="E668" s="1"/>
      <c r="F668" s="1"/>
      <c r="G668" s="1"/>
      <c r="H668" s="1"/>
    </row>
    <row r="669" spans="2:8" x14ac:dyDescent="0.25">
      <c r="B669" s="1"/>
      <c r="C669" s="1"/>
      <c r="D669" s="1"/>
      <c r="E669" s="1"/>
      <c r="F669" s="1"/>
      <c r="G669" s="1"/>
      <c r="H669" s="1"/>
    </row>
    <row r="670" spans="2:8" x14ac:dyDescent="0.25">
      <c r="B670" s="1"/>
      <c r="C670" s="1"/>
      <c r="D670" s="1"/>
      <c r="E670" s="1"/>
      <c r="F670" s="1"/>
      <c r="G670" s="1"/>
      <c r="H670" s="1"/>
    </row>
    <row r="671" spans="2:8" x14ac:dyDescent="0.25">
      <c r="B671" s="1"/>
      <c r="C671" s="1"/>
      <c r="D671" s="1"/>
      <c r="E671" s="1"/>
      <c r="F671" s="1"/>
      <c r="G671" s="1"/>
      <c r="H671" s="1"/>
    </row>
    <row r="672" spans="2:8" x14ac:dyDescent="0.25">
      <c r="B672" s="1"/>
      <c r="C672" s="1"/>
      <c r="D672" s="1"/>
      <c r="E672" s="1"/>
      <c r="F672" s="1"/>
      <c r="G672" s="1"/>
      <c r="H672" s="1"/>
    </row>
    <row r="673" spans="2:8" x14ac:dyDescent="0.25">
      <c r="B673" s="1"/>
      <c r="C673" s="1"/>
      <c r="D673" s="1"/>
      <c r="E673" s="1"/>
      <c r="F673" s="1"/>
      <c r="G673" s="1"/>
      <c r="H673" s="1"/>
    </row>
    <row r="674" spans="2:8" x14ac:dyDescent="0.25">
      <c r="B674" s="1"/>
      <c r="C674" s="1"/>
      <c r="D674" s="1"/>
      <c r="E674" s="1"/>
      <c r="F674" s="1"/>
      <c r="G674" s="1"/>
      <c r="H674" s="1"/>
    </row>
    <row r="675" spans="2:8" x14ac:dyDescent="0.25">
      <c r="B675" s="1"/>
      <c r="C675" s="1"/>
      <c r="D675" s="1"/>
      <c r="E675" s="1"/>
      <c r="F675" s="1"/>
      <c r="G675" s="1"/>
      <c r="H675" s="1"/>
    </row>
    <row r="676" spans="2:8" x14ac:dyDescent="0.25">
      <c r="B676" s="1"/>
      <c r="C676" s="1"/>
      <c r="D676" s="1"/>
      <c r="E676" s="1"/>
      <c r="F676" s="1"/>
      <c r="G676" s="1"/>
      <c r="H676" s="1"/>
    </row>
    <row r="677" spans="2:8" x14ac:dyDescent="0.25">
      <c r="B677" s="1"/>
      <c r="C677" s="1"/>
      <c r="D677" s="1"/>
      <c r="E677" s="1"/>
      <c r="F677" s="1"/>
      <c r="G677" s="1"/>
      <c r="H677" s="1"/>
    </row>
    <row r="678" spans="2:8" x14ac:dyDescent="0.25">
      <c r="B678" s="1"/>
      <c r="C678" s="1"/>
      <c r="D678" s="1"/>
      <c r="E678" s="1"/>
      <c r="F678" s="1"/>
      <c r="G678" s="1"/>
      <c r="H678" s="1"/>
    </row>
    <row r="679" spans="2:8" x14ac:dyDescent="0.25">
      <c r="B679" s="1"/>
      <c r="C679" s="1"/>
      <c r="D679" s="1"/>
      <c r="E679" s="1"/>
      <c r="F679" s="1"/>
      <c r="G679" s="1"/>
      <c r="H679" s="1"/>
    </row>
    <row r="680" spans="2:8" x14ac:dyDescent="0.25">
      <c r="B680" s="1"/>
      <c r="C680" s="1"/>
      <c r="D680" s="1"/>
      <c r="E680" s="1"/>
      <c r="F680" s="1"/>
      <c r="G680" s="1"/>
      <c r="H680" s="1"/>
    </row>
    <row r="681" spans="2:8" x14ac:dyDescent="0.25">
      <c r="B681" s="1"/>
      <c r="C681" s="1"/>
      <c r="D681" s="1"/>
      <c r="E681" s="1"/>
      <c r="F681" s="1"/>
      <c r="G681" s="1"/>
      <c r="H681" s="1"/>
    </row>
    <row r="682" spans="2:8" x14ac:dyDescent="0.25">
      <c r="B682" s="1"/>
      <c r="C682" s="1"/>
      <c r="D682" s="1"/>
      <c r="E682" s="1"/>
      <c r="F682" s="1"/>
      <c r="G682" s="1"/>
      <c r="H682" s="1"/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313"/>
  <sheetViews>
    <sheetView workbookViewId="0"/>
  </sheetViews>
  <sheetFormatPr defaultRowHeight="15" x14ac:dyDescent="0.25"/>
  <cols>
    <col min="1" max="1" width="12.7109375" customWidth="1"/>
    <col min="2" max="2" width="9.28515625" customWidth="1"/>
    <col min="3" max="4" width="8.5703125" customWidth="1"/>
    <col min="5" max="6" width="9" customWidth="1"/>
    <col min="7" max="8" width="12" customWidth="1"/>
    <col min="9" max="9" width="12.7109375" customWidth="1"/>
    <col min="10" max="10" width="5" customWidth="1"/>
    <col min="11" max="11" width="8.5703125" customWidth="1"/>
    <col min="12" max="12" width="5.85546875" customWidth="1"/>
    <col min="13" max="13" width="4.28515625" customWidth="1"/>
    <col min="16" max="17" width="10.28515625" bestFit="1" customWidth="1"/>
    <col min="19" max="19" width="12.140625" customWidth="1"/>
  </cols>
  <sheetData>
    <row r="1" spans="1:18" x14ac:dyDescent="0.25">
      <c r="A1" t="s">
        <v>12</v>
      </c>
      <c r="B1" t="s">
        <v>9</v>
      </c>
      <c r="C1" t="s">
        <v>32</v>
      </c>
      <c r="D1" t="s">
        <v>33</v>
      </c>
      <c r="E1" t="s">
        <v>34</v>
      </c>
      <c r="F1" t="s">
        <v>35</v>
      </c>
      <c r="G1" t="s">
        <v>30</v>
      </c>
      <c r="H1" t="s">
        <v>36</v>
      </c>
      <c r="I1" t="s">
        <v>31</v>
      </c>
      <c r="P1" t="s">
        <v>7</v>
      </c>
      <c r="Q1" t="s">
        <v>5</v>
      </c>
      <c r="R1" t="s">
        <v>8</v>
      </c>
    </row>
    <row r="2" spans="1:18" x14ac:dyDescent="0.25">
      <c r="A2">
        <v>-143.38788986206001</v>
      </c>
      <c r="B2" s="1">
        <v>-9.1151020576774004E-5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>
        <v>0</v>
      </c>
      <c r="I2" s="1">
        <v>0</v>
      </c>
      <c r="O2" t="s">
        <v>10</v>
      </c>
      <c r="P2" s="4">
        <f>G34+I34</f>
        <v>9.7848429307125437E-2</v>
      </c>
      <c r="Q2" s="4">
        <f>-[1]budget_tt!$B$4</f>
        <v>0.10181564507334001</v>
      </c>
      <c r="R2">
        <f>100*(Q2-P2)/Q2</f>
        <v>3.8964697059640518</v>
      </c>
    </row>
    <row r="3" spans="1:18" x14ac:dyDescent="0.25">
      <c r="A3">
        <v>-130.70960640907199</v>
      </c>
      <c r="B3" s="1">
        <v>-9.1151020576774004E-5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>
        <v>0</v>
      </c>
      <c r="I3" s="1">
        <v>0</v>
      </c>
      <c r="P3" s="4">
        <f>0.0963878227509318+(-0.0000078041411686131)</f>
        <v>9.6380018609763182E-2</v>
      </c>
    </row>
    <row r="4" spans="1:18" x14ac:dyDescent="0.25">
      <c r="A4">
        <v>-119.078135490417</v>
      </c>
      <c r="B4" s="1">
        <v>-9.1151020576774004E-5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>
        <v>0</v>
      </c>
      <c r="I4" s="1">
        <v>0</v>
      </c>
      <c r="O4" t="s">
        <v>11</v>
      </c>
      <c r="P4" s="4">
        <f>G98+I98</f>
        <v>1.4858728823311775E-2</v>
      </c>
      <c r="Q4" s="4">
        <f>-[2]budget_tt!$B$4</f>
        <v>1.6752665828209001E-2</v>
      </c>
    </row>
    <row r="5" spans="1:18" x14ac:dyDescent="0.25">
      <c r="A5">
        <v>-108.407056331634</v>
      </c>
      <c r="B5" s="1">
        <v>-9.1151020576774004E-5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>
        <v>0</v>
      </c>
      <c r="I5" s="1">
        <v>0</v>
      </c>
      <c r="P5" s="4">
        <f>0.0145574070641305+(-9.13381571644293E-06)</f>
        <v>1.4548273248414055E-2</v>
      </c>
    </row>
    <row r="6" spans="1:18" x14ac:dyDescent="0.25">
      <c r="A6">
        <v>-98.617064952850299</v>
      </c>
      <c r="B6" s="1">
        <v>-9.1151020576774004E-5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>
        <v>0</v>
      </c>
      <c r="I6" s="1">
        <v>0</v>
      </c>
    </row>
    <row r="7" spans="1:18" x14ac:dyDescent="0.25">
      <c r="A7">
        <v>-89.635455608367906</v>
      </c>
      <c r="B7" s="1">
        <v>-9.1151020576774004E-5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>
        <v>0</v>
      </c>
      <c r="I7" s="1">
        <v>0</v>
      </c>
    </row>
    <row r="8" spans="1:18" x14ac:dyDescent="0.25">
      <c r="A8">
        <v>-81.395459175109806</v>
      </c>
      <c r="B8" s="1">
        <v>-9.1151020576774004E-5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>
        <v>0</v>
      </c>
      <c r="I8" s="1">
        <v>0</v>
      </c>
    </row>
    <row r="9" spans="1:18" x14ac:dyDescent="0.25">
      <c r="A9">
        <v>-73.835813999175997</v>
      </c>
      <c r="B9" s="1">
        <v>-9.1151020576774004E-5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>
        <v>0</v>
      </c>
      <c r="I9" s="1">
        <v>0</v>
      </c>
    </row>
    <row r="10" spans="1:18" x14ac:dyDescent="0.25">
      <c r="A10">
        <v>-66.900336742401095</v>
      </c>
      <c r="B10" s="1">
        <v>-9.1151020576774004E-5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>
        <v>0</v>
      </c>
      <c r="I10" s="1">
        <v>0</v>
      </c>
    </row>
    <row r="11" spans="1:18" x14ac:dyDescent="0.25">
      <c r="A11">
        <v>-60.537528991699197</v>
      </c>
      <c r="B11" s="1">
        <v>-9.1151020576774004E-5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</row>
    <row r="12" spans="1:18" x14ac:dyDescent="0.25">
      <c r="A12">
        <v>-54.700112342834402</v>
      </c>
      <c r="B12" s="1">
        <v>-9.1151020576774004E-5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>
        <v>0</v>
      </c>
      <c r="I12" s="1">
        <v>0</v>
      </c>
    </row>
    <row r="13" spans="1:18" x14ac:dyDescent="0.25">
      <c r="A13">
        <v>-49.344670772552398</v>
      </c>
      <c r="B13" s="1">
        <v>-9.1151020576774004E-5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>
        <v>0</v>
      </c>
      <c r="I13" s="1">
        <v>0</v>
      </c>
    </row>
    <row r="14" spans="1:18" x14ac:dyDescent="0.25">
      <c r="A14">
        <v>-44.431400299072202</v>
      </c>
      <c r="B14" s="1">
        <v>-9.1151020576774004E-5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>
        <v>0</v>
      </c>
      <c r="I14" s="1">
        <v>0</v>
      </c>
    </row>
    <row r="15" spans="1:18" x14ac:dyDescent="0.25">
      <c r="A15">
        <v>-39.923822879791203</v>
      </c>
      <c r="B15" s="1">
        <v>-9.1151020576774004E-5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>
        <v>0</v>
      </c>
      <c r="I15" s="1">
        <v>0</v>
      </c>
    </row>
    <row r="16" spans="1:18" x14ac:dyDescent="0.25">
      <c r="A16">
        <v>-35.788428783416698</v>
      </c>
      <c r="B16" s="1">
        <v>-9.1151020576774004E-5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>
        <v>0</v>
      </c>
      <c r="I16" s="1">
        <v>0</v>
      </c>
    </row>
    <row r="17" spans="1:9" x14ac:dyDescent="0.25">
      <c r="A17">
        <v>-31.994497776031402</v>
      </c>
      <c r="B17" s="1">
        <v>-9.1151020576774004E-5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>
        <v>0</v>
      </c>
      <c r="I17" s="1">
        <v>0</v>
      </c>
    </row>
    <row r="18" spans="1:9" x14ac:dyDescent="0.25">
      <c r="A18">
        <v>-28.5138309001922</v>
      </c>
      <c r="B18" s="1">
        <v>-9.1151020576774004E-5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>
        <v>0</v>
      </c>
      <c r="I18" s="1">
        <v>0</v>
      </c>
    </row>
    <row r="19" spans="1:9" x14ac:dyDescent="0.25">
      <c r="A19">
        <v>-25.320571660995402</v>
      </c>
      <c r="B19" s="1">
        <v>-9.1151020576774004E-5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>
        <v>0</v>
      </c>
      <c r="I19" s="1">
        <v>0</v>
      </c>
    </row>
    <row r="20" spans="1:9" x14ac:dyDescent="0.25">
      <c r="A20">
        <v>-22.3909378051757</v>
      </c>
      <c r="B20" s="1">
        <v>-9.1151020576774004E-5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>
        <v>0</v>
      </c>
      <c r="I20" s="1">
        <v>0</v>
      </c>
    </row>
    <row r="21" spans="1:9" x14ac:dyDescent="0.25">
      <c r="A21">
        <v>-19.7032213211059</v>
      </c>
      <c r="B21" s="1">
        <v>-9.1151020576774004E-5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>
        <v>0</v>
      </c>
      <c r="I21" s="1">
        <v>0</v>
      </c>
    </row>
    <row r="22" spans="1:9" x14ac:dyDescent="0.25">
      <c r="A22">
        <v>-17.237430810928299</v>
      </c>
      <c r="B22" s="1">
        <v>-9.1151020576774004E-5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>
        <v>0</v>
      </c>
      <c r="I22" s="1">
        <v>0</v>
      </c>
    </row>
    <row r="23" spans="1:9" x14ac:dyDescent="0.25">
      <c r="A23">
        <v>-14.975237846374499</v>
      </c>
      <c r="B23" s="1">
        <v>-9.1151020576774004E-5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>
        <v>0</v>
      </c>
      <c r="I23" s="1">
        <v>0</v>
      </c>
    </row>
    <row r="24" spans="1:9" x14ac:dyDescent="0.25">
      <c r="A24">
        <v>-12.8998160362243</v>
      </c>
      <c r="B24" s="1">
        <v>-9.1151020576774004E-5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>
        <v>0</v>
      </c>
      <c r="I24" s="1">
        <v>0</v>
      </c>
    </row>
    <row r="25" spans="1:9" x14ac:dyDescent="0.25">
      <c r="A25">
        <v>-10.995769500732401</v>
      </c>
      <c r="B25" s="1">
        <v>-9.1151020576774004E-5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>
        <v>0</v>
      </c>
      <c r="I25" s="1">
        <v>0</v>
      </c>
    </row>
    <row r="26" spans="1:9" x14ac:dyDescent="0.25">
      <c r="A26">
        <v>-9.2489361763000399</v>
      </c>
      <c r="B26" s="1">
        <v>-9.1151020576774004E-5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>
        <v>0</v>
      </c>
      <c r="I26" s="1">
        <v>0</v>
      </c>
    </row>
    <row r="27" spans="1:9" x14ac:dyDescent="0.25">
      <c r="A27">
        <v>-7.6463341712951598</v>
      </c>
      <c r="B27" s="1">
        <v>-9.1151020576774004E-5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</row>
    <row r="28" spans="1:9" x14ac:dyDescent="0.25">
      <c r="A28">
        <v>-6.1760544776916504</v>
      </c>
      <c r="B28" s="1">
        <v>-9.1151020576774004E-5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>
        <v>0</v>
      </c>
      <c r="I28" s="1">
        <v>0</v>
      </c>
    </row>
    <row r="29" spans="1:9" x14ac:dyDescent="0.25">
      <c r="A29">
        <v>-4.8271894454956001</v>
      </c>
      <c r="B29" s="1">
        <v>-9.1151020576774004E-5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>
        <v>0</v>
      </c>
      <c r="I29" s="1">
        <v>0</v>
      </c>
    </row>
    <row r="30" spans="1:9" x14ac:dyDescent="0.25">
      <c r="A30">
        <v>-3.5896897315978999</v>
      </c>
      <c r="B30" s="1">
        <v>-9.1151020576774004E-5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>
        <v>0</v>
      </c>
      <c r="I30" s="1">
        <v>0</v>
      </c>
    </row>
    <row r="31" spans="1:9" x14ac:dyDescent="0.25">
      <c r="A31">
        <v>-2.4543642997741602</v>
      </c>
      <c r="B31" s="1">
        <v>-9.1151020576774004E-5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>
        <v>0</v>
      </c>
      <c r="I31" s="1">
        <v>0</v>
      </c>
    </row>
    <row r="32" spans="1:9" x14ac:dyDescent="0.25">
      <c r="A32">
        <v>-1.41280889511108</v>
      </c>
      <c r="B32" s="1">
        <v>-9.1151020576774004E-5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>
        <v>0</v>
      </c>
      <c r="I32" s="1">
        <v>0</v>
      </c>
    </row>
    <row r="33" spans="1:16" x14ac:dyDescent="0.25">
      <c r="A33">
        <v>-0.45722723007202098</v>
      </c>
      <c r="B33" s="1">
        <v>-9.1151020576774004E-5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>
        <v>0</v>
      </c>
      <c r="I33" s="1">
        <v>0</v>
      </c>
    </row>
    <row r="34" spans="1:16" x14ac:dyDescent="0.25">
      <c r="A34">
        <v>0.49999952316284102</v>
      </c>
      <c r="B34" s="1">
        <v>0.35452905014334801</v>
      </c>
      <c r="C34" s="1">
        <v>1.73613930535623E-2</v>
      </c>
      <c r="D34" s="1">
        <v>2.2309978290493301E-2</v>
      </c>
      <c r="E34" s="1">
        <v>-4.3447067005184603E-5</v>
      </c>
      <c r="F34" s="1">
        <v>-3.9230154579527698E-6</v>
      </c>
      <c r="G34" s="1">
        <v>9.78480858375744E-2</v>
      </c>
      <c r="H34">
        <v>0.99942781771902001</v>
      </c>
      <c r="I34" s="1">
        <v>3.4346955103057599E-7</v>
      </c>
      <c r="P34" s="3"/>
    </row>
    <row r="35" spans="1:16" x14ac:dyDescent="0.25">
      <c r="A35">
        <v>1.5449970960617001</v>
      </c>
      <c r="B35" s="1">
        <v>1.0952513649472</v>
      </c>
      <c r="C35" s="1">
        <v>0.16572440625054599</v>
      </c>
      <c r="D35" s="1">
        <v>0.21402038770134399</v>
      </c>
      <c r="E35" s="1">
        <v>-1.0090686012514899E-3</v>
      </c>
      <c r="F35" s="1">
        <v>-3.6699353957195899E-5</v>
      </c>
      <c r="G35" s="1">
        <v>9.7838789562501E-2</v>
      </c>
      <c r="H35">
        <v>0.99453070671041199</v>
      </c>
      <c r="I35" s="1">
        <v>8.7418368215082803E-6</v>
      </c>
    </row>
    <row r="36" spans="1:16" x14ac:dyDescent="0.25">
      <c r="A36">
        <v>2.6840418577194201</v>
      </c>
      <c r="B36" s="1">
        <v>1.89974822507883</v>
      </c>
      <c r="C36" s="1">
        <v>0.49750285746540601</v>
      </c>
      <c r="D36" s="1">
        <v>0.64494166207961101</v>
      </c>
      <c r="E36" s="1">
        <v>-5.8618128362985201E-3</v>
      </c>
      <c r="F36" s="1">
        <v>-1.0279294637199E-4</v>
      </c>
      <c r="G36" s="1">
        <v>9.7124335962237504E-2</v>
      </c>
      <c r="H36">
        <v>0.98340169800135602</v>
      </c>
      <c r="I36" s="1">
        <v>4.1801944131627399E-5</v>
      </c>
    </row>
    <row r="37" spans="1:16" x14ac:dyDescent="0.25">
      <c r="A37">
        <v>3.9256095886230402</v>
      </c>
      <c r="B37" s="1">
        <v>2.7676744389691401</v>
      </c>
      <c r="C37" s="1">
        <v>1.04582571982427</v>
      </c>
      <c r="D37" s="1">
        <v>1.35694123587242</v>
      </c>
      <c r="E37" s="1">
        <v>-1.8648116567995501E-2</v>
      </c>
      <c r="F37" s="1">
        <v>-1.9679070111197999E-4</v>
      </c>
      <c r="G37" s="1">
        <v>9.4836241001328106E-2</v>
      </c>
      <c r="H37">
        <v>0.96405001315703698</v>
      </c>
      <c r="I37" s="1">
        <v>1.0368214784906899E-4</v>
      </c>
    </row>
    <row r="38" spans="1:16" x14ac:dyDescent="0.25">
      <c r="A38">
        <v>5.2789181470870901</v>
      </c>
      <c r="B38" s="1">
        <v>3.6932135497563499</v>
      </c>
      <c r="C38" s="1">
        <v>1.8208298866666099</v>
      </c>
      <c r="D38" s="1">
        <v>2.3517525452636301</v>
      </c>
      <c r="E38" s="1">
        <v>-4.3940707922415903E-2</v>
      </c>
      <c r="F38" s="1">
        <v>-3.1005843182889902E-4</v>
      </c>
      <c r="G38" s="1">
        <v>9.0496106311082194E-2</v>
      </c>
      <c r="H38">
        <v>0.93383709500074197</v>
      </c>
      <c r="I38" s="1">
        <v>2.01033948920435E-4</v>
      </c>
    </row>
    <row r="39" spans="1:16" x14ac:dyDescent="0.25">
      <c r="A39">
        <v>6.7540258169174097</v>
      </c>
      <c r="B39" s="1">
        <v>4.66325636146302</v>
      </c>
      <c r="C39" s="1">
        <v>2.7874564059020401</v>
      </c>
      <c r="D39" s="1">
        <v>3.5583069348549299</v>
      </c>
      <c r="E39" s="1">
        <v>-8.5230647527802905E-2</v>
      </c>
      <c r="F39" s="1">
        <v>-4.1626368103313098E-4</v>
      </c>
      <c r="G39" s="1">
        <v>8.4781451264531502E-2</v>
      </c>
      <c r="H39">
        <v>0.89061684364688298</v>
      </c>
      <c r="I39">
        <v>4.30892110929037E-4</v>
      </c>
    </row>
    <row r="40" spans="1:16" x14ac:dyDescent="0.25">
      <c r="A40">
        <v>8.3618760108947701</v>
      </c>
      <c r="B40" s="1">
        <v>5.6571006042295098</v>
      </c>
      <c r="C40" s="1">
        <v>3.85411599390499</v>
      </c>
      <c r="D40" s="1">
        <v>4.8267975598132198</v>
      </c>
      <c r="E40" s="1">
        <v>-0.14304313929315299</v>
      </c>
      <c r="F40" s="1">
        <v>-4.619721831138E-4</v>
      </c>
      <c r="G40" s="1">
        <v>7.9855385245215502E-2</v>
      </c>
      <c r="H40">
        <v>0.83666871203890902</v>
      </c>
      <c r="I40" s="1">
        <v>1.2648610488181799E-3</v>
      </c>
    </row>
    <row r="41" spans="1:16" x14ac:dyDescent="0.25">
      <c r="A41">
        <v>10.1144403219223</v>
      </c>
      <c r="B41" s="1">
        <v>6.6486250882380702</v>
      </c>
      <c r="C41" s="1">
        <v>4.8888318523459002</v>
      </c>
      <c r="D41" s="1">
        <v>5.96974608182515</v>
      </c>
      <c r="E41" s="1">
        <v>-0.213959643112623</v>
      </c>
      <c r="F41" s="1">
        <v>-3.82340563773001E-4</v>
      </c>
      <c r="G41" s="1">
        <v>7.8192925352837006E-2</v>
      </c>
      <c r="H41">
        <v>0.78216001963026804</v>
      </c>
      <c r="I41">
        <v>3.6281533258150601E-3</v>
      </c>
    </row>
    <row r="42" spans="1:16" x14ac:dyDescent="0.25">
      <c r="A42">
        <v>12.024745345115599</v>
      </c>
      <c r="B42" s="1">
        <v>7.6110210673295899</v>
      </c>
      <c r="C42" s="1">
        <v>5.7621887815621404</v>
      </c>
      <c r="D42" s="1">
        <v>6.8320210457112998</v>
      </c>
      <c r="E42" s="1">
        <v>-0.29156855196545201</v>
      </c>
      <c r="F42" s="1">
        <v>-1.23296948094342E-4</v>
      </c>
      <c r="G42" s="1">
        <v>8.0514410135866604E-2</v>
      </c>
      <c r="H42">
        <v>0.73835270196390601</v>
      </c>
      <c r="I42">
        <v>7.2638659188895604E-3</v>
      </c>
    </row>
    <row r="43" spans="1:16" x14ac:dyDescent="0.25">
      <c r="A43">
        <v>14.106971025466899</v>
      </c>
      <c r="B43" s="1">
        <v>8.5222010420047702</v>
      </c>
      <c r="C43" s="1">
        <v>6.3895044889213697</v>
      </c>
      <c r="D43" s="1">
        <v>7.3403035119857503</v>
      </c>
      <c r="E43" s="1">
        <v>-0.36882554914609</v>
      </c>
      <c r="F43" s="1">
        <v>3.2969854046928398E-4</v>
      </c>
      <c r="G43" s="1">
        <v>8.5271106774855401E-2</v>
      </c>
      <c r="H43">
        <v>0.70741619080444296</v>
      </c>
      <c r="I43">
        <v>9.8228484676084905E-3</v>
      </c>
    </row>
    <row r="44" spans="1:16" x14ac:dyDescent="0.25">
      <c r="A44">
        <v>16.3766205310821</v>
      </c>
      <c r="B44" s="1">
        <v>9.3681119636976202</v>
      </c>
      <c r="C44" s="1">
        <v>6.7452940386137898</v>
      </c>
      <c r="D44" s="1">
        <v>7.5040102794314798</v>
      </c>
      <c r="E44" s="1">
        <v>-0.44012105872142598</v>
      </c>
      <c r="F44" s="1">
        <v>9.4912753168463102E-4</v>
      </c>
      <c r="G44" s="1">
        <v>9.0005873035668593E-2</v>
      </c>
      <c r="H44">
        <v>0.68468907782535005</v>
      </c>
      <c r="I44">
        <v>9.43347037332091E-3</v>
      </c>
    </row>
    <row r="45" spans="1:16" x14ac:dyDescent="0.25">
      <c r="A45">
        <v>18.850511312484699</v>
      </c>
      <c r="B45" s="1">
        <v>10.142839181550601</v>
      </c>
      <c r="C45" s="1">
        <v>6.8505539570323801</v>
      </c>
      <c r="D45" s="1">
        <v>7.3835954388938996</v>
      </c>
      <c r="E45" s="1">
        <v>-0.50199414698292899</v>
      </c>
      <c r="F45" s="1">
        <v>1.59322249335274E-3</v>
      </c>
      <c r="G45" s="1">
        <v>9.2840149556081594E-2</v>
      </c>
      <c r="H45">
        <v>0.66544137813760995</v>
      </c>
      <c r="I45">
        <v>6.3578946424378098E-3</v>
      </c>
    </row>
    <row r="46" spans="1:16" x14ac:dyDescent="0.25">
      <c r="A46">
        <v>21.5470612049102</v>
      </c>
      <c r="B46" s="1">
        <v>10.846607252337799</v>
      </c>
      <c r="C46" s="1">
        <v>6.7504211971827299</v>
      </c>
      <c r="D46" s="1">
        <v>7.0562361214555596</v>
      </c>
      <c r="E46" s="1">
        <v>-0.55286705486888199</v>
      </c>
      <c r="F46" s="1">
        <v>2.0902014944605999E-3</v>
      </c>
      <c r="G46" s="1">
        <v>9.3030322440982E-2</v>
      </c>
      <c r="H46">
        <v>0.64714868335051001</v>
      </c>
      <c r="I46">
        <v>2.0006301508487499E-3</v>
      </c>
    </row>
    <row r="47" spans="1:16" x14ac:dyDescent="0.25">
      <c r="A47">
        <v>24.4862973690032</v>
      </c>
      <c r="B47" s="1">
        <v>11.483374088385</v>
      </c>
      <c r="C47" s="1">
        <v>6.4961382956971603</v>
      </c>
      <c r="D47" s="1">
        <v>6.5941940100026804</v>
      </c>
      <c r="E47" s="1">
        <v>-0.59242901743635301</v>
      </c>
      <c r="F47" s="1">
        <v>2.39043999967012E-3</v>
      </c>
      <c r="G47" s="1">
        <v>9.0689989240628099E-2</v>
      </c>
      <c r="H47">
        <v>0.62880961417756798</v>
      </c>
      <c r="I47" s="1">
        <v>-2.3421725545337002E-3</v>
      </c>
    </row>
    <row r="48" spans="1:16" x14ac:dyDescent="0.25">
      <c r="A48">
        <v>27.690052986145002</v>
      </c>
      <c r="B48" s="1">
        <v>12.059005937852801</v>
      </c>
      <c r="C48" s="1">
        <v>6.1352882682258398</v>
      </c>
      <c r="D48" s="1">
        <v>6.0562186811800203</v>
      </c>
      <c r="E48" s="1">
        <v>-0.62109036654342997</v>
      </c>
      <c r="F48" s="1">
        <v>2.5386471262994902E-3</v>
      </c>
      <c r="G48" s="1">
        <v>8.63455439418431E-2</v>
      </c>
      <c r="H48">
        <v>0.61023502706604205</v>
      </c>
      <c r="I48">
        <v>-5.9234895588584002E-3</v>
      </c>
    </row>
    <row r="49" spans="1:9" x14ac:dyDescent="0.25">
      <c r="A49">
        <v>31.1821639537811</v>
      </c>
      <c r="B49" s="1">
        <v>12.5801482529723</v>
      </c>
      <c r="C49" s="1">
        <v>5.7079092980566104</v>
      </c>
      <c r="D49" s="1">
        <v>5.4863456859537996</v>
      </c>
      <c r="E49" s="1">
        <v>-0.63960012878334904</v>
      </c>
      <c r="F49" s="1">
        <v>2.4514838491481398E-3</v>
      </c>
      <c r="G49" s="1">
        <v>8.0609142446193202E-2</v>
      </c>
      <c r="H49">
        <v>0.59158290500556798</v>
      </c>
      <c r="I49">
        <v>-8.4579101158069499E-3</v>
      </c>
    </row>
    <row r="50" spans="1:9" x14ac:dyDescent="0.25">
      <c r="A50">
        <v>34.988558292388902</v>
      </c>
      <c r="B50" s="1">
        <v>13.053622640051699</v>
      </c>
      <c r="C50" s="1">
        <v>5.2456103903896203</v>
      </c>
      <c r="D50" s="1">
        <v>4.9153624542758498</v>
      </c>
      <c r="E50" s="1">
        <v>-0.64878739606567903</v>
      </c>
      <c r="F50" s="1">
        <v>1.9624923873910898E-3</v>
      </c>
      <c r="G50" s="1">
        <v>7.40229676388207E-2</v>
      </c>
      <c r="H50">
        <v>0.57337703227374204</v>
      </c>
      <c r="I50">
        <v>-9.9610551961089207E-3</v>
      </c>
    </row>
    <row r="51" spans="1:9" x14ac:dyDescent="0.25">
      <c r="A51">
        <v>39.137506484985302</v>
      </c>
      <c r="B51" s="1">
        <v>13.4859539413237</v>
      </c>
      <c r="C51" s="1">
        <v>4.7722863752642199</v>
      </c>
      <c r="D51" s="1">
        <v>4.3641739455445103</v>
      </c>
      <c r="E51" s="1">
        <v>-0.64955964786622999</v>
      </c>
      <c r="F51" s="1">
        <v>1.1351493035202101E-3</v>
      </c>
      <c r="G51" s="1">
        <v>6.6938427216214499E-2</v>
      </c>
      <c r="H51">
        <v>0.55618395072544002</v>
      </c>
      <c r="I51">
        <v>-1.0539665408917801E-2</v>
      </c>
    </row>
    <row r="52" spans="1:9" x14ac:dyDescent="0.25">
      <c r="A52">
        <v>43.659898638725203</v>
      </c>
      <c r="B52" s="1">
        <v>13.8831036233686</v>
      </c>
      <c r="C52" s="1">
        <v>4.3048982708642098</v>
      </c>
      <c r="D52" s="1">
        <v>3.8459833165953401</v>
      </c>
      <c r="E52" s="1">
        <v>-0.64262477171866195</v>
      </c>
      <c r="F52" s="1">
        <v>3.6732646525720799E-4</v>
      </c>
      <c r="G52" s="1">
        <v>5.9621557852536602E-2</v>
      </c>
      <c r="H52">
        <v>0.54032825818761998</v>
      </c>
      <c r="I52">
        <v>-1.0354349784493099E-2</v>
      </c>
    </row>
    <row r="53" spans="1:9" x14ac:dyDescent="0.25">
      <c r="A53">
        <v>48.589280247688201</v>
      </c>
      <c r="B53" s="1">
        <v>14.250405504682</v>
      </c>
      <c r="C53" s="1">
        <v>3.8547557333658902</v>
      </c>
      <c r="D53" s="1">
        <v>3.3677346494366902</v>
      </c>
      <c r="E53" s="1">
        <v>-0.62860922935488095</v>
      </c>
      <c r="F53" s="1">
        <v>2.2660356832806799E-5</v>
      </c>
      <c r="G53" s="1">
        <v>5.2263281174570499E-2</v>
      </c>
      <c r="H53">
        <v>0.52570283635443205</v>
      </c>
      <c r="I53">
        <v>-9.5756588518426493E-3</v>
      </c>
    </row>
    <row r="54" spans="1:9" x14ac:dyDescent="0.25">
      <c r="A54">
        <v>53.962334990501397</v>
      </c>
      <c r="B54" s="1">
        <v>14.592406264819999</v>
      </c>
      <c r="C54" s="1">
        <v>3.4287793705079799</v>
      </c>
      <c r="D54" s="1">
        <v>2.9324771610820899</v>
      </c>
      <c r="E54" s="1">
        <v>-0.608016706646344</v>
      </c>
      <c r="F54" s="1">
        <v>3.0431418826635598E-5</v>
      </c>
      <c r="G54" s="1">
        <v>4.5070192084992598E-2</v>
      </c>
      <c r="H54">
        <v>0.51256858876829603</v>
      </c>
      <c r="I54">
        <v>-8.4178554390545602E-3</v>
      </c>
    </row>
    <row r="55" spans="1:9" x14ac:dyDescent="0.25">
      <c r="A55">
        <v>59.818929433822603</v>
      </c>
      <c r="B55" s="1">
        <v>14.9126543769025</v>
      </c>
      <c r="C55" s="1">
        <v>3.0305336336314199</v>
      </c>
      <c r="D55" s="1">
        <v>2.5408436794393898</v>
      </c>
      <c r="E55" s="1">
        <v>-0.58114496072217003</v>
      </c>
      <c r="F55" s="1">
        <v>-4.5146496196626701E-4</v>
      </c>
      <c r="G55" s="1">
        <v>3.8207878682255801E-2</v>
      </c>
      <c r="H55">
        <v>0.50122294750172602</v>
      </c>
      <c r="I55">
        <v>-7.0947964918421204E-3</v>
      </c>
    </row>
    <row r="56" spans="1:9" x14ac:dyDescent="0.25">
      <c r="A56">
        <v>66.202640533447195</v>
      </c>
      <c r="B56" s="1">
        <v>15.213343038537401</v>
      </c>
      <c r="C56" s="1">
        <v>2.66162859973337</v>
      </c>
      <c r="D56" s="1">
        <v>2.1912102916383698</v>
      </c>
      <c r="E56" s="1">
        <v>-0.54811826343056802</v>
      </c>
      <c r="F56" s="1">
        <v>-1.1838461505730201E-3</v>
      </c>
      <c r="G56" s="1">
        <v>3.1748654881574398E-2</v>
      </c>
      <c r="H56">
        <v>0.49058928529680501</v>
      </c>
      <c r="I56">
        <v>-5.7296435164688698E-3</v>
      </c>
    </row>
    <row r="57" spans="1:9" x14ac:dyDescent="0.25">
      <c r="A57">
        <v>73.160880804061804</v>
      </c>
      <c r="B57" s="1">
        <v>15.495291128137</v>
      </c>
      <c r="C57" s="1">
        <v>2.3210855136530801</v>
      </c>
      <c r="D57" s="1">
        <v>1.87972889146427</v>
      </c>
      <c r="E57" s="1">
        <v>-0.50897450669587496</v>
      </c>
      <c r="F57" s="1">
        <v>-1.3668348002324701E-3</v>
      </c>
      <c r="G57" s="1">
        <v>2.5854841953641398E-2</v>
      </c>
      <c r="H57">
        <v>0.48057006424684801</v>
      </c>
      <c r="I57">
        <v>-4.4518214781194901E-3</v>
      </c>
    </row>
    <row r="58" spans="1:9" x14ac:dyDescent="0.25">
      <c r="A58">
        <v>80.745358765125204</v>
      </c>
      <c r="B58" s="1">
        <v>15.758946172275399</v>
      </c>
      <c r="C58" s="1">
        <v>2.005632890392</v>
      </c>
      <c r="D58" s="1">
        <v>1.6008191680700199</v>
      </c>
      <c r="E58" s="1">
        <v>-0.46349411701500298</v>
      </c>
      <c r="F58" s="1">
        <v>-7.6393792446873899E-4</v>
      </c>
      <c r="G58" s="1">
        <v>2.0677986729040199E-2</v>
      </c>
      <c r="H58">
        <v>0.47257782257299102</v>
      </c>
      <c r="I58">
        <v>-3.3664047777827999E-3</v>
      </c>
    </row>
    <row r="59" spans="1:9" x14ac:dyDescent="0.25">
      <c r="A59">
        <v>89.012441039085303</v>
      </c>
      <c r="B59" s="1">
        <v>16.0040717118763</v>
      </c>
      <c r="C59" s="1">
        <v>1.7134528531641899</v>
      </c>
      <c r="D59" s="1">
        <v>1.3498616350863499</v>
      </c>
      <c r="E59" s="1">
        <v>-0.41148418240905699</v>
      </c>
      <c r="F59" s="1">
        <v>2.30128953889778E-4</v>
      </c>
      <c r="G59" s="1">
        <v>1.62219246078848E-2</v>
      </c>
      <c r="H59">
        <v>0.46764063054361699</v>
      </c>
      <c r="I59">
        <v>-2.4715676334456202E-3</v>
      </c>
    </row>
    <row r="60" spans="1:9" x14ac:dyDescent="0.25">
      <c r="A60">
        <v>98.0235546827316</v>
      </c>
      <c r="B60" s="1">
        <v>16.228883988537699</v>
      </c>
      <c r="C60" s="1">
        <v>1.4448547084066301</v>
      </c>
      <c r="D60" s="1">
        <v>1.12363369823071</v>
      </c>
      <c r="E60" s="1">
        <v>-0.35277682580146302</v>
      </c>
      <c r="F60" s="1">
        <v>1.6620448640161901E-3</v>
      </c>
      <c r="G60" s="1">
        <v>1.2446839490216299E-2</v>
      </c>
      <c r="H60">
        <v>0.464863796591451</v>
      </c>
      <c r="I60">
        <v>-1.7549888338041701E-3</v>
      </c>
    </row>
    <row r="61" spans="1:9" x14ac:dyDescent="0.25">
      <c r="A61">
        <v>107.845674455165</v>
      </c>
      <c r="B61" s="1">
        <v>16.429502851643502</v>
      </c>
      <c r="C61" s="1">
        <v>1.2016262935394399</v>
      </c>
      <c r="D61" s="1">
        <v>0.920888097242065</v>
      </c>
      <c r="E61" s="1">
        <v>-0.28733077804225299</v>
      </c>
      <c r="F61" s="1">
        <v>2.9716646007413002E-3</v>
      </c>
      <c r="G61" s="1">
        <v>9.3877130667110002E-3</v>
      </c>
      <c r="H61">
        <v>0.46577411334812302</v>
      </c>
      <c r="I61">
        <v>-1.2319441379259001E-3</v>
      </c>
    </row>
    <row r="62" spans="1:9" x14ac:dyDescent="0.25">
      <c r="A62">
        <v>118.551787734031</v>
      </c>
      <c r="B62" s="1">
        <v>16.599502644815299</v>
      </c>
      <c r="C62" s="1">
        <v>0.99023069365284699</v>
      </c>
      <c r="D62" s="1">
        <v>0.74607711509500196</v>
      </c>
      <c r="E62" s="1">
        <v>-0.21470638365950001</v>
      </c>
      <c r="F62" s="1">
        <v>4.2110449212020501E-3</v>
      </c>
      <c r="G62" s="1">
        <v>7.0258692377847803E-3</v>
      </c>
      <c r="H62">
        <v>0.47260481639382201</v>
      </c>
      <c r="I62">
        <v>-8.6507768393106902E-4</v>
      </c>
    </row>
    <row r="63" spans="1:9" x14ac:dyDescent="0.25">
      <c r="A63">
        <v>130.22144660353601</v>
      </c>
      <c r="B63" s="1">
        <v>16.729221872367798</v>
      </c>
      <c r="C63" s="1">
        <v>0.82366232770618697</v>
      </c>
      <c r="D63" s="1">
        <v>0.60890642942426998</v>
      </c>
      <c r="E63" s="1">
        <v>-0.134773910508386</v>
      </c>
      <c r="F63" s="1">
        <v>4.7462982560460103E-3</v>
      </c>
      <c r="G63" s="1">
        <v>5.3917776964066801E-3</v>
      </c>
      <c r="H63">
        <v>0.48561692301599102</v>
      </c>
      <c r="I63">
        <v>-6.4051078581970505E-4</v>
      </c>
    </row>
    <row r="64" spans="1:9" x14ac:dyDescent="0.25">
      <c r="A64">
        <v>143.15376933664001</v>
      </c>
      <c r="B64" s="1">
        <v>16.805245845892301</v>
      </c>
      <c r="C64" s="1">
        <v>0.72484568820254902</v>
      </c>
      <c r="D64" s="1">
        <v>0.52747846311005198</v>
      </c>
      <c r="E64" s="1">
        <v>-4.5828724779700403E-2</v>
      </c>
      <c r="F64" s="1">
        <v>5.1201970824373399E-3</v>
      </c>
      <c r="G64" s="1">
        <v>4.5570638455298398E-3</v>
      </c>
      <c r="H64">
        <v>0.49260007732982702</v>
      </c>
      <c r="I64">
        <v>-5.6899634588438298E-4</v>
      </c>
    </row>
    <row r="65" spans="1:9" x14ac:dyDescent="0.25">
      <c r="A65" t="s">
        <v>13</v>
      </c>
      <c r="B65" t="s">
        <v>9</v>
      </c>
      <c r="C65" t="s">
        <v>32</v>
      </c>
      <c r="D65" t="s">
        <v>33</v>
      </c>
      <c r="E65" t="s">
        <v>34</v>
      </c>
      <c r="F65" s="1" t="s">
        <v>35</v>
      </c>
      <c r="G65" t="s">
        <v>30</v>
      </c>
      <c r="H65" t="s">
        <v>36</v>
      </c>
      <c r="I65" t="s">
        <v>31</v>
      </c>
    </row>
    <row r="66" spans="1:9" x14ac:dyDescent="0.25">
      <c r="A66">
        <v>-143.38788986206001</v>
      </c>
      <c r="B66" s="1">
        <v>13.8983548167488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>
        <v>0</v>
      </c>
      <c r="I66" s="1">
        <v>0</v>
      </c>
    </row>
    <row r="67" spans="1:9" x14ac:dyDescent="0.25">
      <c r="A67">
        <v>-130.70960640907199</v>
      </c>
      <c r="B67" s="1">
        <v>13.8983548167488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>
        <v>0</v>
      </c>
      <c r="I67" s="1">
        <v>0</v>
      </c>
    </row>
    <row r="68" spans="1:9" x14ac:dyDescent="0.25">
      <c r="A68">
        <v>-119.078135490417</v>
      </c>
      <c r="B68" s="1">
        <v>13.8983548167488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>
        <v>0</v>
      </c>
      <c r="I68" s="1">
        <v>0</v>
      </c>
    </row>
    <row r="69" spans="1:9" x14ac:dyDescent="0.25">
      <c r="A69">
        <v>-108.407056331634</v>
      </c>
      <c r="B69" s="1">
        <v>13.8983548167488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>
        <v>0</v>
      </c>
      <c r="I69" s="1">
        <v>0</v>
      </c>
    </row>
    <row r="70" spans="1:9" x14ac:dyDescent="0.25">
      <c r="A70">
        <v>-98.617064952850299</v>
      </c>
      <c r="B70" s="1">
        <v>13.8983548167488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>
        <v>0</v>
      </c>
      <c r="I70" s="1">
        <v>0</v>
      </c>
    </row>
    <row r="71" spans="1:9" x14ac:dyDescent="0.25">
      <c r="A71">
        <v>-89.635455608367906</v>
      </c>
      <c r="B71" s="1">
        <v>13.8983548167488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>
        <v>0</v>
      </c>
      <c r="I71" s="1">
        <v>0</v>
      </c>
    </row>
    <row r="72" spans="1:9" x14ac:dyDescent="0.25">
      <c r="A72">
        <v>-81.395459175109806</v>
      </c>
      <c r="B72" s="1">
        <v>13.8983548167488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>
        <v>0</v>
      </c>
      <c r="I72" s="1">
        <v>0</v>
      </c>
    </row>
    <row r="73" spans="1:9" x14ac:dyDescent="0.25">
      <c r="A73">
        <v>-73.835813999175997</v>
      </c>
      <c r="B73" s="1">
        <v>13.8983548167488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>
        <v>0</v>
      </c>
      <c r="I73" s="1">
        <v>0</v>
      </c>
    </row>
    <row r="74" spans="1:9" x14ac:dyDescent="0.25">
      <c r="A74">
        <v>-66.900336742401095</v>
      </c>
      <c r="B74" s="1">
        <v>13.8983548167488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>
        <v>0</v>
      </c>
      <c r="I74" s="1">
        <v>0</v>
      </c>
    </row>
    <row r="75" spans="1:9" x14ac:dyDescent="0.25">
      <c r="A75">
        <v>-60.537528991699197</v>
      </c>
      <c r="B75" s="1">
        <v>13.8983548167488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>
        <v>0</v>
      </c>
      <c r="I75" s="1">
        <v>0</v>
      </c>
    </row>
    <row r="76" spans="1:9" x14ac:dyDescent="0.25">
      <c r="A76">
        <v>-54.700112342834402</v>
      </c>
      <c r="B76" s="1">
        <v>13.8983548167488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>
        <v>0</v>
      </c>
      <c r="I76" s="1">
        <v>0</v>
      </c>
    </row>
    <row r="77" spans="1:9" x14ac:dyDescent="0.25">
      <c r="A77">
        <v>-49.344670772552398</v>
      </c>
      <c r="B77" s="1">
        <v>13.8983548167488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>
        <v>0</v>
      </c>
      <c r="I77" s="1">
        <v>0</v>
      </c>
    </row>
    <row r="78" spans="1:9" x14ac:dyDescent="0.25">
      <c r="A78">
        <v>-44.431400299072202</v>
      </c>
      <c r="B78" s="1">
        <v>13.8983548167488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>
        <v>0</v>
      </c>
      <c r="I78" s="1">
        <v>0</v>
      </c>
    </row>
    <row r="79" spans="1:9" x14ac:dyDescent="0.25">
      <c r="A79">
        <v>-39.923822879791203</v>
      </c>
      <c r="B79" s="1">
        <v>13.8983548167488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>
        <v>0</v>
      </c>
      <c r="I79" s="1">
        <v>0</v>
      </c>
    </row>
    <row r="80" spans="1:9" x14ac:dyDescent="0.25">
      <c r="A80">
        <v>-35.788428783416698</v>
      </c>
      <c r="B80" s="1">
        <v>13.8983548167488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>
        <v>0</v>
      </c>
      <c r="I80" s="1">
        <v>0</v>
      </c>
    </row>
    <row r="81" spans="1:9" x14ac:dyDescent="0.25">
      <c r="A81">
        <v>-31.994497776031402</v>
      </c>
      <c r="B81" s="1">
        <v>13.8983548167488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>
        <v>0</v>
      </c>
      <c r="I81" s="1">
        <v>0</v>
      </c>
    </row>
    <row r="82" spans="1:9" x14ac:dyDescent="0.25">
      <c r="A82">
        <v>-28.5138309001922</v>
      </c>
      <c r="B82" s="1">
        <v>13.8983548167488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>
        <v>0</v>
      </c>
      <c r="I82" s="1">
        <v>0</v>
      </c>
    </row>
    <row r="83" spans="1:9" x14ac:dyDescent="0.25">
      <c r="A83">
        <v>-25.320571660995402</v>
      </c>
      <c r="B83" s="1">
        <v>13.8983548167488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>
        <v>0</v>
      </c>
      <c r="I83" s="1">
        <v>0</v>
      </c>
    </row>
    <row r="84" spans="1:9" x14ac:dyDescent="0.25">
      <c r="A84">
        <v>-22.3909378051757</v>
      </c>
      <c r="B84" s="1">
        <v>13.8983548167488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>
        <v>0</v>
      </c>
      <c r="I84" s="1">
        <v>0</v>
      </c>
    </row>
    <row r="85" spans="1:9" x14ac:dyDescent="0.25">
      <c r="A85">
        <v>-19.7032213211059</v>
      </c>
      <c r="B85" s="1">
        <v>13.8983548167488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>
        <v>0</v>
      </c>
      <c r="I85" s="1">
        <v>0</v>
      </c>
    </row>
    <row r="86" spans="1:9" x14ac:dyDescent="0.25">
      <c r="A86">
        <v>-17.237430810928299</v>
      </c>
      <c r="B86" s="1">
        <v>13.8983548167488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>
        <v>0</v>
      </c>
      <c r="I86" s="1">
        <v>0</v>
      </c>
    </row>
    <row r="87" spans="1:9" x14ac:dyDescent="0.25">
      <c r="A87">
        <v>-14.975237846374499</v>
      </c>
      <c r="B87" s="1">
        <v>13.8983548167488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>
        <v>0</v>
      </c>
      <c r="I87" s="1">
        <v>0</v>
      </c>
    </row>
    <row r="88" spans="1:9" x14ac:dyDescent="0.25">
      <c r="A88">
        <v>-12.8998160362243</v>
      </c>
      <c r="B88" s="1">
        <v>13.8983548167488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>
        <v>0</v>
      </c>
      <c r="I88" s="1">
        <v>0</v>
      </c>
    </row>
    <row r="89" spans="1:9" x14ac:dyDescent="0.25">
      <c r="A89">
        <v>-10.995769500732401</v>
      </c>
      <c r="B89" s="1">
        <v>13.8983548167488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>
        <v>0</v>
      </c>
      <c r="I89" s="1">
        <v>0</v>
      </c>
    </row>
    <row r="90" spans="1:9" x14ac:dyDescent="0.25">
      <c r="A90">
        <v>-9.2489361763000399</v>
      </c>
      <c r="B90" s="1">
        <v>13.8983548167488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>
        <v>0</v>
      </c>
      <c r="I90" s="1">
        <v>0</v>
      </c>
    </row>
    <row r="91" spans="1:9" x14ac:dyDescent="0.25">
      <c r="A91">
        <v>-7.6463341712951598</v>
      </c>
      <c r="B91" s="1">
        <v>13.8983548167488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>
        <v>0</v>
      </c>
      <c r="I91" s="1">
        <v>0</v>
      </c>
    </row>
    <row r="92" spans="1:9" x14ac:dyDescent="0.25">
      <c r="A92">
        <v>-6.1760544776916504</v>
      </c>
      <c r="B92" s="1">
        <v>13.8983548167488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>
        <v>0</v>
      </c>
      <c r="I92" s="1">
        <v>0</v>
      </c>
    </row>
    <row r="93" spans="1:9" x14ac:dyDescent="0.25">
      <c r="A93">
        <v>-4.8271894454956001</v>
      </c>
      <c r="B93" s="1">
        <v>13.8983548167488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>
        <v>0</v>
      </c>
      <c r="I93" s="1">
        <v>0</v>
      </c>
    </row>
    <row r="94" spans="1:9" x14ac:dyDescent="0.25">
      <c r="A94">
        <v>-3.5896897315978999</v>
      </c>
      <c r="B94" s="1">
        <v>13.8983548167488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>
        <v>0</v>
      </c>
      <c r="I94" s="1">
        <v>0</v>
      </c>
    </row>
    <row r="95" spans="1:9" x14ac:dyDescent="0.25">
      <c r="A95">
        <v>-2.4543642997741602</v>
      </c>
      <c r="B95" s="1">
        <v>13.8983548167488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>
        <v>0</v>
      </c>
      <c r="I95" s="1">
        <v>0</v>
      </c>
    </row>
    <row r="96" spans="1:9" x14ac:dyDescent="0.25">
      <c r="A96">
        <v>-1.41280889511108</v>
      </c>
      <c r="B96" s="1">
        <v>13.8983548167488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>
        <v>0</v>
      </c>
      <c r="I96" s="1">
        <v>0</v>
      </c>
    </row>
    <row r="97" spans="1:9" x14ac:dyDescent="0.25">
      <c r="A97">
        <v>-0.45722723007202098</v>
      </c>
      <c r="B97" s="1">
        <v>13.8983548167488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>
        <v>0</v>
      </c>
      <c r="I97" s="1">
        <v>0</v>
      </c>
    </row>
    <row r="98" spans="1:9" x14ac:dyDescent="0.25">
      <c r="A98">
        <v>0.49999952316284102</v>
      </c>
      <c r="B98">
        <v>0.354672427787527</v>
      </c>
      <c r="C98">
        <v>6.0569766318658296</v>
      </c>
      <c r="D98">
        <v>0.34294690121827198</v>
      </c>
      <c r="E98">
        <v>-4.2065454610410499E-4</v>
      </c>
      <c r="F98" s="1">
        <v>3.5551999569903803E-4</v>
      </c>
      <c r="G98">
        <v>1.48585293043815E-2</v>
      </c>
      <c r="H98">
        <v>0.101406796301235</v>
      </c>
      <c r="I98" s="1">
        <v>1.99518930275633E-7</v>
      </c>
    </row>
    <row r="99" spans="1:9" x14ac:dyDescent="0.25">
      <c r="A99">
        <v>1.5449970960617001</v>
      </c>
      <c r="B99">
        <v>1.09520988495562</v>
      </c>
      <c r="C99">
        <v>6.0879792380001101</v>
      </c>
      <c r="D99">
        <v>1.07149743436406</v>
      </c>
      <c r="E99">
        <v>-3.39822378112169E-3</v>
      </c>
      <c r="F99">
        <v>1.0267991490232899E-3</v>
      </c>
      <c r="G99">
        <v>2.6020376821356401E-2</v>
      </c>
      <c r="H99">
        <v>0.48142350894122998</v>
      </c>
      <c r="I99" s="1">
        <v>8.5093374911766705E-6</v>
      </c>
    </row>
    <row r="100" spans="1:9" x14ac:dyDescent="0.25">
      <c r="A100">
        <v>2.6840418577194201</v>
      </c>
      <c r="B100">
        <v>1.8967442619941</v>
      </c>
      <c r="C100">
        <v>6.1672666585945901</v>
      </c>
      <c r="D100">
        <v>1.8998046152128301</v>
      </c>
      <c r="E100">
        <v>-1.23180166724879E-2</v>
      </c>
      <c r="F100" s="1">
        <v>1.6319633987072601E-3</v>
      </c>
      <c r="G100">
        <v>4.4145924688363397E-2</v>
      </c>
      <c r="H100">
        <v>0.68600496604510597</v>
      </c>
      <c r="I100" s="1">
        <v>5.8045228859279703E-5</v>
      </c>
    </row>
    <row r="101" spans="1:9" x14ac:dyDescent="0.25">
      <c r="A101">
        <v>3.9256095886230402</v>
      </c>
      <c r="B101">
        <v>2.7574140387914001</v>
      </c>
      <c r="C101">
        <v>6.32294583696057</v>
      </c>
      <c r="D101">
        <v>2.8518167457386401</v>
      </c>
      <c r="E101">
        <v>-2.98114889885698E-2</v>
      </c>
      <c r="F101">
        <v>2.1375152650216301E-3</v>
      </c>
      <c r="G101">
        <v>6.3619613174735801E-2</v>
      </c>
      <c r="H101">
        <v>0.77075699253045205</v>
      </c>
      <c r="I101">
        <v>1.6198895405644201E-4</v>
      </c>
    </row>
    <row r="102" spans="1:9" x14ac:dyDescent="0.25">
      <c r="A102">
        <v>5.2789181470870901</v>
      </c>
      <c r="B102">
        <v>3.6706650141021999</v>
      </c>
      <c r="C102">
        <v>6.5807390529080196</v>
      </c>
      <c r="D102">
        <v>3.9270476350839298</v>
      </c>
      <c r="E102">
        <v>-5.9267794703645502E-2</v>
      </c>
      <c r="F102" s="1">
        <v>2.5326563793839399E-3</v>
      </c>
      <c r="G102">
        <v>7.9265934610748198E-2</v>
      </c>
      <c r="H102">
        <v>0.80075701970052904</v>
      </c>
      <c r="I102" s="1">
        <v>3.4393666973076302E-4</v>
      </c>
    </row>
    <row r="103" spans="1:9" x14ac:dyDescent="0.25">
      <c r="A103">
        <v>6.7540258169174097</v>
      </c>
      <c r="B103">
        <v>4.6237839418790099</v>
      </c>
      <c r="C103">
        <v>6.9430692618770902</v>
      </c>
      <c r="D103">
        <v>5.0756686135495501</v>
      </c>
      <c r="E103">
        <v>-0.10318814321721601</v>
      </c>
      <c r="F103">
        <v>2.82361852486188E-3</v>
      </c>
      <c r="G103">
        <v>8.8485339408234706E-2</v>
      </c>
      <c r="H103">
        <v>0.80170677943190305</v>
      </c>
      <c r="I103" s="1">
        <v>7.45479165696656E-4</v>
      </c>
    </row>
    <row r="104" spans="1:9" x14ac:dyDescent="0.25">
      <c r="A104">
        <v>8.3618760108947701</v>
      </c>
      <c r="B104">
        <v>5.5976604852220797</v>
      </c>
      <c r="C104">
        <v>7.3717098854103797</v>
      </c>
      <c r="D104">
        <v>6.1900576137520398</v>
      </c>
      <c r="E104">
        <v>-0.16165686436124199</v>
      </c>
      <c r="F104">
        <v>3.0285175398032799E-3</v>
      </c>
      <c r="G104">
        <v>9.2227616483774699E-2</v>
      </c>
      <c r="H104">
        <v>0.785420192098502</v>
      </c>
      <c r="I104">
        <v>1.8930271608372301E-3</v>
      </c>
    </row>
    <row r="105" spans="1:9" x14ac:dyDescent="0.25">
      <c r="A105">
        <v>10.1144403219223</v>
      </c>
      <c r="B105">
        <v>6.5685019414267298</v>
      </c>
      <c r="C105">
        <v>7.7901430664205602</v>
      </c>
      <c r="D105">
        <v>7.1324963578131602</v>
      </c>
      <c r="E105">
        <v>-0.23151004720291801</v>
      </c>
      <c r="F105">
        <v>3.1776600613891899E-3</v>
      </c>
      <c r="G105">
        <v>9.3740747852079698E-2</v>
      </c>
      <c r="H105">
        <v>0.76069068975168697</v>
      </c>
      <c r="I105">
        <v>4.5414992377387498E-3</v>
      </c>
    </row>
    <row r="106" spans="1:9" x14ac:dyDescent="0.25">
      <c r="A106">
        <v>12.024745345115599</v>
      </c>
      <c r="B106">
        <v>7.51161579371903</v>
      </c>
      <c r="C106">
        <v>8.1107482661755004</v>
      </c>
      <c r="D106">
        <v>7.7891475277887103</v>
      </c>
      <c r="E106">
        <v>-0.30703406165734898</v>
      </c>
      <c r="F106">
        <v>3.3140961260782901E-3</v>
      </c>
      <c r="G106">
        <v>9.5733562360798594E-2</v>
      </c>
      <c r="H106">
        <v>0.73483391022125</v>
      </c>
      <c r="I106">
        <v>8.0545201458974407E-3</v>
      </c>
    </row>
    <row r="107" spans="1:9" x14ac:dyDescent="0.25">
      <c r="A107">
        <v>14.106971025466899</v>
      </c>
      <c r="B107">
        <v>8.4060639082780906</v>
      </c>
      <c r="C107">
        <v>8.2691600365214892</v>
      </c>
      <c r="D107">
        <v>8.1112526483288807</v>
      </c>
      <c r="E107">
        <v>-0.38188806098905098</v>
      </c>
      <c r="F107">
        <v>3.4662694410016498E-3</v>
      </c>
      <c r="G107">
        <v>9.8576878703806298E-2</v>
      </c>
      <c r="H107">
        <v>0.71148070737047697</v>
      </c>
      <c r="I107">
        <v>1.0073917660984699E-2</v>
      </c>
    </row>
    <row r="108" spans="1:9" x14ac:dyDescent="0.25">
      <c r="A108">
        <v>16.3766205310821</v>
      </c>
      <c r="B108">
        <v>9.23794439577971</v>
      </c>
      <c r="C108">
        <v>8.2418968362762808</v>
      </c>
      <c r="D108">
        <v>8.1178733311308608</v>
      </c>
      <c r="E108">
        <v>-0.45090894349383598</v>
      </c>
      <c r="F108" s="1">
        <v>3.6236845228763501E-3</v>
      </c>
      <c r="G108">
        <v>0.100993109985989</v>
      </c>
      <c r="H108">
        <v>0.69066738668675698</v>
      </c>
      <c r="I108">
        <v>9.0520816408325693E-3</v>
      </c>
    </row>
    <row r="109" spans="1:9" x14ac:dyDescent="0.25">
      <c r="A109">
        <v>18.850511312484699</v>
      </c>
      <c r="B109">
        <v>10.000932769416901</v>
      </c>
      <c r="C109">
        <v>8.0415038968494592</v>
      </c>
      <c r="D109">
        <v>7.8701282691675702</v>
      </c>
      <c r="E109">
        <v>-0.51082322934546098</v>
      </c>
      <c r="F109">
        <v>3.6717527864693401E-3</v>
      </c>
      <c r="G109">
        <v>0.101656538678604</v>
      </c>
      <c r="H109">
        <v>0.67113675245151805</v>
      </c>
      <c r="I109">
        <v>5.4961147741209304E-3</v>
      </c>
    </row>
    <row r="110" spans="1:9" x14ac:dyDescent="0.25">
      <c r="A110">
        <v>21.5470612049102</v>
      </c>
      <c r="B110">
        <v>10.6947154035187</v>
      </c>
      <c r="C110">
        <v>7.7008066527050598</v>
      </c>
      <c r="D110">
        <v>7.4417875147765198</v>
      </c>
      <c r="E110">
        <v>-0.56008606116423298</v>
      </c>
      <c r="F110" s="1">
        <v>3.51813813310181E-3</v>
      </c>
      <c r="G110">
        <v>0.100019907526032</v>
      </c>
      <c r="H110">
        <v>0.65195731330011197</v>
      </c>
      <c r="I110">
        <v>8.7992511958411804E-4</v>
      </c>
    </row>
    <row r="111" spans="1:9" x14ac:dyDescent="0.25">
      <c r="A111">
        <v>24.4862973690032</v>
      </c>
      <c r="B111">
        <v>11.322805064297301</v>
      </c>
      <c r="C111">
        <v>7.2585407010046703</v>
      </c>
      <c r="D111">
        <v>6.9005762609717003</v>
      </c>
      <c r="E111">
        <v>-0.59835330080458404</v>
      </c>
      <c r="F111">
        <v>3.2467735959904099E-3</v>
      </c>
      <c r="G111">
        <v>9.62227194947161E-2</v>
      </c>
      <c r="H111">
        <v>0.63269686240196399</v>
      </c>
      <c r="I111">
        <v>-3.53559228028115E-3</v>
      </c>
    </row>
    <row r="112" spans="1:9" x14ac:dyDescent="0.25">
      <c r="A112">
        <v>27.690052986145002</v>
      </c>
      <c r="B112">
        <v>11.890759333535099</v>
      </c>
      <c r="C112">
        <v>6.7511256368161403</v>
      </c>
      <c r="D112">
        <v>6.3008966705623601</v>
      </c>
      <c r="E112">
        <v>-0.62597895868904796</v>
      </c>
      <c r="F112">
        <v>3.0193205022558899E-3</v>
      </c>
      <c r="G112">
        <v>9.0745412396528696E-2</v>
      </c>
      <c r="H112">
        <v>0.613329893425271</v>
      </c>
      <c r="I112">
        <v>-7.0672083782708801E-3</v>
      </c>
    </row>
    <row r="113" spans="1:9" x14ac:dyDescent="0.25">
      <c r="A113">
        <v>31.1821639537811</v>
      </c>
      <c r="B113">
        <v>12.4050342184818</v>
      </c>
      <c r="C113">
        <v>6.2091903897671701</v>
      </c>
      <c r="D113">
        <v>5.6828921134537502</v>
      </c>
      <c r="E113">
        <v>-0.643651742502233</v>
      </c>
      <c r="F113">
        <v>2.7777084500207102E-3</v>
      </c>
      <c r="G113">
        <v>8.4142138124665894E-2</v>
      </c>
      <c r="H113">
        <v>0.59406210621586597</v>
      </c>
      <c r="I113">
        <v>-9.4895144457815897E-3</v>
      </c>
    </row>
    <row r="114" spans="1:9" x14ac:dyDescent="0.25">
      <c r="A114">
        <v>34.988558292388902</v>
      </c>
      <c r="B114">
        <v>12.8723391462444</v>
      </c>
      <c r="C114">
        <v>5.65671495645074</v>
      </c>
      <c r="D114">
        <v>5.0741978451830798</v>
      </c>
      <c r="E114">
        <v>-0.65215359479532997</v>
      </c>
      <c r="F114">
        <v>2.2799869016792498E-3</v>
      </c>
      <c r="G114">
        <v>7.6896735003871702E-2</v>
      </c>
      <c r="H114">
        <v>0.57540779427086697</v>
      </c>
      <c r="I114">
        <v>-1.08604729060605E-2</v>
      </c>
    </row>
    <row r="115" spans="1:9" x14ac:dyDescent="0.25">
      <c r="A115">
        <v>39.137506484985302</v>
      </c>
      <c r="B115">
        <v>13.299136571153101</v>
      </c>
      <c r="C115">
        <v>5.11166452813631</v>
      </c>
      <c r="D115">
        <v>4.4931527899873496</v>
      </c>
      <c r="E115">
        <v>-0.65234840027500496</v>
      </c>
      <c r="F115">
        <v>1.5208378896290899E-3</v>
      </c>
      <c r="G115">
        <v>6.9296860287747702E-2</v>
      </c>
      <c r="H115">
        <v>0.55786329945216695</v>
      </c>
      <c r="I115">
        <v>-1.1301849341072799E-2</v>
      </c>
    </row>
    <row r="116" spans="1:9" x14ac:dyDescent="0.25">
      <c r="A116">
        <v>43.659898638725203</v>
      </c>
      <c r="B116">
        <v>13.691362469024099</v>
      </c>
      <c r="C116">
        <v>4.58631728297041</v>
      </c>
      <c r="D116">
        <v>3.9510159636446001</v>
      </c>
      <c r="E116">
        <v>-0.64490385545578499</v>
      </c>
      <c r="F116">
        <v>8.66252979923534E-4</v>
      </c>
      <c r="G116">
        <v>6.1571900743087903E-2</v>
      </c>
      <c r="H116">
        <v>0.54179386588313905</v>
      </c>
      <c r="I116">
        <v>-1.0986865395455301E-2</v>
      </c>
    </row>
    <row r="117" spans="1:9" x14ac:dyDescent="0.25">
      <c r="A117">
        <v>48.589280247688201</v>
      </c>
      <c r="B117">
        <v>14.0543437773339</v>
      </c>
      <c r="C117">
        <v>4.0886617116411701</v>
      </c>
      <c r="D117">
        <v>3.4532764020864199</v>
      </c>
      <c r="E117">
        <v>-0.63043138207751004</v>
      </c>
      <c r="F117">
        <v>6.2727149472375002E-4</v>
      </c>
      <c r="G117">
        <v>5.3883925973989402E-2</v>
      </c>
      <c r="H117">
        <v>0.52715050313823597</v>
      </c>
      <c r="I117">
        <v>-1.0092866747692299E-2</v>
      </c>
    </row>
    <row r="118" spans="1:9" x14ac:dyDescent="0.25">
      <c r="A118">
        <v>53.962334990501397</v>
      </c>
      <c r="B118">
        <v>14.3925845877128</v>
      </c>
      <c r="C118">
        <v>3.6237074560776801</v>
      </c>
      <c r="D118">
        <v>3.0022139689446501</v>
      </c>
      <c r="E118">
        <v>-0.609452588393956</v>
      </c>
      <c r="F118">
        <v>6.8324420119463501E-4</v>
      </c>
      <c r="G118">
        <v>4.6402951404274202E-2</v>
      </c>
      <c r="H118">
        <v>0.51398194787800799</v>
      </c>
      <c r="I118">
        <v>-8.8272913009649796E-3</v>
      </c>
    </row>
    <row r="119" spans="1:9" x14ac:dyDescent="0.25">
      <c r="A119">
        <v>59.818929433822603</v>
      </c>
      <c r="B119">
        <v>14.7095427050116</v>
      </c>
      <c r="C119">
        <v>3.1934754063622601</v>
      </c>
      <c r="D119">
        <v>2.5977291168156</v>
      </c>
      <c r="E119">
        <v>-0.582264007514538</v>
      </c>
      <c r="F119">
        <v>2.0184755657784301E-4</v>
      </c>
      <c r="G119">
        <v>3.9289825873409602E-2</v>
      </c>
      <c r="H119">
        <v>0.50253557781385905</v>
      </c>
      <c r="I119">
        <v>-7.40655716366593E-3</v>
      </c>
    </row>
    <row r="120" spans="1:9" x14ac:dyDescent="0.25">
      <c r="A120">
        <v>66.202640533447195</v>
      </c>
      <c r="B120">
        <v>15.007335090111001</v>
      </c>
      <c r="C120">
        <v>2.7981530609540601</v>
      </c>
      <c r="D120">
        <v>2.2376106960510498</v>
      </c>
      <c r="E120">
        <v>-0.548973926513035</v>
      </c>
      <c r="F120">
        <v>-4.7790006528700601E-4</v>
      </c>
      <c r="G120">
        <v>3.2619469363369097E-2</v>
      </c>
      <c r="H120">
        <v>0.49181979487491601</v>
      </c>
      <c r="I120">
        <v>-5.9575326266691798E-3</v>
      </c>
    </row>
    <row r="121" spans="1:9" x14ac:dyDescent="0.25">
      <c r="A121">
        <v>73.160880804061804</v>
      </c>
      <c r="B121">
        <v>15.2867242838582</v>
      </c>
      <c r="C121">
        <v>2.4360086999295101</v>
      </c>
      <c r="D121">
        <v>1.91773634639348</v>
      </c>
      <c r="E121">
        <v>-0.50963262846238699</v>
      </c>
      <c r="F121" s="1">
        <v>-5.5334636845353995E-4</v>
      </c>
      <c r="G121">
        <v>2.6554973865094499E-2</v>
      </c>
      <c r="H121">
        <v>0.48175969945937203</v>
      </c>
      <c r="I121">
        <v>-4.6145884005758002E-3</v>
      </c>
    </row>
    <row r="122" spans="1:9" x14ac:dyDescent="0.25">
      <c r="A122">
        <v>80.745358765125204</v>
      </c>
      <c r="B122">
        <v>15.5480948794028</v>
      </c>
      <c r="C122">
        <v>2.1031571769599302</v>
      </c>
      <c r="D122">
        <v>1.63233548705778</v>
      </c>
      <c r="E122">
        <v>-0.46398628614251403</v>
      </c>
      <c r="F122" s="1">
        <v>9.7831062478655095E-5</v>
      </c>
      <c r="G122">
        <v>2.12396349576736E-2</v>
      </c>
      <c r="H122">
        <v>0.47366190810530001</v>
      </c>
      <c r="I122">
        <v>-3.4806303432385502E-3</v>
      </c>
    </row>
    <row r="123" spans="1:9" x14ac:dyDescent="0.25">
      <c r="A123">
        <v>89.012441039085303</v>
      </c>
      <c r="B123">
        <v>15.7911845301604</v>
      </c>
      <c r="C123">
        <v>1.7969294448776001</v>
      </c>
      <c r="D123">
        <v>1.3762322743369699</v>
      </c>
      <c r="E123">
        <v>-0.41183977982113501</v>
      </c>
      <c r="F123">
        <v>9.6551365633030302E-4</v>
      </c>
      <c r="G123">
        <v>1.66749783700583E-2</v>
      </c>
      <c r="H123">
        <v>0.46866076410923102</v>
      </c>
      <c r="I123">
        <v>-2.5517752999420999E-3</v>
      </c>
    </row>
    <row r="124" spans="1:9" x14ac:dyDescent="0.25">
      <c r="A124">
        <v>98.0235546827316</v>
      </c>
      <c r="B124">
        <v>16.014225545837601</v>
      </c>
      <c r="C124">
        <v>1.5169354870813501</v>
      </c>
      <c r="D124">
        <v>1.1456530631233801</v>
      </c>
      <c r="E124">
        <v>-0.352999319854922</v>
      </c>
      <c r="F124" s="1">
        <v>2.1430146987716598E-3</v>
      </c>
      <c r="G124">
        <v>1.28175695631365E-2</v>
      </c>
      <c r="H124">
        <v>0.46594022305808103</v>
      </c>
      <c r="I124">
        <v>-1.8129484242262099E-3</v>
      </c>
    </row>
    <row r="125" spans="1:9" x14ac:dyDescent="0.25">
      <c r="A125">
        <v>107.845674455165</v>
      </c>
      <c r="B125">
        <v>16.213373284353899</v>
      </c>
      <c r="C125">
        <v>1.2645284779700801</v>
      </c>
      <c r="D125">
        <v>0.93928243306271497</v>
      </c>
      <c r="E125">
        <v>-0.28743506850841399</v>
      </c>
      <c r="F125">
        <v>3.0585623150851198E-3</v>
      </c>
      <c r="G125">
        <v>9.6932647732189802E-3</v>
      </c>
      <c r="H125">
        <v>0.46669360338496602</v>
      </c>
      <c r="I125">
        <v>-1.27437225479422E-3</v>
      </c>
    </row>
    <row r="126" spans="1:9" x14ac:dyDescent="0.25">
      <c r="A126">
        <v>118.551787734031</v>
      </c>
      <c r="B126">
        <v>16.382126509710201</v>
      </c>
      <c r="C126">
        <v>1.04617183273694</v>
      </c>
      <c r="D126">
        <v>0.76168795379475496</v>
      </c>
      <c r="E126">
        <v>-0.214737579340255</v>
      </c>
      <c r="F126">
        <v>3.8669223766392802E-3</v>
      </c>
      <c r="G126">
        <v>7.2803240578329402E-3</v>
      </c>
      <c r="H126">
        <v>0.47293898469963502</v>
      </c>
      <c r="I126">
        <v>-8.9653959920077105E-4</v>
      </c>
    </row>
    <row r="127" spans="1:9" x14ac:dyDescent="0.25">
      <c r="A127">
        <v>130.22144660353601</v>
      </c>
      <c r="B127">
        <v>16.510853878720699</v>
      </c>
      <c r="C127">
        <v>0.87455545039665505</v>
      </c>
      <c r="D127">
        <v>0.62238289433357696</v>
      </c>
      <c r="E127">
        <v>-0.13472610991322601</v>
      </c>
      <c r="F127">
        <v>4.1202254817878396E-3</v>
      </c>
      <c r="G127">
        <v>5.6131267482647596E-3</v>
      </c>
      <c r="H127">
        <v>0.48514659982507502</v>
      </c>
      <c r="I127">
        <v>-6.6539804277384001E-4</v>
      </c>
    </row>
    <row r="128" spans="1:9" x14ac:dyDescent="0.25">
      <c r="A128">
        <v>143.15376933664001</v>
      </c>
      <c r="B128">
        <v>16.586262503205798</v>
      </c>
      <c r="C128">
        <v>0.77270962143847899</v>
      </c>
      <c r="D128">
        <v>0.53950844423385802</v>
      </c>
      <c r="E128">
        <v>-4.57149216039641E-2</v>
      </c>
      <c r="F128">
        <v>4.5342253389161202E-3</v>
      </c>
      <c r="G128">
        <v>4.7634471272756601E-3</v>
      </c>
      <c r="H128">
        <v>0.49142782447824801</v>
      </c>
      <c r="I128">
        <v>-5.9223356343664701E-4</v>
      </c>
    </row>
    <row r="129" spans="1:9" x14ac:dyDescent="0.25">
      <c r="A129" t="s">
        <v>14</v>
      </c>
      <c r="B129" s="1" t="s">
        <v>9</v>
      </c>
      <c r="C129" s="1" t="s">
        <v>32</v>
      </c>
      <c r="D129" s="1" t="s">
        <v>33</v>
      </c>
      <c r="E129" s="1" t="s">
        <v>34</v>
      </c>
      <c r="F129" s="1" t="s">
        <v>35</v>
      </c>
      <c r="G129" s="1" t="s">
        <v>30</v>
      </c>
      <c r="H129" t="s">
        <v>36</v>
      </c>
      <c r="I129" t="s">
        <v>31</v>
      </c>
    </row>
    <row r="130" spans="1:9" x14ac:dyDescent="0.25">
      <c r="A130">
        <v>-143.38788986206001</v>
      </c>
      <c r="B130" s="1">
        <v>-50.893594940865697</v>
      </c>
      <c r="C130" s="1">
        <v>1.07247627999527E-2</v>
      </c>
      <c r="D130" s="1">
        <v>0</v>
      </c>
      <c r="E130" s="1">
        <v>0</v>
      </c>
      <c r="F130" s="1">
        <v>0</v>
      </c>
      <c r="G130" s="1">
        <v>2.1318660064473198E-6</v>
      </c>
      <c r="H130">
        <v>5.5278125309153797E-2</v>
      </c>
      <c r="I130" s="1">
        <v>0</v>
      </c>
    </row>
    <row r="131" spans="1:9" x14ac:dyDescent="0.25">
      <c r="A131">
        <v>-130.70960640907199</v>
      </c>
      <c r="B131" s="1">
        <v>-46.392759879792401</v>
      </c>
      <c r="C131" s="1">
        <v>1.10354064116506E-2</v>
      </c>
      <c r="D131" s="1">
        <v>0</v>
      </c>
      <c r="E131" s="1">
        <v>0</v>
      </c>
      <c r="F131" s="1">
        <v>0</v>
      </c>
      <c r="G131" s="1">
        <v>3.18371401538897E-6</v>
      </c>
      <c r="H131">
        <v>0.32150790307682497</v>
      </c>
      <c r="I131" s="1">
        <v>0</v>
      </c>
    </row>
    <row r="132" spans="1:9" x14ac:dyDescent="0.25">
      <c r="A132">
        <v>-119.078135490417</v>
      </c>
      <c r="B132" s="1">
        <v>-42.263527398670298</v>
      </c>
      <c r="C132" s="1">
        <v>1.16866130806556E-2</v>
      </c>
      <c r="D132" s="1">
        <v>0</v>
      </c>
      <c r="E132" s="1">
        <v>0</v>
      </c>
      <c r="F132" s="1">
        <v>0</v>
      </c>
      <c r="G132" s="1">
        <v>5.22140051149033E-6</v>
      </c>
      <c r="H132">
        <v>0.52550808614654299</v>
      </c>
      <c r="I132" s="1">
        <v>0</v>
      </c>
    </row>
    <row r="133" spans="1:9" x14ac:dyDescent="0.25">
      <c r="A133">
        <v>-108.407056331634</v>
      </c>
      <c r="B133" s="1">
        <v>-38.475233992302996</v>
      </c>
      <c r="C133" s="1">
        <v>1.2766578312778099E-2</v>
      </c>
      <c r="D133" s="1">
        <v>0</v>
      </c>
      <c r="E133" s="1">
        <v>0</v>
      </c>
      <c r="F133" s="1">
        <v>0</v>
      </c>
      <c r="G133" s="1">
        <v>8.3386615823455192E-6</v>
      </c>
      <c r="H133">
        <v>0.63619883499281904</v>
      </c>
      <c r="I133" s="1">
        <v>0</v>
      </c>
    </row>
    <row r="134" spans="1:9" x14ac:dyDescent="0.25">
      <c r="A134">
        <v>-98.617064952850299</v>
      </c>
      <c r="B134" s="1">
        <v>-34.999742617571997</v>
      </c>
      <c r="C134" s="1">
        <v>1.4389566718335699E-2</v>
      </c>
      <c r="D134" s="1">
        <v>0</v>
      </c>
      <c r="E134" s="1">
        <v>0</v>
      </c>
      <c r="F134" s="1">
        <v>0</v>
      </c>
      <c r="G134" s="1">
        <v>1.2806510005294301E-5</v>
      </c>
      <c r="H134">
        <v>0.69304269847199695</v>
      </c>
      <c r="I134" s="1">
        <v>0</v>
      </c>
    </row>
    <row r="135" spans="1:9" x14ac:dyDescent="0.25">
      <c r="A135">
        <v>-89.635455608367906</v>
      </c>
      <c r="B135" s="1">
        <v>-31.811250669623</v>
      </c>
      <c r="C135" s="1">
        <v>1.6684215279354899E-2</v>
      </c>
      <c r="D135" s="1">
        <v>0</v>
      </c>
      <c r="E135" s="1">
        <v>0</v>
      </c>
      <c r="F135" s="1">
        <v>0</v>
      </c>
      <c r="G135" s="1">
        <v>1.9082095250437699E-5</v>
      </c>
      <c r="H135">
        <v>0.72167791548597704</v>
      </c>
      <c r="I135" s="1">
        <v>0</v>
      </c>
    </row>
    <row r="136" spans="1:9" x14ac:dyDescent="0.25">
      <c r="A136">
        <v>-81.395459175109806</v>
      </c>
      <c r="B136" s="1">
        <v>-28.886072566474098</v>
      </c>
      <c r="C136" s="1">
        <v>1.9791230365910899E-2</v>
      </c>
      <c r="D136" s="1">
        <v>0</v>
      </c>
      <c r="E136" s="1">
        <v>0</v>
      </c>
      <c r="F136" s="1">
        <v>0</v>
      </c>
      <c r="G136" s="1">
        <v>2.7823498043959499E-5</v>
      </c>
      <c r="H136">
        <v>0.73542054088114395</v>
      </c>
      <c r="I136" s="1">
        <v>0</v>
      </c>
    </row>
    <row r="137" spans="1:9" x14ac:dyDescent="0.25">
      <c r="A137">
        <v>-73.835813999175997</v>
      </c>
      <c r="B137" s="1">
        <v>-26.202476290727301</v>
      </c>
      <c r="C137" s="1">
        <v>2.3864341939884001E-2</v>
      </c>
      <c r="D137" s="1">
        <v>0</v>
      </c>
      <c r="E137" s="1">
        <v>0</v>
      </c>
      <c r="F137" s="1">
        <v>0</v>
      </c>
      <c r="G137" s="1">
        <v>3.99122779463745E-5</v>
      </c>
      <c r="H137">
        <v>0.74120281584770298</v>
      </c>
      <c r="I137" s="1">
        <v>0</v>
      </c>
    </row>
    <row r="138" spans="1:9" x14ac:dyDescent="0.25">
      <c r="A138">
        <v>-66.900336742401095</v>
      </c>
      <c r="B138" s="1">
        <v>-23.7405246922022</v>
      </c>
      <c r="C138" s="1">
        <v>2.90715014675129E-2</v>
      </c>
      <c r="D138" s="1">
        <v>0</v>
      </c>
      <c r="E138" s="1">
        <v>0</v>
      </c>
      <c r="F138" s="1">
        <v>0</v>
      </c>
      <c r="G138" s="1">
        <v>5.6486373619843899E-5</v>
      </c>
      <c r="H138">
        <v>0.74273862638323696</v>
      </c>
      <c r="I138" s="1">
        <v>0</v>
      </c>
    </row>
    <row r="139" spans="1:9" x14ac:dyDescent="0.25">
      <c r="A139">
        <v>-60.537528991699197</v>
      </c>
      <c r="B139" s="1">
        <v>-21.481921551490501</v>
      </c>
      <c r="C139" s="1">
        <v>3.5595119180868502E-2</v>
      </c>
      <c r="D139" s="1">
        <v>0</v>
      </c>
      <c r="E139" s="1">
        <v>0</v>
      </c>
      <c r="F139" s="1">
        <v>0</v>
      </c>
      <c r="G139" s="1">
        <v>7.8985804346416393E-5</v>
      </c>
      <c r="H139">
        <v>0.74206831637991699</v>
      </c>
      <c r="I139" s="1">
        <v>0</v>
      </c>
    </row>
    <row r="140" spans="1:9" x14ac:dyDescent="0.25">
      <c r="A140">
        <v>-54.700112342834402</v>
      </c>
      <c r="B140" s="1">
        <v>-19.409881448114501</v>
      </c>
      <c r="C140" s="1">
        <v>4.3631157584286401E-2</v>
      </c>
      <c r="D140" s="1">
        <v>0</v>
      </c>
      <c r="E140" s="1">
        <v>0</v>
      </c>
      <c r="F140" s="1">
        <v>0</v>
      </c>
      <c r="G140" s="1">
        <v>1.09214461694477E-4</v>
      </c>
      <c r="H140">
        <v>0.74034272975313897</v>
      </c>
      <c r="I140" s="1">
        <v>0</v>
      </c>
    </row>
    <row r="141" spans="1:9" x14ac:dyDescent="0.25">
      <c r="A141">
        <v>-49.344670772552398</v>
      </c>
      <c r="B141" s="1">
        <v>-17.509000422174399</v>
      </c>
      <c r="C141" s="1">
        <v>5.33873081515139E-2</v>
      </c>
      <c r="D141" s="1">
        <v>0</v>
      </c>
      <c r="E141" s="1">
        <v>0</v>
      </c>
      <c r="F141" s="1">
        <v>0</v>
      </c>
      <c r="G141" s="1">
        <v>1.49423414125813E-4</v>
      </c>
      <c r="H141">
        <v>0.73823793939832205</v>
      </c>
      <c r="I141" s="1">
        <v>0</v>
      </c>
    </row>
    <row r="142" spans="1:9" x14ac:dyDescent="0.25">
      <c r="A142">
        <v>-44.431400299072202</v>
      </c>
      <c r="B142" s="1">
        <v>-15.7651456796772</v>
      </c>
      <c r="C142" s="1">
        <v>6.5080719289198799E-2</v>
      </c>
      <c r="D142" s="1">
        <v>0</v>
      </c>
      <c r="E142" s="1">
        <v>0</v>
      </c>
      <c r="F142" s="1">
        <v>0</v>
      </c>
      <c r="G142" s="1">
        <v>2.02423412334873E-4</v>
      </c>
      <c r="H142">
        <v>0.73617884511092502</v>
      </c>
      <c r="I142" s="1">
        <v>0</v>
      </c>
    </row>
    <row r="143" spans="1:9" x14ac:dyDescent="0.25">
      <c r="A143">
        <v>-39.923822879791203</v>
      </c>
      <c r="B143" s="1">
        <v>-14.165349265301799</v>
      </c>
      <c r="C143" s="1">
        <v>7.8935680458584997E-2</v>
      </c>
      <c r="D143" s="1">
        <v>0</v>
      </c>
      <c r="E143" s="1">
        <v>0</v>
      </c>
      <c r="F143" s="1">
        <v>0</v>
      </c>
      <c r="G143" s="1">
        <v>2.7173613958574001E-4</v>
      </c>
      <c r="H143">
        <v>0.73445852482206697</v>
      </c>
      <c r="I143" s="1">
        <v>0</v>
      </c>
    </row>
    <row r="144" spans="1:9" x14ac:dyDescent="0.25">
      <c r="A144">
        <v>-35.788428783416698</v>
      </c>
      <c r="B144" s="1">
        <v>-12.6977132407224</v>
      </c>
      <c r="C144" s="1">
        <v>9.5181690557637894E-2</v>
      </c>
      <c r="D144" s="1">
        <v>0</v>
      </c>
      <c r="E144" s="1">
        <v>0</v>
      </c>
      <c r="F144" s="1">
        <v>0</v>
      </c>
      <c r="G144" s="1">
        <v>3.61794740125631E-4</v>
      </c>
      <c r="H144">
        <v>0.73329947570684295</v>
      </c>
      <c r="I144" s="1">
        <v>0</v>
      </c>
    </row>
    <row r="145" spans="1:9" x14ac:dyDescent="0.25">
      <c r="A145">
        <v>-31.994497776031402</v>
      </c>
      <c r="B145" s="1">
        <v>-11.3513200205958</v>
      </c>
      <c r="C145" s="1">
        <v>0.114052230350807</v>
      </c>
      <c r="D145" s="1">
        <v>0</v>
      </c>
      <c r="E145" s="1">
        <v>0</v>
      </c>
      <c r="F145" s="1">
        <v>0</v>
      </c>
      <c r="G145" s="1">
        <v>4.7820127655711498E-4</v>
      </c>
      <c r="H145">
        <v>0.73288054683200998</v>
      </c>
      <c r="I145" s="1">
        <v>0</v>
      </c>
    </row>
    <row r="146" spans="1:9" x14ac:dyDescent="0.25">
      <c r="A146">
        <v>-28.5138309001922</v>
      </c>
      <c r="B146" s="1">
        <v>-10.116154214108599</v>
      </c>
      <c r="C146" s="1">
        <v>0.13578419510463299</v>
      </c>
      <c r="D146" s="1">
        <v>0</v>
      </c>
      <c r="E146" s="1">
        <v>0</v>
      </c>
      <c r="F146" s="1">
        <v>0</v>
      </c>
      <c r="G146" s="1">
        <v>6.2804504856671796E-4</v>
      </c>
      <c r="H146">
        <v>0.73334452646677295</v>
      </c>
      <c r="I146" s="1">
        <v>0</v>
      </c>
    </row>
    <row r="147" spans="1:9" x14ac:dyDescent="0.25">
      <c r="A147">
        <v>-25.320571660995402</v>
      </c>
      <c r="B147" s="1">
        <v>-8.9830258551261508</v>
      </c>
      <c r="C147" s="1">
        <v>0.16061803384991399</v>
      </c>
      <c r="D147" s="1">
        <v>0</v>
      </c>
      <c r="E147" s="1">
        <v>0</v>
      </c>
      <c r="F147" s="1">
        <v>0</v>
      </c>
      <c r="G147" s="1">
        <v>8.2027738077385896E-4</v>
      </c>
      <c r="H147">
        <v>0.73479492564266702</v>
      </c>
      <c r="I147" s="1">
        <v>0</v>
      </c>
    </row>
    <row r="148" spans="1:9" x14ac:dyDescent="0.25">
      <c r="A148">
        <v>-22.3909378051757</v>
      </c>
      <c r="B148" s="1">
        <v>-7.9435050387143296</v>
      </c>
      <c r="C148" s="1">
        <v>0.18879815685249901</v>
      </c>
      <c r="D148" s="1">
        <v>0</v>
      </c>
      <c r="E148" s="1">
        <v>0</v>
      </c>
      <c r="F148" s="1">
        <v>0</v>
      </c>
      <c r="G148" s="1">
        <v>1.0661302699023099E-3</v>
      </c>
      <c r="H148">
        <v>0.737289190876248</v>
      </c>
      <c r="I148" s="1">
        <v>0</v>
      </c>
    </row>
    <row r="149" spans="1:9" x14ac:dyDescent="0.25">
      <c r="A149">
        <v>-19.7032213211059</v>
      </c>
      <c r="B149" s="1">
        <v>-6.9898576487063604</v>
      </c>
      <c r="C149" s="1">
        <v>0.22057324508477899</v>
      </c>
      <c r="D149" s="1">
        <v>0</v>
      </c>
      <c r="E149" s="1">
        <v>0</v>
      </c>
      <c r="F149" s="1">
        <v>0</v>
      </c>
      <c r="G149" s="1">
        <v>1.37955641451753E-3</v>
      </c>
      <c r="H149">
        <v>0.74083327081886097</v>
      </c>
      <c r="I149" s="1">
        <v>0</v>
      </c>
    </row>
    <row r="150" spans="1:9" x14ac:dyDescent="0.25">
      <c r="A150">
        <v>-17.237430810928299</v>
      </c>
      <c r="B150" s="1">
        <v>-6.1149883754293599</v>
      </c>
      <c r="C150" s="1">
        <v>0.25619566222985601</v>
      </c>
      <c r="D150" s="1">
        <v>0</v>
      </c>
      <c r="E150" s="1">
        <v>0</v>
      </c>
      <c r="F150" s="1">
        <v>0</v>
      </c>
      <c r="G150" s="1">
        <v>1.77766117894634E-3</v>
      </c>
      <c r="H150">
        <v>0.74538120552888298</v>
      </c>
      <c r="I150" s="1">
        <v>0</v>
      </c>
    </row>
    <row r="151" spans="1:9" x14ac:dyDescent="0.25">
      <c r="A151">
        <v>-14.975237846374499</v>
      </c>
      <c r="B151" s="1">
        <v>-5.3123878992370503</v>
      </c>
      <c r="C151" s="1">
        <v>0.29591964943119797</v>
      </c>
      <c r="D151" s="1">
        <v>0</v>
      </c>
      <c r="E151" s="1">
        <v>0</v>
      </c>
      <c r="F151" s="1">
        <v>0</v>
      </c>
      <c r="G151" s="1">
        <v>2.2810906811378102E-3</v>
      </c>
      <c r="H151">
        <v>0.75084098371704</v>
      </c>
      <c r="I151" s="1">
        <v>0</v>
      </c>
    </row>
    <row r="152" spans="1:9" x14ac:dyDescent="0.25">
      <c r="A152">
        <v>-12.8998160362243</v>
      </c>
      <c r="B152" s="1">
        <v>-4.5760850829280102</v>
      </c>
      <c r="C152" s="1">
        <v>0.33999775605479898</v>
      </c>
      <c r="D152" s="1">
        <v>0</v>
      </c>
      <c r="E152" s="1">
        <v>0</v>
      </c>
      <c r="F152" s="1">
        <v>0</v>
      </c>
      <c r="G152" s="1">
        <v>2.9143429403143198E-3</v>
      </c>
      <c r="H152">
        <v>0.75708569326016195</v>
      </c>
      <c r="I152" s="1">
        <v>0</v>
      </c>
    </row>
    <row r="153" spans="1:9" x14ac:dyDescent="0.25">
      <c r="A153">
        <v>-10.995769500732401</v>
      </c>
      <c r="B153" s="1">
        <v>-3.9006016438103401</v>
      </c>
      <c r="C153" s="1">
        <v>0.38867506288806902</v>
      </c>
      <c r="D153" s="1">
        <v>0</v>
      </c>
      <c r="E153" s="1">
        <v>0</v>
      </c>
      <c r="F153" s="1">
        <v>0</v>
      </c>
      <c r="G153" s="1">
        <v>3.7059717960210002E-3</v>
      </c>
      <c r="H153">
        <v>0.76396786113836201</v>
      </c>
      <c r="I153" s="1">
        <v>0</v>
      </c>
    </row>
    <row r="154" spans="1:9" x14ac:dyDescent="0.25">
      <c r="A154">
        <v>-9.2489361763000399</v>
      </c>
      <c r="B154" s="1">
        <v>-3.28091242976702</v>
      </c>
      <c r="C154" s="1">
        <v>0.44218181671840201</v>
      </c>
      <c r="D154" s="1">
        <v>0</v>
      </c>
      <c r="E154" s="1">
        <v>0</v>
      </c>
      <c r="F154" s="1">
        <v>0</v>
      </c>
      <c r="G154" s="1">
        <v>4.6886693752549004E-3</v>
      </c>
      <c r="H154">
        <v>0.77133436343710204</v>
      </c>
      <c r="I154" s="1">
        <v>0</v>
      </c>
    </row>
    <row r="155" spans="1:9" x14ac:dyDescent="0.25">
      <c r="A155">
        <v>-7.6463341712951598</v>
      </c>
      <c r="B155" s="1">
        <v>-2.7124078774101199</v>
      </c>
      <c r="C155" s="1">
        <v>0.50072408429423299</v>
      </c>
      <c r="D155" s="1">
        <v>0</v>
      </c>
      <c r="E155" s="1">
        <v>0</v>
      </c>
      <c r="F155" s="1">
        <v>0</v>
      </c>
      <c r="G155" s="1">
        <v>5.8992268142856099E-3</v>
      </c>
      <c r="H155">
        <v>0.77903908909197706</v>
      </c>
      <c r="I155" s="1">
        <v>0</v>
      </c>
    </row>
    <row r="156" spans="1:9" x14ac:dyDescent="0.25">
      <c r="A156">
        <v>-6.1760544776916504</v>
      </c>
      <c r="B156" s="1">
        <v>-2.19085890028841</v>
      </c>
      <c r="C156" s="1">
        <v>0.56447372544880603</v>
      </c>
      <c r="D156" s="1">
        <v>0</v>
      </c>
      <c r="E156" s="1">
        <v>0</v>
      </c>
      <c r="F156" s="1">
        <v>0</v>
      </c>
      <c r="G156" s="1">
        <v>7.3784159637034401E-3</v>
      </c>
      <c r="H156">
        <v>0.78695268011005004</v>
      </c>
      <c r="I156" s="1">
        <v>0</v>
      </c>
    </row>
    <row r="157" spans="1:9" x14ac:dyDescent="0.25">
      <c r="A157">
        <v>-4.8271894454956001</v>
      </c>
      <c r="B157" s="1">
        <v>-1.7123859429008501</v>
      </c>
      <c r="C157" s="1">
        <v>0.63355824243535597</v>
      </c>
      <c r="D157" s="1">
        <v>0</v>
      </c>
      <c r="E157" s="1">
        <v>0</v>
      </c>
      <c r="F157" s="1">
        <v>0</v>
      </c>
      <c r="G157" s="1">
        <v>9.1709091549091598E-3</v>
      </c>
      <c r="H157">
        <v>0.79496982434539798</v>
      </c>
      <c r="I157" s="1">
        <v>0</v>
      </c>
    </row>
    <row r="158" spans="1:9" x14ac:dyDescent="0.25">
      <c r="A158">
        <v>-3.5896897315978999</v>
      </c>
      <c r="B158" s="1">
        <v>-1.2734310102856901</v>
      </c>
      <c r="C158" s="1">
        <v>0.70805087683947898</v>
      </c>
      <c r="D158" s="1">
        <v>0</v>
      </c>
      <c r="E158" s="1">
        <v>0</v>
      </c>
      <c r="F158" s="1">
        <v>0</v>
      </c>
      <c r="G158" s="1">
        <v>1.1324910877383401E-2</v>
      </c>
      <c r="H158">
        <v>0.80300506897729496</v>
      </c>
      <c r="I158" s="1">
        <v>0</v>
      </c>
    </row>
    <row r="159" spans="1:9" x14ac:dyDescent="0.25">
      <c r="A159">
        <v>-2.4543642997741602</v>
      </c>
      <c r="B159" s="1">
        <v>-0.87072890412278503</v>
      </c>
      <c r="C159" s="1">
        <v>0.78796425509790402</v>
      </c>
      <c r="D159" s="1">
        <v>0</v>
      </c>
      <c r="E159" s="1">
        <v>0</v>
      </c>
      <c r="F159" s="1">
        <v>0</v>
      </c>
      <c r="G159" s="1">
        <v>1.38914076524088E-2</v>
      </c>
      <c r="H159">
        <v>0.81098503519653597</v>
      </c>
      <c r="I159" s="1">
        <v>0</v>
      </c>
    </row>
    <row r="160" spans="1:9" x14ac:dyDescent="0.25">
      <c r="A160">
        <v>-1.41280889511108</v>
      </c>
      <c r="B160" s="1">
        <v>-0.50128540184564896</v>
      </c>
      <c r="C160" s="1">
        <v>0.87324568453186602</v>
      </c>
      <c r="D160" s="1">
        <v>0</v>
      </c>
      <c r="E160" s="1">
        <v>0</v>
      </c>
      <c r="F160" s="1">
        <v>0</v>
      </c>
      <c r="G160" s="1">
        <v>1.6919094963013699E-2</v>
      </c>
      <c r="H160">
        <v>0.81880152924138105</v>
      </c>
      <c r="I160" s="1">
        <v>0</v>
      </c>
    </row>
    <row r="161" spans="1:9" x14ac:dyDescent="0.25">
      <c r="A161">
        <v>-0.45722723007202098</v>
      </c>
      <c r="B161" s="1">
        <v>-0.162352658549622</v>
      </c>
      <c r="C161" s="1">
        <v>0.96377137654599099</v>
      </c>
      <c r="D161" s="1">
        <v>0</v>
      </c>
      <c r="E161" s="1">
        <v>0</v>
      </c>
      <c r="F161" s="1">
        <v>0</v>
      </c>
      <c r="G161" s="1">
        <v>2.0764101032218499E-2</v>
      </c>
      <c r="H161">
        <v>0.82895749053380896</v>
      </c>
      <c r="I161" s="1">
        <v>0</v>
      </c>
    </row>
    <row r="162" spans="1:9" x14ac:dyDescent="0.25">
      <c r="A162">
        <v>0.49999952316284102</v>
      </c>
      <c r="B162" s="1">
        <v>0.35449411559633798</v>
      </c>
      <c r="C162" s="1">
        <v>1.1287592097069099</v>
      </c>
      <c r="D162" s="1">
        <v>0.144806970675008</v>
      </c>
      <c r="E162" s="1">
        <v>-1.9300125813057699E-4</v>
      </c>
      <c r="F162" s="1">
        <v>2.0268093402051301E-4</v>
      </c>
      <c r="G162" s="1">
        <v>4.5414440078789399E-2</v>
      </c>
      <c r="H162">
        <v>0.95073370483916297</v>
      </c>
      <c r="I162" s="1">
        <v>3.1139285787468198E-7</v>
      </c>
    </row>
    <row r="163" spans="1:9" x14ac:dyDescent="0.25">
      <c r="A163">
        <v>1.5449970960617001</v>
      </c>
      <c r="B163" s="1">
        <v>1.0949450826995799</v>
      </c>
      <c r="C163" s="1">
        <v>1.42764099643682</v>
      </c>
      <c r="D163" s="1">
        <v>0.54406079588814504</v>
      </c>
      <c r="E163" s="1">
        <v>-1.9527149853684801E-3</v>
      </c>
      <c r="F163" s="1">
        <v>5.2900964823450198E-4</v>
      </c>
      <c r="G163" s="1">
        <v>5.5584951786692503E-2</v>
      </c>
      <c r="H163">
        <v>0.94404844475780403</v>
      </c>
      <c r="I163" s="1">
        <v>9.9069496528046492E-6</v>
      </c>
    </row>
    <row r="164" spans="1:9" x14ac:dyDescent="0.25">
      <c r="A164">
        <v>2.6840418577194201</v>
      </c>
      <c r="B164" s="1">
        <v>1.8980497701817001</v>
      </c>
      <c r="C164" s="1">
        <v>1.8476621375484601</v>
      </c>
      <c r="D164" s="1">
        <v>1.13290718659004</v>
      </c>
      <c r="E164" s="1">
        <v>-8.4237661885242596E-3</v>
      </c>
      <c r="F164" s="1">
        <v>7.5698833899121303E-4</v>
      </c>
      <c r="G164" s="1">
        <v>6.5080119854848004E-2</v>
      </c>
      <c r="H164">
        <v>0.932511196403909</v>
      </c>
      <c r="I164" s="1">
        <v>5.2585008153978102E-5</v>
      </c>
    </row>
    <row r="165" spans="1:9" x14ac:dyDescent="0.25">
      <c r="A165">
        <v>3.9256095886230402</v>
      </c>
      <c r="B165" s="1">
        <v>2.7628369501584</v>
      </c>
      <c r="C165" s="1">
        <v>2.4195048742913001</v>
      </c>
      <c r="D165" s="1">
        <v>1.9462899297052401</v>
      </c>
      <c r="E165" s="1">
        <v>-2.3123378659913801E-2</v>
      </c>
      <c r="F165" s="1">
        <v>8.8336508893649001E-4</v>
      </c>
      <c r="G165" s="1">
        <v>7.3170905348260998E-2</v>
      </c>
      <c r="H165">
        <v>0.91509797625623501</v>
      </c>
      <c r="I165" s="1">
        <v>1.3335301217117499E-4</v>
      </c>
    </row>
    <row r="166" spans="1:9" x14ac:dyDescent="0.25">
      <c r="A166">
        <v>5.2789181470870901</v>
      </c>
      <c r="B166" s="1">
        <v>3.68312694716982</v>
      </c>
      <c r="C166" s="1">
        <v>3.1562345152269602</v>
      </c>
      <c r="D166" s="1">
        <v>2.9839171672215401</v>
      </c>
      <c r="E166" s="1">
        <v>-5.01977925958072E-2</v>
      </c>
      <c r="F166" s="1">
        <v>9.1073302550810902E-4</v>
      </c>
      <c r="G166" s="1">
        <v>7.8246044673127804E-2</v>
      </c>
      <c r="H166">
        <v>0.88936800015464301</v>
      </c>
      <c r="I166" s="1">
        <v>2.6598678463612599E-4</v>
      </c>
    </row>
    <row r="167" spans="1:9" x14ac:dyDescent="0.25">
      <c r="A167">
        <v>6.7540258169174097</v>
      </c>
      <c r="B167" s="1">
        <v>4.6458288154356904</v>
      </c>
      <c r="C167" s="1">
        <v>4.0323108323063899</v>
      </c>
      <c r="D167" s="1">
        <v>4.1802370195338803</v>
      </c>
      <c r="E167" s="1">
        <v>-9.2801206128124605E-2</v>
      </c>
      <c r="F167" s="1">
        <v>8.5750577118440198E-4</v>
      </c>
      <c r="G167" s="1">
        <v>7.9994665456223205E-2</v>
      </c>
      <c r="H167">
        <v>0.853776071104836</v>
      </c>
      <c r="I167">
        <v>5.7722574113655502E-4</v>
      </c>
    </row>
    <row r="168" spans="1:9" x14ac:dyDescent="0.25">
      <c r="A168">
        <v>8.3618760108947701</v>
      </c>
      <c r="B168" s="1">
        <v>5.63063405293755</v>
      </c>
      <c r="C168" s="1">
        <v>4.9710066831903497</v>
      </c>
      <c r="D168" s="1">
        <v>5.3978656193502097</v>
      </c>
      <c r="E168" s="1">
        <v>-0.15133884850354801</v>
      </c>
      <c r="F168" s="1">
        <v>7.7080692627968595E-4</v>
      </c>
      <c r="G168" s="1">
        <v>8.0087415692628505E-2</v>
      </c>
      <c r="H168">
        <v>0.810590239240088</v>
      </c>
      <c r="I168">
        <v>1.58371877732428E-3</v>
      </c>
    </row>
    <row r="169" spans="1:9" x14ac:dyDescent="0.25">
      <c r="A169">
        <v>10.1144403219223</v>
      </c>
      <c r="B169" s="1">
        <v>6.6120026989631997</v>
      </c>
      <c r="C169" s="1">
        <v>5.8567210152541502</v>
      </c>
      <c r="D169" s="1">
        <v>6.4646976974480497</v>
      </c>
      <c r="E169" s="1">
        <v>-0.22251414853336901</v>
      </c>
      <c r="F169" s="1">
        <v>7.2262796570622895E-4</v>
      </c>
      <c r="G169" s="1">
        <v>8.1141290127905705E-2</v>
      </c>
      <c r="H169">
        <v>0.76742704626018099</v>
      </c>
      <c r="I169">
        <v>4.1543413218843601E-3</v>
      </c>
    </row>
    <row r="170" spans="1:9" x14ac:dyDescent="0.25">
      <c r="A170">
        <v>12.024745345115599</v>
      </c>
      <c r="B170" s="1">
        <v>7.5635782948487202</v>
      </c>
      <c r="C170" s="1">
        <v>6.5737679394223898</v>
      </c>
      <c r="D170" s="1">
        <v>7.2392468491305202</v>
      </c>
      <c r="E170" s="1">
        <v>-0.30015706061349701</v>
      </c>
      <c r="F170" s="1">
        <v>7.9232811041592903E-4</v>
      </c>
      <c r="G170" s="1">
        <v>8.4515961736113601E-2</v>
      </c>
      <c r="H170">
        <v>0.731972705904262</v>
      </c>
      <c r="I170">
        <v>7.8282917328767795E-3</v>
      </c>
    </row>
    <row r="171" spans="1:9" x14ac:dyDescent="0.25">
      <c r="A171">
        <v>14.106971025466899</v>
      </c>
      <c r="B171" s="1">
        <v>8.4633701464884705</v>
      </c>
      <c r="C171" s="1">
        <v>7.0467803373903699</v>
      </c>
      <c r="D171" s="1">
        <v>7.6578442967489</v>
      </c>
      <c r="E171" s="1">
        <v>-0.37741641104444601</v>
      </c>
      <c r="F171" s="1">
        <v>1.02436598737426E-3</v>
      </c>
      <c r="G171" s="1">
        <v>8.9343851525606005E-2</v>
      </c>
      <c r="H171">
        <v>0.705547730354536</v>
      </c>
      <c r="I171">
        <v>1.01803534320102E-2</v>
      </c>
    </row>
    <row r="172" spans="1:9" x14ac:dyDescent="0.25">
      <c r="A172">
        <v>16.3766205310821</v>
      </c>
      <c r="B172" s="1">
        <v>9.2971280238383205</v>
      </c>
      <c r="C172" s="1">
        <v>7.2561170853587003</v>
      </c>
      <c r="D172" s="1">
        <v>7.7358491214544101</v>
      </c>
      <c r="E172" s="1">
        <v>-0.44875604531430002</v>
      </c>
      <c r="F172" s="1">
        <v>1.40084197980527E-3</v>
      </c>
      <c r="G172" s="1">
        <v>9.3609081689105103E-2</v>
      </c>
      <c r="H172">
        <v>0.68482760286020805</v>
      </c>
      <c r="I172">
        <v>9.4599398659015003E-3</v>
      </c>
    </row>
    <row r="173" spans="1:9" x14ac:dyDescent="0.25">
      <c r="A173">
        <v>18.850511312484699</v>
      </c>
      <c r="B173" s="1">
        <v>10.058645272886</v>
      </c>
      <c r="C173" s="1">
        <v>7.2266692639823198</v>
      </c>
      <c r="D173" s="1">
        <v>7.53730534721306</v>
      </c>
      <c r="E173" s="1">
        <v>-0.51070050251203003</v>
      </c>
      <c r="F173" s="1">
        <v>1.78073093645733E-3</v>
      </c>
      <c r="G173" s="1">
        <v>9.5669589245294395E-2</v>
      </c>
      <c r="H173">
        <v>0.66634856811520804</v>
      </c>
      <c r="I173">
        <v>6.0972198440453996E-3</v>
      </c>
    </row>
    <row r="174" spans="1:9" x14ac:dyDescent="0.25">
      <c r="A174">
        <v>21.5470612049102</v>
      </c>
      <c r="B174" s="1">
        <v>10.747948872184001</v>
      </c>
      <c r="C174" s="1">
        <v>7.0062595436320301</v>
      </c>
      <c r="D174" s="1">
        <v>7.1413353886731299</v>
      </c>
      <c r="E174" s="1">
        <v>-0.56163779418497695</v>
      </c>
      <c r="F174" s="1">
        <v>2.0376030614285201E-3</v>
      </c>
      <c r="G174" s="1">
        <v>9.4936376562075903E-2</v>
      </c>
      <c r="H174">
        <v>0.64827365394386804</v>
      </c>
      <c r="I174">
        <v>1.5945949767244799E-3</v>
      </c>
    </row>
    <row r="175" spans="1:9" x14ac:dyDescent="0.25">
      <c r="A175">
        <v>24.4862973690032</v>
      </c>
      <c r="B175" s="1">
        <v>11.3689411899798</v>
      </c>
      <c r="C175" s="1">
        <v>6.6477855969860604</v>
      </c>
      <c r="D175" s="1">
        <v>6.6211556562204601</v>
      </c>
      <c r="E175" s="1">
        <v>-0.60122814678413905</v>
      </c>
      <c r="F175" s="1">
        <v>2.21586758544741E-3</v>
      </c>
      <c r="G175" s="1">
        <v>9.1645555197387096E-2</v>
      </c>
      <c r="H175">
        <v>0.62995244844781295</v>
      </c>
      <c r="I175">
        <v>-2.73732305915951E-3</v>
      </c>
    </row>
    <row r="176" spans="1:9" x14ac:dyDescent="0.25">
      <c r="A176">
        <v>27.690052986145002</v>
      </c>
      <c r="B176" s="1">
        <v>11.9275844863408</v>
      </c>
      <c r="C176" s="1">
        <v>6.1997309604630502</v>
      </c>
      <c r="D176" s="1">
        <v>6.0358724563823696</v>
      </c>
      <c r="E176" s="1">
        <v>-0.62985419139386001</v>
      </c>
      <c r="F176" s="1">
        <v>2.42981814230213E-3</v>
      </c>
      <c r="G176" s="1">
        <v>8.6407352030978102E-2</v>
      </c>
      <c r="H176">
        <v>0.61135599883652003</v>
      </c>
      <c r="I176">
        <v>-6.1860235881118801E-3</v>
      </c>
    </row>
    <row r="177" spans="1:9" x14ac:dyDescent="0.25">
      <c r="A177">
        <v>31.1821639537811</v>
      </c>
      <c r="B177" s="1">
        <v>12.4307360744827</v>
      </c>
      <c r="C177" s="1">
        <v>5.7023774333065296</v>
      </c>
      <c r="D177" s="1">
        <v>5.4292100299278303</v>
      </c>
      <c r="E177" s="1">
        <v>-0.64825478397498904</v>
      </c>
      <c r="F177" s="1">
        <v>2.5933818733051201E-3</v>
      </c>
      <c r="G177" s="1">
        <v>7.98867325193032E-2</v>
      </c>
      <c r="H177">
        <v>0.59267953061908196</v>
      </c>
      <c r="I177">
        <v>-8.5166991740850094E-3</v>
      </c>
    </row>
    <row r="178" spans="1:9" x14ac:dyDescent="0.25">
      <c r="A178">
        <v>34.988558292388902</v>
      </c>
      <c r="B178" s="1">
        <v>12.885484965776699</v>
      </c>
      <c r="C178" s="1">
        <v>5.1868497597315502</v>
      </c>
      <c r="D178" s="1">
        <v>4.8314021251220796</v>
      </c>
      <c r="E178" s="1">
        <v>-0.65727268481560097</v>
      </c>
      <c r="F178" s="1">
        <v>2.4695248261700901E-3</v>
      </c>
      <c r="G178" s="1">
        <v>7.2664007985854095E-2</v>
      </c>
      <c r="H178">
        <v>0.57445703744029597</v>
      </c>
      <c r="I178">
        <v>-9.7944554989923202E-3</v>
      </c>
    </row>
    <row r="179" spans="1:9" x14ac:dyDescent="0.25">
      <c r="A179">
        <v>39.137506484985302</v>
      </c>
      <c r="B179" s="1">
        <v>13.298658320938801</v>
      </c>
      <c r="C179" s="1">
        <v>4.6756926488305899</v>
      </c>
      <c r="D179" s="1">
        <v>4.2621858723120196</v>
      </c>
      <c r="E179" s="1">
        <v>-0.65778779426658396</v>
      </c>
      <c r="F179" s="1">
        <v>2.03644586007309E-3</v>
      </c>
      <c r="G179" s="1">
        <v>6.5121370395622505E-2</v>
      </c>
      <c r="H179">
        <v>0.55730616869850103</v>
      </c>
      <c r="I179">
        <v>-1.0170157730963801E-2</v>
      </c>
    </row>
    <row r="180" spans="1:9" x14ac:dyDescent="0.25">
      <c r="A180">
        <v>43.659898638725203</v>
      </c>
      <c r="B180" s="1">
        <v>13.6765611863487</v>
      </c>
      <c r="C180" s="1">
        <v>4.1839482305076601</v>
      </c>
      <c r="D180" s="1">
        <v>3.73347909335771</v>
      </c>
      <c r="E180" s="1">
        <v>-0.65048570830022101</v>
      </c>
      <c r="F180" s="1">
        <v>1.6057586407131901E-3</v>
      </c>
      <c r="G180" s="1">
        <v>5.7529727114014897E-2</v>
      </c>
      <c r="H180">
        <v>0.54163852363949305</v>
      </c>
      <c r="I180">
        <v>-9.8355350251399E-3</v>
      </c>
    </row>
    <row r="181" spans="1:9" x14ac:dyDescent="0.25">
      <c r="A181">
        <v>48.589280247688201</v>
      </c>
      <c r="B181" s="1">
        <v>14.024814622735301</v>
      </c>
      <c r="C181" s="1">
        <v>3.7209901073074398</v>
      </c>
      <c r="D181" s="1">
        <v>3.2510131768504</v>
      </c>
      <c r="E181" s="1">
        <v>-0.63598029545803103</v>
      </c>
      <c r="F181" s="1">
        <v>1.4571233094562001E-3</v>
      </c>
      <c r="G181" s="1">
        <v>5.0067145184685503E-2</v>
      </c>
      <c r="H181">
        <v>0.52735669924797002</v>
      </c>
      <c r="I181">
        <v>-8.9780501503406197E-3</v>
      </c>
    </row>
    <row r="182" spans="1:9" x14ac:dyDescent="0.25">
      <c r="A182">
        <v>53.962334990501397</v>
      </c>
      <c r="B182" s="1">
        <v>14.348282704388399</v>
      </c>
      <c r="C182" s="1">
        <v>3.29190582544833</v>
      </c>
      <c r="D182" s="1">
        <v>2.8167115153870501</v>
      </c>
      <c r="E182" s="1">
        <v>-0.61472399588757898</v>
      </c>
      <c r="F182" s="1">
        <v>1.4603321284839901E-3</v>
      </c>
      <c r="G182" s="1">
        <v>4.2909385159665303E-2</v>
      </c>
      <c r="H182">
        <v>0.514625802390276</v>
      </c>
      <c r="I182">
        <v>-7.8100223796159799E-3</v>
      </c>
    </row>
    <row r="183" spans="1:9" x14ac:dyDescent="0.25">
      <c r="A183">
        <v>59.818929433822603</v>
      </c>
      <c r="B183" s="1">
        <v>14.6508106685035</v>
      </c>
      <c r="C183" s="1">
        <v>2.8984089491932501</v>
      </c>
      <c r="D183" s="1">
        <v>2.42993807952256</v>
      </c>
      <c r="E183" s="1">
        <v>-0.587035145685875</v>
      </c>
      <c r="F183" s="1">
        <v>7.76386399413594E-4</v>
      </c>
      <c r="G183" s="1">
        <v>3.6191413849224002E-2</v>
      </c>
      <c r="H183">
        <v>0.50368987092455098</v>
      </c>
      <c r="I183">
        <v>-6.5368522148942397E-3</v>
      </c>
    </row>
    <row r="184" spans="1:9" x14ac:dyDescent="0.25">
      <c r="A184">
        <v>66.202640533447195</v>
      </c>
      <c r="B184" s="1">
        <v>14.934897998606401</v>
      </c>
      <c r="C184" s="1">
        <v>2.5399529931564699</v>
      </c>
      <c r="D184" s="1">
        <v>2.0878414858657202</v>
      </c>
      <c r="E184" s="1">
        <v>-0.553056817035674</v>
      </c>
      <c r="F184" s="1">
        <v>-2.9087504251383502E-4</v>
      </c>
      <c r="G184" s="1">
        <v>2.99613881810635E-2</v>
      </c>
      <c r="H184">
        <v>0.49344862110070897</v>
      </c>
      <c r="I184">
        <v>-5.2621971226434004E-3</v>
      </c>
    </row>
    <row r="185" spans="1:9" x14ac:dyDescent="0.25">
      <c r="A185">
        <v>73.160880804061804</v>
      </c>
      <c r="B185" s="1">
        <v>15.2016032061331</v>
      </c>
      <c r="C185" s="1">
        <v>2.2134922627374101</v>
      </c>
      <c r="D185" s="1">
        <v>1.78560682064969</v>
      </c>
      <c r="E185" s="1">
        <v>-0.51295263876486497</v>
      </c>
      <c r="F185" s="1">
        <v>-8.1728547914280405E-4</v>
      </c>
      <c r="G185" s="1">
        <v>2.43367296348251E-2</v>
      </c>
      <c r="H185">
        <v>0.48357196527875002</v>
      </c>
      <c r="I185">
        <v>-4.0959410438938301E-3</v>
      </c>
    </row>
    <row r="186" spans="1:9" x14ac:dyDescent="0.25">
      <c r="A186">
        <v>80.745358765125204</v>
      </c>
      <c r="B186" s="1">
        <v>15.451324621474001</v>
      </c>
      <c r="C186" s="1">
        <v>1.9134841648410601</v>
      </c>
      <c r="D186" s="1">
        <v>1.51673361023189</v>
      </c>
      <c r="E186" s="1">
        <v>-0.46655704893245598</v>
      </c>
      <c r="F186" s="1">
        <v>-4.8515043273298302E-4</v>
      </c>
      <c r="G186" s="1">
        <v>1.94356611210376E-2</v>
      </c>
      <c r="H186">
        <v>0.47577807627371799</v>
      </c>
      <c r="I186">
        <v>-3.1211564529106499E-3</v>
      </c>
    </row>
    <row r="187" spans="1:9" x14ac:dyDescent="0.25">
      <c r="A187">
        <v>89.012441039085303</v>
      </c>
      <c r="B187" s="1">
        <v>15.683987656866799</v>
      </c>
      <c r="C187" s="1">
        <v>1.6360792042542001</v>
      </c>
      <c r="D187" s="1">
        <v>1.27585329899526</v>
      </c>
      <c r="E187" s="1">
        <v>-0.41363891982413598</v>
      </c>
      <c r="F187" s="1">
        <v>1.25387329976405E-4</v>
      </c>
      <c r="G187" s="1">
        <v>1.5237273886662E-2</v>
      </c>
      <c r="H187">
        <v>0.47132787514126001</v>
      </c>
      <c r="I187">
        <v>-2.32148687708632E-3</v>
      </c>
    </row>
    <row r="188" spans="1:9" x14ac:dyDescent="0.25">
      <c r="A188">
        <v>98.0235546827316</v>
      </c>
      <c r="B188" s="1">
        <v>15.8978514021985</v>
      </c>
      <c r="C188" s="1">
        <v>1.3804229920915501</v>
      </c>
      <c r="D188" s="1">
        <v>1.0595975227897401</v>
      </c>
      <c r="E188" s="1">
        <v>-0.35421631367780998</v>
      </c>
      <c r="F188" s="1">
        <v>1.1249855951211999E-3</v>
      </c>
      <c r="G188" s="1">
        <v>1.1679613747012201E-2</v>
      </c>
      <c r="H188">
        <v>0.46902499058094599</v>
      </c>
      <c r="I188">
        <v>-1.6757447640972499E-3</v>
      </c>
    </row>
    <row r="189" spans="1:9" x14ac:dyDescent="0.25">
      <c r="A189">
        <v>107.845674455165</v>
      </c>
      <c r="B189" s="1">
        <v>16.0887389427774</v>
      </c>
      <c r="C189" s="1">
        <v>1.14732155716046</v>
      </c>
      <c r="D189" s="1">
        <v>0.86653186036207597</v>
      </c>
      <c r="E189" s="1">
        <v>-0.28826325844491402</v>
      </c>
      <c r="F189" s="1">
        <v>1.9733377812497198E-3</v>
      </c>
      <c r="G189" s="1">
        <v>8.79040084621701E-3</v>
      </c>
      <c r="H189">
        <v>0.47051243556018102</v>
      </c>
      <c r="I189">
        <v>-1.19943896173514E-3</v>
      </c>
    </row>
    <row r="190" spans="1:9" x14ac:dyDescent="0.25">
      <c r="A190">
        <v>118.551787734031</v>
      </c>
      <c r="B190" s="1">
        <v>16.249897705649602</v>
      </c>
      <c r="C190" s="1">
        <v>0.943103962765235</v>
      </c>
      <c r="D190" s="1">
        <v>0.70124957086916595</v>
      </c>
      <c r="E190" s="1">
        <v>-0.21535256001116801</v>
      </c>
      <c r="F190" s="1">
        <v>2.3979914552061899E-3</v>
      </c>
      <c r="G190" s="1">
        <v>6.5564837319055701E-3</v>
      </c>
      <c r="H190">
        <v>0.477907244062095</v>
      </c>
      <c r="I190">
        <v>-8.6313783196888001E-4</v>
      </c>
    </row>
    <row r="191" spans="1:9" x14ac:dyDescent="0.25">
      <c r="A191">
        <v>130.22144660353601</v>
      </c>
      <c r="B191" s="1">
        <v>16.371826479469998</v>
      </c>
      <c r="C191" s="1">
        <v>0.78167562940143298</v>
      </c>
      <c r="D191" s="1">
        <v>0.57303605756749099</v>
      </c>
      <c r="E191" s="1">
        <v>-0.13502265223672399</v>
      </c>
      <c r="F191" s="1">
        <v>2.3023574094163499E-3</v>
      </c>
      <c r="G191" s="1">
        <v>5.0234919979944004E-3</v>
      </c>
      <c r="H191">
        <v>0.49238241461841098</v>
      </c>
      <c r="I191">
        <v>-6.6158630917781305E-4</v>
      </c>
    </row>
    <row r="192" spans="1:9" x14ac:dyDescent="0.25">
      <c r="A192">
        <v>143.15376933664001</v>
      </c>
      <c r="B192" s="1">
        <v>16.442237327133899</v>
      </c>
      <c r="C192" s="1">
        <v>0.686549623080281</v>
      </c>
      <c r="D192" s="1">
        <v>0.497885441266395</v>
      </c>
      <c r="E192" s="1">
        <v>-4.5350964355014602E-2</v>
      </c>
      <c r="F192" s="1">
        <v>2.61098567247154E-3</v>
      </c>
      <c r="G192" s="1">
        <v>4.2520427498650704E-3</v>
      </c>
      <c r="H192">
        <v>0.50054881221237002</v>
      </c>
      <c r="I192">
        <v>-6.0232477117526698E-4</v>
      </c>
    </row>
    <row r="193" spans="1:19" x14ac:dyDescent="0.25">
      <c r="A193" t="s">
        <v>15</v>
      </c>
      <c r="B193" s="1" t="s">
        <v>9</v>
      </c>
      <c r="C193" s="1" t="s">
        <v>32</v>
      </c>
      <c r="D193" s="1" t="s">
        <v>33</v>
      </c>
      <c r="E193" s="1" t="s">
        <v>34</v>
      </c>
      <c r="F193" s="1" t="s">
        <v>35</v>
      </c>
      <c r="G193" s="1" t="s">
        <v>30</v>
      </c>
      <c r="H193" t="s">
        <v>36</v>
      </c>
      <c r="I193" t="s">
        <v>31</v>
      </c>
    </row>
    <row r="194" spans="1:19" x14ac:dyDescent="0.25">
      <c r="A194">
        <v>-143.38788986206001</v>
      </c>
      <c r="B194" s="1">
        <v>-101.79343144971899</v>
      </c>
      <c r="C194" s="1">
        <v>1.7654987365176501E-2</v>
      </c>
      <c r="D194" s="1">
        <v>0</v>
      </c>
      <c r="E194" s="1">
        <v>0</v>
      </c>
      <c r="F194" s="1">
        <v>0</v>
      </c>
      <c r="G194" s="1">
        <v>3.4464294059555099E-6</v>
      </c>
      <c r="H194">
        <v>6.10030111183592E-2</v>
      </c>
      <c r="I194" s="1">
        <v>0</v>
      </c>
    </row>
    <row r="195" spans="1:19" x14ac:dyDescent="0.25">
      <c r="A195">
        <v>-130.70960640907199</v>
      </c>
      <c r="B195" s="1">
        <v>-92.791799414941096</v>
      </c>
      <c r="C195" s="1">
        <v>1.81310628294113E-2</v>
      </c>
      <c r="D195" s="1">
        <v>0</v>
      </c>
      <c r="E195" s="1">
        <v>0</v>
      </c>
      <c r="F195" s="1">
        <v>0</v>
      </c>
      <c r="G195" s="1">
        <v>5.3100539912387302E-6</v>
      </c>
      <c r="H195">
        <v>0.343991737388883</v>
      </c>
      <c r="I195" s="1">
        <v>0</v>
      </c>
    </row>
    <row r="196" spans="1:19" x14ac:dyDescent="0.25">
      <c r="A196">
        <v>-119.078135490417</v>
      </c>
      <c r="B196" s="1">
        <v>-84.533391583749093</v>
      </c>
      <c r="C196" s="1">
        <v>1.91518068238281E-2</v>
      </c>
      <c r="D196" s="1">
        <v>0</v>
      </c>
      <c r="E196" s="1">
        <v>0</v>
      </c>
      <c r="F196" s="1">
        <v>0</v>
      </c>
      <c r="G196" s="1">
        <v>8.9265042842523403E-6</v>
      </c>
      <c r="H196">
        <v>0.54899274763227601</v>
      </c>
      <c r="I196" s="1">
        <v>0</v>
      </c>
    </row>
    <row r="197" spans="1:19" x14ac:dyDescent="0.25">
      <c r="A197">
        <v>-108.407056331634</v>
      </c>
      <c r="B197" s="1">
        <v>-76.956868249961204</v>
      </c>
      <c r="C197" s="1">
        <v>2.08856685479759E-2</v>
      </c>
      <c r="D197" s="1">
        <v>0</v>
      </c>
      <c r="E197" s="1">
        <v>0</v>
      </c>
      <c r="F197" s="1">
        <v>0</v>
      </c>
      <c r="G197" s="1">
        <v>1.44784233959516E-5</v>
      </c>
      <c r="H197">
        <v>0.65554720898111096</v>
      </c>
      <c r="I197" s="1">
        <v>0</v>
      </c>
    </row>
    <row r="198" spans="1:19" x14ac:dyDescent="0.25">
      <c r="A198">
        <v>-98.617064952850299</v>
      </c>
      <c r="B198" s="1">
        <v>-70.005945805498399</v>
      </c>
      <c r="C198" s="1">
        <v>2.3546212986559501E-2</v>
      </c>
      <c r="D198" s="1">
        <v>0</v>
      </c>
      <c r="E198" s="1">
        <v>0</v>
      </c>
      <c r="F198" s="1">
        <v>0</v>
      </c>
      <c r="G198" s="1">
        <v>2.2479348360091498E-5</v>
      </c>
      <c r="H198">
        <v>0.70840568224336897</v>
      </c>
      <c r="I198" s="1">
        <v>0</v>
      </c>
    </row>
    <row r="199" spans="1:19" x14ac:dyDescent="0.25">
      <c r="A199">
        <v>-89.635455608367906</v>
      </c>
      <c r="B199" s="1">
        <v>-63.628993649073898</v>
      </c>
      <c r="C199" s="1">
        <v>2.7373470094403201E-2</v>
      </c>
      <c r="D199" s="1">
        <v>0</v>
      </c>
      <c r="E199" s="1">
        <v>0</v>
      </c>
      <c r="F199" s="1">
        <v>0</v>
      </c>
      <c r="G199" s="1">
        <v>3.3795410788419703E-5</v>
      </c>
      <c r="H199">
        <v>0.73402462343309705</v>
      </c>
      <c r="I199" s="1">
        <v>0</v>
      </c>
    </row>
    <row r="200" spans="1:19" x14ac:dyDescent="0.25">
      <c r="A200">
        <v>-81.395459175109806</v>
      </c>
      <c r="B200">
        <v>-57.778637442776002</v>
      </c>
      <c r="C200">
        <v>3.2631625365468098E-2</v>
      </c>
      <c r="D200" s="1">
        <v>0</v>
      </c>
      <c r="E200" s="1">
        <v>0</v>
      </c>
      <c r="F200" s="1">
        <v>0</v>
      </c>
      <c r="G200" s="1">
        <v>4.9678765713139197E-5</v>
      </c>
      <c r="H200">
        <v>0.74561043927543402</v>
      </c>
      <c r="I200" s="1">
        <v>0</v>
      </c>
    </row>
    <row r="201" spans="1:19" x14ac:dyDescent="0.25">
      <c r="A201">
        <v>-73.835813999175997</v>
      </c>
      <c r="B201">
        <v>-52.411406803914304</v>
      </c>
      <c r="C201">
        <v>3.9612131310775497E-2</v>
      </c>
      <c r="D201" s="1">
        <v>0</v>
      </c>
      <c r="E201" s="1">
        <v>0</v>
      </c>
      <c r="F201" s="1">
        <v>0</v>
      </c>
      <c r="G201" s="1">
        <v>7.18178583185036E-5</v>
      </c>
      <c r="H201">
        <v>0.74987988882435896</v>
      </c>
      <c r="I201" s="1">
        <v>0</v>
      </c>
    </row>
    <row r="202" spans="1:19" x14ac:dyDescent="0.25">
      <c r="A202">
        <v>-66.900336742401095</v>
      </c>
      <c r="B202" s="1">
        <v>-47.487424258180901</v>
      </c>
      <c r="C202" s="1">
        <v>4.86368846990217E-2</v>
      </c>
      <c r="D202" s="1">
        <v>0</v>
      </c>
      <c r="E202" s="1">
        <v>0</v>
      </c>
      <c r="F202" s="1">
        <v>0</v>
      </c>
      <c r="G202" s="1">
        <v>1.02410852734617E-4</v>
      </c>
      <c r="H202">
        <v>0.75036552569116099</v>
      </c>
      <c r="I202" s="1">
        <v>0</v>
      </c>
      <c r="S202" s="1"/>
    </row>
    <row r="203" spans="1:19" x14ac:dyDescent="0.25">
      <c r="A203">
        <v>-60.537528991699197</v>
      </c>
      <c r="B203" s="1">
        <v>-42.970097366758601</v>
      </c>
      <c r="C203" s="1">
        <v>6.0059492810751097E-2</v>
      </c>
      <c r="D203" s="1">
        <v>0</v>
      </c>
      <c r="E203" s="1">
        <v>0</v>
      </c>
      <c r="F203" s="1">
        <v>0</v>
      </c>
      <c r="G203" s="1">
        <v>1.4426842507660301E-4</v>
      </c>
      <c r="H203">
        <v>0.74897448369787301</v>
      </c>
      <c r="I203" s="1">
        <v>0</v>
      </c>
    </row>
    <row r="204" spans="1:19" x14ac:dyDescent="0.25">
      <c r="A204">
        <v>-54.700112342834402</v>
      </c>
      <c r="B204" s="1">
        <v>-38.825855288692701</v>
      </c>
      <c r="C204" s="1">
        <v>7.4264352760678706E-2</v>
      </c>
      <c r="D204" s="1">
        <v>0</v>
      </c>
      <c r="E204" s="1">
        <v>0</v>
      </c>
      <c r="F204" s="1">
        <v>0</v>
      </c>
      <c r="G204" s="1">
        <v>2.0095414225927699E-4</v>
      </c>
      <c r="H204">
        <v>0.74676582960814897</v>
      </c>
      <c r="I204" s="1">
        <v>0</v>
      </c>
    </row>
    <row r="205" spans="1:19" x14ac:dyDescent="0.25">
      <c r="A205">
        <v>-49.344670772552398</v>
      </c>
      <c r="B205" s="1">
        <v>-35.023891691156599</v>
      </c>
      <c r="C205" s="1">
        <v>9.1664113831484401E-2</v>
      </c>
      <c r="D205" s="1">
        <v>0</v>
      </c>
      <c r="E205" s="1">
        <v>0</v>
      </c>
      <c r="F205" s="1">
        <v>0</v>
      </c>
      <c r="G205" s="1">
        <v>2.7697499916421001E-4</v>
      </c>
      <c r="H205">
        <v>0.74435556445465201</v>
      </c>
      <c r="I205" s="1">
        <v>0</v>
      </c>
    </row>
    <row r="206" spans="1:19" x14ac:dyDescent="0.25">
      <c r="A206">
        <v>-44.431400299072202</v>
      </c>
      <c r="B206" s="1">
        <v>-31.535944953599</v>
      </c>
      <c r="C206" s="1">
        <v>0.112696446075688</v>
      </c>
      <c r="D206" s="1">
        <v>0</v>
      </c>
      <c r="E206" s="1">
        <v>0</v>
      </c>
      <c r="F206" s="1">
        <v>0</v>
      </c>
      <c r="G206" s="1">
        <v>3.7803968747788001E-4</v>
      </c>
      <c r="H206">
        <v>0.74213085588399297</v>
      </c>
      <c r="I206" s="1">
        <v>0</v>
      </c>
    </row>
    <row r="207" spans="1:19" x14ac:dyDescent="0.25">
      <c r="A207">
        <v>-39.923822879791203</v>
      </c>
      <c r="B207" s="1">
        <v>-28.336083132811801</v>
      </c>
      <c r="C207" s="1">
        <v>0.13782074444429701</v>
      </c>
      <c r="D207" s="1">
        <v>0</v>
      </c>
      <c r="E207" s="1">
        <v>0</v>
      </c>
      <c r="F207" s="1">
        <v>0</v>
      </c>
      <c r="G207" s="1">
        <v>5.1140549610167302E-4</v>
      </c>
      <c r="H207">
        <v>0.74036107631201997</v>
      </c>
      <c r="I207" s="1">
        <v>0</v>
      </c>
    </row>
    <row r="208" spans="1:19" x14ac:dyDescent="0.25">
      <c r="A208">
        <v>-35.788428783416698</v>
      </c>
      <c r="B208" s="1">
        <v>-25.400517096781201</v>
      </c>
      <c r="C208" s="1">
        <v>0.167515874802802</v>
      </c>
      <c r="D208" s="1">
        <v>0</v>
      </c>
      <c r="E208" s="1">
        <v>0</v>
      </c>
      <c r="F208" s="1">
        <v>0</v>
      </c>
      <c r="G208" s="1">
        <v>6.8633581965158797E-4</v>
      </c>
      <c r="H208">
        <v>0.73925197751938798</v>
      </c>
      <c r="I208" s="1">
        <v>0</v>
      </c>
    </row>
    <row r="209" spans="1:9" x14ac:dyDescent="0.25">
      <c r="A209">
        <v>-31.994497776031402</v>
      </c>
      <c r="B209" s="1">
        <v>-22.707416832485201</v>
      </c>
      <c r="C209" s="1">
        <v>0.20227900309737301</v>
      </c>
      <c r="D209" s="1">
        <v>0</v>
      </c>
      <c r="E209" s="1">
        <v>0</v>
      </c>
      <c r="F209" s="1">
        <v>0</v>
      </c>
      <c r="G209" s="1">
        <v>9.1468459113656204E-4</v>
      </c>
      <c r="H209">
        <v>0.73896703244826401</v>
      </c>
      <c r="I209" s="1">
        <v>0</v>
      </c>
    </row>
    <row r="210" spans="1:9" x14ac:dyDescent="0.25">
      <c r="A210">
        <v>-28.5138309001922</v>
      </c>
      <c r="B210" s="1">
        <v>-20.236754980209302</v>
      </c>
      <c r="C210" s="1">
        <v>0.24262581198490801</v>
      </c>
      <c r="D210" s="1">
        <v>0</v>
      </c>
      <c r="E210" s="1">
        <v>0</v>
      </c>
      <c r="F210" s="1">
        <v>0</v>
      </c>
      <c r="G210" s="1">
        <v>1.21161290375056E-3</v>
      </c>
      <c r="H210">
        <v>0.73963083115386496</v>
      </c>
      <c r="I210" s="1">
        <v>0</v>
      </c>
    </row>
    <row r="211" spans="1:9" x14ac:dyDescent="0.25">
      <c r="A211">
        <v>-25.320571660995402</v>
      </c>
      <c r="B211" s="1">
        <v>-17.970158401914901</v>
      </c>
      <c r="C211" s="1">
        <v>0.28909175935041198</v>
      </c>
      <c r="D211" s="1">
        <v>0</v>
      </c>
      <c r="E211" s="1">
        <v>0</v>
      </c>
      <c r="F211" s="1">
        <v>0</v>
      </c>
      <c r="G211" s="1">
        <v>1.59642694418153E-3</v>
      </c>
      <c r="H211">
        <v>0.74132398074347094</v>
      </c>
      <c r="I211" s="1">
        <v>0</v>
      </c>
    </row>
    <row r="212" spans="1:9" x14ac:dyDescent="0.25">
      <c r="A212">
        <v>-22.3909378051757</v>
      </c>
      <c r="B212" s="1">
        <v>-15.8907706104601</v>
      </c>
      <c r="C212" s="1">
        <v>0.34223331619295999</v>
      </c>
      <c r="D212" s="1">
        <v>0</v>
      </c>
      <c r="E212" s="1">
        <v>0</v>
      </c>
      <c r="F212" s="1">
        <v>0</v>
      </c>
      <c r="G212" s="1">
        <v>2.0935059182909201E-3</v>
      </c>
      <c r="H212">
        <v>0.7440764982393</v>
      </c>
      <c r="I212" s="1">
        <v>0</v>
      </c>
    </row>
    <row r="213" spans="1:9" x14ac:dyDescent="0.25">
      <c r="A213">
        <v>-19.7032213211059</v>
      </c>
      <c r="B213" s="1">
        <v>-13.983128283211</v>
      </c>
      <c r="C213" s="1">
        <v>0.40262838957005398</v>
      </c>
      <c r="D213" s="1">
        <v>0</v>
      </c>
      <c r="E213" s="1">
        <v>0</v>
      </c>
      <c r="F213" s="1">
        <v>0</v>
      </c>
      <c r="G213" s="1">
        <v>2.73326712258381E-3</v>
      </c>
      <c r="H213">
        <v>0.74786457862029299</v>
      </c>
      <c r="I213" s="1">
        <v>0</v>
      </c>
    </row>
    <row r="214" spans="1:9" x14ac:dyDescent="0.25">
      <c r="A214">
        <v>-17.237430810928299</v>
      </c>
      <c r="B214" s="1">
        <v>-12.233044669070299</v>
      </c>
      <c r="C214" s="1">
        <v>0.47087440387440399</v>
      </c>
      <c r="D214" s="1">
        <v>0</v>
      </c>
      <c r="E214" s="1">
        <v>0</v>
      </c>
      <c r="F214" s="1">
        <v>0</v>
      </c>
      <c r="G214" s="1">
        <v>3.5531018720348501E-3</v>
      </c>
      <c r="H214">
        <v>0.75261373803655796</v>
      </c>
      <c r="I214" s="1">
        <v>0</v>
      </c>
    </row>
    <row r="215" spans="1:9" x14ac:dyDescent="0.25">
      <c r="A215">
        <v>-14.975237846374499</v>
      </c>
      <c r="B215" s="1">
        <v>-10.6275026165331</v>
      </c>
      <c r="C215" s="1">
        <v>0.54758293666145597</v>
      </c>
      <c r="D215" s="1">
        <v>0</v>
      </c>
      <c r="E215" s="1">
        <v>0</v>
      </c>
      <c r="F215" s="1">
        <v>0</v>
      </c>
      <c r="G215" s="1">
        <v>4.5981988337075496E-3</v>
      </c>
      <c r="H215">
        <v>0.75820819378181803</v>
      </c>
      <c r="I215" s="1">
        <v>0</v>
      </c>
    </row>
    <row r="216" spans="1:9" x14ac:dyDescent="0.25">
      <c r="A216">
        <v>-12.8998160362243</v>
      </c>
      <c r="B216" s="1">
        <v>-9.1545641161883609</v>
      </c>
      <c r="C216" s="1">
        <v>0.63337008377038695</v>
      </c>
      <c r="D216" s="1">
        <v>0</v>
      </c>
      <c r="E216" s="1">
        <v>0</v>
      </c>
      <c r="F216" s="1">
        <v>0</v>
      </c>
      <c r="G216" s="1">
        <v>5.9221802952106302E-3</v>
      </c>
      <c r="H216">
        <v>0.76450481720275898</v>
      </c>
      <c r="I216" s="1">
        <v>0</v>
      </c>
    </row>
    <row r="217" spans="1:9" x14ac:dyDescent="0.25">
      <c r="A217">
        <v>-10.995769500732401</v>
      </c>
      <c r="B217" s="1">
        <v>-7.8032742888117497</v>
      </c>
      <c r="C217" s="1">
        <v>0.72884183163841898</v>
      </c>
      <c r="D217" s="1">
        <v>0</v>
      </c>
      <c r="E217" s="1">
        <v>0</v>
      </c>
      <c r="F217" s="1">
        <v>0</v>
      </c>
      <c r="G217" s="1">
        <v>7.5874863817034502E-3</v>
      </c>
      <c r="H217">
        <v>0.77134875885367604</v>
      </c>
      <c r="I217" s="1">
        <v>0</v>
      </c>
    </row>
    <row r="218" spans="1:9" x14ac:dyDescent="0.25">
      <c r="A218">
        <v>-9.2489361763000399</v>
      </c>
      <c r="B218" s="1">
        <v>-6.5635844171429403</v>
      </c>
      <c r="C218" s="1">
        <v>0.83457520017145703</v>
      </c>
      <c r="D218" s="1">
        <v>0</v>
      </c>
      <c r="E218" s="1">
        <v>0</v>
      </c>
      <c r="F218" s="1">
        <v>0</v>
      </c>
      <c r="G218" s="1">
        <v>9.66547023516795E-3</v>
      </c>
      <c r="H218">
        <v>0.77858766534075297</v>
      </c>
      <c r="I218" s="1">
        <v>0</v>
      </c>
    </row>
    <row r="219" spans="1:9" x14ac:dyDescent="0.25">
      <c r="A219">
        <v>-7.6463341712951598</v>
      </c>
      <c r="B219" s="1">
        <v>-5.42627577114947</v>
      </c>
      <c r="C219" s="1">
        <v>0.95109567195686295</v>
      </c>
      <c r="D219" s="1">
        <v>0</v>
      </c>
      <c r="E219" s="1">
        <v>0</v>
      </c>
      <c r="F219" s="1">
        <v>0</v>
      </c>
      <c r="G219" s="1">
        <v>1.2236217459831E-2</v>
      </c>
      <c r="H219">
        <v>0.786082992870064</v>
      </c>
      <c r="I219" s="1">
        <v>0</v>
      </c>
    </row>
    <row r="220" spans="1:9" x14ac:dyDescent="0.25">
      <c r="A220">
        <v>-6.1760544776916504</v>
      </c>
      <c r="B220" s="1">
        <v>-4.3828913681591199</v>
      </c>
      <c r="C220" s="1">
        <v>1.0788528471730301</v>
      </c>
      <c r="D220" s="1">
        <v>0</v>
      </c>
      <c r="E220" s="1">
        <v>0</v>
      </c>
      <c r="F220" s="1">
        <v>0</v>
      </c>
      <c r="G220" s="1">
        <v>1.53881703064143E-2</v>
      </c>
      <c r="H220">
        <v>0.79371731211139895</v>
      </c>
      <c r="I220" s="1">
        <v>0</v>
      </c>
    </row>
    <row r="221" spans="1:9" x14ac:dyDescent="0.25">
      <c r="A221">
        <v>-4.8271894454956001</v>
      </c>
      <c r="B221" s="1">
        <v>-3.42567487437374</v>
      </c>
      <c r="C221" s="1">
        <v>1.2181958921846601</v>
      </c>
      <c r="D221" s="1">
        <v>0</v>
      </c>
      <c r="E221" s="1">
        <v>0</v>
      </c>
      <c r="F221" s="1">
        <v>0</v>
      </c>
      <c r="G221" s="1">
        <v>1.9217807655368201E-2</v>
      </c>
      <c r="H221">
        <v>0.80139923791927403</v>
      </c>
      <c r="I221" s="1">
        <v>0</v>
      </c>
    </row>
    <row r="222" spans="1:9" x14ac:dyDescent="0.25">
      <c r="A222">
        <v>-3.5896897315978999</v>
      </c>
      <c r="B222" s="1">
        <v>-2.5475071259225102</v>
      </c>
      <c r="C222" s="1">
        <v>1.36934993718386</v>
      </c>
      <c r="D222" s="1">
        <v>0</v>
      </c>
      <c r="E222" s="1">
        <v>0</v>
      </c>
      <c r="F222" s="1">
        <v>0</v>
      </c>
      <c r="G222" s="1">
        <v>2.3829063143639299E-2</v>
      </c>
      <c r="H222">
        <v>0.80906028333681801</v>
      </c>
      <c r="I222" s="1">
        <v>0</v>
      </c>
    </row>
    <row r="223" spans="1:9" x14ac:dyDescent="0.25">
      <c r="A223">
        <v>-2.4543642997741602</v>
      </c>
      <c r="B223" s="1">
        <v>-1.7418593131387901</v>
      </c>
      <c r="C223" s="1">
        <v>1.5323999836727999</v>
      </c>
      <c r="D223" s="1">
        <v>0</v>
      </c>
      <c r="E223" s="1">
        <v>0</v>
      </c>
      <c r="F223" s="1">
        <v>0</v>
      </c>
      <c r="G223" s="1">
        <v>2.9330617456071101E-2</v>
      </c>
      <c r="H223">
        <v>0.81663731097355696</v>
      </c>
      <c r="I223" s="1">
        <v>0</v>
      </c>
    </row>
    <row r="224" spans="1:9" x14ac:dyDescent="0.25">
      <c r="A224">
        <v>-1.41280889511108</v>
      </c>
      <c r="B224" s="1">
        <v>-1.0027421974027799</v>
      </c>
      <c r="C224" s="1">
        <v>1.70728306451928</v>
      </c>
      <c r="D224" s="1">
        <v>0</v>
      </c>
      <c r="E224" s="1">
        <v>0</v>
      </c>
      <c r="F224" s="1">
        <v>0</v>
      </c>
      <c r="G224" s="1">
        <v>3.5826397437704098E-2</v>
      </c>
      <c r="H224">
        <v>0.82403769187335096</v>
      </c>
      <c r="I224" s="1">
        <v>0</v>
      </c>
    </row>
    <row r="225" spans="1:9" x14ac:dyDescent="0.25">
      <c r="A225">
        <v>-0.45722723007202098</v>
      </c>
      <c r="B225" s="1">
        <v>-0.32466167587883599</v>
      </c>
      <c r="C225" s="1">
        <v>1.89376959314176</v>
      </c>
      <c r="D225" s="1">
        <v>0</v>
      </c>
      <c r="E225" s="1">
        <v>0</v>
      </c>
      <c r="F225" s="1">
        <v>0</v>
      </c>
      <c r="G225" s="1">
        <v>4.4450748634626398E-2</v>
      </c>
      <c r="H225">
        <v>0.835121633691707</v>
      </c>
      <c r="I225" s="1">
        <v>0</v>
      </c>
    </row>
    <row r="226" spans="1:9" x14ac:dyDescent="0.25">
      <c r="A226">
        <v>0.49999952316284102</v>
      </c>
      <c r="B226" s="1">
        <v>0.35457098852746299</v>
      </c>
      <c r="C226" s="1">
        <v>2.1114840231421099</v>
      </c>
      <c r="D226" s="1">
        <v>0.198029701595372</v>
      </c>
      <c r="E226" s="1">
        <v>-2.5614109114858498E-4</v>
      </c>
      <c r="F226" s="1">
        <v>2.64305854754244E-4</v>
      </c>
      <c r="G226" s="1">
        <v>3.03537806124725E-2</v>
      </c>
      <c r="H226">
        <v>0.85886560987996596</v>
      </c>
      <c r="I226" s="1">
        <v>2.8114811291199898E-7</v>
      </c>
    </row>
    <row r="227" spans="1:9" x14ac:dyDescent="0.25">
      <c r="A227">
        <v>1.5449970960617001</v>
      </c>
      <c r="B227" s="1">
        <v>1.0951036847745601</v>
      </c>
      <c r="C227" s="1">
        <v>2.39693887356042</v>
      </c>
      <c r="D227" s="1">
        <v>0.68629507473030005</v>
      </c>
      <c r="E227" s="1">
        <v>-2.35066736938427E-3</v>
      </c>
      <c r="F227" s="1">
        <v>7.1097701988180899E-4</v>
      </c>
      <c r="G227" s="1">
        <v>4.28783842276785E-2</v>
      </c>
      <c r="H227">
        <v>0.880364063392303</v>
      </c>
      <c r="I227" s="1">
        <v>9.8549538996088204E-6</v>
      </c>
    </row>
    <row r="228" spans="1:9" x14ac:dyDescent="0.25">
      <c r="A228">
        <v>2.6840418577194201</v>
      </c>
      <c r="B228" s="1">
        <v>1.89784098785273</v>
      </c>
      <c r="C228" s="1">
        <v>2.7800409738847498</v>
      </c>
      <c r="D228" s="1">
        <v>1.34100615311077</v>
      </c>
      <c r="E228" s="1">
        <v>-9.49724844085067E-3</v>
      </c>
      <c r="F228" s="1">
        <v>1.0536504515409001E-3</v>
      </c>
      <c r="G228" s="1">
        <v>5.5801761184761899E-2</v>
      </c>
      <c r="H228">
        <v>0.88674915919681296</v>
      </c>
      <c r="I228" s="1">
        <v>5.5187211512734999E-5</v>
      </c>
    </row>
    <row r="229" spans="1:9" x14ac:dyDescent="0.25">
      <c r="A229">
        <v>3.9256095886230402</v>
      </c>
      <c r="B229" s="1">
        <v>2.76156251501195</v>
      </c>
      <c r="C229" s="1">
        <v>3.2909184876116302</v>
      </c>
      <c r="D229" s="1">
        <v>2.1942776362094798</v>
      </c>
      <c r="E229" s="1">
        <v>-2.4977693540530799E-2</v>
      </c>
      <c r="F229" s="1">
        <v>1.28295230864327E-3</v>
      </c>
      <c r="G229" s="1">
        <v>6.76510869801141E-2</v>
      </c>
      <c r="H229">
        <v>0.88198279669024904</v>
      </c>
      <c r="I229" s="1">
        <v>1.42735944236124E-4</v>
      </c>
    </row>
    <row r="230" spans="1:9" x14ac:dyDescent="0.25">
      <c r="A230">
        <v>5.2789181470870901</v>
      </c>
      <c r="B230" s="1">
        <v>3.6799695677673001</v>
      </c>
      <c r="C230" s="1">
        <v>3.9453237610796301</v>
      </c>
      <c r="D230" s="1">
        <v>3.2455433297328802</v>
      </c>
      <c r="E230" s="1">
        <v>-5.2743192772603503E-2</v>
      </c>
      <c r="F230" s="1">
        <v>1.39821749325396E-3</v>
      </c>
      <c r="G230" s="1">
        <v>7.6115418764317003E-2</v>
      </c>
      <c r="H230">
        <v>0.86571625944206299</v>
      </c>
      <c r="I230" s="1">
        <v>2.89434931752077E-4</v>
      </c>
    </row>
    <row r="231" spans="1:9" x14ac:dyDescent="0.25">
      <c r="A231">
        <v>6.7540258169174097</v>
      </c>
      <c r="B231" s="1">
        <v>4.6400330923115396</v>
      </c>
      <c r="C231" s="1">
        <v>4.72392563713219</v>
      </c>
      <c r="D231" s="1">
        <v>4.4327610121052299</v>
      </c>
      <c r="E231" s="1">
        <v>-9.5786771229093098E-2</v>
      </c>
      <c r="F231" s="1">
        <v>1.41426264178861E-3</v>
      </c>
      <c r="G231" s="1">
        <v>8.0391991550171293E-2</v>
      </c>
      <c r="H231">
        <v>0.83798158843386605</v>
      </c>
      <c r="I231">
        <v>6.2898203805280097E-4</v>
      </c>
    </row>
    <row r="232" spans="1:9" x14ac:dyDescent="0.25">
      <c r="A232">
        <v>8.3618760108947701</v>
      </c>
      <c r="B232" s="1">
        <v>5.6217048503076201</v>
      </c>
      <c r="C232" s="1">
        <v>5.5588044494652404</v>
      </c>
      <c r="D232" s="1">
        <v>5.6254522587014399</v>
      </c>
      <c r="E232" s="1">
        <v>-0.15444309480504201</v>
      </c>
      <c r="F232" s="1">
        <v>1.3722799231704001E-3</v>
      </c>
      <c r="G232" s="1">
        <v>8.1975399697864895E-2</v>
      </c>
      <c r="H232">
        <v>0.80165692723246296</v>
      </c>
      <c r="I232">
        <v>1.68675121928317E-3</v>
      </c>
    </row>
    <row r="233" spans="1:9" x14ac:dyDescent="0.25">
      <c r="A233">
        <v>10.1144403219223</v>
      </c>
      <c r="B233" s="1">
        <v>6.5998249612366404</v>
      </c>
      <c r="C233" s="1">
        <v>6.3435607643768801</v>
      </c>
      <c r="D233" s="1">
        <v>6.6595968654515199</v>
      </c>
      <c r="E233" s="1">
        <v>-0.225457948728573</v>
      </c>
      <c r="F233" s="1">
        <v>1.33868329969609E-3</v>
      </c>
      <c r="G233" s="1">
        <v>8.3613578343217698E-2</v>
      </c>
      <c r="H233">
        <v>0.76379478812881196</v>
      </c>
      <c r="I233" s="1">
        <v>4.3043707491892402E-3</v>
      </c>
    </row>
    <row r="234" spans="1:9" x14ac:dyDescent="0.25">
      <c r="A234">
        <v>12.024745345115599</v>
      </c>
      <c r="B234" s="1">
        <v>7.5483781657730802</v>
      </c>
      <c r="C234" s="1">
        <v>6.9695316324359702</v>
      </c>
      <c r="D234" s="1">
        <v>7.4004139151470598</v>
      </c>
      <c r="E234" s="1">
        <v>-0.30277487593243801</v>
      </c>
      <c r="F234" s="1">
        <v>1.39097462940937E-3</v>
      </c>
      <c r="G234" s="1">
        <v>8.6987446294581799E-2</v>
      </c>
      <c r="H234">
        <v>0.73143334673643001</v>
      </c>
      <c r="I234" s="1">
        <v>7.9583121758145994E-3</v>
      </c>
    </row>
    <row r="235" spans="1:9" x14ac:dyDescent="0.25">
      <c r="A235">
        <v>14.106971025466899</v>
      </c>
      <c r="B235" s="1">
        <v>8.4455578587567004</v>
      </c>
      <c r="C235" s="1">
        <v>7.3648774151515601</v>
      </c>
      <c r="D235" s="1">
        <v>7.78836865851504</v>
      </c>
      <c r="E235" s="1">
        <v>-0.37965651189671501</v>
      </c>
      <c r="F235" s="1">
        <v>1.5753930037384601E-3</v>
      </c>
      <c r="G235" s="1">
        <v>9.1540605957431104E-2</v>
      </c>
      <c r="H235">
        <v>0.70627574989814201</v>
      </c>
      <c r="I235" s="1">
        <v>1.0220842495824899E-2</v>
      </c>
    </row>
    <row r="236" spans="1:9" x14ac:dyDescent="0.25">
      <c r="A236">
        <v>16.3766205310821</v>
      </c>
      <c r="B236" s="1">
        <v>9.2771352342879005</v>
      </c>
      <c r="C236" s="1">
        <v>7.5104673278401499</v>
      </c>
      <c r="D236" s="1">
        <v>7.8404472298382997</v>
      </c>
      <c r="E236" s="1">
        <v>-0.45063870648474802</v>
      </c>
      <c r="F236" s="1">
        <v>1.8764611570499499E-3</v>
      </c>
      <c r="G236" s="1">
        <v>9.54511463920686E-2</v>
      </c>
      <c r="H236">
        <v>0.68586213974167198</v>
      </c>
      <c r="I236">
        <v>9.3943208025670296E-3</v>
      </c>
    </row>
    <row r="237" spans="1:9" x14ac:dyDescent="0.25">
      <c r="A237">
        <v>18.850511312484699</v>
      </c>
      <c r="B237" s="1">
        <v>10.0368417463814</v>
      </c>
      <c r="C237" s="1">
        <v>7.42994730293867</v>
      </c>
      <c r="D237" s="1">
        <v>7.6207375774675699</v>
      </c>
      <c r="E237" s="1">
        <v>-0.51227603867087601</v>
      </c>
      <c r="F237" s="1">
        <v>2.1569112547867898E-3</v>
      </c>
      <c r="G237" s="1">
        <v>9.7170337278906102E-2</v>
      </c>
      <c r="H237">
        <v>0.66732766829933499</v>
      </c>
      <c r="I237">
        <v>5.9500394114571399E-3</v>
      </c>
    </row>
    <row r="238" spans="1:9" x14ac:dyDescent="0.25">
      <c r="A238">
        <v>21.5470612049102</v>
      </c>
      <c r="B238" s="1">
        <v>10.7246107421433</v>
      </c>
      <c r="C238" s="1">
        <v>7.1692036270833297</v>
      </c>
      <c r="D238" s="1">
        <v>7.20794364963945</v>
      </c>
      <c r="E238" s="1">
        <v>-0.56296164438677998</v>
      </c>
      <c r="F238" s="1">
        <v>2.30187014722917E-3</v>
      </c>
      <c r="G238" s="1">
        <v>9.6144378672331998E-2</v>
      </c>
      <c r="H238">
        <v>0.649100151434026</v>
      </c>
      <c r="I238">
        <v>1.4027439845765001E-3</v>
      </c>
    </row>
    <row r="239" spans="1:9" x14ac:dyDescent="0.25">
      <c r="A239">
        <v>24.4862973690032</v>
      </c>
      <c r="B239" s="1">
        <v>11.3442795239006</v>
      </c>
      <c r="C239" s="1">
        <v>6.7791243063693303</v>
      </c>
      <c r="D239" s="1">
        <v>6.6745440154116</v>
      </c>
      <c r="E239" s="1">
        <v>-0.60235048041143402</v>
      </c>
      <c r="F239" s="1">
        <v>2.3761688883988598E-3</v>
      </c>
      <c r="G239" s="1">
        <v>9.2616305844948801E-2</v>
      </c>
      <c r="H239">
        <v>0.63062169100183596</v>
      </c>
      <c r="I239">
        <v>-2.94248513779007E-3</v>
      </c>
    </row>
    <row r="240" spans="1:9" x14ac:dyDescent="0.25">
      <c r="A240">
        <v>27.690052986145002</v>
      </c>
      <c r="B240" s="1">
        <v>11.901757981589901</v>
      </c>
      <c r="C240" s="1">
        <v>6.3063700488855803</v>
      </c>
      <c r="D240" s="1">
        <v>6.0789727298460097</v>
      </c>
      <c r="E240" s="1">
        <v>-0.63081628601117801</v>
      </c>
      <c r="F240" s="1">
        <v>2.5133647921220898E-3</v>
      </c>
      <c r="G240" s="1">
        <v>8.7190893736884406E-2</v>
      </c>
      <c r="H240">
        <v>0.61188951462013996</v>
      </c>
      <c r="I240">
        <v>-6.3837548907101803E-3</v>
      </c>
    </row>
    <row r="241" spans="1:9" x14ac:dyDescent="0.25">
      <c r="A241">
        <v>31.1821639537811</v>
      </c>
      <c r="B241" s="1">
        <v>12.403879623821901</v>
      </c>
      <c r="C241" s="1">
        <v>5.7896804130286901</v>
      </c>
      <c r="D241" s="1">
        <v>5.4641791599585998</v>
      </c>
      <c r="E241" s="1">
        <v>-0.64908875820911105</v>
      </c>
      <c r="F241" s="1">
        <v>2.6323500585916002E-3</v>
      </c>
      <c r="G241" s="1">
        <v>8.0524649118085698E-2</v>
      </c>
      <c r="H241">
        <v>0.59310543416705197</v>
      </c>
      <c r="I241">
        <v>-8.6962970469208999E-3</v>
      </c>
    </row>
    <row r="242" spans="1:9" x14ac:dyDescent="0.25">
      <c r="A242">
        <v>34.988558292388902</v>
      </c>
      <c r="B242" s="1">
        <v>12.8577096573626</v>
      </c>
      <c r="C242" s="1">
        <v>5.2589151886204402</v>
      </c>
      <c r="D242" s="1">
        <v>4.85999163203505</v>
      </c>
      <c r="E242" s="1">
        <v>-0.65800367138451898</v>
      </c>
      <c r="F242" s="1">
        <v>2.4851154943163799E-3</v>
      </c>
      <c r="G242" s="1">
        <v>7.3189184569471696E-2</v>
      </c>
      <c r="H242">
        <v>0.57480209982949504</v>
      </c>
      <c r="I242">
        <v>-9.9522372655064893E-3</v>
      </c>
    </row>
    <row r="243" spans="1:9" x14ac:dyDescent="0.25">
      <c r="A243">
        <v>39.137506484985302</v>
      </c>
      <c r="B243" s="1">
        <v>13.270062547138799</v>
      </c>
      <c r="C243" s="1">
        <v>4.7356234943435904</v>
      </c>
      <c r="D243" s="1">
        <v>4.2857620990268197</v>
      </c>
      <c r="E243" s="1">
        <v>-0.65843449930804798</v>
      </c>
      <c r="F243" s="1">
        <v>2.04093183107353E-3</v>
      </c>
      <c r="G243" s="1">
        <v>6.5557054205797799E-2</v>
      </c>
      <c r="H243">
        <v>0.55758707001477403</v>
      </c>
      <c r="I243">
        <v>-1.03049051909013E-2</v>
      </c>
    </row>
    <row r="244" spans="1:9" x14ac:dyDescent="0.25">
      <c r="A244">
        <v>43.659898638725203</v>
      </c>
      <c r="B244" s="1">
        <v>13.6472449265038</v>
      </c>
      <c r="C244" s="1">
        <v>4.2340604947385101</v>
      </c>
      <c r="D244" s="1">
        <v>3.7529186967053199</v>
      </c>
      <c r="E244" s="1">
        <v>-0.651060306887985</v>
      </c>
      <c r="F244" s="1">
        <v>1.60854770597615E-3</v>
      </c>
      <c r="G244" s="1">
        <v>5.7893236751912401E-2</v>
      </c>
      <c r="H244">
        <v>0.54187928482452896</v>
      </c>
      <c r="I244">
        <v>-9.9478936877009198E-3</v>
      </c>
    </row>
    <row r="245" spans="1:9" x14ac:dyDescent="0.25">
      <c r="A245">
        <v>48.589280247688201</v>
      </c>
      <c r="B245" s="1">
        <v>13.994868334344501</v>
      </c>
      <c r="C245" s="1">
        <v>3.7630501709863799</v>
      </c>
      <c r="D245" s="1">
        <v>3.2671645380196899</v>
      </c>
      <c r="E245" s="1">
        <v>-0.63649170738077998</v>
      </c>
      <c r="F245" s="1">
        <v>1.4589132710821999E-3</v>
      </c>
      <c r="G245" s="1">
        <v>5.0371344576775501E-2</v>
      </c>
      <c r="H245">
        <v>0.527594439236727</v>
      </c>
      <c r="I245">
        <v>-9.0702607137542208E-3</v>
      </c>
    </row>
    <row r="246" spans="1:9" x14ac:dyDescent="0.25">
      <c r="A246">
        <v>53.962334990501397</v>
      </c>
      <c r="B246" s="1">
        <v>14.3177984319245</v>
      </c>
      <c r="C246" s="1">
        <v>3.3273687822511402</v>
      </c>
      <c r="D246" s="1">
        <v>2.8301145093944302</v>
      </c>
      <c r="E246" s="1">
        <v>-0.615184119809569</v>
      </c>
      <c r="F246" s="1">
        <v>1.4552763795471399E-3</v>
      </c>
      <c r="G246" s="1">
        <v>4.3161134740483303E-2</v>
      </c>
      <c r="H246">
        <v>0.51485713346896</v>
      </c>
      <c r="I246">
        <v>-7.8832834883077602E-3</v>
      </c>
    </row>
    <row r="247" spans="1:9" x14ac:dyDescent="0.25">
      <c r="A247">
        <v>59.818929433822603</v>
      </c>
      <c r="B247" s="1">
        <v>14.619862999728801</v>
      </c>
      <c r="C247" s="1">
        <v>2.9284836360165998</v>
      </c>
      <c r="D247" s="1">
        <v>2.4410561304826901</v>
      </c>
      <c r="E247" s="1">
        <v>-0.58745610381328806</v>
      </c>
      <c r="F247" s="1">
        <v>7.6316955445657696E-4</v>
      </c>
      <c r="G247" s="1">
        <v>3.6397012995409199E-2</v>
      </c>
      <c r="H247">
        <v>0.50390098979008302</v>
      </c>
      <c r="I247">
        <v>-6.5927488304661002E-3</v>
      </c>
    </row>
    <row r="248" spans="1:9" x14ac:dyDescent="0.25">
      <c r="A248">
        <v>66.202640533447195</v>
      </c>
      <c r="B248" s="1">
        <v>14.9035472385203</v>
      </c>
      <c r="C248" s="1">
        <v>2.56560710671328</v>
      </c>
      <c r="D248" s="1">
        <v>2.0971171161951201</v>
      </c>
      <c r="E248" s="1">
        <v>-0.55344654987071096</v>
      </c>
      <c r="F248" s="1">
        <v>-2.9619119983012598E-4</v>
      </c>
      <c r="G248" s="1">
        <v>3.01278862930635E-2</v>
      </c>
      <c r="H248">
        <v>0.49364019883547999</v>
      </c>
      <c r="I248">
        <v>-5.3031176358489399E-3</v>
      </c>
    </row>
    <row r="249" spans="1:9" x14ac:dyDescent="0.25">
      <c r="A249">
        <v>73.160880804061804</v>
      </c>
      <c r="B249" s="1">
        <v>15.169904898813799</v>
      </c>
      <c r="C249" s="1">
        <v>2.2355393416764802</v>
      </c>
      <c r="D249" s="1">
        <v>1.7934781006602301</v>
      </c>
      <c r="E249" s="1">
        <v>-0.51331996604167196</v>
      </c>
      <c r="F249" s="1">
        <v>-7.9666044988044098E-4</v>
      </c>
      <c r="G249" s="1">
        <v>2.4471624345565698E-2</v>
      </c>
      <c r="H249">
        <v>0.48375517744476298</v>
      </c>
      <c r="I249">
        <v>-4.1252795468493903E-3</v>
      </c>
    </row>
    <row r="250" spans="1:9" x14ac:dyDescent="0.25">
      <c r="A250">
        <v>80.745358765125204</v>
      </c>
      <c r="B250" s="1">
        <v>15.419332724026299</v>
      </c>
      <c r="C250" s="1">
        <v>1.9326175903479399</v>
      </c>
      <c r="D250" s="1">
        <v>1.5234732128869299</v>
      </c>
      <c r="E250" s="1">
        <v>-0.46690632070411198</v>
      </c>
      <c r="F250" s="1">
        <v>-4.3901980405378798E-4</v>
      </c>
      <c r="G250" s="1">
        <v>1.9544839344585001E-2</v>
      </c>
      <c r="H250">
        <v>0.47594004975288601</v>
      </c>
      <c r="I250">
        <v>-3.1418654901942699E-3</v>
      </c>
    </row>
    <row r="251" spans="1:9" x14ac:dyDescent="0.25">
      <c r="A251">
        <v>89.012441039085303</v>
      </c>
      <c r="B251" s="1">
        <v>15.651757713368999</v>
      </c>
      <c r="C251" s="1">
        <v>1.6528533841847</v>
      </c>
      <c r="D251" s="1">
        <v>1.2816301409264801</v>
      </c>
      <c r="E251" s="1">
        <v>-0.41397489144757499</v>
      </c>
      <c r="F251" s="1">
        <v>1.69248754924457E-4</v>
      </c>
      <c r="G251" s="1">
        <v>1.5326097034174001E-2</v>
      </c>
      <c r="H251">
        <v>0.47147274038561299</v>
      </c>
      <c r="I251">
        <v>-2.3361843442952202E-3</v>
      </c>
    </row>
    <row r="252" spans="1:9" x14ac:dyDescent="0.25">
      <c r="A252">
        <v>98.0235546827316</v>
      </c>
      <c r="B252" s="1">
        <v>15.865446891597401</v>
      </c>
      <c r="C252" s="1">
        <v>1.3952578998869201</v>
      </c>
      <c r="D252" s="1">
        <v>1.0645986134842</v>
      </c>
      <c r="E252" s="1">
        <v>-0.35454064630397802</v>
      </c>
      <c r="F252" s="1">
        <v>1.1476672999E-3</v>
      </c>
      <c r="G252" s="1">
        <v>1.17523225971206E-2</v>
      </c>
      <c r="H252">
        <v>0.46916678716430799</v>
      </c>
      <c r="I252">
        <v>-1.6864037662418E-3</v>
      </c>
    </row>
    <row r="253" spans="1:9" x14ac:dyDescent="0.25">
      <c r="A253">
        <v>107.845674455165</v>
      </c>
      <c r="B253" s="1">
        <v>16.056226517966898</v>
      </c>
      <c r="C253" s="1">
        <v>1.16055876681821</v>
      </c>
      <c r="D253" s="1">
        <v>0.87085719198474398</v>
      </c>
      <c r="E253" s="1">
        <v>-0.288580572048247</v>
      </c>
      <c r="F253" s="1">
        <v>1.9579256957984099E-3</v>
      </c>
      <c r="G253" s="1">
        <v>8.8495607700169801E-3</v>
      </c>
      <c r="H253">
        <v>0.470593608708128</v>
      </c>
      <c r="I253">
        <v>-1.2071593621217E-3</v>
      </c>
    </row>
    <row r="254" spans="1:9" x14ac:dyDescent="0.25">
      <c r="A254">
        <v>118.551787734031</v>
      </c>
      <c r="B254" s="1">
        <v>16.2173360846554</v>
      </c>
      <c r="C254" s="1">
        <v>0.95505525649423295</v>
      </c>
      <c r="D254" s="1">
        <v>0.70503008030157299</v>
      </c>
      <c r="E254" s="1">
        <v>-0.215670113404556</v>
      </c>
      <c r="F254" s="1">
        <v>2.3417015283154802E-3</v>
      </c>
      <c r="G254" s="1">
        <v>6.6045604859470202E-3</v>
      </c>
      <c r="H254">
        <v>0.47784166258551303</v>
      </c>
      <c r="I254">
        <v>-8.6885316087713697E-4</v>
      </c>
    </row>
    <row r="255" spans="1:9" x14ac:dyDescent="0.25">
      <c r="A255">
        <v>130.22144660353601</v>
      </c>
      <c r="B255" s="1">
        <v>16.3392918370281</v>
      </c>
      <c r="C255" s="1">
        <v>0.79254798173315</v>
      </c>
      <c r="D255" s="1">
        <v>0.57627390893247099</v>
      </c>
      <c r="E255" s="1">
        <v>-0.13534045405311701</v>
      </c>
      <c r="F255" s="1">
        <v>2.22642649535884E-3</v>
      </c>
      <c r="G255" s="1">
        <v>5.0636139567948697E-3</v>
      </c>
      <c r="H255">
        <v>0.49213903665395498</v>
      </c>
      <c r="I255">
        <v>-6.6605106440359105E-4</v>
      </c>
    </row>
    <row r="256" spans="1:9" x14ac:dyDescent="0.25">
      <c r="A256">
        <v>143.15376933664001</v>
      </c>
      <c r="B256" s="1">
        <v>16.4098296425854</v>
      </c>
      <c r="C256" s="1">
        <v>0.69653804231529604</v>
      </c>
      <c r="D256" s="1">
        <v>0.50073738957868097</v>
      </c>
      <c r="E256" s="1">
        <v>-4.5672852645444503E-2</v>
      </c>
      <c r="F256" s="1">
        <v>2.5553702062174701E-3</v>
      </c>
      <c r="G256" s="1">
        <v>4.2871066420181701E-3</v>
      </c>
      <c r="H256">
        <v>0.50019765600246302</v>
      </c>
      <c r="I256">
        <v>-6.0642300590607601E-4</v>
      </c>
    </row>
    <row r="257" spans="1:9" x14ac:dyDescent="0.25">
      <c r="A257" t="s">
        <v>16</v>
      </c>
      <c r="B257" s="1" t="s">
        <v>9</v>
      </c>
      <c r="C257" s="1" t="s">
        <v>32</v>
      </c>
      <c r="D257" s="1" t="s">
        <v>33</v>
      </c>
      <c r="E257" s="1" t="s">
        <v>34</v>
      </c>
      <c r="F257" s="1" t="s">
        <v>35</v>
      </c>
      <c r="G257" s="1" t="s">
        <v>30</v>
      </c>
      <c r="H257" t="s">
        <v>36</v>
      </c>
      <c r="I257" t="s">
        <v>31</v>
      </c>
    </row>
    <row r="258" spans="1:9" x14ac:dyDescent="0.25">
      <c r="A258">
        <v>-143.38788986206001</v>
      </c>
      <c r="B258" s="1">
        <v>-203.59783525699299</v>
      </c>
      <c r="C258" s="1">
        <v>2.3806940136637401E-2</v>
      </c>
      <c r="D258" s="1">
        <v>0</v>
      </c>
      <c r="E258" s="1">
        <v>0</v>
      </c>
      <c r="F258" s="1">
        <v>0</v>
      </c>
      <c r="G258" s="1">
        <v>4.62378780234917E-6</v>
      </c>
      <c r="H258">
        <v>6.5793568132941793E-2</v>
      </c>
      <c r="I258" s="1">
        <v>0</v>
      </c>
    </row>
    <row r="259" spans="1:9" x14ac:dyDescent="0.25">
      <c r="A259">
        <v>-130.70960640907199</v>
      </c>
      <c r="B259" s="1">
        <v>-185.59460927480399</v>
      </c>
      <c r="C259" s="1">
        <v>2.4421924457385499E-2</v>
      </c>
      <c r="D259" s="1">
        <v>0</v>
      </c>
      <c r="E259" s="1">
        <v>0</v>
      </c>
      <c r="F259" s="1">
        <v>0</v>
      </c>
      <c r="G259" s="1">
        <v>7.3061019486919599E-6</v>
      </c>
      <c r="H259">
        <v>0.36183973494630201</v>
      </c>
      <c r="I259" s="1">
        <v>0</v>
      </c>
    </row>
    <row r="260" spans="1:9" x14ac:dyDescent="0.25">
      <c r="A260">
        <v>-119.078135490417</v>
      </c>
      <c r="B260" s="1">
        <v>-169.07783169978799</v>
      </c>
      <c r="C260" s="1">
        <v>2.5765634186598101E-2</v>
      </c>
      <c r="D260" s="1">
        <v>0</v>
      </c>
      <c r="E260" s="1">
        <v>0</v>
      </c>
      <c r="F260" s="1">
        <v>0</v>
      </c>
      <c r="G260" s="1">
        <v>1.25183747293178E-5</v>
      </c>
      <c r="H260">
        <v>0.56696622281922304</v>
      </c>
      <c r="I260" s="1">
        <v>0</v>
      </c>
    </row>
    <row r="261" spans="1:9" x14ac:dyDescent="0.25">
      <c r="A261">
        <v>-108.407056331634</v>
      </c>
      <c r="B261" s="1">
        <v>-153.92479772800201</v>
      </c>
      <c r="C261" s="1">
        <v>2.8092521939925001E-2</v>
      </c>
      <c r="D261" s="1">
        <v>0</v>
      </c>
      <c r="E261" s="1">
        <v>0</v>
      </c>
      <c r="F261" s="1">
        <v>0</v>
      </c>
      <c r="G261" s="1">
        <v>2.0543186607455599E-5</v>
      </c>
      <c r="H261">
        <v>0.67011589848576003</v>
      </c>
      <c r="I261" s="1">
        <v>0</v>
      </c>
    </row>
    <row r="262" spans="1:9" x14ac:dyDescent="0.25">
      <c r="A262">
        <v>-98.617064952850299</v>
      </c>
      <c r="B262" s="1">
        <v>-140.02295918697101</v>
      </c>
      <c r="C262" s="1">
        <v>3.1721268561511799E-2</v>
      </c>
      <c r="D262" s="1">
        <v>0</v>
      </c>
      <c r="E262" s="1">
        <v>0</v>
      </c>
      <c r="F262" s="1">
        <v>0</v>
      </c>
      <c r="G262" s="1">
        <v>3.2160026923486698E-5</v>
      </c>
      <c r="H262">
        <v>0.71992554147844801</v>
      </c>
      <c r="I262" s="1">
        <v>0</v>
      </c>
    </row>
    <row r="263" spans="1:9" x14ac:dyDescent="0.25">
      <c r="A263">
        <v>-89.635455608367906</v>
      </c>
      <c r="B263" s="1">
        <v>-127.269010438859</v>
      </c>
      <c r="C263" s="1">
        <v>3.7010156930307403E-2</v>
      </c>
      <c r="D263" s="1">
        <v>0</v>
      </c>
      <c r="E263" s="1">
        <v>0</v>
      </c>
      <c r="F263" s="1">
        <v>0</v>
      </c>
      <c r="G263" s="1">
        <v>4.8684497420001703E-5</v>
      </c>
      <c r="H263">
        <v>0.743315803559637</v>
      </c>
      <c r="I263" s="1">
        <v>0</v>
      </c>
    </row>
    <row r="264" spans="1:9" x14ac:dyDescent="0.25">
      <c r="A264">
        <v>-81.395459175109806</v>
      </c>
      <c r="B264" s="1">
        <v>-115.568209155738</v>
      </c>
      <c r="C264" s="1">
        <v>4.4355790232316297E-2</v>
      </c>
      <c r="D264" s="1">
        <v>0</v>
      </c>
      <c r="E264" s="1">
        <v>0</v>
      </c>
      <c r="F264" s="1">
        <v>0</v>
      </c>
      <c r="G264" s="1">
        <v>7.2026648658187701E-5</v>
      </c>
      <c r="H264">
        <v>0.75334976913206397</v>
      </c>
      <c r="I264" s="1">
        <v>0</v>
      </c>
    </row>
    <row r="265" spans="1:9" x14ac:dyDescent="0.25">
      <c r="A265">
        <v>-73.835813999175997</v>
      </c>
      <c r="B265" s="1">
        <v>-104.833601876437</v>
      </c>
      <c r="C265" s="1">
        <v>5.4199299442871003E-2</v>
      </c>
      <c r="D265" s="1">
        <v>0</v>
      </c>
      <c r="E265" s="1">
        <v>0</v>
      </c>
      <c r="F265" s="1">
        <v>0</v>
      </c>
      <c r="G265" s="1">
        <v>1.04778496403064E-4</v>
      </c>
      <c r="H265">
        <v>0.75656065048350796</v>
      </c>
      <c r="I265" s="1">
        <v>0</v>
      </c>
    </row>
    <row r="266" spans="1:9" x14ac:dyDescent="0.25">
      <c r="A266">
        <v>-66.900336742401095</v>
      </c>
      <c r="B266" s="1">
        <v>-94.985424130499396</v>
      </c>
      <c r="C266" s="1">
        <v>6.7032427020308205E-2</v>
      </c>
      <c r="D266" s="1">
        <v>0</v>
      </c>
      <c r="E266" s="1">
        <v>0</v>
      </c>
      <c r="F266" s="1">
        <v>0</v>
      </c>
      <c r="G266" s="1">
        <v>1.50342788612327E-4</v>
      </c>
      <c r="H266">
        <v>0.75633796714662804</v>
      </c>
      <c r="I266" s="1">
        <v>0</v>
      </c>
    </row>
    <row r="267" spans="1:9" x14ac:dyDescent="0.25">
      <c r="A267">
        <v>-60.537528991699197</v>
      </c>
      <c r="B267" s="1">
        <v>-85.950500562131396</v>
      </c>
      <c r="C267" s="1">
        <v>8.3400704146583807E-2</v>
      </c>
      <c r="D267" s="1">
        <v>0</v>
      </c>
      <c r="E267" s="1">
        <v>0</v>
      </c>
      <c r="F267" s="1">
        <v>0</v>
      </c>
      <c r="G267" s="1">
        <v>2.1311493816636299E-4</v>
      </c>
      <c r="H267">
        <v>0.754488263127568</v>
      </c>
      <c r="I267" s="1">
        <v>0</v>
      </c>
    </row>
    <row r="268" spans="1:9" x14ac:dyDescent="0.25">
      <c r="A268">
        <v>-54.700112342834402</v>
      </c>
      <c r="B268" s="1">
        <v>-77.661689489424205</v>
      </c>
      <c r="C268" s="1">
        <v>0.103903463621918</v>
      </c>
      <c r="D268" s="1">
        <v>0</v>
      </c>
      <c r="E268" s="1">
        <v>0</v>
      </c>
      <c r="F268" s="1">
        <v>0</v>
      </c>
      <c r="G268" s="1">
        <v>2.9873447384176101E-4</v>
      </c>
      <c r="H268">
        <v>0.75200418544534597</v>
      </c>
      <c r="I268" s="1">
        <v>0</v>
      </c>
    </row>
    <row r="269" spans="1:9" x14ac:dyDescent="0.25">
      <c r="A269">
        <v>-49.344670772552398</v>
      </c>
      <c r="B269" s="1">
        <v>-70.057381420672002</v>
      </c>
      <c r="C269" s="1">
        <v>0.12919171998510101</v>
      </c>
      <c r="D269" s="1">
        <v>0</v>
      </c>
      <c r="E269" s="1">
        <v>0</v>
      </c>
      <c r="F269" s="1">
        <v>0</v>
      </c>
      <c r="G269" s="1">
        <v>4.1442945829146501E-4</v>
      </c>
      <c r="H269">
        <v>0.74946047348122102</v>
      </c>
      <c r="I269" s="1">
        <v>0</v>
      </c>
    </row>
    <row r="270" spans="1:9" x14ac:dyDescent="0.25">
      <c r="A270">
        <v>-44.431400299072202</v>
      </c>
      <c r="B270" s="1">
        <v>-63.081056288719203</v>
      </c>
      <c r="C270" s="1">
        <v>0.15996522437649199</v>
      </c>
      <c r="D270" s="1">
        <v>0</v>
      </c>
      <c r="E270" s="1">
        <v>0</v>
      </c>
      <c r="F270" s="1">
        <v>0</v>
      </c>
      <c r="G270" s="1">
        <v>5.6948596943456604E-4</v>
      </c>
      <c r="H270">
        <v>0.74721959911192104</v>
      </c>
      <c r="I270" s="1">
        <v>0</v>
      </c>
    </row>
    <row r="271" spans="1:9" x14ac:dyDescent="0.25">
      <c r="A271">
        <v>-39.923822879791203</v>
      </c>
      <c r="B271" s="1">
        <v>-56.680862109452498</v>
      </c>
      <c r="C271" s="1">
        <v>0.19696989592466699</v>
      </c>
      <c r="D271" s="1">
        <v>0</v>
      </c>
      <c r="E271" s="1">
        <v>0</v>
      </c>
      <c r="F271" s="1">
        <v>0</v>
      </c>
      <c r="G271" s="1">
        <v>7.7587983312540096E-4</v>
      </c>
      <c r="H271">
        <v>0.74553570171127803</v>
      </c>
      <c r="I271" s="1">
        <v>0</v>
      </c>
    </row>
    <row r="272" spans="1:9" x14ac:dyDescent="0.25">
      <c r="A272">
        <v>-35.788428783416698</v>
      </c>
      <c r="B272" s="1">
        <v>-50.809224189534802</v>
      </c>
      <c r="C272" s="1">
        <v>0.24099673343835001</v>
      </c>
      <c r="D272" s="1">
        <v>0</v>
      </c>
      <c r="E272" s="1">
        <v>0</v>
      </c>
      <c r="F272" s="1">
        <v>0</v>
      </c>
      <c r="G272" s="1">
        <v>1.0491084114804001E-3</v>
      </c>
      <c r="H272">
        <v>0.74460221447289199</v>
      </c>
      <c r="I272" s="1">
        <v>0</v>
      </c>
    </row>
    <row r="273" spans="1:9" x14ac:dyDescent="0.25">
      <c r="A273">
        <v>-31.994497776031402</v>
      </c>
      <c r="B273" s="1">
        <v>-45.422492421507897</v>
      </c>
      <c r="C273" s="1">
        <v>0.29288297076663999</v>
      </c>
      <c r="D273" s="1">
        <v>0</v>
      </c>
      <c r="E273" s="1">
        <v>0</v>
      </c>
      <c r="F273" s="1">
        <v>0</v>
      </c>
      <c r="G273" s="1">
        <v>1.4092500075881199E-3</v>
      </c>
      <c r="H273">
        <v>0.74456839677238296</v>
      </c>
      <c r="I273" s="1">
        <v>0</v>
      </c>
    </row>
    <row r="274" spans="1:9" x14ac:dyDescent="0.25">
      <c r="A274">
        <v>-28.5138309001922</v>
      </c>
      <c r="B274" s="1">
        <v>-40.480619128137803</v>
      </c>
      <c r="C274" s="1">
        <v>0.35351476920095498</v>
      </c>
      <c r="D274" s="1">
        <v>0</v>
      </c>
      <c r="E274" s="1">
        <v>0</v>
      </c>
      <c r="F274" s="1">
        <v>0</v>
      </c>
      <c r="G274" s="1">
        <v>1.8822577807048799E-3</v>
      </c>
      <c r="H274">
        <v>0.745539750470811</v>
      </c>
      <c r="I274" s="1">
        <v>0</v>
      </c>
    </row>
    <row r="275" spans="1:9" x14ac:dyDescent="0.25">
      <c r="A275">
        <v>-25.320571660995402</v>
      </c>
      <c r="B275" s="1">
        <v>-35.946865472287001</v>
      </c>
      <c r="C275" s="1">
        <v>0.42383127155153399</v>
      </c>
      <c r="D275" s="1">
        <v>0</v>
      </c>
      <c r="E275" s="1">
        <v>0</v>
      </c>
      <c r="F275" s="1">
        <v>0</v>
      </c>
      <c r="G275" s="1">
        <v>2.5014658038833102E-3</v>
      </c>
      <c r="H275">
        <v>0.74757186804827402</v>
      </c>
      <c r="I275" s="1">
        <v>0</v>
      </c>
    </row>
    <row r="276" spans="1:9" x14ac:dyDescent="0.25">
      <c r="A276">
        <v>-22.3909378051757</v>
      </c>
      <c r="B276" s="1">
        <v>-31.787525720238701</v>
      </c>
      <c r="C276" s="1">
        <v>0.50482817138527003</v>
      </c>
      <c r="D276" s="1">
        <v>0</v>
      </c>
      <c r="E276" s="1">
        <v>0</v>
      </c>
      <c r="F276" s="1">
        <v>0</v>
      </c>
      <c r="G276" s="1">
        <v>3.3092496769916101E-3</v>
      </c>
      <c r="H276">
        <v>0.75066527320116805</v>
      </c>
      <c r="I276" s="1">
        <v>0</v>
      </c>
    </row>
    <row r="277" spans="1:9" x14ac:dyDescent="0.25">
      <c r="A277">
        <v>-19.7032213211059</v>
      </c>
      <c r="B277" s="1">
        <v>-27.9716776900888</v>
      </c>
      <c r="C277" s="1">
        <v>0.59755845575727995</v>
      </c>
      <c r="D277" s="1">
        <v>0</v>
      </c>
      <c r="E277" s="1">
        <v>0</v>
      </c>
      <c r="F277" s="1">
        <v>0</v>
      </c>
      <c r="G277" s="1">
        <v>4.3587451508756104E-3</v>
      </c>
      <c r="H277">
        <v>0.75476557645488496</v>
      </c>
      <c r="I277" s="1">
        <v>0</v>
      </c>
    </row>
    <row r="278" spans="1:9" x14ac:dyDescent="0.25">
      <c r="A278">
        <v>-17.237430810928299</v>
      </c>
      <c r="B278" s="1">
        <v>-24.470953434050099</v>
      </c>
      <c r="C278" s="1">
        <v>0.70312854713301898</v>
      </c>
      <c r="D278" s="1">
        <v>0</v>
      </c>
      <c r="E278" s="1">
        <v>0</v>
      </c>
      <c r="F278" s="1">
        <v>0</v>
      </c>
      <c r="G278" s="1">
        <v>5.7154994074698996E-3</v>
      </c>
      <c r="H278">
        <v>0.75977054775400499</v>
      </c>
      <c r="I278" s="1">
        <v>0</v>
      </c>
    </row>
    <row r="279" spans="1:9" x14ac:dyDescent="0.25">
      <c r="A279">
        <v>-14.975237846374499</v>
      </c>
      <c r="B279" s="1">
        <v>-21.259324997007901</v>
      </c>
      <c r="C279" s="1">
        <v>0.82268761630621101</v>
      </c>
      <c r="D279" s="1">
        <v>0</v>
      </c>
      <c r="E279" s="1">
        <v>0</v>
      </c>
      <c r="F279" s="1">
        <v>0</v>
      </c>
      <c r="G279" s="1">
        <v>7.4589144167793997E-3</v>
      </c>
      <c r="H279">
        <v>0.76554317571234798</v>
      </c>
      <c r="I279" s="1">
        <v>0</v>
      </c>
    </row>
    <row r="280" spans="1:9" x14ac:dyDescent="0.25">
      <c r="A280">
        <v>-12.8998160362243</v>
      </c>
      <c r="B280" s="1">
        <v>-18.312917947113501</v>
      </c>
      <c r="C280" s="1">
        <v>0.95740790001218501</v>
      </c>
      <c r="D280" s="1">
        <v>0</v>
      </c>
      <c r="E280" s="1">
        <v>0</v>
      </c>
      <c r="F280" s="1">
        <v>0</v>
      </c>
      <c r="G280" s="1">
        <v>9.6833368794795992E-3</v>
      </c>
      <c r="H280">
        <v>0.77192788236152998</v>
      </c>
      <c r="I280" s="1">
        <v>0</v>
      </c>
    </row>
    <row r="281" spans="1:9" x14ac:dyDescent="0.25">
      <c r="A281">
        <v>-10.995769500732401</v>
      </c>
      <c r="B281" s="1">
        <v>-15.6098256998658</v>
      </c>
      <c r="C281" s="1">
        <v>1.1084568072310499</v>
      </c>
      <c r="D281" s="1">
        <v>0</v>
      </c>
      <c r="E281" s="1">
        <v>0</v>
      </c>
      <c r="F281" s="1">
        <v>0</v>
      </c>
      <c r="G281" s="1">
        <v>1.24986794123105E-2</v>
      </c>
      <c r="H281">
        <v>0.77876629363178396</v>
      </c>
      <c r="I281" s="1">
        <v>0</v>
      </c>
    </row>
    <row r="282" spans="1:9" x14ac:dyDescent="0.25">
      <c r="A282">
        <v>-9.2489361763000399</v>
      </c>
      <c r="B282" s="1">
        <v>-13.1299539946914</v>
      </c>
      <c r="C282" s="1">
        <v>1.2769601539748601</v>
      </c>
      <c r="D282" s="1">
        <v>0</v>
      </c>
      <c r="E282" s="1">
        <v>0</v>
      </c>
      <c r="F282" s="1">
        <v>0</v>
      </c>
      <c r="G282" s="1">
        <v>1.6030514157955599E-2</v>
      </c>
      <c r="H282">
        <v>0.78591046575568202</v>
      </c>
      <c r="I282" s="1">
        <v>0</v>
      </c>
    </row>
    <row r="283" spans="1:9" x14ac:dyDescent="0.25">
      <c r="A283">
        <v>-7.6463341712951598</v>
      </c>
      <c r="B283" s="1">
        <v>-10.8548653715253</v>
      </c>
      <c r="C283" s="1">
        <v>1.4639590848564601</v>
      </c>
      <c r="D283" s="1">
        <v>0</v>
      </c>
      <c r="E283" s="1">
        <v>0</v>
      </c>
      <c r="F283" s="1">
        <v>0</v>
      </c>
      <c r="G283" s="1">
        <v>2.04196558199146E-2</v>
      </c>
      <c r="H283">
        <v>0.79323188685508705</v>
      </c>
      <c r="I283" s="1">
        <v>0</v>
      </c>
    </row>
    <row r="284" spans="1:9" x14ac:dyDescent="0.25">
      <c r="A284">
        <v>-6.1760544776916504</v>
      </c>
      <c r="B284" s="1">
        <v>-8.7676490389705304</v>
      </c>
      <c r="C284" s="1">
        <v>1.6703633635261199</v>
      </c>
      <c r="D284" s="1">
        <v>0</v>
      </c>
      <c r="E284" s="1">
        <v>0</v>
      </c>
      <c r="F284" s="1">
        <v>0</v>
      </c>
      <c r="G284" s="1">
        <v>2.5821369220157001E-2</v>
      </c>
      <c r="H284">
        <v>0.80062647751230798</v>
      </c>
      <c r="I284" s="1">
        <v>0</v>
      </c>
    </row>
    <row r="285" spans="1:9" x14ac:dyDescent="0.25">
      <c r="A285">
        <v>-4.8271894454956001</v>
      </c>
      <c r="B285" s="1">
        <v>-6.8527907424569801</v>
      </c>
      <c r="C285" s="1">
        <v>1.8969054058397801</v>
      </c>
      <c r="D285" s="1">
        <v>0</v>
      </c>
      <c r="E285" s="1">
        <v>0</v>
      </c>
      <c r="F285" s="1">
        <v>0</v>
      </c>
      <c r="G285" s="1">
        <v>3.2404658867526401E-2</v>
      </c>
      <c r="H285">
        <v>0.80801717310342103</v>
      </c>
      <c r="I285" s="1">
        <v>0</v>
      </c>
    </row>
    <row r="286" spans="1:9" x14ac:dyDescent="0.25">
      <c r="A286">
        <v>-3.5896897315978999</v>
      </c>
      <c r="B286" s="1">
        <v>-5.0960521542430604</v>
      </c>
      <c r="C286" s="1">
        <v>2.1440955509133302</v>
      </c>
      <c r="D286" s="1">
        <v>0</v>
      </c>
      <c r="E286" s="1">
        <v>0</v>
      </c>
      <c r="F286" s="1">
        <v>0</v>
      </c>
      <c r="G286" s="1">
        <v>4.0351603951457898E-2</v>
      </c>
      <c r="H286">
        <v>0.815351709396133</v>
      </c>
      <c r="I286" s="1">
        <v>0</v>
      </c>
    </row>
    <row r="287" spans="1:9" x14ac:dyDescent="0.25">
      <c r="A287">
        <v>-2.4543642997741602</v>
      </c>
      <c r="B287" s="1">
        <v>-3.4843788289428401</v>
      </c>
      <c r="C287" s="1">
        <v>2.4121879779959201</v>
      </c>
      <c r="D287" s="1">
        <v>0</v>
      </c>
      <c r="E287" s="1">
        <v>0</v>
      </c>
      <c r="F287" s="1">
        <v>0</v>
      </c>
      <c r="G287" s="1">
        <v>4.9850772328936699E-2</v>
      </c>
      <c r="H287">
        <v>0.82257576945945698</v>
      </c>
      <c r="I287" s="1">
        <v>0</v>
      </c>
    </row>
    <row r="288" spans="1:9" x14ac:dyDescent="0.25">
      <c r="A288">
        <v>-1.41280889511108</v>
      </c>
      <c r="B288" s="1">
        <v>-2.0057922893167199</v>
      </c>
      <c r="C288" s="1">
        <v>2.7011741044116202</v>
      </c>
      <c r="D288" s="1">
        <v>0</v>
      </c>
      <c r="E288" s="1">
        <v>0</v>
      </c>
      <c r="F288" s="1">
        <v>0</v>
      </c>
      <c r="G288" s="1">
        <v>6.1082267376186702E-2</v>
      </c>
      <c r="H288">
        <v>0.82960792798140404</v>
      </c>
      <c r="I288" s="1">
        <v>0</v>
      </c>
    </row>
    <row r="289" spans="1:9" x14ac:dyDescent="0.25">
      <c r="A289">
        <v>-0.45722723007202098</v>
      </c>
      <c r="B289" s="1">
        <v>-0.64929480785138305</v>
      </c>
      <c r="C289" s="1">
        <v>3.0107343905328801</v>
      </c>
      <c r="D289" s="1">
        <v>0</v>
      </c>
      <c r="E289" s="1">
        <v>0</v>
      </c>
      <c r="F289" s="1">
        <v>0</v>
      </c>
      <c r="G289" s="1">
        <v>7.6693234404810906E-2</v>
      </c>
      <c r="H289">
        <v>0.84167010347054805</v>
      </c>
      <c r="I289" s="1">
        <v>0</v>
      </c>
    </row>
    <row r="290" spans="1:9" x14ac:dyDescent="0.25">
      <c r="A290">
        <v>0.49999952316284102</v>
      </c>
      <c r="B290" s="1">
        <v>0.35462473398440097</v>
      </c>
      <c r="C290" s="1">
        <v>3.2746470544298001</v>
      </c>
      <c r="D290" s="1">
        <v>0.24822448168379499</v>
      </c>
      <c r="E290" s="1">
        <v>-3.1470390239993499E-4</v>
      </c>
      <c r="F290" s="1">
        <v>3.0213924392326802E-4</v>
      </c>
      <c r="G290" s="1">
        <v>2.0722496877170801E-2</v>
      </c>
      <c r="H290">
        <v>0.67020122362395196</v>
      </c>
      <c r="I290" s="1">
        <v>2.5232056744673398E-7</v>
      </c>
    </row>
    <row r="291" spans="1:9" x14ac:dyDescent="0.25">
      <c r="A291">
        <v>1.5449970960617001</v>
      </c>
      <c r="B291" s="1">
        <v>1.0951986915468399</v>
      </c>
      <c r="C291" s="1">
        <v>3.5079552163151599</v>
      </c>
      <c r="D291" s="1">
        <v>0.82018032588683898</v>
      </c>
      <c r="E291" s="1">
        <v>-2.72103682361191E-3</v>
      </c>
      <c r="F291" s="1">
        <v>8.3240500144125102E-4</v>
      </c>
      <c r="G291" s="1">
        <v>3.4229727088563998E-2</v>
      </c>
      <c r="H291">
        <v>0.77960814570472503</v>
      </c>
      <c r="I291" s="1">
        <v>9.6881170210940692E-6</v>
      </c>
    </row>
    <row r="292" spans="1:9" x14ac:dyDescent="0.25">
      <c r="A292">
        <v>2.6840418577194201</v>
      </c>
      <c r="B292" s="1">
        <v>1.8975535339712399</v>
      </c>
      <c r="C292" s="1">
        <v>3.8195202174756502</v>
      </c>
      <c r="D292" s="1">
        <v>1.5363574022045401</v>
      </c>
      <c r="E292" s="1">
        <v>-1.0496249983877E-2</v>
      </c>
      <c r="F292" s="1">
        <v>1.2649902582744801E-3</v>
      </c>
      <c r="G292" s="1">
        <v>4.9793908411333097E-2</v>
      </c>
      <c r="H292">
        <v>0.82834697441036598</v>
      </c>
      <c r="I292" s="1">
        <v>5.7414406253602701E-5</v>
      </c>
    </row>
    <row r="293" spans="1:9" x14ac:dyDescent="0.25">
      <c r="A293">
        <v>3.9256095886230402</v>
      </c>
      <c r="B293" s="1">
        <v>2.7602451152204699</v>
      </c>
      <c r="C293" s="1">
        <v>4.2391354970459298</v>
      </c>
      <c r="D293" s="1">
        <v>2.4262244963857902</v>
      </c>
      <c r="E293" s="1">
        <v>-2.67004517093756E-2</v>
      </c>
      <c r="F293" s="1">
        <v>1.5834164567998499E-3</v>
      </c>
      <c r="G293" s="1">
        <v>6.4812812302995501E-2</v>
      </c>
      <c r="H293">
        <v>0.84607359550476902</v>
      </c>
      <c r="I293">
        <v>1.51739311752979E-4</v>
      </c>
    </row>
    <row r="294" spans="1:9" x14ac:dyDescent="0.25">
      <c r="A294">
        <v>5.2789181470870901</v>
      </c>
      <c r="B294" s="1">
        <v>3.6768588877319601</v>
      </c>
      <c r="C294" s="1">
        <v>4.7857123212670496</v>
      </c>
      <c r="D294" s="1">
        <v>3.4891222634596502</v>
      </c>
      <c r="E294" s="1">
        <v>-5.5100091795671297E-2</v>
      </c>
      <c r="F294" s="1">
        <v>1.7821191911707699E-3</v>
      </c>
      <c r="G294" s="1">
        <v>7.6152240420175599E-2</v>
      </c>
      <c r="H294">
        <v>0.84318626322302603</v>
      </c>
      <c r="I294" s="1">
        <v>3.1285583201736197E-4</v>
      </c>
    </row>
    <row r="295" spans="1:9" x14ac:dyDescent="0.25">
      <c r="A295">
        <v>6.7540258169174097</v>
      </c>
      <c r="B295" s="1">
        <v>4.63444514638178</v>
      </c>
      <c r="C295" s="1">
        <v>5.4465215914024103</v>
      </c>
      <c r="D295" s="1">
        <v>4.66645810179749</v>
      </c>
      <c r="E295" s="1">
        <v>-9.8535925587125997E-2</v>
      </c>
      <c r="F295" s="1">
        <v>1.87039851100079E-3</v>
      </c>
      <c r="G295" s="1">
        <v>8.2473508829927197E-2</v>
      </c>
      <c r="H295">
        <v>0.82468395817336104</v>
      </c>
      <c r="I295">
        <v>6.8075024561268301E-4</v>
      </c>
    </row>
    <row r="296" spans="1:9" x14ac:dyDescent="0.25">
      <c r="A296">
        <v>8.3618760108947701</v>
      </c>
      <c r="B296" s="1">
        <v>5.6132111555933202</v>
      </c>
      <c r="C296" s="1">
        <v>6.16246366109407</v>
      </c>
      <c r="D296" s="1">
        <v>5.8345093400374797</v>
      </c>
      <c r="E296" s="1">
        <v>-0.15727787039637001</v>
      </c>
      <c r="F296" s="1">
        <v>1.8815888329658801E-3</v>
      </c>
      <c r="G296" s="1">
        <v>8.5106580067345006E-2</v>
      </c>
      <c r="H296">
        <v>0.79532881862495597</v>
      </c>
      <c r="I296">
        <v>1.787308162137E-3</v>
      </c>
    </row>
    <row r="297" spans="1:9" x14ac:dyDescent="0.25">
      <c r="A297">
        <v>10.1144403219223</v>
      </c>
      <c r="B297" s="1">
        <v>6.5883556908964396</v>
      </c>
      <c r="C297" s="1">
        <v>6.8358610760187704</v>
      </c>
      <c r="D297" s="1">
        <v>6.8371748687518297</v>
      </c>
      <c r="E297" s="1">
        <v>-0.228115497478977</v>
      </c>
      <c r="F297" s="1">
        <v>1.8748246653822499E-3</v>
      </c>
      <c r="G297" s="1">
        <v>8.6961902807078995E-2</v>
      </c>
      <c r="H297">
        <v>0.76227069947134996</v>
      </c>
      <c r="I297">
        <v>4.4440628749338202E-3</v>
      </c>
    </row>
    <row r="298" spans="1:9" x14ac:dyDescent="0.25">
      <c r="A298">
        <v>12.024745345115599</v>
      </c>
      <c r="B298" s="1">
        <v>7.53419517046206</v>
      </c>
      <c r="C298" s="1">
        <v>7.3642086266336202</v>
      </c>
      <c r="D298" s="1">
        <v>7.5460574873497501</v>
      </c>
      <c r="E298" s="1">
        <v>-0.305103673137116</v>
      </c>
      <c r="F298" s="1">
        <v>1.9243623316563801E-3</v>
      </c>
      <c r="G298" s="1">
        <v>9.0057544962505703E-2</v>
      </c>
      <c r="H298">
        <v>0.73239849307066596</v>
      </c>
      <c r="I298">
        <v>8.0682394366549393E-3</v>
      </c>
    </row>
    <row r="299" spans="1:9" x14ac:dyDescent="0.25">
      <c r="A299">
        <v>14.106971025466899</v>
      </c>
      <c r="B299" s="1">
        <v>8.4290896213649997</v>
      </c>
      <c r="C299" s="1">
        <v>7.6781893209699703</v>
      </c>
      <c r="D299" s="1">
        <v>7.9053038663763502</v>
      </c>
      <c r="E299" s="1">
        <v>-0.38161516173137</v>
      </c>
      <c r="F299" s="1">
        <v>2.0773609085774601E-3</v>
      </c>
      <c r="G299" s="1">
        <v>9.4138640679299002E-2</v>
      </c>
      <c r="H299">
        <v>0.70803419256808697</v>
      </c>
      <c r="I299">
        <v>1.0235981880887601E-2</v>
      </c>
    </row>
    <row r="300" spans="1:9" x14ac:dyDescent="0.25">
      <c r="A300">
        <v>16.3766205310821</v>
      </c>
      <c r="B300" s="1">
        <v>9.2588165856003002</v>
      </c>
      <c r="C300" s="1">
        <v>7.7582590854872198</v>
      </c>
      <c r="D300" s="1">
        <v>7.9334378509570902</v>
      </c>
      <c r="E300" s="1">
        <v>-0.452254128099568</v>
      </c>
      <c r="F300" s="1">
        <v>2.3197741032294E-3</v>
      </c>
      <c r="G300" s="1">
        <v>9.7557708469694707E-2</v>
      </c>
      <c r="H300">
        <v>0.68760449449607597</v>
      </c>
      <c r="I300">
        <v>9.3043643866578193E-3</v>
      </c>
    </row>
    <row r="301" spans="1:9" x14ac:dyDescent="0.25">
      <c r="A301">
        <v>18.850511312484699</v>
      </c>
      <c r="B301" s="1">
        <v>10.017034516394</v>
      </c>
      <c r="C301" s="1">
        <v>7.6260825748904502</v>
      </c>
      <c r="D301" s="1">
        <v>7.6944773512016003</v>
      </c>
      <c r="E301" s="1">
        <v>-0.51360261998295897</v>
      </c>
      <c r="F301" s="1">
        <v>2.51703562040685E-3</v>
      </c>
      <c r="G301" s="1">
        <v>9.8841759408430097E-2</v>
      </c>
      <c r="H301">
        <v>0.66880184244763496</v>
      </c>
      <c r="I301">
        <v>5.7835033773855496E-3</v>
      </c>
    </row>
    <row r="302" spans="1:9" x14ac:dyDescent="0.25">
      <c r="A302">
        <v>21.5470612049102</v>
      </c>
      <c r="B302" s="1">
        <v>10.703584716379501</v>
      </c>
      <c r="C302" s="1">
        <v>7.3250874692603203</v>
      </c>
      <c r="D302" s="1">
        <v>7.2664196080928001</v>
      </c>
      <c r="E302" s="1">
        <v>-0.56405709854042396</v>
      </c>
      <c r="F302" s="1">
        <v>2.56450688823113E-3</v>
      </c>
      <c r="G302" s="1">
        <v>9.74593489775607E-2</v>
      </c>
      <c r="H302">
        <v>0.65027993808865703</v>
      </c>
      <c r="I302">
        <v>1.19750473253113E-3</v>
      </c>
    </row>
    <row r="303" spans="1:9" x14ac:dyDescent="0.25">
      <c r="A303">
        <v>24.4862973690032</v>
      </c>
      <c r="B303" s="1">
        <v>11.3222187913059</v>
      </c>
      <c r="C303" s="1">
        <v>6.9038107816886596</v>
      </c>
      <c r="D303" s="1">
        <v>6.7212060059226202</v>
      </c>
      <c r="E303" s="1">
        <v>-0.60326573979166698</v>
      </c>
      <c r="F303" s="1">
        <v>2.5461327246639001E-3</v>
      </c>
      <c r="G303" s="1">
        <v>9.3651330267938995E-2</v>
      </c>
      <c r="H303">
        <v>0.63154780159468704</v>
      </c>
      <c r="I303">
        <v>-3.1557849090751299E-3</v>
      </c>
    </row>
    <row r="304" spans="1:9" x14ac:dyDescent="0.25">
      <c r="A304">
        <v>27.690052986145002</v>
      </c>
      <c r="B304" s="1">
        <v>11.8788021958469</v>
      </c>
      <c r="C304" s="1">
        <v>6.4068923301820098</v>
      </c>
      <c r="D304" s="1">
        <v>6.1163914112509499</v>
      </c>
      <c r="E304" s="1">
        <v>-0.63159256211889403</v>
      </c>
      <c r="F304" s="1">
        <v>2.6141178947405299E-3</v>
      </c>
      <c r="G304" s="1">
        <v>8.8010482593418496E-2</v>
      </c>
      <c r="H304">
        <v>0.61261312806871404</v>
      </c>
      <c r="I304">
        <v>-6.5856718086366398E-3</v>
      </c>
    </row>
    <row r="305" spans="1:9" x14ac:dyDescent="0.25">
      <c r="A305">
        <v>31.1821639537811</v>
      </c>
      <c r="B305" s="1">
        <v>12.380127177298</v>
      </c>
      <c r="C305" s="1">
        <v>5.8714218187378702</v>
      </c>
      <c r="D305" s="1">
        <v>5.4945504317970899</v>
      </c>
      <c r="E305" s="1">
        <v>-0.64975739396163801</v>
      </c>
      <c r="F305" s="1">
        <v>2.69225504500649E-3</v>
      </c>
      <c r="G305" s="1">
        <v>8.1180059052222295E-2</v>
      </c>
      <c r="H305">
        <v>0.59367416936466499</v>
      </c>
      <c r="I305">
        <v>-8.8773402123200895E-3</v>
      </c>
    </row>
    <row r="306" spans="1:9" x14ac:dyDescent="0.25">
      <c r="A306">
        <v>34.988558292388902</v>
      </c>
      <c r="B306" s="1">
        <v>12.833252594530499</v>
      </c>
      <c r="C306" s="1">
        <v>5.3259501790962496</v>
      </c>
      <c r="D306" s="1">
        <v>4.88466276069407</v>
      </c>
      <c r="E306" s="1">
        <v>-0.65858804414689698</v>
      </c>
      <c r="F306" s="1">
        <v>2.5211636861091199E-3</v>
      </c>
      <c r="G306" s="1">
        <v>7.3719718653297794E-2</v>
      </c>
      <c r="H306">
        <v>0.57525534520182597</v>
      </c>
      <c r="I306">
        <v>-1.01096793005543E-2</v>
      </c>
    </row>
    <row r="307" spans="1:9" x14ac:dyDescent="0.25">
      <c r="A307">
        <v>39.137506484985302</v>
      </c>
      <c r="B307" s="1">
        <v>13.2449833906292</v>
      </c>
      <c r="C307" s="1">
        <v>4.7910190558250099</v>
      </c>
      <c r="D307" s="1">
        <v>4.3059783364336797</v>
      </c>
      <c r="E307" s="1">
        <v>-0.658951403807292</v>
      </c>
      <c r="F307" s="1">
        <v>2.06004880912233E-3</v>
      </c>
      <c r="G307" s="1">
        <v>6.5990290291711398E-2</v>
      </c>
      <c r="H307">
        <v>0.55795012556278201</v>
      </c>
      <c r="I307">
        <v>-1.04382555530825E-2</v>
      </c>
    </row>
    <row r="308" spans="1:9" x14ac:dyDescent="0.25">
      <c r="A308">
        <v>43.659898638725203</v>
      </c>
      <c r="B308" s="1">
        <v>13.621603981315999</v>
      </c>
      <c r="C308" s="1">
        <v>4.2800940072775102</v>
      </c>
      <c r="D308" s="1">
        <v>3.76958416421984</v>
      </c>
      <c r="E308" s="1">
        <v>-0.65151995441358701</v>
      </c>
      <c r="F308" s="1">
        <v>1.6158704467687901E-3</v>
      </c>
      <c r="G308" s="1">
        <v>5.8249563481720501E-2</v>
      </c>
      <c r="H308">
        <v>0.54218194121358898</v>
      </c>
      <c r="I308">
        <v>-1.00583925983708E-2</v>
      </c>
    </row>
    <row r="309" spans="1:9" x14ac:dyDescent="0.25">
      <c r="A309">
        <v>48.589280247688201</v>
      </c>
      <c r="B309" s="1">
        <v>13.9687449491619</v>
      </c>
      <c r="C309" s="1">
        <v>3.8014460922422502</v>
      </c>
      <c r="D309" s="1">
        <v>3.28088907126598</v>
      </c>
      <c r="E309" s="1">
        <v>-0.63690095334121899</v>
      </c>
      <c r="F309" s="1">
        <v>1.4543636797858799E-3</v>
      </c>
      <c r="G309" s="1">
        <v>5.06658604203949E-2</v>
      </c>
      <c r="H309">
        <v>0.52787854418958102</v>
      </c>
      <c r="I309">
        <v>-9.1605364963752399E-3</v>
      </c>
    </row>
    <row r="310" spans="1:9" x14ac:dyDescent="0.25">
      <c r="A310">
        <v>53.962334990501397</v>
      </c>
      <c r="B310" s="1">
        <v>14.2912624335884</v>
      </c>
      <c r="C310" s="1">
        <v>3.3595435838578802</v>
      </c>
      <c r="D310" s="1">
        <v>2.8413975665372702</v>
      </c>
      <c r="E310" s="1">
        <v>-0.61555259362801296</v>
      </c>
      <c r="F310" s="1">
        <v>1.43547788216278E-3</v>
      </c>
      <c r="G310" s="1">
        <v>4.34022467349209E-2</v>
      </c>
      <c r="H310">
        <v>0.515123465443029</v>
      </c>
      <c r="I310">
        <v>-7.9547714720701393E-3</v>
      </c>
    </row>
    <row r="311" spans="1:9" x14ac:dyDescent="0.25">
      <c r="A311">
        <v>59.818929433822603</v>
      </c>
      <c r="B311" s="1">
        <v>14.5929651713966</v>
      </c>
      <c r="C311" s="1">
        <v>2.9556131445788099</v>
      </c>
      <c r="D311" s="1">
        <v>2.45041387603866</v>
      </c>
      <c r="E311" s="1">
        <v>-0.58779400528940495</v>
      </c>
      <c r="F311" s="1">
        <v>7.31084460160043E-4</v>
      </c>
      <c r="G311" s="1">
        <v>3.6591923850932302E-2</v>
      </c>
      <c r="H311">
        <v>0.50413901091109903</v>
      </c>
      <c r="I311">
        <v>-6.6471867625179397E-3</v>
      </c>
    </row>
    <row r="312" spans="1:9" x14ac:dyDescent="0.25">
      <c r="A312">
        <v>66.202640533447195</v>
      </c>
      <c r="B312" s="1">
        <v>14.876335189402001</v>
      </c>
      <c r="C312" s="1">
        <v>2.5886334359674898</v>
      </c>
      <c r="D312" s="1">
        <v>2.1049633281746498</v>
      </c>
      <c r="E312" s="1">
        <v>-0.55376019660812503</v>
      </c>
      <c r="F312" s="1">
        <v>-3.22390295685587E-4</v>
      </c>
      <c r="G312" s="1">
        <v>3.0284032795822102E-2</v>
      </c>
      <c r="H312">
        <v>0.49385098534920002</v>
      </c>
      <c r="I312">
        <v>-5.3429012411900104E-3</v>
      </c>
    </row>
    <row r="313" spans="1:9" x14ac:dyDescent="0.25">
      <c r="A313">
        <v>73.160880804061804</v>
      </c>
      <c r="B313" s="1">
        <v>15.142419890224801</v>
      </c>
      <c r="C313" s="1">
        <v>2.2552418646191601</v>
      </c>
      <c r="D313" s="1">
        <v>1.8000148109691401</v>
      </c>
      <c r="E313" s="1">
        <v>-0.51361651376571804</v>
      </c>
      <c r="F313" s="1">
        <v>-7.9734562987150302E-4</v>
      </c>
      <c r="G313" s="1">
        <v>2.45967075888106E-2</v>
      </c>
      <c r="H313">
        <v>0.483949657986117</v>
      </c>
      <c r="I313">
        <v>-4.1537439577629797E-3</v>
      </c>
    </row>
    <row r="314" spans="1:9" x14ac:dyDescent="0.25">
      <c r="A314">
        <v>80.745358765125204</v>
      </c>
      <c r="B314" s="1">
        <v>15.3916191912292</v>
      </c>
      <c r="C314" s="1">
        <v>1.9496492505568299</v>
      </c>
      <c r="D314" s="1">
        <v>1.52900752751185</v>
      </c>
      <c r="E314" s="1">
        <v>-0.46718912784050498</v>
      </c>
      <c r="F314" s="1">
        <v>-4.0980396534484999E-4</v>
      </c>
      <c r="G314" s="1">
        <v>1.9645053728057901E-2</v>
      </c>
      <c r="H314">
        <v>0.47610998517588099</v>
      </c>
      <c r="I314">
        <v>-3.16191336263288E-3</v>
      </c>
    </row>
    <row r="315" spans="1:9" x14ac:dyDescent="0.25">
      <c r="A315">
        <v>89.012441039085303</v>
      </c>
      <c r="B315" s="1">
        <v>15.6238569176792</v>
      </c>
      <c r="C315" s="1">
        <v>1.6677319480913799</v>
      </c>
      <c r="D315" s="1">
        <v>1.28633944797656</v>
      </c>
      <c r="E315" s="1">
        <v>-0.41424759315589499</v>
      </c>
      <c r="F315" s="1">
        <v>2.0720721201446401E-4</v>
      </c>
      <c r="G315" s="1">
        <v>1.5406802386403001E-2</v>
      </c>
      <c r="H315">
        <v>0.47162092687740298</v>
      </c>
      <c r="I315">
        <v>-2.3503281042268499E-3</v>
      </c>
    </row>
    <row r="316" spans="1:9" x14ac:dyDescent="0.25">
      <c r="A316">
        <v>98.0235546827316</v>
      </c>
      <c r="B316" s="1">
        <v>15.837400094330199</v>
      </c>
      <c r="C316" s="1">
        <v>1.40837701522468</v>
      </c>
      <c r="D316" s="1">
        <v>1.0687446140617001</v>
      </c>
      <c r="E316" s="1">
        <v>-0.35480415256333497</v>
      </c>
      <c r="F316" s="1">
        <v>1.1765382361341599E-3</v>
      </c>
      <c r="G316" s="1">
        <v>1.18177604222138E-2</v>
      </c>
      <c r="H316">
        <v>0.46930669075477299</v>
      </c>
      <c r="I316">
        <v>-1.6965473775689801E-3</v>
      </c>
    </row>
    <row r="317" spans="1:9" x14ac:dyDescent="0.25">
      <c r="A317">
        <v>107.845674455165</v>
      </c>
      <c r="B317" s="1">
        <v>16.028090850174301</v>
      </c>
      <c r="C317" s="1">
        <v>1.1722335993508699</v>
      </c>
      <c r="D317" s="1">
        <v>0.87445230773362204</v>
      </c>
      <c r="E317" s="1">
        <v>-0.28883799969532598</v>
      </c>
      <c r="F317" s="1">
        <v>1.96082048648385E-3</v>
      </c>
      <c r="G317" s="1">
        <v>8.9025244432140993E-3</v>
      </c>
      <c r="H317">
        <v>0.47068603820807697</v>
      </c>
      <c r="I317">
        <v>-1.2144707537610701E-3</v>
      </c>
    </row>
    <row r="318" spans="1:9" x14ac:dyDescent="0.25">
      <c r="A318">
        <v>118.551787734031</v>
      </c>
      <c r="B318" s="1">
        <v>16.189162329494799</v>
      </c>
      <c r="C318" s="1">
        <v>0.96557728710104096</v>
      </c>
      <c r="D318" s="1">
        <v>0.70819129320700502</v>
      </c>
      <c r="E318" s="1">
        <v>-0.215927121847315</v>
      </c>
      <c r="F318" s="1">
        <v>2.3142927398626602E-3</v>
      </c>
      <c r="G318" s="1">
        <v>6.6474823432899699E-3</v>
      </c>
      <c r="H318">
        <v>0.47781502040789198</v>
      </c>
      <c r="I318">
        <v>-8.7424695590155102E-4</v>
      </c>
    </row>
    <row r="319" spans="1:9" x14ac:dyDescent="0.25">
      <c r="A319">
        <v>130.22144660353601</v>
      </c>
      <c r="B319" s="1">
        <v>16.3111371255516</v>
      </c>
      <c r="C319" s="1">
        <v>0.80213012679814599</v>
      </c>
      <c r="D319" s="1">
        <v>0.57904164257715096</v>
      </c>
      <c r="E319" s="1">
        <v>-0.13559733188401901</v>
      </c>
      <c r="F319" s="1">
        <v>2.1833408195313401E-3</v>
      </c>
      <c r="G319" s="1">
        <v>5.0993588037444703E-3</v>
      </c>
      <c r="H319">
        <v>0.49195975249888002</v>
      </c>
      <c r="I319">
        <v>-6.7023428992368296E-4</v>
      </c>
    </row>
    <row r="320" spans="1:9" x14ac:dyDescent="0.25">
      <c r="A320">
        <v>143.15376933664001</v>
      </c>
      <c r="B320" s="1">
        <v>16.381776497423498</v>
      </c>
      <c r="C320" s="1">
        <v>0.70538669868983495</v>
      </c>
      <c r="D320" s="1">
        <v>0.50312442569903904</v>
      </c>
      <c r="E320" s="1">
        <v>-4.5932531894045003E-2</v>
      </c>
      <c r="F320" s="1">
        <v>2.5262459950965701E-3</v>
      </c>
      <c r="G320" s="1">
        <v>4.3184144579245598E-3</v>
      </c>
      <c r="H320">
        <v>0.499916834118869</v>
      </c>
      <c r="I320">
        <v>-6.1022352580458695E-4</v>
      </c>
    </row>
    <row r="321" spans="1:9" x14ac:dyDescent="0.25">
      <c r="A321" t="s">
        <v>17</v>
      </c>
      <c r="B321" s="1" t="s">
        <v>9</v>
      </c>
      <c r="C321" s="1" t="s">
        <v>32</v>
      </c>
      <c r="D321" s="1" t="s">
        <v>33</v>
      </c>
      <c r="E321" s="1" t="s">
        <v>34</v>
      </c>
      <c r="F321" s="1" t="s">
        <v>35</v>
      </c>
      <c r="G321" s="1" t="s">
        <v>30</v>
      </c>
      <c r="H321" t="s">
        <v>36</v>
      </c>
      <c r="I321" t="s">
        <v>31</v>
      </c>
    </row>
    <row r="322" spans="1:9" x14ac:dyDescent="0.25">
      <c r="A322">
        <v>-143.38788986206001</v>
      </c>
      <c r="B322" s="1">
        <v>-50.908132772919302</v>
      </c>
      <c r="C322" s="1">
        <v>3.5638427136746001E-3</v>
      </c>
      <c r="D322" s="1">
        <v>0</v>
      </c>
      <c r="E322" s="1">
        <v>0</v>
      </c>
      <c r="F322" s="1">
        <v>0</v>
      </c>
      <c r="G322" s="1">
        <v>4.41764199414218E-7</v>
      </c>
      <c r="H322">
        <v>6.6874306024902894E-2</v>
      </c>
      <c r="I322" s="1">
        <v>0</v>
      </c>
    </row>
    <row r="323" spans="1:9" x14ac:dyDescent="0.25">
      <c r="A323">
        <v>-130.70960640907199</v>
      </c>
      <c r="B323" s="1">
        <v>-46.407018404480603</v>
      </c>
      <c r="C323" s="1">
        <v>3.69373337759526E-3</v>
      </c>
      <c r="D323" s="1">
        <v>0</v>
      </c>
      <c r="E323" s="1">
        <v>0</v>
      </c>
      <c r="F323" s="1">
        <v>0</v>
      </c>
      <c r="G323" s="1">
        <v>7.0422437750683401E-7</v>
      </c>
      <c r="H323">
        <v>0.36521073171888402</v>
      </c>
      <c r="I323" s="1">
        <v>0</v>
      </c>
    </row>
    <row r="324" spans="1:9" x14ac:dyDescent="0.25">
      <c r="A324">
        <v>-119.078135490417</v>
      </c>
      <c r="B324" s="1">
        <v>-42.277290787574401</v>
      </c>
      <c r="C324" s="1">
        <v>3.97577956719885E-3</v>
      </c>
      <c r="D324" s="1">
        <v>0</v>
      </c>
      <c r="E324" s="1">
        <v>0</v>
      </c>
      <c r="F324" s="1">
        <v>0</v>
      </c>
      <c r="G324" s="1">
        <v>1.2178290060704799E-6</v>
      </c>
      <c r="H324">
        <v>0.56918861319018699</v>
      </c>
      <c r="I324" s="1">
        <v>0</v>
      </c>
    </row>
    <row r="325" spans="1:9" x14ac:dyDescent="0.25">
      <c r="A325">
        <v>-108.407056331634</v>
      </c>
      <c r="B325" s="1">
        <v>-38.488346722003598</v>
      </c>
      <c r="C325" s="1">
        <v>4.4616552842668897E-3</v>
      </c>
      <c r="D325" s="1">
        <v>0</v>
      </c>
      <c r="E325" s="1">
        <v>0</v>
      </c>
      <c r="F325" s="1">
        <v>0</v>
      </c>
      <c r="G325" s="1">
        <v>2.0178465002623698E-6</v>
      </c>
      <c r="H325">
        <v>0.67054700436607095</v>
      </c>
      <c r="I325" s="1">
        <v>0</v>
      </c>
    </row>
    <row r="326" spans="1:9" x14ac:dyDescent="0.25">
      <c r="A326">
        <v>-98.617064952850299</v>
      </c>
      <c r="B326" s="1">
        <v>-35.012096773859597</v>
      </c>
      <c r="C326" s="1">
        <v>5.21740593519126E-3</v>
      </c>
      <c r="D326" s="1">
        <v>0</v>
      </c>
      <c r="E326" s="1">
        <v>0</v>
      </c>
      <c r="F326" s="1">
        <v>0</v>
      </c>
      <c r="G326" s="1">
        <v>3.1946516985636898E-6</v>
      </c>
      <c r="H326">
        <v>0.719034704897073</v>
      </c>
      <c r="I326" s="1">
        <v>0</v>
      </c>
    </row>
    <row r="327" spans="1:9" x14ac:dyDescent="0.25">
      <c r="A327">
        <v>-89.635455608367906</v>
      </c>
      <c r="B327" s="1">
        <v>-31.8227684907881</v>
      </c>
      <c r="C327" s="1">
        <v>6.31904158592533E-3</v>
      </c>
      <c r="D327" s="1">
        <v>0</v>
      </c>
      <c r="E327" s="1">
        <v>0</v>
      </c>
      <c r="F327" s="1">
        <v>0</v>
      </c>
      <c r="G327" s="1">
        <v>4.9021017408112899E-6</v>
      </c>
      <c r="H327">
        <v>0.74185500233484503</v>
      </c>
      <c r="I327" s="1">
        <v>0</v>
      </c>
    </row>
    <row r="328" spans="1:9" x14ac:dyDescent="0.25">
      <c r="A328">
        <v>-81.395459175109806</v>
      </c>
      <c r="B328" s="1">
        <v>-28.896709617253901</v>
      </c>
      <c r="C328" s="1">
        <v>7.85312463544585E-3</v>
      </c>
      <c r="D328" s="1">
        <v>0</v>
      </c>
      <c r="E328" s="1">
        <v>0</v>
      </c>
      <c r="F328" s="1">
        <v>0</v>
      </c>
      <c r="G328" s="1">
        <v>7.36961488854603E-6</v>
      </c>
      <c r="H328">
        <v>0.75215830586628696</v>
      </c>
      <c r="I328" s="1">
        <v>0</v>
      </c>
    </row>
    <row r="329" spans="1:9" x14ac:dyDescent="0.25">
      <c r="A329">
        <v>-73.835813999175997</v>
      </c>
      <c r="B329" s="1">
        <v>-26.212215114411499</v>
      </c>
      <c r="C329" s="1">
        <v>9.9191930419806305E-3</v>
      </c>
      <c r="D329" s="1">
        <v>0</v>
      </c>
      <c r="E329" s="1">
        <v>0</v>
      </c>
      <c r="F329" s="1">
        <v>0</v>
      </c>
      <c r="G329" s="1">
        <v>1.09181942510661E-5</v>
      </c>
      <c r="H329">
        <v>0.75644779786632999</v>
      </c>
      <c r="I329" s="1">
        <v>0</v>
      </c>
    </row>
    <row r="330" spans="1:9" x14ac:dyDescent="0.25">
      <c r="A330">
        <v>-66.900336742401095</v>
      </c>
      <c r="B330" s="1">
        <v>-23.749365288790798</v>
      </c>
      <c r="C330" s="1">
        <v>1.26322960550169E-2</v>
      </c>
      <c r="D330" s="1">
        <v>0</v>
      </c>
      <c r="E330" s="1">
        <v>0</v>
      </c>
      <c r="F330" s="1">
        <v>0</v>
      </c>
      <c r="G330" s="1">
        <v>1.59803665787294E-5</v>
      </c>
      <c r="H330">
        <v>0.757978327259341</v>
      </c>
      <c r="I330" s="1">
        <v>0</v>
      </c>
    </row>
    <row r="331" spans="1:9" x14ac:dyDescent="0.25">
      <c r="A331">
        <v>-60.537528991699197</v>
      </c>
      <c r="B331" s="1">
        <v>-21.489884551641101</v>
      </c>
      <c r="C331" s="1">
        <v>1.61247449857739E-2</v>
      </c>
      <c r="D331" s="1">
        <v>0</v>
      </c>
      <c r="E331" s="1">
        <v>0</v>
      </c>
      <c r="F331" s="1">
        <v>0</v>
      </c>
      <c r="G331" s="1">
        <v>2.3123911884570501E-5</v>
      </c>
      <c r="H331">
        <v>0.75835174902438196</v>
      </c>
      <c r="I331" s="1">
        <v>0</v>
      </c>
    </row>
    <row r="332" spans="1:9" x14ac:dyDescent="0.25">
      <c r="A332">
        <v>-54.700112342834402</v>
      </c>
      <c r="B332">
        <v>-19.416997797813799</v>
      </c>
      <c r="C332">
        <v>2.0546705716157E-2</v>
      </c>
      <c r="D332" s="1">
        <v>0</v>
      </c>
      <c r="E332" s="1">
        <v>0</v>
      </c>
      <c r="F332" s="1">
        <v>0</v>
      </c>
      <c r="G332" s="1">
        <v>3.3079691592492401E-5</v>
      </c>
      <c r="H332">
        <v>0.75833052120149702</v>
      </c>
      <c r="I332" s="1">
        <v>0</v>
      </c>
    </row>
    <row r="333" spans="1:9" x14ac:dyDescent="0.25">
      <c r="A333">
        <v>-49.344670772552398</v>
      </c>
      <c r="B333" s="1">
        <v>-17.5153129697112</v>
      </c>
      <c r="C333" s="1">
        <v>2.6065576532118901E-2</v>
      </c>
      <c r="D333" s="1">
        <v>0</v>
      </c>
      <c r="E333" s="1">
        <v>0</v>
      </c>
      <c r="F333" s="1">
        <v>0</v>
      </c>
      <c r="G333" s="1">
        <v>4.6774756431515701E-5</v>
      </c>
      <c r="H333">
        <v>0.75826957688177798</v>
      </c>
      <c r="I333" s="1">
        <v>0</v>
      </c>
    </row>
    <row r="334" spans="1:9" x14ac:dyDescent="0.25">
      <c r="A334">
        <v>-44.431400299072202</v>
      </c>
      <c r="B334" s="1">
        <v>-15.770703621235199</v>
      </c>
      <c r="C334" s="1">
        <v>3.2864332451197201E-2</v>
      </c>
      <c r="D334" s="1">
        <v>0</v>
      </c>
      <c r="E334" s="1">
        <v>0</v>
      </c>
      <c r="F334" s="1">
        <v>0</v>
      </c>
      <c r="G334" s="1">
        <v>6.5373000986958994E-5</v>
      </c>
      <c r="H334">
        <v>0.758342504632874</v>
      </c>
      <c r="I334" s="1">
        <v>0</v>
      </c>
    </row>
    <row r="335" spans="1:9" x14ac:dyDescent="0.25">
      <c r="A335">
        <v>-39.923822879791203</v>
      </c>
      <c r="B335" s="1">
        <v>-14.1702065579859</v>
      </c>
      <c r="C335" s="1">
        <v>4.1139104897581498E-2</v>
      </c>
      <c r="D335" s="1">
        <v>0</v>
      </c>
      <c r="E335" s="1">
        <v>0</v>
      </c>
      <c r="F335" s="1">
        <v>0</v>
      </c>
      <c r="G335" s="1">
        <v>9.0327295794807503E-5</v>
      </c>
      <c r="H335">
        <v>0.75865510267638203</v>
      </c>
      <c r="I335" s="1">
        <v>0</v>
      </c>
    </row>
    <row r="336" spans="1:9" x14ac:dyDescent="0.25">
      <c r="A336">
        <v>-35.788428783416698</v>
      </c>
      <c r="B336" s="1">
        <v>-12.7019286025581</v>
      </c>
      <c r="C336" s="1">
        <v>5.1096450616228098E-2</v>
      </c>
      <c r="D336" s="1">
        <v>0</v>
      </c>
      <c r="E336" s="1">
        <v>0</v>
      </c>
      <c r="F336" s="1">
        <v>0</v>
      </c>
      <c r="G336" s="1">
        <v>1.2344941590553601E-4</v>
      </c>
      <c r="H336">
        <v>0.75929937696362704</v>
      </c>
      <c r="I336" s="1">
        <v>0</v>
      </c>
    </row>
    <row r="337" spans="1:9" x14ac:dyDescent="0.25">
      <c r="A337">
        <v>-31.994497776031402</v>
      </c>
      <c r="B337" s="1">
        <v>-11.354952963095601</v>
      </c>
      <c r="C337" s="1">
        <v>6.2950642507871593E-2</v>
      </c>
      <c r="D337" s="1">
        <v>0</v>
      </c>
      <c r="E337" s="1">
        <v>0</v>
      </c>
      <c r="F337" s="1">
        <v>0</v>
      </c>
      <c r="G337" s="1">
        <v>1.67007174649587E-4</v>
      </c>
      <c r="H337">
        <v>0.76037749040896896</v>
      </c>
      <c r="I337" s="1">
        <v>0</v>
      </c>
    </row>
    <row r="338" spans="1:9" x14ac:dyDescent="0.25">
      <c r="A338">
        <v>-28.5138309001922</v>
      </c>
      <c r="B338" s="1">
        <v>-10.1192630585549</v>
      </c>
      <c r="C338" s="1">
        <v>7.6921423381804702E-2</v>
      </c>
      <c r="D338" s="1">
        <v>0</v>
      </c>
      <c r="E338" s="1">
        <v>0</v>
      </c>
      <c r="F338" s="1">
        <v>0</v>
      </c>
      <c r="G338" s="1">
        <v>2.2386158557981801E-4</v>
      </c>
      <c r="H338">
        <v>0.76200983258001698</v>
      </c>
      <c r="I338" s="1">
        <v>0</v>
      </c>
    </row>
    <row r="339" spans="1:9" x14ac:dyDescent="0.25">
      <c r="A339">
        <v>-25.320571660995402</v>
      </c>
      <c r="B339" s="1">
        <v>-8.9856681293142699</v>
      </c>
      <c r="C339" s="1">
        <v>9.3232535966308094E-2</v>
      </c>
      <c r="D339" s="1">
        <v>0</v>
      </c>
      <c r="E339" s="1">
        <v>0</v>
      </c>
      <c r="F339" s="1">
        <v>0</v>
      </c>
      <c r="G339" s="1">
        <v>2.9765979605745198E-4</v>
      </c>
      <c r="H339">
        <v>0.76433301895360295</v>
      </c>
      <c r="I339" s="1">
        <v>0</v>
      </c>
    </row>
    <row r="340" spans="1:9" x14ac:dyDescent="0.25">
      <c r="A340">
        <v>-22.3909378051757</v>
      </c>
      <c r="B340" s="1">
        <v>-7.94573450137728</v>
      </c>
      <c r="C340" s="1">
        <v>0.1121113902268</v>
      </c>
      <c r="D340" s="1">
        <v>0</v>
      </c>
      <c r="E340" s="1">
        <v>0</v>
      </c>
      <c r="F340" s="1">
        <v>0</v>
      </c>
      <c r="G340" s="1">
        <v>3.9310177164480798E-4</v>
      </c>
      <c r="H340">
        <v>0.76749029718242701</v>
      </c>
      <c r="I340" s="1">
        <v>0</v>
      </c>
    </row>
    <row r="341" spans="1:9" x14ac:dyDescent="0.25">
      <c r="A341">
        <v>-19.7032213211059</v>
      </c>
      <c r="B341" s="1">
        <v>-6.9917249342227104</v>
      </c>
      <c r="C341" s="1">
        <v>0.13379000209601999</v>
      </c>
      <c r="D341" s="1">
        <v>0</v>
      </c>
      <c r="E341" s="1">
        <v>0</v>
      </c>
      <c r="F341" s="1">
        <v>0</v>
      </c>
      <c r="G341" s="1">
        <v>5.1629785896309898E-4</v>
      </c>
      <c r="H341">
        <v>0.77161522686858497</v>
      </c>
      <c r="I341" s="1">
        <v>0</v>
      </c>
    </row>
    <row r="342" spans="1:9" x14ac:dyDescent="0.25">
      <c r="A342">
        <v>-17.237430810928299</v>
      </c>
      <c r="B342" s="1">
        <v>-6.11654005155766</v>
      </c>
      <c r="C342" s="1">
        <v>0.15850714945872801</v>
      </c>
      <c r="D342" s="1">
        <v>0</v>
      </c>
      <c r="E342" s="1">
        <v>0</v>
      </c>
      <c r="F342" s="1">
        <v>0</v>
      </c>
      <c r="G342" s="1">
        <v>6.7523399583563901E-4</v>
      </c>
      <c r="H342">
        <v>0.77681146872823204</v>
      </c>
      <c r="I342" s="1">
        <v>0</v>
      </c>
    </row>
    <row r="343" spans="1:9" x14ac:dyDescent="0.25">
      <c r="A343">
        <v>-14.975237846374499</v>
      </c>
      <c r="B343" s="1">
        <v>-5.3136662687441101</v>
      </c>
      <c r="C343" s="1">
        <v>0.18651165770734199</v>
      </c>
      <c r="D343" s="1">
        <v>0</v>
      </c>
      <c r="E343" s="1">
        <v>0</v>
      </c>
      <c r="F343" s="1">
        <v>0</v>
      </c>
      <c r="G343" s="1">
        <v>8.8035712903433597E-4</v>
      </c>
      <c r="H343">
        <v>0.78313260049994904</v>
      </c>
      <c r="I343" s="1">
        <v>0</v>
      </c>
    </row>
    <row r="344" spans="1:9" x14ac:dyDescent="0.25">
      <c r="A344">
        <v>-12.8998160362243</v>
      </c>
      <c r="B344" s="1">
        <v>-4.5771278860313602</v>
      </c>
      <c r="C344" s="1">
        <v>0.21806629908269301</v>
      </c>
      <c r="D344" s="1">
        <v>0</v>
      </c>
      <c r="E344" s="1">
        <v>0</v>
      </c>
      <c r="F344" s="1">
        <v>0</v>
      </c>
      <c r="G344" s="1">
        <v>1.14529205520256E-3</v>
      </c>
      <c r="H344">
        <v>0.790567029197906</v>
      </c>
      <c r="I344" s="1">
        <v>0</v>
      </c>
    </row>
    <row r="345" spans="1:9" x14ac:dyDescent="0.25">
      <c r="A345">
        <v>-10.995769500732401</v>
      </c>
      <c r="B345" s="1">
        <v>-3.9014425045145402</v>
      </c>
      <c r="C345" s="1">
        <v>0.25345170233049402</v>
      </c>
      <c r="D345" s="1">
        <v>0</v>
      </c>
      <c r="E345" s="1">
        <v>0</v>
      </c>
      <c r="F345" s="1">
        <v>0</v>
      </c>
      <c r="G345" s="1">
        <v>1.48769993047153E-3</v>
      </c>
      <c r="H345">
        <v>0.79903247600882699</v>
      </c>
      <c r="I345" s="1">
        <v>0</v>
      </c>
    </row>
    <row r="346" spans="1:9" x14ac:dyDescent="0.25">
      <c r="A346">
        <v>-9.2489361763000399</v>
      </c>
      <c r="B346" s="1">
        <v>-3.2815809054566301</v>
      </c>
      <c r="C346" s="1">
        <v>0.292969808466295</v>
      </c>
      <c r="D346" s="1">
        <v>0</v>
      </c>
      <c r="E346" s="1">
        <v>0</v>
      </c>
      <c r="F346" s="1">
        <v>0</v>
      </c>
      <c r="G346" s="1">
        <v>1.93028942817988E-3</v>
      </c>
      <c r="H346">
        <v>0.80838181366071005</v>
      </c>
      <c r="I346" s="1">
        <v>0</v>
      </c>
    </row>
    <row r="347" spans="1:9" x14ac:dyDescent="0.25">
      <c r="A347">
        <v>-7.6463341712951598</v>
      </c>
      <c r="B347" s="1">
        <v>-2.7129295580355199</v>
      </c>
      <c r="C347" s="1">
        <v>0.33694620212736398</v>
      </c>
      <c r="D347" s="1">
        <v>0</v>
      </c>
      <c r="E347" s="1">
        <v>0</v>
      </c>
      <c r="F347" s="1">
        <v>0</v>
      </c>
      <c r="G347" s="1">
        <v>2.5019955790355599E-3</v>
      </c>
      <c r="H347">
        <v>0.81841913175285896</v>
      </c>
      <c r="I347" s="1">
        <v>0</v>
      </c>
    </row>
    <row r="348" spans="1:9" x14ac:dyDescent="0.25">
      <c r="A348">
        <v>-6.1760544776916504</v>
      </c>
      <c r="B348" s="1">
        <v>-2.1912560034809401</v>
      </c>
      <c r="C348" s="1">
        <v>0.385730792409958</v>
      </c>
      <c r="D348" s="1">
        <v>0</v>
      </c>
      <c r="E348" s="1">
        <v>0</v>
      </c>
      <c r="F348" s="1">
        <v>0</v>
      </c>
      <c r="G348" s="1">
        <v>3.2393470671854599E-3</v>
      </c>
      <c r="H348">
        <v>0.82892179821078604</v>
      </c>
      <c r="I348" s="1">
        <v>0</v>
      </c>
    </row>
    <row r="349" spans="1:9" x14ac:dyDescent="0.25">
      <c r="A349">
        <v>-4.8271894454956001</v>
      </c>
      <c r="B349" s="1">
        <v>-1.7126779090879201</v>
      </c>
      <c r="C349" s="1">
        <v>0.43969680192913002</v>
      </c>
      <c r="D349" s="1">
        <v>0</v>
      </c>
      <c r="E349" s="1">
        <v>0</v>
      </c>
      <c r="F349" s="1">
        <v>0</v>
      </c>
      <c r="G349" s="1">
        <v>4.1880499495687198E-3</v>
      </c>
      <c r="H349">
        <v>0.83966360728345901</v>
      </c>
      <c r="I349" s="1">
        <v>0</v>
      </c>
    </row>
    <row r="350" spans="1:9" x14ac:dyDescent="0.25">
      <c r="A350">
        <v>-3.5896897315978999</v>
      </c>
      <c r="B350" s="1">
        <v>-1.27363370920399</v>
      </c>
      <c r="C350" s="1">
        <v>0.49923750705238401</v>
      </c>
      <c r="D350" s="1">
        <v>0</v>
      </c>
      <c r="E350" s="1">
        <v>0</v>
      </c>
      <c r="F350" s="1">
        <v>0</v>
      </c>
      <c r="G350" s="1">
        <v>5.4047845089257801E-3</v>
      </c>
      <c r="H350">
        <v>0.85043323383152802</v>
      </c>
      <c r="I350" s="1">
        <v>0</v>
      </c>
    </row>
    <row r="351" spans="1:9" x14ac:dyDescent="0.25">
      <c r="A351">
        <v>-2.4543642997741602</v>
      </c>
      <c r="B351" s="1">
        <v>-0.87085661853531304</v>
      </c>
      <c r="C351" s="1">
        <v>0.56476182277310705</v>
      </c>
      <c r="D351" s="1">
        <v>0</v>
      </c>
      <c r="E351" s="1">
        <v>0</v>
      </c>
      <c r="F351" s="1">
        <v>0</v>
      </c>
      <c r="G351" s="1">
        <v>6.9591964298797299E-3</v>
      </c>
      <c r="H351">
        <v>0.86104602269600505</v>
      </c>
      <c r="I351" s="1">
        <v>0</v>
      </c>
    </row>
    <row r="352" spans="1:9" x14ac:dyDescent="0.25">
      <c r="A352">
        <v>-1.41280889511108</v>
      </c>
      <c r="B352" s="1">
        <v>-0.50134924056807495</v>
      </c>
      <c r="C352" s="1">
        <v>0.63668761812641606</v>
      </c>
      <c r="D352" s="1">
        <v>0</v>
      </c>
      <c r="E352" s="1">
        <v>0</v>
      </c>
      <c r="F352" s="1">
        <v>0</v>
      </c>
      <c r="G352" s="1">
        <v>8.9355222569247293E-3</v>
      </c>
      <c r="H352">
        <v>0.87134281143884296</v>
      </c>
      <c r="I352" s="1">
        <v>0</v>
      </c>
    </row>
    <row r="353" spans="1:9" x14ac:dyDescent="0.25">
      <c r="A353">
        <v>-0.45722723007202098</v>
      </c>
      <c r="B353" s="1">
        <v>-0.162363333654198</v>
      </c>
      <c r="C353" s="1">
        <v>0.71543362866759597</v>
      </c>
      <c r="D353" s="1">
        <v>0</v>
      </c>
      <c r="E353" s="1">
        <v>0</v>
      </c>
      <c r="F353" s="1">
        <v>0</v>
      </c>
      <c r="G353" s="1">
        <v>1.15776889184326E-2</v>
      </c>
      <c r="H353">
        <v>0.88266759261480099</v>
      </c>
      <c r="I353" s="1">
        <v>0</v>
      </c>
    </row>
    <row r="354" spans="1:9" x14ac:dyDescent="0.25">
      <c r="A354">
        <v>0.49999952316284102</v>
      </c>
      <c r="B354" s="1">
        <v>0.35455882174095099</v>
      </c>
      <c r="C354" s="1">
        <v>0.86573633823354601</v>
      </c>
      <c r="D354" s="1">
        <v>0.125125189720492</v>
      </c>
      <c r="E354" s="1">
        <v>-1.7239588223367199E-4</v>
      </c>
      <c r="F354" s="1">
        <v>2.18269386334696E-4</v>
      </c>
      <c r="G354" s="1">
        <v>5.3042385580208601E-2</v>
      </c>
      <c r="H354">
        <v>0.96650568076140098</v>
      </c>
      <c r="I354" s="1">
        <v>3.2803770056351301E-7</v>
      </c>
    </row>
    <row r="355" spans="1:9" x14ac:dyDescent="0.25">
      <c r="A355">
        <v>1.5449970960617001</v>
      </c>
      <c r="B355" s="1">
        <v>1.09517245364507</v>
      </c>
      <c r="C355" s="1">
        <v>1.15312006254498</v>
      </c>
      <c r="D355" s="1">
        <v>0.49151305804964401</v>
      </c>
      <c r="E355" s="1">
        <v>-1.8195419410717299E-3</v>
      </c>
      <c r="F355" s="1">
        <v>5.6243973773075601E-4</v>
      </c>
      <c r="G355" s="1">
        <v>6.1901238843454699E-2</v>
      </c>
      <c r="H355">
        <v>0.95775518294457496</v>
      </c>
      <c r="I355" s="1">
        <v>9.9729625427697005E-6</v>
      </c>
    </row>
    <row r="356" spans="1:9" x14ac:dyDescent="0.25">
      <c r="A356">
        <v>2.6840418577194201</v>
      </c>
      <c r="B356" s="1">
        <v>1.8986088186236201</v>
      </c>
      <c r="C356" s="1">
        <v>1.57193872124116</v>
      </c>
      <c r="D356" s="1">
        <v>1.0562069913507901</v>
      </c>
      <c r="E356" s="1">
        <v>-8.0648712782259904E-3</v>
      </c>
      <c r="F356" s="1">
        <v>7.9428524181882E-4</v>
      </c>
      <c r="G356" s="1">
        <v>6.9862238875246702E-2</v>
      </c>
      <c r="H356">
        <v>0.94428984929390802</v>
      </c>
      <c r="I356" s="1">
        <v>5.1725933446742797E-5</v>
      </c>
    </row>
    <row r="357" spans="1:9" x14ac:dyDescent="0.25">
      <c r="A357">
        <v>3.9256095886230402</v>
      </c>
      <c r="B357" s="1">
        <v>2.7639768309625001</v>
      </c>
      <c r="C357" s="1">
        <v>2.1532709266539301</v>
      </c>
      <c r="D357" s="1">
        <v>1.85528424593533</v>
      </c>
      <c r="E357" s="1">
        <v>-2.2509771009027402E-2</v>
      </c>
      <c r="F357" s="1">
        <v>9.1171346877205902E-4</v>
      </c>
      <c r="G357" s="1">
        <v>7.6313565665745903E-2</v>
      </c>
      <c r="H357">
        <v>0.92483749579426</v>
      </c>
      <c r="I357" s="1">
        <v>1.30009418064903E-4</v>
      </c>
    </row>
    <row r="358" spans="1:9" x14ac:dyDescent="0.25">
      <c r="A358">
        <v>5.2789181470870901</v>
      </c>
      <c r="B358" s="1">
        <v>3.6851317286225198</v>
      </c>
      <c r="C358" s="1">
        <v>2.9093297441286201</v>
      </c>
      <c r="D358" s="1">
        <v>2.8885448579139901</v>
      </c>
      <c r="E358" s="1">
        <v>-4.9371068540012802E-2</v>
      </c>
      <c r="F358" s="1">
        <v>9.18673336140533E-4</v>
      </c>
      <c r="G358" s="1">
        <v>7.9897866365607501E-2</v>
      </c>
      <c r="H358">
        <v>0.89701594966450104</v>
      </c>
      <c r="I358" s="1">
        <v>2.5718752093956799E-4</v>
      </c>
    </row>
    <row r="359" spans="1:9" x14ac:dyDescent="0.25">
      <c r="A359">
        <v>6.7540258169174097</v>
      </c>
      <c r="B359" s="1">
        <v>4.6489428914817204</v>
      </c>
      <c r="C359" s="1">
        <v>3.8122833711386099</v>
      </c>
      <c r="D359" s="1">
        <v>4.0890231795734504</v>
      </c>
      <c r="E359" s="1">
        <v>-9.1859376512169105E-2</v>
      </c>
      <c r="F359" s="1">
        <v>8.36410918270218E-4</v>
      </c>
      <c r="G359" s="1">
        <v>8.0497167147394397E-2</v>
      </c>
      <c r="H359">
        <v>0.85921171938976004</v>
      </c>
      <c r="I359">
        <v>5.5688233174041105E-4</v>
      </c>
    </row>
    <row r="360" spans="1:9" x14ac:dyDescent="0.25">
      <c r="A360">
        <v>8.3618760108947701</v>
      </c>
      <c r="B360" s="1">
        <v>5.6349939033122904</v>
      </c>
      <c r="C360" s="1">
        <v>4.7819881001123496</v>
      </c>
      <c r="D360" s="1">
        <v>5.3166211266938497</v>
      </c>
      <c r="E360" s="1">
        <v>-0.15040050197975199</v>
      </c>
      <c r="F360" s="1">
        <v>7.1665085935067297E-4</v>
      </c>
      <c r="G360" s="1">
        <v>7.98624688079939E-2</v>
      </c>
      <c r="H360">
        <v>0.81374831066833897</v>
      </c>
      <c r="I360">
        <v>1.5416170094601201E-3</v>
      </c>
    </row>
    <row r="361" spans="1:9" x14ac:dyDescent="0.25">
      <c r="A361">
        <v>10.1144403219223</v>
      </c>
      <c r="B361" s="1">
        <v>6.6176003887983201</v>
      </c>
      <c r="C361" s="1">
        <v>5.6991628910618504</v>
      </c>
      <c r="D361" s="1">
        <v>6.3960305650984202</v>
      </c>
      <c r="E361" s="1">
        <v>-0.22167570760692701</v>
      </c>
      <c r="F361" s="1">
        <v>6.3670218605894695E-4</v>
      </c>
      <c r="G361" s="1">
        <v>8.0571131907152094E-2</v>
      </c>
      <c r="H361">
        <v>0.76865349056023102</v>
      </c>
      <c r="I361">
        <v>4.0898297743716203E-3</v>
      </c>
    </row>
    <row r="362" spans="1:9" x14ac:dyDescent="0.25">
      <c r="A362">
        <v>12.024745345115599</v>
      </c>
      <c r="B362" s="1">
        <v>7.5702821053298299</v>
      </c>
      <c r="C362" s="1">
        <v>6.44522784260334</v>
      </c>
      <c r="D362" s="1">
        <v>7.1831896156525001</v>
      </c>
      <c r="E362" s="1">
        <v>-0.29946816616134703</v>
      </c>
      <c r="F362" s="1">
        <v>6.8120638144955202E-4</v>
      </c>
      <c r="G362" s="1">
        <v>8.3860436037631603E-2</v>
      </c>
      <c r="H362">
        <v>0.73202513774509403</v>
      </c>
      <c r="I362">
        <v>7.7657988767129999E-3</v>
      </c>
    </row>
    <row r="363" spans="1:9" x14ac:dyDescent="0.25">
      <c r="A363">
        <v>14.106971025466899</v>
      </c>
      <c r="B363" s="1">
        <v>8.4709944016965206</v>
      </c>
      <c r="C363" s="1">
        <v>6.9432567603362196</v>
      </c>
      <c r="D363" s="1">
        <v>7.6129662621372098</v>
      </c>
      <c r="E363" s="1">
        <v>-0.376883361017399</v>
      </c>
      <c r="F363" s="1">
        <v>8.9961398759619098E-4</v>
      </c>
      <c r="G363" s="1">
        <v>8.8735584691896505E-2</v>
      </c>
      <c r="H363">
        <v>0.70512097325722101</v>
      </c>
      <c r="I363">
        <v>1.0147935989597999E-2</v>
      </c>
    </row>
    <row r="364" spans="1:9" x14ac:dyDescent="0.25">
      <c r="A364">
        <v>16.3766205310821</v>
      </c>
      <c r="B364" s="1">
        <v>9.3054949827225997</v>
      </c>
      <c r="C364" s="1">
        <v>7.1732242806610804</v>
      </c>
      <c r="D364" s="1">
        <v>7.7002779227930498</v>
      </c>
      <c r="E364" s="1">
        <v>-0.44836049986974003</v>
      </c>
      <c r="F364" s="1">
        <v>1.2780787505917101E-3</v>
      </c>
      <c r="G364" s="1">
        <v>9.3096986010136204E-2</v>
      </c>
      <c r="H364">
        <v>0.68430094917766704</v>
      </c>
      <c r="I364">
        <v>9.4664233375221507E-3</v>
      </c>
    </row>
    <row r="365" spans="1:9" x14ac:dyDescent="0.25">
      <c r="A365">
        <v>18.850511312484699</v>
      </c>
      <c r="B365" s="1">
        <v>10.0676263905795</v>
      </c>
      <c r="C365" s="1">
        <v>7.16033640241948</v>
      </c>
      <c r="D365" s="1">
        <v>7.5090871686215701</v>
      </c>
      <c r="E365" s="1">
        <v>-0.51041609179543701</v>
      </c>
      <c r="F365" s="1">
        <v>1.6765102866285E-3</v>
      </c>
      <c r="G365" s="1">
        <v>9.5259562138290205E-2</v>
      </c>
      <c r="H365">
        <v>0.66586720096724505</v>
      </c>
      <c r="I365">
        <v>6.1349321975200499E-3</v>
      </c>
    </row>
    <row r="366" spans="1:9" x14ac:dyDescent="0.25">
      <c r="A366">
        <v>21.5470612049102</v>
      </c>
      <c r="B366" s="1">
        <v>10.757450517240301</v>
      </c>
      <c r="C366" s="1">
        <v>6.9530126220633903</v>
      </c>
      <c r="D366" s="1">
        <v>7.1188810355863401</v>
      </c>
      <c r="E366" s="1">
        <v>-0.56143937598476601</v>
      </c>
      <c r="F366" s="1">
        <v>1.9645301094555001E-3</v>
      </c>
      <c r="G366" s="1">
        <v>9.4616143104304495E-2</v>
      </c>
      <c r="H366">
        <v>0.64787548411814599</v>
      </c>
      <c r="I366">
        <v>1.6500882710776101E-3</v>
      </c>
    </row>
    <row r="367" spans="1:9" x14ac:dyDescent="0.25">
      <c r="A367">
        <v>24.4862973690032</v>
      </c>
      <c r="B367" s="1">
        <v>11.3789094052942</v>
      </c>
      <c r="C367" s="1">
        <v>6.6048022354370897</v>
      </c>
      <c r="D367" s="1">
        <v>6.6031670831206997</v>
      </c>
      <c r="E367" s="1">
        <v>-0.60109495730083795</v>
      </c>
      <c r="F367" s="1">
        <v>2.1771582877079501E-3</v>
      </c>
      <c r="G367" s="1">
        <v>9.1397341109698202E-2</v>
      </c>
      <c r="H367">
        <v>0.62963558863445401</v>
      </c>
      <c r="I367">
        <v>-2.6759114867138702E-3</v>
      </c>
    </row>
    <row r="368" spans="1:9" x14ac:dyDescent="0.25">
      <c r="A368">
        <v>27.690052986145002</v>
      </c>
      <c r="B368" s="1">
        <v>11.9379795975716</v>
      </c>
      <c r="C368" s="1">
        <v>6.1647750417468998</v>
      </c>
      <c r="D368" s="1">
        <v>6.02135798743309</v>
      </c>
      <c r="E368" s="1">
        <v>-0.62977043279726996</v>
      </c>
      <c r="F368" s="1">
        <v>2.4181395661647298E-3</v>
      </c>
      <c r="G368" s="1">
        <v>8.6214193325448302E-2</v>
      </c>
      <c r="H368">
        <v>0.61110689148285902</v>
      </c>
      <c r="I368">
        <v>-6.12660541445213E-3</v>
      </c>
    </row>
    <row r="369" spans="1:9" x14ac:dyDescent="0.25">
      <c r="A369">
        <v>31.1821639537811</v>
      </c>
      <c r="B369" s="1">
        <v>12.4415326900514</v>
      </c>
      <c r="C369" s="1">
        <v>5.6737106354412301</v>
      </c>
      <c r="D369" s="1">
        <v>5.4173660240815602</v>
      </c>
      <c r="E369" s="1">
        <v>-0.64820921966348499</v>
      </c>
      <c r="F369" s="1">
        <v>2.59679880425423E-3</v>
      </c>
      <c r="G369" s="1">
        <v>7.9734528704848401E-2</v>
      </c>
      <c r="H369">
        <v>0.59248254693481495</v>
      </c>
      <c r="I369">
        <v>-8.4631642504380804E-3</v>
      </c>
    </row>
    <row r="370" spans="1:9" x14ac:dyDescent="0.25">
      <c r="A370">
        <v>34.988558292388902</v>
      </c>
      <c r="B370" s="1">
        <v>12.896659281078099</v>
      </c>
      <c r="C370" s="1">
        <v>5.1631331852695403</v>
      </c>
      <c r="D370" s="1">
        <v>4.8216386263227298</v>
      </c>
      <c r="E370" s="1">
        <v>-0.65725741373568702</v>
      </c>
      <c r="F370" s="1">
        <v>2.4787409598891201E-3</v>
      </c>
      <c r="G370" s="1">
        <v>7.2541825621363507E-2</v>
      </c>
      <c r="H370">
        <v>0.57429809980648505</v>
      </c>
      <c r="I370">
        <v>-9.7478902131859502E-3</v>
      </c>
    </row>
    <row r="371" spans="1:9" x14ac:dyDescent="0.25">
      <c r="A371">
        <v>39.137506484985302</v>
      </c>
      <c r="B371" s="1">
        <v>13.310188118341699</v>
      </c>
      <c r="C371" s="1">
        <v>4.6559039690255304</v>
      </c>
      <c r="D371" s="1">
        <v>4.2540845026071201</v>
      </c>
      <c r="E371" s="1">
        <v>-0.65779714485881602</v>
      </c>
      <c r="F371" s="1">
        <v>2.0461346507220902E-3</v>
      </c>
      <c r="G371" s="1">
        <v>6.5022056041283305E-2</v>
      </c>
      <c r="H371">
        <v>0.55717832189156502</v>
      </c>
      <c r="I371">
        <v>-1.0130934769567401E-2</v>
      </c>
    </row>
    <row r="372" spans="1:9" x14ac:dyDescent="0.25">
      <c r="A372">
        <v>43.659898638725203</v>
      </c>
      <c r="B372" s="1">
        <v>13.688422661248</v>
      </c>
      <c r="C372" s="1">
        <v>4.16732754843542</v>
      </c>
      <c r="D372" s="1">
        <v>3.7267351683371599</v>
      </c>
      <c r="E372" s="1">
        <v>-0.65051609143969102</v>
      </c>
      <c r="F372" s="1">
        <v>1.61323749022573E-3</v>
      </c>
      <c r="G372" s="1">
        <v>5.7448022998768701E-2</v>
      </c>
      <c r="H372">
        <v>0.54153241937396102</v>
      </c>
      <c r="I372">
        <v>-9.8033617896606806E-3</v>
      </c>
    </row>
    <row r="373" spans="1:9" x14ac:dyDescent="0.25">
      <c r="A373">
        <v>48.589280247688201</v>
      </c>
      <c r="B373" s="1">
        <v>14.036983970526</v>
      </c>
      <c r="C373" s="1">
        <v>3.7069703061497399</v>
      </c>
      <c r="D373" s="1">
        <v>3.2453533811078699</v>
      </c>
      <c r="E373" s="1">
        <v>-0.63602906776256896</v>
      </c>
      <c r="F373" s="1">
        <v>1.46367339886442E-3</v>
      </c>
      <c r="G373" s="1">
        <v>4.9999157524232299E-2</v>
      </c>
      <c r="H373">
        <v>0.52725644972580799</v>
      </c>
      <c r="I373">
        <v>-8.9519969053463502E-3</v>
      </c>
    </row>
    <row r="374" spans="1:9" x14ac:dyDescent="0.25">
      <c r="A374">
        <v>53.962334990501397</v>
      </c>
      <c r="B374" s="1">
        <v>14.3607345334919</v>
      </c>
      <c r="C374" s="1">
        <v>3.2800257514245401</v>
      </c>
      <c r="D374" s="1">
        <v>2.8119887418931602</v>
      </c>
      <c r="E374" s="1">
        <v>-0.61478736460269401</v>
      </c>
      <c r="F374" s="1">
        <v>1.46961165941126E-3</v>
      </c>
      <c r="G374" s="1">
        <v>4.2853309427695302E-2</v>
      </c>
      <c r="H374">
        <v>0.51452989150513695</v>
      </c>
      <c r="I374">
        <v>-7.7895339586193197E-3</v>
      </c>
    </row>
    <row r="375" spans="1:9" x14ac:dyDescent="0.25">
      <c r="A375">
        <v>59.818929433822603</v>
      </c>
      <c r="B375" s="1">
        <v>14.6635259352358</v>
      </c>
      <c r="C375" s="1">
        <v>2.8882860130179302</v>
      </c>
      <c r="D375" s="1">
        <v>2.4259229074103601</v>
      </c>
      <c r="E375" s="1">
        <v>-0.58710948482298697</v>
      </c>
      <c r="F375" s="1">
        <v>7.8927266300588895E-4</v>
      </c>
      <c r="G375" s="1">
        <v>3.6145674752037102E-2</v>
      </c>
      <c r="H375">
        <v>0.50360015531622904</v>
      </c>
      <c r="I375">
        <v>-6.5213537719381503E-3</v>
      </c>
    </row>
    <row r="376" spans="1:9" x14ac:dyDescent="0.25">
      <c r="A376">
        <v>66.202640533447195</v>
      </c>
      <c r="B376" s="1">
        <v>14.9478576592834</v>
      </c>
      <c r="C376" s="1">
        <v>2.5312722766429898</v>
      </c>
      <c r="D376" s="1">
        <v>2.0844546416732799</v>
      </c>
      <c r="E376" s="1">
        <v>-0.55313933067582199</v>
      </c>
      <c r="F376" s="1">
        <v>-2.8196391245941601E-4</v>
      </c>
      <c r="G376" s="1">
        <v>2.9924244409500401E-2</v>
      </c>
      <c r="H376">
        <v>0.49336411195916802</v>
      </c>
      <c r="I376">
        <v>-5.2510082857994498E-3</v>
      </c>
    </row>
    <row r="377" spans="1:9" x14ac:dyDescent="0.25">
      <c r="A377">
        <v>73.160880804061804</v>
      </c>
      <c r="B377" s="1">
        <v>15.214791391018201</v>
      </c>
      <c r="C377" s="1">
        <v>2.2059837416964001</v>
      </c>
      <c r="D377" s="1">
        <v>1.78270196392541</v>
      </c>
      <c r="E377" s="1">
        <v>-0.51303977755804298</v>
      </c>
      <c r="F377" s="1">
        <v>-8.2107907697553603E-4</v>
      </c>
      <c r="G377" s="1">
        <v>2.4306248248325401E-2</v>
      </c>
      <c r="H377">
        <v>0.48348721366549802</v>
      </c>
      <c r="I377">
        <v>-4.0880054508552303E-3</v>
      </c>
    </row>
    <row r="378" spans="1:9" x14ac:dyDescent="0.25">
      <c r="A378">
        <v>80.745358765125204</v>
      </c>
      <c r="B378" s="1">
        <v>15.4647254608305</v>
      </c>
      <c r="C378" s="1">
        <v>1.9069129710442201</v>
      </c>
      <c r="D378" s="1">
        <v>1.5142307722022199</v>
      </c>
      <c r="E378" s="1">
        <v>-0.46664655178491699</v>
      </c>
      <c r="F378" s="1">
        <v>-5.02748287793034E-4</v>
      </c>
      <c r="G378" s="1">
        <v>1.9410401563218299E-2</v>
      </c>
      <c r="H378">
        <v>0.47569539029336899</v>
      </c>
      <c r="I378">
        <v>-3.1155832828864099E-3</v>
      </c>
    </row>
    <row r="379" spans="1:9" x14ac:dyDescent="0.25">
      <c r="A379">
        <v>89.012441039085303</v>
      </c>
      <c r="B379" s="1">
        <v>15.697585280958</v>
      </c>
      <c r="C379" s="1">
        <v>1.63024694584601</v>
      </c>
      <c r="D379" s="1">
        <v>1.2736432843952501</v>
      </c>
      <c r="E379" s="1">
        <v>-0.41372830894434998</v>
      </c>
      <c r="F379" s="1">
        <v>1.0589068214718E-4</v>
      </c>
      <c r="G379" s="1">
        <v>1.52158243723262E-2</v>
      </c>
      <c r="H379">
        <v>0.47123939678184101</v>
      </c>
      <c r="I379">
        <v>-2.3173927472426802E-3</v>
      </c>
    </row>
    <row r="380" spans="1:9" x14ac:dyDescent="0.25">
      <c r="A380">
        <v>98.0235546827316</v>
      </c>
      <c r="B380" s="1">
        <v>15.9116283543141</v>
      </c>
      <c r="C380" s="1">
        <v>1.37516816621791</v>
      </c>
      <c r="D380" s="1">
        <v>1.0576356026485401</v>
      </c>
      <c r="E380" s="1">
        <v>-0.35430409184949102</v>
      </c>
      <c r="F380" s="1">
        <v>1.1126906137716799E-3</v>
      </c>
      <c r="G380" s="1">
        <v>1.16610921738283E-2</v>
      </c>
      <c r="H380">
        <v>0.46892417459272001</v>
      </c>
      <c r="I380">
        <v>-1.6726278217966599E-3</v>
      </c>
    </row>
    <row r="381" spans="1:9" x14ac:dyDescent="0.25">
      <c r="A381">
        <v>107.845674455165</v>
      </c>
      <c r="B381" s="1">
        <v>16.102677766207002</v>
      </c>
      <c r="C381" s="1">
        <v>1.1424975981244601</v>
      </c>
      <c r="D381" s="1">
        <v>0.864805973544856</v>
      </c>
      <c r="E381" s="1">
        <v>-0.288346020118246</v>
      </c>
      <c r="F381" s="1">
        <v>1.97539614736275E-3</v>
      </c>
      <c r="G381" s="1">
        <v>8.7744364187902005E-3</v>
      </c>
      <c r="H381">
        <v>0.47042264308276799</v>
      </c>
      <c r="I381">
        <v>-1.1970685875047099E-3</v>
      </c>
    </row>
    <row r="382" spans="1:9" x14ac:dyDescent="0.25">
      <c r="A382">
        <v>118.551787734031</v>
      </c>
      <c r="B382" s="1">
        <v>16.263988878551299</v>
      </c>
      <c r="C382" s="1">
        <v>0.93856496507578402</v>
      </c>
      <c r="D382" s="1">
        <v>0.69966535594786705</v>
      </c>
      <c r="E382" s="1">
        <v>-0.21542625212975</v>
      </c>
      <c r="F382" s="1">
        <v>2.4145257013322499E-3</v>
      </c>
      <c r="G382" s="1">
        <v>6.5425389888016097E-3</v>
      </c>
      <c r="H382">
        <v>0.47786681547966198</v>
      </c>
      <c r="I382">
        <v>-8.6127654081006103E-4</v>
      </c>
    </row>
    <row r="383" spans="1:9" x14ac:dyDescent="0.25">
      <c r="A383">
        <v>130.22144660353601</v>
      </c>
      <c r="B383" s="1">
        <v>16.386052545133399</v>
      </c>
      <c r="C383" s="1">
        <v>0.77731422708347897</v>
      </c>
      <c r="D383" s="1">
        <v>0.57157344006312505</v>
      </c>
      <c r="E383" s="1">
        <v>-0.13508656947955699</v>
      </c>
      <c r="F383" s="1">
        <v>2.3235842218296502E-3</v>
      </c>
      <c r="G383" s="1">
        <v>5.0106481306959501E-3</v>
      </c>
      <c r="H383">
        <v>0.49241278005275801</v>
      </c>
      <c r="I383">
        <v>-6.6005138928158899E-4</v>
      </c>
    </row>
    <row r="384" spans="1:9" x14ac:dyDescent="0.25">
      <c r="A384">
        <v>143.15376933664001</v>
      </c>
      <c r="B384" s="1">
        <v>16.456572893980301</v>
      </c>
      <c r="C384" s="1">
        <v>0.68226034825056503</v>
      </c>
      <c r="D384" s="1">
        <v>0.49647991849475098</v>
      </c>
      <c r="E384" s="1">
        <v>-4.5402983066321401E-2</v>
      </c>
      <c r="F384" s="1">
        <v>2.6215143802309801E-3</v>
      </c>
      <c r="G384" s="1">
        <v>4.2393711342107602E-3</v>
      </c>
      <c r="H384">
        <v>0.50064997560467195</v>
      </c>
      <c r="I384">
        <v>-6.0082878551353798E-4</v>
      </c>
    </row>
    <row r="385" spans="1:9" x14ac:dyDescent="0.25">
      <c r="A385" t="s">
        <v>18</v>
      </c>
      <c r="B385" s="1" t="s">
        <v>9</v>
      </c>
      <c r="C385" s="1" t="s">
        <v>32</v>
      </c>
      <c r="D385" s="1" t="s">
        <v>33</v>
      </c>
      <c r="E385" s="1" t="s">
        <v>34</v>
      </c>
      <c r="F385" s="1" t="s">
        <v>35</v>
      </c>
      <c r="G385" s="1" t="s">
        <v>30</v>
      </c>
      <c r="H385" t="s">
        <v>36</v>
      </c>
      <c r="I385" t="s">
        <v>31</v>
      </c>
    </row>
    <row r="386" spans="1:9" x14ac:dyDescent="0.25">
      <c r="A386">
        <v>-143.38788986206001</v>
      </c>
      <c r="B386" s="1">
        <v>-101.812158183379</v>
      </c>
      <c r="C386" s="1">
        <v>6.1484447831929804E-3</v>
      </c>
      <c r="D386" s="1">
        <v>0</v>
      </c>
      <c r="E386" s="1">
        <v>0</v>
      </c>
      <c r="F386" s="1">
        <v>0</v>
      </c>
      <c r="G386" s="1">
        <v>7.4845690162972299E-7</v>
      </c>
      <c r="H386">
        <v>7.35593779353194E-2</v>
      </c>
      <c r="I386" s="1">
        <v>0</v>
      </c>
    </row>
    <row r="387" spans="1:9" x14ac:dyDescent="0.25">
      <c r="A387">
        <v>-130.70960640907199</v>
      </c>
      <c r="B387" s="1">
        <v>-92.810157970709596</v>
      </c>
      <c r="C387" s="1">
        <v>6.3691708091937402E-3</v>
      </c>
      <c r="D387" s="1">
        <v>0</v>
      </c>
      <c r="E387" s="1">
        <v>0</v>
      </c>
      <c r="F387" s="1">
        <v>0</v>
      </c>
      <c r="G387" s="1">
        <v>1.23304603810825E-6</v>
      </c>
      <c r="H387">
        <v>0.38864626627848697</v>
      </c>
      <c r="I387" s="1">
        <v>0</v>
      </c>
    </row>
    <row r="388" spans="1:9" x14ac:dyDescent="0.25">
      <c r="A388">
        <v>-119.078135490417</v>
      </c>
      <c r="B388" s="1">
        <v>-84.551089958472105</v>
      </c>
      <c r="C388" s="1">
        <v>6.8542473806161202E-3</v>
      </c>
      <c r="D388" s="1">
        <v>0</v>
      </c>
      <c r="E388" s="1">
        <v>0</v>
      </c>
      <c r="F388" s="1">
        <v>0</v>
      </c>
      <c r="G388" s="1">
        <v>2.1820284355400499E-6</v>
      </c>
      <c r="H388">
        <v>0.59210666536885503</v>
      </c>
      <c r="I388" s="1">
        <v>0</v>
      </c>
    </row>
    <row r="389" spans="1:9" x14ac:dyDescent="0.25">
      <c r="A389">
        <v>-108.407056331634</v>
      </c>
      <c r="B389" s="1">
        <v>-76.973703311009203</v>
      </c>
      <c r="C389" s="1">
        <v>7.70026377266219E-3</v>
      </c>
      <c r="D389" s="1">
        <v>0</v>
      </c>
      <c r="E389" s="1">
        <v>0</v>
      </c>
      <c r="F389" s="1">
        <v>0</v>
      </c>
      <c r="G389" s="1">
        <v>3.6648402087569E-6</v>
      </c>
      <c r="H389">
        <v>0.68925249126146404</v>
      </c>
      <c r="I389" s="1">
        <v>0</v>
      </c>
    </row>
    <row r="390" spans="1:9" x14ac:dyDescent="0.25">
      <c r="A390">
        <v>-98.617064952850299</v>
      </c>
      <c r="B390" s="1">
        <v>-70.021768377346802</v>
      </c>
      <c r="C390" s="1">
        <v>9.0303593353126994E-3</v>
      </c>
      <c r="D390" s="1">
        <v>0</v>
      </c>
      <c r="E390" s="1">
        <v>0</v>
      </c>
      <c r="F390" s="1">
        <v>0</v>
      </c>
      <c r="G390" s="1">
        <v>5.8598262362552399E-6</v>
      </c>
      <c r="H390">
        <v>0.73435143866225505</v>
      </c>
      <c r="I390" s="1">
        <v>0</v>
      </c>
    </row>
    <row r="391" spans="1:9" x14ac:dyDescent="0.25">
      <c r="A391">
        <v>-89.635455608367906</v>
      </c>
      <c r="B391" s="1">
        <v>-63.643702165408001</v>
      </c>
      <c r="C391" s="1">
        <v>1.0987471857021E-2</v>
      </c>
      <c r="D391" s="1">
        <v>0</v>
      </c>
      <c r="E391" s="1">
        <v>0</v>
      </c>
      <c r="F391" s="1">
        <v>0</v>
      </c>
      <c r="G391" s="1">
        <v>9.0731285545564308E-6</v>
      </c>
      <c r="H391">
        <v>0.754949206020886</v>
      </c>
      <c r="I391" s="1">
        <v>0</v>
      </c>
    </row>
    <row r="392" spans="1:9" x14ac:dyDescent="0.25">
      <c r="A392">
        <v>-81.395459175109806</v>
      </c>
      <c r="B392" s="1">
        <v>-57.792174772543703</v>
      </c>
      <c r="C392" s="1">
        <v>1.37368952176188E-2</v>
      </c>
      <c r="D392" s="1">
        <v>0</v>
      </c>
      <c r="E392" s="1">
        <v>0</v>
      </c>
      <c r="F392" s="1">
        <v>0</v>
      </c>
      <c r="G392" s="1">
        <v>1.3765073061871001E-5</v>
      </c>
      <c r="H392">
        <v>0.76391988646435005</v>
      </c>
      <c r="I392" s="1">
        <v>0</v>
      </c>
    </row>
    <row r="393" spans="1:9" x14ac:dyDescent="0.25">
      <c r="A393">
        <v>-73.835813999175997</v>
      </c>
      <c r="B393" s="1">
        <v>-52.423753903431702</v>
      </c>
      <c r="C393" s="1">
        <v>1.7472230267145498E-2</v>
      </c>
      <c r="D393" s="1">
        <v>0</v>
      </c>
      <c r="E393" s="1">
        <v>0</v>
      </c>
      <c r="F393" s="1">
        <v>0</v>
      </c>
      <c r="G393" s="1">
        <v>2.05851158572012E-5</v>
      </c>
      <c r="H393">
        <v>0.76747550133498099</v>
      </c>
      <c r="I393" s="1">
        <v>0</v>
      </c>
    </row>
    <row r="394" spans="1:9" x14ac:dyDescent="0.25">
      <c r="A394">
        <v>-66.900336742401095</v>
      </c>
      <c r="B394" s="1">
        <v>-47.498584301395297</v>
      </c>
      <c r="C394" s="1">
        <v>2.2421400177904598E-2</v>
      </c>
      <c r="D394" s="1">
        <v>0</v>
      </c>
      <c r="E394" s="1">
        <v>0</v>
      </c>
      <c r="F394" s="1">
        <v>0</v>
      </c>
      <c r="G394" s="1">
        <v>3.0415768639344599E-5</v>
      </c>
      <c r="H394">
        <v>0.76863994789227097</v>
      </c>
      <c r="I394" s="1">
        <v>0</v>
      </c>
    </row>
    <row r="395" spans="1:9" x14ac:dyDescent="0.25">
      <c r="A395">
        <v>-60.537528991699197</v>
      </c>
      <c r="B395" s="1">
        <v>-42.980094158275001</v>
      </c>
      <c r="C395" s="1">
        <v>2.8851010768789799E-2</v>
      </c>
      <c r="D395" s="1">
        <v>0</v>
      </c>
      <c r="E395" s="1">
        <v>0</v>
      </c>
      <c r="F395" s="1">
        <v>0</v>
      </c>
      <c r="G395" s="1">
        <v>4.44258258752983E-5</v>
      </c>
      <c r="H395">
        <v>0.76884968931156195</v>
      </c>
      <c r="I395" s="1">
        <v>0</v>
      </c>
    </row>
    <row r="396" spans="1:9" x14ac:dyDescent="0.25">
      <c r="A396">
        <v>-54.700112342834402</v>
      </c>
      <c r="B396" s="1">
        <v>-38.834736437721098</v>
      </c>
      <c r="C396" s="1">
        <v>3.7068288570480903E-2</v>
      </c>
      <c r="D396" s="1">
        <v>0</v>
      </c>
      <c r="E396" s="1">
        <v>0</v>
      </c>
      <c r="F396" s="1">
        <v>0</v>
      </c>
      <c r="G396" s="1">
        <v>6.4134360555838596E-5</v>
      </c>
      <c r="H396">
        <v>0.76876150642026797</v>
      </c>
      <c r="I396" s="1">
        <v>0</v>
      </c>
    </row>
    <row r="397" spans="1:9" x14ac:dyDescent="0.25">
      <c r="A397">
        <v>-49.344670772552398</v>
      </c>
      <c r="B397" s="1">
        <v>-35.0317159157227</v>
      </c>
      <c r="C397" s="1">
        <v>4.7420527645158403E-2</v>
      </c>
      <c r="D397" s="1">
        <v>0</v>
      </c>
      <c r="E397" s="1">
        <v>0</v>
      </c>
      <c r="F397" s="1">
        <v>0</v>
      </c>
      <c r="G397" s="1">
        <v>9.1488897336278093E-5</v>
      </c>
      <c r="H397">
        <v>0.76867174085141698</v>
      </c>
      <c r="I397" s="1">
        <v>0</v>
      </c>
    </row>
    <row r="398" spans="1:9" x14ac:dyDescent="0.25">
      <c r="A398">
        <v>-44.431400299072202</v>
      </c>
      <c r="B398" s="1">
        <v>-31.542781287057199</v>
      </c>
      <c r="C398" s="1">
        <v>6.0292442315812801E-2</v>
      </c>
      <c r="D398" s="1">
        <v>0</v>
      </c>
      <c r="E398" s="1">
        <v>0</v>
      </c>
      <c r="F398" s="1">
        <v>0</v>
      </c>
      <c r="G398" s="1">
        <v>1.2896398876316399E-4</v>
      </c>
      <c r="H398">
        <v>0.76872852333914199</v>
      </c>
      <c r="I398" s="1">
        <v>0</v>
      </c>
    </row>
    <row r="399" spans="1:9" x14ac:dyDescent="0.25">
      <c r="A399">
        <v>-39.923822879791203</v>
      </c>
      <c r="B399" s="1">
        <v>-28.3420093368719</v>
      </c>
      <c r="C399" s="1">
        <v>7.6102071826881001E-2</v>
      </c>
      <c r="D399" s="1">
        <v>0</v>
      </c>
      <c r="E399" s="1">
        <v>0</v>
      </c>
      <c r="F399" s="1">
        <v>0</v>
      </c>
      <c r="G399" s="1">
        <v>1.7969023454268601E-4</v>
      </c>
      <c r="H399">
        <v>0.76903263076174</v>
      </c>
      <c r="I399" s="1">
        <v>0</v>
      </c>
    </row>
    <row r="400" spans="1:9" x14ac:dyDescent="0.25">
      <c r="A400">
        <v>-35.788428783416698</v>
      </c>
      <c r="B400" s="1">
        <v>-25.405612123383101</v>
      </c>
      <c r="C400" s="1">
        <v>9.5296102166912505E-2</v>
      </c>
      <c r="D400" s="1">
        <v>0</v>
      </c>
      <c r="E400" s="1">
        <v>0</v>
      </c>
      <c r="F400" s="1">
        <v>0</v>
      </c>
      <c r="G400" s="1">
        <v>2.4762979853036799E-4</v>
      </c>
      <c r="H400">
        <v>0.76968241751543098</v>
      </c>
      <c r="I400" s="1">
        <v>0</v>
      </c>
    </row>
    <row r="401" spans="1:9" x14ac:dyDescent="0.25">
      <c r="A401">
        <v>-31.994497776031402</v>
      </c>
      <c r="B401" s="1">
        <v>-22.7117626091446</v>
      </c>
      <c r="C401" s="1">
        <v>0.118345476731292</v>
      </c>
      <c r="D401" s="1">
        <v>0</v>
      </c>
      <c r="E401" s="1">
        <v>0</v>
      </c>
      <c r="F401" s="1">
        <v>0</v>
      </c>
      <c r="G401" s="1">
        <v>3.3782188663092599E-4</v>
      </c>
      <c r="H401">
        <v>0.77079121774108705</v>
      </c>
      <c r="I401" s="1">
        <v>0</v>
      </c>
    </row>
    <row r="402" spans="1:9" x14ac:dyDescent="0.25">
      <c r="A402">
        <v>-28.5138309001922</v>
      </c>
      <c r="B402" s="1">
        <v>-20.2404321946184</v>
      </c>
      <c r="C402" s="1">
        <v>0.145742069503739</v>
      </c>
      <c r="D402" s="1">
        <v>0</v>
      </c>
      <c r="E402" s="1">
        <v>0</v>
      </c>
      <c r="F402" s="1">
        <v>0</v>
      </c>
      <c r="G402" s="1">
        <v>4.56729257219023E-4</v>
      </c>
      <c r="H402">
        <v>0.77249075023852698</v>
      </c>
      <c r="I402" s="1">
        <v>0</v>
      </c>
    </row>
    <row r="403" spans="1:9" x14ac:dyDescent="0.25">
      <c r="A403">
        <v>-25.320571660995402</v>
      </c>
      <c r="B403" s="1">
        <v>-17.9732449149693</v>
      </c>
      <c r="C403" s="1">
        <v>0.17799727180317801</v>
      </c>
      <c r="D403" s="1">
        <v>0</v>
      </c>
      <c r="E403" s="1">
        <v>0</v>
      </c>
      <c r="F403" s="1">
        <v>0</v>
      </c>
      <c r="G403" s="1">
        <v>6.1272425336383603E-4</v>
      </c>
      <c r="H403">
        <v>0.77492525053206596</v>
      </c>
      <c r="I403" s="1">
        <v>0</v>
      </c>
    </row>
    <row r="404" spans="1:9" x14ac:dyDescent="0.25">
      <c r="A404">
        <v>-22.3909378051757</v>
      </c>
      <c r="B404" s="1">
        <v>-15.8933403652142</v>
      </c>
      <c r="C404" s="1">
        <v>0.215642951645349</v>
      </c>
      <c r="D404" s="1">
        <v>0</v>
      </c>
      <c r="E404" s="1">
        <v>0</v>
      </c>
      <c r="F404" s="1">
        <v>0</v>
      </c>
      <c r="G404" s="1">
        <v>8.1675623471099302E-4</v>
      </c>
      <c r="H404">
        <v>0.77823803789340995</v>
      </c>
      <c r="I404" s="1">
        <v>0</v>
      </c>
    </row>
    <row r="405" spans="1:9" x14ac:dyDescent="0.25">
      <c r="A405">
        <v>-19.7032213211059</v>
      </c>
      <c r="B405" s="1">
        <v>-13.985249321160801</v>
      </c>
      <c r="C405" s="1">
        <v>0.25923531182070197</v>
      </c>
      <c r="D405" s="1">
        <v>0</v>
      </c>
      <c r="E405" s="1">
        <v>0</v>
      </c>
      <c r="F405" s="1">
        <v>0</v>
      </c>
      <c r="G405" s="1">
        <v>1.0832404639094699E-3</v>
      </c>
      <c r="H405">
        <v>0.78255229970437401</v>
      </c>
      <c r="I405" s="1">
        <v>0</v>
      </c>
    </row>
    <row r="406" spans="1:9" x14ac:dyDescent="0.25">
      <c r="A406">
        <v>-17.237430810928299</v>
      </c>
      <c r="B406" s="1">
        <v>-12.2347788821886</v>
      </c>
      <c r="C406" s="1">
        <v>0.309361213428474</v>
      </c>
      <c r="D406" s="1">
        <v>0</v>
      </c>
      <c r="E406" s="1">
        <v>0</v>
      </c>
      <c r="F406" s="1">
        <v>0</v>
      </c>
      <c r="G406" s="1">
        <v>1.4312054999899701E-3</v>
      </c>
      <c r="H406">
        <v>0.78794953241870602</v>
      </c>
      <c r="I406" s="1">
        <v>0</v>
      </c>
    </row>
    <row r="407" spans="1:9" x14ac:dyDescent="0.25">
      <c r="A407">
        <v>-14.975237846374499</v>
      </c>
      <c r="B407" s="1">
        <v>-10.6289083261023</v>
      </c>
      <c r="C407" s="1">
        <v>0.36664663476403703</v>
      </c>
      <c r="D407" s="1">
        <v>0</v>
      </c>
      <c r="E407" s="1">
        <v>0</v>
      </c>
      <c r="F407" s="1">
        <v>0</v>
      </c>
      <c r="G407" s="1">
        <v>1.8857263925195801E-3</v>
      </c>
      <c r="H407">
        <v>0.79445072367208802</v>
      </c>
      <c r="I407" s="1">
        <v>0</v>
      </c>
    </row>
    <row r="408" spans="1:9" x14ac:dyDescent="0.25">
      <c r="A408">
        <v>-12.8998160362243</v>
      </c>
      <c r="B408" s="1">
        <v>-9.1556897249053701</v>
      </c>
      <c r="C408" s="1">
        <v>0.43176591420069499</v>
      </c>
      <c r="D408" s="1">
        <v>0</v>
      </c>
      <c r="E408" s="1">
        <v>0</v>
      </c>
      <c r="F408" s="1">
        <v>0</v>
      </c>
      <c r="G408" s="1">
        <v>2.47966402957786E-3</v>
      </c>
      <c r="H408">
        <v>0.80200561671979498</v>
      </c>
      <c r="I408" s="1">
        <v>0</v>
      </c>
    </row>
    <row r="409" spans="1:9" x14ac:dyDescent="0.25">
      <c r="A409">
        <v>-10.995769500732401</v>
      </c>
      <c r="B409" s="1">
        <v>-7.8041650254260304</v>
      </c>
      <c r="C409" s="1">
        <v>0.50545058044281099</v>
      </c>
      <c r="D409" s="1">
        <v>0</v>
      </c>
      <c r="E409" s="1">
        <v>0</v>
      </c>
      <c r="F409" s="1">
        <v>0</v>
      </c>
      <c r="G409" s="1">
        <v>3.2557289177441301E-3</v>
      </c>
      <c r="H409">
        <v>0.81049358675817795</v>
      </c>
      <c r="I409" s="1">
        <v>0</v>
      </c>
    </row>
    <row r="410" spans="1:9" x14ac:dyDescent="0.25">
      <c r="A410">
        <v>-9.2489361763000399</v>
      </c>
      <c r="B410" s="1">
        <v>-6.5642775755356597</v>
      </c>
      <c r="C410" s="1">
        <v>0.58849622279285496</v>
      </c>
      <c r="D410" s="1">
        <v>0</v>
      </c>
      <c r="E410" s="1">
        <v>0</v>
      </c>
      <c r="F410" s="1">
        <v>0</v>
      </c>
      <c r="G410" s="1">
        <v>4.26888693426462E-3</v>
      </c>
      <c r="H410">
        <v>0.81973676329511502</v>
      </c>
      <c r="I410" s="1">
        <v>0</v>
      </c>
    </row>
    <row r="411" spans="1:9" x14ac:dyDescent="0.25">
      <c r="A411">
        <v>-7.6463341712951598</v>
      </c>
      <c r="B411" s="1">
        <v>-5.42680467776764</v>
      </c>
      <c r="C411" s="1">
        <v>0.68176568902345003</v>
      </c>
      <c r="D411" s="1">
        <v>0</v>
      </c>
      <c r="E411" s="1">
        <v>0</v>
      </c>
      <c r="F411" s="1">
        <v>0</v>
      </c>
      <c r="G411" s="1">
        <v>5.5891319266129303E-3</v>
      </c>
      <c r="H411">
        <v>0.82952140266806196</v>
      </c>
      <c r="I411" s="1">
        <v>0</v>
      </c>
    </row>
    <row r="412" spans="1:9" x14ac:dyDescent="0.25">
      <c r="A412">
        <v>-6.1760544776916504</v>
      </c>
      <c r="B412" s="1">
        <v>-4.3832853820155897</v>
      </c>
      <c r="C412" s="1">
        <v>0.78618846643439499</v>
      </c>
      <c r="D412" s="1">
        <v>0</v>
      </c>
      <c r="E412" s="1">
        <v>0</v>
      </c>
      <c r="F412" s="1">
        <v>0</v>
      </c>
      <c r="G412" s="1">
        <v>7.30466273084857E-3</v>
      </c>
      <c r="H412">
        <v>0.83962260342267703</v>
      </c>
      <c r="I412" s="1">
        <v>0</v>
      </c>
    </row>
    <row r="413" spans="1:9" x14ac:dyDescent="0.25">
      <c r="A413">
        <v>-4.8271894454956001</v>
      </c>
      <c r="B413" s="1">
        <v>-3.4259562130998402</v>
      </c>
      <c r="C413" s="1">
        <v>0.90275465747436001</v>
      </c>
      <c r="D413" s="1">
        <v>0</v>
      </c>
      <c r="E413" s="1">
        <v>0</v>
      </c>
      <c r="F413" s="1">
        <v>0</v>
      </c>
      <c r="G413" s="1">
        <v>9.5255134935041397E-3</v>
      </c>
      <c r="H413">
        <v>0.84982627706986302</v>
      </c>
      <c r="I413" s="1">
        <v>0</v>
      </c>
    </row>
    <row r="414" spans="1:9" x14ac:dyDescent="0.25">
      <c r="A414">
        <v>-3.5896897315978999</v>
      </c>
      <c r="B414" s="1">
        <v>-2.5476980071495801</v>
      </c>
      <c r="C414" s="1">
        <v>1.03250392129302</v>
      </c>
      <c r="D414" s="1">
        <v>0</v>
      </c>
      <c r="E414" s="1">
        <v>0</v>
      </c>
      <c r="F414" s="1">
        <v>0</v>
      </c>
      <c r="G414" s="1">
        <v>1.23876575842132E-2</v>
      </c>
      <c r="H414">
        <v>0.85994468201316399</v>
      </c>
      <c r="I414" s="1">
        <v>0</v>
      </c>
    </row>
    <row r="415" spans="1:9" x14ac:dyDescent="0.25">
      <c r="A415">
        <v>-2.4543642997741602</v>
      </c>
      <c r="B415" s="1">
        <v>-1.7419756066035099</v>
      </c>
      <c r="C415" s="1">
        <v>1.17651024774386</v>
      </c>
      <c r="D415" s="1">
        <v>0</v>
      </c>
      <c r="E415" s="1">
        <v>0</v>
      </c>
      <c r="F415" s="1">
        <v>0</v>
      </c>
      <c r="G415" s="1">
        <v>1.6057465069343298E-2</v>
      </c>
      <c r="H415">
        <v>0.86982340275038905</v>
      </c>
      <c r="I415" s="1">
        <v>0</v>
      </c>
    </row>
    <row r="416" spans="1:9" x14ac:dyDescent="0.25">
      <c r="A416">
        <v>-1.41280889511108</v>
      </c>
      <c r="B416" s="1">
        <v>-1.0027981858681501</v>
      </c>
      <c r="C416" s="1">
        <v>1.3358633890948099</v>
      </c>
      <c r="D416" s="1">
        <v>0</v>
      </c>
      <c r="E416" s="1">
        <v>0</v>
      </c>
      <c r="F416" s="1">
        <v>0</v>
      </c>
      <c r="G416" s="1">
        <v>2.0735551713023499E-2</v>
      </c>
      <c r="H416">
        <v>0.879337577834711</v>
      </c>
      <c r="I416" s="1">
        <v>0</v>
      </c>
    </row>
    <row r="417" spans="1:9" x14ac:dyDescent="0.25">
      <c r="A417">
        <v>-0.45722723007202098</v>
      </c>
      <c r="B417" s="1">
        <v>-0.32466846816051698</v>
      </c>
      <c r="C417" s="1">
        <v>1.5116454227209</v>
      </c>
      <c r="D417" s="1">
        <v>0</v>
      </c>
      <c r="E417" s="1">
        <v>0</v>
      </c>
      <c r="F417" s="1">
        <v>0</v>
      </c>
      <c r="G417" s="1">
        <v>2.7186771295073402E-2</v>
      </c>
      <c r="H417">
        <v>0.89055293884406606</v>
      </c>
      <c r="I417" s="1">
        <v>0</v>
      </c>
    </row>
    <row r="418" spans="1:9" x14ac:dyDescent="0.25">
      <c r="A418">
        <v>0.49999952316284102</v>
      </c>
      <c r="B418" s="1">
        <v>0.35460704453479502</v>
      </c>
      <c r="C418" s="1">
        <v>1.7249447261528901</v>
      </c>
      <c r="D418" s="1">
        <v>0.176707405462289</v>
      </c>
      <c r="E418" s="1">
        <v>-2.34403935894688E-4</v>
      </c>
      <c r="F418" s="1">
        <v>2.8788367943927698E-4</v>
      </c>
      <c r="G418" s="1">
        <v>3.6679473156008099E-2</v>
      </c>
      <c r="H418">
        <v>0.90257739570079598</v>
      </c>
      <c r="I418" s="1">
        <v>2.9818027227666697E-7</v>
      </c>
    </row>
    <row r="419" spans="1:9" x14ac:dyDescent="0.25">
      <c r="A419">
        <v>1.5449970960617001</v>
      </c>
      <c r="B419" s="1">
        <v>1.0952444810439199</v>
      </c>
      <c r="C419" s="1">
        <v>2.0144798137262101</v>
      </c>
      <c r="D419" s="1">
        <v>0.62951102165121497</v>
      </c>
      <c r="E419" s="1">
        <v>-2.20926056453592E-3</v>
      </c>
      <c r="F419" s="1">
        <v>7.6378361390214795E-4</v>
      </c>
      <c r="G419" s="1">
        <v>4.8271262791276498E-2</v>
      </c>
      <c r="H419">
        <v>0.90840962569012695</v>
      </c>
      <c r="I419" s="1">
        <v>9.9401825379060802E-6</v>
      </c>
    </row>
    <row r="420" spans="1:9" x14ac:dyDescent="0.25">
      <c r="A420">
        <v>2.6840418577194201</v>
      </c>
      <c r="B420" s="1">
        <v>1.8982579175401799</v>
      </c>
      <c r="C420" s="1">
        <v>2.4116353857061701</v>
      </c>
      <c r="D420" s="1">
        <v>1.25835572924144</v>
      </c>
      <c r="E420" s="1">
        <v>-9.1155807605028706E-3</v>
      </c>
      <c r="F420" s="1">
        <v>1.11671719486071E-3</v>
      </c>
      <c r="G420" s="1">
        <v>5.9774516886504703E-2</v>
      </c>
      <c r="H420">
        <v>0.90564721031266904</v>
      </c>
      <c r="I420" s="1">
        <v>5.4275679404187997E-5</v>
      </c>
    </row>
    <row r="421" spans="1:9" x14ac:dyDescent="0.25">
      <c r="A421">
        <v>3.9256095886230402</v>
      </c>
      <c r="B421" s="1">
        <v>2.76251425482522</v>
      </c>
      <c r="C421" s="1">
        <v>2.94684561099711</v>
      </c>
      <c r="D421" s="1">
        <v>2.0965300298571901</v>
      </c>
      <c r="E421" s="1">
        <v>-2.4325117657669999E-2</v>
      </c>
      <c r="F421" s="1">
        <v>1.3390944611479201E-3</v>
      </c>
      <c r="G421" s="1">
        <v>7.0014454731863698E-2</v>
      </c>
      <c r="H421">
        <v>0.89488102352833998</v>
      </c>
      <c r="I421" s="1">
        <v>1.3897782735730201E-4</v>
      </c>
    </row>
    <row r="422" spans="1:9" x14ac:dyDescent="0.25">
      <c r="A422">
        <v>5.2789181470870901</v>
      </c>
      <c r="B422" s="1">
        <v>3.68174812086116</v>
      </c>
      <c r="C422" s="1">
        <v>3.6346609312022302</v>
      </c>
      <c r="D422" s="1">
        <v>3.1434800977247899</v>
      </c>
      <c r="E422" s="1">
        <v>-5.1864859845865502E-2</v>
      </c>
      <c r="F422" s="1">
        <v>1.43235499440578E-3</v>
      </c>
      <c r="G422" s="1">
        <v>7.7014902967716695E-2</v>
      </c>
      <c r="H422">
        <v>0.87438594001429804</v>
      </c>
      <c r="I422" s="1">
        <v>2.7940218673936902E-4</v>
      </c>
    </row>
    <row r="423" spans="1:9" x14ac:dyDescent="0.25">
      <c r="A423">
        <v>6.7540258169174097</v>
      </c>
      <c r="B423" s="1">
        <v>4.6428876135517196</v>
      </c>
      <c r="C423" s="1">
        <v>4.4529794702975698</v>
      </c>
      <c r="D423" s="1">
        <v>4.3355539833512102</v>
      </c>
      <c r="E423" s="1">
        <v>-9.4788202641054198E-2</v>
      </c>
      <c r="F423" s="1">
        <v>1.4150604524494901E-3</v>
      </c>
      <c r="G423" s="1">
        <v>8.0202863061552193E-2</v>
      </c>
      <c r="H423">
        <v>0.84330037206994302</v>
      </c>
      <c r="I423">
        <v>6.0604645882357598E-4</v>
      </c>
    </row>
    <row r="424" spans="1:9" x14ac:dyDescent="0.25">
      <c r="A424">
        <v>8.3618760108947701</v>
      </c>
      <c r="B424" s="1">
        <v>5.6257670585085</v>
      </c>
      <c r="C424" s="1">
        <v>5.3300180373917101</v>
      </c>
      <c r="D424" s="1">
        <v>5.5392120678939802</v>
      </c>
      <c r="E424" s="1">
        <v>-0.15345117578763001</v>
      </c>
      <c r="F424" s="1">
        <v>1.3340576247521301E-3</v>
      </c>
      <c r="G424" s="1">
        <v>8.1154817364100698E-2</v>
      </c>
      <c r="H424">
        <v>0.80417407264097296</v>
      </c>
      <c r="I424">
        <v>1.6404097566309001E-3</v>
      </c>
    </row>
    <row r="425" spans="1:9" x14ac:dyDescent="0.25">
      <c r="A425">
        <v>10.1144403219223</v>
      </c>
      <c r="B425" s="1">
        <v>6.6050678778458698</v>
      </c>
      <c r="C425" s="1">
        <v>6.1554337892884998</v>
      </c>
      <c r="D425" s="1">
        <v>6.5870104710777104</v>
      </c>
      <c r="E425" s="1">
        <v>-0.22457461493689501</v>
      </c>
      <c r="F425" s="1">
        <v>1.2621902474887999E-3</v>
      </c>
      <c r="G425" s="1">
        <v>8.2559542285032095E-2</v>
      </c>
      <c r="H425">
        <v>0.76426371461741704</v>
      </c>
      <c r="I425" s="1">
        <v>4.2359596992691201E-3</v>
      </c>
    </row>
    <row r="426" spans="1:9" x14ac:dyDescent="0.25">
      <c r="A426">
        <v>12.024745345115599</v>
      </c>
      <c r="B426" s="1">
        <v>7.5546430934239499</v>
      </c>
      <c r="C426" s="1">
        <v>6.8176638223958399</v>
      </c>
      <c r="D426" s="1">
        <v>7.3414119192990501</v>
      </c>
      <c r="E426" s="1">
        <v>-0.30205076916880003</v>
      </c>
      <c r="F426" s="1">
        <v>1.28287379765907E-3</v>
      </c>
      <c r="G426" s="1">
        <v>8.5953598602788506E-2</v>
      </c>
      <c r="H426">
        <v>0.73082112238260599</v>
      </c>
      <c r="I426">
        <v>7.896171744164E-3</v>
      </c>
    </row>
    <row r="427" spans="1:9" x14ac:dyDescent="0.25">
      <c r="A427">
        <v>14.106971025466899</v>
      </c>
      <c r="B427" s="1">
        <v>8.4526353169251607</v>
      </c>
      <c r="C427" s="1">
        <v>7.2435262997459997</v>
      </c>
      <c r="D427" s="1">
        <v>7.7412605661353497</v>
      </c>
      <c r="E427" s="1">
        <v>-0.37909543360970399</v>
      </c>
      <c r="F427" s="1">
        <v>1.44758244730874E-3</v>
      </c>
      <c r="G427" s="1">
        <v>9.06421851519114E-2</v>
      </c>
      <c r="H427">
        <v>0.70533247187011605</v>
      </c>
      <c r="I427">
        <v>1.01950934418655E-2</v>
      </c>
    </row>
    <row r="428" spans="1:9" x14ac:dyDescent="0.25">
      <c r="A428">
        <v>16.3766205310821</v>
      </c>
      <c r="B428" s="1">
        <v>9.2848316121865402</v>
      </c>
      <c r="C428" s="1">
        <v>7.4138376201881302</v>
      </c>
      <c r="D428" s="1">
        <v>7.8031246283712301</v>
      </c>
      <c r="E428" s="1">
        <v>-0.450218248343909</v>
      </c>
      <c r="F428" s="1">
        <v>1.74525772808693E-3</v>
      </c>
      <c r="G428" s="1">
        <v>9.47181473996829E-2</v>
      </c>
      <c r="H428">
        <v>0.68495214123677495</v>
      </c>
      <c r="I428">
        <v>9.4129281184655508E-3</v>
      </c>
    </row>
    <row r="429" spans="1:9" x14ac:dyDescent="0.25">
      <c r="A429">
        <v>18.850511312484699</v>
      </c>
      <c r="B429" s="1">
        <v>10.045014216380199</v>
      </c>
      <c r="C429" s="1">
        <v>7.3528940189135001</v>
      </c>
      <c r="D429" s="1">
        <v>7.59119291559223</v>
      </c>
      <c r="E429" s="1">
        <v>-0.51196600243006596</v>
      </c>
      <c r="F429" s="1">
        <v>2.0402595202159801E-3</v>
      </c>
      <c r="G429" s="1">
        <v>9.6592187338124399E-2</v>
      </c>
      <c r="H429">
        <v>0.66656490365351495</v>
      </c>
      <c r="I429">
        <v>6.0030612762191201E-3</v>
      </c>
    </row>
    <row r="430" spans="1:9" x14ac:dyDescent="0.25">
      <c r="A430">
        <v>21.5470612049102</v>
      </c>
      <c r="B430" s="1">
        <v>10.733173607664201</v>
      </c>
      <c r="C430" s="1">
        <v>7.1074690992099896</v>
      </c>
      <c r="D430" s="1">
        <v>7.1844386310423101</v>
      </c>
      <c r="E430" s="1">
        <v>-0.56273390462095996</v>
      </c>
      <c r="F430" s="1">
        <v>2.21436801468661E-3</v>
      </c>
      <c r="G430" s="1">
        <v>9.5695531994127697E-2</v>
      </c>
      <c r="H430">
        <v>0.64849493651935297</v>
      </c>
      <c r="I430">
        <v>1.4745930156844301E-3</v>
      </c>
    </row>
    <row r="431" spans="1:9" x14ac:dyDescent="0.25">
      <c r="A431">
        <v>24.4862973690032</v>
      </c>
      <c r="B431" s="1">
        <v>11.353178827839001</v>
      </c>
      <c r="C431" s="1">
        <v>6.7293216786783798</v>
      </c>
      <c r="D431" s="1">
        <v>6.6556513962204402</v>
      </c>
      <c r="E431" s="1">
        <v>-0.60218215898505401</v>
      </c>
      <c r="F431" s="1">
        <v>2.3231563068361002E-3</v>
      </c>
      <c r="G431" s="1">
        <v>9.2268721491650205E-2</v>
      </c>
      <c r="H431">
        <v>0.63015128878205595</v>
      </c>
      <c r="I431">
        <v>-2.8651145382547799E-3</v>
      </c>
    </row>
    <row r="432" spans="1:9" x14ac:dyDescent="0.25">
      <c r="A432">
        <v>27.690052986145002</v>
      </c>
      <c r="B432" s="1">
        <v>11.910968332367</v>
      </c>
      <c r="C432" s="1">
        <v>6.2658637796557697</v>
      </c>
      <c r="D432" s="1">
        <v>6.0636342203856497</v>
      </c>
      <c r="E432" s="1">
        <v>-0.63069048638883496</v>
      </c>
      <c r="F432" s="1">
        <v>2.4891294861490998E-3</v>
      </c>
      <c r="G432" s="1">
        <v>8.6919947154014895E-2</v>
      </c>
      <c r="H432">
        <v>0.61152539973155295</v>
      </c>
      <c r="I432">
        <v>-6.3095759833496703E-3</v>
      </c>
    </row>
    <row r="433" spans="1:9" x14ac:dyDescent="0.25">
      <c r="A433">
        <v>31.1821639537811</v>
      </c>
      <c r="B433" s="1">
        <v>12.413378803806401</v>
      </c>
      <c r="C433" s="1">
        <v>5.7564416897075699</v>
      </c>
      <c r="D433" s="1">
        <v>5.4516851412268297</v>
      </c>
      <c r="E433" s="1">
        <v>-0.64899395829934003</v>
      </c>
      <c r="F433" s="1">
        <v>2.62636514089378E-3</v>
      </c>
      <c r="G433" s="1">
        <v>8.0310660065745804E-2</v>
      </c>
      <c r="H433">
        <v>0.59282118347979695</v>
      </c>
      <c r="I433">
        <v>-8.6295112627734101E-3</v>
      </c>
    </row>
    <row r="434" spans="1:9" x14ac:dyDescent="0.25">
      <c r="A434">
        <v>34.988558292388902</v>
      </c>
      <c r="B434" s="1">
        <v>12.8674881447125</v>
      </c>
      <c r="C434" s="1">
        <v>5.2313928575822501</v>
      </c>
      <c r="D434" s="1">
        <v>4.8496164244394304</v>
      </c>
      <c r="E434" s="1">
        <v>-0.65793207521583297</v>
      </c>
      <c r="F434" s="1">
        <v>2.4903323464199501E-3</v>
      </c>
      <c r="G434" s="1">
        <v>7.3017249726447297E-2</v>
      </c>
      <c r="H434">
        <v>0.57457624179627398</v>
      </c>
      <c r="I434">
        <v>-9.8939741056644197E-3</v>
      </c>
    </row>
    <row r="435" spans="1:9" x14ac:dyDescent="0.25">
      <c r="A435">
        <v>39.137506484985302</v>
      </c>
      <c r="B435" s="1">
        <v>13.280107646064801</v>
      </c>
      <c r="C435" s="1">
        <v>4.7126361172340596</v>
      </c>
      <c r="D435" s="1">
        <v>4.2771415512806898</v>
      </c>
      <c r="E435" s="1">
        <v>-0.65838100862995097</v>
      </c>
      <c r="F435" s="1">
        <v>2.0549683181877798E-3</v>
      </c>
      <c r="G435" s="1">
        <v>6.5417238708108894E-2</v>
      </c>
      <c r="H435">
        <v>0.55740760363091901</v>
      </c>
      <c r="I435">
        <v>-1.02555156705651E-2</v>
      </c>
    </row>
    <row r="436" spans="1:9" x14ac:dyDescent="0.25">
      <c r="A436">
        <v>43.659898638725203</v>
      </c>
      <c r="B436" s="1">
        <v>13.6575407672692</v>
      </c>
      <c r="C436" s="1">
        <v>4.2147306579936403</v>
      </c>
      <c r="D436" s="1">
        <v>3.7457604021546298</v>
      </c>
      <c r="E436" s="1">
        <v>-0.65102234433875095</v>
      </c>
      <c r="F436" s="1">
        <v>1.6304062476914401E-3</v>
      </c>
      <c r="G436" s="1">
        <v>5.7778272417704099E-2</v>
      </c>
      <c r="H436">
        <v>0.54173257577095002</v>
      </c>
      <c r="I436">
        <v>-9.90701697366091E-3</v>
      </c>
    </row>
    <row r="437" spans="1:9" x14ac:dyDescent="0.25">
      <c r="A437">
        <v>48.589280247688201</v>
      </c>
      <c r="B437" s="1">
        <v>14.005402221160001</v>
      </c>
      <c r="C437" s="1">
        <v>3.7467212998963002</v>
      </c>
      <c r="D437" s="1">
        <v>3.2610944031612799</v>
      </c>
      <c r="E437" s="1">
        <v>-0.636467765824966</v>
      </c>
      <c r="F437" s="1">
        <v>1.48953666140998E-3</v>
      </c>
      <c r="G437" s="1">
        <v>5.0275796848415301E-2</v>
      </c>
      <c r="H437">
        <v>0.52745982890145404</v>
      </c>
      <c r="I437">
        <v>-9.0368166394373794E-3</v>
      </c>
    </row>
    <row r="438" spans="1:9" x14ac:dyDescent="0.25">
      <c r="A438">
        <v>53.962334990501397</v>
      </c>
      <c r="B438" s="1">
        <v>14.328548147158701</v>
      </c>
      <c r="C438" s="1">
        <v>3.31350511977507</v>
      </c>
      <c r="D438" s="1">
        <v>2.8249883949703798</v>
      </c>
      <c r="E438" s="1">
        <v>-0.615171011677491</v>
      </c>
      <c r="F438" s="1">
        <v>1.4959045042097299E-3</v>
      </c>
      <c r="G438" s="1">
        <v>4.3082246276293999E-2</v>
      </c>
      <c r="H438">
        <v>0.51473136069091396</v>
      </c>
      <c r="I438">
        <v>-7.8566601706736103E-3</v>
      </c>
    </row>
    <row r="439" spans="1:9" x14ac:dyDescent="0.25">
      <c r="A439">
        <v>59.818929433822603</v>
      </c>
      <c r="B439" s="1">
        <v>14.630809499697699</v>
      </c>
      <c r="C439" s="1">
        <v>2.9166326110498599</v>
      </c>
      <c r="D439" s="1">
        <v>2.4367578808115198</v>
      </c>
      <c r="E439" s="1">
        <v>-0.58745074448150603</v>
      </c>
      <c r="F439" s="1">
        <v>8.1076312842127496E-4</v>
      </c>
      <c r="G439" s="1">
        <v>3.6332607088750503E-2</v>
      </c>
      <c r="H439">
        <v>0.50378654116311805</v>
      </c>
      <c r="I439">
        <v>-6.5723330805007203E-3</v>
      </c>
    </row>
    <row r="440" spans="1:9" x14ac:dyDescent="0.25">
      <c r="A440">
        <v>66.202640533447195</v>
      </c>
      <c r="B440" s="1">
        <v>14.914681001381901</v>
      </c>
      <c r="C440" s="1">
        <v>2.5553971884182798</v>
      </c>
      <c r="D440" s="1">
        <v>2.0934512961212102</v>
      </c>
      <c r="E440" s="1">
        <v>-0.55344661145204599</v>
      </c>
      <c r="F440" s="1">
        <v>-2.5295478048971399E-4</v>
      </c>
      <c r="G440" s="1">
        <v>3.0075694594259302E-2</v>
      </c>
      <c r="H440">
        <v>0.49353695129817898</v>
      </c>
      <c r="I440">
        <v>-5.2881389649175204E-3</v>
      </c>
    </row>
    <row r="441" spans="1:9" x14ac:dyDescent="0.25">
      <c r="A441">
        <v>73.160880804061804</v>
      </c>
      <c r="B441" s="1">
        <v>15.181210054831601</v>
      </c>
      <c r="C441" s="1">
        <v>2.2266612236162402</v>
      </c>
      <c r="D441" s="1">
        <v>1.7902655179090601</v>
      </c>
      <c r="E441" s="1">
        <v>-0.51332251200694601</v>
      </c>
      <c r="F441" s="1">
        <v>-7.7025395017378702E-4</v>
      </c>
      <c r="G441" s="1">
        <v>2.44291243912769E-2</v>
      </c>
      <c r="H441">
        <v>0.48365736254091102</v>
      </c>
      <c r="I441">
        <v>-4.1144926253037402E-3</v>
      </c>
    </row>
    <row r="442" spans="1:9" x14ac:dyDescent="0.25">
      <c r="A442">
        <v>80.745358765125204</v>
      </c>
      <c r="B442" s="1">
        <v>15.430793403463399</v>
      </c>
      <c r="C442" s="1">
        <v>1.92481098636926</v>
      </c>
      <c r="D442" s="1">
        <v>1.5206955762562</v>
      </c>
      <c r="E442" s="1">
        <v>-0.46690969121828202</v>
      </c>
      <c r="F442" s="1">
        <v>-4.3409123149196102E-4</v>
      </c>
      <c r="G442" s="1">
        <v>1.9510020230353399E-2</v>
      </c>
      <c r="H442">
        <v>0.47584964971618299</v>
      </c>
      <c r="I442">
        <v>-3.13419130686127E-3</v>
      </c>
    </row>
    <row r="443" spans="1:9" x14ac:dyDescent="0.25">
      <c r="A443">
        <v>89.012441039085303</v>
      </c>
      <c r="B443" s="1">
        <v>15.663361220436199</v>
      </c>
      <c r="C443" s="1">
        <v>1.64590339728601</v>
      </c>
      <c r="D443" s="1">
        <v>1.2791295261264299</v>
      </c>
      <c r="E443" s="1">
        <v>-0.41397701433290501</v>
      </c>
      <c r="F443" s="1">
        <v>1.63377786603423E-4</v>
      </c>
      <c r="G443" s="1">
        <v>1.52971410926207E-2</v>
      </c>
      <c r="H443">
        <v>0.47138372186785099</v>
      </c>
      <c r="I443">
        <v>-2.3305994718371202E-3</v>
      </c>
    </row>
    <row r="444" spans="1:9" x14ac:dyDescent="0.25">
      <c r="A444">
        <v>98.0235546827316</v>
      </c>
      <c r="B444" s="1">
        <v>15.877171008663201</v>
      </c>
      <c r="C444" s="1">
        <v>1.3889918862405399</v>
      </c>
      <c r="D444" s="1">
        <v>1.0623788994855701</v>
      </c>
      <c r="E444" s="1">
        <v>-0.35454050902135098</v>
      </c>
      <c r="F444" s="1">
        <v>1.14102179425823E-3</v>
      </c>
      <c r="G444" s="1">
        <v>1.17280061446035E-2</v>
      </c>
      <c r="H444">
        <v>0.469072865381852</v>
      </c>
      <c r="I444">
        <v>-1.68227203642895E-3</v>
      </c>
    </row>
    <row r="445" spans="1:9" x14ac:dyDescent="0.25">
      <c r="A445">
        <v>107.845674455165</v>
      </c>
      <c r="B445" s="1">
        <v>16.068052201347399</v>
      </c>
      <c r="C445" s="1">
        <v>1.154826859698</v>
      </c>
      <c r="D445" s="1">
        <v>0.86892755117217002</v>
      </c>
      <c r="E445" s="1">
        <v>-0.28857538737284</v>
      </c>
      <c r="F445" s="1">
        <v>1.9580787623253602E-3</v>
      </c>
      <c r="G445" s="1">
        <v>8.8291756068531405E-3</v>
      </c>
      <c r="H445">
        <v>0.47051413581793999</v>
      </c>
      <c r="I445">
        <v>-1.2041024450378799E-3</v>
      </c>
    </row>
    <row r="446" spans="1:9" x14ac:dyDescent="0.25">
      <c r="A446">
        <v>118.551787734031</v>
      </c>
      <c r="B446" s="1">
        <v>16.229247464614001</v>
      </c>
      <c r="C446" s="1">
        <v>0.94971254071788203</v>
      </c>
      <c r="D446" s="1">
        <v>0.70324687283191101</v>
      </c>
      <c r="E446" s="1">
        <v>-0.21565614357910501</v>
      </c>
      <c r="F446" s="1">
        <v>2.3490874630734599E-3</v>
      </c>
      <c r="G446" s="1">
        <v>6.5873832011272802E-3</v>
      </c>
      <c r="H446">
        <v>0.47781551776666698</v>
      </c>
      <c r="I446">
        <v>-8.6654148458668401E-4</v>
      </c>
    </row>
    <row r="447" spans="1:9" x14ac:dyDescent="0.25">
      <c r="A447">
        <v>130.22144660353601</v>
      </c>
      <c r="B447" s="1">
        <v>16.351266695933401</v>
      </c>
      <c r="C447" s="1">
        <v>0.78749179529222502</v>
      </c>
      <c r="D447" s="1">
        <v>0.57465237824699</v>
      </c>
      <c r="E447" s="1">
        <v>-0.135316862614797</v>
      </c>
      <c r="F447" s="1">
        <v>2.2332604911878299E-3</v>
      </c>
      <c r="G447" s="1">
        <v>5.0485860920834397E-3</v>
      </c>
      <c r="H447">
        <v>0.492187052462772</v>
      </c>
      <c r="I447">
        <v>-6.64224187775708E-4</v>
      </c>
    </row>
    <row r="448" spans="1:9" x14ac:dyDescent="0.25">
      <c r="A448">
        <v>143.15376933664001</v>
      </c>
      <c r="B448" s="1">
        <v>16.4218394149113</v>
      </c>
      <c r="C448" s="1">
        <v>0.69167422335158302</v>
      </c>
      <c r="D448" s="1">
        <v>0.49918457515991199</v>
      </c>
      <c r="E448" s="1">
        <v>-4.5637647784059703E-2</v>
      </c>
      <c r="F448" s="1">
        <v>2.5506345822246001E-3</v>
      </c>
      <c r="G448" s="1">
        <v>4.2731571320650799E-3</v>
      </c>
      <c r="H448">
        <v>0.500307102903504</v>
      </c>
      <c r="I448">
        <v>-6.0472021547394099E-4</v>
      </c>
    </row>
    <row r="449" spans="1:9" x14ac:dyDescent="0.25">
      <c r="A449" t="s">
        <v>19</v>
      </c>
      <c r="B449" s="1" t="s">
        <v>9</v>
      </c>
      <c r="C449" s="1" t="s">
        <v>32</v>
      </c>
      <c r="D449" s="1" t="s">
        <v>33</v>
      </c>
      <c r="E449" s="1" t="s">
        <v>34</v>
      </c>
      <c r="F449" s="1" t="s">
        <v>35</v>
      </c>
      <c r="G449" s="1" t="s">
        <v>30</v>
      </c>
      <c r="H449" t="s">
        <v>36</v>
      </c>
      <c r="I449" t="s">
        <v>31</v>
      </c>
    </row>
    <row r="450" spans="1:9" x14ac:dyDescent="0.25">
      <c r="A450">
        <v>-143.38788986206001</v>
      </c>
      <c r="B450" s="1">
        <v>-203.79111580631101</v>
      </c>
      <c r="C450" s="1">
        <v>8.9761083386576904E-3</v>
      </c>
      <c r="D450" s="1">
        <v>0</v>
      </c>
      <c r="E450" s="1">
        <v>0</v>
      </c>
      <c r="F450" s="1">
        <v>0</v>
      </c>
      <c r="G450" s="1">
        <v>1.04355662491339E-6</v>
      </c>
      <c r="H450">
        <v>7.9847057504995003E-2</v>
      </c>
      <c r="I450" s="1">
        <v>0</v>
      </c>
    </row>
    <row r="451" spans="1:9" x14ac:dyDescent="0.25">
      <c r="A451">
        <v>-130.70960640907199</v>
      </c>
      <c r="B451" s="1">
        <v>-185.78486822625899</v>
      </c>
      <c r="C451" s="1">
        <v>9.2725181960844304E-3</v>
      </c>
      <c r="D451" s="1">
        <v>0</v>
      </c>
      <c r="E451" s="1">
        <v>0</v>
      </c>
      <c r="F451" s="1">
        <v>0</v>
      </c>
      <c r="G451" s="1">
        <v>1.7709193293002901E-6</v>
      </c>
      <c r="H451">
        <v>0.40942410957646402</v>
      </c>
      <c r="I451" s="1">
        <v>0</v>
      </c>
    </row>
    <row r="452" spans="1:9" x14ac:dyDescent="0.25">
      <c r="A452">
        <v>-119.078135490417</v>
      </c>
      <c r="B452" s="1">
        <v>-169.262809202879</v>
      </c>
      <c r="C452" s="1">
        <v>9.9371449672389593E-3</v>
      </c>
      <c r="D452" s="1">
        <v>0</v>
      </c>
      <c r="E452" s="1">
        <v>0</v>
      </c>
      <c r="F452" s="1">
        <v>0</v>
      </c>
      <c r="G452" s="1">
        <v>3.1954481699325499E-6</v>
      </c>
      <c r="H452">
        <v>0.61175113145802595</v>
      </c>
      <c r="I452" s="1">
        <v>0</v>
      </c>
    </row>
    <row r="453" spans="1:9" x14ac:dyDescent="0.25">
      <c r="A453">
        <v>-108.407056331634</v>
      </c>
      <c r="B453" s="1">
        <v>-154.10281793853599</v>
      </c>
      <c r="C453" s="1">
        <v>1.1119228053757899E-2</v>
      </c>
      <c r="D453" s="1">
        <v>0</v>
      </c>
      <c r="E453" s="1">
        <v>0</v>
      </c>
      <c r="F453" s="1">
        <v>0</v>
      </c>
      <c r="G453" s="1">
        <v>5.4258995706024597E-6</v>
      </c>
      <c r="H453">
        <v>0.70515076139977495</v>
      </c>
      <c r="I453" s="1">
        <v>0</v>
      </c>
    </row>
    <row r="454" spans="1:9" x14ac:dyDescent="0.25">
      <c r="A454">
        <v>-98.617064952850299</v>
      </c>
      <c r="B454" s="1">
        <v>-140.192784265488</v>
      </c>
      <c r="C454" s="1">
        <v>1.3007372920071701E-2</v>
      </c>
      <c r="D454" s="1">
        <v>0</v>
      </c>
      <c r="E454" s="1">
        <v>0</v>
      </c>
      <c r="F454" s="1">
        <v>0</v>
      </c>
      <c r="G454" s="1">
        <v>8.7438466308764495E-6</v>
      </c>
      <c r="H454">
        <v>0.74744522663485402</v>
      </c>
      <c r="I454" s="1">
        <v>0</v>
      </c>
    </row>
    <row r="455" spans="1:9" x14ac:dyDescent="0.25">
      <c r="A455">
        <v>-89.635455608367906</v>
      </c>
      <c r="B455" s="1">
        <v>-127.42982785484099</v>
      </c>
      <c r="C455" s="1">
        <v>1.5821246297065199E-2</v>
      </c>
      <c r="D455" s="1">
        <v>0</v>
      </c>
      <c r="E455" s="1">
        <v>0</v>
      </c>
      <c r="F455" s="1">
        <v>0</v>
      </c>
      <c r="G455" s="1">
        <v>1.36367573547135E-5</v>
      </c>
      <c r="H455">
        <v>0.76628621348299197</v>
      </c>
      <c r="I455" s="1">
        <v>0</v>
      </c>
    </row>
    <row r="456" spans="1:9" x14ac:dyDescent="0.25">
      <c r="A456">
        <v>-81.395459175109806</v>
      </c>
      <c r="B456" s="1">
        <v>-115.719498381823</v>
      </c>
      <c r="C456" s="1">
        <v>1.9817438732587699E-2</v>
      </c>
      <c r="D456" s="1">
        <v>0</v>
      </c>
      <c r="E456" s="1">
        <v>0</v>
      </c>
      <c r="F456" s="1">
        <v>0</v>
      </c>
      <c r="G456" s="1">
        <v>2.0843331517872399E-5</v>
      </c>
      <c r="H456">
        <v>0.77424812875494298</v>
      </c>
      <c r="I456" s="1">
        <v>0</v>
      </c>
    </row>
    <row r="457" spans="1:9" x14ac:dyDescent="0.25">
      <c r="A457">
        <v>-73.835813999175997</v>
      </c>
      <c r="B457" s="1">
        <v>-104.975108996838</v>
      </c>
      <c r="C457" s="1">
        <v>2.5300416013749299E-2</v>
      </c>
      <c r="D457" s="1">
        <v>0</v>
      </c>
      <c r="E457" s="1">
        <v>0</v>
      </c>
      <c r="F457" s="1">
        <v>0</v>
      </c>
      <c r="G457" s="1">
        <v>3.1413693363733201E-5</v>
      </c>
      <c r="H457">
        <v>0.77727497286341196</v>
      </c>
      <c r="I457" s="1">
        <v>0</v>
      </c>
    </row>
    <row r="458" spans="1:9" x14ac:dyDescent="0.25">
      <c r="A458">
        <v>-66.900336742401095</v>
      </c>
      <c r="B458" s="1">
        <v>-95.1170824923217</v>
      </c>
      <c r="C458" s="1">
        <v>3.2633443510462698E-2</v>
      </c>
      <c r="D458" s="1">
        <v>0</v>
      </c>
      <c r="E458" s="1">
        <v>0</v>
      </c>
      <c r="F458" s="1">
        <v>0</v>
      </c>
      <c r="G458" s="1">
        <v>4.67859881579135E-5</v>
      </c>
      <c r="H458">
        <v>0.77819151216533999</v>
      </c>
      <c r="I458" s="1">
        <v>0</v>
      </c>
    </row>
    <row r="459" spans="1:9" x14ac:dyDescent="0.25">
      <c r="A459">
        <v>-60.537528991699197</v>
      </c>
      <c r="B459" s="1">
        <v>-86.072395861953396</v>
      </c>
      <c r="C459" s="1">
        <v>4.2246736880770103E-2</v>
      </c>
      <c r="D459" s="1">
        <v>0</v>
      </c>
      <c r="E459" s="1">
        <v>0</v>
      </c>
      <c r="F459" s="1">
        <v>0</v>
      </c>
      <c r="G459" s="1">
        <v>6.8881022395101907E-5</v>
      </c>
      <c r="H459">
        <v>0.77829961207768605</v>
      </c>
      <c r="I459" s="1">
        <v>0</v>
      </c>
    </row>
    <row r="460" spans="1:9" x14ac:dyDescent="0.25">
      <c r="A460">
        <v>-54.700112342834402</v>
      </c>
      <c r="B460" s="1">
        <v>-77.774028033822702</v>
      </c>
      <c r="C460" s="1">
        <v>5.46417559877454E-2</v>
      </c>
      <c r="D460" s="1">
        <v>0</v>
      </c>
      <c r="E460" s="1">
        <v>0</v>
      </c>
      <c r="F460" s="1">
        <v>0</v>
      </c>
      <c r="G460" s="1">
        <v>1.00218910593765E-4</v>
      </c>
      <c r="H460">
        <v>0.77817554226949004</v>
      </c>
      <c r="I460" s="1">
        <v>0</v>
      </c>
    </row>
    <row r="461" spans="1:9" x14ac:dyDescent="0.25">
      <c r="A461">
        <v>-49.344670772552398</v>
      </c>
      <c r="B461" s="1">
        <v>-70.160464734643597</v>
      </c>
      <c r="C461" s="1">
        <v>7.0391549186524502E-2</v>
      </c>
      <c r="D461" s="1">
        <v>0</v>
      </c>
      <c r="E461" s="1">
        <v>0</v>
      </c>
      <c r="F461" s="1">
        <v>0</v>
      </c>
      <c r="G461" s="1">
        <v>1.4406550705098499E-4</v>
      </c>
      <c r="H461">
        <v>0.77807591529884101</v>
      </c>
      <c r="I461" s="1">
        <v>0</v>
      </c>
    </row>
    <row r="462" spans="1:9" x14ac:dyDescent="0.25">
      <c r="A462">
        <v>-44.431400299072202</v>
      </c>
      <c r="B462" s="1">
        <v>-63.175246202260197</v>
      </c>
      <c r="C462" s="1">
        <v>9.0137944870548298E-2</v>
      </c>
      <c r="D462" s="1">
        <v>0</v>
      </c>
      <c r="E462" s="1">
        <v>0</v>
      </c>
      <c r="F462" s="1">
        <v>0</v>
      </c>
      <c r="G462" s="1">
        <v>2.0462187434024001E-4</v>
      </c>
      <c r="H462">
        <v>0.77813586894065601</v>
      </c>
      <c r="I462" s="1">
        <v>0</v>
      </c>
    </row>
    <row r="463" spans="1:9" x14ac:dyDescent="0.25">
      <c r="A463">
        <v>-39.923822879791203</v>
      </c>
      <c r="B463" s="1">
        <v>-56.766568855255798</v>
      </c>
      <c r="C463" s="1">
        <v>0.114586687611335</v>
      </c>
      <c r="D463" s="1">
        <v>0</v>
      </c>
      <c r="E463" s="1">
        <v>0</v>
      </c>
      <c r="F463" s="1">
        <v>0</v>
      </c>
      <c r="G463" s="1">
        <v>2.87277792624536E-4</v>
      </c>
      <c r="H463">
        <v>0.77845882251973497</v>
      </c>
      <c r="I463" s="1">
        <v>0</v>
      </c>
    </row>
    <row r="464" spans="1:9" x14ac:dyDescent="0.25">
      <c r="A464">
        <v>-35.788428783416698</v>
      </c>
      <c r="B464" s="1">
        <v>-50.886886962562698</v>
      </c>
      <c r="C464" s="1">
        <v>0.144502089459592</v>
      </c>
      <c r="D464" s="1">
        <v>0</v>
      </c>
      <c r="E464" s="1">
        <v>0</v>
      </c>
      <c r="F464" s="1">
        <v>0</v>
      </c>
      <c r="G464" s="1">
        <v>3.9896204020774099E-4</v>
      </c>
      <c r="H464">
        <v>0.77915358301417004</v>
      </c>
      <c r="I464" s="1">
        <v>0</v>
      </c>
    </row>
    <row r="465" spans="1:9" x14ac:dyDescent="0.25">
      <c r="A465">
        <v>-31.994497776031402</v>
      </c>
      <c r="B465" s="1">
        <v>-45.492566385645397</v>
      </c>
      <c r="C465" s="1">
        <v>0.18070250650362099</v>
      </c>
      <c r="D465" s="1">
        <v>0</v>
      </c>
      <c r="E465" s="1">
        <v>0</v>
      </c>
      <c r="F465" s="1">
        <v>0</v>
      </c>
      <c r="G465" s="1">
        <v>5.4863632504677099E-4</v>
      </c>
      <c r="H465">
        <v>0.78034628302592701</v>
      </c>
      <c r="I465" s="1">
        <v>0</v>
      </c>
    </row>
    <row r="466" spans="1:9" x14ac:dyDescent="0.25">
      <c r="A466">
        <v>-28.5138309001922</v>
      </c>
      <c r="B466" s="1">
        <v>-40.543565497606899</v>
      </c>
      <c r="C466" s="1">
        <v>0.22405812099032099</v>
      </c>
      <c r="D466" s="1">
        <v>0</v>
      </c>
      <c r="E466" s="1">
        <v>0</v>
      </c>
      <c r="F466" s="1">
        <v>0</v>
      </c>
      <c r="G466" s="1">
        <v>7.4799457178031004E-4</v>
      </c>
      <c r="H466">
        <v>0.78217939958987703</v>
      </c>
      <c r="I466" s="1">
        <v>0</v>
      </c>
    </row>
    <row r="467" spans="1:9" x14ac:dyDescent="0.25">
      <c r="A467">
        <v>-25.320571660995402</v>
      </c>
      <c r="B467" s="1">
        <v>-36.003141791433002</v>
      </c>
      <c r="C467" s="1">
        <v>0.275492344262602</v>
      </c>
      <c r="D467" s="1">
        <v>0</v>
      </c>
      <c r="E467" s="1">
        <v>0</v>
      </c>
      <c r="F467" s="1">
        <v>0</v>
      </c>
      <c r="G467" s="1">
        <v>1.01244178178973E-3</v>
      </c>
      <c r="H467">
        <v>0.78480188976999299</v>
      </c>
      <c r="I467" s="1">
        <v>0</v>
      </c>
    </row>
    <row r="468" spans="1:9" x14ac:dyDescent="0.25">
      <c r="A468">
        <v>-22.3909378051757</v>
      </c>
      <c r="B468" s="1">
        <v>-31.8375787221491</v>
      </c>
      <c r="C468" s="1">
        <v>0.33598768640194898</v>
      </c>
      <c r="D468" s="1">
        <v>0</v>
      </c>
      <c r="E468" s="1">
        <v>0</v>
      </c>
      <c r="F468" s="1">
        <v>0</v>
      </c>
      <c r="G468" s="1">
        <v>1.3624319130033701E-3</v>
      </c>
      <c r="H468">
        <v>0.788351942790393</v>
      </c>
      <c r="I468" s="1">
        <v>0</v>
      </c>
    </row>
    <row r="469" spans="1:9" x14ac:dyDescent="0.25">
      <c r="A469">
        <v>-19.7032213211059</v>
      </c>
      <c r="B469" s="1">
        <v>-28.015942999035101</v>
      </c>
      <c r="C469" s="1">
        <v>0.40659639173190898</v>
      </c>
      <c r="D469" s="1">
        <v>0</v>
      </c>
      <c r="E469" s="1">
        <v>0</v>
      </c>
      <c r="F469" s="1">
        <v>0</v>
      </c>
      <c r="G469" s="1">
        <v>1.82524240747937E-3</v>
      </c>
      <c r="H469">
        <v>0.79293540122985595</v>
      </c>
      <c r="I469" s="1">
        <v>0</v>
      </c>
    </row>
    <row r="470" spans="1:9" x14ac:dyDescent="0.25">
      <c r="A470">
        <v>-17.237430810928299</v>
      </c>
      <c r="B470" s="1">
        <v>-24.509843663185801</v>
      </c>
      <c r="C470" s="1">
        <v>0.488455520395291</v>
      </c>
      <c r="D470" s="1">
        <v>0</v>
      </c>
      <c r="E470" s="1">
        <v>0</v>
      </c>
      <c r="F470" s="1">
        <v>0</v>
      </c>
      <c r="G470" s="1">
        <v>2.4372500547406098E-3</v>
      </c>
      <c r="H470">
        <v>0.798604041987655</v>
      </c>
      <c r="I470" s="1">
        <v>0</v>
      </c>
    </row>
    <row r="471" spans="1:9" x14ac:dyDescent="0.25">
      <c r="A471">
        <v>-14.975237846374499</v>
      </c>
      <c r="B471" s="1">
        <v>-21.2932368897497</v>
      </c>
      <c r="C471" s="1">
        <v>0.58280483580620002</v>
      </c>
      <c r="D471" s="1">
        <v>0</v>
      </c>
      <c r="E471" s="1">
        <v>0</v>
      </c>
      <c r="F471" s="1">
        <v>0</v>
      </c>
      <c r="G471" s="1">
        <v>3.24676048566857E-3</v>
      </c>
      <c r="H471">
        <v>0.80533994751651194</v>
      </c>
      <c r="I471" s="1">
        <v>0</v>
      </c>
    </row>
    <row r="472" spans="1:9" x14ac:dyDescent="0.25">
      <c r="A472">
        <v>-12.8998160362243</v>
      </c>
      <c r="B472" s="1">
        <v>-18.342222855299699</v>
      </c>
      <c r="C472" s="1">
        <v>0.69100547609650598</v>
      </c>
      <c r="D472" s="1">
        <v>0</v>
      </c>
      <c r="E472" s="1">
        <v>0</v>
      </c>
      <c r="F472" s="1">
        <v>0</v>
      </c>
      <c r="G472" s="1">
        <v>4.31742766887623E-3</v>
      </c>
      <c r="H472">
        <v>0.81305115236808301</v>
      </c>
      <c r="I472" s="1">
        <v>0</v>
      </c>
    </row>
    <row r="473" spans="1:9" x14ac:dyDescent="0.25">
      <c r="A473">
        <v>-10.995769500732401</v>
      </c>
      <c r="B473" s="1">
        <v>-15.6348711707293</v>
      </c>
      <c r="C473" s="1">
        <v>0.81455610852754001</v>
      </c>
      <c r="D473" s="1">
        <v>0</v>
      </c>
      <c r="E473" s="1">
        <v>0</v>
      </c>
      <c r="F473" s="1">
        <v>0</v>
      </c>
      <c r="G473" s="1">
        <v>5.7322997328174002E-3</v>
      </c>
      <c r="H473">
        <v>0.82158061952221695</v>
      </c>
      <c r="I473" s="1">
        <v>0</v>
      </c>
    </row>
    <row r="474" spans="1:9" x14ac:dyDescent="0.25">
      <c r="A474">
        <v>-9.2489361763000399</v>
      </c>
      <c r="B474" s="1">
        <v>-13.151070118755101</v>
      </c>
      <c r="C474" s="1">
        <v>0.955104854458113</v>
      </c>
      <c r="D474" s="1">
        <v>0</v>
      </c>
      <c r="E474" s="1">
        <v>0</v>
      </c>
      <c r="F474" s="1">
        <v>0</v>
      </c>
      <c r="G474" s="1">
        <v>7.59853274822262E-3</v>
      </c>
      <c r="H474">
        <v>0.83072627862512505</v>
      </c>
      <c r="I474" s="1">
        <v>0</v>
      </c>
    </row>
    <row r="475" spans="1:9" x14ac:dyDescent="0.25">
      <c r="A475">
        <v>-7.6463341712951598</v>
      </c>
      <c r="B475" s="1">
        <v>-10.872356847733201</v>
      </c>
      <c r="C475" s="1">
        <v>1.1144526316365899</v>
      </c>
      <c r="D475" s="1">
        <v>0</v>
      </c>
      <c r="E475" s="1">
        <v>0</v>
      </c>
      <c r="F475" s="1">
        <v>0</v>
      </c>
      <c r="G475" s="1">
        <v>1.0052849264266099E-2</v>
      </c>
      <c r="H475">
        <v>0.84026685042651095</v>
      </c>
      <c r="I475" s="1">
        <v>0</v>
      </c>
    </row>
    <row r="476" spans="1:9" x14ac:dyDescent="0.25">
      <c r="A476">
        <v>-6.1760544776916504</v>
      </c>
      <c r="B476" s="1">
        <v>-8.7818015225827608</v>
      </c>
      <c r="C476" s="1">
        <v>1.2945483677085501</v>
      </c>
      <c r="D476" s="1">
        <v>0</v>
      </c>
      <c r="E476" s="1">
        <v>0</v>
      </c>
      <c r="F476" s="1">
        <v>0</v>
      </c>
      <c r="G476" s="1">
        <v>1.32678702447083E-2</v>
      </c>
      <c r="H476">
        <v>0.84998672792152796</v>
      </c>
      <c r="I476" s="1">
        <v>0</v>
      </c>
    </row>
    <row r="477" spans="1:9" x14ac:dyDescent="0.25">
      <c r="A477">
        <v>-4.8271894454956001</v>
      </c>
      <c r="B477" s="1">
        <v>-6.8638644971549398</v>
      </c>
      <c r="C477" s="1">
        <v>1.4974737742195401</v>
      </c>
      <c r="D477" s="1">
        <v>0</v>
      </c>
      <c r="E477" s="1">
        <v>0</v>
      </c>
      <c r="F477" s="1">
        <v>0</v>
      </c>
      <c r="G477" s="1">
        <v>1.74595157956264E-2</v>
      </c>
      <c r="H477">
        <v>0.85969517225823699</v>
      </c>
      <c r="I477" s="1">
        <v>0</v>
      </c>
    </row>
    <row r="478" spans="1:9" x14ac:dyDescent="0.25">
      <c r="A478">
        <v>-3.5896897315978999</v>
      </c>
      <c r="B478" s="1">
        <v>-5.1042947479188401</v>
      </c>
      <c r="C478" s="1">
        <v>1.7254192491018301</v>
      </c>
      <c r="D478" s="1">
        <v>0</v>
      </c>
      <c r="E478" s="1">
        <v>0</v>
      </c>
      <c r="F478" s="1">
        <v>0</v>
      </c>
      <c r="G478" s="1">
        <v>2.2895816733543999E-2</v>
      </c>
      <c r="H478">
        <v>0.86923754355680005</v>
      </c>
      <c r="I478" s="1">
        <v>0</v>
      </c>
    </row>
    <row r="479" spans="1:9" x14ac:dyDescent="0.25">
      <c r="A479">
        <v>-2.4543642997741602</v>
      </c>
      <c r="B479" s="1">
        <v>-3.4900187858045002</v>
      </c>
      <c r="C479" s="1">
        <v>1.98065053627942</v>
      </c>
      <c r="D479" s="1">
        <v>0</v>
      </c>
      <c r="E479" s="1">
        <v>0</v>
      </c>
      <c r="F479" s="1">
        <v>0</v>
      </c>
      <c r="G479" s="1">
        <v>2.99070670549372E-2</v>
      </c>
      <c r="H479">
        <v>0.87849676202545002</v>
      </c>
      <c r="I479" s="1">
        <v>0</v>
      </c>
    </row>
    <row r="480" spans="1:9" x14ac:dyDescent="0.25">
      <c r="A480">
        <v>-1.41280889511108</v>
      </c>
      <c r="B480" s="1">
        <v>-2.0090327419936602</v>
      </c>
      <c r="C480" s="1">
        <v>2.26547307455257</v>
      </c>
      <c r="D480" s="1">
        <v>0</v>
      </c>
      <c r="E480" s="1">
        <v>0</v>
      </c>
      <c r="F480" s="1">
        <v>0</v>
      </c>
      <c r="G480" s="1">
        <v>3.8891806629362598E-2</v>
      </c>
      <c r="H480">
        <v>0.88737310995807495</v>
      </c>
      <c r="I480" s="1">
        <v>0</v>
      </c>
    </row>
    <row r="481" spans="1:9" x14ac:dyDescent="0.25">
      <c r="A481">
        <v>-0.45722723007202098</v>
      </c>
      <c r="B481" s="1">
        <v>-0.65033571502566101</v>
      </c>
      <c r="C481" s="1">
        <v>2.58219939993432</v>
      </c>
      <c r="D481" s="1">
        <v>0</v>
      </c>
      <c r="E481" s="1">
        <v>0</v>
      </c>
      <c r="F481" s="1">
        <v>0</v>
      </c>
      <c r="G481" s="1">
        <v>5.1718219955036997E-2</v>
      </c>
      <c r="H481">
        <v>0.89859800072917195</v>
      </c>
      <c r="I481" s="1">
        <v>0</v>
      </c>
    </row>
    <row r="482" spans="1:9" x14ac:dyDescent="0.25">
      <c r="A482">
        <v>0.49999952316284102</v>
      </c>
      <c r="B482" s="1">
        <v>0.35521840968728202</v>
      </c>
      <c r="C482" s="1">
        <v>2.8620401899752301</v>
      </c>
      <c r="D482" s="1">
        <v>0.22956893500735401</v>
      </c>
      <c r="E482" s="1">
        <v>-2.9588370110241802E-4</v>
      </c>
      <c r="F482" s="1">
        <v>3.2925000587122398E-4</v>
      </c>
      <c r="G482" s="1">
        <v>2.46242304341379E-2</v>
      </c>
      <c r="H482">
        <v>0.75491208745592797</v>
      </c>
      <c r="I482" s="1">
        <v>2.6606143212656699E-7</v>
      </c>
    </row>
    <row r="483" spans="1:9" x14ac:dyDescent="0.25">
      <c r="A483">
        <v>1.5449970960617001</v>
      </c>
      <c r="B483" s="1">
        <v>1.09706512013077</v>
      </c>
      <c r="C483" s="1">
        <v>3.11382751337805</v>
      </c>
      <c r="D483" s="1">
        <v>0.77080840842126996</v>
      </c>
      <c r="E483" s="1">
        <v>-2.5975051574432398E-3</v>
      </c>
      <c r="F483" s="1">
        <v>8.9541166999581397E-4</v>
      </c>
      <c r="G483" s="1">
        <v>3.7897659694086101E-2</v>
      </c>
      <c r="H483">
        <v>0.820991488174447</v>
      </c>
      <c r="I483" s="1">
        <v>9.8219935428429695E-6</v>
      </c>
    </row>
    <row r="484" spans="1:9" x14ac:dyDescent="0.25">
      <c r="A484">
        <v>2.6840418577194201</v>
      </c>
      <c r="B484" s="1">
        <v>1.9009751967489701</v>
      </c>
      <c r="C484" s="1">
        <v>3.4519456634006902</v>
      </c>
      <c r="D484" s="1">
        <v>1.46525456015024</v>
      </c>
      <c r="E484" s="1">
        <v>-1.01641218630719E-2</v>
      </c>
      <c r="F484" s="1">
        <v>1.3441645838792001E-3</v>
      </c>
      <c r="G484" s="1">
        <v>5.2602772157606399E-2</v>
      </c>
      <c r="H484">
        <v>0.85081852307107297</v>
      </c>
      <c r="I484" s="1">
        <v>5.7024722016998498E-5</v>
      </c>
    </row>
    <row r="485" spans="1:9" x14ac:dyDescent="0.25">
      <c r="A485">
        <v>3.9256095886230402</v>
      </c>
      <c r="B485" s="1">
        <v>2.76558066824078</v>
      </c>
      <c r="C485" s="1">
        <v>3.9067218556010599</v>
      </c>
      <c r="D485" s="1">
        <v>2.3436324361088201</v>
      </c>
      <c r="E485" s="1">
        <v>-2.61426319110813E-2</v>
      </c>
      <c r="F485" s="1">
        <v>1.6602044994585799E-3</v>
      </c>
      <c r="G485" s="1">
        <v>6.65083891770617E-2</v>
      </c>
      <c r="H485">
        <v>0.85928834360082296</v>
      </c>
      <c r="I485">
        <v>1.4960163136240701E-4</v>
      </c>
    </row>
    <row r="486" spans="1:9" x14ac:dyDescent="0.25">
      <c r="A486">
        <v>5.2789181470870901</v>
      </c>
      <c r="B486" s="1">
        <v>3.6845082483589602</v>
      </c>
      <c r="C486" s="1">
        <v>4.4961047761025803</v>
      </c>
      <c r="D486" s="1">
        <v>3.4052925346243899</v>
      </c>
      <c r="E486" s="1">
        <v>-5.4379654068236298E-2</v>
      </c>
      <c r="F486" s="1">
        <v>1.83905129537485E-3</v>
      </c>
      <c r="G486" s="1">
        <v>7.6805779897188398E-2</v>
      </c>
      <c r="H486">
        <v>0.85125357706663196</v>
      </c>
      <c r="I486" s="1">
        <v>3.0677263037728799E-4</v>
      </c>
    </row>
    <row r="487" spans="1:9" x14ac:dyDescent="0.25">
      <c r="A487">
        <v>6.7540258169174097</v>
      </c>
      <c r="B487" s="1">
        <v>4.6447447530329198</v>
      </c>
      <c r="C487" s="1">
        <v>5.20471757063933</v>
      </c>
      <c r="D487" s="1">
        <v>4.5900764110709797</v>
      </c>
      <c r="E487" s="1">
        <v>-9.7782107567109006E-2</v>
      </c>
      <c r="F487" s="1">
        <v>1.8929159817150799E-3</v>
      </c>
      <c r="G487" s="1">
        <v>8.2363686445867501E-2</v>
      </c>
      <c r="H487">
        <v>0.82937196400054902</v>
      </c>
      <c r="I487">
        <v>6.6673394927397602E-4</v>
      </c>
    </row>
    <row r="488" spans="1:9" x14ac:dyDescent="0.25">
      <c r="A488">
        <v>8.3618760108947701</v>
      </c>
      <c r="B488" s="1">
        <v>5.6263450972139797</v>
      </c>
      <c r="C488" s="1">
        <v>5.9694947363604998</v>
      </c>
      <c r="D488" s="1">
        <v>5.77107191498445</v>
      </c>
      <c r="E488" s="1">
        <v>-0.15664241603276699</v>
      </c>
      <c r="F488" s="1">
        <v>1.86095472193071E-3</v>
      </c>
      <c r="G488" s="1">
        <v>8.4592960917350704E-2</v>
      </c>
      <c r="H488">
        <v>0.79755821714045505</v>
      </c>
      <c r="I488">
        <v>1.76080239662582E-3</v>
      </c>
    </row>
    <row r="489" spans="1:9" x14ac:dyDescent="0.25">
      <c r="A489">
        <v>10.1144403219223</v>
      </c>
      <c r="B489" s="1">
        <v>6.6042890540659398</v>
      </c>
      <c r="C489" s="1">
        <v>6.6884635197347899</v>
      </c>
      <c r="D489" s="1">
        <v>6.7883804080150902</v>
      </c>
      <c r="E489" s="1">
        <v>-0.22771580640132699</v>
      </c>
      <c r="F489" s="1">
        <v>1.8102825741703799E-3</v>
      </c>
      <c r="G489" s="1">
        <v>8.6363816151450501E-2</v>
      </c>
      <c r="H489">
        <v>0.76286265149283805</v>
      </c>
      <c r="I489" s="1">
        <v>4.4162838702518003E-3</v>
      </c>
    </row>
    <row r="490" spans="1:9" x14ac:dyDescent="0.25">
      <c r="A490">
        <v>12.024745345115599</v>
      </c>
      <c r="B490" s="1">
        <v>7.5526867351830003</v>
      </c>
      <c r="C490" s="1">
        <v>7.2558107498480204</v>
      </c>
      <c r="D490" s="1">
        <v>7.5106654781313704</v>
      </c>
      <c r="E490" s="1">
        <v>-0.30498588095687501</v>
      </c>
      <c r="F490" s="1">
        <v>1.8231768232559601E-3</v>
      </c>
      <c r="G490" s="1">
        <v>8.9576547838070494E-2</v>
      </c>
      <c r="H490">
        <v>0.73219722861112202</v>
      </c>
      <c r="I490">
        <v>8.0722806862436498E-3</v>
      </c>
    </row>
    <row r="491" spans="1:9" x14ac:dyDescent="0.25">
      <c r="A491">
        <v>14.106971025466899</v>
      </c>
      <c r="B491" s="1">
        <v>8.44975851395726</v>
      </c>
      <c r="C491" s="1">
        <v>7.6006910582072997</v>
      </c>
      <c r="D491" s="1">
        <v>7.8806644741402803</v>
      </c>
      <c r="E491" s="1">
        <v>-0.38175399878389199</v>
      </c>
      <c r="F491" s="1">
        <v>1.9527283600986099E-3</v>
      </c>
      <c r="G491" s="1">
        <v>9.3854159498076906E-2</v>
      </c>
      <c r="H491">
        <v>0.70764954964522897</v>
      </c>
      <c r="I491">
        <v>1.02925502698622E-2</v>
      </c>
    </row>
    <row r="492" spans="1:9" x14ac:dyDescent="0.25">
      <c r="A492">
        <v>16.3766205310821</v>
      </c>
      <c r="B492" s="1">
        <v>9.2812501929104307</v>
      </c>
      <c r="C492" s="1">
        <v>7.7036818491469496</v>
      </c>
      <c r="D492" s="1">
        <v>7.9162680812855202</v>
      </c>
      <c r="E492" s="1">
        <v>-0.45257714811726002</v>
      </c>
      <c r="F492" s="1">
        <v>2.1884976272281901E-3</v>
      </c>
      <c r="G492" s="1">
        <v>9.7466107392656098E-2</v>
      </c>
      <c r="H492">
        <v>0.68732046603358199</v>
      </c>
      <c r="I492">
        <v>9.4028029559279705E-3</v>
      </c>
    </row>
    <row r="493" spans="1:9" x14ac:dyDescent="0.25">
      <c r="A493">
        <v>18.850511312484699</v>
      </c>
      <c r="B493" s="1">
        <v>10.0408138773739</v>
      </c>
      <c r="C493" s="1">
        <v>7.58758927327289</v>
      </c>
      <c r="D493" s="1">
        <v>7.6821724516383396</v>
      </c>
      <c r="E493" s="1">
        <v>-0.51401756504044205</v>
      </c>
      <c r="F493" s="1">
        <v>2.3965005207334401E-3</v>
      </c>
      <c r="G493" s="1">
        <v>9.8897009213856094E-2</v>
      </c>
      <c r="H493">
        <v>0.668691653849393</v>
      </c>
      <c r="I493">
        <v>5.89830921786206E-3</v>
      </c>
    </row>
    <row r="494" spans="1:9" x14ac:dyDescent="0.25">
      <c r="A494">
        <v>21.5470612049102</v>
      </c>
      <c r="B494" s="1">
        <v>10.728328957348999</v>
      </c>
      <c r="C494" s="1">
        <v>7.2973476003971802</v>
      </c>
      <c r="D494" s="1">
        <v>7.2570900941364096</v>
      </c>
      <c r="E494" s="1">
        <v>-0.56447297475301705</v>
      </c>
      <c r="F494" s="1">
        <v>2.4705353919358499E-3</v>
      </c>
      <c r="G494" s="1">
        <v>9.7603873057196699E-2</v>
      </c>
      <c r="H494">
        <v>0.65032780802579904</v>
      </c>
      <c r="I494">
        <v>1.3067365431789701E-3</v>
      </c>
    </row>
    <row r="495" spans="1:9" x14ac:dyDescent="0.25">
      <c r="A495">
        <v>24.4862973690032</v>
      </c>
      <c r="B495" s="1">
        <v>11.3475978217422</v>
      </c>
      <c r="C495" s="1">
        <v>6.88294629646406</v>
      </c>
      <c r="D495" s="1">
        <v>6.7133347844026696</v>
      </c>
      <c r="E495" s="1">
        <v>-0.60360523465498295</v>
      </c>
      <c r="F495" s="1">
        <v>2.4903346887420702E-3</v>
      </c>
      <c r="G495" s="1">
        <v>9.3834380921179697E-2</v>
      </c>
      <c r="H495">
        <v>0.63171237121900303</v>
      </c>
      <c r="I495">
        <v>-3.0632285790138701E-3</v>
      </c>
    </row>
    <row r="496" spans="1:9" x14ac:dyDescent="0.25">
      <c r="A496">
        <v>27.690052986145002</v>
      </c>
      <c r="B496" s="1">
        <v>11.90453036049</v>
      </c>
      <c r="C496" s="1">
        <v>6.3902406184351896</v>
      </c>
      <c r="D496" s="1">
        <v>6.1092353467724596</v>
      </c>
      <c r="E496" s="1">
        <v>-0.63179801305108296</v>
      </c>
      <c r="F496" s="1">
        <v>2.5989772669221798E-3</v>
      </c>
      <c r="G496" s="1">
        <v>8.8195928868481405E-2</v>
      </c>
      <c r="H496">
        <v>0.612853885420377</v>
      </c>
      <c r="I496">
        <v>-6.5120948139241802E-3</v>
      </c>
    </row>
    <row r="497" spans="1:9" x14ac:dyDescent="0.25">
      <c r="A497">
        <v>31.1821639537811</v>
      </c>
      <c r="B497" s="1">
        <v>12.4059632561504</v>
      </c>
      <c r="C497" s="1">
        <v>5.8572557819861597</v>
      </c>
      <c r="D497" s="1">
        <v>5.4875505061046201</v>
      </c>
      <c r="E497" s="1">
        <v>-0.64979310296771697</v>
      </c>
      <c r="F497" s="1">
        <v>2.7113905805218499E-3</v>
      </c>
      <c r="G497" s="1">
        <v>8.1346339576862103E-2</v>
      </c>
      <c r="H497">
        <v>0.59396017628351605</v>
      </c>
      <c r="I497">
        <v>-8.8202725153515293E-3</v>
      </c>
    </row>
    <row r="498" spans="1:9" x14ac:dyDescent="0.25">
      <c r="A498">
        <v>34.988558292388902</v>
      </c>
      <c r="B498" s="1">
        <v>12.858974411278901</v>
      </c>
      <c r="C498" s="1">
        <v>5.3132240512859399</v>
      </c>
      <c r="D498" s="1">
        <v>4.8777857949760302</v>
      </c>
      <c r="E498" s="1">
        <v>-0.65843912732718202</v>
      </c>
      <c r="F498" s="1">
        <v>2.5671704920935501E-3</v>
      </c>
      <c r="G498" s="1">
        <v>7.3855874193431204E-2</v>
      </c>
      <c r="H498">
        <v>0.57556232050567302</v>
      </c>
      <c r="I498" s="1">
        <v>-1.00647590771356E-2</v>
      </c>
    </row>
    <row r="499" spans="1:9" x14ac:dyDescent="0.25">
      <c r="A499">
        <v>39.137506484985302</v>
      </c>
      <c r="B499" s="1">
        <v>13.270406856328201</v>
      </c>
      <c r="C499" s="1">
        <v>4.77915449663851</v>
      </c>
      <c r="D499" s="1">
        <v>4.2991049176038896</v>
      </c>
      <c r="E499" s="1">
        <v>-0.65861986977558296</v>
      </c>
      <c r="F499" s="1">
        <v>2.1266689798615001E-3</v>
      </c>
      <c r="G499" s="1">
        <v>6.6093457585870499E-2</v>
      </c>
      <c r="H499">
        <v>0.55826373104036797</v>
      </c>
      <c r="I499">
        <v>-1.04021844078921E-2</v>
      </c>
    </row>
    <row r="500" spans="1:9" x14ac:dyDescent="0.25">
      <c r="A500">
        <v>43.659898638725203</v>
      </c>
      <c r="B500" s="1">
        <v>13.646576746493499</v>
      </c>
      <c r="C500" s="1">
        <v>4.2688312257159797</v>
      </c>
      <c r="D500" s="1">
        <v>3.7627080189781399</v>
      </c>
      <c r="E500" s="1">
        <v>-0.65102071617038404</v>
      </c>
      <c r="F500" s="1">
        <v>1.69687636508669E-3</v>
      </c>
      <c r="G500" s="1">
        <v>5.8321472609353102E-2</v>
      </c>
      <c r="H500">
        <v>0.54249064446510797</v>
      </c>
      <c r="I500">
        <v>-1.00291277704176E-2</v>
      </c>
    </row>
    <row r="501" spans="1:9" x14ac:dyDescent="0.25">
      <c r="A501">
        <v>48.589280247688201</v>
      </c>
      <c r="B501" s="1">
        <v>13.993114664345899</v>
      </c>
      <c r="C501" s="1">
        <v>3.7907124656630899</v>
      </c>
      <c r="D501" s="1">
        <v>3.2740597352757601</v>
      </c>
      <c r="E501" s="1">
        <v>-0.63625795279098996</v>
      </c>
      <c r="F501" s="1">
        <v>1.54483672600191E-3</v>
      </c>
      <c r="G501" s="1">
        <v>5.0710748033508897E-2</v>
      </c>
      <c r="H501">
        <v>0.52816987326313802</v>
      </c>
      <c r="I501">
        <v>-9.1365322519897808E-3</v>
      </c>
    </row>
    <row r="502" spans="1:9" x14ac:dyDescent="0.25">
      <c r="A502">
        <v>53.962334990501397</v>
      </c>
      <c r="B502" s="1">
        <v>14.3148830972015</v>
      </c>
      <c r="C502" s="1">
        <v>3.3493351510260201</v>
      </c>
      <c r="D502" s="1">
        <v>2.83485985048583</v>
      </c>
      <c r="E502" s="1">
        <v>-0.61479468712892604</v>
      </c>
      <c r="F502" s="1">
        <v>1.5362763623578499E-3</v>
      </c>
      <c r="G502" s="1">
        <v>4.34268631352311E-2</v>
      </c>
      <c r="H502">
        <v>0.51540265651331396</v>
      </c>
      <c r="I502">
        <v>-7.9355033129405901E-3</v>
      </c>
    </row>
    <row r="503" spans="1:9" x14ac:dyDescent="0.25">
      <c r="A503">
        <v>59.818929433822603</v>
      </c>
      <c r="B503" s="1">
        <v>14.6157288692295</v>
      </c>
      <c r="C503" s="1">
        <v>2.9459625856834402</v>
      </c>
      <c r="D503" s="1">
        <v>2.4441531801160501</v>
      </c>
      <c r="E503" s="1">
        <v>-0.58695438262279598</v>
      </c>
      <c r="F503" s="1">
        <v>8.42349127496986E-4</v>
      </c>
      <c r="G503" s="1">
        <v>3.6602964199349497E-2</v>
      </c>
      <c r="H503">
        <v>0.50442022905403805</v>
      </c>
      <c r="I503">
        <v>-6.63269166289866E-3</v>
      </c>
    </row>
    <row r="504" spans="1:9" x14ac:dyDescent="0.25">
      <c r="A504">
        <v>66.202640533447195</v>
      </c>
      <c r="B504" s="1">
        <v>14.898140355139899</v>
      </c>
      <c r="C504" s="1">
        <v>2.5796208009669401</v>
      </c>
      <c r="D504" s="1">
        <v>2.09903114970643</v>
      </c>
      <c r="E504" s="1">
        <v>-0.55287406727093402</v>
      </c>
      <c r="F504" s="1">
        <v>-2.11557142880308E-4</v>
      </c>
      <c r="G504" s="1">
        <v>3.0286194785718201E-2</v>
      </c>
      <c r="H504">
        <v>0.49413425290782698</v>
      </c>
      <c r="I504">
        <v>-5.3329005632700901E-3</v>
      </c>
    </row>
    <row r="505" spans="1:9" x14ac:dyDescent="0.25">
      <c r="A505">
        <v>73.160880804061804</v>
      </c>
      <c r="B505" s="1">
        <v>15.1631840012371</v>
      </c>
      <c r="C505" s="1">
        <v>2.24697526222007</v>
      </c>
      <c r="D505" s="1">
        <v>1.7945373698636999</v>
      </c>
      <c r="E505" s="1">
        <v>-0.51271917306432302</v>
      </c>
      <c r="F505" s="1">
        <v>-7.0567325480114197E-4</v>
      </c>
      <c r="G505" s="1">
        <v>2.4593370186877302E-2</v>
      </c>
      <c r="H505">
        <v>0.48421617546017998</v>
      </c>
      <c r="I505">
        <v>-4.14748400121476E-3</v>
      </c>
    </row>
    <row r="506" spans="1:9" x14ac:dyDescent="0.25">
      <c r="A506">
        <v>80.745358765125204</v>
      </c>
      <c r="B506" s="1">
        <v>15.4112724206745</v>
      </c>
      <c r="C506" s="1">
        <v>1.94221830370224</v>
      </c>
      <c r="D506" s="1">
        <v>1.52404768496084</v>
      </c>
      <c r="E506" s="1">
        <v>-0.46631648283336802</v>
      </c>
      <c r="F506" s="1">
        <v>-3.56227714249709E-4</v>
      </c>
      <c r="G506" s="1">
        <v>1.9639644264095001E-2</v>
      </c>
      <c r="H506">
        <v>0.47635477431371998</v>
      </c>
      <c r="I506">
        <v>-3.1586936212384701E-3</v>
      </c>
    </row>
    <row r="507" spans="1:9" x14ac:dyDescent="0.25">
      <c r="A507">
        <v>89.012441039085303</v>
      </c>
      <c r="B507" s="1">
        <v>15.6423611781895</v>
      </c>
      <c r="C507" s="1">
        <v>1.6612200077688599</v>
      </c>
      <c r="D507" s="1">
        <v>1.2819603772545001</v>
      </c>
      <c r="E507" s="1">
        <v>-0.41343351205497803</v>
      </c>
      <c r="F507" s="1">
        <v>2.2174131543873499E-4</v>
      </c>
      <c r="G507" s="1">
        <v>1.5401594548925399E-2</v>
      </c>
      <c r="H507">
        <v>0.471827398237469</v>
      </c>
      <c r="I507">
        <v>-2.3490656184351299E-3</v>
      </c>
    </row>
    <row r="508" spans="1:9" x14ac:dyDescent="0.25">
      <c r="A508">
        <v>98.0235546827316</v>
      </c>
      <c r="B508" s="1">
        <v>15.8547553859055</v>
      </c>
      <c r="C508" s="1">
        <v>1.40285719923122</v>
      </c>
      <c r="D508" s="1">
        <v>1.06488251401946</v>
      </c>
      <c r="E508" s="1">
        <v>-0.35407884622019098</v>
      </c>
      <c r="F508" s="1">
        <v>1.16056132977709E-3</v>
      </c>
      <c r="G508" s="1">
        <v>1.1814187811652801E-2</v>
      </c>
      <c r="H508">
        <v>0.46944163422401902</v>
      </c>
      <c r="I508">
        <v>-1.6963871766314401E-3</v>
      </c>
    </row>
    <row r="509" spans="1:9" x14ac:dyDescent="0.25">
      <c r="A509">
        <v>107.845674455165</v>
      </c>
      <c r="B509" s="1">
        <v>16.0443416080772</v>
      </c>
      <c r="C509" s="1">
        <v>1.1677325634973299</v>
      </c>
      <c r="D509" s="1">
        <v>0.871111064161043</v>
      </c>
      <c r="E509" s="1">
        <v>-0.28822670824364099</v>
      </c>
      <c r="F509" s="1">
        <v>1.9245722800203E-3</v>
      </c>
      <c r="G509" s="1">
        <v>8.9009471997342805E-3</v>
      </c>
      <c r="H509">
        <v>0.47069162874334097</v>
      </c>
      <c r="I509">
        <v>-1.2146647629555599E-3</v>
      </c>
    </row>
    <row r="510" spans="1:9" x14ac:dyDescent="0.25">
      <c r="A510">
        <v>118.551787734031</v>
      </c>
      <c r="B510" s="1">
        <v>16.204416467934799</v>
      </c>
      <c r="C510" s="1">
        <v>0.962033054564017</v>
      </c>
      <c r="D510" s="1">
        <v>0.70537878825665601</v>
      </c>
      <c r="E510" s="1">
        <v>-0.215452851857834</v>
      </c>
      <c r="F510" s="1">
        <v>2.2595492174925899E-3</v>
      </c>
      <c r="G510" s="1">
        <v>6.6478294351618502E-3</v>
      </c>
      <c r="H510">
        <v>0.47762460626014602</v>
      </c>
      <c r="I510">
        <v>-8.7423787454386597E-4</v>
      </c>
    </row>
    <row r="511" spans="1:9" x14ac:dyDescent="0.25">
      <c r="A511">
        <v>130.22144660353601</v>
      </c>
      <c r="B511" s="1">
        <v>16.325597777157999</v>
      </c>
      <c r="C511" s="1">
        <v>0.79941082146069598</v>
      </c>
      <c r="D511" s="1">
        <v>0.57679315558145305</v>
      </c>
      <c r="E511" s="1">
        <v>-0.13528142098356899</v>
      </c>
      <c r="F511" s="1">
        <v>2.1070351060505101E-3</v>
      </c>
      <c r="G511" s="1">
        <v>5.1012832009227098E-3</v>
      </c>
      <c r="H511">
        <v>0.49150092737833401</v>
      </c>
      <c r="I511">
        <v>-6.6998170190120604E-4</v>
      </c>
    </row>
    <row r="512" spans="1:9" x14ac:dyDescent="0.25">
      <c r="A512">
        <v>143.15376933664001</v>
      </c>
      <c r="B512" s="1">
        <v>16.3957610569298</v>
      </c>
      <c r="C512" s="1">
        <v>0.70321990311640503</v>
      </c>
      <c r="D512" s="1">
        <v>0.50124868489809304</v>
      </c>
      <c r="E512" s="1">
        <v>-4.5795813641129599E-2</v>
      </c>
      <c r="F512" s="1">
        <v>2.4310369335685598E-3</v>
      </c>
      <c r="G512" s="1">
        <v>4.32135105169997E-3</v>
      </c>
      <c r="H512">
        <v>0.499175811493763</v>
      </c>
      <c r="I512">
        <v>-6.0987492578663002E-4</v>
      </c>
    </row>
    <row r="513" spans="1:9" x14ac:dyDescent="0.25">
      <c r="A513" t="s">
        <v>20</v>
      </c>
      <c r="B513" s="1" t="s">
        <v>9</v>
      </c>
      <c r="C513" s="1" t="s">
        <v>32</v>
      </c>
      <c r="D513" s="1" t="s">
        <v>33</v>
      </c>
      <c r="E513" s="1" t="s">
        <v>34</v>
      </c>
      <c r="F513" s="1" t="s">
        <v>35</v>
      </c>
      <c r="G513" s="1" t="s">
        <v>30</v>
      </c>
      <c r="H513" t="s">
        <v>36</v>
      </c>
      <c r="I513" t="s">
        <v>31</v>
      </c>
    </row>
    <row r="514" spans="1:9" x14ac:dyDescent="0.25">
      <c r="A514">
        <v>-143.38788986206001</v>
      </c>
      <c r="B514" s="1">
        <v>-51.082058212003702</v>
      </c>
      <c r="C514" s="1">
        <v>1.09827772390147E-3</v>
      </c>
      <c r="D514" s="1">
        <v>0</v>
      </c>
      <c r="E514" s="1">
        <v>0</v>
      </c>
      <c r="F514" s="1">
        <v>0</v>
      </c>
      <c r="G514" s="1">
        <v>7.7342632091373304E-8</v>
      </c>
      <c r="H514">
        <v>8.9969728386394707E-2</v>
      </c>
      <c r="I514" s="1">
        <v>0</v>
      </c>
    </row>
    <row r="515" spans="1:9" x14ac:dyDescent="0.25">
      <c r="A515">
        <v>-130.70960640907199</v>
      </c>
      <c r="B515" s="1">
        <v>-46.578287249646202</v>
      </c>
      <c r="C515" s="1">
        <v>1.1380661669218E-3</v>
      </c>
      <c r="D515" s="1">
        <v>0</v>
      </c>
      <c r="E515" s="1">
        <v>0</v>
      </c>
      <c r="F515" s="1">
        <v>0</v>
      </c>
      <c r="G515" s="1">
        <v>1.3903047900533301E-7</v>
      </c>
      <c r="H515">
        <v>0.43732084532493198</v>
      </c>
      <c r="I515" s="1">
        <v>0</v>
      </c>
    </row>
    <row r="516" spans="1:9" x14ac:dyDescent="0.25">
      <c r="A516">
        <v>-119.078135490417</v>
      </c>
      <c r="B516" s="1">
        <v>-42.443890756211303</v>
      </c>
      <c r="C516" s="1">
        <v>1.2326647506561901E-3</v>
      </c>
      <c r="D516" s="1">
        <v>0</v>
      </c>
      <c r="E516" s="1">
        <v>0</v>
      </c>
      <c r="F516" s="1">
        <v>0</v>
      </c>
      <c r="G516" s="1">
        <v>2.6129845746868102E-7</v>
      </c>
      <c r="H516">
        <v>0.63172529475658101</v>
      </c>
      <c r="I516" s="1">
        <v>0</v>
      </c>
    </row>
    <row r="517" spans="1:9" x14ac:dyDescent="0.25">
      <c r="A517">
        <v>-108.407056331634</v>
      </c>
      <c r="B517" s="1">
        <v>-38.648782884917203</v>
      </c>
      <c r="C517" s="1">
        <v>1.4105318768038401E-3</v>
      </c>
      <c r="D517" s="1">
        <v>0</v>
      </c>
      <c r="E517" s="1">
        <v>0</v>
      </c>
      <c r="F517" s="1">
        <v>0</v>
      </c>
      <c r="G517" s="1">
        <v>4.5541394830692001E-7</v>
      </c>
      <c r="H517">
        <v>0.71511631229286798</v>
      </c>
      <c r="I517" s="1">
        <v>0</v>
      </c>
    </row>
    <row r="518" spans="1:9" x14ac:dyDescent="0.25">
      <c r="A518">
        <v>-98.617064952850299</v>
      </c>
      <c r="B518" s="1">
        <v>-35.165305858693102</v>
      </c>
      <c r="C518" s="1">
        <v>1.7075445589007599E-3</v>
      </c>
      <c r="D518" s="1">
        <v>0</v>
      </c>
      <c r="E518" s="1">
        <v>0</v>
      </c>
      <c r="F518" s="1">
        <v>0</v>
      </c>
      <c r="G518" s="1">
        <v>7.4748406637278804E-7</v>
      </c>
      <c r="H518">
        <v>0.74985162747995504</v>
      </c>
      <c r="I518" s="1">
        <v>0</v>
      </c>
    </row>
    <row r="519" spans="1:9" x14ac:dyDescent="0.25">
      <c r="A519">
        <v>-89.635455608367906</v>
      </c>
      <c r="B519" s="1">
        <v>-31.968017315707201</v>
      </c>
      <c r="C519" s="1">
        <v>2.1656869562960402E-3</v>
      </c>
      <c r="D519" s="1">
        <v>0</v>
      </c>
      <c r="E519" s="1">
        <v>0</v>
      </c>
      <c r="F519" s="1">
        <v>0</v>
      </c>
      <c r="G519" s="1">
        <v>1.1814276946653301E-6</v>
      </c>
      <c r="H519">
        <v>0.763262640011513</v>
      </c>
      <c r="I519" s="1">
        <v>0</v>
      </c>
    </row>
    <row r="520" spans="1:9" x14ac:dyDescent="0.25">
      <c r="A520">
        <v>-81.395459175109806</v>
      </c>
      <c r="B520" s="1">
        <v>-29.0335443077898</v>
      </c>
      <c r="C520" s="1">
        <v>2.8339467937783499E-3</v>
      </c>
      <c r="D520" s="1">
        <v>0</v>
      </c>
      <c r="E520" s="1">
        <v>0</v>
      </c>
      <c r="F520" s="1">
        <v>0</v>
      </c>
      <c r="G520" s="1">
        <v>1.82363235217697E-6</v>
      </c>
      <c r="H520">
        <v>0.76736217226093295</v>
      </c>
      <c r="I520" s="1">
        <v>0</v>
      </c>
    </row>
    <row r="521" spans="1:9" x14ac:dyDescent="0.25">
      <c r="A521">
        <v>-73.835813999175997</v>
      </c>
      <c r="B521" s="1">
        <v>-26.340394450566802</v>
      </c>
      <c r="C521" s="1">
        <v>3.7700886976779098E-3</v>
      </c>
      <c r="D521" s="1">
        <v>0</v>
      </c>
      <c r="E521" s="1">
        <v>0</v>
      </c>
      <c r="F521" s="1">
        <v>0</v>
      </c>
      <c r="G521" s="1">
        <v>2.7698417743504602E-6</v>
      </c>
      <c r="H521">
        <v>0.76778146687542803</v>
      </c>
      <c r="I521" s="1">
        <v>0</v>
      </c>
    </row>
    <row r="522" spans="1:9" x14ac:dyDescent="0.25">
      <c r="A522">
        <v>-66.900336742401095</v>
      </c>
      <c r="B522" s="1">
        <v>-23.868819443724099</v>
      </c>
      <c r="C522" s="1">
        <v>5.04262772133756E-3</v>
      </c>
      <c r="D522" s="1">
        <v>0</v>
      </c>
      <c r="E522" s="1">
        <v>0</v>
      </c>
      <c r="F522" s="1">
        <v>0</v>
      </c>
      <c r="G522" s="1">
        <v>4.1547964272026199E-6</v>
      </c>
      <c r="H522">
        <v>0.76722449404191495</v>
      </c>
      <c r="I522" s="1">
        <v>0</v>
      </c>
    </row>
    <row r="523" spans="1:9" x14ac:dyDescent="0.25">
      <c r="A523">
        <v>-60.537528991699197</v>
      </c>
      <c r="B523" s="1">
        <v>-21.600673830351798</v>
      </c>
      <c r="C523" s="1">
        <v>6.7327005193362696E-3</v>
      </c>
      <c r="D523" s="1">
        <v>0</v>
      </c>
      <c r="E523" s="1">
        <v>0</v>
      </c>
      <c r="F523" s="1">
        <v>0</v>
      </c>
      <c r="G523" s="1">
        <v>6.1649133626318002E-6</v>
      </c>
      <c r="H523">
        <v>0.76694549644243704</v>
      </c>
      <c r="I523" s="1">
        <v>0</v>
      </c>
    </row>
    <row r="524" spans="1:9" x14ac:dyDescent="0.25">
      <c r="A524">
        <v>-54.700112342834402</v>
      </c>
      <c r="B524" s="1">
        <v>-19.5192880390501</v>
      </c>
      <c r="C524" s="1">
        <v>8.9356881386066702E-3</v>
      </c>
      <c r="D524" s="1">
        <v>0</v>
      </c>
      <c r="E524" s="1">
        <v>0</v>
      </c>
      <c r="F524" s="1">
        <v>0</v>
      </c>
      <c r="G524" s="1">
        <v>9.0539525055310897E-6</v>
      </c>
      <c r="H524">
        <v>0.76744766019660204</v>
      </c>
      <c r="I524" s="1">
        <v>0</v>
      </c>
    </row>
    <row r="525" spans="1:9" x14ac:dyDescent="0.25">
      <c r="A525">
        <v>-49.344670772552398</v>
      </c>
      <c r="B525" s="1">
        <v>-17.609345393470502</v>
      </c>
      <c r="C525" s="1">
        <v>1.17624774371165E-2</v>
      </c>
      <c r="D525" s="1">
        <v>0</v>
      </c>
      <c r="E525" s="1">
        <v>0</v>
      </c>
      <c r="F525" s="1">
        <v>0</v>
      </c>
      <c r="G525" s="1">
        <v>1.3161389409384001E-5</v>
      </c>
      <c r="H525">
        <v>0.76884021166039296</v>
      </c>
      <c r="I525" s="1">
        <v>0</v>
      </c>
    </row>
    <row r="526" spans="1:9" x14ac:dyDescent="0.25">
      <c r="A526">
        <v>-44.431400299072202</v>
      </c>
      <c r="B526" s="1">
        <v>-15.8567773720538</v>
      </c>
      <c r="C526" s="1">
        <v>1.5340196078653799E-2</v>
      </c>
      <c r="D526" s="1">
        <v>0</v>
      </c>
      <c r="E526" s="1">
        <v>0</v>
      </c>
      <c r="F526" s="1">
        <v>0</v>
      </c>
      <c r="G526" s="1">
        <v>1.89333302363903E-5</v>
      </c>
      <c r="H526">
        <v>0.77103849313956796</v>
      </c>
      <c r="I526" s="1">
        <v>0</v>
      </c>
    </row>
    <row r="527" spans="1:9" x14ac:dyDescent="0.25">
      <c r="A527">
        <v>-39.923822879791203</v>
      </c>
      <c r="B527" s="1">
        <v>-14.2486628352022</v>
      </c>
      <c r="C527" s="1">
        <v>1.9812246058904699E-2</v>
      </c>
      <c r="D527" s="1">
        <v>0</v>
      </c>
      <c r="E527" s="1">
        <v>0</v>
      </c>
      <c r="F527" s="1">
        <v>0</v>
      </c>
      <c r="G527" s="1">
        <v>2.6946418497579801E-5</v>
      </c>
      <c r="H527">
        <v>0.773886016900871</v>
      </c>
      <c r="I527" s="1">
        <v>0</v>
      </c>
    </row>
    <row r="528" spans="1:9" x14ac:dyDescent="0.25">
      <c r="A528">
        <v>-35.788428783416698</v>
      </c>
      <c r="B528" s="1">
        <v>-12.7731351873195</v>
      </c>
      <c r="C528" s="1">
        <v>2.5337570644864998E-2</v>
      </c>
      <c r="D528" s="1">
        <v>0</v>
      </c>
      <c r="E528" s="1">
        <v>0</v>
      </c>
      <c r="F528" s="1">
        <v>0</v>
      </c>
      <c r="G528" s="1">
        <v>3.7936204995245799E-5</v>
      </c>
      <c r="H528">
        <v>0.77722878743183699</v>
      </c>
      <c r="I528" s="1">
        <v>0</v>
      </c>
    </row>
    <row r="529" spans="1:9" x14ac:dyDescent="0.25">
      <c r="A529">
        <v>-31.994497776031402</v>
      </c>
      <c r="B529" s="1">
        <v>-11.4192950932598</v>
      </c>
      <c r="C529" s="1">
        <v>3.2089230161261598E-2</v>
      </c>
      <c r="D529" s="1">
        <v>0</v>
      </c>
      <c r="E529" s="1">
        <v>0</v>
      </c>
      <c r="F529" s="1">
        <v>0</v>
      </c>
      <c r="G529" s="1">
        <v>5.2832713299251098E-5</v>
      </c>
      <c r="H529">
        <v>0.78095525560293499</v>
      </c>
      <c r="I529" s="1">
        <v>0</v>
      </c>
    </row>
    <row r="530" spans="1:9" x14ac:dyDescent="0.25">
      <c r="A530">
        <v>-28.5138309001922</v>
      </c>
      <c r="B530" s="1">
        <v>-10.177134700334699</v>
      </c>
      <c r="C530" s="1">
        <v>4.0252479398930001E-2</v>
      </c>
      <c r="D530" s="1">
        <v>0</v>
      </c>
      <c r="E530" s="1">
        <v>0</v>
      </c>
      <c r="F530" s="1">
        <v>0</v>
      </c>
      <c r="G530" s="1">
        <v>7.2807957998808303E-5</v>
      </c>
      <c r="H530">
        <v>0.78501199121090204</v>
      </c>
      <c r="I530" s="1">
        <v>0</v>
      </c>
    </row>
    <row r="531" spans="1:9" x14ac:dyDescent="0.25">
      <c r="A531">
        <v>-25.320571660995402</v>
      </c>
      <c r="B531" s="1">
        <v>-9.0374644391528101</v>
      </c>
      <c r="C531" s="1">
        <v>5.0022749602817301E-2</v>
      </c>
      <c r="D531" s="1">
        <v>0</v>
      </c>
      <c r="E531" s="1">
        <v>0</v>
      </c>
      <c r="F531" s="1">
        <v>0</v>
      </c>
      <c r="G531" s="1">
        <v>9.93432440488728E-5</v>
      </c>
      <c r="H531">
        <v>0.78940527453750398</v>
      </c>
      <c r="I531" s="1">
        <v>0</v>
      </c>
    </row>
    <row r="532" spans="1:9" x14ac:dyDescent="0.25">
      <c r="A532">
        <v>-22.3909378051757</v>
      </c>
      <c r="B532" s="1">
        <v>-7.9918462715401102</v>
      </c>
      <c r="C532" s="1">
        <v>6.16038948002142E-2</v>
      </c>
      <c r="D532" s="1">
        <v>0</v>
      </c>
      <c r="E532" s="1">
        <v>0</v>
      </c>
      <c r="F532" s="1">
        <v>0</v>
      </c>
      <c r="G532" s="1">
        <v>1.3432924621465501E-4</v>
      </c>
      <c r="H532">
        <v>0.79419597637657702</v>
      </c>
      <c r="I532" s="1">
        <v>0</v>
      </c>
    </row>
    <row r="533" spans="1:9" x14ac:dyDescent="0.25">
      <c r="A533">
        <v>-19.7032213211059</v>
      </c>
      <c r="B533" s="1">
        <v>-7.0325337822838403</v>
      </c>
      <c r="C533" s="1">
        <v>7.5207271123076597E-2</v>
      </c>
      <c r="D533" s="1">
        <v>0</v>
      </c>
      <c r="E533" s="1">
        <v>0</v>
      </c>
      <c r="F533" s="1">
        <v>0</v>
      </c>
      <c r="G533" s="1">
        <v>1.8021924719308199E-4</v>
      </c>
      <c r="H533">
        <v>0.79949161814343495</v>
      </c>
      <c r="I533" s="1">
        <v>0</v>
      </c>
    </row>
    <row r="534" spans="1:9" x14ac:dyDescent="0.25">
      <c r="A534">
        <v>-17.237430810928299</v>
      </c>
      <c r="B534" s="1">
        <v>-6.1524149984876404</v>
      </c>
      <c r="C534" s="1">
        <v>9.1052092700237994E-2</v>
      </c>
      <c r="D534" s="1">
        <v>0</v>
      </c>
      <c r="E534" s="1">
        <v>0</v>
      </c>
      <c r="F534" s="1">
        <v>0</v>
      </c>
      <c r="G534" s="1">
        <v>2.4026570643204701E-4</v>
      </c>
      <c r="H534">
        <v>0.80543478904058297</v>
      </c>
      <c r="I534" s="1">
        <v>0</v>
      </c>
    </row>
    <row r="535" spans="1:9" x14ac:dyDescent="0.25">
      <c r="A535">
        <v>-14.975237846374499</v>
      </c>
      <c r="B535" s="1">
        <v>-5.3449610608919302</v>
      </c>
      <c r="C535" s="1">
        <v>0.10936771916749401</v>
      </c>
      <c r="D535" s="1">
        <v>0</v>
      </c>
      <c r="E535" s="1">
        <v>0</v>
      </c>
      <c r="F535" s="1">
        <v>0</v>
      </c>
      <c r="G535" s="1">
        <v>3.1888195642515801E-4</v>
      </c>
      <c r="H535">
        <v>0.81218553655187098</v>
      </c>
      <c r="I535" s="1">
        <v>0</v>
      </c>
    </row>
    <row r="536" spans="1:9" x14ac:dyDescent="0.25">
      <c r="A536">
        <v>-12.8998160362243</v>
      </c>
      <c r="B536" s="1">
        <v>-4.6041791105932299</v>
      </c>
      <c r="C536" s="1">
        <v>0.13039847310710601</v>
      </c>
      <c r="D536" s="1">
        <v>0</v>
      </c>
      <c r="E536" s="1">
        <v>0</v>
      </c>
      <c r="F536" s="1">
        <v>0</v>
      </c>
      <c r="G536" s="1">
        <v>4.2218542020826499E-4</v>
      </c>
      <c r="H536">
        <v>0.81989569849027799</v>
      </c>
      <c r="I536" s="1">
        <v>0</v>
      </c>
    </row>
    <row r="537" spans="1:9" x14ac:dyDescent="0.25">
      <c r="A537">
        <v>-10.995769500732401</v>
      </c>
      <c r="B537" s="1">
        <v>-3.9245685480824402</v>
      </c>
      <c r="C537" s="1">
        <v>0.15441144904502799</v>
      </c>
      <c r="D537" s="1">
        <v>0</v>
      </c>
      <c r="E537" s="1">
        <v>0</v>
      </c>
      <c r="F537" s="1">
        <v>0</v>
      </c>
      <c r="G537" s="1">
        <v>5.5879766569041998E-4</v>
      </c>
      <c r="H537">
        <v>0.82867630544771698</v>
      </c>
      <c r="I537" s="1">
        <v>0</v>
      </c>
    </row>
    <row r="538" spans="1:9" x14ac:dyDescent="0.25">
      <c r="A538">
        <v>-9.2489361763000399</v>
      </c>
      <c r="B538" s="1">
        <v>-3.3010813093102298</v>
      </c>
      <c r="C538" s="1">
        <v>0.18170785558095301</v>
      </c>
      <c r="D538" s="1">
        <v>0</v>
      </c>
      <c r="E538" s="1">
        <v>0</v>
      </c>
      <c r="F538" s="1">
        <v>0</v>
      </c>
      <c r="G538" s="1">
        <v>7.4100349428007797E-4</v>
      </c>
      <c r="H538">
        <v>0.83856313997031795</v>
      </c>
      <c r="I538" s="1">
        <v>0</v>
      </c>
    </row>
    <row r="539" spans="1:9" x14ac:dyDescent="0.25">
      <c r="A539">
        <v>-7.6463341712951598</v>
      </c>
      <c r="B539" s="1">
        <v>-2.7290844230270701</v>
      </c>
      <c r="C539" s="1">
        <v>0.21263798349264099</v>
      </c>
      <c r="D539" s="1">
        <v>0</v>
      </c>
      <c r="E539" s="1">
        <v>0</v>
      </c>
      <c r="F539" s="1">
        <v>0</v>
      </c>
      <c r="G539" s="1">
        <v>9.8641614905701992E-4</v>
      </c>
      <c r="H539">
        <v>0.84949004093399305</v>
      </c>
      <c r="I539" s="1">
        <v>0</v>
      </c>
    </row>
    <row r="540" spans="1:9" x14ac:dyDescent="0.25">
      <c r="A540">
        <v>-6.1760544776916504</v>
      </c>
      <c r="B540" s="1">
        <v>-2.2043269818938098</v>
      </c>
      <c r="C540" s="1">
        <v>0.24762014539100999</v>
      </c>
      <c r="D540" s="1">
        <v>0</v>
      </c>
      <c r="E540" s="1">
        <v>0</v>
      </c>
      <c r="F540" s="1">
        <v>0</v>
      </c>
      <c r="G540" s="1">
        <v>1.3203665808427399E-3</v>
      </c>
      <c r="H540">
        <v>0.861279936375421</v>
      </c>
      <c r="I540" s="1">
        <v>0</v>
      </c>
    </row>
    <row r="541" spans="1:9" x14ac:dyDescent="0.25">
      <c r="A541">
        <v>-4.8271894454956001</v>
      </c>
      <c r="B541" s="1">
        <v>-1.7229086013800201</v>
      </c>
      <c r="C541" s="1">
        <v>0.287163504400268</v>
      </c>
      <c r="D541" s="1">
        <v>0</v>
      </c>
      <c r="E541" s="1">
        <v>0</v>
      </c>
      <c r="F541" s="1">
        <v>0</v>
      </c>
      <c r="G541" s="1">
        <v>1.77935351566873E-3</v>
      </c>
      <c r="H541">
        <v>0.873659433704434</v>
      </c>
      <c r="I541" s="1">
        <v>0</v>
      </c>
    </row>
    <row r="542" spans="1:9" x14ac:dyDescent="0.25">
      <c r="A542">
        <v>-3.5896897315978999</v>
      </c>
      <c r="B542" s="1">
        <v>-1.28124946563605</v>
      </c>
      <c r="C542" s="1">
        <v>0.33189550364750098</v>
      </c>
      <c r="D542" s="1">
        <v>0</v>
      </c>
      <c r="E542" s="1">
        <v>0</v>
      </c>
      <c r="F542" s="1">
        <v>0</v>
      </c>
      <c r="G542" s="1">
        <v>2.4160734810078498E-3</v>
      </c>
      <c r="H542">
        <v>0.88629444327713802</v>
      </c>
      <c r="I542" s="1">
        <v>0</v>
      </c>
    </row>
    <row r="543" spans="1:9" x14ac:dyDescent="0.25">
      <c r="A543">
        <v>-2.4543642997741602</v>
      </c>
      <c r="B543" s="1">
        <v>-0.87606572940114802</v>
      </c>
      <c r="C543" s="1">
        <v>0.38259419571750097</v>
      </c>
      <c r="D543" s="1">
        <v>0</v>
      </c>
      <c r="E543" s="1">
        <v>0</v>
      </c>
      <c r="F543" s="1">
        <v>0</v>
      </c>
      <c r="G543" s="1">
        <v>3.3067683249112102E-3</v>
      </c>
      <c r="H543">
        <v>0.89883437181042802</v>
      </c>
      <c r="I543" s="1">
        <v>0</v>
      </c>
    </row>
    <row r="544" spans="1:9" x14ac:dyDescent="0.25">
      <c r="A544">
        <v>-1.41280889511108</v>
      </c>
      <c r="B544" s="1">
        <v>-0.50434531665507598</v>
      </c>
      <c r="C544" s="1">
        <v>0.44022802005474598</v>
      </c>
      <c r="D544" s="1">
        <v>0</v>
      </c>
      <c r="E544" s="1">
        <v>0</v>
      </c>
      <c r="F544" s="1">
        <v>0</v>
      </c>
      <c r="G544" s="1">
        <v>4.5620967817967496E-3</v>
      </c>
      <c r="H544">
        <v>0.91095585537004597</v>
      </c>
      <c r="I544" s="1">
        <v>0</v>
      </c>
    </row>
    <row r="545" spans="1:9" x14ac:dyDescent="0.25">
      <c r="A545">
        <v>-0.45722723007202098</v>
      </c>
      <c r="B545" s="1">
        <v>-0.16332371926966899</v>
      </c>
      <c r="C545" s="1">
        <v>0.50600061443492395</v>
      </c>
      <c r="D545" s="1">
        <v>0</v>
      </c>
      <c r="E545" s="1">
        <v>0</v>
      </c>
      <c r="F545" s="1">
        <v>0</v>
      </c>
      <c r="G545" s="1">
        <v>6.40341321076903E-3</v>
      </c>
      <c r="H545">
        <v>0.92312429262867901</v>
      </c>
      <c r="I545" s="1">
        <v>0</v>
      </c>
    </row>
    <row r="546" spans="1:9" x14ac:dyDescent="0.25">
      <c r="A546">
        <v>0.49999952316284102</v>
      </c>
      <c r="B546" s="1">
        <v>0.35670969799991697</v>
      </c>
      <c r="C546" s="1">
        <v>0.640173917600805</v>
      </c>
      <c r="D546" s="1">
        <v>0.10614927725500201</v>
      </c>
      <c r="E546" s="1">
        <v>-1.51194254798721E-4</v>
      </c>
      <c r="F546" s="1">
        <v>2.24226520590372E-4</v>
      </c>
      <c r="G546" s="1">
        <v>6.1897999178261498E-2</v>
      </c>
      <c r="H546">
        <v>0.97808106459676003</v>
      </c>
      <c r="I546" s="1">
        <v>3.4132120376962998E-7</v>
      </c>
    </row>
    <row r="547" spans="1:9" x14ac:dyDescent="0.25">
      <c r="A547">
        <v>1.5449970960617001</v>
      </c>
      <c r="B547" s="1">
        <v>1.1018509657764</v>
      </c>
      <c r="C547" s="1">
        <v>0.91561819062553595</v>
      </c>
      <c r="D547" s="1">
        <v>0.44188958123285199</v>
      </c>
      <c r="E547" s="1">
        <v>-1.6864136135664399E-3</v>
      </c>
      <c r="F547" s="1">
        <v>5.7080631212019003E-4</v>
      </c>
      <c r="G547" s="1">
        <v>6.9424800731573394E-2</v>
      </c>
      <c r="H547">
        <v>0.96884384571091198</v>
      </c>
      <c r="I547" s="1">
        <v>1.00854364969197E-5</v>
      </c>
    </row>
    <row r="548" spans="1:9" x14ac:dyDescent="0.25">
      <c r="A548">
        <v>2.6840418577194201</v>
      </c>
      <c r="B548" s="1">
        <v>1.9103831032001599</v>
      </c>
      <c r="C548" s="1">
        <v>1.3347851904290999</v>
      </c>
      <c r="D548" s="1">
        <v>0.98598172187146704</v>
      </c>
      <c r="E548" s="1">
        <v>-7.7201740497952103E-3</v>
      </c>
      <c r="F548" s="1">
        <v>7.9534861843313302E-4</v>
      </c>
      <c r="G548" s="1">
        <v>7.5967835832526698E-2</v>
      </c>
      <c r="H548">
        <v>0.95466092301865602</v>
      </c>
      <c r="I548" s="1">
        <v>5.1611747520339801E-5</v>
      </c>
    </row>
    <row r="549" spans="1:9" x14ac:dyDescent="0.25">
      <c r="A549">
        <v>3.9256095886230402</v>
      </c>
      <c r="B549" s="1">
        <v>2.78151182995077</v>
      </c>
      <c r="C549" s="1">
        <v>1.9296937037252</v>
      </c>
      <c r="D549" s="1">
        <v>1.7758519146538501</v>
      </c>
      <c r="E549" s="1">
        <v>-2.1963304400345201E-2</v>
      </c>
      <c r="F549" s="1">
        <v>8.9640974341208301E-4</v>
      </c>
      <c r="G549" s="1">
        <v>8.0956823454177401E-2</v>
      </c>
      <c r="H549">
        <v>0.93415862289026597</v>
      </c>
      <c r="I549" s="1">
        <v>1.29351562861043E-4</v>
      </c>
    </row>
    <row r="550" spans="1:9" x14ac:dyDescent="0.25">
      <c r="A550">
        <v>5.2789181470870901</v>
      </c>
      <c r="B550" s="1">
        <v>3.7091098406993899</v>
      </c>
      <c r="C550" s="1">
        <v>2.7121270843817902</v>
      </c>
      <c r="D550" s="1">
        <v>2.81139348549915</v>
      </c>
      <c r="E550" s="1">
        <v>-4.87364683333101E-2</v>
      </c>
      <c r="F550" s="1">
        <v>8.7813568786274305E-4</v>
      </c>
      <c r="G550" s="1">
        <v>8.3206066962192002E-2</v>
      </c>
      <c r="H550">
        <v>0.90505603380805799</v>
      </c>
      <c r="I550" s="1">
        <v>2.55339263312032E-4</v>
      </c>
    </row>
    <row r="551" spans="1:9" x14ac:dyDescent="0.25">
      <c r="A551">
        <v>6.7540258169174097</v>
      </c>
      <c r="B551" s="1">
        <v>4.6799370141410401</v>
      </c>
      <c r="C551" s="1">
        <v>3.65183189484378</v>
      </c>
      <c r="D551" s="1">
        <v>4.0237943487705001</v>
      </c>
      <c r="E551" s="1">
        <v>-9.1335807896825702E-2</v>
      </c>
      <c r="F551" s="1">
        <v>7.6359187122232799E-4</v>
      </c>
      <c r="G551" s="1">
        <v>8.2735626807216495E-2</v>
      </c>
      <c r="H551">
        <v>0.86572559965687701</v>
      </c>
      <c r="I551">
        <v>5.5302430233250001E-4</v>
      </c>
    </row>
    <row r="552" spans="1:9" x14ac:dyDescent="0.25">
      <c r="A552">
        <v>8.3618760108947701</v>
      </c>
      <c r="B552" s="1">
        <v>5.6733349205636596</v>
      </c>
      <c r="C552" s="1">
        <v>4.6641377261839798</v>
      </c>
      <c r="D552" s="1">
        <v>5.2691945202377104</v>
      </c>
      <c r="E552" s="1">
        <v>-0.15021510348630199</v>
      </c>
      <c r="F552" s="1">
        <v>6.0914164177956103E-4</v>
      </c>
      <c r="G552" s="1">
        <v>8.1376388414152803E-2</v>
      </c>
      <c r="H552">
        <v>0.81850718069888995</v>
      </c>
      <c r="I552">
        <v>1.5377060048438801E-3</v>
      </c>
    </row>
    <row r="553" spans="1:9" x14ac:dyDescent="0.25">
      <c r="A553">
        <v>10.1144403219223</v>
      </c>
      <c r="B553" s="1">
        <v>6.6632779853128996</v>
      </c>
      <c r="C553" s="1">
        <v>5.6240558938588903</v>
      </c>
      <c r="D553" s="1">
        <v>6.36779120458925</v>
      </c>
      <c r="E553" s="1">
        <v>-0.22200663164387299</v>
      </c>
      <c r="F553" s="1">
        <v>4.9857823079366603E-4</v>
      </c>
      <c r="G553" s="1">
        <v>8.17136833246183E-2</v>
      </c>
      <c r="H553">
        <v>0.77173565122777099</v>
      </c>
      <c r="I553">
        <v>4.1084268184651898E-3</v>
      </c>
    </row>
    <row r="554" spans="1:9" x14ac:dyDescent="0.25">
      <c r="A554">
        <v>12.024745345115599</v>
      </c>
      <c r="B554" s="1">
        <v>7.6229384185456803</v>
      </c>
      <c r="C554" s="1">
        <v>6.4078879205917403</v>
      </c>
      <c r="D554" s="1">
        <v>7.1718203373275298</v>
      </c>
      <c r="E554" s="1">
        <v>-0.300390673554424</v>
      </c>
      <c r="F554" s="1">
        <v>5.2299430725580905E-4</v>
      </c>
      <c r="G554" s="1">
        <v>8.4905323430557997E-2</v>
      </c>
      <c r="H554">
        <v>0.73392286175583898</v>
      </c>
      <c r="I554">
        <v>7.8475953137253501E-3</v>
      </c>
    </row>
    <row r="555" spans="1:9" x14ac:dyDescent="0.25">
      <c r="A555">
        <v>14.106971025466899</v>
      </c>
      <c r="B555" s="1">
        <v>8.5300097183966201</v>
      </c>
      <c r="C555" s="1">
        <v>6.9356155379209596</v>
      </c>
      <c r="D555" s="1">
        <v>7.6142170441989796</v>
      </c>
      <c r="E555" s="1">
        <v>-0.37836439606917199</v>
      </c>
      <c r="F555" s="1">
        <v>7.3622727083802898E-4</v>
      </c>
      <c r="G555" s="1">
        <v>8.9829890739555301E-2</v>
      </c>
      <c r="H555">
        <v>0.70639765107944397</v>
      </c>
      <c r="I555">
        <v>1.03020635453059E-2</v>
      </c>
    </row>
    <row r="556" spans="1:9" x14ac:dyDescent="0.25">
      <c r="A556">
        <v>16.3766205310821</v>
      </c>
      <c r="B556" s="1">
        <v>9.3701027946257192</v>
      </c>
      <c r="C556" s="1">
        <v>7.1864006688556303</v>
      </c>
      <c r="D556" s="1">
        <v>7.7095397441210398</v>
      </c>
      <c r="E556" s="1">
        <v>-0.45028850793260899</v>
      </c>
      <c r="F556" s="1">
        <v>1.1257862885323299E-3</v>
      </c>
      <c r="G556" s="1">
        <v>9.4275343358793104E-2</v>
      </c>
      <c r="H556">
        <v>0.68532045186475299</v>
      </c>
      <c r="I556">
        <v>9.6557630193955003E-3</v>
      </c>
    </row>
    <row r="557" spans="1:9" x14ac:dyDescent="0.25">
      <c r="A557">
        <v>18.850511312484699</v>
      </c>
      <c r="B557" s="1">
        <v>10.1370125801944</v>
      </c>
      <c r="C557" s="1">
        <v>7.1862956961267601</v>
      </c>
      <c r="D557" s="1">
        <v>7.5224543132464499</v>
      </c>
      <c r="E557" s="1">
        <v>-0.51264047998474305</v>
      </c>
      <c r="F557" s="1">
        <v>1.5490443915079099E-3</v>
      </c>
      <c r="G557" s="1">
        <v>9.6486315813345297E-2</v>
      </c>
      <c r="H557">
        <v>0.66679345415762603</v>
      </c>
      <c r="I557">
        <v>6.3115899631272197E-3</v>
      </c>
    </row>
    <row r="558" spans="1:9" x14ac:dyDescent="0.25">
      <c r="A558">
        <v>21.5470612049102</v>
      </c>
      <c r="B558" s="1">
        <v>10.8308247716807</v>
      </c>
      <c r="C558" s="1">
        <v>6.9853561062627598</v>
      </c>
      <c r="D558" s="1">
        <v>7.13347119085629</v>
      </c>
      <c r="E558" s="1">
        <v>-0.56380407345466699</v>
      </c>
      <c r="F558" s="1">
        <v>1.872084372255E-3</v>
      </c>
      <c r="G558" s="1">
        <v>9.5830456991234894E-2</v>
      </c>
      <c r="H558">
        <v>0.64876039680755804</v>
      </c>
      <c r="I558">
        <v>1.7829946012120699E-3</v>
      </c>
    </row>
    <row r="559" spans="1:9" x14ac:dyDescent="0.25">
      <c r="A559">
        <v>24.4862973690032</v>
      </c>
      <c r="B559" s="1">
        <v>11.4555306078576</v>
      </c>
      <c r="C559" s="1">
        <v>6.6388979059411204</v>
      </c>
      <c r="D559" s="1">
        <v>6.6170637466718398</v>
      </c>
      <c r="E559" s="1">
        <v>-0.603460077448296</v>
      </c>
      <c r="F559" s="1">
        <v>2.1251947752959498E-3</v>
      </c>
      <c r="G559" s="1">
        <v>9.2543608475743999E-2</v>
      </c>
      <c r="H559">
        <v>0.63048574812277702</v>
      </c>
      <c r="I559">
        <v>-2.5955969316937299E-3</v>
      </c>
    </row>
    <row r="560" spans="1:9" x14ac:dyDescent="0.25">
      <c r="A560">
        <v>27.690052986145002</v>
      </c>
      <c r="B560" s="1">
        <v>12.0171843932652</v>
      </c>
      <c r="C560" s="1">
        <v>6.1975661455071496</v>
      </c>
      <c r="D560" s="1">
        <v>6.0334511071834998</v>
      </c>
      <c r="E560" s="1">
        <v>-0.63202374624632696</v>
      </c>
      <c r="F560" s="1">
        <v>2.4043525935879499E-3</v>
      </c>
      <c r="G560" s="1">
        <v>8.72545125826759E-2</v>
      </c>
      <c r="H560">
        <v>0.61191620177843997</v>
      </c>
      <c r="I560">
        <v>-6.09300669056959E-3</v>
      </c>
    </row>
    <row r="561" spans="1:9" x14ac:dyDescent="0.25">
      <c r="A561">
        <v>31.1821639537811</v>
      </c>
      <c r="B561" s="1">
        <v>12.5227354855918</v>
      </c>
      <c r="C561" s="1">
        <v>5.7033994319499399</v>
      </c>
      <c r="D561" s="1">
        <v>5.4271887832710597</v>
      </c>
      <c r="E561" s="1">
        <v>-0.65027103378241302</v>
      </c>
      <c r="F561" s="1">
        <v>2.6110801778132199E-3</v>
      </c>
      <c r="G561" s="1">
        <v>8.0649564020518205E-2</v>
      </c>
      <c r="H561">
        <v>0.59324528325708104</v>
      </c>
      <c r="I561">
        <v>-8.4638851736267597E-3</v>
      </c>
    </row>
    <row r="562" spans="1:9" x14ac:dyDescent="0.25">
      <c r="A562">
        <v>34.988558292388902</v>
      </c>
      <c r="B562" s="1">
        <v>12.979350657918401</v>
      </c>
      <c r="C562" s="1">
        <v>5.1888614069321104</v>
      </c>
      <c r="D562" s="1">
        <v>4.8290273470809204</v>
      </c>
      <c r="E562" s="1">
        <v>-0.65907903186601302</v>
      </c>
      <c r="F562" s="1">
        <v>2.5077044007430398E-3</v>
      </c>
      <c r="G562" s="1">
        <v>7.3326453888160295E-2</v>
      </c>
      <c r="H562">
        <v>0.57501118420941499</v>
      </c>
      <c r="I562" s="1">
        <v>-9.7698923665706598E-3</v>
      </c>
    </row>
    <row r="563" spans="1:9" x14ac:dyDescent="0.25">
      <c r="A563">
        <v>39.137506484985302</v>
      </c>
      <c r="B563" s="1">
        <v>13.3939253108286</v>
      </c>
      <c r="C563" s="1">
        <v>4.67746034997253</v>
      </c>
      <c r="D563" s="1">
        <v>4.2592167301321098</v>
      </c>
      <c r="E563" s="1">
        <v>-0.65935597805198798</v>
      </c>
      <c r="F563" s="1">
        <v>2.07665968404849E-3</v>
      </c>
      <c r="G563" s="1">
        <v>6.5680553280939205E-2</v>
      </c>
      <c r="H563">
        <v>0.55784291409482101</v>
      </c>
      <c r="I563">
        <v>-1.01639913043872E-2</v>
      </c>
    </row>
    <row r="564" spans="1:9" x14ac:dyDescent="0.25">
      <c r="A564">
        <v>43.659898638725203</v>
      </c>
      <c r="B564" s="1">
        <v>13.772821621754099</v>
      </c>
      <c r="C564" s="1">
        <v>4.1849141116544999</v>
      </c>
      <c r="D564" s="1">
        <v>3.7298855188276199</v>
      </c>
      <c r="E564" s="1">
        <v>-0.65180955024140796</v>
      </c>
      <c r="F564" s="1">
        <v>1.63764473186174E-3</v>
      </c>
      <c r="G564" s="1">
        <v>5.7990265291851903E-2</v>
      </c>
      <c r="H564">
        <v>0.54214893310234602</v>
      </c>
      <c r="I564">
        <v>-9.8404778563192501E-3</v>
      </c>
    </row>
    <row r="565" spans="1:9" x14ac:dyDescent="0.25">
      <c r="A565">
        <v>48.589280247688201</v>
      </c>
      <c r="B565" s="1">
        <v>14.121703499712901</v>
      </c>
      <c r="C565" s="1">
        <v>3.72101222420314</v>
      </c>
      <c r="D565" s="1">
        <v>3.2468964317689801</v>
      </c>
      <c r="E565" s="1">
        <v>-0.63706983792864402</v>
      </c>
      <c r="F565" s="1">
        <v>1.4800935715135401E-3</v>
      </c>
      <c r="G565" s="1">
        <v>5.0438152119244198E-2</v>
      </c>
      <c r="H565">
        <v>0.52782767719086998</v>
      </c>
      <c r="I565">
        <v>-8.98839875960699E-3</v>
      </c>
    </row>
    <row r="566" spans="1:9" x14ac:dyDescent="0.25">
      <c r="A566">
        <v>53.962334990501397</v>
      </c>
      <c r="B566" s="1">
        <v>14.4454794542574</v>
      </c>
      <c r="C566" s="1">
        <v>3.2910393052807101</v>
      </c>
      <c r="D566" s="1">
        <v>2.8122891640597598</v>
      </c>
      <c r="E566" s="1">
        <v>-0.615598092107009</v>
      </c>
      <c r="F566" s="1">
        <v>1.48552391578904E-3</v>
      </c>
      <c r="G566" s="1">
        <v>4.3204269057344202E-2</v>
      </c>
      <c r="H566">
        <v>0.51506888981943</v>
      </c>
      <c r="I566">
        <v>-7.8228340244784096E-3</v>
      </c>
    </row>
    <row r="567" spans="1:9" x14ac:dyDescent="0.25">
      <c r="A567">
        <v>59.818929433822603</v>
      </c>
      <c r="B567" s="1">
        <v>14.748042331793201</v>
      </c>
      <c r="C567" s="1">
        <v>2.89682841640751</v>
      </c>
      <c r="D567" s="1">
        <v>2.42530441977252</v>
      </c>
      <c r="E567" s="1">
        <v>-0.58772073688582505</v>
      </c>
      <c r="F567" s="1">
        <v>8.1314261980490498E-4</v>
      </c>
      <c r="G567" s="1">
        <v>3.6423344412148402E-2</v>
      </c>
      <c r="H567">
        <v>0.50412267122007004</v>
      </c>
      <c r="I567">
        <v>-6.5510192878597802E-3</v>
      </c>
    </row>
    <row r="568" spans="1:9" x14ac:dyDescent="0.25">
      <c r="A568">
        <v>66.202640533447195</v>
      </c>
      <c r="B568" s="1">
        <v>15.0319297032141</v>
      </c>
      <c r="C568" s="1">
        <v>2.53790866576673</v>
      </c>
      <c r="D568" s="1">
        <v>2.0832342150060899</v>
      </c>
      <c r="E568" s="1">
        <v>-0.55358335796913705</v>
      </c>
      <c r="F568" s="1">
        <v>-2.5456252197962798E-4</v>
      </c>
      <c r="G568" s="1">
        <v>3.0141361698451202E-2</v>
      </c>
      <c r="H568">
        <v>0.49387468896206899</v>
      </c>
      <c r="I568">
        <v>-5.2770574356578604E-3</v>
      </c>
    </row>
    <row r="569" spans="1:9" x14ac:dyDescent="0.25">
      <c r="A569">
        <v>73.160880804061804</v>
      </c>
      <c r="B569" s="1">
        <v>15.298239754297599</v>
      </c>
      <c r="C569" s="1">
        <v>2.2112336985519501</v>
      </c>
      <c r="D569" s="1">
        <v>1.78114447836298</v>
      </c>
      <c r="E569" s="1">
        <v>-0.51335115083938199</v>
      </c>
      <c r="F569" s="1">
        <v>-8.0158030769536103E-4</v>
      </c>
      <c r="G569" s="1">
        <v>2.4473746290342598E-2</v>
      </c>
      <c r="H569">
        <v>0.48396065188598703</v>
      </c>
      <c r="I569">
        <v>-4.1103486575744001E-3</v>
      </c>
    </row>
    <row r="570" spans="1:9" x14ac:dyDescent="0.25">
      <c r="A570">
        <v>80.745358765125204</v>
      </c>
      <c r="B570" s="1">
        <v>15.5474025549077</v>
      </c>
      <c r="C570" s="1">
        <v>1.91118285232732</v>
      </c>
      <c r="D570" s="1">
        <v>1.51254251593741</v>
      </c>
      <c r="E570" s="1">
        <v>-0.46685937359382301</v>
      </c>
      <c r="F570" s="1">
        <v>-4.98485881848081E-4</v>
      </c>
      <c r="G570" s="1">
        <v>1.9539493732913499E-2</v>
      </c>
      <c r="H570">
        <v>0.476123672458166</v>
      </c>
      <c r="I570">
        <v>-3.1346889186742301E-3</v>
      </c>
    </row>
    <row r="571" spans="1:9" x14ac:dyDescent="0.25">
      <c r="A571">
        <v>89.012441039085303</v>
      </c>
      <c r="B571" s="1">
        <v>15.7793895395183</v>
      </c>
      <c r="C571" s="1">
        <v>1.6338685049922701</v>
      </c>
      <c r="D571" s="1">
        <v>1.2719597846362201</v>
      </c>
      <c r="E571" s="1">
        <v>-0.41387376932856401</v>
      </c>
      <c r="F571" s="1">
        <v>1.01027354097349E-4</v>
      </c>
      <c r="G571" s="1">
        <v>1.53153746100848E-2</v>
      </c>
      <c r="H571">
        <v>0.47159649365544798</v>
      </c>
      <c r="I571">
        <v>-2.3330471160764102E-3</v>
      </c>
    </row>
    <row r="572" spans="1:9" x14ac:dyDescent="0.25">
      <c r="A572">
        <v>98.0235546827316</v>
      </c>
      <c r="B572" s="1">
        <v>15.992504233279099</v>
      </c>
      <c r="C572" s="1">
        <v>1.3784396512164601</v>
      </c>
      <c r="D572" s="1">
        <v>1.0560792604901901</v>
      </c>
      <c r="E572" s="1">
        <v>-0.35441148185079902</v>
      </c>
      <c r="F572" s="1">
        <v>1.0997893572663999E-3</v>
      </c>
      <c r="G572" s="1">
        <v>1.1737826748519999E-2</v>
      </c>
      <c r="H572">
        <v>0.46915328852779797</v>
      </c>
      <c r="I572">
        <v>-1.6847945721356801E-3</v>
      </c>
    </row>
    <row r="573" spans="1:9" x14ac:dyDescent="0.25">
      <c r="A573">
        <v>107.845674455165</v>
      </c>
      <c r="B573" s="1">
        <v>16.182625265576799</v>
      </c>
      <c r="C573" s="1">
        <v>1.1456339885025899</v>
      </c>
      <c r="D573" s="1">
        <v>0.86351073490401997</v>
      </c>
      <c r="E573" s="1">
        <v>-0.28843746181682201</v>
      </c>
      <c r="F573" s="1">
        <v>1.95173927213976E-3</v>
      </c>
      <c r="G573" s="1">
        <v>8.8339492283771304E-3</v>
      </c>
      <c r="H573">
        <v>0.47045223058498498</v>
      </c>
      <c r="I573">
        <v>-1.2061617002878499E-3</v>
      </c>
    </row>
    <row r="574" spans="1:9" x14ac:dyDescent="0.25">
      <c r="A574">
        <v>118.551787734031</v>
      </c>
      <c r="B574" s="1">
        <v>16.343088933982798</v>
      </c>
      <c r="C574" s="1">
        <v>0.94167511227169498</v>
      </c>
      <c r="D574" s="1">
        <v>0.69860900937006198</v>
      </c>
      <c r="E574" s="1">
        <v>-0.21551679192770001</v>
      </c>
      <c r="F574" s="1">
        <v>2.37567181127929E-3</v>
      </c>
      <c r="G574" s="1">
        <v>6.5891644856253999E-3</v>
      </c>
      <c r="H574">
        <v>0.47760091314458702</v>
      </c>
      <c r="I574">
        <v>-8.6759162895536004E-4</v>
      </c>
    </row>
    <row r="575" spans="1:9" x14ac:dyDescent="0.25">
      <c r="A575">
        <v>130.22144660353601</v>
      </c>
      <c r="B575" s="1">
        <v>16.464494006492998</v>
      </c>
      <c r="C575" s="1">
        <v>0.78046670997900902</v>
      </c>
      <c r="D575" s="1">
        <v>0.57081551834789201</v>
      </c>
      <c r="E575" s="1">
        <v>-0.135189003536936</v>
      </c>
      <c r="F575" s="1">
        <v>2.2637112632551801E-3</v>
      </c>
      <c r="G575" s="1">
        <v>5.0481765308876096E-3</v>
      </c>
      <c r="H575">
        <v>0.49172826620611898</v>
      </c>
      <c r="I575">
        <v>-6.6439903543222105E-4</v>
      </c>
    </row>
    <row r="576" spans="1:9" x14ac:dyDescent="0.25">
      <c r="A576">
        <v>143.15376933664001</v>
      </c>
      <c r="B576" s="1">
        <v>16.5346715690278</v>
      </c>
      <c r="C576" s="1">
        <v>0.68541534818086702</v>
      </c>
      <c r="D576" s="1">
        <v>0.49590337524213701</v>
      </c>
      <c r="E576" s="1">
        <v>-4.5523081842291299E-2</v>
      </c>
      <c r="F576" s="1">
        <v>2.54127319105419E-3</v>
      </c>
      <c r="G576" s="1">
        <v>4.2718436204987904E-3</v>
      </c>
      <c r="H576">
        <v>0.49955895450917998</v>
      </c>
      <c r="I576">
        <v>-6.0440439371274102E-4</v>
      </c>
    </row>
    <row r="577" spans="1:9" x14ac:dyDescent="0.25">
      <c r="A577" t="s">
        <v>21</v>
      </c>
      <c r="B577" s="1" t="s">
        <v>9</v>
      </c>
      <c r="C577" s="1" t="s">
        <v>32</v>
      </c>
      <c r="D577" s="1" t="s">
        <v>33</v>
      </c>
      <c r="E577" s="1" t="s">
        <v>34</v>
      </c>
      <c r="F577" s="1" t="s">
        <v>35</v>
      </c>
      <c r="G577" s="1" t="s">
        <v>30</v>
      </c>
      <c r="H577" t="s">
        <v>36</v>
      </c>
      <c r="I577" t="s">
        <v>31</v>
      </c>
    </row>
    <row r="578" spans="1:9" x14ac:dyDescent="0.25">
      <c r="A578">
        <v>-143.38788986206001</v>
      </c>
      <c r="B578" s="1">
        <v>-102.093780606498</v>
      </c>
      <c r="C578" s="1">
        <v>1.6842964804304401E-3</v>
      </c>
      <c r="D578" s="1">
        <v>0</v>
      </c>
      <c r="E578" s="1">
        <v>0</v>
      </c>
      <c r="F578" s="1">
        <v>0</v>
      </c>
      <c r="G578" s="1">
        <v>1.3753727224632899E-7</v>
      </c>
      <c r="H578">
        <v>9.73868682358391E-2</v>
      </c>
      <c r="I578" s="1">
        <v>0</v>
      </c>
    </row>
    <row r="579" spans="1:9" x14ac:dyDescent="0.25">
      <c r="A579">
        <v>-130.70960640907199</v>
      </c>
      <c r="B579" s="1">
        <v>-93.087482869138199</v>
      </c>
      <c r="C579" s="1">
        <v>1.7716352982404199E-3</v>
      </c>
      <c r="D579" s="1">
        <v>0</v>
      </c>
      <c r="E579" s="1">
        <v>0</v>
      </c>
      <c r="F579" s="1">
        <v>0</v>
      </c>
      <c r="G579" s="1">
        <v>2.5521357864641201E-7</v>
      </c>
      <c r="H579">
        <v>0.45856123797341902</v>
      </c>
      <c r="I579" s="1">
        <v>0</v>
      </c>
    </row>
    <row r="580" spans="1:9" x14ac:dyDescent="0.25">
      <c r="A580">
        <v>-119.078135490417</v>
      </c>
      <c r="B580" s="1">
        <v>-84.820867210139696</v>
      </c>
      <c r="C580" s="1">
        <v>1.9711954086289998E-3</v>
      </c>
      <c r="D580" s="1">
        <v>0</v>
      </c>
      <c r="E580" s="1">
        <v>0</v>
      </c>
      <c r="F580" s="1">
        <v>0</v>
      </c>
      <c r="G580" s="1">
        <v>4.8859852151916704E-7</v>
      </c>
      <c r="H580">
        <v>0.650679233847406</v>
      </c>
      <c r="I580" s="1">
        <v>0</v>
      </c>
    </row>
    <row r="581" spans="1:9" x14ac:dyDescent="0.25">
      <c r="A581">
        <v>-108.407056331634</v>
      </c>
      <c r="B581" s="1">
        <v>-77.233514368047196</v>
      </c>
      <c r="C581" s="1">
        <v>2.33358329792565E-3</v>
      </c>
      <c r="D581" s="1">
        <v>0</v>
      </c>
      <c r="E581" s="1">
        <v>0</v>
      </c>
      <c r="F581" s="1">
        <v>0</v>
      </c>
      <c r="G581" s="1">
        <v>8.6024225413677804E-7</v>
      </c>
      <c r="H581">
        <v>0.73060353565366898</v>
      </c>
      <c r="I581" s="1">
        <v>0</v>
      </c>
    </row>
    <row r="582" spans="1:9" x14ac:dyDescent="0.25">
      <c r="A582">
        <v>-98.617064952850299</v>
      </c>
      <c r="B582" s="1">
        <v>-70.269883438457896</v>
      </c>
      <c r="C582" s="1">
        <v>2.9241535418975599E-3</v>
      </c>
      <c r="D582" s="1">
        <v>0</v>
      </c>
      <c r="E582" s="1">
        <v>0</v>
      </c>
      <c r="F582" s="1">
        <v>0</v>
      </c>
      <c r="G582" s="1">
        <v>1.4228522370998599E-6</v>
      </c>
      <c r="H582">
        <v>0.76315508127209597</v>
      </c>
      <c r="I582" s="1">
        <v>0</v>
      </c>
    </row>
    <row r="583" spans="1:9" x14ac:dyDescent="0.25">
      <c r="A583">
        <v>-89.635455608367906</v>
      </c>
      <c r="B583" s="1">
        <v>-63.878946870078501</v>
      </c>
      <c r="C583" s="1">
        <v>3.8212043613157199E-3</v>
      </c>
      <c r="D583" s="1">
        <v>0</v>
      </c>
      <c r="E583" s="1">
        <v>0</v>
      </c>
      <c r="F583" s="1">
        <v>0</v>
      </c>
      <c r="G583" s="1">
        <v>2.26605812350066E-6</v>
      </c>
      <c r="H583">
        <v>0.77541844777735602</v>
      </c>
      <c r="I583" s="1">
        <v>0</v>
      </c>
    </row>
    <row r="584" spans="1:9" x14ac:dyDescent="0.25">
      <c r="A584">
        <v>-81.395459175109806</v>
      </c>
      <c r="B584" s="1">
        <v>-58.013809591044897</v>
      </c>
      <c r="C584" s="1">
        <v>5.1184562951576097E-3</v>
      </c>
      <c r="D584" s="1">
        <v>0</v>
      </c>
      <c r="E584" s="1">
        <v>0</v>
      </c>
      <c r="F584" s="1">
        <v>0</v>
      </c>
      <c r="G584" s="1">
        <v>3.5270037599421899E-6</v>
      </c>
      <c r="H584">
        <v>0.779051370366319</v>
      </c>
      <c r="I584" s="1">
        <v>0</v>
      </c>
    </row>
    <row r="585" spans="1:9" x14ac:dyDescent="0.25">
      <c r="A585">
        <v>-73.835813999175997</v>
      </c>
      <c r="B585" s="1">
        <v>-52.631385266293996</v>
      </c>
      <c r="C585" s="1">
        <v>6.9292220065477698E-3</v>
      </c>
      <c r="D585" s="1">
        <v>0</v>
      </c>
      <c r="E585" s="1">
        <v>0</v>
      </c>
      <c r="F585" s="1">
        <v>0</v>
      </c>
      <c r="G585" s="1">
        <v>5.4062536404214596E-6</v>
      </c>
      <c r="H585">
        <v>0.77944077238179699</v>
      </c>
      <c r="I585" s="1">
        <v>0</v>
      </c>
    </row>
    <row r="586" spans="1:9" x14ac:dyDescent="0.25">
      <c r="A586">
        <v>-66.900336742401095</v>
      </c>
      <c r="B586" s="1">
        <v>-47.692101120461899</v>
      </c>
      <c r="C586" s="1">
        <v>9.3910431972261607E-3</v>
      </c>
      <c r="D586" s="1">
        <v>0</v>
      </c>
      <c r="E586" s="1">
        <v>0</v>
      </c>
      <c r="F586" s="1">
        <v>0</v>
      </c>
      <c r="G586" s="1">
        <v>8.1903666271665408E-6</v>
      </c>
      <c r="H586">
        <v>0.77912580406352905</v>
      </c>
      <c r="I586" s="1">
        <v>0</v>
      </c>
    </row>
    <row r="587" spans="1:9" x14ac:dyDescent="0.25">
      <c r="A587">
        <v>-60.537528991699197</v>
      </c>
      <c r="B587" s="1">
        <v>-43.159596412886998</v>
      </c>
      <c r="C587" s="1">
        <v>1.26703313904101E-2</v>
      </c>
      <c r="D587" s="1">
        <v>0</v>
      </c>
      <c r="E587" s="1">
        <v>0</v>
      </c>
      <c r="F587" s="1">
        <v>0</v>
      </c>
      <c r="G587" s="1">
        <v>1.2281890210834499E-5</v>
      </c>
      <c r="H587">
        <v>0.77924124594092603</v>
      </c>
      <c r="I587" s="1">
        <v>0</v>
      </c>
    </row>
    <row r="588" spans="1:9" x14ac:dyDescent="0.25">
      <c r="A588">
        <v>-54.700112342834402</v>
      </c>
      <c r="B588" s="1">
        <v>-39.000485978533703</v>
      </c>
      <c r="C588" s="1">
        <v>1.69667820902645E-2</v>
      </c>
      <c r="D588" s="1">
        <v>0</v>
      </c>
      <c r="E588" s="1">
        <v>0</v>
      </c>
      <c r="F588" s="1">
        <v>0</v>
      </c>
      <c r="G588" s="1">
        <v>1.8236759370304701E-5</v>
      </c>
      <c r="H588">
        <v>0.78019714582032396</v>
      </c>
      <c r="I588" s="1">
        <v>0</v>
      </c>
    </row>
    <row r="589" spans="1:9" x14ac:dyDescent="0.25">
      <c r="A589">
        <v>-49.344670772552398</v>
      </c>
      <c r="B589" s="1">
        <v>-35.184106312205301</v>
      </c>
      <c r="C589" s="1">
        <v>2.2517266708234701E-2</v>
      </c>
      <c r="D589" s="1">
        <v>0</v>
      </c>
      <c r="E589" s="1">
        <v>0</v>
      </c>
      <c r="F589" s="1">
        <v>0</v>
      </c>
      <c r="G589" s="1">
        <v>2.6808658797696702E-5</v>
      </c>
      <c r="H589">
        <v>0.78202978646794397</v>
      </c>
      <c r="I589" s="1">
        <v>0</v>
      </c>
    </row>
    <row r="590" spans="1:9" x14ac:dyDescent="0.25">
      <c r="A590">
        <v>-44.431400299072202</v>
      </c>
      <c r="B590" s="1">
        <v>-31.682294185717801</v>
      </c>
      <c r="C590" s="1">
        <v>2.9598683569133699E-2</v>
      </c>
      <c r="D590" s="1">
        <v>0</v>
      </c>
      <c r="E590" s="1">
        <v>0</v>
      </c>
      <c r="F590" s="1">
        <v>0</v>
      </c>
      <c r="G590" s="1">
        <v>3.9000406123306201E-5</v>
      </c>
      <c r="H590">
        <v>0.78460313198420195</v>
      </c>
      <c r="I590" s="1">
        <v>0</v>
      </c>
    </row>
    <row r="591" spans="1:9" x14ac:dyDescent="0.25">
      <c r="A591">
        <v>-39.923822879791203</v>
      </c>
      <c r="B591" s="1">
        <v>-28.4691946240861</v>
      </c>
      <c r="C591" s="1">
        <v>3.8529275099165199E-2</v>
      </c>
      <c r="D591" s="1">
        <v>0</v>
      </c>
      <c r="E591" s="1">
        <v>0</v>
      </c>
      <c r="F591" s="1">
        <v>0</v>
      </c>
      <c r="G591" s="1">
        <v>5.6124130167223198E-5</v>
      </c>
      <c r="H591">
        <v>0.78773271364326702</v>
      </c>
      <c r="I591" s="1">
        <v>0</v>
      </c>
    </row>
    <row r="592" spans="1:9" x14ac:dyDescent="0.25">
      <c r="A592">
        <v>-35.788428783416698</v>
      </c>
      <c r="B592" s="1">
        <v>-25.521064914276099</v>
      </c>
      <c r="C592" s="1">
        <v>4.9668121066360899E-2</v>
      </c>
      <c r="D592" s="1">
        <v>0</v>
      </c>
      <c r="E592" s="1">
        <v>0</v>
      </c>
      <c r="F592" s="1">
        <v>0</v>
      </c>
      <c r="G592" s="1">
        <v>7.9874622771214306E-5</v>
      </c>
      <c r="H592">
        <v>0.79125824200741501</v>
      </c>
      <c r="I592" s="1">
        <v>0</v>
      </c>
    </row>
    <row r="593" spans="1:17" x14ac:dyDescent="0.25">
      <c r="A593">
        <v>-31.994497776031402</v>
      </c>
      <c r="B593" s="1">
        <v>-22.816105394137299</v>
      </c>
      <c r="C593" s="1">
        <v>6.3413008385168695E-2</v>
      </c>
      <c r="D593" s="1">
        <v>0</v>
      </c>
      <c r="E593" s="1">
        <v>0</v>
      </c>
      <c r="F593" s="1">
        <v>0</v>
      </c>
      <c r="G593" s="1">
        <v>1.12423805339787E-4</v>
      </c>
      <c r="H593">
        <v>0.79507816825468902</v>
      </c>
      <c r="I593" s="1">
        <v>0</v>
      </c>
    </row>
    <row r="594" spans="1:17" x14ac:dyDescent="0.25">
      <c r="A594">
        <v>-28.5138309001922</v>
      </c>
      <c r="B594" s="1">
        <v>-20.3343011021867</v>
      </c>
      <c r="C594" s="1">
        <v>8.0197194560469101E-2</v>
      </c>
      <c r="D594" s="1">
        <v>0</v>
      </c>
      <c r="E594" s="1">
        <v>0</v>
      </c>
      <c r="F594" s="1">
        <v>0</v>
      </c>
      <c r="G594" s="1">
        <v>1.5654937011207699E-4</v>
      </c>
      <c r="H594">
        <v>0.79915881151673196</v>
      </c>
      <c r="I594" s="1">
        <v>0</v>
      </c>
    </row>
    <row r="595" spans="1:17" x14ac:dyDescent="0.25">
      <c r="A595">
        <v>-25.320571660995402</v>
      </c>
      <c r="B595" s="1">
        <v>-18.0572780077133</v>
      </c>
      <c r="C595" s="1">
        <v>0.10048593902797601</v>
      </c>
      <c r="D595" s="1">
        <v>0</v>
      </c>
      <c r="E595" s="1">
        <v>0</v>
      </c>
      <c r="F595" s="1">
        <v>0</v>
      </c>
      <c r="G595" s="1">
        <v>2.15819435757218E-4</v>
      </c>
      <c r="H595">
        <v>0.80352992035950099</v>
      </c>
      <c r="I595" s="1">
        <v>0</v>
      </c>
      <c r="N595" s="1"/>
      <c r="O595" s="1"/>
      <c r="Q595" s="1"/>
    </row>
    <row r="596" spans="1:17" x14ac:dyDescent="0.25">
      <c r="A596">
        <v>-22.3909378051757</v>
      </c>
      <c r="B596" s="1">
        <v>-15.968168217201899</v>
      </c>
      <c r="C596" s="1">
        <v>0.12477394227767</v>
      </c>
      <c r="D596" s="1">
        <v>0</v>
      </c>
      <c r="E596" s="1">
        <v>0</v>
      </c>
      <c r="F596" s="1">
        <v>0</v>
      </c>
      <c r="G596">
        <v>2.94868786704327E-4</v>
      </c>
      <c r="H596">
        <v>0.80827515692437402</v>
      </c>
      <c r="I596" s="1">
        <v>0</v>
      </c>
      <c r="N596" s="1"/>
      <c r="O596" s="1"/>
      <c r="Q596" s="1"/>
    </row>
    <row r="597" spans="1:17" x14ac:dyDescent="0.25">
      <c r="A597">
        <v>-19.7032213211059</v>
      </c>
      <c r="B597" s="1">
        <v>-14.051488074918501</v>
      </c>
      <c r="C597" s="1">
        <v>0.15358484038369999</v>
      </c>
      <c r="D597" s="1">
        <v>0</v>
      </c>
      <c r="E597" s="1">
        <v>0</v>
      </c>
      <c r="F597" s="1">
        <v>0</v>
      </c>
      <c r="G597">
        <v>3.99821794245695E-4</v>
      </c>
      <c r="H597">
        <v>0.81352019973941003</v>
      </c>
      <c r="I597" s="1">
        <v>0</v>
      </c>
      <c r="N597" s="1"/>
      <c r="O597" s="1"/>
      <c r="Q597" s="1"/>
    </row>
    <row r="598" spans="1:17" x14ac:dyDescent="0.25">
      <c r="A598">
        <v>-17.237430810928299</v>
      </c>
      <c r="B598" s="1">
        <v>-12.293024446328401</v>
      </c>
      <c r="C598" s="1">
        <v>0.18747421719353899</v>
      </c>
      <c r="D598" s="1">
        <v>0</v>
      </c>
      <c r="E598" s="1">
        <v>0</v>
      </c>
      <c r="F598" s="1">
        <v>0</v>
      </c>
      <c r="G598">
        <v>5.3894288971512996E-4</v>
      </c>
      <c r="H598">
        <v>0.81941749004623499</v>
      </c>
      <c r="I598" s="1">
        <v>0</v>
      </c>
      <c r="N598" s="1"/>
      <c r="O598" s="1"/>
      <c r="Q598" s="1"/>
    </row>
    <row r="599" spans="1:17" x14ac:dyDescent="0.25">
      <c r="A599">
        <v>-14.975237846374499</v>
      </c>
      <c r="B599" s="1">
        <v>-10.679730820913999</v>
      </c>
      <c r="C599" s="1">
        <v>0.227037526798085</v>
      </c>
      <c r="D599" s="1">
        <v>0</v>
      </c>
      <c r="E599" s="1">
        <v>0</v>
      </c>
      <c r="F599" s="1">
        <v>0</v>
      </c>
      <c r="G599">
        <v>7.2362549339146601E-4</v>
      </c>
      <c r="H599">
        <v>0.82612439591697395</v>
      </c>
      <c r="I599" s="1">
        <v>0</v>
      </c>
      <c r="N599" s="1"/>
      <c r="O599" s="1"/>
      <c r="Q599" s="1"/>
    </row>
    <row r="600" spans="1:17" x14ac:dyDescent="0.25">
      <c r="A600">
        <v>-12.8998160362243</v>
      </c>
      <c r="B600" s="1">
        <v>-9.1996334823567807</v>
      </c>
      <c r="C600" s="1">
        <v>0.272924535534457</v>
      </c>
      <c r="D600" s="1">
        <v>0</v>
      </c>
      <c r="E600" s="1">
        <v>0</v>
      </c>
      <c r="F600" s="1">
        <v>0</v>
      </c>
      <c r="G600">
        <v>9.6986764641684401E-4</v>
      </c>
      <c r="H600">
        <v>0.833774193740903</v>
      </c>
      <c r="I600" s="1">
        <v>0</v>
      </c>
      <c r="N600" s="1"/>
      <c r="O600" s="1"/>
      <c r="Q600" s="1"/>
    </row>
    <row r="601" spans="1:17" x14ac:dyDescent="0.25">
      <c r="A601">
        <v>-10.995769500732401</v>
      </c>
      <c r="B601" s="1">
        <v>-7.8417426380116897</v>
      </c>
      <c r="C601" s="1">
        <v>0.325861469828851</v>
      </c>
      <c r="D601" s="1">
        <v>0</v>
      </c>
      <c r="E601" s="1">
        <v>0</v>
      </c>
      <c r="F601" s="1">
        <v>0</v>
      </c>
      <c r="G601">
        <v>1.3004300250793199E-3</v>
      </c>
      <c r="H601">
        <v>0.84244224111235599</v>
      </c>
      <c r="I601" s="1">
        <v>0</v>
      </c>
      <c r="N601" s="1"/>
      <c r="O601" s="1"/>
      <c r="Q601" s="1"/>
    </row>
    <row r="602" spans="1:17" x14ac:dyDescent="0.25">
      <c r="A602">
        <v>-9.2489361763000399</v>
      </c>
      <c r="B602" s="1">
        <v>-6.5959730702240398</v>
      </c>
      <c r="C602" s="1">
        <v>0.38668181892535303</v>
      </c>
      <c r="D602" s="1">
        <v>0</v>
      </c>
      <c r="E602" s="1">
        <v>0</v>
      </c>
      <c r="F602" s="1">
        <v>0</v>
      </c>
      <c r="G602">
        <v>1.74794200550252E-3</v>
      </c>
      <c r="H602">
        <v>0.852115238462681</v>
      </c>
      <c r="I602" s="1">
        <v>0</v>
      </c>
      <c r="N602" s="1"/>
      <c r="O602" s="1"/>
      <c r="Q602" s="1"/>
    </row>
    <row r="603" spans="1:17" x14ac:dyDescent="0.25">
      <c r="A603">
        <v>-7.6463341712951598</v>
      </c>
      <c r="B603" s="1">
        <v>-5.4530703420538904</v>
      </c>
      <c r="C603" s="1">
        <v>0.45636646302227701</v>
      </c>
      <c r="D603" s="1">
        <v>0</v>
      </c>
      <c r="E603" s="1">
        <v>0</v>
      </c>
      <c r="F603" s="1">
        <v>0</v>
      </c>
      <c r="G603">
        <v>2.3593322885233099E-3</v>
      </c>
      <c r="H603">
        <v>0.86267411341051903</v>
      </c>
      <c r="I603" s="1">
        <v>0</v>
      </c>
      <c r="N603" s="1"/>
      <c r="O603" s="1"/>
      <c r="Q603" s="1"/>
    </row>
    <row r="604" spans="1:17" x14ac:dyDescent="0.25">
      <c r="A604">
        <v>-6.1760544776916504</v>
      </c>
      <c r="B604" s="1">
        <v>-4.4045441443820001</v>
      </c>
      <c r="C604" s="1">
        <v>0.53609283797595697</v>
      </c>
      <c r="D604" s="1">
        <v>0</v>
      </c>
      <c r="E604" s="1">
        <v>0</v>
      </c>
      <c r="F604" s="1">
        <v>0</v>
      </c>
      <c r="G604">
        <v>3.2021430649143601E-3</v>
      </c>
      <c r="H604">
        <v>0.87389870839369399</v>
      </c>
      <c r="I604" s="1">
        <v>0</v>
      </c>
      <c r="N604" s="1"/>
      <c r="O604" s="1"/>
      <c r="Q604" s="1"/>
    </row>
    <row r="605" spans="1:17" x14ac:dyDescent="0.25">
      <c r="A605">
        <v>-4.8271894454956001</v>
      </c>
      <c r="B605" s="1">
        <v>-3.4426016430158599</v>
      </c>
      <c r="C605" s="1">
        <v>0.627294415720825</v>
      </c>
      <c r="D605" s="1">
        <v>0</v>
      </c>
      <c r="E605" s="1">
        <v>0</v>
      </c>
      <c r="F605" s="1">
        <v>0</v>
      </c>
      <c r="G605">
        <v>4.3735784927161998E-3</v>
      </c>
      <c r="H605">
        <v>0.88549580434091202</v>
      </c>
      <c r="I605" s="1">
        <v>0</v>
      </c>
      <c r="N605" s="1"/>
      <c r="O605" s="1"/>
      <c r="Q605" s="1"/>
    </row>
    <row r="606" spans="1:17" x14ac:dyDescent="0.25">
      <c r="A606">
        <v>-3.5896897315978999</v>
      </c>
      <c r="B606" s="1">
        <v>-2.5600919346113198</v>
      </c>
      <c r="C606" s="1">
        <v>0.73172981956849903</v>
      </c>
      <c r="D606" s="1">
        <v>0</v>
      </c>
      <c r="E606" s="1">
        <v>0</v>
      </c>
      <c r="F606" s="1">
        <v>0</v>
      </c>
      <c r="G606">
        <v>6.0136027027692697E-3</v>
      </c>
      <c r="H606">
        <v>0.89714248733562196</v>
      </c>
      <c r="I606" s="1">
        <v>0</v>
      </c>
      <c r="N606" s="1"/>
      <c r="O606" s="1"/>
      <c r="Q606" s="1"/>
    </row>
    <row r="607" spans="1:17" x14ac:dyDescent="0.25">
      <c r="A607">
        <v>-2.4543642997741602</v>
      </c>
      <c r="B607" s="1">
        <v>-1.7504592309494</v>
      </c>
      <c r="C607" s="1">
        <v>0.85156452468072497</v>
      </c>
      <c r="D607" s="1">
        <v>0</v>
      </c>
      <c r="E607" s="1">
        <v>0</v>
      </c>
      <c r="F607" s="1">
        <v>0</v>
      </c>
      <c r="G607">
        <v>8.3240096585268392E-3</v>
      </c>
      <c r="H607">
        <v>0.90853016954298105</v>
      </c>
      <c r="I607" s="1">
        <v>0</v>
      </c>
      <c r="N607" s="1"/>
      <c r="O607" s="1"/>
      <c r="Q607" s="1"/>
    </row>
    <row r="608" spans="1:17" x14ac:dyDescent="0.25">
      <c r="A608">
        <v>-1.41280889511108</v>
      </c>
      <c r="B608" s="1">
        <v>-1.00768096696329</v>
      </c>
      <c r="C608" s="1">
        <v>0.98946939379129595</v>
      </c>
      <c r="D608" s="1">
        <v>0</v>
      </c>
      <c r="E608" s="1">
        <v>0</v>
      </c>
      <c r="F608" s="1">
        <v>0</v>
      </c>
      <c r="G608">
        <v>1.15966516003345E-2</v>
      </c>
      <c r="H608">
        <v>0.91940035027840505</v>
      </c>
      <c r="I608" s="1">
        <v>0</v>
      </c>
      <c r="N608" s="1"/>
      <c r="O608" s="1"/>
      <c r="Q608" s="1"/>
    </row>
    <row r="609" spans="1:17" x14ac:dyDescent="0.25">
      <c r="A609">
        <v>-0.45722723007202098</v>
      </c>
      <c r="B609" s="1">
        <v>-0.32624082218599398</v>
      </c>
      <c r="C609" s="1">
        <v>1.14873398503368</v>
      </c>
      <c r="D609" s="1">
        <v>0</v>
      </c>
      <c r="E609" s="1">
        <v>0</v>
      </c>
      <c r="F609" s="1">
        <v>0</v>
      </c>
      <c r="G609">
        <v>1.6499500713944099E-2</v>
      </c>
      <c r="H609">
        <v>0.93060531295208204</v>
      </c>
      <c r="I609" s="1">
        <v>0</v>
      </c>
      <c r="N609" s="1"/>
      <c r="O609" s="1"/>
      <c r="Q609" s="1"/>
    </row>
    <row r="610" spans="1:17" x14ac:dyDescent="0.25">
      <c r="A610">
        <v>0.49999952316284102</v>
      </c>
      <c r="B610" s="1">
        <v>0.35636416126298698</v>
      </c>
      <c r="C610" s="1">
        <v>1.35314072840265</v>
      </c>
      <c r="D610" s="1">
        <v>0.154013195250955</v>
      </c>
      <c r="E610" s="1">
        <v>-2.09946175038878E-4</v>
      </c>
      <c r="F610" s="1">
        <v>3.01039126108476E-4</v>
      </c>
      <c r="G610">
        <v>4.47918983732188E-2</v>
      </c>
      <c r="H610">
        <v>0.93622272102630999</v>
      </c>
      <c r="I610" s="1">
        <v>3.1325336883647999E-7</v>
      </c>
      <c r="N610" s="1"/>
      <c r="O610" s="1"/>
      <c r="Q610" s="1"/>
    </row>
    <row r="611" spans="1:17" x14ac:dyDescent="0.25">
      <c r="A611">
        <v>1.5449970960617001</v>
      </c>
      <c r="B611" s="1">
        <v>1.1007119422059</v>
      </c>
      <c r="C611" s="1">
        <v>1.6445060716214299</v>
      </c>
      <c r="D611" s="1">
        <v>0.56986043290655697</v>
      </c>
      <c r="E611" s="1">
        <v>-2.0530755388491299E-3</v>
      </c>
      <c r="F611" s="1">
        <v>7.8820132727074705E-4</v>
      </c>
      <c r="G611">
        <v>5.5270883444897799E-2</v>
      </c>
      <c r="H611">
        <v>0.93297261764762196</v>
      </c>
      <c r="I611" s="1">
        <v>1.00573279750056E-5</v>
      </c>
      <c r="N611" s="1"/>
      <c r="O611" s="1"/>
      <c r="Q611" s="1"/>
    </row>
    <row r="612" spans="1:17" x14ac:dyDescent="0.25">
      <c r="A612">
        <v>2.6840418577194201</v>
      </c>
      <c r="B612" s="1">
        <v>1.9079657723407699</v>
      </c>
      <c r="C612" s="1">
        <v>2.0560097321140298</v>
      </c>
      <c r="D612" s="1">
        <v>1.1732808869972</v>
      </c>
      <c r="E612" s="1">
        <v>-8.7045663811390495E-3</v>
      </c>
      <c r="F612" s="1">
        <v>1.1366801582334499E-3</v>
      </c>
      <c r="G612">
        <v>6.5335056870685596E-2</v>
      </c>
      <c r="H612">
        <v>0.92409716064935499</v>
      </c>
      <c r="I612" s="1">
        <v>5.3933034041245199E-5</v>
      </c>
      <c r="N612" s="1"/>
      <c r="O612" s="1"/>
      <c r="Q612" s="1"/>
    </row>
    <row r="613" spans="1:17" x14ac:dyDescent="0.25">
      <c r="A613">
        <v>3.9256095886230402</v>
      </c>
      <c r="B613" s="1">
        <v>2.77710522759961</v>
      </c>
      <c r="C613" s="1">
        <v>2.6189301170052199</v>
      </c>
      <c r="D613" s="1">
        <v>1.9990709052465201</v>
      </c>
      <c r="E613" s="1">
        <v>-2.3656008335206501E-2</v>
      </c>
      <c r="F613" s="1">
        <v>1.34030167914325E-3</v>
      </c>
      <c r="G613">
        <v>7.4009692712541097E-2</v>
      </c>
      <c r="H613">
        <v>0.90877297918293698</v>
      </c>
      <c r="I613" s="1">
        <v>1.3741868981536801E-4</v>
      </c>
      <c r="N613" s="1"/>
      <c r="O613" s="1"/>
      <c r="Q613" s="1"/>
    </row>
    <row r="614" spans="1:17" x14ac:dyDescent="0.25">
      <c r="A614">
        <v>5.2789181470870901</v>
      </c>
      <c r="B614" s="1">
        <v>3.7018887405495602</v>
      </c>
      <c r="C614" s="1">
        <v>3.3470138672855598</v>
      </c>
      <c r="D614" s="1">
        <v>3.0468005360584498</v>
      </c>
      <c r="E614" s="1">
        <v>-5.1046535221384699E-2</v>
      </c>
      <c r="F614" s="1">
        <v>1.4015711188057E-3</v>
      </c>
      <c r="G614">
        <v>7.95779724319082E-2</v>
      </c>
      <c r="H614">
        <v>0.88474345547160704</v>
      </c>
      <c r="I614" s="1">
        <v>2.7525524942986898E-4</v>
      </c>
      <c r="N614" s="1"/>
      <c r="O614" s="1"/>
      <c r="Q614" s="1"/>
    </row>
    <row r="615" spans="1:17" x14ac:dyDescent="0.25">
      <c r="A615">
        <v>6.7540258169174097</v>
      </c>
      <c r="B615" s="1">
        <v>4.6691476037006296</v>
      </c>
      <c r="C615" s="1">
        <v>4.2151762969369804</v>
      </c>
      <c r="D615" s="1">
        <v>4.2506792631673802</v>
      </c>
      <c r="E615" s="1">
        <v>-9.4022034242035604E-2</v>
      </c>
      <c r="F615" s="1">
        <v>1.3419098245613099E-3</v>
      </c>
      <c r="G615">
        <v>8.1655528675202302E-2</v>
      </c>
      <c r="H615">
        <v>0.85065032161910403</v>
      </c>
      <c r="I615">
        <v>5.9693016684839997E-4</v>
      </c>
      <c r="N615" s="1"/>
      <c r="O615" s="1"/>
      <c r="Q615" s="1"/>
    </row>
    <row r="616" spans="1:17" x14ac:dyDescent="0.25">
      <c r="A616">
        <v>8.3618760108947701</v>
      </c>
      <c r="B616" s="1">
        <v>5.65846698779868</v>
      </c>
      <c r="C616" s="1">
        <v>5.1465540961653398</v>
      </c>
      <c r="D616" s="1">
        <v>5.47303419069772</v>
      </c>
      <c r="E616" s="1">
        <v>-0.15296953651251599</v>
      </c>
      <c r="F616" s="1">
        <v>1.21418770361804E-3</v>
      </c>
      <c r="G616">
        <v>8.1910478735322506E-2</v>
      </c>
      <c r="H616">
        <v>0.80883242388644305</v>
      </c>
      <c r="I616">
        <v>1.625397834364E-3</v>
      </c>
      <c r="N616" s="1"/>
      <c r="O616" s="1"/>
      <c r="Q616" s="1"/>
    </row>
    <row r="617" spans="1:17" x14ac:dyDescent="0.25">
      <c r="A617">
        <v>10.1144403219223</v>
      </c>
      <c r="B617" s="1">
        <v>6.6441887025933202</v>
      </c>
      <c r="C617" s="1">
        <v>6.0247460428654396</v>
      </c>
      <c r="D617" s="1">
        <v>6.5414177832611902</v>
      </c>
      <c r="E617" s="1">
        <v>-0.22455941712427599</v>
      </c>
      <c r="F617" s="1">
        <v>1.09921565751271E-3</v>
      </c>
      <c r="G617">
        <v>8.3017514422463301E-2</v>
      </c>
      <c r="H617">
        <v>0.76678303072222498</v>
      </c>
      <c r="I617">
        <v>4.2360595353463102E-3</v>
      </c>
      <c r="N617" s="1"/>
      <c r="O617" s="1"/>
      <c r="Q617" s="1"/>
    </row>
    <row r="618" spans="1:17" x14ac:dyDescent="0.25">
      <c r="A618">
        <v>12.024745345115599</v>
      </c>
      <c r="B618" s="1">
        <v>7.5998229836325599</v>
      </c>
      <c r="C618" s="1">
        <v>6.7330208120110902</v>
      </c>
      <c r="D618" s="1">
        <v>7.3142435211478096</v>
      </c>
      <c r="E618" s="1">
        <v>-0.30257789217376502</v>
      </c>
      <c r="F618" s="1">
        <v>1.0881759749332301E-3</v>
      </c>
      <c r="G618">
        <v>8.6401363703827005E-2</v>
      </c>
      <c r="H618">
        <v>0.73205297791937796</v>
      </c>
      <c r="I618">
        <v>7.9557939650691696E-3</v>
      </c>
      <c r="N618" s="1"/>
      <c r="O618" s="1"/>
      <c r="Q618" s="1"/>
    </row>
    <row r="619" spans="1:17" x14ac:dyDescent="0.25">
      <c r="A619">
        <v>14.106971025466899</v>
      </c>
      <c r="B619" s="1">
        <v>8.5032617007593991</v>
      </c>
      <c r="C619" s="1">
        <v>7.1953042048407898</v>
      </c>
      <c r="D619" s="1">
        <v>7.7282784555461399</v>
      </c>
      <c r="E619" s="1">
        <v>-0.38013088055548799</v>
      </c>
      <c r="F619" s="1">
        <v>1.2379051869600001E-3</v>
      </c>
      <c r="G619">
        <v>9.1220394698002805E-2</v>
      </c>
      <c r="H619">
        <v>0.70601918372104799</v>
      </c>
      <c r="I619">
        <v>1.03308731751625E-2</v>
      </c>
      <c r="N619" s="1"/>
      <c r="O619" s="1"/>
      <c r="Q619" s="1"/>
    </row>
    <row r="620" spans="1:17" x14ac:dyDescent="0.25">
      <c r="A620">
        <v>16.3766205310821</v>
      </c>
      <c r="B620" s="1">
        <v>9.34017448175954</v>
      </c>
      <c r="C620" s="1">
        <v>7.3919108637637603</v>
      </c>
      <c r="D620" s="1">
        <v>7.7996204486268299</v>
      </c>
      <c r="E620" s="1">
        <v>-0.45165078847248302</v>
      </c>
      <c r="F620" s="1">
        <v>1.53971725654569E-3</v>
      </c>
      <c r="G620">
        <v>9.5449476480702095E-2</v>
      </c>
      <c r="H620">
        <v>0.68550314071048202</v>
      </c>
      <c r="I620">
        <v>9.5942070607947395E-3</v>
      </c>
      <c r="N620" s="1"/>
      <c r="O620" s="1"/>
      <c r="Q620" s="1"/>
    </row>
    <row r="621" spans="1:17" x14ac:dyDescent="0.25">
      <c r="A621">
        <v>18.850511312484699</v>
      </c>
      <c r="B621" s="1">
        <v>10.104314998278999</v>
      </c>
      <c r="C621" s="1">
        <v>7.3482831413129999</v>
      </c>
      <c r="D621" s="1">
        <v>7.5931066110792802</v>
      </c>
      <c r="E621" s="1">
        <v>-0.51364768635244296</v>
      </c>
      <c r="F621" s="1">
        <v>1.85641729643113E-3</v>
      </c>
      <c r="G621">
        <v>9.7430203191311807E-2</v>
      </c>
      <c r="H621">
        <v>0.66713370329292798</v>
      </c>
      <c r="I621">
        <v>6.1844966778522902E-3</v>
      </c>
      <c r="N621" s="1"/>
      <c r="O621" s="1"/>
      <c r="Q621" s="1"/>
    </row>
    <row r="622" spans="1:17" x14ac:dyDescent="0.25">
      <c r="A622">
        <v>21.5470612049102</v>
      </c>
      <c r="B622" s="1">
        <v>10.795702294002</v>
      </c>
      <c r="C622" s="1">
        <v>7.1130663243384298</v>
      </c>
      <c r="D622" s="1">
        <v>7.1887867840044102</v>
      </c>
      <c r="E622" s="1">
        <v>-0.56451392347711804</v>
      </c>
      <c r="F622" s="1">
        <v>2.0665296255008101E-3</v>
      </c>
      <c r="G622">
        <v>9.6570855208889902E-2</v>
      </c>
      <c r="H622">
        <v>0.64911052323223595</v>
      </c>
      <c r="I622">
        <v>1.6240621923967E-3</v>
      </c>
      <c r="N622" s="1"/>
      <c r="O622" s="1"/>
      <c r="Q622" s="1"/>
    </row>
    <row r="623" spans="1:17" x14ac:dyDescent="0.25">
      <c r="A623">
        <v>24.4862973690032</v>
      </c>
      <c r="B623" s="1">
        <v>11.4182657157282</v>
      </c>
      <c r="C623" s="1">
        <v>6.7399562743812496</v>
      </c>
      <c r="D623" s="1">
        <v>6.6605607527517101</v>
      </c>
      <c r="E623" s="1">
        <v>-0.60392741374149395</v>
      </c>
      <c r="F623" s="1">
        <v>2.2199436109247802E-3</v>
      </c>
      <c r="G623">
        <v>9.3118875185710395E-2</v>
      </c>
      <c r="H623">
        <v>0.63079860161465495</v>
      </c>
      <c r="I623">
        <v>-2.75938945177822E-3</v>
      </c>
      <c r="N623" s="1"/>
      <c r="O623" s="1"/>
      <c r="Q623" s="1"/>
    </row>
    <row r="624" spans="1:17" x14ac:dyDescent="0.25">
      <c r="A624">
        <v>27.690052986145002</v>
      </c>
      <c r="B624" s="1">
        <v>11.978019893656199</v>
      </c>
      <c r="C624" s="1">
        <v>6.2780551407340601</v>
      </c>
      <c r="D624" s="1">
        <v>6.0677479628782303</v>
      </c>
      <c r="E624" s="1">
        <v>-0.63229647517298804</v>
      </c>
      <c r="F624" s="1">
        <v>2.4297139095055399E-3</v>
      </c>
      <c r="G624">
        <v>8.7701457748108502E-2</v>
      </c>
      <c r="H624">
        <v>0.61218113317329503</v>
      </c>
      <c r="I624">
        <v>-6.2450570836586998E-3</v>
      </c>
      <c r="N624" s="1"/>
      <c r="O624" s="1"/>
      <c r="Q624" s="1"/>
    </row>
    <row r="625" spans="1:17" x14ac:dyDescent="0.25">
      <c r="A625">
        <v>31.1821639537811</v>
      </c>
      <c r="B625" s="1">
        <v>12.4818745111327</v>
      </c>
      <c r="C625" s="1">
        <v>5.7680467879981698</v>
      </c>
      <c r="D625" s="1">
        <v>5.45448773734031</v>
      </c>
      <c r="E625" s="1">
        <v>-0.65038895965750398</v>
      </c>
      <c r="F625" s="1">
        <v>2.60154915761533E-3</v>
      </c>
      <c r="G625">
        <v>8.0999550483751598E-2</v>
      </c>
      <c r="H625">
        <v>0.59346627002084695</v>
      </c>
      <c r="I625">
        <v>-8.5967138783657002E-3</v>
      </c>
      <c r="N625" s="1"/>
      <c r="O625" s="1"/>
      <c r="Q625" s="1"/>
    </row>
    <row r="626" spans="1:17" x14ac:dyDescent="0.25">
      <c r="A626">
        <v>34.988558292388902</v>
      </c>
      <c r="B626" s="1">
        <v>12.9369709496598</v>
      </c>
      <c r="C626" s="1">
        <v>5.2412546823470603</v>
      </c>
      <c r="D626" s="1">
        <v>4.8509485708098703</v>
      </c>
      <c r="E626" s="1">
        <v>-0.65907548828687601</v>
      </c>
      <c r="F626" s="1">
        <v>2.4886733429495302E-3</v>
      </c>
      <c r="G626">
        <v>7.3604527161613101E-2</v>
      </c>
      <c r="H626">
        <v>0.57519783952780101</v>
      </c>
      <c r="I626" s="1">
        <v>-9.8820626436310899E-3</v>
      </c>
      <c r="N626" s="1"/>
      <c r="O626" s="1"/>
      <c r="Q626" s="1"/>
    </row>
    <row r="627" spans="1:17" x14ac:dyDescent="0.25">
      <c r="A627">
        <v>39.137506484985302</v>
      </c>
      <c r="B627" s="1">
        <v>13.3501903270583</v>
      </c>
      <c r="C627" s="1">
        <v>4.7202852621194298</v>
      </c>
      <c r="D627" s="1">
        <v>4.2769369064935203</v>
      </c>
      <c r="E627" s="1">
        <v>-0.65925800108389399</v>
      </c>
      <c r="F627" s="1">
        <v>2.06594842004869E-3</v>
      </c>
      <c r="G627">
        <v>6.5904185030942294E-2</v>
      </c>
      <c r="H627">
        <v>0.55800046999534803</v>
      </c>
      <c r="I627">
        <v>-1.0256029742898199E-2</v>
      </c>
      <c r="N627" s="1"/>
      <c r="O627" s="1"/>
      <c r="Q627" s="1"/>
    </row>
    <row r="628" spans="1:17" x14ac:dyDescent="0.25">
      <c r="A628">
        <v>43.659898638725203</v>
      </c>
      <c r="B628" s="1">
        <v>13.7278805379967</v>
      </c>
      <c r="C628" s="1">
        <v>4.2201453362067598</v>
      </c>
      <c r="D628" s="1">
        <v>3.74423133657411</v>
      </c>
      <c r="E628" s="1">
        <v>-0.65163776731530398</v>
      </c>
      <c r="F628" s="1">
        <v>1.64754781685368E-3</v>
      </c>
      <c r="G628">
        <v>5.8172209578415797E-2</v>
      </c>
      <c r="H628">
        <v>0.54229137094912505</v>
      </c>
      <c r="I628">
        <v>-9.9142181699589191E-3</v>
      </c>
      <c r="N628" s="1"/>
      <c r="O628" s="1"/>
      <c r="Q628" s="1"/>
    </row>
    <row r="629" spans="1:17" x14ac:dyDescent="0.25">
      <c r="A629">
        <v>48.589280247688201</v>
      </c>
      <c r="B629" s="1">
        <v>14.0756880347828</v>
      </c>
      <c r="C629" s="1">
        <v>3.7501302727614498</v>
      </c>
      <c r="D629" s="1">
        <v>3.2586058865551699</v>
      </c>
      <c r="E629" s="1">
        <v>-0.63684116191400997</v>
      </c>
      <c r="F629" s="1">
        <v>1.5103850383915601E-3</v>
      </c>
      <c r="G629">
        <v>5.0587530925745999E-2</v>
      </c>
      <c r="H629">
        <v>0.52798080352037302</v>
      </c>
      <c r="I629">
        <v>-9.0467203859304797E-3</v>
      </c>
      <c r="N629" s="1"/>
      <c r="O629" s="1"/>
      <c r="Q629" s="1"/>
    </row>
    <row r="630" spans="1:17" x14ac:dyDescent="0.25">
      <c r="A630">
        <v>53.962334990501397</v>
      </c>
      <c r="B630" s="1">
        <v>14.398510218153399</v>
      </c>
      <c r="C630" s="1">
        <v>3.3152391504190701</v>
      </c>
      <c r="D630" s="1">
        <v>2.8218473863799201</v>
      </c>
      <c r="E630" s="1">
        <v>-0.61533120665150698</v>
      </c>
      <c r="F630" s="1">
        <v>1.5257125273251599E-3</v>
      </c>
      <c r="G630">
        <v>4.3325265446969997E-2</v>
      </c>
      <c r="H630">
        <v>0.51522624215478896</v>
      </c>
      <c r="I630">
        <v>-7.8673905700131497E-3</v>
      </c>
      <c r="N630" s="1"/>
      <c r="O630" s="1"/>
      <c r="Q630" s="1"/>
    </row>
    <row r="631" spans="1:17" x14ac:dyDescent="0.25">
      <c r="A631">
        <v>59.818929433822603</v>
      </c>
      <c r="B631" s="1">
        <v>14.700219303856301</v>
      </c>
      <c r="C631" s="1">
        <v>2.91707494896399</v>
      </c>
      <c r="D631" s="1">
        <v>2.4331126751792498</v>
      </c>
      <c r="E631" s="1">
        <v>-0.58743367842765704</v>
      </c>
      <c r="F631" s="1">
        <v>8.5470295043823098E-4</v>
      </c>
      <c r="G631">
        <v>3.65200391011151E-2</v>
      </c>
      <c r="H631">
        <v>0.50427247690296395</v>
      </c>
      <c r="I631">
        <v>-6.5834849181771998E-3</v>
      </c>
      <c r="N631" s="1"/>
      <c r="O631" s="1"/>
      <c r="Q631" s="1"/>
    </row>
    <row r="632" spans="1:17" x14ac:dyDescent="0.25">
      <c r="A632">
        <v>66.202640533447195</v>
      </c>
      <c r="B632" s="1">
        <v>14.983335406075</v>
      </c>
      <c r="C632" s="1">
        <v>2.5549591418421098</v>
      </c>
      <c r="D632" s="1">
        <v>2.0896739192456599</v>
      </c>
      <c r="E632" s="1">
        <v>-0.553290044990152</v>
      </c>
      <c r="F632" s="1">
        <v>-2.0365040727811801E-4</v>
      </c>
      <c r="G632">
        <v>3.0218588892197001E-2</v>
      </c>
      <c r="H632">
        <v>0.49401884473631202</v>
      </c>
      <c r="I632">
        <v>-5.2995597457279999E-3</v>
      </c>
      <c r="N632" s="1"/>
      <c r="O632" s="1"/>
      <c r="Q632" s="1"/>
    </row>
    <row r="633" spans="1:17" x14ac:dyDescent="0.25">
      <c r="A633">
        <v>73.160880804061804</v>
      </c>
      <c r="B633" s="1">
        <v>15.2489503626923</v>
      </c>
      <c r="C633" s="1">
        <v>2.2257349548199201</v>
      </c>
      <c r="D633" s="1">
        <v>1.7865137232384001</v>
      </c>
      <c r="E633" s="1">
        <v>-0.51306609299519701</v>
      </c>
      <c r="F633" s="1">
        <v>-7.3196739877465201E-4</v>
      </c>
      <c r="G633">
        <v>2.4536477112411099E-2</v>
      </c>
      <c r="H633">
        <v>0.48410900490346298</v>
      </c>
      <c r="I633">
        <v>-4.1256031687504496E-3</v>
      </c>
      <c r="N633" s="1"/>
      <c r="O633" s="1"/>
      <c r="Q633" s="1"/>
    </row>
    <row r="634" spans="1:17" x14ac:dyDescent="0.25">
      <c r="A634">
        <v>80.745358765125204</v>
      </c>
      <c r="B634" s="1">
        <v>15.497489482651201</v>
      </c>
      <c r="C634" s="1">
        <v>1.92370415127516</v>
      </c>
      <c r="D634" s="1">
        <v>1.51705517963451</v>
      </c>
      <c r="E634" s="1">
        <v>-0.46659298690871498</v>
      </c>
      <c r="F634" s="1">
        <v>-4.1837076313031398E-4</v>
      </c>
      <c r="G634">
        <v>1.9590993108929599E-2</v>
      </c>
      <c r="H634">
        <v>0.47626297223751501</v>
      </c>
      <c r="I634">
        <v>-3.14485185300489E-3</v>
      </c>
      <c r="N634" s="1"/>
      <c r="O634" s="1"/>
      <c r="Q634" s="1"/>
    </row>
    <row r="635" spans="1:17" x14ac:dyDescent="0.25">
      <c r="A635">
        <v>89.012441039085303</v>
      </c>
      <c r="B635" s="1">
        <v>15.7289178525309</v>
      </c>
      <c r="C635" s="1">
        <v>1.64487050524621</v>
      </c>
      <c r="D635" s="1">
        <v>1.2758176015140299</v>
      </c>
      <c r="E635" s="1">
        <v>-0.41363651400251999</v>
      </c>
      <c r="F635" s="1">
        <v>1.6231690654042099E-4</v>
      </c>
      <c r="G635">
        <v>1.5358790567852399E-2</v>
      </c>
      <c r="H635">
        <v>0.47173446849862499</v>
      </c>
      <c r="I635">
        <v>-2.3400609054925301E-3</v>
      </c>
      <c r="N635" s="1"/>
      <c r="O635" s="1"/>
      <c r="Q635" s="1"/>
    </row>
    <row r="636" spans="1:17" x14ac:dyDescent="0.25">
      <c r="A636">
        <v>98.0235546827316</v>
      </c>
      <c r="B636" s="1">
        <v>15.941546932349601</v>
      </c>
      <c r="C636" s="1">
        <v>1.38826929094648</v>
      </c>
      <c r="D636" s="1">
        <v>1.0594573557459701</v>
      </c>
      <c r="E636" s="1">
        <v>-0.35421074116842499</v>
      </c>
      <c r="F636" s="1">
        <v>1.12587840715008E-3</v>
      </c>
      <c r="G636">
        <v>1.17754917141313E-2</v>
      </c>
      <c r="H636">
        <v>0.46930471825981801</v>
      </c>
      <c r="I636">
        <v>-1.69004750302697E-3</v>
      </c>
      <c r="N636" s="1"/>
      <c r="O636" s="1"/>
      <c r="Q636" s="1"/>
    </row>
    <row r="637" spans="1:17" x14ac:dyDescent="0.25">
      <c r="A637">
        <v>107.845674455165</v>
      </c>
      <c r="B637" s="1">
        <v>16.131256938467502</v>
      </c>
      <c r="C637" s="1">
        <v>1.15458126312478</v>
      </c>
      <c r="D637" s="1">
        <v>0.86642626972482395</v>
      </c>
      <c r="E637" s="1">
        <v>-0.28828360987597901</v>
      </c>
      <c r="F637" s="1">
        <v>1.92777179880466E-3</v>
      </c>
      <c r="G637">
        <v>8.8665281308327494E-3</v>
      </c>
      <c r="H637">
        <v>0.47055447099858599</v>
      </c>
      <c r="I637">
        <v>-1.2101223769876101E-3</v>
      </c>
      <c r="N637" s="1"/>
      <c r="O637" s="1"/>
      <c r="Q637" s="1"/>
    </row>
    <row r="638" spans="1:17" x14ac:dyDescent="0.25">
      <c r="A638">
        <v>118.551787734031</v>
      </c>
      <c r="B638" s="1">
        <v>16.291376233587702</v>
      </c>
      <c r="C638" s="1">
        <v>0.94999997783634105</v>
      </c>
      <c r="D638" s="1">
        <v>0.70126105330972999</v>
      </c>
      <c r="E638" s="1">
        <v>-0.21542273322077299</v>
      </c>
      <c r="F638" s="1">
        <v>2.2996017553458701E-3</v>
      </c>
      <c r="G638">
        <v>6.6175777972684799E-3</v>
      </c>
      <c r="H638">
        <v>0.477575091562568</v>
      </c>
      <c r="I638">
        <v>-8.7073013443282295E-4</v>
      </c>
      <c r="N638" s="1"/>
      <c r="O638" s="1"/>
      <c r="Q638" s="1"/>
    </row>
    <row r="639" spans="1:17" x14ac:dyDescent="0.25">
      <c r="A639">
        <v>130.22144660353601</v>
      </c>
      <c r="B639" s="1">
        <v>16.4125289772849</v>
      </c>
      <c r="C639" s="1">
        <v>0.78831523702865502</v>
      </c>
      <c r="D639" s="1">
        <v>0.57315365330197499</v>
      </c>
      <c r="E639" s="1">
        <v>-0.13515999471655901</v>
      </c>
      <c r="F639" s="1">
        <v>2.15965948026555E-3</v>
      </c>
      <c r="G639">
        <v>5.0739876742854403E-3</v>
      </c>
      <c r="H639">
        <v>0.49154131486457803</v>
      </c>
      <c r="I639">
        <v>-6.6703946369795104E-4</v>
      </c>
      <c r="N639" s="1"/>
      <c r="O639" s="1"/>
      <c r="Q639" s="1"/>
    </row>
    <row r="640" spans="1:17" x14ac:dyDescent="0.25">
      <c r="A640">
        <v>143.15376933664001</v>
      </c>
      <c r="B640" s="1">
        <v>16.482577994952599</v>
      </c>
      <c r="C640" s="1">
        <v>0.69289931781713598</v>
      </c>
      <c r="D640" s="1">
        <v>0.49801468041529501</v>
      </c>
      <c r="E640" s="1">
        <v>-4.5570231623061501E-2</v>
      </c>
      <c r="F640" s="1">
        <v>2.4552044754834299E-3</v>
      </c>
      <c r="G640">
        <v>4.2963147280609196E-3</v>
      </c>
      <c r="H640">
        <v>0.49924182389370803</v>
      </c>
      <c r="I640">
        <v>-6.0699225097593295E-4</v>
      </c>
      <c r="N640" s="1"/>
      <c r="O640" s="1"/>
      <c r="Q640" s="1"/>
    </row>
    <row r="641" spans="1:17" x14ac:dyDescent="0.25">
      <c r="A641" t="s">
        <v>22</v>
      </c>
      <c r="B641" s="1" t="s">
        <v>9</v>
      </c>
      <c r="C641" s="1" t="s">
        <v>32</v>
      </c>
      <c r="D641" s="1" t="s">
        <v>33</v>
      </c>
      <c r="E641" s="1" t="s">
        <v>34</v>
      </c>
      <c r="F641" s="1" t="s">
        <v>35</v>
      </c>
      <c r="G641" t="s">
        <v>30</v>
      </c>
      <c r="H641" t="s">
        <v>36</v>
      </c>
      <c r="I641" t="s">
        <v>31</v>
      </c>
      <c r="N641" s="1"/>
      <c r="O641" s="1"/>
      <c r="Q641" s="1"/>
    </row>
    <row r="642" spans="1:17" x14ac:dyDescent="0.25">
      <c r="A642">
        <v>-143.38788986206001</v>
      </c>
      <c r="B642" s="1">
        <v>-204.04109856519599</v>
      </c>
      <c r="C642" s="1">
        <v>2.4623364929432499E-3</v>
      </c>
      <c r="D642" s="1">
        <v>0</v>
      </c>
      <c r="E642" s="1">
        <v>0</v>
      </c>
      <c r="F642" s="1">
        <v>0</v>
      </c>
      <c r="G642" s="1">
        <v>1.97969038814582E-7</v>
      </c>
      <c r="H642">
        <v>0.10420332055791399</v>
      </c>
      <c r="I642" s="1">
        <v>0</v>
      </c>
      <c r="N642" s="1"/>
      <c r="O642" s="1"/>
      <c r="Q642" s="1"/>
    </row>
    <row r="643" spans="1:17" x14ac:dyDescent="0.25">
      <c r="A643">
        <v>-130.70960640907199</v>
      </c>
      <c r="B643" s="1">
        <v>-186.03100416097601</v>
      </c>
      <c r="C643" s="1">
        <v>2.5988413040138802E-3</v>
      </c>
      <c r="D643" s="1">
        <v>0</v>
      </c>
      <c r="E643" s="1">
        <v>0</v>
      </c>
      <c r="F643" s="1">
        <v>0</v>
      </c>
      <c r="G643" s="1">
        <v>3.7773431460233398E-7</v>
      </c>
      <c r="H643">
        <v>0.47711964623456998</v>
      </c>
      <c r="I643" s="1">
        <v>0</v>
      </c>
      <c r="N643" s="1"/>
      <c r="O643" s="1"/>
      <c r="Q643" s="1"/>
    </row>
    <row r="644" spans="1:17" x14ac:dyDescent="0.25">
      <c r="A644">
        <v>-119.078135490417</v>
      </c>
      <c r="B644" s="1">
        <v>-169.50215289030001</v>
      </c>
      <c r="C644" s="1">
        <v>2.9079307885808599E-3</v>
      </c>
      <c r="D644" s="1">
        <v>0</v>
      </c>
      <c r="E644" s="1">
        <v>0</v>
      </c>
      <c r="F644" s="1">
        <v>0</v>
      </c>
      <c r="G644" s="1">
        <v>7.3439433143543305E-7</v>
      </c>
      <c r="H644">
        <v>0.66695928050782805</v>
      </c>
      <c r="I644" s="1">
        <v>0</v>
      </c>
      <c r="N644" s="1"/>
      <c r="O644" s="1"/>
      <c r="Q644" s="1"/>
    </row>
    <row r="645" spans="1:17" x14ac:dyDescent="0.25">
      <c r="A645">
        <v>-108.407056331634</v>
      </c>
      <c r="B645" s="1">
        <v>-154.333211094474</v>
      </c>
      <c r="C645" s="1">
        <v>3.4647260879836399E-3</v>
      </c>
      <c r="D645" s="1">
        <v>0</v>
      </c>
      <c r="E645" s="1">
        <v>0</v>
      </c>
      <c r="F645" s="1">
        <v>0</v>
      </c>
      <c r="G645" s="1">
        <v>1.3038402309500899E-6</v>
      </c>
      <c r="H645">
        <v>0.74396166013523202</v>
      </c>
      <c r="I645" s="1">
        <v>0</v>
      </c>
      <c r="N645" s="1"/>
      <c r="O645" s="1"/>
      <c r="Q645" s="1"/>
    </row>
    <row r="646" spans="1:17" x14ac:dyDescent="0.25">
      <c r="A646">
        <v>-98.617064952850299</v>
      </c>
      <c r="B646" s="1">
        <v>-140.412678003644</v>
      </c>
      <c r="C646" s="1">
        <v>4.36739220308624E-3</v>
      </c>
      <c r="D646" s="1">
        <v>0</v>
      </c>
      <c r="E646" s="1">
        <v>0</v>
      </c>
      <c r="F646" s="1">
        <v>0</v>
      </c>
      <c r="G646" s="1">
        <v>2.1707785989066799E-6</v>
      </c>
      <c r="H646">
        <v>0.77476913891351795</v>
      </c>
      <c r="I646" s="1">
        <v>0</v>
      </c>
      <c r="N646" s="1"/>
      <c r="O646" s="1"/>
      <c r="Q646" s="1"/>
    </row>
    <row r="647" spans="1:17" x14ac:dyDescent="0.25">
      <c r="A647">
        <v>-89.635455608367906</v>
      </c>
      <c r="B647" s="1">
        <v>-127.63816842470101</v>
      </c>
      <c r="C647" s="1">
        <v>5.7353699772164602E-3</v>
      </c>
      <c r="D647" s="1">
        <v>0</v>
      </c>
      <c r="E647" s="1">
        <v>0</v>
      </c>
      <c r="F647" s="1">
        <v>0</v>
      </c>
      <c r="G647" s="1">
        <v>3.4808342097208899E-6</v>
      </c>
      <c r="H647">
        <v>0.78618028299633003</v>
      </c>
      <c r="I647" s="1">
        <v>0</v>
      </c>
      <c r="N647" s="1"/>
      <c r="O647" s="1"/>
      <c r="Q647" s="1"/>
    </row>
    <row r="648" spans="1:17" x14ac:dyDescent="0.25">
      <c r="A648">
        <v>-81.395459175109806</v>
      </c>
      <c r="B648" s="1">
        <v>-115.91562560234</v>
      </c>
      <c r="C648" s="1">
        <v>7.7142802521592497E-3</v>
      </c>
      <c r="D648" s="1">
        <v>0</v>
      </c>
      <c r="E648" s="1">
        <v>0</v>
      </c>
      <c r="F648" s="1">
        <v>0</v>
      </c>
      <c r="G648" s="1">
        <v>5.4595978544696902E-6</v>
      </c>
      <c r="H648">
        <v>0.78954275018679598</v>
      </c>
      <c r="I648" s="1">
        <v>0</v>
      </c>
      <c r="N648" s="1"/>
      <c r="O648" s="1"/>
      <c r="Q648" s="1"/>
    </row>
    <row r="649" spans="1:17" x14ac:dyDescent="0.25">
      <c r="A649">
        <v>-73.835813999175997</v>
      </c>
      <c r="B649" s="1">
        <v>-105.158667385911</v>
      </c>
      <c r="C649" s="1">
        <v>1.0483534932575299E-2</v>
      </c>
      <c r="D649" s="1">
        <v>0</v>
      </c>
      <c r="E649" s="1">
        <v>0</v>
      </c>
      <c r="F649" s="1">
        <v>0</v>
      </c>
      <c r="G649" s="1">
        <v>8.4416479426979605E-6</v>
      </c>
      <c r="H649">
        <v>0.79003814760382696</v>
      </c>
      <c r="I649" s="1">
        <v>0</v>
      </c>
      <c r="N649" s="1"/>
      <c r="O649" s="1"/>
      <c r="Q649" s="1"/>
    </row>
    <row r="650" spans="1:17" x14ac:dyDescent="0.25">
      <c r="A650">
        <v>-66.900336742401095</v>
      </c>
      <c r="B650" s="1">
        <v>-95.2879863533731</v>
      </c>
      <c r="C650" s="1">
        <v>1.4264933523691001E-2</v>
      </c>
      <c r="D650" s="1">
        <v>0</v>
      </c>
      <c r="E650" s="1">
        <v>0</v>
      </c>
      <c r="F650" s="1">
        <v>0</v>
      </c>
      <c r="G650" s="1">
        <v>1.29122204091769E-5</v>
      </c>
      <c r="H650">
        <v>0.790063671330265</v>
      </c>
      <c r="I650" s="1">
        <v>0</v>
      </c>
      <c r="N650" s="1"/>
      <c r="O650" s="1"/>
      <c r="Q650" s="1"/>
    </row>
    <row r="651" spans="1:17" x14ac:dyDescent="0.25">
      <c r="A651">
        <v>-60.537528991699197</v>
      </c>
      <c r="B651" s="1">
        <v>-86.2307340655085</v>
      </c>
      <c r="C651" s="1">
        <v>1.93317129157719E-2</v>
      </c>
      <c r="D651" s="1">
        <v>0</v>
      </c>
      <c r="E651" s="1">
        <v>0</v>
      </c>
      <c r="F651" s="1">
        <v>0</v>
      </c>
      <c r="G651" s="1">
        <v>1.9563079761225601E-5</v>
      </c>
      <c r="H651">
        <v>0.79064428943873699</v>
      </c>
      <c r="I651" s="1">
        <v>0</v>
      </c>
      <c r="N651" s="1"/>
      <c r="O651" s="1"/>
      <c r="Q651" s="1"/>
    </row>
    <row r="652" spans="1:17" x14ac:dyDescent="0.25">
      <c r="A652">
        <v>-54.700112342834402</v>
      </c>
      <c r="B652" s="1">
        <v>-77.920044973825995</v>
      </c>
      <c r="C652" s="1">
        <v>2.6017714187503298E-2</v>
      </c>
      <c r="D652" s="1">
        <v>0</v>
      </c>
      <c r="E652" s="1">
        <v>0</v>
      </c>
      <c r="F652" s="1">
        <v>0</v>
      </c>
      <c r="G652" s="1">
        <v>2.9362816381355199E-5</v>
      </c>
      <c r="H652">
        <v>0.79209957379390805</v>
      </c>
      <c r="I652" s="1">
        <v>0</v>
      </c>
      <c r="N652" s="1"/>
      <c r="O652" s="1"/>
      <c r="Q652" s="1"/>
    </row>
    <row r="653" spans="1:17" x14ac:dyDescent="0.25">
      <c r="A653">
        <v>-49.344670772552398</v>
      </c>
      <c r="B653" s="1">
        <v>-70.294515893196703</v>
      </c>
      <c r="C653" s="1">
        <v>3.4726038136682201E-2</v>
      </c>
      <c r="D653" s="1">
        <v>0</v>
      </c>
      <c r="E653" s="1">
        <v>0</v>
      </c>
      <c r="F653" s="1">
        <v>0</v>
      </c>
      <c r="G653" s="1">
        <v>4.3641322123084599E-5</v>
      </c>
      <c r="H653">
        <v>0.79439497770785705</v>
      </c>
      <c r="I653" s="1">
        <v>0</v>
      </c>
      <c r="N653" s="1"/>
      <c r="O653" s="1"/>
      <c r="Q653" s="1"/>
    </row>
    <row r="654" spans="1:17" x14ac:dyDescent="0.25">
      <c r="A654">
        <v>-44.431400299072202</v>
      </c>
      <c r="B654" s="1">
        <v>-63.297779105937103</v>
      </c>
      <c r="C654" s="1">
        <v>4.5936111545870503E-2</v>
      </c>
      <c r="D654" s="1">
        <v>0</v>
      </c>
      <c r="E654" s="1">
        <v>0</v>
      </c>
      <c r="F654" s="1">
        <v>0</v>
      </c>
      <c r="G654" s="1">
        <v>6.4189686094921997E-5</v>
      </c>
      <c r="H654">
        <v>0.79734807850163902</v>
      </c>
      <c r="I654" s="1">
        <v>0</v>
      </c>
      <c r="N654" s="1"/>
      <c r="O654" s="1"/>
      <c r="Q654" s="1"/>
    </row>
    <row r="655" spans="1:17" x14ac:dyDescent="0.25">
      <c r="A655">
        <v>-39.923822879791203</v>
      </c>
      <c r="B655" s="1">
        <v>-56.878085781222197</v>
      </c>
      <c r="C655" s="1">
        <v>6.0208064914490898E-2</v>
      </c>
      <c r="D655" s="1">
        <v>0</v>
      </c>
      <c r="E655" s="1">
        <v>0</v>
      </c>
      <c r="F655" s="1">
        <v>0</v>
      </c>
      <c r="G655" s="1">
        <v>9.3380484514309306E-5</v>
      </c>
      <c r="H655">
        <v>0.80075459087840095</v>
      </c>
      <c r="I655" s="1">
        <v>0</v>
      </c>
      <c r="N655" s="1"/>
      <c r="O655" s="1"/>
      <c r="Q655" s="1"/>
    </row>
    <row r="656" spans="1:17" x14ac:dyDescent="0.25">
      <c r="A656">
        <v>-35.788428783416698</v>
      </c>
      <c r="B656" s="1">
        <v>-50.9879358134773</v>
      </c>
      <c r="C656" s="1">
        <v>7.8184020633898302E-2</v>
      </c>
      <c r="D656" s="1">
        <v>0</v>
      </c>
      <c r="E656" s="1">
        <v>0</v>
      </c>
      <c r="F656" s="1">
        <v>0</v>
      </c>
      <c r="G656">
        <v>1.3431914868134701E-4</v>
      </c>
      <c r="H656">
        <v>0.80445722610485604</v>
      </c>
      <c r="I656" s="1">
        <v>0</v>
      </c>
      <c r="N656" s="1"/>
      <c r="O656" s="1"/>
      <c r="Q656" s="1"/>
    </row>
    <row r="657" spans="1:17" x14ac:dyDescent="0.25">
      <c r="A657">
        <v>-31.994497776031402</v>
      </c>
      <c r="B657" s="1">
        <v>-45.583719959816001</v>
      </c>
      <c r="C657" s="1">
        <v>0.100586475998852</v>
      </c>
      <c r="D657" s="1">
        <v>0</v>
      </c>
      <c r="E657" s="1">
        <v>0</v>
      </c>
      <c r="F657" s="1">
        <v>0</v>
      </c>
      <c r="G657">
        <v>1.91044701571012E-4</v>
      </c>
      <c r="H657">
        <v>0.80837296168596795</v>
      </c>
      <c r="I657" s="1">
        <v>0</v>
      </c>
      <c r="N657" s="1"/>
      <c r="O657" s="1"/>
      <c r="Q657" s="1"/>
    </row>
    <row r="658" spans="1:17" x14ac:dyDescent="0.25">
      <c r="A658">
        <v>-28.5138309001922</v>
      </c>
      <c r="B658" s="1">
        <v>-40.625409586688498</v>
      </c>
      <c r="C658" s="1">
        <v>0.12821518270334301</v>
      </c>
      <c r="D658" s="1">
        <v>0</v>
      </c>
      <c r="E658" s="1">
        <v>0</v>
      </c>
      <c r="F658" s="1">
        <v>0</v>
      </c>
      <c r="G658">
        <v>2.6880990423311499E-4</v>
      </c>
      <c r="H658">
        <v>0.81249434738538195</v>
      </c>
      <c r="I658" s="1">
        <v>0</v>
      </c>
      <c r="N658" s="1"/>
      <c r="O658" s="1"/>
      <c r="Q658" s="1"/>
    </row>
    <row r="659" spans="1:17" x14ac:dyDescent="0.25">
      <c r="A659">
        <v>-25.320571660995402</v>
      </c>
      <c r="B659" s="1">
        <v>-36.076263476496599</v>
      </c>
      <c r="C659" s="1">
        <v>0.16194399538926499</v>
      </c>
      <c r="D659" s="1">
        <v>0</v>
      </c>
      <c r="E659" s="1">
        <v>0</v>
      </c>
      <c r="F659" s="1">
        <v>0</v>
      </c>
      <c r="G659">
        <v>3.74490187005527E-4</v>
      </c>
      <c r="H659">
        <v>0.81687882231468201</v>
      </c>
      <c r="I659" s="1">
        <v>0</v>
      </c>
      <c r="N659" s="1"/>
      <c r="O659" s="1"/>
      <c r="Q659" s="1"/>
    </row>
    <row r="660" spans="1:17" x14ac:dyDescent="0.25">
      <c r="A660">
        <v>-22.3909378051757</v>
      </c>
      <c r="B660" s="1">
        <v>-31.902560025787</v>
      </c>
      <c r="C660" s="1">
        <v>0.20272018565128699</v>
      </c>
      <c r="D660" s="1">
        <v>0</v>
      </c>
      <c r="E660" s="1">
        <v>0</v>
      </c>
      <c r="F660" s="1">
        <v>0</v>
      </c>
      <c r="G660">
        <v>5.1720135328775204E-4</v>
      </c>
      <c r="H660">
        <v>0.82163464681657195</v>
      </c>
      <c r="I660" s="1">
        <v>0</v>
      </c>
    </row>
    <row r="661" spans="1:17" x14ac:dyDescent="0.25">
      <c r="A661">
        <v>-19.7032213211059</v>
      </c>
      <c r="B661" s="1">
        <v>-28.073349677359701</v>
      </c>
      <c r="C661" s="1">
        <v>0.25156852706049898</v>
      </c>
      <c r="D661" s="1">
        <v>0</v>
      </c>
      <c r="E661" s="1">
        <v>0</v>
      </c>
      <c r="F661" s="1">
        <v>0</v>
      </c>
      <c r="G661">
        <v>7.0924810146834598E-4</v>
      </c>
      <c r="H661">
        <v>0.82690498391197798</v>
      </c>
      <c r="I661" s="1">
        <v>0</v>
      </c>
    </row>
    <row r="662" spans="1:17" x14ac:dyDescent="0.25">
      <c r="A662">
        <v>-17.237430810928299</v>
      </c>
      <c r="B662" s="1">
        <v>-24.560223222112299</v>
      </c>
      <c r="C662" s="1">
        <v>0.30960293129237398</v>
      </c>
      <c r="D662" s="1">
        <v>0</v>
      </c>
      <c r="E662" s="1">
        <v>0</v>
      </c>
      <c r="F662" s="1">
        <v>0</v>
      </c>
      <c r="G662">
        <v>9.6757989328558796E-4</v>
      </c>
      <c r="H662">
        <v>0.83284806732232797</v>
      </c>
      <c r="I662" s="1">
        <v>0</v>
      </c>
    </row>
    <row r="663" spans="1:17" x14ac:dyDescent="0.25">
      <c r="A663">
        <v>-14.975237846374499</v>
      </c>
      <c r="B663" s="1">
        <v>-21.337111443614599</v>
      </c>
      <c r="C663" s="1">
        <v>0.378048843546821</v>
      </c>
      <c r="D663" s="1">
        <v>0</v>
      </c>
      <c r="E663" s="1">
        <v>0</v>
      </c>
      <c r="F663" s="1">
        <v>0</v>
      </c>
      <c r="G663">
        <v>1.31599541444103E-3</v>
      </c>
      <c r="H663">
        <v>0.83961099294785602</v>
      </c>
      <c r="I663" s="1">
        <v>0</v>
      </c>
    </row>
    <row r="664" spans="1:17" x14ac:dyDescent="0.25">
      <c r="A664">
        <v>-12.8998160362243</v>
      </c>
      <c r="B664" s="1">
        <v>-18.3800875398871</v>
      </c>
      <c r="C664" s="1">
        <v>0.45827932692372902</v>
      </c>
      <c r="D664" s="1">
        <v>0</v>
      </c>
      <c r="E664" s="1">
        <v>0</v>
      </c>
      <c r="F664" s="1">
        <v>0</v>
      </c>
      <c r="G664">
        <v>1.78841264872005E-3</v>
      </c>
      <c r="H664">
        <v>0.84729728258435599</v>
      </c>
      <c r="I664" s="1">
        <v>0</v>
      </c>
    </row>
    <row r="665" spans="1:17" x14ac:dyDescent="0.25">
      <c r="A665">
        <v>-10.995769500732401</v>
      </c>
      <c r="B665" s="1">
        <v>-15.667197317218401</v>
      </c>
      <c r="C665" s="1">
        <v>0.55186697110730099</v>
      </c>
      <c r="D665" s="1">
        <v>0</v>
      </c>
      <c r="E665" s="1">
        <v>0</v>
      </c>
      <c r="F665" s="1">
        <v>0</v>
      </c>
      <c r="G665">
        <v>2.4336228297678901E-3</v>
      </c>
      <c r="H665">
        <v>0.85593397953264705</v>
      </c>
      <c r="I665" s="1">
        <v>0</v>
      </c>
    </row>
    <row r="666" spans="1:17" x14ac:dyDescent="0.25">
      <c r="A666">
        <v>-9.2489361763000399</v>
      </c>
      <c r="B666" s="1">
        <v>-13.1782925579306</v>
      </c>
      <c r="C666" s="1">
        <v>0.66065379165956895</v>
      </c>
      <c r="D666" s="1">
        <v>0</v>
      </c>
      <c r="E666" s="1">
        <v>0</v>
      </c>
      <c r="F666" s="1">
        <v>0</v>
      </c>
      <c r="G666">
        <v>3.32209176905564E-3</v>
      </c>
      <c r="H666">
        <v>0.86544830858633004</v>
      </c>
      <c r="I666" s="1">
        <v>0</v>
      </c>
    </row>
    <row r="667" spans="1:17" x14ac:dyDescent="0.25">
      <c r="A667">
        <v>-7.6463341712951598</v>
      </c>
      <c r="B667" s="1">
        <v>-10.8948850188013</v>
      </c>
      <c r="C667" s="1">
        <v>0.78683942939460305</v>
      </c>
      <c r="D667" s="1">
        <v>0</v>
      </c>
      <c r="E667" s="1">
        <v>0</v>
      </c>
      <c r="F667" s="1">
        <v>0</v>
      </c>
      <c r="G667">
        <v>4.55559853435261E-3</v>
      </c>
      <c r="H667">
        <v>0.87566394683023097</v>
      </c>
      <c r="I667" s="1">
        <v>0</v>
      </c>
    </row>
    <row r="668" spans="1:17" x14ac:dyDescent="0.25">
      <c r="A668">
        <v>-6.1760544776916504</v>
      </c>
      <c r="B668" s="1">
        <v>-8.8000099513288994</v>
      </c>
      <c r="C668" s="1">
        <v>0.93308789741058695</v>
      </c>
      <c r="D668" s="1">
        <v>0</v>
      </c>
      <c r="E668" s="1">
        <v>0</v>
      </c>
      <c r="F668" s="1">
        <v>0</v>
      </c>
      <c r="G668">
        <v>6.2808852140051304E-3</v>
      </c>
      <c r="H668">
        <v>0.88632199893251196</v>
      </c>
      <c r="I668" s="1">
        <v>0</v>
      </c>
    </row>
    <row r="669" spans="1:17" x14ac:dyDescent="0.25">
      <c r="A669">
        <v>-4.8271894454956001</v>
      </c>
      <c r="B669" s="1">
        <v>-6.8781054917332201</v>
      </c>
      <c r="C669" s="1">
        <v>1.1026527726226001</v>
      </c>
      <c r="D669" s="1">
        <v>0</v>
      </c>
      <c r="E669" s="1">
        <v>0</v>
      </c>
      <c r="F669" s="1">
        <v>0</v>
      </c>
      <c r="G669">
        <v>8.7090834571085796E-3</v>
      </c>
      <c r="H669">
        <v>0.89712117135147296</v>
      </c>
      <c r="I669" s="1">
        <v>0</v>
      </c>
    </row>
    <row r="670" spans="1:17" x14ac:dyDescent="0.25">
      <c r="A670">
        <v>-3.5896897315978999</v>
      </c>
      <c r="B670" s="1">
        <v>-5.1148920509573497</v>
      </c>
      <c r="C670" s="1">
        <v>1.2995226886250699</v>
      </c>
      <c r="D670" s="1">
        <v>0</v>
      </c>
      <c r="E670" s="1">
        <v>0</v>
      </c>
      <c r="F670" s="1">
        <v>0</v>
      </c>
      <c r="G670">
        <v>1.21436361004361E-2</v>
      </c>
      <c r="H670">
        <v>0.907764421503237</v>
      </c>
      <c r="I670" s="1">
        <v>0</v>
      </c>
    </row>
    <row r="671" spans="1:17" x14ac:dyDescent="0.25">
      <c r="A671">
        <v>-2.4543642997741602</v>
      </c>
      <c r="B671" s="1">
        <v>-3.497264400458</v>
      </c>
      <c r="C671" s="1">
        <v>1.5285892755528001</v>
      </c>
      <c r="D671" s="1">
        <v>0</v>
      </c>
      <c r="E671" s="1">
        <v>0</v>
      </c>
      <c r="F671" s="1">
        <v>0</v>
      </c>
      <c r="G671">
        <v>1.7020830289502499E-2</v>
      </c>
      <c r="H671">
        <v>0.91799741642056598</v>
      </c>
      <c r="I671" s="1">
        <v>0</v>
      </c>
    </row>
    <row r="672" spans="1:17" x14ac:dyDescent="0.25">
      <c r="A672">
        <v>-1.41280889511108</v>
      </c>
      <c r="B672" s="1">
        <v>-2.0132028016802299</v>
      </c>
      <c r="C672" s="1">
        <v>1.79584637719381</v>
      </c>
      <c r="D672" s="1">
        <v>0</v>
      </c>
      <c r="E672" s="1">
        <v>0</v>
      </c>
      <c r="F672" s="1">
        <v>0</v>
      </c>
      <c r="G672">
        <v>2.39694301211602E-2</v>
      </c>
      <c r="H672">
        <v>0.92763111421225997</v>
      </c>
      <c r="I672" s="1">
        <v>0</v>
      </c>
    </row>
    <row r="673" spans="1:9" x14ac:dyDescent="0.25">
      <c r="A673">
        <v>-0.45722723007202098</v>
      </c>
      <c r="B673" s="1">
        <v>-0.65167778763738204</v>
      </c>
      <c r="C673" s="1">
        <v>2.1086264872064899</v>
      </c>
      <c r="D673" s="1">
        <v>0</v>
      </c>
      <c r="E673" s="1">
        <v>0</v>
      </c>
      <c r="F673" s="1">
        <v>0</v>
      </c>
      <c r="G673">
        <v>3.4616005393345299E-2</v>
      </c>
      <c r="H673">
        <v>0.93786036677474904</v>
      </c>
      <c r="I673" s="1">
        <v>0</v>
      </c>
    </row>
    <row r="674" spans="1:9" x14ac:dyDescent="0.25">
      <c r="A674">
        <v>0.49999952316284102</v>
      </c>
      <c r="B674" s="1">
        <v>0.35597431626352699</v>
      </c>
      <c r="C674" s="1">
        <v>2.39967872780471</v>
      </c>
      <c r="D674" s="1">
        <v>0.20787858352109601</v>
      </c>
      <c r="E674" s="1">
        <v>-2.7349006645998702E-4</v>
      </c>
      <c r="F674" s="1">
        <v>3.4894816635633102E-4</v>
      </c>
      <c r="G674">
        <v>2.9995159565872301E-2</v>
      </c>
      <c r="H674">
        <v>0.82960446855845404</v>
      </c>
      <c r="I674" s="1">
        <v>2.79005359445879E-7</v>
      </c>
    </row>
    <row r="675" spans="1:9" x14ac:dyDescent="0.25">
      <c r="A675">
        <v>1.5449970960617001</v>
      </c>
      <c r="B675" s="1">
        <v>1.0994302180055</v>
      </c>
      <c r="C675" s="1">
        <v>2.6691755777646899</v>
      </c>
      <c r="D675" s="1">
        <v>0.71351995855254502</v>
      </c>
      <c r="E675" s="1">
        <v>-2.45270430479738E-3</v>
      </c>
      <c r="F675" s="1">
        <v>9.3625761586002901E-4</v>
      </c>
      <c r="G675">
        <v>4.2631088047475597E-2</v>
      </c>
      <c r="H675">
        <v>0.86159497180712197</v>
      </c>
      <c r="I675" s="1">
        <v>9.9022518889108501E-6</v>
      </c>
    </row>
    <row r="676" spans="1:9" x14ac:dyDescent="0.25">
      <c r="A676">
        <v>2.6840418577194201</v>
      </c>
      <c r="B676" s="1">
        <v>1.9052668806556099</v>
      </c>
      <c r="C676" s="1">
        <v>3.0348371854124698</v>
      </c>
      <c r="D676" s="1">
        <v>1.38283725949914</v>
      </c>
      <c r="E676" s="1">
        <v>-9.7776924574179604E-3</v>
      </c>
      <c r="F676" s="1">
        <v>1.38704828911441E-3</v>
      </c>
      <c r="G676">
        <v>5.6116298362519801E-2</v>
      </c>
      <c r="H676">
        <v>0.87472126600691402</v>
      </c>
      <c r="I676" s="1">
        <v>5.6305960331324103E-5</v>
      </c>
    </row>
    <row r="677" spans="1:9" x14ac:dyDescent="0.25">
      <c r="A677">
        <v>3.9256095886230402</v>
      </c>
      <c r="B677" s="1">
        <v>2.7722083773854602</v>
      </c>
      <c r="C677" s="1">
        <v>3.5273688992019698</v>
      </c>
      <c r="D677" s="1">
        <v>2.2477559594404801</v>
      </c>
      <c r="E677" s="1">
        <v>-2.54963650796718E-2</v>
      </c>
      <c r="F677" s="1">
        <v>1.68846957699248E-3</v>
      </c>
      <c r="G677">
        <v>6.8593102256882504E-2</v>
      </c>
      <c r="H677">
        <v>0.87412637272743099</v>
      </c>
      <c r="I677" s="1">
        <v>1.4663703912557301E-4</v>
      </c>
    </row>
    <row r="678" spans="1:9" x14ac:dyDescent="0.25">
      <c r="A678">
        <v>5.2789181470870901</v>
      </c>
      <c r="B678" s="1">
        <v>3.69391316142115</v>
      </c>
      <c r="C678" s="1">
        <v>4.1634362952027004</v>
      </c>
      <c r="D678" s="1">
        <v>3.30757371970188</v>
      </c>
      <c r="E678" s="1">
        <v>-5.35449109503374E-2</v>
      </c>
      <c r="F678" s="1">
        <v>1.8386857520692999E-3</v>
      </c>
      <c r="G678">
        <v>7.7593080308878098E-2</v>
      </c>
      <c r="H678">
        <v>0.86062680485768595</v>
      </c>
      <c r="I678" s="1">
        <v>2.99007171286653E-4</v>
      </c>
    </row>
    <row r="679" spans="1:9" x14ac:dyDescent="0.25">
      <c r="A679">
        <v>6.7540258169174097</v>
      </c>
      <c r="B679" s="1">
        <v>4.6572950479033803</v>
      </c>
      <c r="C679" s="1">
        <v>4.9245968533214102</v>
      </c>
      <c r="D679" s="1">
        <v>4.5003269839357998</v>
      </c>
      <c r="E679" s="1">
        <v>-9.6902612071008795E-2</v>
      </c>
      <c r="F679" s="1">
        <v>1.8541421947387E-3</v>
      </c>
      <c r="G679">
        <v>8.2207626256926597E-2</v>
      </c>
      <c r="H679">
        <v>0.83493455274422101</v>
      </c>
      <c r="I679">
        <v>6.4956714796999095E-4</v>
      </c>
    </row>
    <row r="680" spans="1:9" x14ac:dyDescent="0.25">
      <c r="A680">
        <v>8.3618760108947701</v>
      </c>
      <c r="B680" s="1">
        <v>5.6422375586274498</v>
      </c>
      <c r="C680" s="1">
        <v>5.7433570701250503</v>
      </c>
      <c r="D680" s="1">
        <v>5.6955069790348301</v>
      </c>
      <c r="E680" s="1">
        <v>-0.15588648043310199</v>
      </c>
      <c r="F680" s="1">
        <v>1.78024596948581E-3</v>
      </c>
      <c r="G680">
        <v>8.3924953288149404E-2</v>
      </c>
      <c r="H680">
        <v>0.80021894186792497</v>
      </c>
      <c r="I680">
        <v>1.72850326996242E-3</v>
      </c>
    </row>
    <row r="681" spans="1:9" x14ac:dyDescent="0.25">
      <c r="A681">
        <v>10.1144403219223</v>
      </c>
      <c r="B681" s="1">
        <v>6.6234919425490801</v>
      </c>
      <c r="C681" s="1">
        <v>6.5130560703983003</v>
      </c>
      <c r="D681" s="1">
        <v>6.7292967793867398</v>
      </c>
      <c r="E681" s="1">
        <v>-0.227216514448006</v>
      </c>
      <c r="F681" s="1">
        <v>1.6909385917294999E-3</v>
      </c>
      <c r="G681">
        <v>8.5560682997016593E-2</v>
      </c>
      <c r="H681">
        <v>0.76351961946902003</v>
      </c>
      <c r="I681" s="1">
        <v>4.3803231486743499E-3</v>
      </c>
    </row>
    <row r="682" spans="1:9" x14ac:dyDescent="0.25">
      <c r="A682">
        <v>12.024745345115599</v>
      </c>
      <c r="B682" s="1">
        <v>7.5749524828437202</v>
      </c>
      <c r="C682" s="1">
        <v>7.1243300962087197</v>
      </c>
      <c r="D682" s="1">
        <v>7.4669965764367401</v>
      </c>
      <c r="E682" s="1">
        <v>-0.30480373786410098</v>
      </c>
      <c r="F682" s="1">
        <v>1.67386899652635E-3</v>
      </c>
      <c r="G682">
        <v>8.8876658482574603E-2</v>
      </c>
      <c r="H682">
        <v>0.73183390189502395</v>
      </c>
      <c r="I682" s="1">
        <v>8.0686957846997504E-3</v>
      </c>
    </row>
    <row r="683" spans="1:9" x14ac:dyDescent="0.25">
      <c r="A683">
        <v>14.106971025466899</v>
      </c>
      <c r="B683" s="1">
        <v>8.4747221168521296</v>
      </c>
      <c r="C683" s="1">
        <v>7.5047017502220097</v>
      </c>
      <c r="D683" s="1">
        <v>7.8496104637469397</v>
      </c>
      <c r="E683" s="1">
        <v>-0.38187856412754501</v>
      </c>
      <c r="F683" s="1">
        <v>1.78577626500709E-3</v>
      </c>
      <c r="G683">
        <v>9.3356578381215902E-2</v>
      </c>
      <c r="H683">
        <v>0.70699323634129196</v>
      </c>
      <c r="I683">
        <v>1.03444685461174E-2</v>
      </c>
    </row>
    <row r="684" spans="1:9" x14ac:dyDescent="0.25">
      <c r="A684">
        <v>16.3766205310821</v>
      </c>
      <c r="B684" s="1">
        <v>9.3084990378859906</v>
      </c>
      <c r="C684" s="1">
        <v>7.6348355839436302</v>
      </c>
      <c r="D684" s="1">
        <v>7.8947539541207403</v>
      </c>
      <c r="E684" s="1">
        <v>-0.45295247560012197</v>
      </c>
      <c r="F684" s="1">
        <v>2.0189128641287801E-3</v>
      </c>
      <c r="G684">
        <v>9.7178256807166893E-2</v>
      </c>
      <c r="H684">
        <v>0.68671711081889597</v>
      </c>
      <c r="I684">
        <v>9.5001358168296003E-3</v>
      </c>
    </row>
    <row r="685" spans="1:9" x14ac:dyDescent="0.25">
      <c r="A685">
        <v>18.850511312484699</v>
      </c>
      <c r="B685" s="1">
        <v>10.06996709075</v>
      </c>
      <c r="C685" s="1">
        <v>7.5386402917356401</v>
      </c>
      <c r="D685" s="1">
        <v>7.6673514260692404</v>
      </c>
      <c r="E685" s="1">
        <v>-0.51456918639187299</v>
      </c>
      <c r="F685" s="1">
        <v>2.2397249617924302E-3</v>
      </c>
      <c r="G685">
        <v>9.8780670277886895E-2</v>
      </c>
      <c r="H685">
        <v>0.66824177700475895</v>
      </c>
      <c r="I685">
        <v>6.0153289446279101E-3</v>
      </c>
    </row>
    <row r="686" spans="1:9" x14ac:dyDescent="0.25">
      <c r="A686">
        <v>21.5470612049102</v>
      </c>
      <c r="B686" s="1">
        <v>10.759056448602999</v>
      </c>
      <c r="C686" s="1">
        <v>7.2625164605851698</v>
      </c>
      <c r="D686" s="1">
        <v>7.2467195161536004</v>
      </c>
      <c r="E686" s="1">
        <v>-0.56512680936624904</v>
      </c>
      <c r="F686" s="1">
        <v>2.3390513244815102E-3</v>
      </c>
      <c r="G686">
        <v>9.7607181090985901E-2</v>
      </c>
      <c r="H686">
        <v>0.65002995539847497</v>
      </c>
      <c r="I686">
        <v>1.42080022445765E-3</v>
      </c>
    </row>
    <row r="687" spans="1:9" x14ac:dyDescent="0.25">
      <c r="A687">
        <v>24.4862973690032</v>
      </c>
      <c r="B687" s="1">
        <v>11.3796139356139</v>
      </c>
      <c r="C687" s="1">
        <v>6.8578710183792202</v>
      </c>
      <c r="D687" s="1">
        <v>6.7058328870928001</v>
      </c>
      <c r="E687" s="1">
        <v>-0.60429714677822799</v>
      </c>
      <c r="F687" s="1">
        <v>2.3885732496964599E-3</v>
      </c>
      <c r="G687">
        <v>9.3909698202502001E-2</v>
      </c>
      <c r="H687">
        <v>0.63153590497054901</v>
      </c>
      <c r="I687">
        <v>-2.9650066685676202E-3</v>
      </c>
    </row>
    <row r="688" spans="1:9" x14ac:dyDescent="0.25">
      <c r="A688">
        <v>27.690052986145002</v>
      </c>
      <c r="B688" s="1">
        <v>11.937593876982</v>
      </c>
      <c r="C688" s="1">
        <v>6.3717654181527799</v>
      </c>
      <c r="D688" s="1">
        <v>6.1034532058288402</v>
      </c>
      <c r="E688" s="1">
        <v>-0.63247811864766801</v>
      </c>
      <c r="F688" s="1">
        <v>2.5220699434211498E-3</v>
      </c>
      <c r="G688">
        <v>8.83066037082164E-2</v>
      </c>
      <c r="H688">
        <v>0.61276573879481</v>
      </c>
      <c r="I688">
        <v>-6.43404846454279E-3</v>
      </c>
    </row>
    <row r="689" spans="1:9" x14ac:dyDescent="0.25">
      <c r="A689">
        <v>31.1821639537811</v>
      </c>
      <c r="B689" s="1">
        <v>12.4398646947387</v>
      </c>
      <c r="C689" s="1">
        <v>5.8431722709647103</v>
      </c>
      <c r="D689" s="1">
        <v>5.4828689278591201</v>
      </c>
      <c r="E689" s="1">
        <v>-0.65042673897167302</v>
      </c>
      <c r="F689" s="1">
        <v>2.6516134883082299E-3</v>
      </c>
      <c r="G689">
        <v>8.1467134212251893E-2</v>
      </c>
      <c r="H689">
        <v>0.59393152773478297</v>
      </c>
      <c r="I689">
        <v>-8.76102676209819E-3</v>
      </c>
    </row>
    <row r="690" spans="1:9" x14ac:dyDescent="0.25">
      <c r="A690">
        <v>34.988558292388902</v>
      </c>
      <c r="B690" s="1">
        <v>12.8935423788073</v>
      </c>
      <c r="C690" s="1">
        <v>5.3020355428816401</v>
      </c>
      <c r="D690" s="1">
        <v>4.8737366623368601</v>
      </c>
      <c r="E690" s="1">
        <v>-0.65900498757370796</v>
      </c>
      <c r="F690" s="1">
        <v>2.5205146423174299E-3</v>
      </c>
      <c r="G690">
        <v>7.3971427210842405E-2</v>
      </c>
      <c r="H690">
        <v>0.575573649570566</v>
      </c>
      <c r="I690" s="1">
        <v>-1.0020647106740299E-2</v>
      </c>
    </row>
    <row r="691" spans="1:9" x14ac:dyDescent="0.25">
      <c r="A691">
        <v>39.137506484985302</v>
      </c>
      <c r="B691" s="1">
        <v>13.3054890033248</v>
      </c>
      <c r="C691" s="1">
        <v>4.7698861969256496</v>
      </c>
      <c r="D691" s="1">
        <v>4.2954432361433401</v>
      </c>
      <c r="E691" s="1">
        <v>-0.65910708014027997</v>
      </c>
      <c r="F691" s="1">
        <v>2.0934689166348499E-3</v>
      </c>
      <c r="G691">
        <v>6.6195850151653302E-2</v>
      </c>
      <c r="H691">
        <v>0.55830495986627005</v>
      </c>
      <c r="I691">
        <v>-1.03698916269518E-2</v>
      </c>
    </row>
    <row r="692" spans="1:9" x14ac:dyDescent="0.25">
      <c r="A692">
        <v>43.659898638725203</v>
      </c>
      <c r="B692" s="1">
        <v>13.682039767170201</v>
      </c>
      <c r="C692" s="1">
        <v>4.2608882892309303</v>
      </c>
      <c r="D692" s="1">
        <v>3.7592467563574798</v>
      </c>
      <c r="E692" s="1">
        <v>-0.65142692092045695</v>
      </c>
      <c r="F692" s="1">
        <v>1.6796075941376001E-3</v>
      </c>
      <c r="G692">
        <v>5.84071272353048E-2</v>
      </c>
      <c r="H692">
        <v>0.54255007168241498</v>
      </c>
      <c r="I692">
        <v>-1.0005818631944999E-2</v>
      </c>
    </row>
    <row r="693" spans="1:9" x14ac:dyDescent="0.25">
      <c r="A693">
        <v>48.589280247688201</v>
      </c>
      <c r="B693" s="1">
        <v>14.028837948704</v>
      </c>
      <c r="C693" s="1">
        <v>3.7837505950592401</v>
      </c>
      <c r="D693" s="1">
        <v>3.2707906103833699</v>
      </c>
      <c r="E693" s="1">
        <v>-0.63658674776866098</v>
      </c>
      <c r="F693" s="1">
        <v>1.5458884120641901E-3</v>
      </c>
      <c r="G693">
        <v>5.0778932194388997E-2</v>
      </c>
      <c r="H693">
        <v>0.52823200340333498</v>
      </c>
      <c r="I693">
        <v>-9.1196391684358093E-3</v>
      </c>
    </row>
    <row r="694" spans="1:9" x14ac:dyDescent="0.25">
      <c r="A694">
        <v>53.962334990501397</v>
      </c>
      <c r="B694" s="1">
        <v>14.350765078926401</v>
      </c>
      <c r="C694" s="1">
        <v>3.3431397794047299</v>
      </c>
      <c r="D694" s="1">
        <v>2.8316801501790101</v>
      </c>
      <c r="E694" s="1">
        <v>-0.61505189964475504</v>
      </c>
      <c r="F694" s="1">
        <v>1.55595009164247E-3</v>
      </c>
      <c r="G694">
        <v>4.3479654028418697E-2</v>
      </c>
      <c r="H694">
        <v>0.51546668825087405</v>
      </c>
      <c r="I694">
        <v>-7.9236250244222803E-3</v>
      </c>
    </row>
    <row r="695" spans="1:9" x14ac:dyDescent="0.25">
      <c r="A695">
        <v>59.818929433822603</v>
      </c>
      <c r="B695" s="1">
        <v>14.6516679820064</v>
      </c>
      <c r="C695" s="1">
        <v>2.9403993611558601</v>
      </c>
      <c r="D695" s="1">
        <v>2.4411965581197799</v>
      </c>
      <c r="E695" s="1">
        <v>-0.58714769575468395</v>
      </c>
      <c r="F695" s="1">
        <v>8.7613748744313602E-4</v>
      </c>
      <c r="G695">
        <v>3.6643088650847699E-2</v>
      </c>
      <c r="H695">
        <v>0.50449054568340801</v>
      </c>
      <c r="I695">
        <v>-6.6250126161147603E-3</v>
      </c>
    </row>
    <row r="696" spans="1:9" x14ac:dyDescent="0.25">
      <c r="A696">
        <v>66.202640533447195</v>
      </c>
      <c r="B696" s="1">
        <v>14.934060424232801</v>
      </c>
      <c r="C696" s="1">
        <v>2.57460934347182</v>
      </c>
      <c r="D696" s="1">
        <v>2.0963352691663402</v>
      </c>
      <c r="E696" s="1">
        <v>-0.553011379419726</v>
      </c>
      <c r="F696" s="1">
        <v>-1.76079518570402E-4</v>
      </c>
      <c r="G696">
        <v>3.03164415990607E-2</v>
      </c>
      <c r="H696">
        <v>0.494216679070208</v>
      </c>
      <c r="I696">
        <v>-5.3288366087367103E-3</v>
      </c>
    </row>
    <row r="697" spans="1:9" x14ac:dyDescent="0.25">
      <c r="A697">
        <v>73.160880804061804</v>
      </c>
      <c r="B697" s="1">
        <v>15.199021547699299</v>
      </c>
      <c r="C697" s="1">
        <v>2.2424663864221599</v>
      </c>
      <c r="D697" s="1">
        <v>1.79212636273236</v>
      </c>
      <c r="E697" s="1">
        <v>-0.51280959919201197</v>
      </c>
      <c r="F697" s="1">
        <v>-6.8137456504409203E-4</v>
      </c>
      <c r="G697">
        <v>2.46153887078739E-2</v>
      </c>
      <c r="H697">
        <v>0.484298889806899</v>
      </c>
      <c r="I697">
        <v>-4.1458438886724704E-3</v>
      </c>
    </row>
    <row r="698" spans="1:9" x14ac:dyDescent="0.25">
      <c r="A698">
        <v>80.745358765125204</v>
      </c>
      <c r="B698" s="1">
        <v>15.4469766613486</v>
      </c>
      <c r="C698" s="1">
        <v>1.9381644747809299</v>
      </c>
      <c r="D698" s="1">
        <v>1.52189851398182</v>
      </c>
      <c r="E698" s="1">
        <v>-0.46636933460508301</v>
      </c>
      <c r="F698" s="1">
        <v>-3.4549685914963201E-4</v>
      </c>
      <c r="G698">
        <v>1.9655342017901301E-2</v>
      </c>
      <c r="H698">
        <v>0.476433690070727</v>
      </c>
      <c r="I698">
        <v>-3.1586266379401299E-3</v>
      </c>
    </row>
    <row r="699" spans="1:9" x14ac:dyDescent="0.25">
      <c r="A699">
        <v>89.012441039085303</v>
      </c>
      <c r="B699" s="1">
        <v>15.6778940257075</v>
      </c>
      <c r="C699" s="1">
        <v>1.6575750113151999</v>
      </c>
      <c r="D699" s="1">
        <v>1.2799366065995501</v>
      </c>
      <c r="E699" s="1">
        <v>-0.41345657921419399</v>
      </c>
      <c r="F699" s="1">
        <v>2.3058419282053299E-4</v>
      </c>
      <c r="G699">
        <v>1.54124488426819E-2</v>
      </c>
      <c r="H699">
        <v>0.47189205946593499</v>
      </c>
      <c r="I699">
        <v>-2.3496556747352E-3</v>
      </c>
    </row>
    <row r="700" spans="1:9" x14ac:dyDescent="0.25">
      <c r="A700">
        <v>98.0235546827316</v>
      </c>
      <c r="B700" s="1">
        <v>15.890085100794099</v>
      </c>
      <c r="C700" s="1">
        <v>1.3995982581436599</v>
      </c>
      <c r="D700" s="1">
        <v>1.0630018588696899</v>
      </c>
      <c r="E700" s="1">
        <v>-0.35408245666446703</v>
      </c>
      <c r="F700" s="1">
        <v>1.1689880515983199E-3</v>
      </c>
      <c r="G700">
        <v>1.18212629306053E-2</v>
      </c>
      <c r="H700">
        <v>0.469463827749587</v>
      </c>
      <c r="I700">
        <v>-1.6970590613557099E-3</v>
      </c>
    </row>
    <row r="701" spans="1:9" x14ac:dyDescent="0.25">
      <c r="A701">
        <v>107.845674455165</v>
      </c>
      <c r="B701" s="1">
        <v>16.0794427987578</v>
      </c>
      <c r="C701" s="1">
        <v>1.1648331044907501</v>
      </c>
      <c r="D701" s="1">
        <v>0.86955369377821101</v>
      </c>
      <c r="E701" s="1">
        <v>-0.28821783087049502</v>
      </c>
      <c r="F701" s="1">
        <v>1.9254954297414401E-3</v>
      </c>
      <c r="G701">
        <v>8.9055344206479797E-3</v>
      </c>
      <c r="H701">
        <v>0.47065967502065498</v>
      </c>
      <c r="I701">
        <v>-1.21527306201026E-3</v>
      </c>
    </row>
    <row r="702" spans="1:9" x14ac:dyDescent="0.25">
      <c r="A702">
        <v>118.551787734031</v>
      </c>
      <c r="B702" s="1">
        <v>16.239295482302001</v>
      </c>
      <c r="C702" s="1">
        <v>0.95944067379969</v>
      </c>
      <c r="D702" s="1">
        <v>0.703940276605027</v>
      </c>
      <c r="E702" s="1">
        <v>-0.21543334805793499</v>
      </c>
      <c r="F702" s="1">
        <v>2.2474233706561101E-3</v>
      </c>
      <c r="G702">
        <v>6.6508874962238999E-3</v>
      </c>
      <c r="H702">
        <v>0.47754051978927098</v>
      </c>
      <c r="I702">
        <v>-8.7465031670080895E-4</v>
      </c>
    </row>
    <row r="703" spans="1:9" x14ac:dyDescent="0.25">
      <c r="A703">
        <v>130.22144660353601</v>
      </c>
      <c r="B703" s="1">
        <v>16.360280006790401</v>
      </c>
      <c r="C703" s="1">
        <v>0.79709102318338299</v>
      </c>
      <c r="D703" s="1">
        <v>0.57546784183671096</v>
      </c>
      <c r="E703" s="1">
        <v>-0.13525379740867099</v>
      </c>
      <c r="F703" s="1">
        <v>2.07960514548957E-3</v>
      </c>
      <c r="G703">
        <v>5.1032565668635496E-3</v>
      </c>
      <c r="H703">
        <v>0.49133238187799799</v>
      </c>
      <c r="I703">
        <v>-6.7017049518480504E-4</v>
      </c>
    </row>
    <row r="704" spans="1:9" x14ac:dyDescent="0.25">
      <c r="A704">
        <v>143.15376933664001</v>
      </c>
      <c r="B704" s="1">
        <v>16.4303036328795</v>
      </c>
      <c r="C704" s="1">
        <v>0.70110732694774902</v>
      </c>
      <c r="D704" s="1">
        <v>0.50008986597375404</v>
      </c>
      <c r="E704" s="1">
        <v>-4.5759900925774699E-2</v>
      </c>
      <c r="F704" s="1">
        <v>2.3904857209594201E-3</v>
      </c>
      <c r="G704">
        <v>4.3228979062991998E-3</v>
      </c>
      <c r="H704">
        <v>0.49891174214495099</v>
      </c>
      <c r="I704">
        <v>-6.0991482981990401E-4</v>
      </c>
    </row>
    <row r="705" spans="2:6" x14ac:dyDescent="0.25">
      <c r="B705" s="1"/>
      <c r="C705" s="1"/>
      <c r="D705" s="1"/>
      <c r="E705" s="1"/>
      <c r="F705" s="1"/>
    </row>
    <row r="706" spans="2:6" x14ac:dyDescent="0.25">
      <c r="B706" s="1"/>
      <c r="C706" s="1"/>
      <c r="D706" s="1"/>
      <c r="E706" s="1"/>
      <c r="F706" s="1"/>
    </row>
    <row r="707" spans="2:6" x14ac:dyDescent="0.25">
      <c r="B707" s="1"/>
      <c r="C707" s="1"/>
      <c r="D707" s="1"/>
      <c r="E707" s="1"/>
      <c r="F707" s="1"/>
    </row>
    <row r="708" spans="2:6" x14ac:dyDescent="0.25">
      <c r="B708" s="1"/>
      <c r="C708" s="1"/>
      <c r="D708" s="1"/>
      <c r="E708" s="1"/>
      <c r="F708" s="1"/>
    </row>
    <row r="709" spans="2:6" x14ac:dyDescent="0.25">
      <c r="B709" s="1"/>
      <c r="C709" s="1"/>
      <c r="D709" s="1"/>
      <c r="E709" s="1"/>
      <c r="F709" s="1"/>
    </row>
    <row r="710" spans="2:6" x14ac:dyDescent="0.25">
      <c r="B710" s="1"/>
      <c r="C710" s="1"/>
      <c r="D710" s="1"/>
      <c r="E710" s="1"/>
      <c r="F710" s="1"/>
    </row>
    <row r="711" spans="2:6" x14ac:dyDescent="0.25">
      <c r="B711" s="1"/>
      <c r="C711" s="1"/>
      <c r="D711" s="1"/>
      <c r="E711" s="1"/>
      <c r="F711" s="1"/>
    </row>
    <row r="712" spans="2:6" x14ac:dyDescent="0.25">
      <c r="B712" s="1"/>
      <c r="C712" s="1"/>
      <c r="D712" s="1"/>
      <c r="E712" s="1"/>
      <c r="F712" s="1"/>
    </row>
    <row r="713" spans="2:6" x14ac:dyDescent="0.25">
      <c r="B713" s="1"/>
      <c r="C713" s="1"/>
      <c r="D713" s="1"/>
      <c r="E713" s="1"/>
      <c r="F713" s="1"/>
    </row>
    <row r="714" spans="2:6" x14ac:dyDescent="0.25">
      <c r="B714" s="1"/>
      <c r="C714" s="1"/>
      <c r="D714" s="1"/>
      <c r="E714" s="1"/>
      <c r="F714" s="1"/>
    </row>
    <row r="715" spans="2:6" x14ac:dyDescent="0.25">
      <c r="B715" s="1"/>
      <c r="C715" s="1"/>
      <c r="D715" s="1"/>
      <c r="E715" s="1"/>
      <c r="F715" s="1"/>
    </row>
    <row r="716" spans="2:6" x14ac:dyDescent="0.25">
      <c r="B716" s="1"/>
      <c r="C716" s="1"/>
      <c r="D716" s="1"/>
      <c r="E716" s="1"/>
      <c r="F716" s="1"/>
    </row>
    <row r="717" spans="2:6" x14ac:dyDescent="0.25">
      <c r="B717" s="1"/>
      <c r="C717" s="1"/>
      <c r="D717" s="1"/>
      <c r="E717" s="1"/>
      <c r="F717" s="1"/>
    </row>
    <row r="718" spans="2:6" x14ac:dyDescent="0.25">
      <c r="B718" s="1"/>
      <c r="C718" s="1"/>
      <c r="D718" s="1"/>
      <c r="E718" s="1"/>
      <c r="F718" s="1"/>
    </row>
    <row r="719" spans="2:6" x14ac:dyDescent="0.25">
      <c r="B719" s="1"/>
      <c r="C719" s="1"/>
      <c r="D719" s="1"/>
      <c r="E719" s="1"/>
      <c r="F719" s="1"/>
    </row>
    <row r="720" spans="2:6" x14ac:dyDescent="0.25">
      <c r="B720" s="1"/>
      <c r="C720" s="1"/>
      <c r="D720" s="1"/>
      <c r="E720" s="1"/>
      <c r="F720" s="1"/>
    </row>
    <row r="721" spans="2:6" x14ac:dyDescent="0.25">
      <c r="B721" s="1"/>
      <c r="C721" s="1"/>
      <c r="D721" s="1"/>
      <c r="E721" s="1"/>
      <c r="F721" s="1"/>
    </row>
    <row r="722" spans="2:6" x14ac:dyDescent="0.25">
      <c r="B722" s="1"/>
      <c r="C722" s="1"/>
      <c r="D722" s="1"/>
      <c r="E722" s="1"/>
      <c r="F722" s="1"/>
    </row>
    <row r="723" spans="2:6" x14ac:dyDescent="0.25">
      <c r="B723" s="1"/>
      <c r="C723" s="1"/>
      <c r="D723" s="1"/>
      <c r="E723" s="1"/>
      <c r="F723" s="1"/>
    </row>
    <row r="724" spans="2:6" x14ac:dyDescent="0.25">
      <c r="B724" s="1"/>
      <c r="C724" s="1"/>
      <c r="D724" s="1"/>
      <c r="E724" s="1"/>
      <c r="F724" s="1"/>
    </row>
    <row r="725" spans="2:6" x14ac:dyDescent="0.25">
      <c r="B725" s="1"/>
      <c r="C725" s="1"/>
      <c r="D725" s="1"/>
      <c r="E725" s="1"/>
      <c r="F725" s="1"/>
    </row>
    <row r="726" spans="2:6" x14ac:dyDescent="0.25">
      <c r="B726" s="1"/>
      <c r="C726" s="1"/>
      <c r="D726" s="1"/>
      <c r="E726" s="1"/>
      <c r="F726" s="1"/>
    </row>
    <row r="727" spans="2:6" x14ac:dyDescent="0.25">
      <c r="B727" s="1"/>
      <c r="C727" s="1"/>
      <c r="D727" s="1"/>
      <c r="E727" s="1"/>
      <c r="F727" s="1"/>
    </row>
    <row r="728" spans="2:6" x14ac:dyDescent="0.25">
      <c r="B728" s="1"/>
      <c r="C728" s="1"/>
      <c r="D728" s="1"/>
      <c r="E728" s="1"/>
      <c r="F728" s="1"/>
    </row>
    <row r="729" spans="2:6" x14ac:dyDescent="0.25">
      <c r="B729" s="1"/>
      <c r="C729" s="1"/>
      <c r="D729" s="1"/>
      <c r="E729" s="1"/>
      <c r="F729" s="1"/>
    </row>
    <row r="730" spans="2:6" x14ac:dyDescent="0.25">
      <c r="B730" s="1"/>
      <c r="C730" s="1"/>
      <c r="D730" s="1"/>
      <c r="E730" s="1"/>
      <c r="F730" s="1"/>
    </row>
    <row r="731" spans="2:6" x14ac:dyDescent="0.25">
      <c r="B731" s="1"/>
      <c r="C731" s="1"/>
      <c r="D731" s="1"/>
      <c r="E731" s="1"/>
      <c r="F731" s="1"/>
    </row>
    <row r="732" spans="2:6" x14ac:dyDescent="0.25">
      <c r="B732" s="1"/>
      <c r="C732" s="1"/>
      <c r="D732" s="1"/>
      <c r="E732" s="1"/>
      <c r="F732" s="1"/>
    </row>
    <row r="733" spans="2:6" x14ac:dyDescent="0.25">
      <c r="B733" s="1"/>
      <c r="C733" s="1"/>
      <c r="D733" s="1"/>
      <c r="E733" s="1"/>
      <c r="F733" s="1"/>
    </row>
    <row r="734" spans="2:6" x14ac:dyDescent="0.25">
      <c r="B734" s="1"/>
      <c r="C734" s="1"/>
      <c r="D734" s="1"/>
      <c r="E734" s="1"/>
      <c r="F734" s="1"/>
    </row>
    <row r="735" spans="2:6" x14ac:dyDescent="0.25">
      <c r="B735" s="1"/>
      <c r="C735" s="1"/>
      <c r="D735" s="1"/>
      <c r="E735" s="1"/>
      <c r="F735" s="1"/>
    </row>
    <row r="736" spans="2:6" x14ac:dyDescent="0.25">
      <c r="B736" s="1"/>
      <c r="C736" s="1"/>
      <c r="D736" s="1"/>
      <c r="E736" s="1"/>
      <c r="F736" s="1"/>
    </row>
    <row r="737" spans="2:6" x14ac:dyDescent="0.25">
      <c r="B737" s="1"/>
      <c r="C737" s="1"/>
      <c r="D737" s="1"/>
      <c r="E737" s="1"/>
      <c r="F737" s="1"/>
    </row>
    <row r="738" spans="2:6" x14ac:dyDescent="0.25">
      <c r="B738" s="1"/>
      <c r="C738" s="1"/>
      <c r="D738" s="1"/>
      <c r="E738" s="1"/>
      <c r="F738" s="1"/>
    </row>
    <row r="739" spans="2:6" x14ac:dyDescent="0.25">
      <c r="B739" s="1"/>
      <c r="C739" s="1"/>
      <c r="D739" s="1"/>
      <c r="E739" s="1"/>
      <c r="F739" s="1"/>
    </row>
    <row r="740" spans="2:6" x14ac:dyDescent="0.25">
      <c r="B740" s="1"/>
      <c r="C740" s="1"/>
      <c r="D740" s="1"/>
      <c r="E740" s="1"/>
      <c r="F740" s="1"/>
    </row>
    <row r="741" spans="2:6" x14ac:dyDescent="0.25">
      <c r="B741" s="1"/>
      <c r="C741" s="1"/>
      <c r="D741" s="1"/>
      <c r="E741" s="1"/>
      <c r="F741" s="1"/>
    </row>
    <row r="742" spans="2:6" x14ac:dyDescent="0.25">
      <c r="B742" s="1"/>
      <c r="C742" s="1"/>
      <c r="D742" s="1"/>
      <c r="E742" s="1"/>
      <c r="F742" s="1"/>
    </row>
    <row r="743" spans="2:6" x14ac:dyDescent="0.25">
      <c r="B743" s="1"/>
      <c r="C743" s="1"/>
      <c r="D743" s="1"/>
      <c r="E743" s="1"/>
      <c r="F743" s="1"/>
    </row>
    <row r="744" spans="2:6" x14ac:dyDescent="0.25">
      <c r="B744" s="1"/>
      <c r="C744" s="1"/>
      <c r="D744" s="1"/>
      <c r="E744" s="1"/>
      <c r="F744" s="1"/>
    </row>
    <row r="745" spans="2:6" x14ac:dyDescent="0.25">
      <c r="B745" s="1"/>
      <c r="C745" s="1"/>
      <c r="D745" s="1"/>
      <c r="E745" s="1"/>
      <c r="F745" s="1"/>
    </row>
    <row r="746" spans="2:6" x14ac:dyDescent="0.25">
      <c r="B746" s="1"/>
      <c r="C746" s="1"/>
      <c r="D746" s="1"/>
      <c r="E746" s="1"/>
      <c r="F746" s="1"/>
    </row>
    <row r="747" spans="2:6" x14ac:dyDescent="0.25">
      <c r="B747" s="1"/>
      <c r="C747" s="1"/>
      <c r="D747" s="1"/>
      <c r="E747" s="1"/>
      <c r="F747" s="1"/>
    </row>
    <row r="748" spans="2:6" x14ac:dyDescent="0.25">
      <c r="B748" s="1"/>
      <c r="C748" s="1"/>
      <c r="D748" s="1"/>
      <c r="E748" s="1"/>
      <c r="F748" s="1"/>
    </row>
    <row r="749" spans="2:6" x14ac:dyDescent="0.25">
      <c r="B749" s="1"/>
      <c r="C749" s="1"/>
      <c r="D749" s="1"/>
      <c r="E749" s="1"/>
      <c r="F749" s="1"/>
    </row>
    <row r="750" spans="2:6" x14ac:dyDescent="0.25">
      <c r="B750" s="1"/>
      <c r="C750" s="1"/>
      <c r="D750" s="1"/>
      <c r="E750" s="1"/>
      <c r="F750" s="1"/>
    </row>
    <row r="751" spans="2:6" x14ac:dyDescent="0.25">
      <c r="B751" s="1"/>
      <c r="C751" s="1"/>
      <c r="D751" s="1"/>
      <c r="E751" s="1"/>
      <c r="F751" s="1"/>
    </row>
    <row r="752" spans="2:6" x14ac:dyDescent="0.25">
      <c r="B752" s="1"/>
      <c r="C752" s="1"/>
      <c r="D752" s="1"/>
      <c r="E752" s="1"/>
      <c r="F752" s="1"/>
    </row>
    <row r="753" spans="2:6" x14ac:dyDescent="0.25">
      <c r="B753" s="1"/>
      <c r="C753" s="1"/>
      <c r="D753" s="1"/>
      <c r="E753" s="1"/>
      <c r="F753" s="1"/>
    </row>
    <row r="754" spans="2:6" x14ac:dyDescent="0.25">
      <c r="B754" s="1"/>
      <c r="C754" s="1"/>
      <c r="D754" s="1"/>
      <c r="E754" s="1"/>
      <c r="F754" s="1"/>
    </row>
    <row r="755" spans="2:6" x14ac:dyDescent="0.25">
      <c r="B755" s="1"/>
      <c r="C755" s="1"/>
      <c r="D755" s="1"/>
      <c r="E755" s="1"/>
      <c r="F755" s="1"/>
    </row>
    <row r="756" spans="2:6" x14ac:dyDescent="0.25">
      <c r="B756" s="1"/>
      <c r="C756" s="1"/>
      <c r="D756" s="1"/>
      <c r="E756" s="1"/>
      <c r="F756" s="1"/>
    </row>
    <row r="757" spans="2:6" x14ac:dyDescent="0.25">
      <c r="B757" s="1"/>
      <c r="C757" s="1"/>
      <c r="D757" s="1"/>
      <c r="E757" s="1"/>
      <c r="F757" s="1"/>
    </row>
    <row r="758" spans="2:6" x14ac:dyDescent="0.25">
      <c r="B758" s="1"/>
      <c r="C758" s="1"/>
      <c r="D758" s="1"/>
      <c r="E758" s="1"/>
      <c r="F758" s="1"/>
    </row>
    <row r="759" spans="2:6" x14ac:dyDescent="0.25">
      <c r="B759" s="1"/>
      <c r="C759" s="1"/>
      <c r="D759" s="1"/>
      <c r="E759" s="1"/>
      <c r="F759" s="1"/>
    </row>
    <row r="760" spans="2:6" x14ac:dyDescent="0.25">
      <c r="B760" s="1"/>
      <c r="C760" s="1"/>
      <c r="D760" s="1"/>
      <c r="E760" s="1"/>
      <c r="F760" s="1"/>
    </row>
    <row r="761" spans="2:6" x14ac:dyDescent="0.25">
      <c r="B761" s="1"/>
      <c r="C761" s="1"/>
      <c r="D761" s="1"/>
      <c r="E761" s="1"/>
      <c r="F761" s="1"/>
    </row>
    <row r="762" spans="2:6" x14ac:dyDescent="0.25">
      <c r="B762" s="1"/>
      <c r="C762" s="1"/>
      <c r="D762" s="1"/>
      <c r="E762" s="1"/>
      <c r="F762" s="1"/>
    </row>
    <row r="763" spans="2:6" x14ac:dyDescent="0.25">
      <c r="B763" s="1"/>
      <c r="C763" s="1"/>
      <c r="D763" s="1"/>
      <c r="E763" s="1"/>
      <c r="F763" s="1"/>
    </row>
    <row r="764" spans="2:6" x14ac:dyDescent="0.25">
      <c r="B764" s="1"/>
      <c r="C764" s="1"/>
      <c r="D764" s="1"/>
      <c r="E764" s="1"/>
      <c r="F764" s="1"/>
    </row>
    <row r="765" spans="2:6" x14ac:dyDescent="0.25">
      <c r="B765" s="1"/>
      <c r="C765" s="1"/>
      <c r="D765" s="1"/>
      <c r="E765" s="1"/>
      <c r="F765" s="1"/>
    </row>
    <row r="766" spans="2:6" x14ac:dyDescent="0.25">
      <c r="B766" s="1"/>
      <c r="C766" s="1"/>
      <c r="D766" s="1"/>
      <c r="E766" s="1"/>
      <c r="F766" s="1"/>
    </row>
    <row r="767" spans="2:6" x14ac:dyDescent="0.25">
      <c r="B767" s="1"/>
      <c r="C767" s="1"/>
      <c r="D767" s="1"/>
      <c r="E767" s="1"/>
      <c r="F767" s="1"/>
    </row>
    <row r="768" spans="2:6" x14ac:dyDescent="0.25">
      <c r="B768" s="1"/>
      <c r="C768" s="1"/>
      <c r="D768" s="1"/>
      <c r="E768" s="1"/>
      <c r="F768" s="1"/>
    </row>
    <row r="769" spans="2:6" x14ac:dyDescent="0.25">
      <c r="B769" s="1"/>
      <c r="C769" s="1"/>
      <c r="D769" s="1"/>
      <c r="E769" s="1"/>
      <c r="F769" s="1"/>
    </row>
    <row r="770" spans="2:6" x14ac:dyDescent="0.25">
      <c r="B770" s="1"/>
      <c r="C770" s="1"/>
      <c r="D770" s="1"/>
      <c r="E770" s="1"/>
      <c r="F770" s="1"/>
    </row>
    <row r="771" spans="2:6" x14ac:dyDescent="0.25">
      <c r="B771" s="1"/>
      <c r="C771" s="1"/>
      <c r="D771" s="1"/>
      <c r="E771" s="1"/>
      <c r="F771" s="1"/>
    </row>
    <row r="772" spans="2:6" x14ac:dyDescent="0.25">
      <c r="B772" s="1"/>
      <c r="C772" s="1"/>
      <c r="D772" s="1"/>
      <c r="E772" s="1"/>
      <c r="F772" s="1"/>
    </row>
    <row r="773" spans="2:6" x14ac:dyDescent="0.25">
      <c r="B773" s="1"/>
      <c r="C773" s="1"/>
      <c r="D773" s="1"/>
      <c r="E773" s="1"/>
      <c r="F773" s="1"/>
    </row>
    <row r="774" spans="2:6" x14ac:dyDescent="0.25">
      <c r="B774" s="1"/>
      <c r="C774" s="1"/>
      <c r="D774" s="1"/>
      <c r="E774" s="1"/>
      <c r="F774" s="1"/>
    </row>
    <row r="775" spans="2:6" x14ac:dyDescent="0.25">
      <c r="B775" s="1"/>
      <c r="C775" s="1"/>
      <c r="D775" s="1"/>
      <c r="E775" s="1"/>
      <c r="F775" s="1"/>
    </row>
    <row r="776" spans="2:6" x14ac:dyDescent="0.25">
      <c r="B776" s="1"/>
      <c r="C776" s="1"/>
      <c r="D776" s="1"/>
      <c r="E776" s="1"/>
      <c r="F776" s="1"/>
    </row>
    <row r="777" spans="2:6" x14ac:dyDescent="0.25">
      <c r="B777" s="1"/>
      <c r="C777" s="1"/>
      <c r="D777" s="1"/>
      <c r="E777" s="1"/>
      <c r="F777" s="1"/>
    </row>
    <row r="778" spans="2:6" x14ac:dyDescent="0.25">
      <c r="B778" s="1"/>
      <c r="C778" s="1"/>
      <c r="D778" s="1"/>
      <c r="E778" s="1"/>
      <c r="F778" s="1"/>
    </row>
    <row r="779" spans="2:6" x14ac:dyDescent="0.25">
      <c r="B779" s="1"/>
      <c r="C779" s="1"/>
      <c r="D779" s="1"/>
      <c r="E779" s="1"/>
      <c r="F779" s="1"/>
    </row>
    <row r="780" spans="2:6" x14ac:dyDescent="0.25">
      <c r="B780" s="1"/>
      <c r="C780" s="1"/>
      <c r="D780" s="1"/>
      <c r="E780" s="1"/>
      <c r="F780" s="1"/>
    </row>
    <row r="781" spans="2:6" x14ac:dyDescent="0.25">
      <c r="B781" s="1"/>
      <c r="C781" s="1"/>
      <c r="D781" s="1"/>
      <c r="E781" s="1"/>
      <c r="F781" s="1"/>
    </row>
    <row r="782" spans="2:6" x14ac:dyDescent="0.25">
      <c r="B782" s="1"/>
      <c r="C782" s="1"/>
      <c r="D782" s="1"/>
      <c r="E782" s="1"/>
      <c r="F782" s="1"/>
    </row>
    <row r="783" spans="2:6" x14ac:dyDescent="0.25">
      <c r="B783" s="1"/>
      <c r="C783" s="1"/>
      <c r="D783" s="1"/>
      <c r="E783" s="1"/>
      <c r="F783" s="1"/>
    </row>
    <row r="784" spans="2:6" x14ac:dyDescent="0.25">
      <c r="B784" s="1"/>
      <c r="C784" s="1"/>
      <c r="D784" s="1"/>
      <c r="E784" s="1"/>
      <c r="F784" s="1"/>
    </row>
    <row r="785" spans="2:13" x14ac:dyDescent="0.25">
      <c r="B785" s="1"/>
      <c r="C785" s="1"/>
      <c r="D785" s="1"/>
      <c r="E785" s="1"/>
      <c r="F785" s="1"/>
    </row>
    <row r="786" spans="2:13" x14ac:dyDescent="0.25">
      <c r="B786" s="1"/>
      <c r="C786" s="1"/>
      <c r="D786" s="1"/>
      <c r="E786" s="1"/>
      <c r="F786" s="1"/>
    </row>
    <row r="787" spans="2:13" x14ac:dyDescent="0.25">
      <c r="B787" s="1"/>
      <c r="C787" s="1"/>
      <c r="D787" s="1"/>
      <c r="E787" s="1"/>
      <c r="F787" s="1"/>
    </row>
    <row r="788" spans="2:13" x14ac:dyDescent="0.25">
      <c r="B788" s="1"/>
      <c r="C788" s="1"/>
      <c r="D788" s="1"/>
      <c r="E788" s="1"/>
      <c r="F788" s="1"/>
    </row>
    <row r="789" spans="2:13" x14ac:dyDescent="0.25">
      <c r="B789" s="1"/>
      <c r="C789" s="1"/>
      <c r="D789" s="1"/>
      <c r="E789" s="1"/>
      <c r="F789" s="1"/>
    </row>
    <row r="790" spans="2:13" x14ac:dyDescent="0.25">
      <c r="B790" s="1"/>
      <c r="C790" s="1"/>
      <c r="D790" s="1"/>
      <c r="E790" s="1"/>
      <c r="F790" s="1"/>
    </row>
    <row r="791" spans="2:13" x14ac:dyDescent="0.25">
      <c r="B791" s="1"/>
      <c r="C791" s="1"/>
      <c r="D791" s="1"/>
      <c r="E791" s="1"/>
      <c r="F791" s="1"/>
    </row>
    <row r="792" spans="2:13" x14ac:dyDescent="0.25">
      <c r="B792" s="1"/>
      <c r="C792" s="1"/>
      <c r="D792" s="1"/>
      <c r="E792" s="1"/>
      <c r="F792" s="1"/>
      <c r="G792" s="1"/>
    </row>
    <row r="793" spans="2:13" x14ac:dyDescent="0.25">
      <c r="B793" s="1"/>
      <c r="C793" s="1"/>
      <c r="D793" s="1"/>
      <c r="E793" s="1"/>
      <c r="F793" s="1"/>
      <c r="G793" s="1"/>
    </row>
    <row r="794" spans="2:13" x14ac:dyDescent="0.25">
      <c r="B794" s="1"/>
      <c r="C794" s="1"/>
      <c r="D794" s="1"/>
      <c r="E794" s="1"/>
      <c r="F794" s="1"/>
      <c r="G794" s="1"/>
    </row>
    <row r="795" spans="2:13" x14ac:dyDescent="0.25">
      <c r="B795" s="1"/>
      <c r="C795" s="1"/>
      <c r="D795" s="1"/>
      <c r="E795" s="1"/>
      <c r="F795" s="1"/>
      <c r="G795" s="1"/>
    </row>
    <row r="796" spans="2:13" x14ac:dyDescent="0.25">
      <c r="B796" s="1"/>
      <c r="C796" s="1"/>
      <c r="D796" s="1"/>
      <c r="E796" s="1"/>
      <c r="F796" s="1"/>
      <c r="G796" s="1"/>
    </row>
    <row r="797" spans="2:13" x14ac:dyDescent="0.25">
      <c r="B797" s="1"/>
      <c r="C797" s="1"/>
      <c r="D797" s="1"/>
      <c r="E797" s="1"/>
      <c r="F797" s="1"/>
      <c r="G797" s="1"/>
      <c r="I797" s="1"/>
      <c r="J797" s="1"/>
      <c r="K797" s="1"/>
      <c r="L797" s="1"/>
      <c r="M797" s="1"/>
    </row>
    <row r="798" spans="2:13" x14ac:dyDescent="0.25">
      <c r="B798" s="1"/>
      <c r="C798" s="1"/>
      <c r="D798" s="1"/>
      <c r="E798" s="1"/>
      <c r="F798" s="1"/>
      <c r="G798" s="1"/>
      <c r="I798" s="1"/>
      <c r="J798" s="1"/>
      <c r="K798" s="1"/>
      <c r="L798" s="1"/>
      <c r="M798" s="1"/>
    </row>
    <row r="799" spans="2:13" x14ac:dyDescent="0.25">
      <c r="B799" s="1"/>
      <c r="C799" s="1"/>
      <c r="D799" s="1"/>
      <c r="E799" s="1"/>
      <c r="F799" s="1"/>
      <c r="G799" s="1"/>
      <c r="I799" s="1"/>
      <c r="J799" s="1"/>
      <c r="K799" s="1"/>
      <c r="L799" s="1"/>
      <c r="M799" s="1"/>
    </row>
    <row r="800" spans="2:13" x14ac:dyDescent="0.25">
      <c r="B800" s="1"/>
      <c r="C800" s="1"/>
      <c r="D800" s="1"/>
      <c r="E800" s="1"/>
      <c r="F800" s="1"/>
      <c r="G800" s="1"/>
      <c r="I800" s="1"/>
      <c r="J800" s="1"/>
      <c r="K800" s="1"/>
      <c r="L800" s="1"/>
      <c r="M800" s="1"/>
    </row>
    <row r="801" spans="2:13" x14ac:dyDescent="0.25">
      <c r="B801" s="1"/>
      <c r="C801" s="1"/>
      <c r="D801" s="1"/>
      <c r="E801" s="1"/>
      <c r="F801" s="1"/>
      <c r="G801" s="1"/>
      <c r="I801" s="1"/>
      <c r="J801" s="1"/>
      <c r="K801" s="1"/>
      <c r="L801" s="1"/>
      <c r="M801" s="1"/>
    </row>
    <row r="802" spans="2:13" x14ac:dyDescent="0.25">
      <c r="B802" s="1"/>
      <c r="C802" s="1"/>
      <c r="D802" s="1"/>
      <c r="E802" s="1"/>
      <c r="F802" s="1"/>
      <c r="G802" s="1"/>
      <c r="I802" s="1"/>
      <c r="J802" s="1"/>
      <c r="K802" s="1"/>
      <c r="L802" s="1"/>
      <c r="M802" s="1"/>
    </row>
    <row r="803" spans="2:13" x14ac:dyDescent="0.25">
      <c r="B803" s="1"/>
      <c r="C803" s="1"/>
      <c r="D803" s="1"/>
      <c r="E803" s="1"/>
      <c r="F803" s="1"/>
      <c r="G803" s="1"/>
      <c r="I803" s="1"/>
      <c r="J803" s="1"/>
      <c r="K803" s="1"/>
      <c r="L803" s="1"/>
      <c r="M803" s="1"/>
    </row>
    <row r="804" spans="2:13" x14ac:dyDescent="0.25">
      <c r="B804" s="1"/>
      <c r="C804" s="1"/>
      <c r="D804" s="1"/>
      <c r="E804" s="1"/>
      <c r="F804" s="1"/>
      <c r="G804" s="1"/>
      <c r="I804" s="1"/>
      <c r="J804" s="1"/>
      <c r="K804" s="1"/>
      <c r="L804" s="1"/>
      <c r="M804" s="1"/>
    </row>
    <row r="805" spans="2:13" x14ac:dyDescent="0.25">
      <c r="B805" s="1"/>
      <c r="C805" s="1"/>
      <c r="D805" s="1"/>
      <c r="E805" s="1"/>
      <c r="F805" s="1"/>
      <c r="G805" s="1"/>
      <c r="I805" s="1"/>
      <c r="J805" s="1"/>
      <c r="K805" s="1"/>
      <c r="L805" s="1"/>
      <c r="M805" s="1"/>
    </row>
    <row r="806" spans="2:13" x14ac:dyDescent="0.25">
      <c r="B806" s="1"/>
      <c r="C806" s="1"/>
      <c r="D806" s="1"/>
      <c r="E806" s="1"/>
      <c r="F806" s="1"/>
      <c r="G806" s="1"/>
      <c r="I806" s="1"/>
      <c r="J806" s="1"/>
      <c r="K806" s="1"/>
      <c r="L806" s="1"/>
      <c r="M806" s="1"/>
    </row>
    <row r="807" spans="2:13" x14ac:dyDescent="0.25">
      <c r="B807" s="1"/>
      <c r="C807" s="1"/>
      <c r="D807" s="1"/>
      <c r="E807" s="1"/>
      <c r="F807" s="1"/>
      <c r="G807" s="1"/>
      <c r="I807" s="1"/>
      <c r="J807" s="1"/>
      <c r="K807" s="1"/>
      <c r="L807" s="1"/>
      <c r="M807" s="1"/>
    </row>
    <row r="808" spans="2:13" x14ac:dyDescent="0.25">
      <c r="B808" s="1"/>
      <c r="C808" s="1"/>
      <c r="D808" s="1"/>
      <c r="E808" s="1"/>
      <c r="F808" s="1"/>
      <c r="G808" s="1"/>
      <c r="I808" s="1"/>
      <c r="J808" s="1"/>
      <c r="K808" s="1"/>
      <c r="L808" s="1"/>
      <c r="M808" s="1"/>
    </row>
    <row r="809" spans="2:13" x14ac:dyDescent="0.25">
      <c r="B809" s="1"/>
      <c r="C809" s="1"/>
      <c r="D809" s="1"/>
      <c r="E809" s="1"/>
      <c r="F809" s="1"/>
      <c r="G809" s="1"/>
      <c r="I809" s="1"/>
      <c r="J809" s="1"/>
      <c r="K809" s="1"/>
      <c r="L809" s="1"/>
      <c r="M809" s="1"/>
    </row>
    <row r="810" spans="2:13" x14ac:dyDescent="0.25">
      <c r="B810" s="1"/>
      <c r="C810" s="1"/>
      <c r="D810" s="1"/>
      <c r="E810" s="1"/>
      <c r="F810" s="1"/>
      <c r="G810" s="1"/>
      <c r="I810" s="1"/>
      <c r="J810" s="1"/>
      <c r="K810" s="1"/>
      <c r="L810" s="1"/>
      <c r="M810" s="1"/>
    </row>
    <row r="811" spans="2:13" x14ac:dyDescent="0.25">
      <c r="B811" s="1"/>
      <c r="C811" s="1"/>
      <c r="D811" s="1"/>
      <c r="E811" s="1"/>
      <c r="F811" s="1"/>
      <c r="G811" s="1"/>
      <c r="I811" s="1"/>
      <c r="J811" s="1"/>
      <c r="K811" s="1"/>
      <c r="L811" s="1"/>
      <c r="M811" s="1"/>
    </row>
    <row r="812" spans="2:13" x14ac:dyDescent="0.25">
      <c r="B812" s="1"/>
      <c r="C812" s="1"/>
      <c r="D812" s="1"/>
      <c r="E812" s="1"/>
      <c r="F812" s="1"/>
      <c r="G812" s="1"/>
      <c r="I812" s="1"/>
      <c r="J812" s="1"/>
      <c r="K812" s="1"/>
      <c r="L812" s="1"/>
      <c r="M812" s="1"/>
    </row>
    <row r="813" spans="2:13" x14ac:dyDescent="0.25">
      <c r="B813" s="1"/>
      <c r="C813" s="1"/>
      <c r="D813" s="1"/>
      <c r="E813" s="1"/>
      <c r="F813" s="1"/>
      <c r="G813" s="1"/>
      <c r="I813" s="1"/>
      <c r="J813" s="1"/>
      <c r="K813" s="1"/>
      <c r="L813" s="1"/>
      <c r="M813" s="1"/>
    </row>
    <row r="814" spans="2:13" x14ac:dyDescent="0.25">
      <c r="B814" s="1"/>
      <c r="C814" s="1"/>
      <c r="D814" s="1"/>
      <c r="E814" s="1"/>
      <c r="F814" s="1"/>
      <c r="G814" s="1"/>
      <c r="I814" s="1"/>
      <c r="J814" s="1"/>
      <c r="K814" s="1"/>
      <c r="L814" s="1"/>
      <c r="M814" s="1"/>
    </row>
    <row r="815" spans="2:13" x14ac:dyDescent="0.25">
      <c r="B815" s="1"/>
      <c r="C815" s="1"/>
      <c r="D815" s="1"/>
      <c r="E815" s="1"/>
      <c r="F815" s="1"/>
      <c r="G815" s="1"/>
      <c r="I815" s="1"/>
      <c r="J815" s="1"/>
      <c r="K815" s="1"/>
      <c r="L815" s="1"/>
      <c r="M815" s="1"/>
    </row>
    <row r="816" spans="2:13" x14ac:dyDescent="0.25">
      <c r="B816" s="1"/>
      <c r="C816" s="1"/>
      <c r="D816" s="1"/>
      <c r="E816" s="1"/>
      <c r="F816" s="1"/>
      <c r="G816" s="1"/>
      <c r="I816" s="1"/>
      <c r="J816" s="1"/>
      <c r="K816" s="1"/>
      <c r="L816" s="1"/>
      <c r="M816" s="1"/>
    </row>
    <row r="817" spans="2:13" x14ac:dyDescent="0.25">
      <c r="B817" s="1"/>
      <c r="C817" s="1"/>
      <c r="D817" s="1"/>
      <c r="E817" s="1"/>
      <c r="F817" s="1"/>
      <c r="G817" s="1"/>
      <c r="I817" s="1"/>
      <c r="J817" s="1"/>
      <c r="K817" s="1"/>
      <c r="L817" s="1"/>
      <c r="M817" s="1"/>
    </row>
    <row r="818" spans="2:13" x14ac:dyDescent="0.25">
      <c r="B818" s="1"/>
      <c r="C818" s="1"/>
      <c r="D818" s="1"/>
      <c r="E818" s="1"/>
      <c r="F818" s="1"/>
      <c r="G818" s="1"/>
      <c r="I818" s="1"/>
      <c r="J818" s="1"/>
      <c r="K818" s="1"/>
      <c r="L818" s="1"/>
      <c r="M818" s="1"/>
    </row>
    <row r="819" spans="2:13" x14ac:dyDescent="0.25">
      <c r="B819" s="1"/>
      <c r="C819" s="1"/>
      <c r="D819" s="1"/>
      <c r="E819" s="1"/>
      <c r="F819" s="1"/>
      <c r="G819" s="1"/>
      <c r="I819" s="1"/>
      <c r="J819" s="1"/>
      <c r="K819" s="1"/>
      <c r="L819" s="1"/>
      <c r="M819" s="1"/>
    </row>
    <row r="820" spans="2:13" x14ac:dyDescent="0.25">
      <c r="B820" s="1"/>
      <c r="C820" s="1"/>
      <c r="D820" s="1"/>
      <c r="E820" s="1"/>
      <c r="F820" s="1"/>
      <c r="G820" s="1"/>
      <c r="I820" s="1"/>
      <c r="J820" s="1"/>
      <c r="K820" s="1"/>
      <c r="L820" s="1"/>
      <c r="M820" s="1"/>
    </row>
    <row r="821" spans="2:13" x14ac:dyDescent="0.25">
      <c r="B821" s="1"/>
      <c r="C821" s="1"/>
      <c r="D821" s="1"/>
      <c r="E821" s="1"/>
      <c r="F821" s="1"/>
      <c r="G821" s="1"/>
      <c r="I821" s="1"/>
      <c r="J821" s="1"/>
      <c r="K821" s="1"/>
      <c r="L821" s="1"/>
      <c r="M821" s="1"/>
    </row>
    <row r="822" spans="2:13" x14ac:dyDescent="0.25">
      <c r="B822" s="1"/>
      <c r="C822" s="1"/>
      <c r="D822" s="1"/>
      <c r="E822" s="1"/>
      <c r="F822" s="1"/>
      <c r="G822" s="1"/>
      <c r="I822" s="1"/>
      <c r="J822" s="1"/>
      <c r="K822" s="1"/>
      <c r="L822" s="1"/>
      <c r="M822" s="1"/>
    </row>
    <row r="823" spans="2:13" x14ac:dyDescent="0.25">
      <c r="B823" s="1"/>
      <c r="C823" s="1"/>
      <c r="D823" s="1"/>
      <c r="E823" s="1"/>
      <c r="F823" s="1"/>
      <c r="G823" s="1"/>
      <c r="I823" s="1"/>
      <c r="J823" s="1"/>
      <c r="K823" s="1"/>
      <c r="L823" s="1"/>
      <c r="M823" s="1"/>
    </row>
    <row r="824" spans="2:13" x14ac:dyDescent="0.25">
      <c r="B824" s="1"/>
      <c r="C824" s="1"/>
      <c r="D824" s="1"/>
      <c r="E824" s="1"/>
      <c r="F824" s="1"/>
      <c r="G824" s="1"/>
      <c r="I824" s="1"/>
      <c r="J824" s="1"/>
      <c r="K824" s="1"/>
      <c r="L824" s="1"/>
      <c r="M824" s="1"/>
    </row>
    <row r="825" spans="2:13" x14ac:dyDescent="0.25">
      <c r="B825" s="1"/>
      <c r="C825" s="1"/>
      <c r="D825" s="1"/>
      <c r="E825" s="1"/>
      <c r="F825" s="1"/>
      <c r="G825" s="1"/>
      <c r="I825" s="1"/>
      <c r="J825" s="1"/>
      <c r="K825" s="1"/>
      <c r="L825" s="1"/>
      <c r="M825" s="1"/>
    </row>
    <row r="826" spans="2:13" x14ac:dyDescent="0.25">
      <c r="B826" s="1"/>
      <c r="C826" s="1"/>
      <c r="D826" s="1"/>
      <c r="E826" s="1"/>
      <c r="F826" s="1"/>
      <c r="G826" s="1"/>
      <c r="I826" s="1"/>
      <c r="J826" s="1"/>
      <c r="K826" s="1"/>
      <c r="L826" s="1"/>
      <c r="M826" s="1"/>
    </row>
    <row r="827" spans="2:13" x14ac:dyDescent="0.25">
      <c r="B827" s="1"/>
      <c r="C827" s="1"/>
      <c r="D827" s="1"/>
      <c r="E827" s="1"/>
      <c r="F827" s="1"/>
      <c r="G827" s="1"/>
      <c r="I827" s="1"/>
      <c r="J827" s="1"/>
      <c r="K827" s="1"/>
      <c r="L827" s="1"/>
      <c r="M827" s="1"/>
    </row>
    <row r="828" spans="2:13" x14ac:dyDescent="0.25">
      <c r="B828" s="1"/>
      <c r="C828" s="1"/>
      <c r="D828" s="1"/>
      <c r="E828" s="1"/>
      <c r="F828" s="1"/>
      <c r="G828" s="1"/>
      <c r="I828" s="1"/>
      <c r="J828" s="1"/>
      <c r="K828" s="1"/>
      <c r="L828" s="1"/>
      <c r="M828" s="1"/>
    </row>
    <row r="829" spans="2:13" x14ac:dyDescent="0.25">
      <c r="B829" s="1"/>
      <c r="C829" s="1"/>
      <c r="D829" s="1"/>
      <c r="E829" s="1"/>
      <c r="F829" s="1"/>
      <c r="G829" s="1"/>
      <c r="I829" s="1"/>
      <c r="J829" s="1"/>
      <c r="K829" s="1"/>
      <c r="L829" s="1"/>
      <c r="M829" s="1"/>
    </row>
    <row r="830" spans="2:13" x14ac:dyDescent="0.25">
      <c r="B830" s="1"/>
      <c r="C830" s="1"/>
      <c r="D830" s="1"/>
      <c r="E830" s="1"/>
      <c r="F830" s="1"/>
      <c r="G830" s="1"/>
      <c r="I830" s="1"/>
      <c r="J830" s="1"/>
      <c r="K830" s="1"/>
      <c r="L830" s="1"/>
      <c r="M830" s="1"/>
    </row>
    <row r="831" spans="2:13" x14ac:dyDescent="0.25">
      <c r="B831" s="1"/>
      <c r="C831" s="1"/>
      <c r="D831" s="1"/>
      <c r="E831" s="1"/>
      <c r="F831" s="1"/>
      <c r="G831" s="1"/>
      <c r="I831" s="1"/>
      <c r="J831" s="1"/>
      <c r="K831" s="1"/>
      <c r="L831" s="1"/>
      <c r="M831" s="1"/>
    </row>
    <row r="832" spans="2:13" x14ac:dyDescent="0.25">
      <c r="B832" s="1"/>
      <c r="C832" s="1"/>
      <c r="D832" s="1"/>
      <c r="E832" s="1"/>
      <c r="F832" s="1"/>
      <c r="G832" s="1"/>
      <c r="I832" s="1"/>
      <c r="J832" s="1"/>
      <c r="K832" s="1"/>
      <c r="L832" s="1"/>
      <c r="M832" s="1"/>
    </row>
    <row r="833" spans="2:13" x14ac:dyDescent="0.25">
      <c r="B833" s="1"/>
      <c r="C833" s="1"/>
      <c r="D833" s="1"/>
      <c r="E833" s="1"/>
      <c r="F833" s="1"/>
      <c r="G833" s="1"/>
      <c r="I833" s="1"/>
      <c r="J833" s="1"/>
      <c r="K833" s="1"/>
      <c r="L833" s="1"/>
      <c r="M833" s="1"/>
    </row>
    <row r="834" spans="2:13" x14ac:dyDescent="0.25">
      <c r="B834" s="1"/>
      <c r="C834" s="1"/>
      <c r="D834" s="1"/>
      <c r="E834" s="1"/>
      <c r="F834" s="1"/>
      <c r="G834" s="1"/>
      <c r="I834" s="1"/>
      <c r="J834" s="1"/>
      <c r="K834" s="1"/>
      <c r="L834" s="1"/>
      <c r="M834" s="1"/>
    </row>
    <row r="835" spans="2:13" x14ac:dyDescent="0.25">
      <c r="B835" s="1"/>
      <c r="C835" s="1"/>
      <c r="D835" s="1"/>
      <c r="E835" s="1"/>
      <c r="F835" s="1"/>
      <c r="G835" s="1"/>
      <c r="I835" s="1"/>
      <c r="J835" s="1"/>
      <c r="K835" s="1"/>
      <c r="L835" s="1"/>
      <c r="M835" s="1"/>
    </row>
    <row r="836" spans="2:13" x14ac:dyDescent="0.25">
      <c r="B836" s="1"/>
      <c r="C836" s="1"/>
      <c r="D836" s="1"/>
      <c r="E836" s="1"/>
      <c r="F836" s="1"/>
      <c r="G836" s="1"/>
      <c r="I836" s="1"/>
      <c r="J836" s="1"/>
      <c r="K836" s="1"/>
      <c r="L836" s="1"/>
      <c r="M836" s="1"/>
    </row>
    <row r="837" spans="2:13" x14ac:dyDescent="0.25">
      <c r="B837" s="1"/>
      <c r="C837" s="1"/>
      <c r="D837" s="1"/>
      <c r="E837" s="1"/>
      <c r="F837" s="1"/>
      <c r="G837" s="1"/>
      <c r="I837" s="1"/>
      <c r="J837" s="1"/>
      <c r="K837" s="1"/>
      <c r="L837" s="1"/>
      <c r="M837" s="1"/>
    </row>
    <row r="838" spans="2:13" x14ac:dyDescent="0.25">
      <c r="B838" s="1"/>
      <c r="C838" s="1"/>
      <c r="D838" s="1"/>
      <c r="E838" s="1"/>
      <c r="F838" s="1"/>
      <c r="G838" s="1"/>
      <c r="I838" s="1"/>
      <c r="J838" s="1"/>
      <c r="K838" s="1"/>
      <c r="L838" s="1"/>
      <c r="M838" s="1"/>
    </row>
    <row r="839" spans="2:13" x14ac:dyDescent="0.25">
      <c r="B839" s="1"/>
      <c r="C839" s="1"/>
      <c r="D839" s="1"/>
      <c r="E839" s="1"/>
      <c r="F839" s="1"/>
      <c r="G839" s="1"/>
      <c r="I839" s="1"/>
      <c r="J839" s="1"/>
      <c r="K839" s="1"/>
      <c r="L839" s="1"/>
      <c r="M839" s="1"/>
    </row>
    <row r="840" spans="2:13" x14ac:dyDescent="0.25">
      <c r="B840" s="1"/>
      <c r="C840" s="1"/>
      <c r="D840" s="1"/>
      <c r="E840" s="1"/>
      <c r="F840" s="1"/>
      <c r="G840" s="1"/>
      <c r="I840" s="1"/>
      <c r="J840" s="1"/>
      <c r="K840" s="1"/>
      <c r="L840" s="1"/>
      <c r="M840" s="1"/>
    </row>
    <row r="841" spans="2:13" x14ac:dyDescent="0.25">
      <c r="B841" s="1"/>
      <c r="C841" s="1"/>
      <c r="D841" s="1"/>
      <c r="E841" s="1"/>
      <c r="F841" s="1"/>
      <c r="G841" s="1"/>
      <c r="I841" s="1"/>
      <c r="J841" s="1"/>
      <c r="K841" s="1"/>
      <c r="L841" s="1"/>
      <c r="M841" s="1"/>
    </row>
    <row r="842" spans="2:13" x14ac:dyDescent="0.25">
      <c r="B842" s="1"/>
      <c r="C842" s="1"/>
      <c r="D842" s="1"/>
      <c r="E842" s="1"/>
      <c r="F842" s="1"/>
      <c r="G842" s="1"/>
      <c r="I842" s="1"/>
      <c r="J842" s="1"/>
      <c r="K842" s="1"/>
      <c r="L842" s="1"/>
      <c r="M842" s="1"/>
    </row>
    <row r="843" spans="2:13" x14ac:dyDescent="0.25">
      <c r="B843" s="1"/>
      <c r="C843" s="1"/>
      <c r="D843" s="1"/>
      <c r="E843" s="1"/>
      <c r="F843" s="1"/>
      <c r="G843" s="1"/>
      <c r="I843" s="1"/>
      <c r="J843" s="1"/>
      <c r="K843" s="1"/>
      <c r="L843" s="1"/>
      <c r="M843" s="1"/>
    </row>
    <row r="844" spans="2:13" x14ac:dyDescent="0.25">
      <c r="B844" s="1"/>
      <c r="C844" s="1"/>
      <c r="D844" s="1"/>
      <c r="E844" s="1"/>
      <c r="F844" s="1"/>
      <c r="G844" s="1"/>
      <c r="I844" s="1"/>
      <c r="J844" s="1"/>
      <c r="K844" s="1"/>
      <c r="L844" s="1"/>
      <c r="M844" s="1"/>
    </row>
    <row r="845" spans="2:13" x14ac:dyDescent="0.25">
      <c r="B845" s="1"/>
      <c r="C845" s="1"/>
      <c r="D845" s="1"/>
      <c r="E845" s="1"/>
      <c r="F845" s="1"/>
      <c r="G845" s="1"/>
      <c r="I845" s="1"/>
      <c r="J845" s="1"/>
      <c r="K845" s="1"/>
      <c r="L845" s="1"/>
      <c r="M845" s="1"/>
    </row>
    <row r="846" spans="2:13" x14ac:dyDescent="0.25">
      <c r="B846" s="1"/>
      <c r="C846" s="1"/>
      <c r="D846" s="1"/>
      <c r="E846" s="1"/>
      <c r="F846" s="1"/>
      <c r="G846" s="1"/>
      <c r="I846" s="1"/>
      <c r="J846" s="1"/>
      <c r="K846" s="1"/>
      <c r="L846" s="1"/>
      <c r="M846" s="1"/>
    </row>
    <row r="847" spans="2:13" x14ac:dyDescent="0.25">
      <c r="B847" s="1"/>
      <c r="C847" s="1"/>
      <c r="D847" s="1"/>
      <c r="E847" s="1"/>
      <c r="F847" s="1"/>
      <c r="G847" s="1"/>
      <c r="I847" s="1"/>
      <c r="J847" s="1"/>
      <c r="K847" s="1"/>
      <c r="L847" s="1"/>
      <c r="M847" s="1"/>
    </row>
    <row r="848" spans="2:13" x14ac:dyDescent="0.25">
      <c r="B848" s="1"/>
      <c r="C848" s="1"/>
      <c r="D848" s="1"/>
      <c r="E848" s="1"/>
      <c r="F848" s="1"/>
      <c r="G848" s="1"/>
      <c r="I848" s="1"/>
      <c r="J848" s="1"/>
      <c r="K848" s="1"/>
      <c r="L848" s="1"/>
      <c r="M848" s="1"/>
    </row>
    <row r="849" spans="2:13" x14ac:dyDescent="0.25">
      <c r="B849" s="1"/>
      <c r="C849" s="1"/>
      <c r="D849" s="1"/>
      <c r="E849" s="1"/>
      <c r="F849" s="1"/>
      <c r="G849" s="1"/>
      <c r="I849" s="1"/>
      <c r="J849" s="1"/>
      <c r="K849" s="1"/>
      <c r="L849" s="1"/>
      <c r="M849" s="1"/>
    </row>
    <row r="850" spans="2:13" x14ac:dyDescent="0.25">
      <c r="B850" s="1"/>
      <c r="C850" s="1"/>
      <c r="D850" s="1"/>
      <c r="E850" s="1"/>
      <c r="F850" s="1"/>
      <c r="G850" s="1"/>
      <c r="I850" s="1"/>
      <c r="J850" s="1"/>
      <c r="K850" s="1"/>
      <c r="L850" s="1"/>
      <c r="M850" s="1"/>
    </row>
    <row r="851" spans="2:13" x14ac:dyDescent="0.25">
      <c r="B851" s="1"/>
      <c r="C851" s="1"/>
      <c r="D851" s="1"/>
      <c r="E851" s="1"/>
      <c r="F851" s="1"/>
      <c r="G851" s="1"/>
      <c r="I851" s="1"/>
      <c r="J851" s="1"/>
      <c r="K851" s="1"/>
      <c r="L851" s="1"/>
      <c r="M851" s="1"/>
    </row>
    <row r="852" spans="2:13" x14ac:dyDescent="0.25">
      <c r="B852" s="1"/>
      <c r="C852" s="1"/>
      <c r="D852" s="1"/>
      <c r="E852" s="1"/>
      <c r="F852" s="1"/>
      <c r="G852" s="1"/>
      <c r="I852" s="1"/>
      <c r="J852" s="1"/>
      <c r="K852" s="1"/>
      <c r="L852" s="1"/>
      <c r="M852" s="1"/>
    </row>
    <row r="853" spans="2:13" x14ac:dyDescent="0.25">
      <c r="B853" s="1"/>
      <c r="C853" s="1"/>
      <c r="D853" s="1"/>
      <c r="E853" s="1"/>
      <c r="F853" s="1"/>
      <c r="G853" s="1"/>
      <c r="I853" s="1"/>
      <c r="J853" s="1"/>
      <c r="K853" s="1"/>
      <c r="L853" s="1"/>
      <c r="M853" s="1"/>
    </row>
    <row r="854" spans="2:13" x14ac:dyDescent="0.25">
      <c r="B854" s="1"/>
      <c r="C854" s="1"/>
      <c r="D854" s="1"/>
      <c r="E854" s="1"/>
      <c r="F854" s="1"/>
      <c r="G854" s="1"/>
      <c r="I854" s="1"/>
      <c r="J854" s="1"/>
      <c r="K854" s="1"/>
      <c r="L854" s="1"/>
      <c r="M854" s="1"/>
    </row>
    <row r="855" spans="2:13" x14ac:dyDescent="0.25">
      <c r="B855" s="1"/>
      <c r="C855" s="1"/>
      <c r="D855" s="1"/>
      <c r="E855" s="1"/>
      <c r="F855" s="1"/>
      <c r="G855" s="1"/>
      <c r="I855" s="1"/>
      <c r="J855" s="1"/>
      <c r="K855" s="1"/>
      <c r="L855" s="1"/>
      <c r="M855" s="1"/>
    </row>
    <row r="856" spans="2:13" x14ac:dyDescent="0.25">
      <c r="B856" s="1"/>
      <c r="C856" s="1"/>
      <c r="D856" s="1"/>
      <c r="E856" s="1"/>
      <c r="F856" s="1"/>
      <c r="G856" s="1"/>
      <c r="I856" s="1"/>
      <c r="J856" s="1"/>
      <c r="K856" s="1"/>
      <c r="L856" s="1"/>
      <c r="M856" s="1"/>
    </row>
    <row r="857" spans="2:13" x14ac:dyDescent="0.25">
      <c r="B857" s="1"/>
      <c r="C857" s="1"/>
      <c r="D857" s="1"/>
      <c r="E857" s="1"/>
      <c r="F857" s="1"/>
      <c r="G857" s="1"/>
      <c r="I857" s="1"/>
      <c r="J857" s="1"/>
      <c r="K857" s="1"/>
      <c r="L857" s="1"/>
      <c r="M857" s="1"/>
    </row>
    <row r="858" spans="2:13" x14ac:dyDescent="0.25">
      <c r="B858" s="1"/>
      <c r="C858" s="1"/>
      <c r="D858" s="1"/>
      <c r="E858" s="1"/>
      <c r="F858" s="1"/>
      <c r="G858" s="1"/>
      <c r="I858" s="1"/>
      <c r="J858" s="1"/>
      <c r="K858" s="1"/>
      <c r="L858" s="1"/>
      <c r="M858" s="1"/>
    </row>
    <row r="859" spans="2:13" x14ac:dyDescent="0.25">
      <c r="B859" s="1"/>
      <c r="C859" s="1"/>
      <c r="D859" s="1"/>
      <c r="E859" s="1"/>
      <c r="F859" s="1"/>
      <c r="G859" s="1"/>
      <c r="I859" s="1"/>
      <c r="J859" s="1"/>
      <c r="K859" s="1"/>
      <c r="L859" s="1"/>
      <c r="M859" s="1"/>
    </row>
    <row r="860" spans="2:13" x14ac:dyDescent="0.25">
      <c r="B860" s="1"/>
      <c r="C860" s="1"/>
      <c r="D860" s="1"/>
      <c r="E860" s="1"/>
      <c r="F860" s="1"/>
      <c r="G860" s="1"/>
      <c r="I860" s="1"/>
      <c r="J860" s="1"/>
      <c r="K860" s="1"/>
      <c r="L860" s="1"/>
      <c r="M860" s="1"/>
    </row>
    <row r="861" spans="2:13" x14ac:dyDescent="0.25">
      <c r="B861" s="1"/>
      <c r="C861" s="1"/>
      <c r="D861" s="1"/>
      <c r="E861" s="1"/>
      <c r="F861" s="1"/>
      <c r="G861" s="1"/>
      <c r="I861" s="1"/>
      <c r="J861" s="1"/>
      <c r="K861" s="1"/>
      <c r="L861" s="1"/>
      <c r="M861" s="1"/>
    </row>
    <row r="862" spans="2:13" x14ac:dyDescent="0.25">
      <c r="B862" s="1"/>
      <c r="C862" s="1"/>
      <c r="D862" s="1"/>
      <c r="E862" s="1"/>
      <c r="F862" s="1"/>
      <c r="G862" s="1"/>
      <c r="I862" s="1"/>
      <c r="J862" s="1"/>
      <c r="K862" s="1"/>
      <c r="L862" s="1"/>
      <c r="M862" s="1"/>
    </row>
    <row r="863" spans="2:13" x14ac:dyDescent="0.25">
      <c r="B863" s="1"/>
      <c r="C863" s="1"/>
      <c r="D863" s="1"/>
      <c r="E863" s="1"/>
      <c r="F863" s="1"/>
      <c r="G863" s="1"/>
      <c r="I863" s="1"/>
      <c r="J863" s="1"/>
      <c r="K863" s="1"/>
      <c r="L863" s="1"/>
      <c r="M863" s="1"/>
    </row>
    <row r="864" spans="2:13" x14ac:dyDescent="0.25">
      <c r="B864" s="1"/>
      <c r="C864" s="1"/>
      <c r="D864" s="1"/>
      <c r="E864" s="1"/>
      <c r="F864" s="1"/>
      <c r="G864" s="1"/>
      <c r="I864" s="1"/>
      <c r="J864" s="1"/>
      <c r="K864" s="1"/>
      <c r="L864" s="1"/>
      <c r="M864" s="1"/>
    </row>
    <row r="865" spans="2:13" x14ac:dyDescent="0.25">
      <c r="B865" s="1"/>
      <c r="C865" s="1"/>
      <c r="D865" s="1"/>
      <c r="E865" s="1"/>
      <c r="F865" s="1"/>
      <c r="G865" s="1"/>
      <c r="I865" s="1"/>
      <c r="J865" s="1"/>
      <c r="K865" s="1"/>
      <c r="L865" s="1"/>
      <c r="M865" s="1"/>
    </row>
    <row r="866" spans="2:13" x14ac:dyDescent="0.25">
      <c r="B866" s="1"/>
      <c r="C866" s="1"/>
      <c r="D866" s="1"/>
      <c r="E866" s="1"/>
      <c r="F866" s="1"/>
      <c r="G866" s="1"/>
      <c r="I866" s="1"/>
      <c r="J866" s="1"/>
      <c r="K866" s="1"/>
      <c r="L866" s="1"/>
      <c r="M866" s="1"/>
    </row>
    <row r="867" spans="2:13" x14ac:dyDescent="0.25">
      <c r="B867" s="1"/>
      <c r="C867" s="1"/>
      <c r="D867" s="1"/>
      <c r="E867" s="1"/>
      <c r="F867" s="1"/>
      <c r="G867" s="1"/>
      <c r="I867" s="1"/>
      <c r="J867" s="1"/>
      <c r="K867" s="1"/>
      <c r="L867" s="1"/>
      <c r="M867" s="1"/>
    </row>
    <row r="868" spans="2:13" x14ac:dyDescent="0.25">
      <c r="B868" s="1"/>
      <c r="C868" s="1"/>
      <c r="D868" s="1"/>
      <c r="E868" s="1"/>
      <c r="F868" s="1"/>
      <c r="G868" s="1"/>
      <c r="I868" s="1"/>
      <c r="J868" s="1"/>
      <c r="K868" s="1"/>
      <c r="L868" s="1"/>
      <c r="M868" s="1"/>
    </row>
    <row r="869" spans="2:13" x14ac:dyDescent="0.25">
      <c r="B869" s="1"/>
      <c r="C869" s="1"/>
      <c r="D869" s="1"/>
      <c r="E869" s="1"/>
      <c r="F869" s="1"/>
      <c r="G869" s="1"/>
      <c r="I869" s="1"/>
      <c r="J869" s="1"/>
      <c r="K869" s="1"/>
      <c r="L869" s="1"/>
      <c r="M869" s="1"/>
    </row>
    <row r="870" spans="2:13" x14ac:dyDescent="0.25">
      <c r="B870" s="1"/>
      <c r="C870" s="1"/>
      <c r="D870" s="1"/>
      <c r="E870" s="1"/>
      <c r="F870" s="1"/>
      <c r="G870" s="1"/>
      <c r="I870" s="1"/>
      <c r="J870" s="1"/>
      <c r="K870" s="1"/>
      <c r="L870" s="1"/>
      <c r="M870" s="1"/>
    </row>
    <row r="871" spans="2:13" x14ac:dyDescent="0.25">
      <c r="B871" s="1"/>
      <c r="C871" s="1"/>
      <c r="D871" s="1"/>
      <c r="E871" s="1"/>
      <c r="F871" s="1"/>
      <c r="G871" s="1"/>
      <c r="I871" s="1"/>
      <c r="J871" s="1"/>
      <c r="K871" s="1"/>
      <c r="L871" s="1"/>
      <c r="M871" s="1"/>
    </row>
    <row r="872" spans="2:13" x14ac:dyDescent="0.25">
      <c r="B872" s="1"/>
      <c r="C872" s="1"/>
      <c r="D872" s="1"/>
      <c r="E872" s="1"/>
      <c r="F872" s="1"/>
      <c r="G872" s="1"/>
      <c r="I872" s="1"/>
      <c r="J872" s="1"/>
      <c r="K872" s="1"/>
      <c r="L872" s="1"/>
      <c r="M872" s="1"/>
    </row>
    <row r="873" spans="2:13" x14ac:dyDescent="0.25">
      <c r="B873" s="1"/>
      <c r="C873" s="1"/>
      <c r="D873" s="1"/>
      <c r="E873" s="1"/>
      <c r="F873" s="1"/>
      <c r="G873" s="1"/>
      <c r="I873" s="1"/>
      <c r="J873" s="1"/>
      <c r="K873" s="1"/>
      <c r="L873" s="1"/>
      <c r="M873" s="1"/>
    </row>
    <row r="874" spans="2:13" x14ac:dyDescent="0.25">
      <c r="B874" s="1"/>
      <c r="C874" s="1"/>
      <c r="D874" s="1"/>
      <c r="E874" s="1"/>
      <c r="F874" s="1"/>
      <c r="G874" s="1"/>
      <c r="I874" s="1"/>
      <c r="J874" s="1"/>
      <c r="K874" s="1"/>
      <c r="L874" s="1"/>
      <c r="M874" s="1"/>
    </row>
    <row r="875" spans="2:13" x14ac:dyDescent="0.25">
      <c r="B875" s="1"/>
      <c r="C875" s="1"/>
      <c r="D875" s="1"/>
      <c r="E875" s="1"/>
      <c r="F875" s="1"/>
      <c r="G875" s="1"/>
      <c r="I875" s="1"/>
      <c r="J875" s="1"/>
      <c r="K875" s="1"/>
      <c r="L875" s="1"/>
      <c r="M875" s="1"/>
    </row>
    <row r="876" spans="2:13" x14ac:dyDescent="0.25">
      <c r="B876" s="1"/>
      <c r="C876" s="1"/>
      <c r="D876" s="1"/>
      <c r="E876" s="1"/>
      <c r="F876" s="1"/>
      <c r="G876" s="1"/>
      <c r="I876" s="1"/>
      <c r="J876" s="1"/>
      <c r="K876" s="1"/>
      <c r="L876" s="1"/>
      <c r="M876" s="1"/>
    </row>
    <row r="877" spans="2:13" x14ac:dyDescent="0.25">
      <c r="B877" s="1"/>
      <c r="C877" s="1"/>
      <c r="D877" s="1"/>
      <c r="E877" s="1"/>
      <c r="F877" s="1"/>
      <c r="G877" s="1"/>
      <c r="I877" s="1"/>
      <c r="J877" s="1"/>
      <c r="K877" s="1"/>
      <c r="L877" s="1"/>
      <c r="M877" s="1"/>
    </row>
    <row r="878" spans="2:13" x14ac:dyDescent="0.25">
      <c r="B878" s="1"/>
      <c r="C878" s="1"/>
      <c r="D878" s="1"/>
      <c r="E878" s="1"/>
      <c r="F878" s="1"/>
      <c r="G878" s="1"/>
      <c r="I878" s="1"/>
      <c r="J878" s="1"/>
      <c r="K878" s="1"/>
      <c r="L878" s="1"/>
      <c r="M878" s="1"/>
    </row>
    <row r="879" spans="2:13" x14ac:dyDescent="0.25">
      <c r="B879" s="1"/>
      <c r="C879" s="1"/>
      <c r="D879" s="1"/>
      <c r="E879" s="1"/>
      <c r="F879" s="1"/>
      <c r="G879" s="1"/>
      <c r="I879" s="1"/>
      <c r="J879" s="1"/>
      <c r="K879" s="1"/>
      <c r="L879" s="1"/>
      <c r="M879" s="1"/>
    </row>
    <row r="880" spans="2:13" x14ac:dyDescent="0.25">
      <c r="B880" s="1"/>
      <c r="C880" s="1"/>
      <c r="D880" s="1"/>
      <c r="E880" s="1"/>
      <c r="F880" s="1"/>
      <c r="G880" s="1"/>
      <c r="I880" s="1"/>
      <c r="J880" s="1"/>
      <c r="K880" s="1"/>
      <c r="L880" s="1"/>
      <c r="M880" s="1"/>
    </row>
    <row r="881" spans="2:13" x14ac:dyDescent="0.25">
      <c r="B881" s="1"/>
      <c r="C881" s="1"/>
      <c r="D881" s="1"/>
      <c r="E881" s="1"/>
      <c r="F881" s="1"/>
      <c r="G881" s="1"/>
      <c r="I881" s="1"/>
      <c r="J881" s="1"/>
      <c r="K881" s="1"/>
      <c r="L881" s="1"/>
      <c r="M881" s="1"/>
    </row>
    <row r="882" spans="2:13" x14ac:dyDescent="0.25">
      <c r="B882" s="1"/>
      <c r="C882" s="1"/>
      <c r="D882" s="1"/>
      <c r="E882" s="1"/>
      <c r="F882" s="1"/>
      <c r="G882" s="1"/>
      <c r="I882" s="1"/>
      <c r="J882" s="1"/>
      <c r="K882" s="1"/>
      <c r="L882" s="1"/>
      <c r="M882" s="1"/>
    </row>
    <row r="883" spans="2:13" x14ac:dyDescent="0.25">
      <c r="B883" s="1"/>
      <c r="C883" s="1"/>
      <c r="D883" s="1"/>
      <c r="E883" s="1"/>
      <c r="F883" s="1"/>
      <c r="G883" s="1"/>
      <c r="I883" s="1"/>
      <c r="J883" s="1"/>
      <c r="K883" s="1"/>
      <c r="L883" s="1"/>
      <c r="M883" s="1"/>
    </row>
    <row r="884" spans="2:13" x14ac:dyDescent="0.25">
      <c r="B884" s="1"/>
      <c r="C884" s="1"/>
      <c r="D884" s="1"/>
      <c r="E884" s="1"/>
      <c r="F884" s="1"/>
      <c r="G884" s="1"/>
      <c r="I884" s="1"/>
      <c r="J884" s="1"/>
      <c r="K884" s="1"/>
      <c r="L884" s="1"/>
      <c r="M884" s="1"/>
    </row>
    <row r="885" spans="2:13" x14ac:dyDescent="0.25">
      <c r="B885" s="1"/>
      <c r="C885" s="1"/>
      <c r="D885" s="1"/>
      <c r="E885" s="1"/>
      <c r="F885" s="1"/>
      <c r="G885" s="1"/>
      <c r="I885" s="1"/>
      <c r="J885" s="1"/>
      <c r="K885" s="1"/>
      <c r="L885" s="1"/>
      <c r="M885" s="1"/>
    </row>
    <row r="886" spans="2:13" x14ac:dyDescent="0.25">
      <c r="B886" s="1"/>
      <c r="C886" s="1"/>
      <c r="D886" s="1"/>
      <c r="E886" s="1"/>
      <c r="F886" s="1"/>
      <c r="G886" s="1"/>
      <c r="I886" s="1"/>
      <c r="J886" s="1"/>
      <c r="K886" s="1"/>
      <c r="L886" s="1"/>
      <c r="M886" s="1"/>
    </row>
    <row r="887" spans="2:13" x14ac:dyDescent="0.25">
      <c r="B887" s="1"/>
      <c r="C887" s="1"/>
      <c r="D887" s="1"/>
      <c r="E887" s="1"/>
      <c r="F887" s="1"/>
      <c r="G887" s="1"/>
      <c r="I887" s="1"/>
      <c r="J887" s="1"/>
      <c r="K887" s="1"/>
      <c r="L887" s="1"/>
      <c r="M887" s="1"/>
    </row>
    <row r="888" spans="2:13" x14ac:dyDescent="0.25">
      <c r="B888" s="1"/>
      <c r="C888" s="1"/>
      <c r="D888" s="1"/>
      <c r="E888" s="1"/>
      <c r="F888" s="1"/>
      <c r="G888" s="1"/>
      <c r="I888" s="1"/>
      <c r="J888" s="1"/>
      <c r="K888" s="1"/>
      <c r="L888" s="1"/>
      <c r="M888" s="1"/>
    </row>
    <row r="889" spans="2:13" x14ac:dyDescent="0.25">
      <c r="B889" s="1"/>
      <c r="C889" s="1"/>
      <c r="D889" s="1"/>
      <c r="E889" s="1"/>
      <c r="F889" s="1"/>
      <c r="G889" s="1"/>
      <c r="I889" s="1"/>
      <c r="J889" s="1"/>
      <c r="K889" s="1"/>
      <c r="L889" s="1"/>
      <c r="M889" s="1"/>
    </row>
    <row r="890" spans="2:13" x14ac:dyDescent="0.25">
      <c r="B890" s="1"/>
      <c r="C890" s="1"/>
      <c r="D890" s="1"/>
      <c r="E890" s="1"/>
      <c r="F890" s="1"/>
      <c r="G890" s="1"/>
      <c r="I890" s="1"/>
      <c r="J890" s="1"/>
      <c r="K890" s="1"/>
      <c r="L890" s="1"/>
      <c r="M890" s="1"/>
    </row>
    <row r="891" spans="2:13" x14ac:dyDescent="0.25">
      <c r="B891" s="1"/>
      <c r="C891" s="1"/>
      <c r="D891" s="1"/>
      <c r="E891" s="1"/>
      <c r="F891" s="1"/>
      <c r="G891" s="1"/>
      <c r="I891" s="1"/>
      <c r="J891" s="1"/>
      <c r="K891" s="1"/>
      <c r="L891" s="1"/>
      <c r="M891" s="1"/>
    </row>
    <row r="892" spans="2:13" x14ac:dyDescent="0.25">
      <c r="B892" s="1"/>
      <c r="C892" s="1"/>
      <c r="D892" s="1"/>
      <c r="E892" s="1"/>
      <c r="F892" s="1"/>
      <c r="G892" s="1"/>
      <c r="I892" s="1"/>
      <c r="J892" s="1"/>
      <c r="K892" s="1"/>
      <c r="L892" s="1"/>
      <c r="M892" s="1"/>
    </row>
    <row r="893" spans="2:13" x14ac:dyDescent="0.25">
      <c r="B893" s="1"/>
      <c r="C893" s="1"/>
      <c r="D893" s="1"/>
      <c r="E893" s="1"/>
      <c r="F893" s="1"/>
      <c r="G893" s="1"/>
      <c r="I893" s="1"/>
      <c r="J893" s="1"/>
      <c r="K893" s="1"/>
      <c r="L893" s="1"/>
      <c r="M893" s="1"/>
    </row>
    <row r="894" spans="2:13" x14ac:dyDescent="0.25">
      <c r="B894" s="1"/>
      <c r="C894" s="1"/>
      <c r="D894" s="1"/>
      <c r="E894" s="1"/>
      <c r="F894" s="1"/>
      <c r="G894" s="1"/>
      <c r="I894" s="1"/>
      <c r="J894" s="1"/>
      <c r="K894" s="1"/>
      <c r="L894" s="1"/>
      <c r="M894" s="1"/>
    </row>
    <row r="895" spans="2:13" x14ac:dyDescent="0.25">
      <c r="B895" s="1"/>
      <c r="C895" s="1"/>
      <c r="D895" s="1"/>
      <c r="E895" s="1"/>
      <c r="F895" s="1"/>
      <c r="G895" s="1"/>
      <c r="I895" s="1"/>
      <c r="J895" s="1"/>
      <c r="K895" s="1"/>
      <c r="L895" s="1"/>
      <c r="M895" s="1"/>
    </row>
    <row r="896" spans="2:13" x14ac:dyDescent="0.25">
      <c r="B896" s="1"/>
      <c r="C896" s="1"/>
      <c r="D896" s="1"/>
      <c r="E896" s="1"/>
      <c r="F896" s="1"/>
      <c r="G896" s="1"/>
      <c r="I896" s="1"/>
      <c r="J896" s="1"/>
      <c r="K896" s="1"/>
      <c r="L896" s="1"/>
      <c r="M896" s="1"/>
    </row>
    <row r="897" spans="2:13" x14ac:dyDescent="0.25">
      <c r="B897" s="1"/>
      <c r="C897" s="1"/>
      <c r="D897" s="1"/>
      <c r="E897" s="1"/>
      <c r="F897" s="1"/>
      <c r="G897" s="1"/>
      <c r="I897" s="1"/>
      <c r="J897" s="1"/>
      <c r="K897" s="1"/>
      <c r="L897" s="1"/>
      <c r="M897" s="1"/>
    </row>
    <row r="898" spans="2:13" x14ac:dyDescent="0.25">
      <c r="B898" s="1"/>
      <c r="C898" s="1"/>
      <c r="D898" s="1"/>
      <c r="E898" s="1"/>
      <c r="F898" s="1"/>
      <c r="G898" s="1"/>
      <c r="I898" s="1"/>
      <c r="J898" s="1"/>
      <c r="K898" s="1"/>
      <c r="L898" s="1"/>
      <c r="M898" s="1"/>
    </row>
    <row r="899" spans="2:13" x14ac:dyDescent="0.25">
      <c r="B899" s="1"/>
      <c r="C899" s="1"/>
      <c r="D899" s="1"/>
      <c r="E899" s="1"/>
      <c r="F899" s="1"/>
      <c r="G899" s="1"/>
      <c r="I899" s="1"/>
      <c r="J899" s="1"/>
      <c r="K899" s="1"/>
      <c r="L899" s="1"/>
      <c r="M899" s="1"/>
    </row>
    <row r="900" spans="2:13" x14ac:dyDescent="0.25">
      <c r="B900" s="1"/>
      <c r="C900" s="1"/>
      <c r="D900" s="1"/>
      <c r="E900" s="1"/>
      <c r="F900" s="1"/>
      <c r="G900" s="1"/>
      <c r="I900" s="1"/>
      <c r="J900" s="1"/>
      <c r="K900" s="1"/>
      <c r="L900" s="1"/>
      <c r="M900" s="1"/>
    </row>
    <row r="901" spans="2:13" x14ac:dyDescent="0.25">
      <c r="B901" s="1"/>
      <c r="C901" s="1"/>
      <c r="D901" s="1"/>
      <c r="E901" s="1"/>
      <c r="F901" s="1"/>
      <c r="G901" s="1"/>
      <c r="I901" s="1"/>
      <c r="J901" s="1"/>
      <c r="K901" s="1"/>
      <c r="L901" s="1"/>
      <c r="M901" s="1"/>
    </row>
    <row r="902" spans="2:13" x14ac:dyDescent="0.25">
      <c r="B902" s="1"/>
      <c r="C902" s="1"/>
      <c r="D902" s="1"/>
      <c r="E902" s="1"/>
      <c r="F902" s="1"/>
      <c r="G902" s="1"/>
      <c r="I902" s="1"/>
      <c r="J902" s="1"/>
      <c r="K902" s="1"/>
      <c r="L902" s="1"/>
      <c r="M902" s="1"/>
    </row>
    <row r="903" spans="2:13" x14ac:dyDescent="0.25">
      <c r="B903" s="1"/>
      <c r="C903" s="1"/>
      <c r="D903" s="1"/>
      <c r="E903" s="1"/>
      <c r="F903" s="1"/>
      <c r="G903" s="1"/>
      <c r="I903" s="1"/>
      <c r="J903" s="1"/>
      <c r="K903" s="1"/>
      <c r="L903" s="1"/>
      <c r="M903" s="1"/>
    </row>
    <row r="904" spans="2:13" x14ac:dyDescent="0.25">
      <c r="B904" s="1"/>
      <c r="C904" s="1"/>
      <c r="D904" s="1"/>
      <c r="E904" s="1"/>
      <c r="F904" s="1"/>
      <c r="G904" s="1"/>
      <c r="I904" s="1"/>
      <c r="J904" s="1"/>
      <c r="K904" s="1"/>
      <c r="L904" s="1"/>
      <c r="M904" s="1"/>
    </row>
    <row r="905" spans="2:13" x14ac:dyDescent="0.25">
      <c r="B905" s="1"/>
      <c r="C905" s="1"/>
      <c r="D905" s="1"/>
      <c r="E905" s="1"/>
      <c r="F905" s="1"/>
      <c r="G905" s="1"/>
      <c r="I905" s="1"/>
      <c r="J905" s="1"/>
      <c r="K905" s="1"/>
      <c r="L905" s="1"/>
      <c r="M905" s="1"/>
    </row>
    <row r="906" spans="2:13" x14ac:dyDescent="0.25">
      <c r="B906" s="1"/>
      <c r="C906" s="1"/>
      <c r="D906" s="1"/>
      <c r="E906" s="1"/>
      <c r="F906" s="1"/>
      <c r="G906" s="1"/>
      <c r="I906" s="1"/>
      <c r="J906" s="1"/>
      <c r="K906" s="1"/>
      <c r="L906" s="1"/>
      <c r="M906" s="1"/>
    </row>
    <row r="907" spans="2:13" x14ac:dyDescent="0.25">
      <c r="B907" s="1"/>
      <c r="C907" s="1"/>
      <c r="D907" s="1"/>
      <c r="E907" s="1"/>
      <c r="F907" s="1"/>
      <c r="G907" s="1"/>
      <c r="I907" s="1"/>
      <c r="J907" s="1"/>
      <c r="K907" s="1"/>
      <c r="L907" s="1"/>
      <c r="M907" s="1"/>
    </row>
    <row r="908" spans="2:13" x14ac:dyDescent="0.25">
      <c r="B908" s="1"/>
      <c r="C908" s="1"/>
      <c r="D908" s="1"/>
      <c r="E908" s="1"/>
      <c r="F908" s="1"/>
      <c r="G908" s="1"/>
      <c r="I908" s="1"/>
      <c r="J908" s="1"/>
      <c r="K908" s="1"/>
      <c r="L908" s="1"/>
      <c r="M908" s="1"/>
    </row>
    <row r="909" spans="2:13" x14ac:dyDescent="0.25">
      <c r="B909" s="1"/>
      <c r="C909" s="1"/>
      <c r="D909" s="1"/>
      <c r="E909" s="1"/>
      <c r="F909" s="1"/>
      <c r="G909" s="1"/>
      <c r="I909" s="1"/>
      <c r="J909" s="1"/>
      <c r="K909" s="1"/>
      <c r="L909" s="1"/>
      <c r="M909" s="1"/>
    </row>
    <row r="910" spans="2:13" x14ac:dyDescent="0.25">
      <c r="B910" s="1"/>
      <c r="C910" s="1"/>
      <c r="D910" s="1"/>
      <c r="E910" s="1"/>
      <c r="F910" s="1"/>
      <c r="G910" s="1"/>
      <c r="I910" s="1"/>
      <c r="J910" s="1"/>
      <c r="K910" s="1"/>
      <c r="L910" s="1"/>
      <c r="M910" s="1"/>
    </row>
    <row r="911" spans="2:13" x14ac:dyDescent="0.25">
      <c r="B911" s="1"/>
      <c r="C911" s="1"/>
      <c r="D911" s="1"/>
      <c r="E911" s="1"/>
      <c r="F911" s="1"/>
      <c r="G911" s="1"/>
      <c r="I911" s="1"/>
      <c r="J911" s="1"/>
      <c r="K911" s="1"/>
      <c r="L911" s="1"/>
      <c r="M911" s="1"/>
    </row>
    <row r="912" spans="2:13" x14ac:dyDescent="0.25">
      <c r="B912" s="1"/>
      <c r="C912" s="1"/>
      <c r="D912" s="1"/>
      <c r="E912" s="1"/>
      <c r="F912" s="1"/>
      <c r="G912" s="1"/>
      <c r="I912" s="1"/>
      <c r="J912" s="1"/>
      <c r="K912" s="1"/>
      <c r="L912" s="1"/>
      <c r="M912" s="1"/>
    </row>
    <row r="913" spans="2:13" x14ac:dyDescent="0.25">
      <c r="B913" s="1"/>
      <c r="C913" s="1"/>
      <c r="D913" s="1"/>
      <c r="E913" s="1"/>
      <c r="F913" s="1"/>
      <c r="G913" s="1"/>
      <c r="I913" s="1"/>
      <c r="J913" s="1"/>
      <c r="K913" s="1"/>
      <c r="L913" s="1"/>
      <c r="M913" s="1"/>
    </row>
    <row r="914" spans="2:13" x14ac:dyDescent="0.25">
      <c r="B914" s="1"/>
      <c r="C914" s="1"/>
      <c r="D914" s="1"/>
      <c r="E914" s="1"/>
      <c r="F914" s="1"/>
      <c r="G914" s="1"/>
      <c r="I914" s="1"/>
      <c r="J914" s="1"/>
      <c r="K914" s="1"/>
      <c r="L914" s="1"/>
      <c r="M914" s="1"/>
    </row>
    <row r="915" spans="2:13" x14ac:dyDescent="0.25">
      <c r="B915" s="1"/>
      <c r="C915" s="1"/>
      <c r="D915" s="1"/>
      <c r="E915" s="1"/>
      <c r="F915" s="1"/>
      <c r="G915" s="1"/>
      <c r="I915" s="1"/>
      <c r="J915" s="1"/>
      <c r="K915" s="1"/>
      <c r="L915" s="1"/>
      <c r="M915" s="1"/>
    </row>
    <row r="916" spans="2:13" x14ac:dyDescent="0.25">
      <c r="B916" s="1"/>
      <c r="C916" s="1"/>
      <c r="D916" s="1"/>
      <c r="E916" s="1"/>
      <c r="F916" s="1"/>
      <c r="G916" s="1"/>
      <c r="I916" s="1"/>
      <c r="J916" s="1"/>
      <c r="K916" s="1"/>
      <c r="L916" s="1"/>
      <c r="M916" s="1"/>
    </row>
    <row r="917" spans="2:13" x14ac:dyDescent="0.25">
      <c r="B917" s="1"/>
      <c r="C917" s="1"/>
      <c r="D917" s="1"/>
      <c r="E917" s="1"/>
      <c r="F917" s="1"/>
      <c r="G917" s="1"/>
      <c r="I917" s="1"/>
      <c r="J917" s="1"/>
      <c r="K917" s="1"/>
      <c r="L917" s="1"/>
      <c r="M917" s="1"/>
    </row>
    <row r="918" spans="2:13" x14ac:dyDescent="0.25">
      <c r="B918" s="1"/>
      <c r="C918" s="1"/>
      <c r="D918" s="1"/>
      <c r="E918" s="1"/>
      <c r="F918" s="1"/>
      <c r="G918" s="1"/>
      <c r="I918" s="1"/>
      <c r="J918" s="1"/>
      <c r="K918" s="1"/>
      <c r="L918" s="1"/>
      <c r="M918" s="1"/>
    </row>
    <row r="919" spans="2:13" x14ac:dyDescent="0.25">
      <c r="B919" s="1"/>
      <c r="C919" s="1"/>
      <c r="D919" s="1"/>
      <c r="E919" s="1"/>
      <c r="F919" s="1"/>
      <c r="G919" s="1"/>
      <c r="I919" s="1"/>
      <c r="J919" s="1"/>
      <c r="K919" s="1"/>
      <c r="L919" s="1"/>
      <c r="M919" s="1"/>
    </row>
    <row r="920" spans="2:13" x14ac:dyDescent="0.25">
      <c r="B920" s="1"/>
      <c r="C920" s="1"/>
      <c r="D920" s="1"/>
      <c r="E920" s="1"/>
      <c r="F920" s="1"/>
      <c r="G920" s="1"/>
      <c r="I920" s="1"/>
      <c r="J920" s="1"/>
      <c r="K920" s="1"/>
      <c r="L920" s="1"/>
      <c r="M920" s="1"/>
    </row>
    <row r="921" spans="2:13" x14ac:dyDescent="0.25">
      <c r="B921" s="1"/>
      <c r="C921" s="1"/>
      <c r="D921" s="1"/>
      <c r="E921" s="1"/>
      <c r="F921" s="1"/>
      <c r="G921" s="1"/>
      <c r="I921" s="1"/>
      <c r="J921" s="1"/>
      <c r="K921" s="1"/>
      <c r="L921" s="1"/>
      <c r="M921" s="1"/>
    </row>
    <row r="922" spans="2:13" x14ac:dyDescent="0.25">
      <c r="B922" s="1"/>
      <c r="C922" s="1"/>
      <c r="D922" s="1"/>
      <c r="E922" s="1"/>
      <c r="F922" s="1"/>
      <c r="G922" s="1"/>
      <c r="I922" s="1"/>
      <c r="J922" s="1"/>
      <c r="K922" s="1"/>
      <c r="L922" s="1"/>
      <c r="M922" s="1"/>
    </row>
    <row r="923" spans="2:13" x14ac:dyDescent="0.25">
      <c r="B923" s="1"/>
      <c r="C923" s="1"/>
      <c r="D923" s="1"/>
      <c r="E923" s="1"/>
      <c r="F923" s="1"/>
      <c r="G923" s="1"/>
      <c r="I923" s="1"/>
      <c r="J923" s="1"/>
      <c r="K923" s="1"/>
      <c r="L923" s="1"/>
      <c r="M923" s="1"/>
    </row>
    <row r="924" spans="2:13" x14ac:dyDescent="0.25">
      <c r="B924" s="1"/>
      <c r="C924" s="1"/>
      <c r="D924" s="1"/>
      <c r="E924" s="1"/>
      <c r="F924" s="1"/>
      <c r="G924" s="1"/>
      <c r="I924" s="1"/>
      <c r="J924" s="1"/>
      <c r="K924" s="1"/>
      <c r="L924" s="1"/>
      <c r="M924" s="1"/>
    </row>
    <row r="925" spans="2:13" x14ac:dyDescent="0.25">
      <c r="B925" s="1"/>
      <c r="C925" s="1"/>
      <c r="D925" s="1"/>
      <c r="E925" s="1"/>
      <c r="F925" s="1"/>
      <c r="G925" s="1"/>
      <c r="I925" s="1"/>
      <c r="J925" s="1"/>
      <c r="K925" s="1"/>
      <c r="L925" s="1"/>
      <c r="M925" s="1"/>
    </row>
    <row r="926" spans="2:13" x14ac:dyDescent="0.25">
      <c r="B926" s="1"/>
      <c r="C926" s="1"/>
      <c r="D926" s="1"/>
      <c r="E926" s="1"/>
      <c r="F926" s="1"/>
      <c r="G926" s="1"/>
      <c r="I926" s="1"/>
      <c r="J926" s="1"/>
      <c r="K926" s="1"/>
      <c r="L926" s="1"/>
      <c r="M926" s="1"/>
    </row>
    <row r="927" spans="2:13" x14ac:dyDescent="0.25">
      <c r="B927" s="1"/>
      <c r="C927" s="1"/>
      <c r="D927" s="1"/>
      <c r="E927" s="1"/>
      <c r="F927" s="1"/>
      <c r="G927" s="1"/>
      <c r="I927" s="1"/>
      <c r="J927" s="1"/>
      <c r="K927" s="1"/>
      <c r="L927" s="1"/>
      <c r="M927" s="1"/>
    </row>
    <row r="928" spans="2:13" x14ac:dyDescent="0.25">
      <c r="B928" s="1"/>
      <c r="C928" s="1"/>
      <c r="D928" s="1"/>
      <c r="E928" s="1"/>
      <c r="F928" s="1"/>
      <c r="G928" s="1"/>
      <c r="I928" s="1"/>
      <c r="J928" s="1"/>
      <c r="K928" s="1"/>
      <c r="L928" s="1"/>
      <c r="M928" s="1"/>
    </row>
    <row r="929" spans="2:13" x14ac:dyDescent="0.25">
      <c r="B929" s="1"/>
      <c r="C929" s="1"/>
      <c r="D929" s="1"/>
      <c r="E929" s="1"/>
      <c r="F929" s="1"/>
      <c r="G929" s="1"/>
      <c r="I929" s="1"/>
      <c r="J929" s="1"/>
      <c r="K929" s="1"/>
      <c r="L929" s="1"/>
      <c r="M929" s="1"/>
    </row>
    <row r="930" spans="2:13" x14ac:dyDescent="0.25">
      <c r="B930" s="1"/>
      <c r="C930" s="1"/>
      <c r="D930" s="1"/>
      <c r="E930" s="1"/>
      <c r="F930" s="1"/>
      <c r="G930" s="1"/>
      <c r="I930" s="1"/>
      <c r="J930" s="1"/>
      <c r="K930" s="1"/>
      <c r="L930" s="1"/>
      <c r="M930" s="1"/>
    </row>
    <row r="931" spans="2:13" x14ac:dyDescent="0.25">
      <c r="B931" s="1"/>
      <c r="C931" s="1"/>
      <c r="D931" s="1"/>
      <c r="E931" s="1"/>
      <c r="F931" s="1"/>
      <c r="G931" s="1"/>
      <c r="I931" s="1"/>
      <c r="J931" s="1"/>
      <c r="K931" s="1"/>
      <c r="L931" s="1"/>
      <c r="M931" s="1"/>
    </row>
    <row r="932" spans="2:13" x14ac:dyDescent="0.25">
      <c r="B932" s="1"/>
      <c r="C932" s="1"/>
      <c r="D932" s="1"/>
      <c r="E932" s="1"/>
      <c r="F932" s="1"/>
      <c r="G932" s="1"/>
      <c r="I932" s="1"/>
      <c r="J932" s="1"/>
      <c r="K932" s="1"/>
      <c r="L932" s="1"/>
      <c r="M932" s="1"/>
    </row>
    <row r="933" spans="2:13" x14ac:dyDescent="0.25">
      <c r="B933" s="1"/>
      <c r="C933" s="1"/>
      <c r="D933" s="1"/>
      <c r="E933" s="1"/>
      <c r="F933" s="1"/>
      <c r="G933" s="1"/>
      <c r="I933" s="1"/>
      <c r="J933" s="1"/>
      <c r="K933" s="1"/>
      <c r="L933" s="1"/>
      <c r="M933" s="1"/>
    </row>
    <row r="934" spans="2:13" x14ac:dyDescent="0.25">
      <c r="B934" s="1"/>
      <c r="C934" s="1"/>
      <c r="D934" s="1"/>
      <c r="E934" s="1"/>
      <c r="F934" s="1"/>
      <c r="G934" s="1"/>
      <c r="I934" s="1"/>
      <c r="J934" s="1"/>
      <c r="K934" s="1"/>
      <c r="L934" s="1"/>
      <c r="M934" s="1"/>
    </row>
    <row r="935" spans="2:13" x14ac:dyDescent="0.25">
      <c r="B935" s="1"/>
      <c r="C935" s="1"/>
      <c r="D935" s="1"/>
      <c r="E935" s="1"/>
      <c r="F935" s="1"/>
      <c r="G935" s="1"/>
      <c r="I935" s="1"/>
      <c r="J935" s="1"/>
      <c r="K935" s="1"/>
      <c r="L935" s="1"/>
      <c r="M935" s="1"/>
    </row>
    <row r="936" spans="2:13" x14ac:dyDescent="0.25">
      <c r="B936" s="1"/>
      <c r="C936" s="1"/>
      <c r="D936" s="1"/>
      <c r="E936" s="1"/>
      <c r="F936" s="1"/>
      <c r="G936" s="1"/>
      <c r="I936" s="1"/>
      <c r="J936" s="1"/>
      <c r="K936" s="1"/>
      <c r="L936" s="1"/>
      <c r="M936" s="1"/>
    </row>
    <row r="937" spans="2:13" x14ac:dyDescent="0.25">
      <c r="B937" s="1"/>
      <c r="C937" s="1"/>
      <c r="D937" s="1"/>
      <c r="E937" s="1"/>
      <c r="F937" s="1"/>
      <c r="G937" s="1"/>
      <c r="I937" s="1"/>
      <c r="J937" s="1"/>
      <c r="K937" s="1"/>
      <c r="L937" s="1"/>
      <c r="M937" s="1"/>
    </row>
    <row r="938" spans="2:13" x14ac:dyDescent="0.25">
      <c r="B938" s="1"/>
      <c r="C938" s="1"/>
      <c r="D938" s="1"/>
      <c r="E938" s="1"/>
      <c r="F938" s="1"/>
      <c r="G938" s="1"/>
      <c r="I938" s="1"/>
      <c r="J938" s="1"/>
      <c r="K938" s="1"/>
      <c r="L938" s="1"/>
      <c r="M938" s="1"/>
    </row>
    <row r="939" spans="2:13" x14ac:dyDescent="0.25">
      <c r="B939" s="1"/>
      <c r="C939" s="1"/>
      <c r="D939" s="1"/>
      <c r="E939" s="1"/>
      <c r="F939" s="1"/>
      <c r="G939" s="1"/>
      <c r="I939" s="1"/>
      <c r="J939" s="1"/>
      <c r="K939" s="1"/>
      <c r="L939" s="1"/>
      <c r="M939" s="1"/>
    </row>
    <row r="940" spans="2:13" x14ac:dyDescent="0.25">
      <c r="B940" s="1"/>
      <c r="C940" s="1"/>
      <c r="D940" s="1"/>
      <c r="E940" s="1"/>
      <c r="F940" s="1"/>
      <c r="G940" s="1"/>
      <c r="I940" s="1"/>
      <c r="J940" s="1"/>
      <c r="K940" s="1"/>
      <c r="L940" s="1"/>
      <c r="M940" s="1"/>
    </row>
    <row r="941" spans="2:13" x14ac:dyDescent="0.25">
      <c r="B941" s="1"/>
      <c r="C941" s="1"/>
      <c r="D941" s="1"/>
      <c r="E941" s="1"/>
      <c r="F941" s="1"/>
      <c r="G941" s="1"/>
      <c r="I941" s="1"/>
      <c r="J941" s="1"/>
      <c r="K941" s="1"/>
      <c r="L941" s="1"/>
      <c r="M941" s="1"/>
    </row>
    <row r="942" spans="2:13" x14ac:dyDescent="0.25">
      <c r="B942" s="1"/>
      <c r="C942" s="1"/>
      <c r="D942" s="1"/>
      <c r="E942" s="1"/>
      <c r="F942" s="1"/>
      <c r="G942" s="1"/>
      <c r="I942" s="1"/>
      <c r="J942" s="1"/>
      <c r="K942" s="1"/>
      <c r="L942" s="1"/>
      <c r="M942" s="1"/>
    </row>
    <row r="943" spans="2:13" x14ac:dyDescent="0.25">
      <c r="B943" s="1"/>
      <c r="C943" s="1"/>
      <c r="D943" s="1"/>
      <c r="E943" s="1"/>
      <c r="F943" s="1"/>
      <c r="G943" s="1"/>
      <c r="I943" s="1"/>
      <c r="J943" s="1"/>
      <c r="K943" s="1"/>
      <c r="L943" s="1"/>
      <c r="M943" s="1"/>
    </row>
    <row r="944" spans="2:13" x14ac:dyDescent="0.25">
      <c r="B944" s="1"/>
      <c r="C944" s="1"/>
      <c r="D944" s="1"/>
      <c r="E944" s="1"/>
      <c r="F944" s="1"/>
      <c r="G944" s="1"/>
      <c r="I944" s="1"/>
      <c r="J944" s="1"/>
      <c r="K944" s="1"/>
      <c r="L944" s="1"/>
      <c r="M944" s="1"/>
    </row>
    <row r="945" spans="2:13" x14ac:dyDescent="0.25">
      <c r="B945" s="1"/>
      <c r="C945" s="1"/>
      <c r="D945" s="1"/>
      <c r="E945" s="1"/>
      <c r="F945" s="1"/>
      <c r="G945" s="1"/>
      <c r="I945" s="1"/>
      <c r="J945" s="1"/>
      <c r="K945" s="1"/>
      <c r="L945" s="1"/>
      <c r="M945" s="1"/>
    </row>
    <row r="946" spans="2:13" x14ac:dyDescent="0.25">
      <c r="B946" s="1"/>
      <c r="C946" s="1"/>
      <c r="D946" s="1"/>
      <c r="E946" s="1"/>
      <c r="F946" s="1"/>
      <c r="G946" s="1"/>
      <c r="I946" s="1"/>
      <c r="J946" s="1"/>
      <c r="K946" s="1"/>
      <c r="L946" s="1"/>
      <c r="M946" s="1"/>
    </row>
    <row r="947" spans="2:13" x14ac:dyDescent="0.25">
      <c r="B947" s="1"/>
      <c r="C947" s="1"/>
      <c r="D947" s="1"/>
      <c r="E947" s="1"/>
      <c r="F947" s="1"/>
      <c r="G947" s="1"/>
      <c r="I947" s="1"/>
      <c r="J947" s="1"/>
      <c r="K947" s="1"/>
      <c r="L947" s="1"/>
      <c r="M947" s="1"/>
    </row>
    <row r="948" spans="2:13" x14ac:dyDescent="0.25">
      <c r="B948" s="1"/>
      <c r="C948" s="1"/>
      <c r="D948" s="1"/>
      <c r="E948" s="1"/>
      <c r="F948" s="1"/>
      <c r="G948" s="1"/>
      <c r="I948" s="1"/>
      <c r="J948" s="1"/>
      <c r="K948" s="1"/>
      <c r="L948" s="1"/>
      <c r="M948" s="1"/>
    </row>
    <row r="949" spans="2:13" x14ac:dyDescent="0.25">
      <c r="B949" s="1"/>
      <c r="C949" s="1"/>
      <c r="D949" s="1"/>
      <c r="E949" s="1"/>
      <c r="F949" s="1"/>
      <c r="G949" s="1"/>
      <c r="I949" s="1"/>
      <c r="J949" s="1"/>
      <c r="K949" s="1"/>
      <c r="L949" s="1"/>
      <c r="M949" s="1"/>
    </row>
    <row r="950" spans="2:13" x14ac:dyDescent="0.25">
      <c r="B950" s="1"/>
      <c r="C950" s="1"/>
      <c r="D950" s="1"/>
      <c r="E950" s="1"/>
      <c r="F950" s="1"/>
      <c r="G950" s="1"/>
      <c r="I950" s="1"/>
      <c r="J950" s="1"/>
      <c r="K950" s="1"/>
      <c r="L950" s="1"/>
      <c r="M950" s="1"/>
    </row>
    <row r="951" spans="2:13" x14ac:dyDescent="0.25">
      <c r="B951" s="1"/>
      <c r="C951" s="1"/>
      <c r="D951" s="1"/>
      <c r="E951" s="1"/>
      <c r="F951" s="1"/>
      <c r="G951" s="1"/>
      <c r="I951" s="1"/>
      <c r="J951" s="1"/>
      <c r="K951" s="1"/>
      <c r="L951" s="1"/>
      <c r="M951" s="1"/>
    </row>
    <row r="952" spans="2:13" x14ac:dyDescent="0.25">
      <c r="B952" s="1"/>
      <c r="C952" s="1"/>
      <c r="D952" s="1"/>
      <c r="E952" s="1"/>
      <c r="F952" s="1"/>
      <c r="G952" s="1"/>
      <c r="I952" s="1"/>
      <c r="J952" s="1"/>
      <c r="K952" s="1"/>
      <c r="L952" s="1"/>
      <c r="M952" s="1"/>
    </row>
    <row r="953" spans="2:13" x14ac:dyDescent="0.25">
      <c r="B953" s="1"/>
      <c r="C953" s="1"/>
      <c r="D953" s="1"/>
      <c r="E953" s="1"/>
      <c r="F953" s="1"/>
      <c r="G953" s="1"/>
      <c r="I953" s="1"/>
      <c r="J953" s="1"/>
      <c r="K953" s="1"/>
      <c r="L953" s="1"/>
      <c r="M953" s="1"/>
    </row>
    <row r="954" spans="2:13" x14ac:dyDescent="0.25">
      <c r="B954" s="1"/>
      <c r="C954" s="1"/>
      <c r="D954" s="1"/>
      <c r="E954" s="1"/>
      <c r="F954" s="1"/>
      <c r="G954" s="1"/>
      <c r="I954" s="1"/>
      <c r="J954" s="1"/>
      <c r="K954" s="1"/>
      <c r="L954" s="1"/>
      <c r="M954" s="1"/>
    </row>
    <row r="955" spans="2:13" x14ac:dyDescent="0.25">
      <c r="B955" s="1"/>
      <c r="C955" s="1"/>
      <c r="D955" s="1"/>
      <c r="E955" s="1"/>
      <c r="F955" s="1"/>
      <c r="G955" s="1"/>
      <c r="I955" s="1"/>
      <c r="J955" s="1"/>
      <c r="K955" s="1"/>
      <c r="L955" s="1"/>
      <c r="M955" s="1"/>
    </row>
    <row r="956" spans="2:13" x14ac:dyDescent="0.25">
      <c r="B956" s="1"/>
      <c r="C956" s="1"/>
      <c r="D956" s="1"/>
      <c r="E956" s="1"/>
      <c r="F956" s="1"/>
      <c r="G956" s="1"/>
      <c r="I956" s="1"/>
      <c r="J956" s="1"/>
      <c r="K956" s="1"/>
      <c r="L956" s="1"/>
      <c r="M956" s="1"/>
    </row>
    <row r="957" spans="2:13" x14ac:dyDescent="0.25">
      <c r="B957" s="1"/>
      <c r="C957" s="1"/>
      <c r="D957" s="1"/>
      <c r="E957" s="1"/>
      <c r="F957" s="1"/>
      <c r="G957" s="1"/>
      <c r="I957" s="1"/>
      <c r="J957" s="1"/>
      <c r="K957" s="1"/>
      <c r="L957" s="1"/>
      <c r="M957" s="1"/>
    </row>
    <row r="958" spans="2:13" x14ac:dyDescent="0.25">
      <c r="B958" s="1"/>
      <c r="C958" s="1"/>
      <c r="D958" s="1"/>
      <c r="E958" s="1"/>
      <c r="F958" s="1"/>
      <c r="G958" s="1"/>
      <c r="I958" s="1"/>
      <c r="J958" s="1"/>
      <c r="K958" s="1"/>
      <c r="L958" s="1"/>
      <c r="M958" s="1"/>
    </row>
    <row r="959" spans="2:13" x14ac:dyDescent="0.25">
      <c r="B959" s="1"/>
      <c r="C959" s="1"/>
      <c r="D959" s="1"/>
      <c r="E959" s="1"/>
      <c r="F959" s="1"/>
      <c r="G959" s="1"/>
      <c r="I959" s="1"/>
      <c r="J959" s="1"/>
      <c r="K959" s="1"/>
      <c r="L959" s="1"/>
      <c r="M959" s="1"/>
    </row>
    <row r="960" spans="2:13" x14ac:dyDescent="0.25">
      <c r="B960" s="1"/>
      <c r="C960" s="1"/>
      <c r="D960" s="1"/>
      <c r="E960" s="1"/>
      <c r="F960" s="1"/>
      <c r="G960" s="1"/>
      <c r="I960" s="1"/>
      <c r="J960" s="1"/>
      <c r="K960" s="1"/>
      <c r="L960" s="1"/>
      <c r="M960" s="1"/>
    </row>
    <row r="961" spans="2:13" x14ac:dyDescent="0.25">
      <c r="B961" s="1"/>
      <c r="C961" s="1"/>
      <c r="D961" s="1"/>
      <c r="E961" s="1"/>
      <c r="F961" s="1"/>
      <c r="G961" s="1"/>
      <c r="I961" s="1"/>
      <c r="J961" s="1"/>
      <c r="K961" s="1"/>
      <c r="L961" s="1"/>
      <c r="M961" s="1"/>
    </row>
    <row r="962" spans="2:13" x14ac:dyDescent="0.25">
      <c r="B962" s="1"/>
      <c r="C962" s="1"/>
      <c r="D962" s="1"/>
      <c r="E962" s="1"/>
      <c r="F962" s="1"/>
      <c r="G962" s="1"/>
      <c r="I962" s="1"/>
      <c r="J962" s="1"/>
      <c r="K962" s="1"/>
      <c r="L962" s="1"/>
      <c r="M962" s="1"/>
    </row>
    <row r="963" spans="2:13" x14ac:dyDescent="0.25">
      <c r="B963" s="1"/>
      <c r="C963" s="1"/>
      <c r="D963" s="1"/>
      <c r="E963" s="1"/>
      <c r="F963" s="1"/>
      <c r="G963" s="1"/>
      <c r="I963" s="1"/>
      <c r="J963" s="1"/>
      <c r="K963" s="1"/>
      <c r="L963" s="1"/>
      <c r="M963" s="1"/>
    </row>
    <row r="964" spans="2:13" x14ac:dyDescent="0.25">
      <c r="B964" s="1"/>
      <c r="C964" s="1"/>
      <c r="D964" s="1"/>
      <c r="E964" s="1"/>
      <c r="F964" s="1"/>
      <c r="G964" s="1"/>
      <c r="I964" s="1"/>
      <c r="J964" s="1"/>
      <c r="K964" s="1"/>
      <c r="L964" s="1"/>
      <c r="M964" s="1"/>
    </row>
    <row r="965" spans="2:13" x14ac:dyDescent="0.25">
      <c r="B965" s="1"/>
      <c r="C965" s="1"/>
      <c r="D965" s="1"/>
      <c r="E965" s="1"/>
      <c r="F965" s="1"/>
      <c r="G965" s="1"/>
      <c r="I965" s="1"/>
      <c r="J965" s="1"/>
      <c r="K965" s="1"/>
      <c r="L965" s="1"/>
      <c r="M965" s="1"/>
    </row>
    <row r="966" spans="2:13" x14ac:dyDescent="0.25">
      <c r="B966" s="1"/>
      <c r="C966" s="1"/>
      <c r="D966" s="1"/>
      <c r="E966" s="1"/>
      <c r="F966" s="1"/>
      <c r="G966" s="1"/>
      <c r="I966" s="1"/>
      <c r="J966" s="1"/>
      <c r="K966" s="1"/>
      <c r="L966" s="1"/>
      <c r="M966" s="1"/>
    </row>
    <row r="967" spans="2:13" x14ac:dyDescent="0.25">
      <c r="B967" s="1"/>
      <c r="C967" s="1"/>
      <c r="D967" s="1"/>
      <c r="E967" s="1"/>
      <c r="F967" s="1"/>
      <c r="G967" s="1"/>
      <c r="I967" s="1"/>
      <c r="J967" s="1"/>
      <c r="K967" s="1"/>
      <c r="L967" s="1"/>
      <c r="M967" s="1"/>
    </row>
    <row r="968" spans="2:13" x14ac:dyDescent="0.25">
      <c r="B968" s="1"/>
      <c r="C968" s="1"/>
      <c r="D968" s="1"/>
      <c r="E968" s="1"/>
      <c r="F968" s="1"/>
      <c r="G968" s="1"/>
      <c r="I968" s="1"/>
      <c r="J968" s="1"/>
      <c r="K968" s="1"/>
      <c r="L968" s="1"/>
      <c r="M968" s="1"/>
    </row>
    <row r="969" spans="2:13" x14ac:dyDescent="0.25">
      <c r="B969" s="1"/>
      <c r="C969" s="1"/>
      <c r="D969" s="1"/>
      <c r="E969" s="1"/>
      <c r="F969" s="1"/>
      <c r="G969" s="1"/>
      <c r="I969" s="1"/>
      <c r="J969" s="1"/>
      <c r="K969" s="1"/>
      <c r="L969" s="1"/>
      <c r="M969" s="1"/>
    </row>
    <row r="970" spans="2:13" x14ac:dyDescent="0.25">
      <c r="B970" s="1"/>
      <c r="C970" s="1"/>
      <c r="D970" s="1"/>
      <c r="E970" s="1"/>
      <c r="F970" s="1"/>
      <c r="G970" s="1"/>
      <c r="I970" s="1"/>
      <c r="J970" s="1"/>
      <c r="K970" s="1"/>
      <c r="L970" s="1"/>
      <c r="M970" s="1"/>
    </row>
    <row r="971" spans="2:13" x14ac:dyDescent="0.25">
      <c r="B971" s="1"/>
      <c r="C971" s="1"/>
      <c r="D971" s="1"/>
      <c r="E971" s="1"/>
      <c r="F971" s="1"/>
      <c r="G971" s="1"/>
      <c r="I971" s="1"/>
      <c r="J971" s="1"/>
      <c r="K971" s="1"/>
      <c r="L971" s="1"/>
      <c r="M971" s="1"/>
    </row>
    <row r="972" spans="2:13" x14ac:dyDescent="0.25">
      <c r="B972" s="1"/>
      <c r="C972" s="1"/>
      <c r="D972" s="1"/>
      <c r="E972" s="1"/>
      <c r="F972" s="1"/>
      <c r="G972" s="1"/>
      <c r="I972" s="1"/>
      <c r="J972" s="1"/>
      <c r="K972" s="1"/>
      <c r="L972" s="1"/>
      <c r="M972" s="1"/>
    </row>
    <row r="973" spans="2:13" x14ac:dyDescent="0.25">
      <c r="B973" s="1"/>
      <c r="C973" s="1"/>
      <c r="D973" s="1"/>
      <c r="E973" s="1"/>
      <c r="F973" s="1"/>
      <c r="G973" s="1"/>
      <c r="I973" s="1"/>
      <c r="J973" s="1"/>
      <c r="K973" s="1"/>
      <c r="L973" s="1"/>
      <c r="M973" s="1"/>
    </row>
    <row r="974" spans="2:13" x14ac:dyDescent="0.25">
      <c r="B974" s="1"/>
      <c r="C974" s="1"/>
      <c r="D974" s="1"/>
      <c r="E974" s="1"/>
      <c r="F974" s="1"/>
      <c r="G974" s="1"/>
      <c r="I974" s="1"/>
      <c r="J974" s="1"/>
      <c r="K974" s="1"/>
      <c r="L974" s="1"/>
      <c r="M974" s="1"/>
    </row>
    <row r="975" spans="2:13" x14ac:dyDescent="0.25">
      <c r="B975" s="1"/>
      <c r="C975" s="1"/>
      <c r="D975" s="1"/>
      <c r="E975" s="1"/>
      <c r="F975" s="1"/>
      <c r="G975" s="1"/>
      <c r="I975" s="1"/>
      <c r="J975" s="1"/>
      <c r="K975" s="1"/>
      <c r="L975" s="1"/>
      <c r="M975" s="1"/>
    </row>
    <row r="976" spans="2:13" x14ac:dyDescent="0.25">
      <c r="B976" s="1"/>
      <c r="C976" s="1"/>
      <c r="D976" s="1"/>
      <c r="E976" s="1"/>
      <c r="F976" s="1"/>
      <c r="G976" s="1"/>
      <c r="I976" s="1"/>
      <c r="J976" s="1"/>
      <c r="K976" s="1"/>
      <c r="L976" s="1"/>
      <c r="M976" s="1"/>
    </row>
    <row r="977" spans="2:13" x14ac:dyDescent="0.25">
      <c r="B977" s="1"/>
      <c r="C977" s="1"/>
      <c r="D977" s="1"/>
      <c r="E977" s="1"/>
      <c r="F977" s="1"/>
      <c r="G977" s="1"/>
      <c r="I977" s="1"/>
      <c r="J977" s="1"/>
      <c r="K977" s="1"/>
      <c r="L977" s="1"/>
      <c r="M977" s="1"/>
    </row>
    <row r="978" spans="2:13" x14ac:dyDescent="0.25">
      <c r="B978" s="1"/>
      <c r="C978" s="1"/>
      <c r="D978" s="1"/>
      <c r="E978" s="1"/>
      <c r="F978" s="1"/>
      <c r="G978" s="1"/>
      <c r="I978" s="1"/>
      <c r="J978" s="1"/>
      <c r="K978" s="1"/>
      <c r="L978" s="1"/>
      <c r="M978" s="1"/>
    </row>
    <row r="979" spans="2:13" x14ac:dyDescent="0.25">
      <c r="B979" s="1"/>
      <c r="C979" s="1"/>
      <c r="D979" s="1"/>
      <c r="E979" s="1"/>
      <c r="F979" s="1"/>
      <c r="G979" s="1"/>
      <c r="I979" s="1"/>
      <c r="J979" s="1"/>
      <c r="K979" s="1"/>
      <c r="L979" s="1"/>
      <c r="M979" s="1"/>
    </row>
    <row r="980" spans="2:13" x14ac:dyDescent="0.25">
      <c r="B980" s="1"/>
      <c r="C980" s="1"/>
      <c r="D980" s="1"/>
      <c r="E980" s="1"/>
      <c r="F980" s="1"/>
      <c r="G980" s="1"/>
      <c r="I980" s="1"/>
      <c r="J980" s="1"/>
      <c r="K980" s="1"/>
      <c r="L980" s="1"/>
      <c r="M980" s="1"/>
    </row>
    <row r="981" spans="2:13" x14ac:dyDescent="0.25">
      <c r="B981" s="1"/>
      <c r="C981" s="1"/>
      <c r="D981" s="1"/>
      <c r="E981" s="1"/>
      <c r="F981" s="1"/>
      <c r="G981" s="1"/>
      <c r="I981" s="1"/>
      <c r="J981" s="1"/>
      <c r="K981" s="1"/>
      <c r="L981" s="1"/>
      <c r="M981" s="1"/>
    </row>
    <row r="982" spans="2:13" x14ac:dyDescent="0.25">
      <c r="B982" s="1"/>
      <c r="C982" s="1"/>
      <c r="D982" s="1"/>
      <c r="E982" s="1"/>
      <c r="F982" s="1"/>
      <c r="G982" s="1"/>
      <c r="I982" s="1"/>
      <c r="J982" s="1"/>
      <c r="K982" s="1"/>
      <c r="L982" s="1"/>
      <c r="M982" s="1"/>
    </row>
    <row r="983" spans="2:13" x14ac:dyDescent="0.25">
      <c r="B983" s="1"/>
      <c r="C983" s="1"/>
      <c r="D983" s="1"/>
      <c r="E983" s="1"/>
      <c r="F983" s="1"/>
      <c r="G983" s="1"/>
      <c r="I983" s="1"/>
      <c r="J983" s="1"/>
      <c r="K983" s="1"/>
      <c r="L983" s="1"/>
      <c r="M983" s="1"/>
    </row>
    <row r="984" spans="2:13" x14ac:dyDescent="0.25">
      <c r="B984" s="1"/>
      <c r="C984" s="1"/>
      <c r="D984" s="1"/>
      <c r="E984" s="1"/>
      <c r="F984" s="1"/>
      <c r="G984" s="1"/>
      <c r="I984" s="1"/>
      <c r="J984" s="1"/>
      <c r="K984" s="1"/>
      <c r="L984" s="1"/>
      <c r="M984" s="1"/>
    </row>
    <row r="985" spans="2:13" x14ac:dyDescent="0.25">
      <c r="B985" s="1"/>
      <c r="C985" s="1"/>
      <c r="D985" s="1"/>
      <c r="E985" s="1"/>
      <c r="F985" s="1"/>
      <c r="G985" s="1"/>
      <c r="I985" s="1"/>
      <c r="J985" s="1"/>
      <c r="K985" s="1"/>
      <c r="L985" s="1"/>
      <c r="M985" s="1"/>
    </row>
    <row r="986" spans="2:13" x14ac:dyDescent="0.25">
      <c r="B986" s="1"/>
      <c r="C986" s="1"/>
      <c r="D986" s="1"/>
      <c r="E986" s="1"/>
      <c r="F986" s="1"/>
      <c r="G986" s="1"/>
      <c r="I986" s="1"/>
      <c r="J986" s="1"/>
      <c r="K986" s="1"/>
      <c r="L986" s="1"/>
      <c r="M986" s="1"/>
    </row>
    <row r="987" spans="2:13" x14ac:dyDescent="0.25">
      <c r="B987" s="1"/>
      <c r="C987" s="1"/>
      <c r="D987" s="1"/>
      <c r="E987" s="1"/>
      <c r="F987" s="1"/>
      <c r="G987" s="1"/>
      <c r="I987" s="1"/>
      <c r="J987" s="1"/>
      <c r="K987" s="1"/>
      <c r="L987" s="1"/>
      <c r="M987" s="1"/>
    </row>
    <row r="988" spans="2:13" x14ac:dyDescent="0.25">
      <c r="B988" s="1"/>
      <c r="C988" s="1"/>
      <c r="D988" s="1"/>
      <c r="E988" s="1"/>
      <c r="F988" s="1"/>
      <c r="G988" s="1"/>
      <c r="I988" s="1"/>
      <c r="J988" s="1"/>
      <c r="K988" s="1"/>
      <c r="L988" s="1"/>
      <c r="M988" s="1"/>
    </row>
    <row r="989" spans="2:13" x14ac:dyDescent="0.25">
      <c r="B989" s="1"/>
      <c r="C989" s="1"/>
      <c r="D989" s="1"/>
      <c r="E989" s="1"/>
      <c r="F989" s="1"/>
      <c r="G989" s="1"/>
      <c r="I989" s="1"/>
      <c r="J989" s="1"/>
      <c r="K989" s="1"/>
      <c r="L989" s="1"/>
      <c r="M989" s="1"/>
    </row>
    <row r="990" spans="2:13" x14ac:dyDescent="0.25">
      <c r="B990" s="1"/>
      <c r="C990" s="1"/>
      <c r="D990" s="1"/>
      <c r="E990" s="1"/>
      <c r="F990" s="1"/>
      <c r="G990" s="1"/>
      <c r="I990" s="1"/>
      <c r="J990" s="1"/>
      <c r="K990" s="1"/>
      <c r="L990" s="1"/>
      <c r="M990" s="1"/>
    </row>
    <row r="991" spans="2:13" x14ac:dyDescent="0.25">
      <c r="B991" s="1"/>
      <c r="C991" s="1"/>
      <c r="D991" s="1"/>
      <c r="E991" s="1"/>
      <c r="F991" s="1"/>
      <c r="G991" s="1"/>
      <c r="I991" s="1"/>
      <c r="J991" s="1"/>
      <c r="K991" s="1"/>
      <c r="L991" s="1"/>
      <c r="M991" s="1"/>
    </row>
    <row r="992" spans="2:13" x14ac:dyDescent="0.25">
      <c r="B992" s="1"/>
      <c r="C992" s="1"/>
      <c r="D992" s="1"/>
      <c r="E992" s="1"/>
      <c r="F992" s="1"/>
      <c r="G992" s="1"/>
      <c r="I992" s="1"/>
      <c r="J992" s="1"/>
      <c r="K992" s="1"/>
      <c r="L992" s="1"/>
      <c r="M992" s="1"/>
    </row>
    <row r="993" spans="2:13" x14ac:dyDescent="0.25">
      <c r="B993" s="1"/>
      <c r="C993" s="1"/>
      <c r="D993" s="1"/>
      <c r="E993" s="1"/>
      <c r="F993" s="1"/>
      <c r="G993" s="1"/>
      <c r="I993" s="1"/>
      <c r="J993" s="1"/>
      <c r="K993" s="1"/>
      <c r="L993" s="1"/>
      <c r="M993" s="1"/>
    </row>
    <row r="994" spans="2:13" x14ac:dyDescent="0.25">
      <c r="B994" s="1"/>
      <c r="C994" s="1"/>
      <c r="D994" s="1"/>
      <c r="E994" s="1"/>
      <c r="F994" s="1"/>
      <c r="G994" s="1"/>
      <c r="I994" s="1"/>
      <c r="J994" s="1"/>
      <c r="K994" s="1"/>
      <c r="L994" s="1"/>
      <c r="M994" s="1"/>
    </row>
    <row r="995" spans="2:13" x14ac:dyDescent="0.25">
      <c r="B995" s="1"/>
      <c r="C995" s="1"/>
      <c r="D995" s="1"/>
      <c r="E995" s="1"/>
      <c r="F995" s="1"/>
      <c r="G995" s="1"/>
      <c r="I995" s="1"/>
      <c r="J995" s="1"/>
      <c r="K995" s="1"/>
      <c r="L995" s="1"/>
      <c r="M995" s="1"/>
    </row>
    <row r="996" spans="2:13" x14ac:dyDescent="0.25">
      <c r="B996" s="1"/>
      <c r="C996" s="1"/>
      <c r="D996" s="1"/>
      <c r="E996" s="1"/>
      <c r="F996" s="1"/>
      <c r="G996" s="1"/>
      <c r="I996" s="1"/>
      <c r="J996" s="1"/>
      <c r="K996" s="1"/>
      <c r="L996" s="1"/>
      <c r="M996" s="1"/>
    </row>
    <row r="997" spans="2:13" x14ac:dyDescent="0.25">
      <c r="B997" s="1"/>
      <c r="C997" s="1"/>
      <c r="D997" s="1"/>
      <c r="E997" s="1"/>
      <c r="F997" s="1"/>
      <c r="G997" s="1"/>
      <c r="I997" s="1"/>
      <c r="J997" s="1"/>
      <c r="K997" s="1"/>
      <c r="L997" s="1"/>
      <c r="M997" s="1"/>
    </row>
    <row r="998" spans="2:13" x14ac:dyDescent="0.25">
      <c r="B998" s="1"/>
      <c r="C998" s="1"/>
      <c r="D998" s="1"/>
      <c r="E998" s="1"/>
      <c r="F998" s="1"/>
      <c r="G998" s="1"/>
      <c r="I998" s="1"/>
      <c r="J998" s="1"/>
      <c r="K998" s="1"/>
      <c r="L998" s="1"/>
      <c r="M998" s="1"/>
    </row>
    <row r="999" spans="2:13" x14ac:dyDescent="0.25">
      <c r="B999" s="1"/>
      <c r="C999" s="1"/>
      <c r="D999" s="1"/>
      <c r="E999" s="1"/>
      <c r="F999" s="1"/>
      <c r="G999" s="1"/>
      <c r="I999" s="1"/>
      <c r="J999" s="1"/>
      <c r="K999" s="1"/>
      <c r="L999" s="1"/>
      <c r="M999" s="1"/>
    </row>
    <row r="1000" spans="2:13" x14ac:dyDescent="0.25">
      <c r="B1000" s="1"/>
      <c r="C1000" s="1"/>
      <c r="D1000" s="1"/>
      <c r="E1000" s="1"/>
      <c r="F1000" s="1"/>
      <c r="G1000" s="1"/>
      <c r="I1000" s="1"/>
      <c r="J1000" s="1"/>
      <c r="K1000" s="1"/>
      <c r="L1000" s="1"/>
      <c r="M1000" s="1"/>
    </row>
    <row r="1001" spans="2:13" x14ac:dyDescent="0.25">
      <c r="B1001" s="1"/>
      <c r="C1001" s="1"/>
      <c r="D1001" s="1"/>
      <c r="E1001" s="1"/>
      <c r="F1001" s="1"/>
      <c r="G1001" s="1"/>
      <c r="I1001" s="1"/>
      <c r="J1001" s="1"/>
      <c r="K1001" s="1"/>
      <c r="L1001" s="1"/>
      <c r="M1001" s="1"/>
    </row>
    <row r="1002" spans="2:13" x14ac:dyDescent="0.25">
      <c r="B1002" s="1"/>
      <c r="C1002" s="1"/>
      <c r="D1002" s="1"/>
      <c r="E1002" s="1"/>
      <c r="F1002" s="1"/>
      <c r="G1002" s="1"/>
      <c r="I1002" s="1"/>
      <c r="J1002" s="1"/>
      <c r="K1002" s="1"/>
      <c r="L1002" s="1"/>
      <c r="M1002" s="1"/>
    </row>
    <row r="1003" spans="2:13" x14ac:dyDescent="0.25">
      <c r="B1003" s="1"/>
      <c r="C1003" s="1"/>
      <c r="D1003" s="1"/>
      <c r="E1003" s="1"/>
      <c r="F1003" s="1"/>
      <c r="G1003" s="1"/>
      <c r="I1003" s="1"/>
      <c r="J1003" s="1"/>
      <c r="K1003" s="1"/>
      <c r="L1003" s="1"/>
      <c r="M1003" s="1"/>
    </row>
    <row r="1004" spans="2:13" x14ac:dyDescent="0.25">
      <c r="B1004" s="1"/>
      <c r="C1004" s="1"/>
      <c r="D1004" s="1"/>
      <c r="E1004" s="1"/>
      <c r="F1004" s="1"/>
      <c r="G1004" s="1"/>
      <c r="I1004" s="1"/>
      <c r="J1004" s="1"/>
      <c r="K1004" s="1"/>
      <c r="L1004" s="1"/>
      <c r="M1004" s="1"/>
    </row>
    <row r="1005" spans="2:13" x14ac:dyDescent="0.25">
      <c r="B1005" s="1"/>
      <c r="C1005" s="1"/>
      <c r="D1005" s="1"/>
      <c r="E1005" s="1"/>
      <c r="F1005" s="1"/>
      <c r="G1005" s="1"/>
      <c r="I1005" s="1"/>
      <c r="J1005" s="1"/>
      <c r="K1005" s="1"/>
      <c r="L1005" s="1"/>
      <c r="M1005" s="1"/>
    </row>
    <row r="1006" spans="2:13" x14ac:dyDescent="0.25">
      <c r="B1006" s="1"/>
      <c r="C1006" s="1"/>
      <c r="D1006" s="1"/>
      <c r="E1006" s="1"/>
      <c r="F1006" s="1"/>
      <c r="G1006" s="1"/>
      <c r="I1006" s="1"/>
      <c r="J1006" s="1"/>
      <c r="K1006" s="1"/>
      <c r="L1006" s="1"/>
      <c r="M1006" s="1"/>
    </row>
    <row r="1007" spans="2:13" x14ac:dyDescent="0.25">
      <c r="B1007" s="1"/>
      <c r="C1007" s="1"/>
      <c r="D1007" s="1"/>
      <c r="E1007" s="1"/>
      <c r="F1007" s="1"/>
      <c r="G1007" s="1"/>
      <c r="I1007" s="1"/>
      <c r="J1007" s="1"/>
      <c r="K1007" s="1"/>
      <c r="L1007" s="1"/>
      <c r="M1007" s="1"/>
    </row>
    <row r="1008" spans="2:13" x14ac:dyDescent="0.25">
      <c r="B1008" s="1"/>
      <c r="C1008" s="1"/>
      <c r="D1008" s="1"/>
      <c r="E1008" s="1"/>
      <c r="F1008" s="1"/>
      <c r="G1008" s="1"/>
      <c r="I1008" s="1"/>
      <c r="J1008" s="1"/>
      <c r="K1008" s="1"/>
      <c r="L1008" s="1"/>
      <c r="M1008" s="1"/>
    </row>
    <row r="1009" spans="2:13" x14ac:dyDescent="0.25">
      <c r="B1009" s="1"/>
      <c r="C1009" s="1"/>
      <c r="D1009" s="1"/>
      <c r="E1009" s="1"/>
      <c r="F1009" s="1"/>
      <c r="G1009" s="1"/>
      <c r="I1009" s="1"/>
      <c r="J1009" s="1"/>
      <c r="K1009" s="1"/>
      <c r="L1009" s="1"/>
      <c r="M1009" s="1"/>
    </row>
    <row r="1010" spans="2:13" x14ac:dyDescent="0.25">
      <c r="B1010" s="1"/>
      <c r="C1010" s="1"/>
      <c r="D1010" s="1"/>
      <c r="E1010" s="1"/>
      <c r="F1010" s="1"/>
      <c r="G1010" s="1"/>
      <c r="I1010" s="1"/>
      <c r="J1010" s="1"/>
      <c r="K1010" s="1"/>
      <c r="L1010" s="1"/>
      <c r="M1010" s="1"/>
    </row>
    <row r="1011" spans="2:13" x14ac:dyDescent="0.25">
      <c r="B1011" s="1"/>
      <c r="C1011" s="1"/>
      <c r="D1011" s="1"/>
      <c r="E1011" s="1"/>
      <c r="F1011" s="1"/>
      <c r="G1011" s="1"/>
      <c r="I1011" s="1"/>
      <c r="J1011" s="1"/>
      <c r="K1011" s="1"/>
      <c r="L1011" s="1"/>
      <c r="M1011" s="1"/>
    </row>
    <row r="1012" spans="2:13" x14ac:dyDescent="0.25">
      <c r="B1012" s="1"/>
      <c r="C1012" s="1"/>
      <c r="D1012" s="1"/>
      <c r="E1012" s="1"/>
      <c r="F1012" s="1"/>
      <c r="G1012" s="1"/>
      <c r="I1012" s="1"/>
      <c r="J1012" s="1"/>
      <c r="K1012" s="1"/>
      <c r="L1012" s="1"/>
      <c r="M1012" s="1"/>
    </row>
    <row r="1013" spans="2:13" x14ac:dyDescent="0.25">
      <c r="B1013" s="1"/>
      <c r="C1013" s="1"/>
      <c r="D1013" s="1"/>
      <c r="E1013" s="1"/>
      <c r="F1013" s="1"/>
      <c r="G1013" s="1"/>
      <c r="I1013" s="1"/>
      <c r="J1013" s="1"/>
      <c r="K1013" s="1"/>
      <c r="L1013" s="1"/>
      <c r="M1013" s="1"/>
    </row>
    <row r="1014" spans="2:13" x14ac:dyDescent="0.25">
      <c r="B1014" s="1"/>
      <c r="C1014" s="1"/>
      <c r="D1014" s="1"/>
      <c r="E1014" s="1"/>
      <c r="F1014" s="1"/>
      <c r="G1014" s="1"/>
      <c r="I1014" s="1"/>
      <c r="J1014" s="1"/>
      <c r="K1014" s="1"/>
      <c r="L1014" s="1"/>
      <c r="M1014" s="1"/>
    </row>
    <row r="1015" spans="2:13" x14ac:dyDescent="0.25">
      <c r="B1015" s="1"/>
      <c r="C1015" s="1"/>
      <c r="D1015" s="1"/>
      <c r="E1015" s="1"/>
      <c r="F1015" s="1"/>
      <c r="G1015" s="1"/>
      <c r="I1015" s="1"/>
      <c r="J1015" s="1"/>
      <c r="K1015" s="1"/>
      <c r="L1015" s="1"/>
      <c r="M1015" s="1"/>
    </row>
    <row r="1016" spans="2:13" x14ac:dyDescent="0.25">
      <c r="B1016" s="1"/>
      <c r="C1016" s="1"/>
      <c r="D1016" s="1"/>
      <c r="E1016" s="1"/>
      <c r="F1016" s="1"/>
      <c r="G1016" s="1"/>
      <c r="I1016" s="1"/>
      <c r="J1016" s="1"/>
      <c r="K1016" s="1"/>
      <c r="L1016" s="1"/>
      <c r="M1016" s="1"/>
    </row>
    <row r="1017" spans="2:13" x14ac:dyDescent="0.25">
      <c r="B1017" s="1"/>
      <c r="C1017" s="1"/>
      <c r="D1017" s="1"/>
      <c r="E1017" s="1"/>
      <c r="F1017" s="1"/>
      <c r="G1017" s="1"/>
      <c r="I1017" s="1"/>
      <c r="J1017" s="1"/>
      <c r="K1017" s="1"/>
      <c r="L1017" s="1"/>
      <c r="M1017" s="1"/>
    </row>
    <row r="1018" spans="2:13" x14ac:dyDescent="0.25">
      <c r="B1018" s="1"/>
      <c r="C1018" s="1"/>
      <c r="D1018" s="1"/>
      <c r="E1018" s="1"/>
      <c r="F1018" s="1"/>
      <c r="G1018" s="1"/>
      <c r="I1018" s="1"/>
      <c r="J1018" s="1"/>
      <c r="K1018" s="1"/>
      <c r="L1018" s="1"/>
      <c r="M1018" s="1"/>
    </row>
    <row r="1019" spans="2:13" x14ac:dyDescent="0.25">
      <c r="B1019" s="1"/>
      <c r="C1019" s="1"/>
      <c r="D1019" s="1"/>
      <c r="E1019" s="1"/>
      <c r="F1019" s="1"/>
      <c r="G1019" s="1"/>
      <c r="I1019" s="1"/>
      <c r="J1019" s="1"/>
      <c r="K1019" s="1"/>
      <c r="L1019" s="1"/>
      <c r="M1019" s="1"/>
    </row>
    <row r="1020" spans="2:13" x14ac:dyDescent="0.25">
      <c r="B1020" s="1"/>
      <c r="C1020" s="1"/>
      <c r="D1020" s="1"/>
      <c r="E1020" s="1"/>
      <c r="F1020" s="1"/>
      <c r="G1020" s="1"/>
      <c r="I1020" s="1"/>
      <c r="J1020" s="1"/>
      <c r="K1020" s="1"/>
      <c r="L1020" s="1"/>
      <c r="M1020" s="1"/>
    </row>
    <row r="1021" spans="2:13" x14ac:dyDescent="0.25">
      <c r="B1021" s="1"/>
      <c r="C1021" s="1"/>
      <c r="D1021" s="1"/>
      <c r="E1021" s="1"/>
      <c r="F1021" s="1"/>
      <c r="G1021" s="1"/>
      <c r="I1021" s="1"/>
      <c r="J1021" s="1"/>
      <c r="K1021" s="1"/>
      <c r="L1021" s="1"/>
      <c r="M1021" s="1"/>
    </row>
    <row r="1022" spans="2:13" x14ac:dyDescent="0.25">
      <c r="B1022" s="1"/>
      <c r="C1022" s="1"/>
      <c r="D1022" s="1"/>
      <c r="E1022" s="1"/>
      <c r="F1022" s="1"/>
      <c r="G1022" s="1"/>
      <c r="I1022" s="1"/>
      <c r="J1022" s="1"/>
      <c r="K1022" s="1"/>
      <c r="L1022" s="1"/>
      <c r="M1022" s="1"/>
    </row>
    <row r="1023" spans="2:13" x14ac:dyDescent="0.25">
      <c r="B1023" s="1"/>
      <c r="C1023" s="1"/>
      <c r="D1023" s="1"/>
      <c r="E1023" s="1"/>
      <c r="F1023" s="1"/>
      <c r="G1023" s="1"/>
      <c r="I1023" s="1"/>
      <c r="J1023" s="1"/>
      <c r="K1023" s="1"/>
      <c r="L1023" s="1"/>
      <c r="M1023" s="1"/>
    </row>
    <row r="1024" spans="2:13" x14ac:dyDescent="0.25">
      <c r="B1024" s="1"/>
      <c r="C1024" s="1"/>
      <c r="D1024" s="1"/>
      <c r="E1024" s="1"/>
      <c r="F1024" s="1"/>
      <c r="G1024" s="1"/>
      <c r="I1024" s="1"/>
      <c r="J1024" s="1"/>
      <c r="K1024" s="1"/>
      <c r="L1024" s="1"/>
      <c r="M1024" s="1"/>
    </row>
    <row r="1025" spans="2:13" x14ac:dyDescent="0.25">
      <c r="B1025" s="1"/>
      <c r="C1025" s="1"/>
      <c r="D1025" s="1"/>
      <c r="E1025" s="1"/>
      <c r="F1025" s="1"/>
      <c r="G1025" s="1"/>
      <c r="I1025" s="1"/>
      <c r="J1025" s="1"/>
      <c r="K1025" s="1"/>
      <c r="L1025" s="1"/>
      <c r="M1025" s="1"/>
    </row>
    <row r="1026" spans="2:13" x14ac:dyDescent="0.25">
      <c r="B1026" s="1"/>
      <c r="C1026" s="1"/>
      <c r="D1026" s="1"/>
      <c r="E1026" s="1"/>
      <c r="F1026" s="1"/>
      <c r="G1026" s="1"/>
      <c r="I1026" s="1"/>
      <c r="J1026" s="1"/>
      <c r="K1026" s="1"/>
      <c r="L1026" s="1"/>
      <c r="M1026" s="1"/>
    </row>
    <row r="1027" spans="2:13" x14ac:dyDescent="0.25">
      <c r="B1027" s="1"/>
      <c r="C1027" s="1"/>
      <c r="D1027" s="1"/>
      <c r="E1027" s="1"/>
      <c r="F1027" s="1"/>
      <c r="G1027" s="1"/>
      <c r="I1027" s="1"/>
      <c r="J1027" s="1"/>
      <c r="K1027" s="1"/>
      <c r="L1027" s="1"/>
      <c r="M1027" s="1"/>
    </row>
    <row r="1028" spans="2:13" x14ac:dyDescent="0.25">
      <c r="B1028" s="1"/>
      <c r="C1028" s="1"/>
      <c r="D1028" s="1"/>
      <c r="E1028" s="1"/>
      <c r="F1028" s="1"/>
      <c r="G1028" s="1"/>
      <c r="I1028" s="1"/>
      <c r="J1028" s="1"/>
      <c r="K1028" s="1"/>
      <c r="L1028" s="1"/>
      <c r="M1028" s="1"/>
    </row>
    <row r="1029" spans="2:13" x14ac:dyDescent="0.25">
      <c r="B1029" s="1"/>
      <c r="C1029" s="1"/>
      <c r="D1029" s="1"/>
      <c r="E1029" s="1"/>
      <c r="F1029" s="1"/>
      <c r="G1029" s="1"/>
      <c r="I1029" s="1"/>
      <c r="J1029" s="1"/>
      <c r="K1029" s="1"/>
      <c r="L1029" s="1"/>
      <c r="M1029" s="1"/>
    </row>
    <row r="1030" spans="2:13" x14ac:dyDescent="0.25">
      <c r="B1030" s="1"/>
      <c r="C1030" s="1"/>
      <c r="D1030" s="1"/>
      <c r="E1030" s="1"/>
      <c r="F1030" s="1"/>
      <c r="G1030" s="1"/>
      <c r="I1030" s="1"/>
      <c r="J1030" s="1"/>
      <c r="K1030" s="1"/>
      <c r="L1030" s="1"/>
      <c r="M1030" s="1"/>
    </row>
    <row r="1031" spans="2:13" x14ac:dyDescent="0.25">
      <c r="B1031" s="1"/>
      <c r="C1031" s="1"/>
      <c r="D1031" s="1"/>
      <c r="E1031" s="1"/>
      <c r="F1031" s="1"/>
      <c r="G1031" s="1"/>
      <c r="I1031" s="1"/>
      <c r="J1031" s="1"/>
      <c r="K1031" s="1"/>
      <c r="L1031" s="1"/>
      <c r="M1031" s="1"/>
    </row>
    <row r="1032" spans="2:13" x14ac:dyDescent="0.25">
      <c r="B1032" s="1"/>
      <c r="C1032" s="1"/>
      <c r="D1032" s="1"/>
      <c r="E1032" s="1"/>
      <c r="F1032" s="1"/>
      <c r="G1032" s="1"/>
      <c r="I1032" s="1"/>
      <c r="J1032" s="1"/>
      <c r="K1032" s="1"/>
      <c r="L1032" s="1"/>
      <c r="M1032" s="1"/>
    </row>
    <row r="1033" spans="2:13" x14ac:dyDescent="0.25">
      <c r="B1033" s="1"/>
      <c r="C1033" s="1"/>
      <c r="D1033" s="1"/>
      <c r="E1033" s="1"/>
      <c r="F1033" s="1"/>
      <c r="G1033" s="1"/>
      <c r="I1033" s="1"/>
      <c r="J1033" s="1"/>
      <c r="K1033" s="1"/>
      <c r="L1033" s="1"/>
      <c r="M1033" s="1"/>
    </row>
    <row r="1034" spans="2:13" x14ac:dyDescent="0.25">
      <c r="B1034" s="1"/>
      <c r="C1034" s="1"/>
      <c r="D1034" s="1"/>
      <c r="E1034" s="1"/>
      <c r="F1034" s="1"/>
      <c r="G1034" s="1"/>
      <c r="I1034" s="1"/>
      <c r="J1034" s="1"/>
      <c r="K1034" s="1"/>
      <c r="L1034" s="1"/>
      <c r="M1034" s="1"/>
    </row>
    <row r="1035" spans="2:13" x14ac:dyDescent="0.25">
      <c r="B1035" s="1"/>
      <c r="C1035" s="1"/>
      <c r="D1035" s="1"/>
      <c r="E1035" s="1"/>
      <c r="F1035" s="1"/>
      <c r="G1035" s="1"/>
      <c r="I1035" s="1"/>
      <c r="J1035" s="1"/>
      <c r="K1035" s="1"/>
      <c r="L1035" s="1"/>
      <c r="M1035" s="1"/>
    </row>
    <row r="1036" spans="2:13" x14ac:dyDescent="0.25">
      <c r="B1036" s="1"/>
      <c r="C1036" s="1"/>
      <c r="D1036" s="1"/>
      <c r="E1036" s="1"/>
      <c r="F1036" s="1"/>
      <c r="G1036" s="1"/>
      <c r="I1036" s="1"/>
      <c r="J1036" s="1"/>
      <c r="K1036" s="1"/>
      <c r="L1036" s="1"/>
      <c r="M1036" s="1"/>
    </row>
    <row r="1037" spans="2:13" x14ac:dyDescent="0.25">
      <c r="B1037" s="1"/>
      <c r="C1037" s="1"/>
      <c r="D1037" s="1"/>
      <c r="E1037" s="1"/>
      <c r="F1037" s="1"/>
      <c r="G1037" s="1"/>
      <c r="I1037" s="1"/>
      <c r="J1037" s="1"/>
      <c r="K1037" s="1"/>
      <c r="L1037" s="1"/>
      <c r="M1037" s="1"/>
    </row>
    <row r="1038" spans="2:13" x14ac:dyDescent="0.25">
      <c r="B1038" s="1"/>
      <c r="C1038" s="1"/>
      <c r="D1038" s="1"/>
      <c r="E1038" s="1"/>
      <c r="F1038" s="1"/>
      <c r="G1038" s="1"/>
      <c r="I1038" s="1"/>
      <c r="J1038" s="1"/>
      <c r="K1038" s="1"/>
      <c r="L1038" s="1"/>
      <c r="M1038" s="1"/>
    </row>
    <row r="1039" spans="2:13" x14ac:dyDescent="0.25">
      <c r="B1039" s="1"/>
      <c r="C1039" s="1"/>
      <c r="D1039" s="1"/>
      <c r="E1039" s="1"/>
      <c r="F1039" s="1"/>
      <c r="G1039" s="1"/>
      <c r="I1039" s="1"/>
      <c r="J1039" s="1"/>
      <c r="K1039" s="1"/>
      <c r="L1039" s="1"/>
      <c r="M1039" s="1"/>
    </row>
    <row r="1040" spans="2:13" x14ac:dyDescent="0.25">
      <c r="B1040" s="1"/>
      <c r="C1040" s="1"/>
      <c r="D1040" s="1"/>
      <c r="E1040" s="1"/>
      <c r="F1040" s="1"/>
      <c r="G1040" s="1"/>
      <c r="I1040" s="1"/>
      <c r="J1040" s="1"/>
      <c r="K1040" s="1"/>
      <c r="L1040" s="1"/>
      <c r="M1040" s="1"/>
    </row>
    <row r="1041" spans="2:17" x14ac:dyDescent="0.25">
      <c r="B1041" s="1"/>
      <c r="C1041" s="1"/>
      <c r="D1041" s="1"/>
      <c r="E1041" s="1"/>
      <c r="F1041" s="1"/>
      <c r="G1041" s="1"/>
      <c r="I1041" s="1"/>
      <c r="J1041" s="1"/>
      <c r="K1041" s="1"/>
      <c r="L1041" s="1"/>
      <c r="M1041" s="1"/>
    </row>
    <row r="1042" spans="2:17" x14ac:dyDescent="0.25">
      <c r="B1042" s="1"/>
      <c r="C1042" s="1"/>
      <c r="D1042" s="1"/>
      <c r="E1042" s="1"/>
      <c r="F1042" s="1"/>
      <c r="G1042" s="1"/>
      <c r="I1042" s="1"/>
      <c r="J1042" s="1"/>
      <c r="K1042" s="1"/>
      <c r="L1042" s="1"/>
      <c r="M1042" s="1"/>
    </row>
    <row r="1043" spans="2:17" x14ac:dyDescent="0.25">
      <c r="B1043" s="1"/>
      <c r="C1043" s="1"/>
      <c r="D1043" s="1"/>
      <c r="E1043" s="1"/>
      <c r="F1043" s="1"/>
      <c r="G1043" s="1"/>
      <c r="I1043" s="1"/>
      <c r="J1043" s="1"/>
      <c r="K1043" s="1"/>
      <c r="L1043" s="1"/>
      <c r="M1043" s="1"/>
    </row>
    <row r="1044" spans="2:17" x14ac:dyDescent="0.25">
      <c r="B1044" s="1"/>
      <c r="C1044" s="1"/>
      <c r="D1044" s="1"/>
      <c r="E1044" s="1"/>
      <c r="F1044" s="1"/>
      <c r="G1044" s="1"/>
      <c r="I1044" s="1"/>
      <c r="J1044" s="1"/>
      <c r="K1044" s="1"/>
      <c r="L1044" s="1"/>
      <c r="M1044" s="1"/>
    </row>
    <row r="1045" spans="2:17" x14ac:dyDescent="0.25">
      <c r="B1045" s="1"/>
      <c r="C1045" s="1"/>
      <c r="D1045" s="1"/>
      <c r="E1045" s="1"/>
      <c r="F1045" s="1"/>
      <c r="G1045" s="1"/>
      <c r="I1045" s="1"/>
      <c r="J1045" s="1"/>
      <c r="K1045" s="1"/>
      <c r="L1045" s="1"/>
      <c r="M1045" s="1"/>
    </row>
    <row r="1046" spans="2:17" x14ac:dyDescent="0.25">
      <c r="B1046" s="1"/>
      <c r="C1046" s="1"/>
      <c r="D1046" s="1"/>
      <c r="E1046" s="1"/>
      <c r="F1046" s="1"/>
      <c r="G1046" s="1"/>
      <c r="I1046" s="1"/>
      <c r="J1046" s="1"/>
      <c r="K1046" s="1"/>
      <c r="L1046" s="1"/>
      <c r="M1046" s="1"/>
    </row>
    <row r="1047" spans="2:17" x14ac:dyDescent="0.25">
      <c r="B1047" s="1"/>
      <c r="C1047" s="1"/>
      <c r="D1047" s="1"/>
      <c r="E1047" s="1"/>
      <c r="F1047" s="1"/>
      <c r="G1047" s="1"/>
      <c r="I1047" s="1"/>
      <c r="J1047" s="1"/>
      <c r="K1047" s="1"/>
      <c r="L1047" s="1"/>
      <c r="M1047" s="1"/>
    </row>
    <row r="1048" spans="2:17" x14ac:dyDescent="0.25">
      <c r="B1048" s="1"/>
      <c r="C1048" s="1"/>
      <c r="D1048" s="1"/>
      <c r="E1048" s="1"/>
      <c r="F1048" s="1"/>
      <c r="G1048" s="1"/>
      <c r="I1048" s="1"/>
      <c r="J1048" s="1"/>
      <c r="K1048" s="1"/>
      <c r="L1048" s="1"/>
      <c r="M1048" s="1"/>
    </row>
    <row r="1049" spans="2:17" x14ac:dyDescent="0.25">
      <c r="B1049" s="1"/>
      <c r="C1049" s="1"/>
      <c r="D1049" s="1"/>
      <c r="E1049" s="1"/>
      <c r="F1049" s="1"/>
      <c r="G1049" s="1"/>
      <c r="I1049" s="1"/>
      <c r="J1049" s="1"/>
      <c r="K1049" s="1"/>
      <c r="L1049" s="1"/>
      <c r="M1049" s="1"/>
    </row>
    <row r="1050" spans="2:17" x14ac:dyDescent="0.25">
      <c r="B1050" s="1"/>
      <c r="C1050" s="1"/>
      <c r="D1050" s="1"/>
      <c r="E1050" s="1"/>
      <c r="F1050" s="1"/>
      <c r="G1050" s="1"/>
      <c r="I1050" s="1"/>
      <c r="J1050" s="1"/>
      <c r="K1050" s="1"/>
      <c r="L1050" s="1"/>
      <c r="M1050" s="1"/>
    </row>
    <row r="1051" spans="2:17" x14ac:dyDescent="0.25">
      <c r="B1051" s="1"/>
      <c r="C1051" s="1"/>
      <c r="D1051" s="1"/>
      <c r="E1051" s="1"/>
      <c r="F1051" s="1"/>
      <c r="G1051" s="1"/>
      <c r="I1051" s="1"/>
      <c r="J1051" s="1"/>
      <c r="K1051" s="1"/>
      <c r="L1051" s="1"/>
      <c r="M1051" s="1"/>
    </row>
    <row r="1052" spans="2:17" x14ac:dyDescent="0.25">
      <c r="B1052" s="1"/>
      <c r="C1052" s="1"/>
      <c r="D1052" s="1"/>
      <c r="E1052" s="1"/>
      <c r="F1052" s="1"/>
      <c r="G1052" s="1"/>
      <c r="I1052" s="1"/>
      <c r="J1052" s="1"/>
      <c r="K1052" s="1"/>
      <c r="L1052" s="1"/>
      <c r="M1052" s="1"/>
    </row>
    <row r="1053" spans="2:17" x14ac:dyDescent="0.25">
      <c r="B1053" s="1"/>
      <c r="C1053" s="1"/>
      <c r="D1053" s="1"/>
      <c r="E1053" s="1"/>
      <c r="F1053" s="1"/>
      <c r="G1053" s="1"/>
      <c r="I1053" s="1"/>
      <c r="J1053" s="1"/>
      <c r="K1053" s="1"/>
      <c r="L1053" s="1"/>
      <c r="M1053" s="1"/>
    </row>
    <row r="1054" spans="2:17" x14ac:dyDescent="0.25">
      <c r="B1054" s="1"/>
      <c r="C1054" s="1"/>
      <c r="D1054" s="1"/>
      <c r="E1054" s="1"/>
      <c r="F1054" s="1"/>
      <c r="G1054" s="1"/>
      <c r="I1054" s="1"/>
      <c r="J1054" s="1"/>
      <c r="K1054" s="1"/>
      <c r="L1054" s="1"/>
      <c r="M1054" s="1"/>
      <c r="Q1054" s="1"/>
    </row>
    <row r="1055" spans="2:17" x14ac:dyDescent="0.25">
      <c r="B1055" s="1"/>
      <c r="C1055" s="1"/>
      <c r="D1055" s="1"/>
      <c r="E1055" s="1"/>
      <c r="F1055" s="1"/>
      <c r="G1055" s="1"/>
      <c r="I1055" s="1"/>
      <c r="J1055" s="1"/>
      <c r="K1055" s="1"/>
      <c r="L1055" s="1"/>
      <c r="M1055" s="1"/>
      <c r="Q1055" s="1"/>
    </row>
    <row r="1056" spans="2:17" x14ac:dyDescent="0.25">
      <c r="B1056" s="1"/>
      <c r="C1056" s="1"/>
      <c r="D1056" s="1"/>
      <c r="E1056" s="1"/>
      <c r="F1056" s="1"/>
      <c r="G1056" s="1"/>
      <c r="I1056" s="1"/>
      <c r="J1056" s="1"/>
      <c r="K1056" s="1"/>
      <c r="L1056" s="1"/>
      <c r="M1056" s="1"/>
      <c r="Q1056" s="1"/>
    </row>
    <row r="1057" spans="2:17" x14ac:dyDescent="0.25">
      <c r="B1057" s="1"/>
      <c r="C1057" s="1"/>
      <c r="D1057" s="1"/>
      <c r="E1057" s="1"/>
      <c r="F1057" s="1"/>
      <c r="G1057" s="1"/>
      <c r="I1057" s="1"/>
      <c r="J1057" s="1"/>
      <c r="K1057" s="1"/>
      <c r="L1057" s="1"/>
      <c r="M1057" s="1"/>
      <c r="Q1057" s="1"/>
    </row>
    <row r="1058" spans="2:17" x14ac:dyDescent="0.25">
      <c r="B1058" s="1"/>
      <c r="C1058" s="1"/>
      <c r="D1058" s="1"/>
      <c r="E1058" s="1"/>
      <c r="F1058" s="1"/>
      <c r="G1058" s="1"/>
      <c r="I1058" s="1"/>
      <c r="J1058" s="1"/>
      <c r="K1058" s="1"/>
      <c r="L1058" s="1"/>
      <c r="M1058" s="1"/>
      <c r="Q1058" s="1"/>
    </row>
    <row r="1059" spans="2:17" x14ac:dyDescent="0.25">
      <c r="B1059" s="1"/>
      <c r="C1059" s="1"/>
      <c r="D1059" s="1"/>
      <c r="E1059" s="1"/>
      <c r="F1059" s="1"/>
      <c r="G1059" s="1"/>
      <c r="I1059" s="1"/>
      <c r="J1059" s="1"/>
      <c r="K1059" s="1"/>
      <c r="L1059" s="1"/>
      <c r="M1059" s="1"/>
      <c r="Q1059" s="1"/>
    </row>
    <row r="1060" spans="2:17" x14ac:dyDescent="0.25">
      <c r="B1060" s="1"/>
      <c r="C1060" s="1"/>
      <c r="D1060" s="1"/>
      <c r="E1060" s="1"/>
      <c r="F1060" s="1"/>
      <c r="G1060" s="1"/>
      <c r="I1060" s="1"/>
      <c r="J1060" s="1"/>
      <c r="K1060" s="1"/>
      <c r="L1060" s="1"/>
      <c r="M1060" s="1"/>
      <c r="Q1060" s="1"/>
    </row>
    <row r="1061" spans="2:17" x14ac:dyDescent="0.25">
      <c r="B1061" s="1"/>
      <c r="C1061" s="1"/>
      <c r="D1061" s="1"/>
      <c r="E1061" s="1"/>
      <c r="F1061" s="1"/>
      <c r="G1061" s="1"/>
      <c r="I1061" s="1"/>
      <c r="J1061" s="1"/>
      <c r="K1061" s="1"/>
      <c r="L1061" s="1"/>
      <c r="M1061" s="1"/>
      <c r="Q1061" s="1"/>
    </row>
    <row r="1062" spans="2:17" x14ac:dyDescent="0.25">
      <c r="B1062" s="1"/>
      <c r="C1062" s="1"/>
      <c r="D1062" s="1"/>
      <c r="E1062" s="1"/>
      <c r="F1062" s="1"/>
      <c r="G1062" s="1"/>
      <c r="I1062" s="1"/>
      <c r="J1062" s="1"/>
      <c r="K1062" s="1"/>
      <c r="L1062" s="1"/>
      <c r="M1062" s="1"/>
      <c r="Q1062" s="1"/>
    </row>
    <row r="1063" spans="2:17" x14ac:dyDescent="0.25">
      <c r="B1063" s="1"/>
      <c r="C1063" s="1"/>
      <c r="D1063" s="1"/>
      <c r="E1063" s="1"/>
      <c r="F1063" s="1"/>
      <c r="G1063" s="1"/>
      <c r="I1063" s="1"/>
      <c r="J1063" s="1"/>
      <c r="K1063" s="1"/>
      <c r="L1063" s="1"/>
      <c r="M1063" s="1"/>
      <c r="Q1063" s="1"/>
    </row>
    <row r="1064" spans="2:17" x14ac:dyDescent="0.25">
      <c r="B1064" s="1"/>
      <c r="C1064" s="1"/>
      <c r="D1064" s="1"/>
      <c r="E1064" s="1"/>
      <c r="F1064" s="1"/>
      <c r="G1064" s="1"/>
      <c r="I1064" s="1"/>
      <c r="J1064" s="1"/>
      <c r="K1064" s="1"/>
      <c r="L1064" s="1"/>
      <c r="M1064" s="1"/>
      <c r="Q1064" s="1"/>
    </row>
    <row r="1065" spans="2:17" x14ac:dyDescent="0.25">
      <c r="B1065" s="1"/>
      <c r="C1065" s="1"/>
      <c r="D1065" s="1"/>
      <c r="E1065" s="1"/>
      <c r="F1065" s="1"/>
      <c r="G1065" s="1"/>
      <c r="I1065" s="1"/>
      <c r="J1065" s="1"/>
      <c r="K1065" s="1"/>
      <c r="L1065" s="1"/>
      <c r="M1065" s="1"/>
      <c r="Q1065" s="1"/>
    </row>
    <row r="1066" spans="2:17" x14ac:dyDescent="0.25">
      <c r="B1066" s="1"/>
      <c r="C1066" s="1"/>
      <c r="D1066" s="1"/>
      <c r="E1066" s="1"/>
      <c r="F1066" s="1"/>
      <c r="G1066" s="1"/>
      <c r="I1066" s="1"/>
      <c r="J1066" s="1"/>
      <c r="K1066" s="1"/>
      <c r="L1066" s="1"/>
      <c r="M1066" s="1"/>
      <c r="Q1066" s="1"/>
    </row>
    <row r="1067" spans="2:17" x14ac:dyDescent="0.25">
      <c r="B1067" s="1"/>
      <c r="C1067" s="1"/>
      <c r="D1067" s="1"/>
      <c r="E1067" s="1"/>
      <c r="F1067" s="1"/>
      <c r="G1067" s="1"/>
      <c r="I1067" s="1"/>
      <c r="J1067" s="1"/>
      <c r="K1067" s="1"/>
      <c r="L1067" s="1"/>
      <c r="M1067" s="1"/>
      <c r="Q1067" s="1"/>
    </row>
    <row r="1068" spans="2:17" x14ac:dyDescent="0.25">
      <c r="B1068" s="1"/>
      <c r="C1068" s="1"/>
      <c r="D1068" s="1"/>
      <c r="E1068" s="1"/>
      <c r="F1068" s="1"/>
      <c r="G1068" s="1"/>
      <c r="I1068" s="1"/>
      <c r="J1068" s="1"/>
      <c r="K1068" s="1"/>
      <c r="L1068" s="1"/>
      <c r="M1068" s="1"/>
      <c r="Q1068" s="1"/>
    </row>
    <row r="1069" spans="2:17" x14ac:dyDescent="0.25">
      <c r="B1069" s="1"/>
      <c r="C1069" s="1"/>
      <c r="D1069" s="1"/>
      <c r="E1069" s="1"/>
      <c r="F1069" s="1"/>
      <c r="G1069" s="1"/>
      <c r="I1069" s="1"/>
      <c r="J1069" s="1"/>
      <c r="K1069" s="1"/>
      <c r="L1069" s="1"/>
      <c r="M1069" s="1"/>
      <c r="Q1069" s="1"/>
    </row>
    <row r="1070" spans="2:17" x14ac:dyDescent="0.25">
      <c r="B1070" s="1"/>
      <c r="C1070" s="1"/>
      <c r="D1070" s="1"/>
      <c r="E1070" s="1"/>
      <c r="F1070" s="1"/>
      <c r="G1070" s="1"/>
      <c r="I1070" s="1"/>
      <c r="J1070" s="1"/>
      <c r="K1070" s="1"/>
      <c r="L1070" s="1"/>
      <c r="M1070" s="1"/>
      <c r="Q1070" s="1"/>
    </row>
    <row r="1071" spans="2:17" x14ac:dyDescent="0.25">
      <c r="B1071" s="1"/>
      <c r="C1071" s="1"/>
      <c r="D1071" s="1"/>
      <c r="E1071" s="1"/>
      <c r="F1071" s="1"/>
      <c r="G1071" s="1"/>
      <c r="I1071" s="1"/>
      <c r="J1071" s="1"/>
      <c r="K1071" s="1"/>
      <c r="L1071" s="1"/>
      <c r="M1071" s="1"/>
      <c r="Q1071" s="1"/>
    </row>
    <row r="1072" spans="2:17" x14ac:dyDescent="0.25">
      <c r="B1072" s="1"/>
      <c r="C1072" s="1"/>
      <c r="D1072" s="1"/>
      <c r="E1072" s="1"/>
      <c r="F1072" s="1"/>
      <c r="G1072" s="1"/>
      <c r="I1072" s="1"/>
      <c r="J1072" s="1"/>
      <c r="K1072" s="1"/>
      <c r="L1072" s="1"/>
      <c r="M1072" s="1"/>
      <c r="Q1072" s="1"/>
    </row>
    <row r="1073" spans="2:17" x14ac:dyDescent="0.25">
      <c r="B1073" s="1"/>
      <c r="C1073" s="1"/>
      <c r="D1073" s="1"/>
      <c r="E1073" s="1"/>
      <c r="F1073" s="1"/>
      <c r="G1073" s="1"/>
      <c r="I1073" s="1"/>
      <c r="J1073" s="1"/>
      <c r="K1073" s="1"/>
      <c r="L1073" s="1"/>
      <c r="M1073" s="1"/>
      <c r="Q1073" s="1"/>
    </row>
    <row r="1074" spans="2:17" x14ac:dyDescent="0.25">
      <c r="B1074" s="1"/>
      <c r="C1074" s="1"/>
      <c r="D1074" s="1"/>
      <c r="E1074" s="1"/>
      <c r="F1074" s="1"/>
      <c r="G1074" s="1"/>
      <c r="I1074" s="1"/>
      <c r="J1074" s="1"/>
      <c r="K1074" s="1"/>
      <c r="L1074" s="1"/>
      <c r="M1074" s="1"/>
      <c r="Q1074" s="1"/>
    </row>
    <row r="1075" spans="2:17" x14ac:dyDescent="0.25">
      <c r="B1075" s="1"/>
      <c r="C1075" s="1"/>
      <c r="D1075" s="1"/>
      <c r="E1075" s="1"/>
      <c r="F1075" s="1"/>
      <c r="G1075" s="1"/>
      <c r="I1075" s="1"/>
      <c r="J1075" s="1"/>
      <c r="K1075" s="1"/>
      <c r="L1075" s="1"/>
      <c r="M1075" s="1"/>
      <c r="Q1075" s="1"/>
    </row>
    <row r="1076" spans="2:17" x14ac:dyDescent="0.25">
      <c r="B1076" s="1"/>
      <c r="C1076" s="1"/>
      <c r="D1076" s="1"/>
      <c r="E1076" s="1"/>
      <c r="F1076" s="1"/>
      <c r="G1076" s="1"/>
      <c r="I1076" s="1"/>
      <c r="J1076" s="1"/>
      <c r="K1076" s="1"/>
      <c r="L1076" s="1"/>
      <c r="M1076" s="1"/>
      <c r="Q1076" s="1"/>
    </row>
    <row r="1077" spans="2:17" x14ac:dyDescent="0.25">
      <c r="B1077" s="1"/>
      <c r="C1077" s="1"/>
      <c r="D1077" s="1"/>
      <c r="E1077" s="1"/>
      <c r="F1077" s="1"/>
      <c r="G1077" s="1"/>
      <c r="I1077" s="1"/>
      <c r="J1077" s="1"/>
      <c r="K1077" s="1"/>
      <c r="L1077" s="1"/>
      <c r="M1077" s="1"/>
      <c r="Q1077" s="1"/>
    </row>
    <row r="1078" spans="2:17" x14ac:dyDescent="0.25">
      <c r="B1078" s="1"/>
      <c r="C1078" s="1"/>
      <c r="D1078" s="1"/>
      <c r="E1078" s="1"/>
      <c r="F1078" s="1"/>
      <c r="G1078" s="1"/>
      <c r="I1078" s="1"/>
      <c r="J1078" s="1"/>
      <c r="K1078" s="1"/>
      <c r="L1078" s="1"/>
      <c r="M1078" s="1"/>
      <c r="Q1078" s="1"/>
    </row>
    <row r="1079" spans="2:17" x14ac:dyDescent="0.25">
      <c r="B1079" s="1"/>
      <c r="C1079" s="1"/>
      <c r="D1079" s="1"/>
      <c r="E1079" s="1"/>
      <c r="F1079" s="1"/>
      <c r="G1079" s="1"/>
      <c r="I1079" s="1"/>
      <c r="J1079" s="1"/>
      <c r="K1079" s="1"/>
      <c r="L1079" s="1"/>
      <c r="M1079" s="1"/>
      <c r="Q1079" s="1"/>
    </row>
    <row r="1080" spans="2:17" x14ac:dyDescent="0.25">
      <c r="B1080" s="1"/>
      <c r="C1080" s="1"/>
      <c r="D1080" s="1"/>
      <c r="E1080" s="1"/>
      <c r="F1080" s="1"/>
      <c r="G1080" s="1"/>
      <c r="I1080" s="1"/>
      <c r="J1080" s="1"/>
      <c r="K1080" s="1"/>
      <c r="L1080" s="1"/>
      <c r="M1080" s="1"/>
      <c r="Q1080" s="1"/>
    </row>
    <row r="1081" spans="2:17" x14ac:dyDescent="0.25">
      <c r="B1081" s="1"/>
      <c r="C1081" s="1"/>
      <c r="D1081" s="1"/>
      <c r="E1081" s="1"/>
      <c r="F1081" s="1"/>
      <c r="G1081" s="1"/>
      <c r="I1081" s="1"/>
      <c r="J1081" s="1"/>
      <c r="K1081" s="1"/>
      <c r="L1081" s="1"/>
      <c r="M1081" s="1"/>
      <c r="Q1081" s="1"/>
    </row>
    <row r="1082" spans="2:17" x14ac:dyDescent="0.25">
      <c r="B1082" s="1"/>
      <c r="C1082" s="1"/>
      <c r="D1082" s="1"/>
      <c r="E1082" s="1"/>
      <c r="F1082" s="1"/>
      <c r="G1082" s="1"/>
      <c r="I1082" s="1"/>
      <c r="J1082" s="1"/>
      <c r="K1082" s="1"/>
      <c r="L1082" s="1"/>
      <c r="M1082" s="1"/>
      <c r="Q1082" s="1"/>
    </row>
    <row r="1083" spans="2:17" x14ac:dyDescent="0.25">
      <c r="B1083" s="1"/>
      <c r="C1083" s="1"/>
      <c r="D1083" s="1"/>
      <c r="E1083" s="1"/>
      <c r="F1083" s="1"/>
      <c r="G1083" s="1"/>
      <c r="I1083" s="1"/>
      <c r="J1083" s="1"/>
      <c r="K1083" s="1"/>
      <c r="L1083" s="1"/>
      <c r="M1083" s="1"/>
      <c r="Q1083" s="1"/>
    </row>
    <row r="1084" spans="2:17" x14ac:dyDescent="0.25">
      <c r="B1084" s="1"/>
      <c r="C1084" s="1"/>
      <c r="D1084" s="1"/>
      <c r="E1084" s="1"/>
      <c r="F1084" s="1"/>
      <c r="G1084" s="1"/>
      <c r="I1084" s="1"/>
      <c r="J1084" s="1"/>
      <c r="K1084" s="1"/>
      <c r="L1084" s="1"/>
      <c r="M1084" s="1"/>
      <c r="Q1084" s="1"/>
    </row>
    <row r="1085" spans="2:17" x14ac:dyDescent="0.25">
      <c r="B1085" s="1"/>
      <c r="C1085" s="1"/>
      <c r="D1085" s="1"/>
      <c r="E1085" s="1"/>
      <c r="F1085" s="1"/>
      <c r="G1085" s="1"/>
      <c r="I1085" s="1"/>
      <c r="J1085" s="1"/>
      <c r="K1085" s="1"/>
      <c r="L1085" s="1"/>
      <c r="M1085" s="1"/>
      <c r="Q1085" s="1"/>
    </row>
    <row r="1086" spans="2:17" x14ac:dyDescent="0.25">
      <c r="B1086" s="1"/>
      <c r="C1086" s="1"/>
      <c r="D1086" s="1"/>
      <c r="E1086" s="1"/>
      <c r="F1086" s="1"/>
      <c r="G1086" s="1"/>
      <c r="I1086" s="1"/>
      <c r="J1086" s="1"/>
      <c r="K1086" s="1"/>
      <c r="L1086" s="1"/>
      <c r="M1086" s="1"/>
      <c r="Q1086" s="1"/>
    </row>
    <row r="1087" spans="2:17" x14ac:dyDescent="0.25">
      <c r="B1087" s="1"/>
      <c r="C1087" s="1"/>
      <c r="D1087" s="1"/>
      <c r="E1087" s="1"/>
      <c r="F1087" s="1"/>
      <c r="G1087" s="1"/>
      <c r="I1087" s="1"/>
      <c r="J1087" s="1"/>
      <c r="K1087" s="1"/>
      <c r="L1087" s="1"/>
      <c r="M1087" s="1"/>
      <c r="Q1087" s="1"/>
    </row>
    <row r="1088" spans="2:17" x14ac:dyDescent="0.25">
      <c r="B1088" s="1"/>
      <c r="C1088" s="1"/>
      <c r="D1088" s="1"/>
      <c r="E1088" s="1"/>
      <c r="F1088" s="1"/>
      <c r="G1088" s="1"/>
      <c r="I1088" s="1"/>
      <c r="J1088" s="1"/>
      <c r="K1088" s="1"/>
      <c r="L1088" s="1"/>
      <c r="M1088" s="1"/>
      <c r="Q1088" s="1"/>
    </row>
    <row r="1089" spans="2:17" x14ac:dyDescent="0.25">
      <c r="B1089" s="1"/>
      <c r="C1089" s="1"/>
      <c r="D1089" s="1"/>
      <c r="E1089" s="1"/>
      <c r="F1089" s="1"/>
      <c r="G1089" s="1"/>
      <c r="I1089" s="1"/>
      <c r="J1089" s="1"/>
      <c r="K1089" s="1"/>
      <c r="L1089" s="1"/>
      <c r="M1089" s="1"/>
      <c r="Q1089" s="1"/>
    </row>
    <row r="1090" spans="2:17" x14ac:dyDescent="0.25">
      <c r="B1090" s="1"/>
      <c r="C1090" s="1"/>
      <c r="D1090" s="1"/>
      <c r="E1090" s="1"/>
      <c r="F1090" s="1"/>
      <c r="G1090" s="1"/>
      <c r="I1090" s="1"/>
      <c r="J1090" s="1"/>
      <c r="K1090" s="1"/>
      <c r="L1090" s="1"/>
      <c r="M1090" s="1"/>
      <c r="Q1090" s="1"/>
    </row>
    <row r="1091" spans="2:17" x14ac:dyDescent="0.25">
      <c r="B1091" s="1"/>
      <c r="C1091" s="1"/>
      <c r="D1091" s="1"/>
      <c r="E1091" s="1"/>
      <c r="F1091" s="1"/>
      <c r="G1091" s="1"/>
      <c r="I1091" s="1"/>
      <c r="J1091" s="1"/>
      <c r="K1091" s="1"/>
      <c r="L1091" s="1"/>
      <c r="M1091" s="1"/>
      <c r="Q1091" s="1"/>
    </row>
    <row r="1092" spans="2:17" x14ac:dyDescent="0.25">
      <c r="B1092" s="1"/>
      <c r="C1092" s="1"/>
      <c r="D1092" s="1"/>
      <c r="E1092" s="1"/>
      <c r="F1092" s="1"/>
      <c r="G1092" s="1"/>
      <c r="I1092" s="1"/>
      <c r="J1092" s="1"/>
      <c r="K1092" s="1"/>
      <c r="L1092" s="1"/>
      <c r="M1092" s="1"/>
      <c r="Q1092" s="1"/>
    </row>
    <row r="1093" spans="2:17" x14ac:dyDescent="0.25">
      <c r="B1093" s="1"/>
      <c r="C1093" s="1"/>
      <c r="D1093" s="1"/>
      <c r="E1093" s="1"/>
      <c r="F1093" s="1"/>
      <c r="G1093" s="1"/>
      <c r="I1093" s="1"/>
      <c r="J1093" s="1"/>
      <c r="K1093" s="1"/>
      <c r="L1093" s="1"/>
      <c r="M1093" s="1"/>
      <c r="Q1093" s="1"/>
    </row>
    <row r="1094" spans="2:17" x14ac:dyDescent="0.25">
      <c r="B1094" s="1"/>
      <c r="C1094" s="1"/>
      <c r="D1094" s="1"/>
      <c r="E1094" s="1"/>
      <c r="F1094" s="1"/>
      <c r="G1094" s="1"/>
      <c r="I1094" s="1"/>
      <c r="J1094" s="1"/>
      <c r="K1094" s="1"/>
      <c r="L1094" s="1"/>
      <c r="M1094" s="1"/>
      <c r="Q1094" s="1"/>
    </row>
    <row r="1095" spans="2:17" x14ac:dyDescent="0.25">
      <c r="B1095" s="1"/>
      <c r="C1095" s="1"/>
      <c r="D1095" s="1"/>
      <c r="E1095" s="1"/>
      <c r="F1095" s="1"/>
      <c r="G1095" s="1"/>
      <c r="I1095" s="1"/>
      <c r="J1095" s="1"/>
      <c r="K1095" s="1"/>
      <c r="L1095" s="1"/>
      <c r="M1095" s="1"/>
      <c r="Q1095" s="1"/>
    </row>
    <row r="1096" spans="2:17" x14ac:dyDescent="0.25">
      <c r="B1096" s="1"/>
      <c r="C1096" s="1"/>
      <c r="D1096" s="1"/>
      <c r="E1096" s="1"/>
      <c r="F1096" s="1"/>
      <c r="G1096" s="1"/>
      <c r="I1096" s="1"/>
      <c r="J1096" s="1"/>
      <c r="K1096" s="1"/>
      <c r="L1096" s="1"/>
      <c r="M1096" s="1"/>
      <c r="Q1096" s="1"/>
    </row>
    <row r="1097" spans="2:17" x14ac:dyDescent="0.25">
      <c r="B1097" s="1"/>
      <c r="C1097" s="1"/>
      <c r="D1097" s="1"/>
      <c r="E1097" s="1"/>
      <c r="F1097" s="1"/>
      <c r="G1097" s="1"/>
      <c r="I1097" s="1"/>
      <c r="J1097" s="1"/>
      <c r="K1097" s="1"/>
      <c r="L1097" s="1"/>
      <c r="M1097" s="1"/>
      <c r="Q1097" s="1"/>
    </row>
    <row r="1098" spans="2:17" x14ac:dyDescent="0.25">
      <c r="B1098" s="1"/>
      <c r="C1098" s="1"/>
      <c r="D1098" s="1"/>
      <c r="E1098" s="1"/>
      <c r="F1098" s="1"/>
      <c r="G1098" s="1"/>
      <c r="I1098" s="1"/>
      <c r="J1098" s="1"/>
      <c r="K1098" s="1"/>
      <c r="L1098" s="1"/>
      <c r="M1098" s="1"/>
      <c r="Q1098" s="1"/>
    </row>
    <row r="1099" spans="2:17" x14ac:dyDescent="0.25">
      <c r="B1099" s="1"/>
      <c r="C1099" s="1"/>
      <c r="D1099" s="1"/>
      <c r="E1099" s="1"/>
      <c r="F1099" s="1"/>
      <c r="G1099" s="1"/>
      <c r="I1099" s="1"/>
      <c r="J1099" s="1"/>
      <c r="K1099" s="1"/>
      <c r="L1099" s="1"/>
      <c r="M1099" s="1"/>
      <c r="Q1099" s="1"/>
    </row>
    <row r="1100" spans="2:17" x14ac:dyDescent="0.25">
      <c r="B1100" s="1"/>
      <c r="C1100" s="1"/>
      <c r="D1100" s="1"/>
      <c r="E1100" s="1"/>
      <c r="F1100" s="1"/>
      <c r="G1100" s="1"/>
      <c r="I1100" s="1"/>
      <c r="J1100" s="1"/>
      <c r="K1100" s="1"/>
      <c r="L1100" s="1"/>
      <c r="M1100" s="1"/>
      <c r="Q1100" s="1"/>
    </row>
    <row r="1101" spans="2:17" x14ac:dyDescent="0.25">
      <c r="B1101" s="1"/>
      <c r="C1101" s="1"/>
      <c r="D1101" s="1"/>
      <c r="E1101" s="1"/>
      <c r="F1101" s="1"/>
      <c r="G1101" s="1"/>
      <c r="I1101" s="1"/>
      <c r="J1101" s="1"/>
      <c r="K1101" s="1"/>
      <c r="L1101" s="1"/>
      <c r="M1101" s="1"/>
      <c r="Q1101" s="1"/>
    </row>
    <row r="1102" spans="2:17" x14ac:dyDescent="0.25">
      <c r="B1102" s="1"/>
      <c r="C1102" s="1"/>
      <c r="D1102" s="1"/>
      <c r="E1102" s="1"/>
      <c r="F1102" s="1"/>
      <c r="G1102" s="1"/>
      <c r="I1102" s="1"/>
      <c r="J1102" s="1"/>
      <c r="K1102" s="1"/>
      <c r="L1102" s="1"/>
      <c r="M1102" s="1"/>
      <c r="Q1102" s="1"/>
    </row>
    <row r="1103" spans="2:17" x14ac:dyDescent="0.25">
      <c r="B1103" s="1"/>
      <c r="C1103" s="1"/>
      <c r="D1103" s="1"/>
      <c r="E1103" s="1"/>
      <c r="F1103" s="1"/>
      <c r="G1103" s="1"/>
      <c r="I1103" s="1"/>
      <c r="J1103" s="1"/>
      <c r="K1103" s="1"/>
      <c r="L1103" s="1"/>
      <c r="M1103" s="1"/>
      <c r="Q1103" s="1"/>
    </row>
    <row r="1104" spans="2:17" x14ac:dyDescent="0.25">
      <c r="B1104" s="1"/>
      <c r="C1104" s="1"/>
      <c r="D1104" s="1"/>
      <c r="E1104" s="1"/>
      <c r="F1104" s="1"/>
      <c r="G1104" s="1"/>
      <c r="I1104" s="1"/>
      <c r="J1104" s="1"/>
      <c r="K1104" s="1"/>
      <c r="L1104" s="1"/>
      <c r="M1104" s="1"/>
      <c r="Q1104" s="1"/>
    </row>
    <row r="1105" spans="2:17" x14ac:dyDescent="0.25">
      <c r="B1105" s="1"/>
      <c r="C1105" s="1"/>
      <c r="D1105" s="1"/>
      <c r="E1105" s="1"/>
      <c r="F1105" s="1"/>
      <c r="G1105" s="1"/>
      <c r="I1105" s="1"/>
      <c r="J1105" s="1"/>
      <c r="K1105" s="1"/>
      <c r="L1105" s="1"/>
      <c r="M1105" s="1"/>
      <c r="Q1105" s="1"/>
    </row>
    <row r="1106" spans="2:17" x14ac:dyDescent="0.25">
      <c r="B1106" s="1"/>
      <c r="C1106" s="1"/>
      <c r="D1106" s="1"/>
      <c r="E1106" s="1"/>
      <c r="F1106" s="1"/>
      <c r="G1106" s="1"/>
      <c r="I1106" s="1"/>
      <c r="J1106" s="1"/>
      <c r="K1106" s="1"/>
      <c r="L1106" s="1"/>
      <c r="M1106" s="1"/>
      <c r="Q1106" s="1"/>
    </row>
    <row r="1107" spans="2:17" x14ac:dyDescent="0.25">
      <c r="B1107" s="1"/>
      <c r="C1107" s="1"/>
      <c r="D1107" s="1"/>
      <c r="E1107" s="1"/>
      <c r="F1107" s="1"/>
      <c r="G1107" s="1"/>
      <c r="I1107" s="1"/>
      <c r="J1107" s="1"/>
      <c r="K1107" s="1"/>
      <c r="L1107" s="1"/>
      <c r="M1107" s="1"/>
      <c r="Q1107" s="1"/>
    </row>
    <row r="1108" spans="2:17" x14ac:dyDescent="0.25">
      <c r="B1108" s="1"/>
      <c r="C1108" s="1"/>
      <c r="D1108" s="1"/>
      <c r="E1108" s="1"/>
      <c r="F1108" s="1"/>
      <c r="G1108" s="1"/>
      <c r="I1108" s="1"/>
      <c r="J1108" s="1"/>
      <c r="K1108" s="1"/>
      <c r="L1108" s="1"/>
      <c r="M1108" s="1"/>
      <c r="Q1108" s="1"/>
    </row>
    <row r="1109" spans="2:17" x14ac:dyDescent="0.25">
      <c r="B1109" s="1"/>
      <c r="C1109" s="1"/>
      <c r="D1109" s="1"/>
      <c r="E1109" s="1"/>
      <c r="F1109" s="1"/>
      <c r="G1109" s="1"/>
      <c r="I1109" s="1"/>
      <c r="J1109" s="1"/>
      <c r="K1109" s="1"/>
      <c r="L1109" s="1"/>
      <c r="M1109" s="1"/>
      <c r="Q1109" s="1"/>
    </row>
    <row r="1110" spans="2:17" x14ac:dyDescent="0.25">
      <c r="B1110" s="1"/>
      <c r="C1110" s="1"/>
      <c r="D1110" s="1"/>
      <c r="E1110" s="1"/>
      <c r="F1110" s="1"/>
      <c r="G1110" s="1"/>
      <c r="I1110" s="1"/>
      <c r="J1110" s="1"/>
      <c r="K1110" s="1"/>
      <c r="L1110" s="1"/>
      <c r="M1110" s="1"/>
      <c r="Q1110" s="1"/>
    </row>
    <row r="1111" spans="2:17" x14ac:dyDescent="0.25">
      <c r="B1111" s="1"/>
      <c r="C1111" s="1"/>
      <c r="D1111" s="1"/>
      <c r="E1111" s="1"/>
      <c r="F1111" s="1"/>
      <c r="G1111" s="1"/>
      <c r="I1111" s="1"/>
      <c r="J1111" s="1"/>
      <c r="K1111" s="1"/>
      <c r="L1111" s="1"/>
      <c r="M1111" s="1"/>
      <c r="Q1111" s="1"/>
    </row>
    <row r="1112" spans="2:17" x14ac:dyDescent="0.25">
      <c r="B1112" s="1"/>
      <c r="C1112" s="1"/>
      <c r="D1112" s="1"/>
      <c r="E1112" s="1"/>
      <c r="F1112" s="1"/>
      <c r="G1112" s="1"/>
      <c r="I1112" s="1"/>
      <c r="J1112" s="1"/>
      <c r="K1112" s="1"/>
      <c r="L1112" s="1"/>
      <c r="M1112" s="1"/>
      <c r="Q1112" s="1"/>
    </row>
    <row r="1113" spans="2:17" x14ac:dyDescent="0.25">
      <c r="B1113" s="1"/>
      <c r="C1113" s="1"/>
      <c r="D1113" s="1"/>
      <c r="E1113" s="1"/>
      <c r="F1113" s="1"/>
      <c r="G1113" s="1"/>
      <c r="I1113" s="1"/>
      <c r="J1113" s="1"/>
      <c r="K1113" s="1"/>
      <c r="L1113" s="1"/>
      <c r="M1113" s="1"/>
      <c r="Q1113" s="1"/>
    </row>
    <row r="1114" spans="2:17" x14ac:dyDescent="0.25">
      <c r="B1114" s="1"/>
      <c r="C1114" s="1"/>
      <c r="D1114" s="1"/>
      <c r="E1114" s="1"/>
      <c r="F1114" s="1"/>
      <c r="G1114" s="1"/>
      <c r="I1114" s="1"/>
      <c r="J1114" s="1"/>
      <c r="K1114" s="1"/>
      <c r="L1114" s="1"/>
      <c r="M1114" s="1"/>
      <c r="Q1114" s="1"/>
    </row>
    <row r="1115" spans="2:17" x14ac:dyDescent="0.25">
      <c r="B1115" s="1"/>
      <c r="C1115" s="1"/>
      <c r="D1115" s="1"/>
      <c r="E1115" s="1"/>
      <c r="F1115" s="1"/>
      <c r="G1115" s="1"/>
      <c r="I1115" s="1"/>
      <c r="J1115" s="1"/>
      <c r="K1115" s="1"/>
      <c r="L1115" s="1"/>
      <c r="M1115" s="1"/>
      <c r="Q1115" s="1"/>
    </row>
    <row r="1116" spans="2:17" x14ac:dyDescent="0.25">
      <c r="B1116" s="1"/>
      <c r="C1116" s="1"/>
      <c r="D1116" s="1"/>
      <c r="E1116" s="1"/>
      <c r="F1116" s="1"/>
      <c r="G1116" s="1"/>
      <c r="I1116" s="1"/>
      <c r="J1116" s="1"/>
      <c r="K1116" s="1"/>
      <c r="L1116" s="1"/>
      <c r="M1116" s="1"/>
      <c r="Q1116" s="1"/>
    </row>
    <row r="1117" spans="2:17" x14ac:dyDescent="0.25">
      <c r="B1117" s="1"/>
      <c r="C1117" s="1"/>
      <c r="D1117" s="1"/>
      <c r="E1117" s="1"/>
      <c r="F1117" s="1"/>
      <c r="G1117" s="1"/>
      <c r="I1117" s="1"/>
      <c r="J1117" s="1"/>
      <c r="K1117" s="1"/>
      <c r="L1117" s="1"/>
      <c r="M1117" s="1"/>
      <c r="Q1117" s="1"/>
    </row>
    <row r="1118" spans="2:17" x14ac:dyDescent="0.25">
      <c r="B1118" s="1"/>
      <c r="C1118" s="1"/>
      <c r="D1118" s="1"/>
      <c r="E1118" s="1"/>
      <c r="F1118" s="1"/>
      <c r="G1118" s="1"/>
      <c r="I1118" s="1"/>
      <c r="J1118" s="1"/>
      <c r="K1118" s="1"/>
      <c r="L1118" s="1"/>
      <c r="M1118" s="1"/>
      <c r="Q1118" s="1"/>
    </row>
    <row r="1119" spans="2:17" x14ac:dyDescent="0.25">
      <c r="B1119" s="1"/>
      <c r="C1119" s="1"/>
      <c r="D1119" s="1"/>
      <c r="E1119" s="1"/>
      <c r="F1119" s="1"/>
      <c r="G1119" s="1"/>
      <c r="I1119" s="1"/>
      <c r="J1119" s="1"/>
      <c r="K1119" s="1"/>
      <c r="L1119" s="1"/>
      <c r="M1119" s="1"/>
      <c r="Q1119" s="1"/>
    </row>
    <row r="1120" spans="2:17" x14ac:dyDescent="0.25">
      <c r="B1120" s="1"/>
      <c r="C1120" s="1"/>
      <c r="D1120" s="1"/>
      <c r="E1120" s="1"/>
      <c r="F1120" s="1"/>
      <c r="G1120" s="1"/>
      <c r="I1120" s="1"/>
      <c r="J1120" s="1"/>
      <c r="K1120" s="1"/>
      <c r="L1120" s="1"/>
      <c r="M1120" s="1"/>
      <c r="Q1120" s="1"/>
    </row>
    <row r="1121" spans="2:17" x14ac:dyDescent="0.25">
      <c r="B1121" s="1"/>
      <c r="C1121" s="1"/>
      <c r="D1121" s="1"/>
      <c r="E1121" s="1"/>
      <c r="F1121" s="1"/>
      <c r="G1121" s="1"/>
      <c r="I1121" s="1"/>
      <c r="J1121" s="1"/>
      <c r="K1121" s="1"/>
      <c r="L1121" s="1"/>
      <c r="M1121" s="1"/>
      <c r="Q1121" s="1"/>
    </row>
    <row r="1122" spans="2:17" x14ac:dyDescent="0.25">
      <c r="B1122" s="1"/>
      <c r="C1122" s="1"/>
      <c r="D1122" s="1"/>
      <c r="E1122" s="1"/>
      <c r="F1122" s="1"/>
      <c r="G1122" s="1"/>
      <c r="I1122" s="1"/>
      <c r="J1122" s="1"/>
      <c r="K1122" s="1"/>
      <c r="L1122" s="1"/>
      <c r="M1122" s="1"/>
      <c r="Q1122" s="1"/>
    </row>
    <row r="1123" spans="2:17" x14ac:dyDescent="0.25">
      <c r="B1123" s="1"/>
      <c r="C1123" s="1"/>
      <c r="D1123" s="1"/>
      <c r="E1123" s="1"/>
      <c r="F1123" s="1"/>
      <c r="G1123" s="1"/>
      <c r="I1123" s="1"/>
      <c r="J1123" s="1"/>
      <c r="K1123" s="1"/>
      <c r="L1123" s="1"/>
      <c r="M1123" s="1"/>
      <c r="Q1123" s="1"/>
    </row>
    <row r="1124" spans="2:17" x14ac:dyDescent="0.25">
      <c r="B1124" s="1"/>
      <c r="C1124" s="1"/>
      <c r="D1124" s="1"/>
      <c r="E1124" s="1"/>
      <c r="F1124" s="1"/>
      <c r="G1124" s="1"/>
      <c r="I1124" s="1"/>
      <c r="J1124" s="1"/>
      <c r="K1124" s="1"/>
      <c r="L1124" s="1"/>
      <c r="M1124" s="1"/>
      <c r="Q1124" s="1"/>
    </row>
    <row r="1125" spans="2:17" x14ac:dyDescent="0.25">
      <c r="B1125" s="1"/>
      <c r="C1125" s="1"/>
      <c r="D1125" s="1"/>
      <c r="E1125" s="1"/>
      <c r="F1125" s="1"/>
      <c r="G1125" s="1"/>
      <c r="I1125" s="1"/>
      <c r="J1125" s="1"/>
      <c r="K1125" s="1"/>
      <c r="L1125" s="1"/>
      <c r="M1125" s="1"/>
      <c r="Q1125" s="1"/>
    </row>
    <row r="1126" spans="2:17" x14ac:dyDescent="0.25">
      <c r="B1126" s="1"/>
      <c r="C1126" s="1"/>
      <c r="D1126" s="1"/>
      <c r="E1126" s="1"/>
      <c r="F1126" s="1"/>
      <c r="G1126" s="1"/>
      <c r="I1126" s="1"/>
      <c r="J1126" s="1"/>
      <c r="K1126" s="1"/>
      <c r="L1126" s="1"/>
      <c r="M1126" s="1"/>
      <c r="Q1126" s="1"/>
    </row>
    <row r="1127" spans="2:17" x14ac:dyDescent="0.25">
      <c r="B1127" s="1"/>
      <c r="C1127" s="1"/>
      <c r="D1127" s="1"/>
      <c r="E1127" s="1"/>
      <c r="F1127" s="1"/>
      <c r="G1127" s="1"/>
      <c r="I1127" s="1"/>
      <c r="J1127" s="1"/>
      <c r="K1127" s="1"/>
      <c r="L1127" s="1"/>
      <c r="M1127" s="1"/>
      <c r="Q1127" s="1"/>
    </row>
    <row r="1128" spans="2:17" x14ac:dyDescent="0.25">
      <c r="B1128" s="1"/>
      <c r="C1128" s="1"/>
      <c r="D1128" s="1"/>
      <c r="E1128" s="1"/>
      <c r="F1128" s="1"/>
      <c r="G1128" s="1"/>
      <c r="I1128" s="1"/>
      <c r="J1128" s="1"/>
      <c r="K1128" s="1"/>
      <c r="L1128" s="1"/>
      <c r="M1128" s="1"/>
      <c r="Q1128" s="1"/>
    </row>
    <row r="1129" spans="2:17" x14ac:dyDescent="0.25">
      <c r="B1129" s="1"/>
      <c r="C1129" s="1"/>
      <c r="D1129" s="1"/>
      <c r="E1129" s="1"/>
      <c r="F1129" s="1"/>
      <c r="G1129" s="1"/>
      <c r="I1129" s="1"/>
      <c r="J1129" s="1"/>
      <c r="K1129" s="1"/>
      <c r="L1129" s="1"/>
      <c r="M1129" s="1"/>
      <c r="Q1129" s="1"/>
    </row>
    <row r="1130" spans="2:17" x14ac:dyDescent="0.25">
      <c r="B1130" s="1"/>
      <c r="C1130" s="1"/>
      <c r="D1130" s="1"/>
      <c r="E1130" s="1"/>
      <c r="F1130" s="1"/>
      <c r="G1130" s="1"/>
      <c r="I1130" s="1"/>
      <c r="J1130" s="1"/>
      <c r="K1130" s="1"/>
      <c r="L1130" s="1"/>
      <c r="M1130" s="1"/>
      <c r="Q1130" s="1"/>
    </row>
    <row r="1131" spans="2:17" x14ac:dyDescent="0.25">
      <c r="B1131" s="1"/>
      <c r="C1131" s="1"/>
      <c r="D1131" s="1"/>
      <c r="E1131" s="1"/>
      <c r="F1131" s="1"/>
      <c r="G1131" s="1"/>
      <c r="I1131" s="1"/>
      <c r="J1131" s="1"/>
      <c r="K1131" s="1"/>
      <c r="L1131" s="1"/>
      <c r="M1131" s="1"/>
      <c r="Q1131" s="1"/>
    </row>
    <row r="1132" spans="2:17" x14ac:dyDescent="0.25">
      <c r="B1132" s="1"/>
      <c r="C1132" s="1"/>
      <c r="D1132" s="1"/>
      <c r="E1132" s="1"/>
      <c r="F1132" s="1"/>
      <c r="G1132" s="1"/>
      <c r="I1132" s="1"/>
      <c r="J1132" s="1"/>
      <c r="K1132" s="1"/>
      <c r="L1132" s="1"/>
      <c r="M1132" s="1"/>
      <c r="Q1132" s="1"/>
    </row>
    <row r="1133" spans="2:17" x14ac:dyDescent="0.25">
      <c r="B1133" s="1"/>
      <c r="C1133" s="1"/>
      <c r="D1133" s="1"/>
      <c r="E1133" s="1"/>
      <c r="F1133" s="1"/>
      <c r="G1133" s="1"/>
      <c r="I1133" s="1"/>
      <c r="J1133" s="1"/>
      <c r="K1133" s="1"/>
      <c r="L1133" s="1"/>
      <c r="M1133" s="1"/>
      <c r="Q1133" s="1"/>
    </row>
    <row r="1134" spans="2:17" x14ac:dyDescent="0.25">
      <c r="B1134" s="1"/>
      <c r="C1134" s="1"/>
      <c r="D1134" s="1"/>
      <c r="E1134" s="1"/>
      <c r="F1134" s="1"/>
      <c r="G1134" s="1"/>
      <c r="I1134" s="1"/>
      <c r="J1134" s="1"/>
      <c r="K1134" s="1"/>
      <c r="L1134" s="1"/>
      <c r="M1134" s="1"/>
      <c r="Q1134" s="1"/>
    </row>
    <row r="1135" spans="2:17" x14ac:dyDescent="0.25">
      <c r="B1135" s="1"/>
      <c r="C1135" s="1"/>
      <c r="D1135" s="1"/>
      <c r="E1135" s="1"/>
      <c r="F1135" s="1"/>
      <c r="G1135" s="1"/>
      <c r="I1135" s="1"/>
      <c r="J1135" s="1"/>
      <c r="K1135" s="1"/>
      <c r="L1135" s="1"/>
      <c r="M1135" s="1"/>
      <c r="Q1135" s="1"/>
    </row>
    <row r="1136" spans="2:17" x14ac:dyDescent="0.25">
      <c r="B1136" s="1"/>
      <c r="C1136" s="1"/>
      <c r="D1136" s="1"/>
      <c r="E1136" s="1"/>
      <c r="F1136" s="1"/>
      <c r="G1136" s="1"/>
      <c r="I1136" s="1"/>
      <c r="J1136" s="1"/>
      <c r="K1136" s="1"/>
      <c r="L1136" s="1"/>
      <c r="M1136" s="1"/>
      <c r="Q1136" s="1"/>
    </row>
    <row r="1137" spans="2:17" x14ac:dyDescent="0.25">
      <c r="B1137" s="1"/>
      <c r="C1137" s="1"/>
      <c r="D1137" s="1"/>
      <c r="E1137" s="1"/>
      <c r="F1137" s="1"/>
      <c r="G1137" s="1"/>
      <c r="I1137" s="1"/>
      <c r="J1137" s="1"/>
      <c r="K1137" s="1"/>
      <c r="L1137" s="1"/>
      <c r="M1137" s="1"/>
      <c r="Q1137" s="1"/>
    </row>
    <row r="1138" spans="2:17" x14ac:dyDescent="0.25">
      <c r="B1138" s="1"/>
      <c r="C1138" s="1"/>
      <c r="D1138" s="1"/>
      <c r="E1138" s="1"/>
      <c r="F1138" s="1"/>
      <c r="G1138" s="1"/>
      <c r="I1138" s="1"/>
      <c r="J1138" s="1"/>
      <c r="K1138" s="1"/>
      <c r="L1138" s="1"/>
      <c r="M1138" s="1"/>
      <c r="Q1138" s="1"/>
    </row>
    <row r="1139" spans="2:17" x14ac:dyDescent="0.25">
      <c r="B1139" s="1"/>
      <c r="C1139" s="1"/>
      <c r="D1139" s="1"/>
      <c r="E1139" s="1"/>
      <c r="F1139" s="1"/>
      <c r="G1139" s="1"/>
      <c r="I1139" s="1"/>
      <c r="J1139" s="1"/>
      <c r="K1139" s="1"/>
      <c r="L1139" s="1"/>
      <c r="M1139" s="1"/>
      <c r="Q1139" s="1"/>
    </row>
    <row r="1140" spans="2:17" x14ac:dyDescent="0.25">
      <c r="B1140" s="1"/>
      <c r="C1140" s="1"/>
      <c r="D1140" s="1"/>
      <c r="E1140" s="1"/>
      <c r="F1140" s="1"/>
      <c r="G1140" s="1"/>
      <c r="I1140" s="1"/>
      <c r="J1140" s="1"/>
      <c r="K1140" s="1"/>
      <c r="L1140" s="1"/>
      <c r="M1140" s="1"/>
      <c r="Q1140" s="1"/>
    </row>
    <row r="1141" spans="2:17" x14ac:dyDescent="0.25">
      <c r="B1141" s="1"/>
      <c r="C1141" s="1"/>
      <c r="D1141" s="1"/>
      <c r="E1141" s="1"/>
      <c r="F1141" s="1"/>
      <c r="G1141" s="1"/>
      <c r="I1141" s="1"/>
      <c r="J1141" s="1"/>
      <c r="K1141" s="1"/>
      <c r="L1141" s="1"/>
      <c r="M1141" s="1"/>
      <c r="Q1141" s="1"/>
    </row>
    <row r="1142" spans="2:17" x14ac:dyDescent="0.25">
      <c r="B1142" s="1"/>
      <c r="C1142" s="1"/>
      <c r="D1142" s="1"/>
      <c r="E1142" s="1"/>
      <c r="F1142" s="1"/>
      <c r="G1142" s="1"/>
      <c r="I1142" s="1"/>
      <c r="J1142" s="1"/>
      <c r="K1142" s="1"/>
      <c r="L1142" s="1"/>
      <c r="M1142" s="1"/>
      <c r="Q1142" s="1"/>
    </row>
    <row r="1143" spans="2:17" x14ac:dyDescent="0.25">
      <c r="B1143" s="1"/>
      <c r="C1143" s="1"/>
      <c r="D1143" s="1"/>
      <c r="E1143" s="1"/>
      <c r="F1143" s="1"/>
      <c r="G1143" s="1"/>
      <c r="I1143" s="1"/>
      <c r="J1143" s="1"/>
      <c r="K1143" s="1"/>
      <c r="L1143" s="1"/>
      <c r="M1143" s="1"/>
      <c r="Q1143" s="1"/>
    </row>
    <row r="1144" spans="2:17" x14ac:dyDescent="0.25">
      <c r="B1144" s="1"/>
      <c r="C1144" s="1"/>
      <c r="D1144" s="1"/>
      <c r="E1144" s="1"/>
      <c r="F1144" s="1"/>
      <c r="G1144" s="1"/>
      <c r="I1144" s="1"/>
      <c r="J1144" s="1"/>
      <c r="K1144" s="1"/>
      <c r="L1144" s="1"/>
      <c r="M1144" s="1"/>
      <c r="Q1144" s="1"/>
    </row>
    <row r="1145" spans="2:17" x14ac:dyDescent="0.25">
      <c r="B1145" s="1"/>
      <c r="C1145" s="1"/>
      <c r="D1145" s="1"/>
      <c r="E1145" s="1"/>
      <c r="F1145" s="1"/>
      <c r="G1145" s="1"/>
      <c r="I1145" s="1"/>
      <c r="J1145" s="1"/>
      <c r="K1145" s="1"/>
      <c r="L1145" s="1"/>
      <c r="M1145" s="1"/>
      <c r="Q1145" s="1"/>
    </row>
    <row r="1146" spans="2:17" x14ac:dyDescent="0.25">
      <c r="B1146" s="1"/>
      <c r="C1146" s="1"/>
      <c r="D1146" s="1"/>
      <c r="E1146" s="1"/>
      <c r="F1146" s="1"/>
      <c r="G1146" s="1"/>
      <c r="I1146" s="1"/>
      <c r="J1146" s="1"/>
      <c r="K1146" s="1"/>
      <c r="L1146" s="1"/>
      <c r="M1146" s="1"/>
      <c r="Q1146" s="1"/>
    </row>
    <row r="1147" spans="2:17" x14ac:dyDescent="0.25">
      <c r="B1147" s="1"/>
      <c r="C1147" s="1"/>
      <c r="D1147" s="1"/>
      <c r="E1147" s="1"/>
      <c r="F1147" s="1"/>
      <c r="G1147" s="1"/>
      <c r="I1147" s="1"/>
      <c r="J1147" s="1"/>
      <c r="K1147" s="1"/>
      <c r="L1147" s="1"/>
      <c r="M1147" s="1"/>
      <c r="Q1147" s="1"/>
    </row>
    <row r="1148" spans="2:17" x14ac:dyDescent="0.25">
      <c r="B1148" s="1"/>
      <c r="C1148" s="1"/>
      <c r="D1148" s="1"/>
      <c r="E1148" s="1"/>
      <c r="F1148" s="1"/>
      <c r="G1148" s="1"/>
      <c r="I1148" s="1"/>
      <c r="J1148" s="1"/>
      <c r="K1148" s="1"/>
      <c r="L1148" s="1"/>
      <c r="M1148" s="1"/>
      <c r="Q1148" s="1"/>
    </row>
    <row r="1149" spans="2:17" x14ac:dyDescent="0.25">
      <c r="B1149" s="1"/>
      <c r="C1149" s="1"/>
      <c r="D1149" s="1"/>
      <c r="E1149" s="1"/>
      <c r="F1149" s="1"/>
      <c r="G1149" s="1"/>
      <c r="I1149" s="1"/>
      <c r="J1149" s="1"/>
      <c r="K1149" s="1"/>
      <c r="L1149" s="1"/>
      <c r="M1149" s="1"/>
      <c r="Q1149" s="1"/>
    </row>
    <row r="1150" spans="2:17" x14ac:dyDescent="0.25">
      <c r="B1150" s="1"/>
      <c r="C1150" s="1"/>
      <c r="D1150" s="1"/>
      <c r="E1150" s="1"/>
      <c r="F1150" s="1"/>
      <c r="G1150" s="1"/>
      <c r="I1150" s="1"/>
      <c r="J1150" s="1"/>
      <c r="K1150" s="1"/>
      <c r="L1150" s="1"/>
      <c r="M1150" s="1"/>
      <c r="Q1150" s="1"/>
    </row>
    <row r="1151" spans="2:17" x14ac:dyDescent="0.25">
      <c r="B1151" s="1"/>
      <c r="C1151" s="1"/>
      <c r="D1151" s="1"/>
      <c r="E1151" s="1"/>
      <c r="F1151" s="1"/>
      <c r="G1151" s="1"/>
      <c r="I1151" s="1"/>
      <c r="J1151" s="1"/>
      <c r="K1151" s="1"/>
      <c r="L1151" s="1"/>
      <c r="M1151" s="1"/>
      <c r="Q1151" s="1"/>
    </row>
    <row r="1152" spans="2:17" x14ac:dyDescent="0.25">
      <c r="B1152" s="1"/>
      <c r="C1152" s="1"/>
      <c r="D1152" s="1"/>
      <c r="E1152" s="1"/>
      <c r="F1152" s="1"/>
      <c r="G1152" s="1"/>
      <c r="I1152" s="1"/>
      <c r="J1152" s="1"/>
      <c r="K1152" s="1"/>
      <c r="L1152" s="1"/>
      <c r="M1152" s="1"/>
      <c r="Q1152" s="1"/>
    </row>
    <row r="1153" spans="2:17" x14ac:dyDescent="0.25">
      <c r="B1153" s="1"/>
      <c r="C1153" s="1"/>
      <c r="D1153" s="1"/>
      <c r="E1153" s="1"/>
      <c r="F1153" s="1"/>
      <c r="G1153" s="1"/>
      <c r="I1153" s="1"/>
      <c r="J1153" s="1"/>
      <c r="K1153" s="1"/>
      <c r="L1153" s="1"/>
      <c r="M1153" s="1"/>
      <c r="Q1153" s="1"/>
    </row>
    <row r="1154" spans="2:17" x14ac:dyDescent="0.25">
      <c r="B1154" s="1"/>
      <c r="C1154" s="1"/>
      <c r="D1154" s="1"/>
      <c r="E1154" s="1"/>
      <c r="F1154" s="1"/>
      <c r="G1154" s="1"/>
      <c r="I1154" s="1"/>
      <c r="J1154" s="1"/>
      <c r="K1154" s="1"/>
      <c r="L1154" s="1"/>
      <c r="M1154" s="1"/>
      <c r="Q1154" s="1"/>
    </row>
    <row r="1155" spans="2:17" x14ac:dyDescent="0.25">
      <c r="B1155" s="1"/>
      <c r="C1155" s="1"/>
      <c r="D1155" s="1"/>
      <c r="E1155" s="1"/>
      <c r="F1155" s="1"/>
      <c r="G1155" s="1"/>
      <c r="I1155" s="1"/>
      <c r="J1155" s="1"/>
      <c r="K1155" s="1"/>
      <c r="L1155" s="1"/>
      <c r="M1155" s="1"/>
      <c r="Q1155" s="1"/>
    </row>
    <row r="1156" spans="2:17" x14ac:dyDescent="0.25">
      <c r="B1156" s="1"/>
      <c r="C1156" s="1"/>
      <c r="D1156" s="1"/>
      <c r="E1156" s="1"/>
      <c r="F1156" s="1"/>
      <c r="G1156" s="1"/>
      <c r="I1156" s="1"/>
      <c r="J1156" s="1"/>
      <c r="K1156" s="1"/>
      <c r="L1156" s="1"/>
      <c r="M1156" s="1"/>
      <c r="Q1156" s="1"/>
    </row>
    <row r="1157" spans="2:17" x14ac:dyDescent="0.25">
      <c r="B1157" s="1"/>
      <c r="C1157" s="1"/>
      <c r="D1157" s="1"/>
      <c r="E1157" s="1"/>
      <c r="F1157" s="1"/>
      <c r="G1157" s="1"/>
      <c r="I1157" s="1"/>
      <c r="J1157" s="1"/>
      <c r="K1157" s="1"/>
      <c r="L1157" s="1"/>
      <c r="M1157" s="1"/>
      <c r="Q1157" s="1"/>
    </row>
    <row r="1158" spans="2:17" x14ac:dyDescent="0.25">
      <c r="B1158" s="1"/>
      <c r="C1158" s="1"/>
      <c r="D1158" s="1"/>
      <c r="E1158" s="1"/>
      <c r="F1158" s="1"/>
      <c r="G1158" s="1"/>
      <c r="I1158" s="1"/>
      <c r="J1158" s="1"/>
      <c r="K1158" s="1"/>
      <c r="L1158" s="1"/>
      <c r="M1158" s="1"/>
      <c r="Q1158" s="1"/>
    </row>
    <row r="1159" spans="2:17" x14ac:dyDescent="0.25">
      <c r="B1159" s="1"/>
      <c r="C1159" s="1"/>
      <c r="D1159" s="1"/>
      <c r="E1159" s="1"/>
      <c r="F1159" s="1"/>
      <c r="G1159" s="1"/>
      <c r="I1159" s="1"/>
      <c r="J1159" s="1"/>
      <c r="K1159" s="1"/>
      <c r="L1159" s="1"/>
      <c r="M1159" s="1"/>
      <c r="Q1159" s="1"/>
    </row>
    <row r="1160" spans="2:17" x14ac:dyDescent="0.25">
      <c r="B1160" s="1"/>
      <c r="C1160" s="1"/>
      <c r="D1160" s="1"/>
      <c r="E1160" s="1"/>
      <c r="F1160" s="1"/>
      <c r="G1160" s="1"/>
      <c r="I1160" s="1"/>
      <c r="J1160" s="1"/>
      <c r="K1160" s="1"/>
      <c r="L1160" s="1"/>
      <c r="M1160" s="1"/>
      <c r="Q1160" s="1"/>
    </row>
    <row r="1161" spans="2:17" x14ac:dyDescent="0.25">
      <c r="B1161" s="1"/>
      <c r="C1161" s="1"/>
      <c r="D1161" s="1"/>
      <c r="E1161" s="1"/>
      <c r="F1161" s="1"/>
      <c r="G1161" s="1"/>
      <c r="I1161" s="1"/>
      <c r="J1161" s="1"/>
      <c r="K1161" s="1"/>
      <c r="L1161" s="1"/>
      <c r="M1161" s="1"/>
      <c r="Q1161" s="1"/>
    </row>
    <row r="1162" spans="2:17" x14ac:dyDescent="0.25">
      <c r="B1162" s="1"/>
      <c r="C1162" s="1"/>
      <c r="D1162" s="1"/>
      <c r="E1162" s="1"/>
      <c r="F1162" s="1"/>
      <c r="G1162" s="1"/>
      <c r="I1162" s="1"/>
      <c r="J1162" s="1"/>
      <c r="K1162" s="1"/>
      <c r="L1162" s="1"/>
      <c r="M1162" s="1"/>
      <c r="Q1162" s="1"/>
    </row>
    <row r="1163" spans="2:17" x14ac:dyDescent="0.25">
      <c r="B1163" s="1"/>
      <c r="C1163" s="1"/>
      <c r="D1163" s="1"/>
      <c r="E1163" s="1"/>
      <c r="F1163" s="1"/>
      <c r="G1163" s="1"/>
      <c r="I1163" s="1"/>
      <c r="J1163" s="1"/>
      <c r="K1163" s="1"/>
      <c r="L1163" s="1"/>
      <c r="M1163" s="1"/>
      <c r="Q1163" s="1"/>
    </row>
    <row r="1164" spans="2:17" x14ac:dyDescent="0.25">
      <c r="B1164" s="1"/>
      <c r="C1164" s="1"/>
      <c r="D1164" s="1"/>
      <c r="E1164" s="1"/>
      <c r="F1164" s="1"/>
      <c r="G1164" s="1"/>
      <c r="I1164" s="1"/>
      <c r="J1164" s="1"/>
      <c r="K1164" s="1"/>
      <c r="L1164" s="1"/>
      <c r="M1164" s="1"/>
      <c r="Q1164" s="1"/>
    </row>
    <row r="1165" spans="2:17" x14ac:dyDescent="0.25">
      <c r="B1165" s="1"/>
      <c r="C1165" s="1"/>
      <c r="D1165" s="1"/>
      <c r="E1165" s="1"/>
      <c r="F1165" s="1"/>
      <c r="G1165" s="1"/>
      <c r="I1165" s="1"/>
      <c r="J1165" s="1"/>
      <c r="K1165" s="1"/>
      <c r="L1165" s="1"/>
      <c r="M1165" s="1"/>
      <c r="Q1165" s="1"/>
    </row>
    <row r="1166" spans="2:17" x14ac:dyDescent="0.25">
      <c r="B1166" s="1"/>
      <c r="C1166" s="1"/>
      <c r="D1166" s="1"/>
      <c r="E1166" s="1"/>
      <c r="F1166" s="1"/>
      <c r="G1166" s="1"/>
      <c r="I1166" s="1"/>
      <c r="J1166" s="1"/>
      <c r="K1166" s="1"/>
      <c r="L1166" s="1"/>
      <c r="M1166" s="1"/>
      <c r="Q1166" s="1"/>
    </row>
    <row r="1167" spans="2:17" x14ac:dyDescent="0.25">
      <c r="B1167" s="1"/>
      <c r="C1167" s="1"/>
      <c r="D1167" s="1"/>
      <c r="E1167" s="1"/>
      <c r="F1167" s="1"/>
      <c r="G1167" s="1"/>
      <c r="I1167" s="1"/>
      <c r="J1167" s="1"/>
      <c r="K1167" s="1"/>
      <c r="L1167" s="1"/>
      <c r="M1167" s="1"/>
      <c r="Q1167" s="1"/>
    </row>
    <row r="1168" spans="2:17" x14ac:dyDescent="0.25">
      <c r="B1168" s="1"/>
      <c r="C1168" s="1"/>
      <c r="D1168" s="1"/>
      <c r="E1168" s="1"/>
      <c r="F1168" s="1"/>
      <c r="G1168" s="1"/>
      <c r="I1168" s="1"/>
      <c r="J1168" s="1"/>
      <c r="K1168" s="1"/>
      <c r="L1168" s="1"/>
      <c r="M1168" s="1"/>
      <c r="Q1168" s="1"/>
    </row>
    <row r="1169" spans="2:17" x14ac:dyDescent="0.25">
      <c r="B1169" s="1"/>
      <c r="C1169" s="1"/>
      <c r="D1169" s="1"/>
      <c r="E1169" s="1"/>
      <c r="F1169" s="1"/>
      <c r="G1169" s="1"/>
      <c r="I1169" s="1"/>
      <c r="J1169" s="1"/>
      <c r="K1169" s="1"/>
      <c r="L1169" s="1"/>
      <c r="M1169" s="1"/>
      <c r="Q1169" s="1"/>
    </row>
    <row r="1170" spans="2:17" x14ac:dyDescent="0.25">
      <c r="B1170" s="1"/>
      <c r="C1170" s="1"/>
      <c r="D1170" s="1"/>
      <c r="E1170" s="1"/>
      <c r="F1170" s="1"/>
      <c r="G1170" s="1"/>
      <c r="I1170" s="1"/>
      <c r="J1170" s="1"/>
      <c r="K1170" s="1"/>
      <c r="L1170" s="1"/>
      <c r="M1170" s="1"/>
      <c r="Q1170" s="1"/>
    </row>
    <row r="1171" spans="2:17" x14ac:dyDescent="0.25">
      <c r="B1171" s="1"/>
      <c r="C1171" s="1"/>
      <c r="D1171" s="1"/>
      <c r="E1171" s="1"/>
      <c r="F1171" s="1"/>
      <c r="G1171" s="1"/>
      <c r="I1171" s="1"/>
      <c r="J1171" s="1"/>
      <c r="K1171" s="1"/>
      <c r="L1171" s="1"/>
      <c r="M1171" s="1"/>
      <c r="Q1171" s="1"/>
    </row>
    <row r="1172" spans="2:17" x14ac:dyDescent="0.25">
      <c r="B1172" s="1"/>
      <c r="C1172" s="1"/>
      <c r="D1172" s="1"/>
      <c r="E1172" s="1"/>
      <c r="F1172" s="1"/>
      <c r="G1172" s="1"/>
      <c r="I1172" s="1"/>
      <c r="J1172" s="1"/>
      <c r="K1172" s="1"/>
      <c r="L1172" s="1"/>
      <c r="M1172" s="1"/>
      <c r="Q1172" s="1"/>
    </row>
    <row r="1173" spans="2:17" x14ac:dyDescent="0.25">
      <c r="B1173" s="1"/>
      <c r="C1173" s="1"/>
      <c r="D1173" s="1"/>
      <c r="E1173" s="1"/>
      <c r="F1173" s="1"/>
      <c r="G1173" s="1"/>
      <c r="I1173" s="1"/>
      <c r="J1173" s="1"/>
      <c r="K1173" s="1"/>
      <c r="L1173" s="1"/>
      <c r="M1173" s="1"/>
      <c r="Q1173" s="1"/>
    </row>
    <row r="1174" spans="2:17" x14ac:dyDescent="0.25">
      <c r="B1174" s="1"/>
      <c r="C1174" s="1"/>
      <c r="D1174" s="1"/>
      <c r="E1174" s="1"/>
      <c r="F1174" s="1"/>
      <c r="G1174" s="1"/>
      <c r="I1174" s="1"/>
      <c r="J1174" s="1"/>
      <c r="K1174" s="1"/>
      <c r="L1174" s="1"/>
      <c r="M1174" s="1"/>
      <c r="Q1174" s="1"/>
    </row>
    <row r="1175" spans="2:17" x14ac:dyDescent="0.25">
      <c r="B1175" s="1"/>
      <c r="C1175" s="1"/>
      <c r="D1175" s="1"/>
      <c r="E1175" s="1"/>
      <c r="F1175" s="1"/>
      <c r="G1175" s="1"/>
      <c r="I1175" s="1"/>
      <c r="J1175" s="1"/>
      <c r="K1175" s="1"/>
      <c r="L1175" s="1"/>
      <c r="M1175" s="1"/>
      <c r="Q1175" s="1"/>
    </row>
    <row r="1176" spans="2:17" x14ac:dyDescent="0.25">
      <c r="B1176" s="1"/>
      <c r="C1176" s="1"/>
      <c r="D1176" s="1"/>
      <c r="E1176" s="1"/>
      <c r="F1176" s="1"/>
      <c r="G1176" s="1"/>
      <c r="I1176" s="1"/>
      <c r="J1176" s="1"/>
      <c r="K1176" s="1"/>
      <c r="L1176" s="1"/>
      <c r="M1176" s="1"/>
      <c r="Q1176" s="1"/>
    </row>
    <row r="1177" spans="2:17" x14ac:dyDescent="0.25">
      <c r="B1177" s="1"/>
      <c r="C1177" s="1"/>
      <c r="D1177" s="1"/>
      <c r="E1177" s="1"/>
      <c r="F1177" s="1"/>
      <c r="G1177" s="1"/>
      <c r="I1177" s="1"/>
      <c r="J1177" s="1"/>
      <c r="K1177" s="1"/>
      <c r="L1177" s="1"/>
      <c r="M1177" s="1"/>
      <c r="Q1177" s="1"/>
    </row>
    <row r="1178" spans="2:17" x14ac:dyDescent="0.25">
      <c r="B1178" s="1"/>
      <c r="C1178" s="1"/>
      <c r="D1178" s="1"/>
      <c r="E1178" s="1"/>
      <c r="F1178" s="1"/>
      <c r="G1178" s="1"/>
      <c r="I1178" s="1"/>
      <c r="J1178" s="1"/>
      <c r="K1178" s="1"/>
      <c r="L1178" s="1"/>
      <c r="M1178" s="1"/>
      <c r="Q1178" s="1"/>
    </row>
    <row r="1179" spans="2:17" x14ac:dyDescent="0.25">
      <c r="B1179" s="1"/>
      <c r="C1179" s="1"/>
      <c r="D1179" s="1"/>
      <c r="E1179" s="1"/>
      <c r="F1179" s="1"/>
      <c r="G1179" s="1"/>
      <c r="I1179" s="1"/>
      <c r="J1179" s="1"/>
      <c r="K1179" s="1"/>
      <c r="L1179" s="1"/>
      <c r="M1179" s="1"/>
      <c r="Q1179" s="1"/>
    </row>
    <row r="1180" spans="2:17" x14ac:dyDescent="0.25">
      <c r="B1180" s="1"/>
      <c r="C1180" s="1"/>
      <c r="D1180" s="1"/>
      <c r="E1180" s="1"/>
      <c r="F1180" s="1"/>
      <c r="G1180" s="1"/>
      <c r="I1180" s="1"/>
      <c r="J1180" s="1"/>
      <c r="K1180" s="1"/>
      <c r="L1180" s="1"/>
      <c r="M1180" s="1"/>
      <c r="Q1180" s="1"/>
    </row>
    <row r="1181" spans="2:17" x14ac:dyDescent="0.25">
      <c r="B1181" s="1"/>
      <c r="C1181" s="1"/>
      <c r="D1181" s="1"/>
      <c r="E1181" s="1"/>
      <c r="F1181" s="1"/>
      <c r="G1181" s="1"/>
      <c r="I1181" s="1"/>
      <c r="J1181" s="1"/>
      <c r="K1181" s="1"/>
      <c r="L1181" s="1"/>
      <c r="M1181" s="1"/>
      <c r="Q1181" s="1"/>
    </row>
    <row r="1182" spans="2:17" x14ac:dyDescent="0.25">
      <c r="B1182" s="1"/>
      <c r="C1182" s="1"/>
      <c r="D1182" s="1"/>
      <c r="E1182" s="1"/>
      <c r="F1182" s="1"/>
      <c r="G1182" s="1"/>
      <c r="I1182" s="1"/>
      <c r="J1182" s="1"/>
      <c r="K1182" s="1"/>
      <c r="L1182" s="1"/>
      <c r="M1182" s="1"/>
      <c r="Q1182" s="1"/>
    </row>
    <row r="1183" spans="2:17" x14ac:dyDescent="0.25">
      <c r="B1183" s="1"/>
      <c r="C1183" s="1"/>
      <c r="D1183" s="1"/>
      <c r="E1183" s="1"/>
      <c r="F1183" s="1"/>
      <c r="G1183" s="1"/>
      <c r="I1183" s="1"/>
      <c r="J1183" s="1"/>
      <c r="K1183" s="1"/>
      <c r="L1183" s="1"/>
      <c r="M1183" s="1"/>
    </row>
    <row r="1184" spans="2:17" x14ac:dyDescent="0.25">
      <c r="B1184" s="1"/>
      <c r="C1184" s="1"/>
      <c r="D1184" s="1"/>
      <c r="E1184" s="1"/>
      <c r="F1184" s="1"/>
      <c r="G1184" s="1"/>
      <c r="I1184" s="1"/>
      <c r="J1184" s="1"/>
      <c r="K1184" s="1"/>
      <c r="L1184" s="1"/>
      <c r="M1184" s="1"/>
    </row>
    <row r="1185" spans="2:13" x14ac:dyDescent="0.25">
      <c r="B1185" s="1"/>
      <c r="C1185" s="1"/>
      <c r="D1185" s="1"/>
      <c r="E1185" s="1"/>
      <c r="F1185" s="1"/>
      <c r="G1185" s="1"/>
      <c r="I1185" s="1"/>
      <c r="J1185" s="1"/>
      <c r="K1185" s="1"/>
      <c r="L1185" s="1"/>
      <c r="M1185" s="1"/>
    </row>
    <row r="1186" spans="2:13" x14ac:dyDescent="0.25">
      <c r="B1186" s="1"/>
      <c r="C1186" s="1"/>
      <c r="D1186" s="1"/>
      <c r="E1186" s="1"/>
      <c r="F1186" s="1"/>
      <c r="G1186" s="1"/>
      <c r="I1186" s="1"/>
      <c r="J1186" s="1"/>
      <c r="K1186" s="1"/>
      <c r="L1186" s="1"/>
      <c r="M1186" s="1"/>
    </row>
    <row r="1187" spans="2:13" x14ac:dyDescent="0.25">
      <c r="B1187" s="1"/>
      <c r="C1187" s="1"/>
      <c r="D1187" s="1"/>
      <c r="E1187" s="1"/>
      <c r="F1187" s="1"/>
      <c r="G1187" s="1"/>
      <c r="I1187" s="1"/>
      <c r="J1187" s="1"/>
      <c r="K1187" s="1"/>
      <c r="L1187" s="1"/>
      <c r="M1187" s="1"/>
    </row>
    <row r="1188" spans="2:13" x14ac:dyDescent="0.25">
      <c r="B1188" s="1"/>
      <c r="C1188" s="1"/>
      <c r="D1188" s="1"/>
      <c r="E1188" s="1"/>
      <c r="F1188" s="1"/>
      <c r="G1188" s="1"/>
      <c r="I1188" s="1"/>
      <c r="J1188" s="1"/>
      <c r="K1188" s="1"/>
      <c r="L1188" s="1"/>
      <c r="M1188" s="1"/>
    </row>
    <row r="1189" spans="2:13" x14ac:dyDescent="0.25">
      <c r="B1189" s="1"/>
      <c r="C1189" s="1"/>
      <c r="D1189" s="1"/>
      <c r="E1189" s="1"/>
      <c r="F1189" s="1"/>
      <c r="G1189" s="1"/>
      <c r="I1189" s="1"/>
      <c r="J1189" s="1"/>
      <c r="K1189" s="1"/>
      <c r="L1189" s="1"/>
      <c r="M1189" s="1"/>
    </row>
    <row r="1190" spans="2:13" x14ac:dyDescent="0.25">
      <c r="B1190" s="1"/>
      <c r="C1190" s="1"/>
      <c r="D1190" s="1"/>
      <c r="E1190" s="1"/>
      <c r="F1190" s="1"/>
      <c r="G1190" s="1"/>
      <c r="I1190" s="1"/>
      <c r="J1190" s="1"/>
      <c r="K1190" s="1"/>
      <c r="L1190" s="1"/>
      <c r="M1190" s="1"/>
    </row>
    <row r="1191" spans="2:13" x14ac:dyDescent="0.25">
      <c r="B1191" s="1"/>
      <c r="C1191" s="1"/>
      <c r="D1191" s="1"/>
      <c r="E1191" s="1"/>
      <c r="F1191" s="1"/>
      <c r="G1191" s="1"/>
      <c r="I1191" s="1"/>
      <c r="J1191" s="1"/>
      <c r="K1191" s="1"/>
      <c r="L1191" s="1"/>
      <c r="M1191" s="1"/>
    </row>
    <row r="1192" spans="2:13" x14ac:dyDescent="0.25">
      <c r="B1192" s="1"/>
      <c r="C1192" s="1"/>
      <c r="D1192" s="1"/>
      <c r="E1192" s="1"/>
      <c r="F1192" s="1"/>
      <c r="G1192" s="1"/>
      <c r="I1192" s="1"/>
      <c r="J1192" s="1"/>
      <c r="K1192" s="1"/>
      <c r="L1192" s="1"/>
      <c r="M1192" s="1"/>
    </row>
    <row r="1193" spans="2:13" x14ac:dyDescent="0.25">
      <c r="B1193" s="1"/>
      <c r="C1193" s="1"/>
      <c r="D1193" s="1"/>
      <c r="E1193" s="1"/>
      <c r="F1193" s="1"/>
      <c r="G1193" s="1"/>
      <c r="I1193" s="1"/>
      <c r="J1193" s="1"/>
      <c r="K1193" s="1"/>
      <c r="L1193" s="1"/>
      <c r="M1193" s="1"/>
    </row>
    <row r="1194" spans="2:13" x14ac:dyDescent="0.25">
      <c r="B1194" s="1"/>
      <c r="C1194" s="1"/>
      <c r="D1194" s="1"/>
      <c r="E1194" s="1"/>
      <c r="F1194" s="1"/>
      <c r="G1194" s="1"/>
      <c r="I1194" s="1"/>
      <c r="J1194" s="1"/>
      <c r="K1194" s="1"/>
      <c r="L1194" s="1"/>
      <c r="M1194" s="1"/>
    </row>
    <row r="1195" spans="2:13" x14ac:dyDescent="0.25">
      <c r="B1195" s="1"/>
      <c r="C1195" s="1"/>
      <c r="D1195" s="1"/>
      <c r="E1195" s="1"/>
      <c r="F1195" s="1"/>
      <c r="G1195" s="1"/>
      <c r="I1195" s="1"/>
      <c r="J1195" s="1"/>
      <c r="K1195" s="1"/>
      <c r="L1195" s="1"/>
      <c r="M1195" s="1"/>
    </row>
    <row r="1196" spans="2:13" x14ac:dyDescent="0.25">
      <c r="B1196" s="1"/>
      <c r="C1196" s="1"/>
      <c r="D1196" s="1"/>
      <c r="E1196" s="1"/>
      <c r="F1196" s="1"/>
      <c r="G1196" s="1"/>
      <c r="I1196" s="1"/>
      <c r="J1196" s="1"/>
      <c r="K1196" s="1"/>
      <c r="L1196" s="1"/>
      <c r="M1196" s="1"/>
    </row>
    <row r="1197" spans="2:13" x14ac:dyDescent="0.25">
      <c r="B1197" s="1"/>
      <c r="C1197" s="1"/>
      <c r="D1197" s="1"/>
      <c r="E1197" s="1"/>
      <c r="F1197" s="1"/>
      <c r="G1197" s="1"/>
      <c r="I1197" s="1"/>
      <c r="J1197" s="1"/>
      <c r="K1197" s="1"/>
      <c r="L1197" s="1"/>
      <c r="M1197" s="1"/>
    </row>
    <row r="1198" spans="2:13" x14ac:dyDescent="0.25">
      <c r="B1198" s="1"/>
      <c r="C1198" s="1"/>
      <c r="D1198" s="1"/>
      <c r="E1198" s="1"/>
      <c r="F1198" s="1"/>
      <c r="G1198" s="1"/>
      <c r="I1198" s="1"/>
      <c r="J1198" s="1"/>
      <c r="K1198" s="1"/>
      <c r="L1198" s="1"/>
      <c r="M1198" s="1"/>
    </row>
    <row r="1199" spans="2:13" x14ac:dyDescent="0.25">
      <c r="B1199" s="1"/>
      <c r="C1199" s="1"/>
      <c r="D1199" s="1"/>
      <c r="E1199" s="1"/>
      <c r="F1199" s="1"/>
      <c r="G1199" s="1"/>
      <c r="I1199" s="1"/>
      <c r="J1199" s="1"/>
      <c r="K1199" s="1"/>
      <c r="L1199" s="1"/>
      <c r="M1199" s="1"/>
    </row>
    <row r="1200" spans="2:13" x14ac:dyDescent="0.25">
      <c r="B1200" s="1"/>
      <c r="C1200" s="1"/>
      <c r="D1200" s="1"/>
      <c r="E1200" s="1"/>
      <c r="F1200" s="1"/>
      <c r="G1200" s="1"/>
      <c r="I1200" s="1"/>
      <c r="J1200" s="1"/>
      <c r="K1200" s="1"/>
      <c r="L1200" s="1"/>
      <c r="M1200" s="1"/>
    </row>
    <row r="1201" spans="2:13" x14ac:dyDescent="0.25">
      <c r="B1201" s="1"/>
      <c r="C1201" s="1"/>
      <c r="D1201" s="1"/>
      <c r="E1201" s="1"/>
      <c r="F1201" s="1"/>
      <c r="G1201" s="1"/>
      <c r="I1201" s="1"/>
      <c r="J1201" s="1"/>
      <c r="K1201" s="1"/>
      <c r="L1201" s="1"/>
      <c r="M1201" s="1"/>
    </row>
    <row r="1202" spans="2:13" x14ac:dyDescent="0.25">
      <c r="B1202" s="1"/>
      <c r="C1202" s="1"/>
      <c r="D1202" s="1"/>
      <c r="E1202" s="1"/>
      <c r="F1202" s="1"/>
      <c r="G1202" s="1"/>
      <c r="I1202" s="1"/>
      <c r="J1202" s="1"/>
      <c r="K1202" s="1"/>
      <c r="L1202" s="1"/>
      <c r="M1202" s="1"/>
    </row>
    <row r="1203" spans="2:13" x14ac:dyDescent="0.25">
      <c r="B1203" s="1"/>
      <c r="C1203" s="1"/>
      <c r="D1203" s="1"/>
      <c r="E1203" s="1"/>
      <c r="F1203" s="1"/>
      <c r="G1203" s="1"/>
      <c r="I1203" s="1"/>
      <c r="J1203" s="1"/>
      <c r="K1203" s="1"/>
      <c r="L1203" s="1"/>
      <c r="M1203" s="1"/>
    </row>
    <row r="1204" spans="2:13" x14ac:dyDescent="0.25">
      <c r="B1204" s="1"/>
      <c r="C1204" s="1"/>
      <c r="D1204" s="1"/>
      <c r="E1204" s="1"/>
      <c r="F1204" s="1"/>
      <c r="G1204" s="1"/>
      <c r="I1204" s="1"/>
      <c r="J1204" s="1"/>
      <c r="K1204" s="1"/>
      <c r="L1204" s="1"/>
      <c r="M1204" s="1"/>
    </row>
    <row r="1205" spans="2:13" x14ac:dyDescent="0.25">
      <c r="B1205" s="1"/>
      <c r="C1205" s="1"/>
      <c r="D1205" s="1"/>
      <c r="E1205" s="1"/>
      <c r="F1205" s="1"/>
      <c r="G1205" s="1"/>
      <c r="I1205" s="1"/>
      <c r="J1205" s="1"/>
      <c r="K1205" s="1"/>
      <c r="L1205" s="1"/>
      <c r="M1205" s="1"/>
    </row>
    <row r="1206" spans="2:13" x14ac:dyDescent="0.25">
      <c r="B1206" s="1"/>
      <c r="C1206" s="1"/>
      <c r="D1206" s="1"/>
      <c r="E1206" s="1"/>
      <c r="F1206" s="1"/>
      <c r="G1206" s="1"/>
      <c r="I1206" s="1"/>
      <c r="J1206" s="1"/>
      <c r="K1206" s="1"/>
      <c r="L1206" s="1"/>
      <c r="M1206" s="1"/>
    </row>
    <row r="1207" spans="2:13" x14ac:dyDescent="0.25">
      <c r="B1207" s="1"/>
      <c r="C1207" s="1"/>
      <c r="D1207" s="1"/>
      <c r="E1207" s="1"/>
      <c r="F1207" s="1"/>
      <c r="G1207" s="1"/>
      <c r="I1207" s="1"/>
      <c r="J1207" s="1"/>
      <c r="K1207" s="1"/>
      <c r="L1207" s="1"/>
      <c r="M1207" s="1"/>
    </row>
    <row r="1208" spans="2:13" x14ac:dyDescent="0.25">
      <c r="B1208" s="1"/>
      <c r="C1208" s="1"/>
      <c r="D1208" s="1"/>
      <c r="E1208" s="1"/>
      <c r="F1208" s="1"/>
      <c r="G1208" s="1"/>
      <c r="I1208" s="1"/>
      <c r="J1208" s="1"/>
      <c r="K1208" s="1"/>
      <c r="L1208" s="1"/>
      <c r="M1208" s="1"/>
    </row>
    <row r="1209" spans="2:13" x14ac:dyDescent="0.25">
      <c r="B1209" s="1"/>
      <c r="C1209" s="1"/>
      <c r="D1209" s="1"/>
      <c r="E1209" s="1"/>
      <c r="F1209" s="1"/>
      <c r="G1209" s="1"/>
      <c r="I1209" s="1"/>
      <c r="J1209" s="1"/>
      <c r="K1209" s="1"/>
      <c r="L1209" s="1"/>
      <c r="M1209" s="1"/>
    </row>
    <row r="1210" spans="2:13" x14ac:dyDescent="0.25">
      <c r="B1210" s="1"/>
      <c r="C1210" s="1"/>
      <c r="D1210" s="1"/>
      <c r="E1210" s="1"/>
      <c r="F1210" s="1"/>
      <c r="G1210" s="1"/>
      <c r="I1210" s="1"/>
      <c r="J1210" s="1"/>
      <c r="K1210" s="1"/>
      <c r="L1210" s="1"/>
      <c r="M1210" s="1"/>
    </row>
    <row r="1211" spans="2:13" x14ac:dyDescent="0.25">
      <c r="B1211" s="1"/>
      <c r="C1211" s="1"/>
      <c r="D1211" s="1"/>
      <c r="E1211" s="1"/>
      <c r="F1211" s="1"/>
      <c r="G1211" s="1"/>
      <c r="I1211" s="1"/>
      <c r="J1211" s="1"/>
      <c r="K1211" s="1"/>
      <c r="L1211" s="1"/>
      <c r="M1211" s="1"/>
    </row>
    <row r="1212" spans="2:13" x14ac:dyDescent="0.25">
      <c r="B1212" s="1"/>
      <c r="C1212" s="1"/>
      <c r="D1212" s="1"/>
      <c r="E1212" s="1"/>
      <c r="F1212" s="1"/>
      <c r="G1212" s="1"/>
      <c r="I1212" s="1"/>
      <c r="J1212" s="1"/>
      <c r="K1212" s="1"/>
      <c r="L1212" s="1"/>
      <c r="M1212" s="1"/>
    </row>
    <row r="1213" spans="2:13" x14ac:dyDescent="0.25">
      <c r="B1213" s="1"/>
      <c r="C1213" s="1"/>
      <c r="D1213" s="1"/>
      <c r="E1213" s="1"/>
      <c r="F1213" s="1"/>
      <c r="G1213" s="1"/>
      <c r="I1213" s="1"/>
      <c r="J1213" s="1"/>
      <c r="K1213" s="1"/>
      <c r="L1213" s="1"/>
      <c r="M1213" s="1"/>
    </row>
    <row r="1214" spans="2:13" x14ac:dyDescent="0.25">
      <c r="B1214" s="1"/>
      <c r="C1214" s="1"/>
      <c r="D1214" s="1"/>
      <c r="E1214" s="1"/>
      <c r="F1214" s="1"/>
      <c r="G1214" s="1"/>
      <c r="I1214" s="1"/>
      <c r="J1214" s="1"/>
      <c r="K1214" s="1"/>
      <c r="L1214" s="1"/>
      <c r="M1214" s="1"/>
    </row>
    <row r="1215" spans="2:13" x14ac:dyDescent="0.25">
      <c r="B1215" s="1"/>
      <c r="C1215" s="1"/>
      <c r="D1215" s="1"/>
      <c r="E1215" s="1"/>
      <c r="F1215" s="1"/>
      <c r="G1215" s="1"/>
      <c r="I1215" s="1"/>
      <c r="J1215" s="1"/>
      <c r="K1215" s="1"/>
      <c r="L1215" s="1"/>
      <c r="M1215" s="1"/>
    </row>
    <row r="1216" spans="2:13" x14ac:dyDescent="0.25">
      <c r="B1216" s="1"/>
      <c r="C1216" s="1"/>
      <c r="D1216" s="1"/>
      <c r="E1216" s="1"/>
      <c r="F1216" s="1"/>
      <c r="G1216" s="1"/>
      <c r="I1216" s="1"/>
      <c r="J1216" s="1"/>
      <c r="K1216" s="1"/>
      <c r="L1216" s="1"/>
      <c r="M1216" s="1"/>
    </row>
    <row r="1217" spans="2:13" x14ac:dyDescent="0.25">
      <c r="B1217" s="1"/>
      <c r="C1217" s="1"/>
      <c r="D1217" s="1"/>
      <c r="E1217" s="1"/>
      <c r="F1217" s="1"/>
      <c r="G1217" s="1"/>
      <c r="I1217" s="1"/>
      <c r="J1217" s="1"/>
      <c r="K1217" s="1"/>
      <c r="L1217" s="1"/>
      <c r="M1217" s="1"/>
    </row>
    <row r="1218" spans="2:13" x14ac:dyDescent="0.25">
      <c r="B1218" s="1"/>
      <c r="C1218" s="1"/>
      <c r="D1218" s="1"/>
      <c r="E1218" s="1"/>
      <c r="F1218" s="1"/>
      <c r="G1218" s="1"/>
      <c r="I1218" s="1"/>
      <c r="J1218" s="1"/>
      <c r="K1218" s="1"/>
      <c r="L1218" s="1"/>
      <c r="M1218" s="1"/>
    </row>
    <row r="1219" spans="2:13" x14ac:dyDescent="0.25">
      <c r="B1219" s="1"/>
      <c r="C1219" s="1"/>
      <c r="D1219" s="1"/>
      <c r="E1219" s="1"/>
      <c r="F1219" s="1"/>
      <c r="G1219" s="1"/>
      <c r="I1219" s="1"/>
      <c r="J1219" s="1"/>
      <c r="K1219" s="1"/>
      <c r="L1219" s="1"/>
      <c r="M1219" s="1"/>
    </row>
    <row r="1220" spans="2:13" x14ac:dyDescent="0.25">
      <c r="B1220" s="1"/>
      <c r="C1220" s="1"/>
      <c r="D1220" s="1"/>
      <c r="E1220" s="1"/>
      <c r="F1220" s="1"/>
      <c r="G1220" s="1"/>
      <c r="I1220" s="1"/>
      <c r="J1220" s="1"/>
      <c r="K1220" s="1"/>
      <c r="L1220" s="1"/>
      <c r="M1220" s="1"/>
    </row>
    <row r="1221" spans="2:13" x14ac:dyDescent="0.25">
      <c r="B1221" s="1"/>
      <c r="C1221" s="1"/>
      <c r="D1221" s="1"/>
      <c r="E1221" s="1"/>
      <c r="F1221" s="1"/>
      <c r="G1221" s="1"/>
      <c r="I1221" s="1"/>
      <c r="J1221" s="1"/>
      <c r="K1221" s="1"/>
      <c r="L1221" s="1"/>
      <c r="M1221" s="1"/>
    </row>
    <row r="1222" spans="2:13" x14ac:dyDescent="0.25">
      <c r="B1222" s="1"/>
      <c r="C1222" s="1"/>
      <c r="D1222" s="1"/>
      <c r="E1222" s="1"/>
      <c r="F1222" s="1"/>
      <c r="G1222" s="1"/>
      <c r="I1222" s="1"/>
      <c r="J1222" s="1"/>
      <c r="K1222" s="1"/>
      <c r="L1222" s="1"/>
      <c r="M1222" s="1"/>
    </row>
    <row r="1223" spans="2:13" x14ac:dyDescent="0.25">
      <c r="B1223" s="1"/>
      <c r="C1223" s="1"/>
      <c r="D1223" s="1"/>
      <c r="E1223" s="1"/>
      <c r="F1223" s="1"/>
      <c r="G1223" s="1"/>
      <c r="I1223" s="1"/>
      <c r="J1223" s="1"/>
      <c r="K1223" s="1"/>
      <c r="L1223" s="1"/>
      <c r="M1223" s="1"/>
    </row>
    <row r="1224" spans="2:13" x14ac:dyDescent="0.25">
      <c r="B1224" s="1"/>
      <c r="C1224" s="1"/>
      <c r="D1224" s="1"/>
      <c r="E1224" s="1"/>
      <c r="F1224" s="1"/>
      <c r="G1224" s="1"/>
      <c r="I1224" s="1"/>
      <c r="J1224" s="1"/>
      <c r="K1224" s="1"/>
      <c r="L1224" s="1"/>
      <c r="M1224" s="1"/>
    </row>
    <row r="1225" spans="2:13" x14ac:dyDescent="0.25">
      <c r="B1225" s="1"/>
      <c r="C1225" s="1"/>
      <c r="D1225" s="1"/>
      <c r="E1225" s="1"/>
      <c r="F1225" s="1"/>
      <c r="G1225" s="1"/>
      <c r="I1225" s="1"/>
      <c r="J1225" s="1"/>
      <c r="K1225" s="1"/>
      <c r="L1225" s="1"/>
      <c r="M1225" s="1"/>
    </row>
    <row r="1226" spans="2:13" x14ac:dyDescent="0.25">
      <c r="B1226" s="1"/>
      <c r="C1226" s="1"/>
      <c r="D1226" s="1"/>
      <c r="E1226" s="1"/>
      <c r="F1226" s="1"/>
      <c r="G1226" s="1"/>
      <c r="I1226" s="1"/>
      <c r="J1226" s="1"/>
      <c r="K1226" s="1"/>
      <c r="L1226" s="1"/>
      <c r="M1226" s="1"/>
    </row>
    <row r="1227" spans="2:13" x14ac:dyDescent="0.25">
      <c r="B1227" s="1"/>
      <c r="C1227" s="1"/>
      <c r="D1227" s="1"/>
      <c r="E1227" s="1"/>
      <c r="F1227" s="1"/>
      <c r="G1227" s="1"/>
      <c r="I1227" s="1"/>
      <c r="J1227" s="1"/>
      <c r="K1227" s="1"/>
      <c r="L1227" s="1"/>
      <c r="M1227" s="1"/>
    </row>
    <row r="1228" spans="2:13" x14ac:dyDescent="0.25">
      <c r="B1228" s="1"/>
      <c r="C1228" s="1"/>
      <c r="D1228" s="1"/>
      <c r="E1228" s="1"/>
      <c r="F1228" s="1"/>
      <c r="G1228" s="1"/>
      <c r="I1228" s="1"/>
      <c r="J1228" s="1"/>
      <c r="K1228" s="1"/>
      <c r="L1228" s="1"/>
      <c r="M1228" s="1"/>
    </row>
    <row r="1229" spans="2:13" x14ac:dyDescent="0.25">
      <c r="B1229" s="1"/>
      <c r="C1229" s="1"/>
      <c r="D1229" s="1"/>
      <c r="E1229" s="1"/>
      <c r="F1229" s="1"/>
      <c r="G1229" s="1"/>
      <c r="I1229" s="1"/>
      <c r="J1229" s="1"/>
      <c r="K1229" s="1"/>
      <c r="L1229" s="1"/>
      <c r="M1229" s="1"/>
    </row>
    <row r="1230" spans="2:13" x14ac:dyDescent="0.25">
      <c r="B1230" s="1"/>
      <c r="C1230" s="1"/>
      <c r="D1230" s="1"/>
      <c r="E1230" s="1"/>
      <c r="F1230" s="1"/>
      <c r="G1230" s="1"/>
      <c r="I1230" s="1"/>
      <c r="J1230" s="1"/>
      <c r="K1230" s="1"/>
      <c r="L1230" s="1"/>
      <c r="M1230" s="1"/>
    </row>
    <row r="1231" spans="2:13" x14ac:dyDescent="0.25">
      <c r="B1231" s="1"/>
      <c r="C1231" s="1"/>
      <c r="D1231" s="1"/>
      <c r="E1231" s="1"/>
      <c r="F1231" s="1"/>
      <c r="G1231" s="1"/>
      <c r="I1231" s="1"/>
      <c r="J1231" s="1"/>
      <c r="K1231" s="1"/>
      <c r="L1231" s="1"/>
      <c r="M1231" s="1"/>
    </row>
    <row r="1232" spans="2:13" x14ac:dyDescent="0.25">
      <c r="B1232" s="1"/>
      <c r="C1232" s="1"/>
      <c r="D1232" s="1"/>
      <c r="E1232" s="1"/>
      <c r="F1232" s="1"/>
      <c r="G1232" s="1"/>
      <c r="I1232" s="1"/>
      <c r="J1232" s="1"/>
      <c r="K1232" s="1"/>
      <c r="L1232" s="1"/>
      <c r="M1232" s="1"/>
    </row>
    <row r="1233" spans="2:13" x14ac:dyDescent="0.25">
      <c r="B1233" s="1"/>
      <c r="C1233" s="1"/>
      <c r="D1233" s="1"/>
      <c r="E1233" s="1"/>
      <c r="F1233" s="1"/>
      <c r="G1233" s="1"/>
      <c r="I1233" s="1"/>
      <c r="J1233" s="1"/>
      <c r="K1233" s="1"/>
      <c r="L1233" s="1"/>
      <c r="M1233" s="1"/>
    </row>
    <row r="1234" spans="2:13" x14ac:dyDescent="0.25">
      <c r="B1234" s="1"/>
      <c r="C1234" s="1"/>
      <c r="D1234" s="1"/>
      <c r="E1234" s="1"/>
      <c r="F1234" s="1"/>
      <c r="G1234" s="1"/>
      <c r="I1234" s="1"/>
      <c r="J1234" s="1"/>
      <c r="K1234" s="1"/>
      <c r="L1234" s="1"/>
      <c r="M1234" s="1"/>
    </row>
    <row r="1235" spans="2:13" x14ac:dyDescent="0.25">
      <c r="B1235" s="1"/>
      <c r="C1235" s="1"/>
      <c r="D1235" s="1"/>
      <c r="E1235" s="1"/>
      <c r="F1235" s="1"/>
      <c r="G1235" s="1"/>
      <c r="I1235" s="1"/>
      <c r="J1235" s="1"/>
      <c r="K1235" s="1"/>
      <c r="L1235" s="1"/>
      <c r="M1235" s="1"/>
    </row>
    <row r="1236" spans="2:13" x14ac:dyDescent="0.25">
      <c r="B1236" s="1"/>
      <c r="C1236" s="1"/>
      <c r="D1236" s="1"/>
      <c r="E1236" s="1"/>
      <c r="F1236" s="1"/>
      <c r="G1236" s="1"/>
      <c r="I1236" s="1"/>
      <c r="J1236" s="1"/>
      <c r="K1236" s="1"/>
      <c r="L1236" s="1"/>
      <c r="M1236" s="1"/>
    </row>
    <row r="1237" spans="2:13" x14ac:dyDescent="0.25">
      <c r="B1237" s="1"/>
      <c r="C1237" s="1"/>
      <c r="D1237" s="1"/>
      <c r="E1237" s="1"/>
      <c r="F1237" s="1"/>
      <c r="G1237" s="1"/>
      <c r="I1237" s="1"/>
      <c r="J1237" s="1"/>
      <c r="K1237" s="1"/>
      <c r="L1237" s="1"/>
      <c r="M1237" s="1"/>
    </row>
    <row r="1238" spans="2:13" x14ac:dyDescent="0.25">
      <c r="B1238" s="1"/>
      <c r="C1238" s="1"/>
      <c r="D1238" s="1"/>
      <c r="E1238" s="1"/>
      <c r="F1238" s="1"/>
      <c r="G1238" s="1"/>
      <c r="I1238" s="1"/>
      <c r="J1238" s="1"/>
      <c r="K1238" s="1"/>
      <c r="L1238" s="1"/>
      <c r="M1238" s="1"/>
    </row>
    <row r="1239" spans="2:13" x14ac:dyDescent="0.25">
      <c r="B1239" s="1"/>
      <c r="C1239" s="1"/>
      <c r="D1239" s="1"/>
      <c r="E1239" s="1"/>
      <c r="F1239" s="1"/>
      <c r="G1239" s="1"/>
      <c r="I1239" s="1"/>
      <c r="J1239" s="1"/>
      <c r="K1239" s="1"/>
      <c r="L1239" s="1"/>
      <c r="M1239" s="1"/>
    </row>
    <row r="1240" spans="2:13" x14ac:dyDescent="0.25">
      <c r="B1240" s="1"/>
      <c r="C1240" s="1"/>
      <c r="D1240" s="1"/>
      <c r="E1240" s="1"/>
      <c r="F1240" s="1"/>
      <c r="G1240" s="1"/>
      <c r="I1240" s="1"/>
      <c r="J1240" s="1"/>
      <c r="K1240" s="1"/>
      <c r="L1240" s="1"/>
      <c r="M1240" s="1"/>
    </row>
    <row r="1241" spans="2:13" x14ac:dyDescent="0.25">
      <c r="B1241" s="1"/>
      <c r="C1241" s="1"/>
      <c r="D1241" s="1"/>
      <c r="E1241" s="1"/>
      <c r="F1241" s="1"/>
      <c r="G1241" s="1"/>
      <c r="I1241" s="1"/>
      <c r="J1241" s="1"/>
      <c r="K1241" s="1"/>
      <c r="L1241" s="1"/>
      <c r="M1241" s="1"/>
    </row>
    <row r="1242" spans="2:13" x14ac:dyDescent="0.25">
      <c r="B1242" s="1"/>
      <c r="C1242" s="1"/>
      <c r="D1242" s="1"/>
      <c r="E1242" s="1"/>
      <c r="F1242" s="1"/>
      <c r="G1242" s="1"/>
      <c r="I1242" s="1"/>
      <c r="J1242" s="1"/>
      <c r="K1242" s="1"/>
      <c r="L1242" s="1"/>
      <c r="M1242" s="1"/>
    </row>
    <row r="1243" spans="2:13" x14ac:dyDescent="0.25">
      <c r="B1243" s="1"/>
      <c r="C1243" s="1"/>
      <c r="D1243" s="1"/>
      <c r="E1243" s="1"/>
      <c r="F1243" s="1"/>
      <c r="G1243" s="1"/>
      <c r="I1243" s="1"/>
      <c r="J1243" s="1"/>
      <c r="K1243" s="1"/>
      <c r="L1243" s="1"/>
      <c r="M1243" s="1"/>
    </row>
    <row r="1244" spans="2:13" x14ac:dyDescent="0.25">
      <c r="B1244" s="1"/>
      <c r="C1244" s="1"/>
      <c r="D1244" s="1"/>
      <c r="E1244" s="1"/>
      <c r="F1244" s="1"/>
      <c r="G1244" s="1"/>
      <c r="I1244" s="1"/>
      <c r="J1244" s="1"/>
      <c r="K1244" s="1"/>
      <c r="L1244" s="1"/>
      <c r="M1244" s="1"/>
    </row>
    <row r="1245" spans="2:13" x14ac:dyDescent="0.25">
      <c r="B1245" s="1"/>
      <c r="C1245" s="1"/>
      <c r="D1245" s="1"/>
      <c r="E1245" s="1"/>
      <c r="F1245" s="1"/>
      <c r="G1245" s="1"/>
      <c r="I1245" s="1"/>
      <c r="J1245" s="1"/>
      <c r="K1245" s="1"/>
      <c r="L1245" s="1"/>
      <c r="M1245" s="1"/>
    </row>
    <row r="1246" spans="2:13" x14ac:dyDescent="0.25">
      <c r="B1246" s="1"/>
      <c r="C1246" s="1"/>
      <c r="D1246" s="1"/>
      <c r="E1246" s="1"/>
      <c r="F1246" s="1"/>
      <c r="G1246" s="1"/>
      <c r="I1246" s="1"/>
      <c r="J1246" s="1"/>
      <c r="K1246" s="1"/>
      <c r="L1246" s="1"/>
      <c r="M1246" s="1"/>
    </row>
    <row r="1247" spans="2:13" x14ac:dyDescent="0.25">
      <c r="B1247" s="1"/>
      <c r="C1247" s="1"/>
      <c r="D1247" s="1"/>
      <c r="E1247" s="1"/>
      <c r="F1247" s="1"/>
      <c r="G1247" s="1"/>
      <c r="I1247" s="1"/>
      <c r="J1247" s="1"/>
      <c r="K1247" s="1"/>
      <c r="L1247" s="1"/>
      <c r="M1247" s="1"/>
    </row>
    <row r="1248" spans="2:13" x14ac:dyDescent="0.25">
      <c r="B1248" s="1"/>
      <c r="C1248" s="1"/>
      <c r="D1248" s="1"/>
      <c r="E1248" s="1"/>
      <c r="F1248" s="1"/>
      <c r="G1248" s="1"/>
      <c r="I1248" s="1"/>
      <c r="J1248" s="1"/>
      <c r="K1248" s="1"/>
      <c r="L1248" s="1"/>
      <c r="M1248" s="1"/>
    </row>
    <row r="1249" spans="2:13" x14ac:dyDescent="0.25">
      <c r="B1249" s="1"/>
      <c r="C1249" s="1"/>
      <c r="D1249" s="1"/>
      <c r="E1249" s="1"/>
      <c r="F1249" s="1"/>
      <c r="G1249" s="1"/>
      <c r="I1249" s="1"/>
      <c r="J1249" s="1"/>
      <c r="K1249" s="1"/>
      <c r="L1249" s="1"/>
      <c r="M1249" s="1"/>
    </row>
    <row r="1250" spans="2:13" x14ac:dyDescent="0.25">
      <c r="B1250" s="1"/>
      <c r="C1250" s="1"/>
      <c r="D1250" s="1"/>
      <c r="E1250" s="1"/>
      <c r="F1250" s="1"/>
      <c r="G1250" s="1"/>
      <c r="I1250" s="1"/>
      <c r="J1250" s="1"/>
      <c r="K1250" s="1"/>
      <c r="L1250" s="1"/>
      <c r="M1250" s="1"/>
    </row>
    <row r="1251" spans="2:13" x14ac:dyDescent="0.25">
      <c r="B1251" s="1"/>
      <c r="C1251" s="1"/>
      <c r="D1251" s="1"/>
      <c r="E1251" s="1"/>
      <c r="F1251" s="1"/>
      <c r="G1251" s="1"/>
      <c r="I1251" s="1"/>
      <c r="J1251" s="1"/>
      <c r="K1251" s="1"/>
      <c r="L1251" s="1"/>
      <c r="M1251" s="1"/>
    </row>
    <row r="1252" spans="2:13" x14ac:dyDescent="0.25">
      <c r="B1252" s="1"/>
      <c r="C1252" s="1"/>
      <c r="D1252" s="1"/>
      <c r="E1252" s="1"/>
      <c r="F1252" s="1"/>
      <c r="G1252" s="1"/>
      <c r="I1252" s="1"/>
      <c r="J1252" s="1"/>
      <c r="K1252" s="1"/>
      <c r="L1252" s="1"/>
      <c r="M1252" s="1"/>
    </row>
    <row r="1253" spans="2:13" x14ac:dyDescent="0.25">
      <c r="B1253" s="1"/>
      <c r="C1253" s="1"/>
      <c r="D1253" s="1"/>
      <c r="E1253" s="1"/>
      <c r="F1253" s="1"/>
      <c r="G1253" s="1"/>
      <c r="I1253" s="1"/>
      <c r="J1253" s="1"/>
      <c r="K1253" s="1"/>
      <c r="L1253" s="1"/>
      <c r="M1253" s="1"/>
    </row>
    <row r="1254" spans="2:13" x14ac:dyDescent="0.25">
      <c r="B1254" s="1"/>
      <c r="C1254" s="1"/>
      <c r="D1254" s="1"/>
      <c r="E1254" s="1"/>
      <c r="F1254" s="1"/>
      <c r="G1254" s="1"/>
      <c r="I1254" s="1"/>
      <c r="J1254" s="1"/>
      <c r="K1254" s="1"/>
      <c r="L1254" s="1"/>
      <c r="M1254" s="1"/>
    </row>
    <row r="1255" spans="2:13" x14ac:dyDescent="0.25">
      <c r="B1255" s="1"/>
      <c r="C1255" s="1"/>
      <c r="D1255" s="1"/>
      <c r="E1255" s="1"/>
      <c r="F1255" s="1"/>
      <c r="G1255" s="1"/>
      <c r="I1255" s="1"/>
      <c r="J1255" s="1"/>
      <c r="K1255" s="1"/>
      <c r="L1255" s="1"/>
      <c r="M1255" s="1"/>
    </row>
    <row r="1256" spans="2:13" x14ac:dyDescent="0.25">
      <c r="B1256" s="1"/>
      <c r="C1256" s="1"/>
      <c r="D1256" s="1"/>
      <c r="E1256" s="1"/>
      <c r="F1256" s="1"/>
      <c r="G1256" s="1"/>
      <c r="I1256" s="1"/>
      <c r="J1256" s="1"/>
      <c r="K1256" s="1"/>
      <c r="L1256" s="1"/>
      <c r="M1256" s="1"/>
    </row>
    <row r="1257" spans="2:13" x14ac:dyDescent="0.25">
      <c r="B1257" s="1"/>
      <c r="C1257" s="1"/>
      <c r="D1257" s="1"/>
      <c r="E1257" s="1"/>
      <c r="F1257" s="1"/>
      <c r="G1257" s="1"/>
      <c r="I1257" s="1"/>
      <c r="J1257" s="1"/>
      <c r="K1257" s="1"/>
      <c r="L1257" s="1"/>
      <c r="M1257" s="1"/>
    </row>
    <row r="1258" spans="2:13" x14ac:dyDescent="0.25">
      <c r="B1258" s="1"/>
      <c r="C1258" s="1"/>
      <c r="D1258" s="1"/>
      <c r="E1258" s="1"/>
      <c r="F1258" s="1"/>
      <c r="G1258" s="1"/>
      <c r="I1258" s="1"/>
      <c r="J1258" s="1"/>
      <c r="K1258" s="1"/>
      <c r="L1258" s="1"/>
      <c r="M1258" s="1"/>
    </row>
    <row r="1259" spans="2:13" x14ac:dyDescent="0.25">
      <c r="B1259" s="1"/>
      <c r="C1259" s="1"/>
      <c r="D1259" s="1"/>
      <c r="E1259" s="1"/>
      <c r="F1259" s="1"/>
      <c r="G1259" s="1"/>
      <c r="I1259" s="1"/>
      <c r="J1259" s="1"/>
      <c r="K1259" s="1"/>
      <c r="L1259" s="1"/>
      <c r="M1259" s="1"/>
    </row>
    <row r="1260" spans="2:13" x14ac:dyDescent="0.25">
      <c r="B1260" s="1"/>
      <c r="C1260" s="1"/>
      <c r="D1260" s="1"/>
      <c r="E1260" s="1"/>
      <c r="F1260" s="1"/>
      <c r="G1260" s="1"/>
      <c r="I1260" s="1"/>
      <c r="J1260" s="1"/>
      <c r="K1260" s="1"/>
      <c r="L1260" s="1"/>
      <c r="M1260" s="1"/>
    </row>
    <row r="1261" spans="2:13" x14ac:dyDescent="0.25">
      <c r="B1261" s="1"/>
      <c r="C1261" s="1"/>
      <c r="D1261" s="1"/>
      <c r="E1261" s="1"/>
      <c r="F1261" s="1"/>
      <c r="G1261" s="1"/>
      <c r="I1261" s="1"/>
      <c r="J1261" s="1"/>
      <c r="K1261" s="1"/>
      <c r="L1261" s="1"/>
      <c r="M1261" s="1"/>
    </row>
    <row r="1262" spans="2:13" x14ac:dyDescent="0.25">
      <c r="B1262" s="1"/>
      <c r="C1262" s="1"/>
      <c r="D1262" s="1"/>
      <c r="E1262" s="1"/>
      <c r="F1262" s="1"/>
      <c r="G1262" s="1"/>
      <c r="I1262" s="1"/>
      <c r="J1262" s="1"/>
      <c r="K1262" s="1"/>
      <c r="L1262" s="1"/>
      <c r="M1262" s="1"/>
    </row>
    <row r="1263" spans="2:13" x14ac:dyDescent="0.25">
      <c r="B1263" s="1"/>
      <c r="C1263" s="1"/>
      <c r="D1263" s="1"/>
      <c r="E1263" s="1"/>
      <c r="F1263" s="1"/>
      <c r="G1263" s="1"/>
      <c r="I1263" s="1"/>
      <c r="J1263" s="1"/>
      <c r="K1263" s="1"/>
      <c r="L1263" s="1"/>
      <c r="M1263" s="1"/>
    </row>
    <row r="1264" spans="2:13" x14ac:dyDescent="0.25">
      <c r="B1264" s="1"/>
      <c r="C1264" s="1"/>
      <c r="D1264" s="1"/>
      <c r="E1264" s="1"/>
      <c r="F1264" s="1"/>
      <c r="G1264" s="1"/>
      <c r="I1264" s="1"/>
      <c r="J1264" s="1"/>
      <c r="K1264" s="1"/>
      <c r="L1264" s="1"/>
      <c r="M1264" s="1"/>
    </row>
    <row r="1265" spans="2:13" x14ac:dyDescent="0.25">
      <c r="B1265" s="1"/>
      <c r="C1265" s="1"/>
      <c r="D1265" s="1"/>
      <c r="E1265" s="1"/>
      <c r="F1265" s="1"/>
      <c r="G1265" s="1"/>
      <c r="I1265" s="1"/>
      <c r="J1265" s="1"/>
      <c r="K1265" s="1"/>
      <c r="L1265" s="1"/>
      <c r="M1265" s="1"/>
    </row>
    <row r="1266" spans="2:13" x14ac:dyDescent="0.25">
      <c r="B1266" s="1"/>
      <c r="C1266" s="1"/>
      <c r="D1266" s="1"/>
      <c r="E1266" s="1"/>
      <c r="F1266" s="1"/>
      <c r="G1266" s="1"/>
      <c r="I1266" s="1"/>
      <c r="J1266" s="1"/>
      <c r="K1266" s="1"/>
      <c r="L1266" s="1"/>
      <c r="M1266" s="1"/>
    </row>
    <row r="1267" spans="2:13" x14ac:dyDescent="0.25">
      <c r="B1267" s="1"/>
      <c r="C1267" s="1"/>
      <c r="D1267" s="1"/>
      <c r="E1267" s="1"/>
      <c r="F1267" s="1"/>
      <c r="G1267" s="1"/>
      <c r="I1267" s="1"/>
      <c r="J1267" s="1"/>
      <c r="K1267" s="1"/>
      <c r="L1267" s="1"/>
      <c r="M1267" s="1"/>
    </row>
    <row r="1268" spans="2:13" x14ac:dyDescent="0.25">
      <c r="B1268" s="1"/>
      <c r="C1268" s="1"/>
      <c r="D1268" s="1"/>
      <c r="E1268" s="1"/>
      <c r="F1268" s="1"/>
      <c r="G1268" s="1"/>
      <c r="I1268" s="1"/>
      <c r="J1268" s="1"/>
      <c r="K1268" s="1"/>
      <c r="L1268" s="1"/>
      <c r="M1268" s="1"/>
    </row>
    <row r="1269" spans="2:13" x14ac:dyDescent="0.25">
      <c r="B1269" s="1"/>
      <c r="C1269" s="1"/>
      <c r="D1269" s="1"/>
      <c r="E1269" s="1"/>
      <c r="F1269" s="1"/>
      <c r="G1269" s="1"/>
      <c r="I1269" s="1"/>
      <c r="J1269" s="1"/>
      <c r="K1269" s="1"/>
      <c r="L1269" s="1"/>
      <c r="M1269" s="1"/>
    </row>
    <row r="1270" spans="2:13" x14ac:dyDescent="0.25">
      <c r="B1270" s="1"/>
      <c r="C1270" s="1"/>
      <c r="D1270" s="1"/>
      <c r="E1270" s="1"/>
      <c r="F1270" s="1"/>
      <c r="G1270" s="1"/>
      <c r="I1270" s="1"/>
      <c r="J1270" s="1"/>
      <c r="K1270" s="1"/>
      <c r="L1270" s="1"/>
      <c r="M1270" s="1"/>
    </row>
    <row r="1271" spans="2:13" x14ac:dyDescent="0.25">
      <c r="B1271" s="1"/>
      <c r="C1271" s="1"/>
      <c r="D1271" s="1"/>
      <c r="E1271" s="1"/>
      <c r="F1271" s="1"/>
      <c r="G1271" s="1"/>
      <c r="I1271" s="1"/>
      <c r="J1271" s="1"/>
      <c r="K1271" s="1"/>
      <c r="L1271" s="1"/>
      <c r="M1271" s="1"/>
    </row>
    <row r="1272" spans="2:13" x14ac:dyDescent="0.25">
      <c r="B1272" s="1"/>
      <c r="C1272" s="1"/>
      <c r="D1272" s="1"/>
      <c r="E1272" s="1"/>
      <c r="F1272" s="1"/>
      <c r="G1272" s="1"/>
      <c r="I1272" s="1"/>
      <c r="J1272" s="1"/>
      <c r="K1272" s="1"/>
      <c r="L1272" s="1"/>
      <c r="M1272" s="1"/>
    </row>
    <row r="1273" spans="2:13" x14ac:dyDescent="0.25">
      <c r="B1273" s="1"/>
      <c r="C1273" s="1"/>
      <c r="D1273" s="1"/>
      <c r="E1273" s="1"/>
      <c r="F1273" s="1"/>
      <c r="G1273" s="1"/>
      <c r="I1273" s="1"/>
      <c r="J1273" s="1"/>
      <c r="K1273" s="1"/>
      <c r="L1273" s="1"/>
      <c r="M1273" s="1"/>
    </row>
    <row r="1274" spans="2:13" x14ac:dyDescent="0.25">
      <c r="B1274" s="1"/>
      <c r="C1274" s="1"/>
      <c r="D1274" s="1"/>
      <c r="E1274" s="1"/>
      <c r="F1274" s="1"/>
      <c r="G1274" s="1"/>
      <c r="I1274" s="1"/>
      <c r="J1274" s="1"/>
      <c r="K1274" s="1"/>
      <c r="L1274" s="1"/>
      <c r="M1274" s="1"/>
    </row>
    <row r="1275" spans="2:13" x14ac:dyDescent="0.25">
      <c r="B1275" s="1"/>
      <c r="C1275" s="1"/>
      <c r="D1275" s="1"/>
      <c r="E1275" s="1"/>
      <c r="F1275" s="1"/>
      <c r="G1275" s="1"/>
      <c r="I1275" s="1"/>
      <c r="J1275" s="1"/>
      <c r="K1275" s="1"/>
      <c r="L1275" s="1"/>
      <c r="M1275" s="1"/>
    </row>
    <row r="1276" spans="2:13" x14ac:dyDescent="0.25">
      <c r="B1276" s="1"/>
      <c r="C1276" s="1"/>
      <c r="D1276" s="1"/>
      <c r="E1276" s="1"/>
      <c r="F1276" s="1"/>
      <c r="G1276" s="1"/>
      <c r="I1276" s="1"/>
      <c r="J1276" s="1"/>
      <c r="K1276" s="1"/>
      <c r="L1276" s="1"/>
      <c r="M1276" s="1"/>
    </row>
    <row r="1277" spans="2:13" x14ac:dyDescent="0.25">
      <c r="B1277" s="1"/>
      <c r="C1277" s="1"/>
      <c r="D1277" s="1"/>
      <c r="E1277" s="1"/>
      <c r="F1277" s="1"/>
      <c r="G1277" s="1"/>
      <c r="I1277" s="1"/>
      <c r="J1277" s="1"/>
      <c r="K1277" s="1"/>
      <c r="L1277" s="1"/>
      <c r="M1277" s="1"/>
    </row>
    <row r="1278" spans="2:13" x14ac:dyDescent="0.25">
      <c r="B1278" s="1"/>
      <c r="C1278" s="1"/>
      <c r="D1278" s="1"/>
      <c r="E1278" s="1"/>
      <c r="F1278" s="1"/>
      <c r="G1278" s="1"/>
      <c r="I1278" s="1"/>
      <c r="J1278" s="1"/>
      <c r="K1278" s="1"/>
      <c r="L1278" s="1"/>
      <c r="M1278" s="1"/>
    </row>
    <row r="1279" spans="2:13" x14ac:dyDescent="0.25">
      <c r="B1279" s="1"/>
      <c r="C1279" s="1"/>
      <c r="D1279" s="1"/>
      <c r="E1279" s="1"/>
      <c r="F1279" s="1"/>
      <c r="G1279" s="1"/>
      <c r="I1279" s="1"/>
      <c r="J1279" s="1"/>
      <c r="K1279" s="1"/>
      <c r="L1279" s="1"/>
      <c r="M1279" s="1"/>
    </row>
    <row r="1280" spans="2:13" x14ac:dyDescent="0.25">
      <c r="B1280" s="1"/>
      <c r="C1280" s="1"/>
      <c r="D1280" s="1"/>
      <c r="E1280" s="1"/>
      <c r="F1280" s="1"/>
      <c r="G1280" s="1"/>
      <c r="I1280" s="1"/>
      <c r="J1280" s="1"/>
      <c r="K1280" s="1"/>
      <c r="L1280" s="1"/>
      <c r="M1280" s="1"/>
    </row>
    <row r="1281" spans="2:13" x14ac:dyDescent="0.25">
      <c r="B1281" s="1"/>
      <c r="C1281" s="1"/>
      <c r="D1281" s="1"/>
      <c r="E1281" s="1"/>
      <c r="F1281" s="1"/>
      <c r="G1281" s="1"/>
      <c r="I1281" s="1"/>
      <c r="J1281" s="1"/>
      <c r="K1281" s="1"/>
      <c r="L1281" s="1"/>
      <c r="M1281" s="1"/>
    </row>
    <row r="1282" spans="2:13" x14ac:dyDescent="0.25">
      <c r="B1282" s="1"/>
      <c r="C1282" s="1"/>
      <c r="D1282" s="1"/>
      <c r="E1282" s="1"/>
      <c r="F1282" s="1"/>
      <c r="G1282" s="1"/>
      <c r="I1282" s="1"/>
      <c r="J1282" s="1"/>
      <c r="K1282" s="1"/>
      <c r="L1282" s="1"/>
      <c r="M1282" s="1"/>
    </row>
    <row r="1283" spans="2:13" x14ac:dyDescent="0.25">
      <c r="B1283" s="1"/>
      <c r="C1283" s="1"/>
      <c r="D1283" s="1"/>
      <c r="E1283" s="1"/>
      <c r="F1283" s="1"/>
      <c r="G1283" s="1"/>
      <c r="I1283" s="1"/>
      <c r="J1283" s="1"/>
      <c r="K1283" s="1"/>
      <c r="L1283" s="1"/>
      <c r="M1283" s="1"/>
    </row>
    <row r="1284" spans="2:13" x14ac:dyDescent="0.25">
      <c r="B1284" s="1"/>
      <c r="C1284" s="1"/>
      <c r="D1284" s="1"/>
      <c r="E1284" s="1"/>
      <c r="F1284" s="1"/>
      <c r="G1284" s="1"/>
      <c r="I1284" s="1"/>
      <c r="J1284" s="1"/>
      <c r="K1284" s="1"/>
      <c r="L1284" s="1"/>
      <c r="M1284" s="1"/>
    </row>
    <row r="1285" spans="2:13" x14ac:dyDescent="0.25">
      <c r="B1285" s="1"/>
      <c r="C1285" s="1"/>
      <c r="D1285" s="1"/>
      <c r="E1285" s="1"/>
      <c r="F1285" s="1"/>
      <c r="G1285" s="1"/>
      <c r="I1285" s="1"/>
      <c r="J1285" s="1"/>
      <c r="K1285" s="1"/>
      <c r="L1285" s="1"/>
      <c r="M1285" s="1"/>
    </row>
    <row r="1286" spans="2:13" x14ac:dyDescent="0.25">
      <c r="B1286" s="1"/>
      <c r="C1286" s="1"/>
      <c r="D1286" s="1"/>
      <c r="E1286" s="1"/>
      <c r="F1286" s="1"/>
      <c r="G1286" s="1"/>
      <c r="I1286" s="1"/>
      <c r="J1286" s="1"/>
      <c r="K1286" s="1"/>
      <c r="L1286" s="1"/>
      <c r="M1286" s="1"/>
    </row>
    <row r="1287" spans="2:13" x14ac:dyDescent="0.25">
      <c r="B1287" s="1"/>
      <c r="C1287" s="1"/>
      <c r="D1287" s="1"/>
      <c r="E1287" s="1"/>
      <c r="F1287" s="1"/>
      <c r="G1287" s="1"/>
      <c r="I1287" s="1"/>
      <c r="J1287" s="1"/>
      <c r="K1287" s="1"/>
      <c r="L1287" s="1"/>
      <c r="M1287" s="1"/>
    </row>
    <row r="1288" spans="2:13" x14ac:dyDescent="0.25">
      <c r="B1288" s="1"/>
      <c r="C1288" s="1"/>
      <c r="D1288" s="1"/>
      <c r="E1288" s="1"/>
      <c r="F1288" s="1"/>
      <c r="G1288" s="1"/>
      <c r="I1288" s="1"/>
      <c r="J1288" s="1"/>
      <c r="K1288" s="1"/>
      <c r="L1288" s="1"/>
      <c r="M1288" s="1"/>
    </row>
    <row r="1289" spans="2:13" x14ac:dyDescent="0.25">
      <c r="B1289" s="1"/>
      <c r="C1289" s="1"/>
      <c r="D1289" s="1"/>
      <c r="E1289" s="1"/>
      <c r="F1289" s="1"/>
      <c r="G1289" s="1"/>
      <c r="I1289" s="1"/>
      <c r="J1289" s="1"/>
      <c r="K1289" s="1"/>
      <c r="L1289" s="1"/>
      <c r="M1289" s="1"/>
    </row>
    <row r="1290" spans="2:13" x14ac:dyDescent="0.25">
      <c r="B1290" s="1"/>
      <c r="C1290" s="1"/>
      <c r="D1290" s="1"/>
      <c r="E1290" s="1"/>
      <c r="F1290" s="1"/>
      <c r="G1290" s="1"/>
      <c r="I1290" s="1"/>
      <c r="J1290" s="1"/>
      <c r="K1290" s="1"/>
      <c r="L1290" s="1"/>
      <c r="M1290" s="1"/>
    </row>
    <row r="1291" spans="2:13" x14ac:dyDescent="0.25">
      <c r="B1291" s="1"/>
      <c r="C1291" s="1"/>
      <c r="D1291" s="1"/>
      <c r="E1291" s="1"/>
      <c r="F1291" s="1"/>
      <c r="G1291" s="1"/>
      <c r="I1291" s="1"/>
      <c r="J1291" s="1"/>
      <c r="K1291" s="1"/>
      <c r="L1291" s="1"/>
      <c r="M1291" s="1"/>
    </row>
    <row r="1292" spans="2:13" x14ac:dyDescent="0.25">
      <c r="B1292" s="1"/>
      <c r="C1292" s="1"/>
      <c r="D1292" s="1"/>
      <c r="E1292" s="1"/>
      <c r="F1292" s="1"/>
      <c r="G1292" s="1"/>
      <c r="I1292" s="1"/>
      <c r="J1292" s="1"/>
      <c r="K1292" s="1"/>
      <c r="L1292" s="1"/>
      <c r="M1292" s="1"/>
    </row>
    <row r="1293" spans="2:13" x14ac:dyDescent="0.25">
      <c r="B1293" s="1"/>
      <c r="C1293" s="1"/>
      <c r="D1293" s="1"/>
      <c r="E1293" s="1"/>
      <c r="F1293" s="1"/>
      <c r="G1293" s="1"/>
      <c r="I1293" s="1"/>
      <c r="J1293" s="1"/>
      <c r="K1293" s="1"/>
      <c r="L1293" s="1"/>
      <c r="M1293" s="1"/>
    </row>
    <row r="1294" spans="2:13" x14ac:dyDescent="0.25">
      <c r="B1294" s="1"/>
      <c r="C1294" s="1"/>
      <c r="D1294" s="1"/>
      <c r="E1294" s="1"/>
      <c r="F1294" s="1"/>
      <c r="G1294" s="1"/>
      <c r="I1294" s="1"/>
      <c r="J1294" s="1"/>
      <c r="K1294" s="1"/>
      <c r="L1294" s="1"/>
      <c r="M1294" s="1"/>
    </row>
    <row r="1295" spans="2:13" x14ac:dyDescent="0.25">
      <c r="B1295" s="1"/>
      <c r="C1295" s="1"/>
      <c r="D1295" s="1"/>
      <c r="E1295" s="1"/>
      <c r="F1295" s="1"/>
      <c r="G1295" s="1"/>
      <c r="I1295" s="1"/>
      <c r="J1295" s="1"/>
      <c r="K1295" s="1"/>
      <c r="L1295" s="1"/>
      <c r="M1295" s="1"/>
    </row>
    <row r="1296" spans="2:13" x14ac:dyDescent="0.25">
      <c r="B1296" s="1"/>
      <c r="C1296" s="1"/>
      <c r="D1296" s="1"/>
      <c r="E1296" s="1"/>
      <c r="F1296" s="1"/>
      <c r="G1296" s="1"/>
      <c r="I1296" s="1"/>
      <c r="J1296" s="1"/>
      <c r="K1296" s="1"/>
      <c r="L1296" s="1"/>
      <c r="M1296" s="1"/>
    </row>
    <row r="1297" spans="2:13" x14ac:dyDescent="0.25">
      <c r="B1297" s="1"/>
      <c r="C1297" s="1"/>
      <c r="D1297" s="1"/>
      <c r="E1297" s="1"/>
      <c r="F1297" s="1"/>
      <c r="G1297" s="1"/>
      <c r="I1297" s="1"/>
      <c r="J1297" s="1"/>
      <c r="K1297" s="1"/>
      <c r="L1297" s="1"/>
      <c r="M1297" s="1"/>
    </row>
    <row r="1298" spans="2:13" x14ac:dyDescent="0.25">
      <c r="B1298" s="1"/>
      <c r="C1298" s="1"/>
      <c r="D1298" s="1"/>
      <c r="E1298" s="1"/>
      <c r="F1298" s="1"/>
      <c r="G1298" s="1"/>
      <c r="I1298" s="1"/>
      <c r="J1298" s="1"/>
      <c r="K1298" s="1"/>
      <c r="L1298" s="1"/>
      <c r="M1298" s="1"/>
    </row>
    <row r="1299" spans="2:13" x14ac:dyDescent="0.25">
      <c r="B1299" s="1"/>
      <c r="C1299" s="1"/>
      <c r="D1299" s="1"/>
      <c r="E1299" s="1"/>
      <c r="F1299" s="1"/>
      <c r="G1299" s="1"/>
      <c r="I1299" s="1"/>
      <c r="J1299" s="1"/>
      <c r="K1299" s="1"/>
      <c r="L1299" s="1"/>
      <c r="M1299" s="1"/>
    </row>
    <row r="1300" spans="2:13" x14ac:dyDescent="0.25">
      <c r="B1300" s="1"/>
      <c r="C1300" s="1"/>
      <c r="D1300" s="1"/>
      <c r="E1300" s="1"/>
      <c r="F1300" s="1"/>
      <c r="G1300" s="1"/>
      <c r="I1300" s="1"/>
      <c r="J1300" s="1"/>
      <c r="K1300" s="1"/>
      <c r="L1300" s="1"/>
      <c r="M1300" s="1"/>
    </row>
    <row r="1301" spans="2:13" x14ac:dyDescent="0.25">
      <c r="B1301" s="1"/>
      <c r="C1301" s="1"/>
      <c r="D1301" s="1"/>
      <c r="E1301" s="1"/>
      <c r="F1301" s="1"/>
      <c r="G1301" s="1"/>
      <c r="I1301" s="1"/>
      <c r="J1301" s="1"/>
      <c r="K1301" s="1"/>
      <c r="L1301" s="1"/>
      <c r="M1301" s="1"/>
    </row>
    <row r="1302" spans="2:13" x14ac:dyDescent="0.25">
      <c r="B1302" s="1"/>
      <c r="C1302" s="1"/>
      <c r="D1302" s="1"/>
      <c r="E1302" s="1"/>
      <c r="F1302" s="1"/>
      <c r="G1302" s="1"/>
      <c r="I1302" s="1"/>
      <c r="J1302" s="1"/>
      <c r="K1302" s="1"/>
      <c r="L1302" s="1"/>
      <c r="M1302" s="1"/>
    </row>
    <row r="1303" spans="2:13" x14ac:dyDescent="0.25">
      <c r="B1303" s="1"/>
      <c r="C1303" s="1"/>
      <c r="D1303" s="1"/>
      <c r="E1303" s="1"/>
      <c r="F1303" s="1"/>
      <c r="G1303" s="1"/>
      <c r="I1303" s="1"/>
      <c r="J1303" s="1"/>
      <c r="K1303" s="1"/>
      <c r="L1303" s="1"/>
      <c r="M1303" s="1"/>
    </row>
    <row r="1304" spans="2:13" x14ac:dyDescent="0.25">
      <c r="B1304" s="1"/>
      <c r="C1304" s="1"/>
      <c r="D1304" s="1"/>
      <c r="E1304" s="1"/>
      <c r="F1304" s="1"/>
      <c r="G1304" s="1"/>
      <c r="I1304" s="1"/>
      <c r="J1304" s="1"/>
      <c r="K1304" s="1"/>
      <c r="L1304" s="1"/>
      <c r="M1304" s="1"/>
    </row>
    <row r="1305" spans="2:13" x14ac:dyDescent="0.25">
      <c r="B1305" s="1"/>
      <c r="C1305" s="1"/>
      <c r="D1305" s="1"/>
      <c r="E1305" s="1"/>
      <c r="F1305" s="1"/>
      <c r="G1305" s="1"/>
      <c r="I1305" s="1"/>
      <c r="J1305" s="1"/>
      <c r="K1305" s="1"/>
      <c r="L1305" s="1"/>
      <c r="M1305" s="1"/>
    </row>
    <row r="1306" spans="2:13" x14ac:dyDescent="0.25">
      <c r="B1306" s="1"/>
      <c r="C1306" s="1"/>
      <c r="D1306" s="1"/>
      <c r="E1306" s="1"/>
      <c r="F1306" s="1"/>
      <c r="G1306" s="1"/>
      <c r="I1306" s="1"/>
      <c r="J1306" s="1"/>
      <c r="K1306" s="1"/>
      <c r="L1306" s="1"/>
      <c r="M1306" s="1"/>
    </row>
    <row r="1307" spans="2:13" x14ac:dyDescent="0.25">
      <c r="B1307" s="1"/>
      <c r="C1307" s="1"/>
      <c r="D1307" s="1"/>
      <c r="E1307" s="1"/>
      <c r="F1307" s="1"/>
      <c r="G1307" s="1"/>
      <c r="I1307" s="1"/>
      <c r="J1307" s="1"/>
      <c r="K1307" s="1"/>
      <c r="L1307" s="1"/>
      <c r="M1307" s="1"/>
    </row>
    <row r="1308" spans="2:13" x14ac:dyDescent="0.25">
      <c r="B1308" s="1"/>
      <c r="C1308" s="1"/>
      <c r="D1308" s="1"/>
      <c r="E1308" s="1"/>
      <c r="F1308" s="1"/>
      <c r="G1308" s="1"/>
      <c r="I1308" s="1"/>
      <c r="J1308" s="1"/>
      <c r="K1308" s="1"/>
      <c r="L1308" s="1"/>
      <c r="M1308" s="1"/>
    </row>
    <row r="1309" spans="2:13" x14ac:dyDescent="0.25">
      <c r="B1309" s="1"/>
      <c r="C1309" s="1"/>
      <c r="D1309" s="1"/>
      <c r="E1309" s="1"/>
      <c r="F1309" s="1"/>
      <c r="G1309" s="1"/>
      <c r="I1309" s="1"/>
      <c r="J1309" s="1"/>
      <c r="K1309" s="1"/>
      <c r="L1309" s="1"/>
      <c r="M1309" s="1"/>
    </row>
    <row r="1310" spans="2:13" x14ac:dyDescent="0.25">
      <c r="B1310" s="1"/>
      <c r="C1310" s="1"/>
      <c r="D1310" s="1"/>
      <c r="E1310" s="1"/>
      <c r="F1310" s="1"/>
      <c r="G1310" s="1"/>
      <c r="I1310" s="1"/>
      <c r="J1310" s="1"/>
      <c r="K1310" s="1"/>
      <c r="L1310" s="1"/>
      <c r="M1310" s="1"/>
    </row>
    <row r="1311" spans="2:13" x14ac:dyDescent="0.25">
      <c r="B1311" s="1"/>
      <c r="C1311" s="1"/>
      <c r="D1311" s="1"/>
      <c r="E1311" s="1"/>
      <c r="F1311" s="1"/>
      <c r="G1311" s="1"/>
      <c r="I1311" s="1"/>
      <c r="J1311" s="1"/>
      <c r="K1311" s="1"/>
      <c r="L1311" s="1"/>
      <c r="M1311" s="1"/>
    </row>
    <row r="1312" spans="2:13" x14ac:dyDescent="0.25">
      <c r="B1312" s="1"/>
      <c r="C1312" s="1"/>
      <c r="D1312" s="1"/>
      <c r="E1312" s="1"/>
      <c r="F1312" s="1"/>
      <c r="G1312" s="1"/>
      <c r="I1312" s="1"/>
      <c r="J1312" s="1"/>
      <c r="K1312" s="1"/>
      <c r="L1312" s="1"/>
      <c r="M1312" s="1"/>
    </row>
    <row r="1313" spans="2:13" x14ac:dyDescent="0.25">
      <c r="B1313" s="1"/>
      <c r="C1313" s="1"/>
      <c r="D1313" s="1"/>
      <c r="E1313" s="1"/>
      <c r="F1313" s="1"/>
      <c r="G1313" s="1"/>
      <c r="I1313" s="1"/>
      <c r="J1313" s="1"/>
      <c r="K1313" s="1"/>
      <c r="L1313" s="1"/>
      <c r="M131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Introduction</vt:lpstr>
      <vt:lpstr>&lt;U&gt;</vt:lpstr>
      <vt:lpstr>Rij</vt:lpstr>
      <vt:lpstr>Diss.</vt:lpstr>
      <vt:lpstr>DNS</vt:lpstr>
      <vt:lpstr>scalar</vt:lpstr>
      <vt:lpstr>scalar!diricm</vt:lpstr>
      <vt:lpstr>Diss.!diss1</vt:lpstr>
      <vt:lpstr>Rij!fluct1</vt:lpstr>
      <vt:lpstr>scalar!g05a05m</vt:lpstr>
      <vt:lpstr>scalar!g05a1m</vt:lpstr>
      <vt:lpstr>scalar!g05a2m</vt:lpstr>
      <vt:lpstr>scalar!g1a05m</vt:lpstr>
      <vt:lpstr>scalar!g1a1m</vt:lpstr>
      <vt:lpstr>scalar!g1a2m</vt:lpstr>
      <vt:lpstr>scalar!g2a05m</vt:lpstr>
      <vt:lpstr>scalar!g2a1m</vt:lpstr>
      <vt:lpstr>scalar!g2a2m</vt:lpstr>
      <vt:lpstr>'&lt;U&gt;'!moy1_</vt:lpstr>
      <vt:lpstr>scalar!neumam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2018-01-03T11:14:14Z</dcterms:modified>
</cp:coreProperties>
</file>