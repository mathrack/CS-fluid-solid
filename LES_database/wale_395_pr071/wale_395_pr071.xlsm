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mp\wale_395_pr071\"/>
    </mc:Choice>
  </mc:AlternateContent>
  <bookViews>
    <workbookView xWindow="480" yWindow="240" windowWidth="27795" windowHeight="14250"/>
  </bookViews>
  <sheets>
    <sheet name="Introduction" sheetId="8" r:id="rId1"/>
    <sheet name="&lt;U&gt;" sheetId="2" r:id="rId2"/>
    <sheet name="Rij" sheetId="3" r:id="rId3"/>
    <sheet name="Diss." sheetId="4" r:id="rId4"/>
    <sheet name="DNS" sheetId="1" r:id="rId5"/>
    <sheet name="scalar" sheetId="5" r:id="rId6"/>
    <sheet name="Kawamura_scalar" sheetId="7" r:id="rId7"/>
  </sheets>
  <definedNames>
    <definedName name="_11m" localSheetId="5">scalar!$A$150:$I$222</definedName>
    <definedName name="_12m" localSheetId="5">scalar!$A$224:$I$296</definedName>
    <definedName name="_13m" localSheetId="5">scalar!$A$298:$I$370</definedName>
    <definedName name="_14m" localSheetId="5">scalar!$A$372:$I$444</definedName>
    <definedName name="_15m" localSheetId="5">scalar!$A$446:$I$518</definedName>
    <definedName name="_16m" localSheetId="5">scalar!$A$520:$I$592</definedName>
    <definedName name="_17m" localSheetId="5">scalar!$A$594:$I$666</definedName>
    <definedName name="_21m" localSheetId="5">scalar!$A$668:$I$740</definedName>
    <definedName name="_22m" localSheetId="5">scalar!$A$742:$I$814</definedName>
    <definedName name="_23m" localSheetId="5">scalar!$A$816:$I$888</definedName>
    <definedName name="_24m" localSheetId="5">scalar!$A$890:$I$962</definedName>
    <definedName name="_25m" localSheetId="5">scalar!$A$964:$I$1036</definedName>
    <definedName name="_26m" localSheetId="5">scalar!$A$1038:$I$1110</definedName>
    <definedName name="_27m" localSheetId="5">scalar!$A$1112:$I$1184</definedName>
    <definedName name="_31m" localSheetId="5">scalar!$A$1186:$I$1258</definedName>
    <definedName name="_32m" localSheetId="5">scalar!$A$1260:$I$1332</definedName>
    <definedName name="_33m" localSheetId="5">scalar!$A$1334:$I$1406</definedName>
    <definedName name="_34m" localSheetId="5">scalar!$A$1408:$I$1480</definedName>
    <definedName name="_35m" localSheetId="5">scalar!$A$1482:$I$1554</definedName>
    <definedName name="_36m" localSheetId="5">scalar!$A$1556:$I$1628</definedName>
    <definedName name="_37m" localSheetId="5">scalar!$A$1630:$I$1702</definedName>
    <definedName name="_395_1" localSheetId="4">DNS!$A$1:$M$1877</definedName>
    <definedName name="_395_diric" localSheetId="6">Kawamura_scalar!$A$1:$N$1412</definedName>
    <definedName name="_41m" localSheetId="5">scalar!$A$1704:$I$1776</definedName>
    <definedName name="_42m" localSheetId="5">scalar!$A$1778:$I$1850</definedName>
    <definedName name="_43m" localSheetId="5">scalar!$A$1852:$I$1924</definedName>
    <definedName name="_44m" localSheetId="5">scalar!$A$1926:$I$1998</definedName>
    <definedName name="_45m" localSheetId="5">scalar!$A$2000:$I$2072</definedName>
    <definedName name="_46m" localSheetId="5">scalar!$A$2074:$I$2146</definedName>
    <definedName name="_47m" localSheetId="5">scalar!$A$2148:$I$2220</definedName>
    <definedName name="_51m" localSheetId="5">scalar!$A$2222:$I$2294</definedName>
    <definedName name="_52m" localSheetId="5">scalar!$A$2296:$I$2368</definedName>
    <definedName name="_53m" localSheetId="5">scalar!$A$2370:$I$2442</definedName>
    <definedName name="_54m" localSheetId="5">scalar!$A$2444:$I$2516</definedName>
    <definedName name="_55m" localSheetId="5">scalar!$A$2518:$I$2590</definedName>
    <definedName name="_56m" localSheetId="5">scalar!$A$2592:$I$2664</definedName>
    <definedName name="_57m" localSheetId="5">scalar!$A$2666:$I$2738</definedName>
    <definedName name="_61m" localSheetId="5">scalar!$A$2740:$I$2812</definedName>
    <definedName name="_62m" localSheetId="5">scalar!$A$2814:$I$2886</definedName>
    <definedName name="_63m" localSheetId="5">scalar!$A$2888:$I$2960</definedName>
    <definedName name="_64m" localSheetId="5">scalar!$A$2962:$I$3034</definedName>
    <definedName name="_65m" localSheetId="5">scalar!$A$3036:$I$3108</definedName>
    <definedName name="_66m" localSheetId="5">scalar!$A$3110:$I$3182</definedName>
    <definedName name="_67m" localSheetId="5">scalar!$A$3184:$I$3256</definedName>
    <definedName name="_71m" localSheetId="5">scalar!$A$3258:$I$3330</definedName>
    <definedName name="_72m" localSheetId="5">scalar!$A$3332:$I$3404</definedName>
    <definedName name="_73m" localSheetId="5">scalar!$A$3406:$I$3478</definedName>
    <definedName name="_74m" localSheetId="5">scalar!$A$3480:$I$3552</definedName>
    <definedName name="_75m" localSheetId="5">scalar!$A$3554:$I$3626</definedName>
    <definedName name="_76m" localSheetId="5">scalar!$A$3628:$I$3700</definedName>
    <definedName name="_77m" localSheetId="5">scalar!$A$3702:$I$3774</definedName>
    <definedName name="diricm" localSheetId="5">scalar!$A$2:$I$74</definedName>
    <definedName name="diss1" localSheetId="3">Diss.!$A$2:$C$43</definedName>
    <definedName name="fluct1" localSheetId="2">Rij!$A$2:$E$43</definedName>
    <definedName name="interfacem" localSheetId="5">scalar!$Q$22:$W$91</definedName>
    <definedName name="moy1_" localSheetId="1">'&lt;U&gt;'!$A$2:$C$43</definedName>
    <definedName name="neumam" localSheetId="5">scalar!$A$76:$I$148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E18" i="8" l="1"/>
  <c r="E17" i="8"/>
  <c r="D16" i="8"/>
  <c r="D17" i="8" s="1"/>
  <c r="C15" i="8"/>
  <c r="E14" i="8"/>
  <c r="B95" i="7" l="1"/>
  <c r="BN127" i="5" l="1"/>
  <c r="BN128" i="5"/>
  <c r="BN105" i="5"/>
  <c r="BN106" i="5"/>
  <c r="BN84" i="5"/>
  <c r="BN39" i="5" l="1"/>
  <c r="AV66" i="5"/>
  <c r="AV67" i="5"/>
  <c r="AV68" i="5"/>
  <c r="AV69" i="5"/>
  <c r="AV70" i="5"/>
  <c r="AV71" i="5"/>
  <c r="AW71" i="5" s="1"/>
  <c r="AV65" i="5"/>
  <c r="AW65" i="5" s="1"/>
  <c r="AV64" i="5"/>
  <c r="AV63" i="5"/>
  <c r="AV31" i="5"/>
  <c r="AV32" i="5"/>
  <c r="AV33" i="5"/>
  <c r="AV34" i="5"/>
  <c r="AV35" i="5"/>
  <c r="AW35" i="5" s="1"/>
  <c r="AV36" i="5"/>
  <c r="AW36" i="5" s="1"/>
  <c r="AV30" i="5"/>
  <c r="AV24" i="5"/>
  <c r="AV25" i="5"/>
  <c r="AV26" i="5"/>
  <c r="AV27" i="5"/>
  <c r="AV28" i="5"/>
  <c r="AV29" i="5"/>
  <c r="AW29" i="5" s="1"/>
  <c r="AV23" i="5"/>
  <c r="AW23" i="5" s="1"/>
  <c r="Z79" i="5"/>
  <c r="AY24" i="5" s="1"/>
  <c r="AA79" i="5"/>
  <c r="AY31" i="5" s="1"/>
  <c r="AB79" i="5"/>
  <c r="AY38" i="5" s="1"/>
  <c r="AC79" i="5"/>
  <c r="AY45" i="5" s="1"/>
  <c r="AD79" i="5"/>
  <c r="AY52" i="5" s="1"/>
  <c r="AE79" i="5"/>
  <c r="AY59" i="5" s="1"/>
  <c r="AF79" i="5"/>
  <c r="AY66" i="5" s="1"/>
  <c r="AZ66" i="5" s="1"/>
  <c r="Z80" i="5"/>
  <c r="AY25" i="5" s="1"/>
  <c r="AZ25" i="5" s="1"/>
  <c r="AA80" i="5"/>
  <c r="AY32" i="5" s="1"/>
  <c r="AB80" i="5"/>
  <c r="AY39" i="5" s="1"/>
  <c r="AC80" i="5"/>
  <c r="AY46" i="5" s="1"/>
  <c r="AD80" i="5"/>
  <c r="AY53" i="5" s="1"/>
  <c r="AE80" i="5"/>
  <c r="AY60" i="5" s="1"/>
  <c r="AF80" i="5"/>
  <c r="AY67" i="5" s="1"/>
  <c r="Z81" i="5"/>
  <c r="AY26" i="5" s="1"/>
  <c r="AZ26" i="5" s="1"/>
  <c r="AA81" i="5"/>
  <c r="AY33" i="5" s="1"/>
  <c r="AZ33" i="5" s="1"/>
  <c r="AB81" i="5"/>
  <c r="AY40" i="5" s="1"/>
  <c r="AC81" i="5"/>
  <c r="AY47" i="5" s="1"/>
  <c r="AD81" i="5"/>
  <c r="AY54" i="5" s="1"/>
  <c r="AE81" i="5"/>
  <c r="AY61" i="5" s="1"/>
  <c r="AF81" i="5"/>
  <c r="AY68" i="5" s="1"/>
  <c r="Z82" i="5"/>
  <c r="AY27" i="5" s="1"/>
  <c r="AA82" i="5"/>
  <c r="AY34" i="5" s="1"/>
  <c r="AZ34" i="5" s="1"/>
  <c r="AB82" i="5"/>
  <c r="AY41" i="5" s="1"/>
  <c r="AZ41" i="5" s="1"/>
  <c r="AC82" i="5"/>
  <c r="AY48" i="5" s="1"/>
  <c r="AD82" i="5"/>
  <c r="AY55" i="5" s="1"/>
  <c r="AZ55" i="5" s="1"/>
  <c r="AE82" i="5"/>
  <c r="AY62" i="5" s="1"/>
  <c r="AF82" i="5"/>
  <c r="AY69" i="5" s="1"/>
  <c r="Z83" i="5"/>
  <c r="AY28" i="5" s="1"/>
  <c r="AA83" i="5"/>
  <c r="AY35" i="5" s="1"/>
  <c r="AB83" i="5"/>
  <c r="AY42" i="5" s="1"/>
  <c r="AZ42" i="5" s="1"/>
  <c r="AC83" i="5"/>
  <c r="AY49" i="5" s="1"/>
  <c r="AZ49" i="5" s="1"/>
  <c r="AD83" i="5"/>
  <c r="AY56" i="5" s="1"/>
  <c r="AE83" i="5"/>
  <c r="AY63" i="5" s="1"/>
  <c r="AZ63" i="5" s="1"/>
  <c r="AF83" i="5"/>
  <c r="AY70" i="5" s="1"/>
  <c r="Z84" i="5"/>
  <c r="AY29" i="5" s="1"/>
  <c r="AA84" i="5"/>
  <c r="AY36" i="5" s="1"/>
  <c r="AB84" i="5"/>
  <c r="AY43" i="5" s="1"/>
  <c r="AZ43" i="5" s="1"/>
  <c r="AC84" i="5"/>
  <c r="AY50" i="5" s="1"/>
  <c r="AZ50" i="5" s="1"/>
  <c r="AD84" i="5"/>
  <c r="AY57" i="5" s="1"/>
  <c r="AZ57" i="5" s="1"/>
  <c r="AE84" i="5"/>
  <c r="AY64" i="5" s="1"/>
  <c r="AF84" i="5"/>
  <c r="AY71" i="5" s="1"/>
  <c r="AZ71" i="5" s="1"/>
  <c r="AA78" i="5"/>
  <c r="AY30" i="5" s="1"/>
  <c r="AB78" i="5"/>
  <c r="AY37" i="5" s="1"/>
  <c r="AC78" i="5"/>
  <c r="AY44" i="5" s="1"/>
  <c r="AD78" i="5"/>
  <c r="AY51" i="5" s="1"/>
  <c r="AZ51" i="5" s="1"/>
  <c r="AE78" i="5"/>
  <c r="AY58" i="5" s="1"/>
  <c r="AZ58" i="5" s="1"/>
  <c r="AF78" i="5"/>
  <c r="AY65" i="5" s="1"/>
  <c r="AZ65" i="5" s="1"/>
  <c r="Z78" i="5"/>
  <c r="AY23" i="5" s="1"/>
  <c r="BN83" i="5"/>
  <c r="BN62" i="5"/>
  <c r="BN61" i="5"/>
  <c r="BN40" i="5"/>
  <c r="AV47" i="5"/>
  <c r="AW47" i="5" s="1"/>
  <c r="AZ44" i="5" l="1"/>
  <c r="AZ36" i="5"/>
  <c r="AZ28" i="5"/>
  <c r="AZ35" i="5"/>
  <c r="AZ27" i="5"/>
  <c r="AZ67" i="5"/>
  <c r="AZ59" i="5"/>
  <c r="AZ30" i="5"/>
  <c r="AZ70" i="5"/>
  <c r="AZ62" i="5"/>
  <c r="AZ68" i="5"/>
  <c r="AZ60" i="5"/>
  <c r="AZ52" i="5"/>
  <c r="AZ37" i="5"/>
  <c r="AZ29" i="5"/>
  <c r="AZ69" i="5"/>
  <c r="AZ61" i="5"/>
  <c r="AZ53" i="5"/>
  <c r="AZ45" i="5"/>
  <c r="AZ54" i="5"/>
  <c r="AZ46" i="5"/>
  <c r="AZ38" i="5"/>
  <c r="AZ47" i="5"/>
  <c r="AZ39" i="5"/>
  <c r="AZ31" i="5"/>
  <c r="AZ23" i="5"/>
  <c r="AZ64" i="5"/>
  <c r="AZ56" i="5"/>
  <c r="AZ48" i="5"/>
  <c r="AZ40" i="5"/>
  <c r="AZ32" i="5"/>
  <c r="AZ24" i="5"/>
  <c r="AW26" i="5"/>
  <c r="AW32" i="5"/>
  <c r="AW68" i="5"/>
  <c r="AW28" i="5"/>
  <c r="AW34" i="5"/>
  <c r="AW70" i="5"/>
  <c r="AW27" i="5"/>
  <c r="AW33" i="5"/>
  <c r="AW69" i="5"/>
  <c r="AW25" i="5"/>
  <c r="AW31" i="5"/>
  <c r="AW67" i="5"/>
  <c r="AW24" i="5"/>
  <c r="AW63" i="5"/>
  <c r="AW66" i="5"/>
  <c r="AW30" i="5"/>
  <c r="AW64" i="5"/>
  <c r="AM67" i="5"/>
  <c r="AM68" i="5"/>
  <c r="AM69" i="5"/>
  <c r="AM70" i="5"/>
  <c r="AM71" i="5"/>
  <c r="AM63" i="5"/>
  <c r="AM64" i="5"/>
  <c r="AV59" i="5" l="1"/>
  <c r="AW59" i="5" s="1"/>
  <c r="AV60" i="5"/>
  <c r="AW60" i="5" s="1"/>
  <c r="AV61" i="5"/>
  <c r="AW61" i="5" s="1"/>
  <c r="AV62" i="5"/>
  <c r="AW62" i="5" s="1"/>
  <c r="AV58" i="5"/>
  <c r="AW58" i="5" s="1"/>
  <c r="AV52" i="5"/>
  <c r="AW52" i="5" s="1"/>
  <c r="AV53" i="5"/>
  <c r="AW53" i="5" s="1"/>
  <c r="AV54" i="5"/>
  <c r="AW54" i="5" s="1"/>
  <c r="AV55" i="5"/>
  <c r="AW55" i="5" s="1"/>
  <c r="AV56" i="5"/>
  <c r="AW56" i="5" s="1"/>
  <c r="AV57" i="5"/>
  <c r="AW57" i="5" s="1"/>
  <c r="AV51" i="5"/>
  <c r="AW51" i="5" s="1"/>
  <c r="AV45" i="5"/>
  <c r="AW45" i="5" s="1"/>
  <c r="AV46" i="5"/>
  <c r="AW46" i="5" s="1"/>
  <c r="AV48" i="5"/>
  <c r="AW48" i="5" s="1"/>
  <c r="AV49" i="5"/>
  <c r="AW49" i="5" s="1"/>
  <c r="AV50" i="5"/>
  <c r="AW50" i="5" s="1"/>
  <c r="AV44" i="5"/>
  <c r="AW44" i="5" s="1"/>
  <c r="AV38" i="5"/>
  <c r="AW38" i="5" s="1"/>
  <c r="AV39" i="5"/>
  <c r="AW39" i="5" s="1"/>
  <c r="AV40" i="5"/>
  <c r="AW40" i="5" s="1"/>
  <c r="AV41" i="5"/>
  <c r="AW41" i="5" s="1"/>
  <c r="AV42" i="5"/>
  <c r="AW42" i="5" s="1"/>
  <c r="AV43" i="5"/>
  <c r="AW43" i="5" s="1"/>
  <c r="AV37" i="5"/>
  <c r="AW37" i="5" s="1"/>
  <c r="AM66" i="5" l="1"/>
  <c r="AM65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H29" i="5"/>
  <c r="BA29" i="5" s="1"/>
  <c r="AM28" i="5"/>
  <c r="AH28" i="5"/>
  <c r="BA28" i="5" s="1"/>
  <c r="AM27" i="5"/>
  <c r="AH27" i="5"/>
  <c r="BA27" i="5" s="1"/>
  <c r="AM26" i="5"/>
  <c r="AH26" i="5"/>
  <c r="BA26" i="5" s="1"/>
  <c r="AM25" i="5"/>
  <c r="AH25" i="5"/>
  <c r="BA25" i="5" s="1"/>
  <c r="AM24" i="5"/>
  <c r="AH24" i="5"/>
  <c r="BA24" i="5" s="1"/>
  <c r="AM23" i="5"/>
  <c r="AH23" i="5"/>
  <c r="BA23" i="5" s="1"/>
  <c r="AF77" i="5"/>
  <c r="AK71" i="5" s="1"/>
  <c r="AE77" i="5"/>
  <c r="AK64" i="5" s="1"/>
  <c r="AD77" i="5"/>
  <c r="AK57" i="5" s="1"/>
  <c r="AC77" i="5"/>
  <c r="AK50" i="5" s="1"/>
  <c r="AO50" i="5" s="1"/>
  <c r="AB77" i="5"/>
  <c r="AK43" i="5" s="1"/>
  <c r="AO43" i="5" s="1"/>
  <c r="AA77" i="5"/>
  <c r="AK36" i="5" s="1"/>
  <c r="AO36" i="5" s="1"/>
  <c r="Z77" i="5"/>
  <c r="AK29" i="5" s="1"/>
  <c r="AO29" i="5" s="1"/>
  <c r="AF76" i="5"/>
  <c r="AK70" i="5" s="1"/>
  <c r="AE76" i="5"/>
  <c r="AK63" i="5" s="1"/>
  <c r="AD76" i="5"/>
  <c r="AK56" i="5" s="1"/>
  <c r="AC76" i="5"/>
  <c r="AK49" i="5" s="1"/>
  <c r="AB76" i="5"/>
  <c r="AK42" i="5" s="1"/>
  <c r="AO42" i="5" s="1"/>
  <c r="AA76" i="5"/>
  <c r="AK35" i="5" s="1"/>
  <c r="AO35" i="5" s="1"/>
  <c r="Z76" i="5"/>
  <c r="AK28" i="5" s="1"/>
  <c r="AO28" i="5" s="1"/>
  <c r="AF75" i="5"/>
  <c r="AK69" i="5" s="1"/>
  <c r="AO69" i="5" s="1"/>
  <c r="AE75" i="5"/>
  <c r="AK62" i="5" s="1"/>
  <c r="AD75" i="5"/>
  <c r="AK55" i="5" s="1"/>
  <c r="AC75" i="5"/>
  <c r="AK48" i="5" s="1"/>
  <c r="AB75" i="5"/>
  <c r="AK41" i="5" s="1"/>
  <c r="AA75" i="5"/>
  <c r="AK34" i="5" s="1"/>
  <c r="AO34" i="5" s="1"/>
  <c r="Z75" i="5"/>
  <c r="AK27" i="5" s="1"/>
  <c r="AO27" i="5" s="1"/>
  <c r="AF74" i="5"/>
  <c r="AE74" i="5"/>
  <c r="AK61" i="5" s="1"/>
  <c r="AO61" i="5" s="1"/>
  <c r="AD74" i="5"/>
  <c r="AK54" i="5" s="1"/>
  <c r="AC74" i="5"/>
  <c r="AK47" i="5" s="1"/>
  <c r="AO47" i="5" s="1"/>
  <c r="AB74" i="5"/>
  <c r="AK40" i="5" s="1"/>
  <c r="AA74" i="5"/>
  <c r="AK33" i="5" s="1"/>
  <c r="Z74" i="5"/>
  <c r="AK26" i="5" s="1"/>
  <c r="AO26" i="5" s="1"/>
  <c r="AF73" i="5"/>
  <c r="AE73" i="5"/>
  <c r="AK60" i="5" s="1"/>
  <c r="AO60" i="5" s="1"/>
  <c r="AD73" i="5"/>
  <c r="AK53" i="5" s="1"/>
  <c r="AO53" i="5" s="1"/>
  <c r="AC73" i="5"/>
  <c r="AK46" i="5" s="1"/>
  <c r="AB73" i="5"/>
  <c r="AK39" i="5" s="1"/>
  <c r="AO39" i="5" s="1"/>
  <c r="AA73" i="5"/>
  <c r="AK32" i="5" s="1"/>
  <c r="Z73" i="5"/>
  <c r="AK25" i="5" s="1"/>
  <c r="AF72" i="5"/>
  <c r="AE72" i="5"/>
  <c r="AK59" i="5" s="1"/>
  <c r="AO59" i="5" s="1"/>
  <c r="AD72" i="5"/>
  <c r="AK52" i="5" s="1"/>
  <c r="AO52" i="5" s="1"/>
  <c r="AC72" i="5"/>
  <c r="AK45" i="5" s="1"/>
  <c r="AO45" i="5" s="1"/>
  <c r="AB72" i="5"/>
  <c r="AK38" i="5" s="1"/>
  <c r="AA72" i="5"/>
  <c r="AK31" i="5" s="1"/>
  <c r="AO31" i="5" s="1"/>
  <c r="Z72" i="5"/>
  <c r="AK24" i="5" s="1"/>
  <c r="AF71" i="5"/>
  <c r="AE71" i="5"/>
  <c r="AK58" i="5" s="1"/>
  <c r="AO58" i="5" s="1"/>
  <c r="AD71" i="5"/>
  <c r="AK51" i="5" s="1"/>
  <c r="AO51" i="5" s="1"/>
  <c r="AC71" i="5"/>
  <c r="AK44" i="5" s="1"/>
  <c r="AO44" i="5" s="1"/>
  <c r="AB71" i="5"/>
  <c r="AK37" i="5" s="1"/>
  <c r="AO37" i="5" s="1"/>
  <c r="AA71" i="5"/>
  <c r="AK30" i="5" s="1"/>
  <c r="Z71" i="5"/>
  <c r="AK23" i="5" s="1"/>
  <c r="AO23" i="5" s="1"/>
  <c r="AF70" i="5"/>
  <c r="AJ71" i="5" s="1"/>
  <c r="AE70" i="5"/>
  <c r="AJ64" i="5" s="1"/>
  <c r="AD70" i="5"/>
  <c r="AJ57" i="5" s="1"/>
  <c r="AC70" i="5"/>
  <c r="AJ50" i="5" s="1"/>
  <c r="AN50" i="5" s="1"/>
  <c r="AB70" i="5"/>
  <c r="AJ43" i="5" s="1"/>
  <c r="AN43" i="5" s="1"/>
  <c r="AA70" i="5"/>
  <c r="AJ36" i="5" s="1"/>
  <c r="AN36" i="5" s="1"/>
  <c r="Z70" i="5"/>
  <c r="AJ29" i="5" s="1"/>
  <c r="AF69" i="5"/>
  <c r="AJ70" i="5" s="1"/>
  <c r="AE69" i="5"/>
  <c r="AJ63" i="5" s="1"/>
  <c r="AD69" i="5"/>
  <c r="AJ56" i="5" s="1"/>
  <c r="AC69" i="5"/>
  <c r="AJ49" i="5" s="1"/>
  <c r="AB69" i="5"/>
  <c r="AJ42" i="5" s="1"/>
  <c r="AN42" i="5" s="1"/>
  <c r="AA69" i="5"/>
  <c r="AJ35" i="5" s="1"/>
  <c r="AN35" i="5" s="1"/>
  <c r="Z69" i="5"/>
  <c r="AJ28" i="5" s="1"/>
  <c r="AN28" i="5" s="1"/>
  <c r="AF68" i="5"/>
  <c r="AJ69" i="5" s="1"/>
  <c r="AE68" i="5"/>
  <c r="AJ62" i="5" s="1"/>
  <c r="AD68" i="5"/>
  <c r="AJ55" i="5" s="1"/>
  <c r="AC68" i="5"/>
  <c r="AJ48" i="5" s="1"/>
  <c r="AB68" i="5"/>
  <c r="AJ41" i="5" s="1"/>
  <c r="AA68" i="5"/>
  <c r="AJ34" i="5" s="1"/>
  <c r="AN34" i="5" s="1"/>
  <c r="Z68" i="5"/>
  <c r="AJ27" i="5" s="1"/>
  <c r="AN27" i="5" s="1"/>
  <c r="AF67" i="5"/>
  <c r="AE67" i="5"/>
  <c r="AJ61" i="5" s="1"/>
  <c r="AD67" i="5"/>
  <c r="AJ54" i="5" s="1"/>
  <c r="AC67" i="5"/>
  <c r="AJ47" i="5" s="1"/>
  <c r="AN47" i="5" s="1"/>
  <c r="AB67" i="5"/>
  <c r="AJ40" i="5" s="1"/>
  <c r="AA67" i="5"/>
  <c r="AJ33" i="5" s="1"/>
  <c r="Z67" i="5"/>
  <c r="AJ26" i="5" s="1"/>
  <c r="AN26" i="5" s="1"/>
  <c r="AF66" i="5"/>
  <c r="AE66" i="5"/>
  <c r="AJ60" i="5" s="1"/>
  <c r="AN60" i="5" s="1"/>
  <c r="AD66" i="5"/>
  <c r="AJ53" i="5" s="1"/>
  <c r="AC66" i="5"/>
  <c r="AJ46" i="5" s="1"/>
  <c r="AB66" i="5"/>
  <c r="AJ39" i="5" s="1"/>
  <c r="AA66" i="5"/>
  <c r="AJ32" i="5" s="1"/>
  <c r="Z66" i="5"/>
  <c r="AJ25" i="5" s="1"/>
  <c r="AF65" i="5"/>
  <c r="AE65" i="5"/>
  <c r="AJ59" i="5" s="1"/>
  <c r="AN59" i="5" s="1"/>
  <c r="AD65" i="5"/>
  <c r="AJ52" i="5" s="1"/>
  <c r="AN52" i="5" s="1"/>
  <c r="AC65" i="5"/>
  <c r="AJ45" i="5" s="1"/>
  <c r="AB65" i="5"/>
  <c r="AJ38" i="5" s="1"/>
  <c r="AA65" i="5"/>
  <c r="AJ31" i="5" s="1"/>
  <c r="AN31" i="5" s="1"/>
  <c r="Z65" i="5"/>
  <c r="AJ24" i="5" s="1"/>
  <c r="AF64" i="5"/>
  <c r="AE64" i="5"/>
  <c r="AJ58" i="5" s="1"/>
  <c r="AN58" i="5" s="1"/>
  <c r="AD64" i="5"/>
  <c r="AJ51" i="5" s="1"/>
  <c r="AN51" i="5" s="1"/>
  <c r="AC64" i="5"/>
  <c r="AJ44" i="5" s="1"/>
  <c r="AN44" i="5" s="1"/>
  <c r="AB64" i="5"/>
  <c r="AJ37" i="5" s="1"/>
  <c r="AA64" i="5"/>
  <c r="AJ30" i="5" s="1"/>
  <c r="Z64" i="5"/>
  <c r="AJ23" i="5" s="1"/>
  <c r="AN23" i="5" s="1"/>
  <c r="AO24" i="5" l="1"/>
  <c r="AO32" i="5"/>
  <c r="AO40" i="5"/>
  <c r="AO48" i="5"/>
  <c r="AO56" i="5"/>
  <c r="AO64" i="5"/>
  <c r="AO30" i="5"/>
  <c r="AO38" i="5"/>
  <c r="AO46" i="5"/>
  <c r="AO54" i="5"/>
  <c r="AO62" i="5"/>
  <c r="AO70" i="5"/>
  <c r="AN25" i="5"/>
  <c r="AN33" i="5"/>
  <c r="AN41" i="5"/>
  <c r="AN49" i="5"/>
  <c r="AN57" i="5"/>
  <c r="AO25" i="5"/>
  <c r="AO33" i="5"/>
  <c r="AN39" i="5"/>
  <c r="AN24" i="5"/>
  <c r="AN32" i="5"/>
  <c r="AN40" i="5"/>
  <c r="AN48" i="5"/>
  <c r="AN56" i="5"/>
  <c r="AN64" i="5"/>
  <c r="AO41" i="5"/>
  <c r="AO49" i="5"/>
  <c r="AO57" i="5"/>
  <c r="AN55" i="5"/>
  <c r="AN71" i="5"/>
  <c r="AN30" i="5"/>
  <c r="AN38" i="5"/>
  <c r="AN46" i="5"/>
  <c r="AN54" i="5"/>
  <c r="AN62" i="5"/>
  <c r="AN70" i="5"/>
  <c r="AO55" i="5"/>
  <c r="AO63" i="5"/>
  <c r="AO71" i="5"/>
  <c r="AN63" i="5"/>
  <c r="AN37" i="5"/>
  <c r="AN45" i="5"/>
  <c r="AN53" i="5"/>
  <c r="AN61" i="5"/>
  <c r="AN69" i="5"/>
  <c r="AN29" i="5"/>
  <c r="AP23" i="5"/>
  <c r="AT24" i="5"/>
  <c r="AT28" i="5"/>
  <c r="AT25" i="5"/>
  <c r="AT29" i="5"/>
  <c r="AT26" i="5"/>
  <c r="AQ25" i="5"/>
  <c r="AQ24" i="5"/>
  <c r="AQ23" i="5"/>
  <c r="AQ27" i="5"/>
  <c r="AQ26" i="5"/>
  <c r="AQ28" i="5"/>
  <c r="AQ29" i="5"/>
  <c r="AT23" i="5"/>
  <c r="AX23" i="5"/>
  <c r="AT27" i="5"/>
  <c r="AR37" i="5"/>
  <c r="AS37" i="5" s="1"/>
  <c r="AR45" i="5"/>
  <c r="AS45" i="5" s="1"/>
  <c r="AR53" i="5"/>
  <c r="AS53" i="5" s="1"/>
  <c r="AR61" i="5"/>
  <c r="AS61" i="5" s="1"/>
  <c r="AR69" i="5"/>
  <c r="AS69" i="5" s="1"/>
  <c r="AR31" i="5"/>
  <c r="AS31" i="5" s="1"/>
  <c r="AR39" i="5"/>
  <c r="AS39" i="5" s="1"/>
  <c r="AR47" i="5"/>
  <c r="AS47" i="5" s="1"/>
  <c r="AR55" i="5"/>
  <c r="AS55" i="5" s="1"/>
  <c r="AR63" i="5"/>
  <c r="AS63" i="5" s="1"/>
  <c r="AR71" i="5"/>
  <c r="AS71" i="5" s="1"/>
  <c r="AR52" i="5"/>
  <c r="AS52" i="5" s="1"/>
  <c r="AR28" i="5"/>
  <c r="AS28" i="5" s="1"/>
  <c r="AX24" i="5"/>
  <c r="AR51" i="5"/>
  <c r="AS51" i="5" s="1"/>
  <c r="AR35" i="5"/>
  <c r="AS35" i="5" s="1"/>
  <c r="AR34" i="5"/>
  <c r="AS34" i="5" s="1"/>
  <c r="AR50" i="5"/>
  <c r="AS50" i="5" s="1"/>
  <c r="AX29" i="5"/>
  <c r="AR25" i="5"/>
  <c r="AS25" i="5" s="1"/>
  <c r="AR33" i="5"/>
  <c r="AS33" i="5" s="1"/>
  <c r="AR41" i="5"/>
  <c r="AS41" i="5" s="1"/>
  <c r="AR49" i="5"/>
  <c r="AS49" i="5" s="1"/>
  <c r="AR57" i="5"/>
  <c r="AS57" i="5" s="1"/>
  <c r="AR24" i="5"/>
  <c r="AS24" i="5" s="1"/>
  <c r="AR32" i="5"/>
  <c r="AS32" i="5" s="1"/>
  <c r="AR40" i="5"/>
  <c r="AS40" i="5" s="1"/>
  <c r="AR48" i="5"/>
  <c r="AS48" i="5" s="1"/>
  <c r="AR56" i="5"/>
  <c r="AS56" i="5" s="1"/>
  <c r="AR64" i="5"/>
  <c r="AS64" i="5" s="1"/>
  <c r="AX26" i="5"/>
  <c r="AR60" i="5"/>
  <c r="AS60" i="5" s="1"/>
  <c r="AR59" i="5"/>
  <c r="AS59" i="5" s="1"/>
  <c r="AR43" i="5"/>
  <c r="AS43" i="5" s="1"/>
  <c r="AR58" i="5"/>
  <c r="AS58" i="5" s="1"/>
  <c r="AR42" i="5"/>
  <c r="AS42" i="5" s="1"/>
  <c r="AR23" i="5"/>
  <c r="AS23" i="5" s="1"/>
  <c r="AR29" i="5"/>
  <c r="AS29" i="5" s="1"/>
  <c r="AR44" i="5"/>
  <c r="AS44" i="5" s="1"/>
  <c r="AR36" i="5"/>
  <c r="AS36" i="5" s="1"/>
  <c r="AX28" i="5"/>
  <c r="AR27" i="5"/>
  <c r="AS27" i="5" s="1"/>
  <c r="AR26" i="5"/>
  <c r="AS26" i="5" s="1"/>
  <c r="AL25" i="5"/>
  <c r="AX25" i="5"/>
  <c r="AR30" i="5"/>
  <c r="AS30" i="5" s="1"/>
  <c r="AR38" i="5"/>
  <c r="AS38" i="5" s="1"/>
  <c r="AR46" i="5"/>
  <c r="AS46" i="5" s="1"/>
  <c r="AR54" i="5"/>
  <c r="AS54" i="5" s="1"/>
  <c r="AR62" i="5"/>
  <c r="AS62" i="5" s="1"/>
  <c r="AR70" i="5"/>
  <c r="AS70" i="5" s="1"/>
  <c r="AX27" i="5"/>
  <c r="AP27" i="5"/>
  <c r="AP28" i="5"/>
  <c r="AP24" i="5"/>
  <c r="AP25" i="5"/>
  <c r="AP29" i="5"/>
  <c r="AP26" i="5"/>
  <c r="AJ67" i="5"/>
  <c r="AN67" i="5" s="1"/>
  <c r="AK68" i="5"/>
  <c r="AO68" i="5" s="1"/>
  <c r="AJ66" i="5"/>
  <c r="AN66" i="5" s="1"/>
  <c r="AK67" i="5"/>
  <c r="AO67" i="5" s="1"/>
  <c r="AJ65" i="5"/>
  <c r="AN65" i="5" s="1"/>
  <c r="AK66" i="5"/>
  <c r="AO66" i="5" s="1"/>
  <c r="AK65" i="5"/>
  <c r="AO65" i="5" s="1"/>
  <c r="AJ68" i="5"/>
  <c r="AN68" i="5" s="1"/>
  <c r="AL26" i="5"/>
  <c r="AL24" i="5"/>
  <c r="AL28" i="5"/>
  <c r="AH34" i="5"/>
  <c r="BA34" i="5" s="1"/>
  <c r="AL23" i="5"/>
  <c r="AH36" i="5"/>
  <c r="BA36" i="5" s="1"/>
  <c r="AH30" i="5"/>
  <c r="BA30" i="5" s="1"/>
  <c r="AH35" i="5"/>
  <c r="BA35" i="5" s="1"/>
  <c r="AH31" i="5"/>
  <c r="BA31" i="5" s="1"/>
  <c r="AL27" i="5"/>
  <c r="AL29" i="5"/>
  <c r="AH32" i="5"/>
  <c r="BA32" i="5" s="1"/>
  <c r="AH33" i="5"/>
  <c r="BA33" i="5" s="1"/>
  <c r="Z44" i="5"/>
  <c r="Z45" i="5" s="1"/>
  <c r="AQ31" i="5" l="1"/>
  <c r="AQ35" i="5"/>
  <c r="AP30" i="5"/>
  <c r="AT30" i="5"/>
  <c r="AP32" i="5"/>
  <c r="AT32" i="5"/>
  <c r="AP36" i="5"/>
  <c r="AT36" i="5"/>
  <c r="AT34" i="5"/>
  <c r="AQ36" i="5"/>
  <c r="AQ34" i="5"/>
  <c r="AQ32" i="5"/>
  <c r="AT31" i="5"/>
  <c r="AT33" i="5"/>
  <c r="AT35" i="5"/>
  <c r="AQ30" i="5"/>
  <c r="AQ33" i="5"/>
  <c r="AR68" i="5"/>
  <c r="AS68" i="5" s="1"/>
  <c r="AP31" i="5"/>
  <c r="AR65" i="5"/>
  <c r="AS65" i="5" s="1"/>
  <c r="AR66" i="5"/>
  <c r="AS66" i="5" s="1"/>
  <c r="AX32" i="5"/>
  <c r="AX34" i="5"/>
  <c r="AP34" i="5"/>
  <c r="AX30" i="5"/>
  <c r="AX33" i="5"/>
  <c r="AX31" i="5"/>
  <c r="AR67" i="5"/>
  <c r="AS67" i="5" s="1"/>
  <c r="AP33" i="5"/>
  <c r="AX36" i="5"/>
  <c r="AX35" i="5"/>
  <c r="AP35" i="5"/>
  <c r="AL34" i="5"/>
  <c r="AH41" i="5"/>
  <c r="BA41" i="5" s="1"/>
  <c r="AL30" i="5"/>
  <c r="AL35" i="5"/>
  <c r="AL36" i="5"/>
  <c r="AH43" i="5"/>
  <c r="BA43" i="5" s="1"/>
  <c r="AH42" i="5"/>
  <c r="BA42" i="5" s="1"/>
  <c r="AH37" i="5"/>
  <c r="BA37" i="5" s="1"/>
  <c r="AL32" i="5"/>
  <c r="AH39" i="5"/>
  <c r="BA39" i="5" s="1"/>
  <c r="AL33" i="5"/>
  <c r="AH40" i="5"/>
  <c r="BA40" i="5" s="1"/>
  <c r="AL31" i="5"/>
  <c r="AH38" i="5"/>
  <c r="BA38" i="5" s="1"/>
  <c r="Z43" i="5"/>
  <c r="M10" i="5"/>
  <c r="M9" i="5"/>
  <c r="M8" i="5"/>
  <c r="L2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AT37" i="5" l="1"/>
  <c r="AQ37" i="5"/>
  <c r="AT43" i="5"/>
  <c r="AQ43" i="5"/>
  <c r="AT40" i="5"/>
  <c r="AQ40" i="5"/>
  <c r="AT38" i="5"/>
  <c r="AQ38" i="5"/>
  <c r="AT39" i="5"/>
  <c r="AQ39" i="5"/>
  <c r="AT41" i="5"/>
  <c r="AQ41" i="5"/>
  <c r="AT42" i="5"/>
  <c r="AQ42" i="5"/>
  <c r="AX42" i="5"/>
  <c r="AP42" i="5"/>
  <c r="AX38" i="5"/>
  <c r="AP38" i="5"/>
  <c r="AX40" i="5"/>
  <c r="AP40" i="5"/>
  <c r="AX37" i="5"/>
  <c r="AP37" i="5"/>
  <c r="AX43" i="5"/>
  <c r="AP43" i="5"/>
  <c r="AX39" i="5"/>
  <c r="AP39" i="5"/>
  <c r="AX41" i="5"/>
  <c r="AP41" i="5"/>
  <c r="AH48" i="5"/>
  <c r="BA48" i="5" s="1"/>
  <c r="AL41" i="5"/>
  <c r="AL37" i="5"/>
  <c r="AH44" i="5"/>
  <c r="BA44" i="5" s="1"/>
  <c r="AH49" i="5"/>
  <c r="BA49" i="5" s="1"/>
  <c r="AL42" i="5"/>
  <c r="AH50" i="5"/>
  <c r="BA50" i="5" s="1"/>
  <c r="AL43" i="5"/>
  <c r="AL40" i="5"/>
  <c r="AH47" i="5"/>
  <c r="BA47" i="5" s="1"/>
  <c r="AL38" i="5"/>
  <c r="AH45" i="5"/>
  <c r="BA45" i="5" s="1"/>
  <c r="AL39" i="5"/>
  <c r="AH46" i="5"/>
  <c r="BA46" i="5" s="1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AT45" i="5" l="1"/>
  <c r="AQ45" i="5"/>
  <c r="AT44" i="5"/>
  <c r="AQ44" i="5"/>
  <c r="AT46" i="5"/>
  <c r="AQ46" i="5"/>
  <c r="AT48" i="5"/>
  <c r="AQ48" i="5"/>
  <c r="AT49" i="5"/>
  <c r="AQ49" i="5"/>
  <c r="AT47" i="5"/>
  <c r="AQ47" i="5"/>
  <c r="AT50" i="5"/>
  <c r="AQ50" i="5"/>
  <c r="AX48" i="5"/>
  <c r="AP48" i="5"/>
  <c r="AX46" i="5"/>
  <c r="AP46" i="5"/>
  <c r="AX49" i="5"/>
  <c r="AP49" i="5"/>
  <c r="AX45" i="5"/>
  <c r="AP45" i="5"/>
  <c r="AX44" i="5"/>
  <c r="AP44" i="5"/>
  <c r="AX47" i="5"/>
  <c r="AP47" i="5"/>
  <c r="AX50" i="5"/>
  <c r="AP50" i="5"/>
  <c r="AH55" i="5"/>
  <c r="BA55" i="5" s="1"/>
  <c r="AL48" i="5"/>
  <c r="AL49" i="5"/>
  <c r="AH56" i="5"/>
  <c r="BA56" i="5" s="1"/>
  <c r="AH51" i="5"/>
  <c r="BA51" i="5" s="1"/>
  <c r="AL44" i="5"/>
  <c r="AH57" i="5"/>
  <c r="BA57" i="5" s="1"/>
  <c r="AL50" i="5"/>
  <c r="AL47" i="5"/>
  <c r="AH54" i="5"/>
  <c r="BA54" i="5" s="1"/>
  <c r="AH52" i="5"/>
  <c r="BA52" i="5" s="1"/>
  <c r="AL45" i="5"/>
  <c r="AL46" i="5"/>
  <c r="AH53" i="5"/>
  <c r="BA53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2" i="5"/>
  <c r="AL55" i="5" l="1"/>
  <c r="AH62" i="5"/>
  <c r="BA62" i="5" s="1"/>
  <c r="AT52" i="5"/>
  <c r="AQ52" i="5"/>
  <c r="AT51" i="5"/>
  <c r="AQ51" i="5"/>
  <c r="AT55" i="5"/>
  <c r="AQ55" i="5"/>
  <c r="AT57" i="5"/>
  <c r="AQ57" i="5"/>
  <c r="AT56" i="5"/>
  <c r="AQ56" i="5"/>
  <c r="AT54" i="5"/>
  <c r="AQ54" i="5"/>
  <c r="AT53" i="5"/>
  <c r="AQ53" i="5"/>
  <c r="AX56" i="5"/>
  <c r="AP56" i="5"/>
  <c r="AX52" i="5"/>
  <c r="AP52" i="5"/>
  <c r="AX54" i="5"/>
  <c r="AP54" i="5"/>
  <c r="AX55" i="5"/>
  <c r="AP55" i="5"/>
  <c r="AX51" i="5"/>
  <c r="AP51" i="5"/>
  <c r="AX53" i="5"/>
  <c r="AP53" i="5"/>
  <c r="AX57" i="5"/>
  <c r="AP57" i="5"/>
  <c r="AH64" i="5"/>
  <c r="BA64" i="5" s="1"/>
  <c r="AH63" i="5"/>
  <c r="BA63" i="5" s="1"/>
  <c r="AH58" i="5"/>
  <c r="BA58" i="5" s="1"/>
  <c r="AL51" i="5"/>
  <c r="AL57" i="5"/>
  <c r="AL56" i="5"/>
  <c r="AH61" i="5"/>
  <c r="BA61" i="5" s="1"/>
  <c r="AL54" i="5"/>
  <c r="AH60" i="5"/>
  <c r="BA60" i="5" s="1"/>
  <c r="AL53" i="5"/>
  <c r="AH59" i="5"/>
  <c r="BA59" i="5" s="1"/>
  <c r="AL52" i="5"/>
  <c r="M2" i="5"/>
  <c r="H2" i="4"/>
  <c r="AP62" i="5" l="1"/>
  <c r="AX62" i="5"/>
  <c r="AL62" i="5"/>
  <c r="AQ62" i="5"/>
  <c r="AH69" i="5"/>
  <c r="BA69" i="5" s="1"/>
  <c r="AT62" i="5"/>
  <c r="AT61" i="5"/>
  <c r="AQ61" i="5"/>
  <c r="AT59" i="5"/>
  <c r="AQ59" i="5"/>
  <c r="AT58" i="5"/>
  <c r="AQ58" i="5"/>
  <c r="AT60" i="5"/>
  <c r="AQ60" i="5"/>
  <c r="AT63" i="5"/>
  <c r="AQ63" i="5"/>
  <c r="AT64" i="5"/>
  <c r="AQ64" i="5"/>
  <c r="AX58" i="5"/>
  <c r="AP58" i="5"/>
  <c r="AX60" i="5"/>
  <c r="AP60" i="5"/>
  <c r="AX63" i="5"/>
  <c r="AP63" i="5"/>
  <c r="AX59" i="5"/>
  <c r="AP59" i="5"/>
  <c r="AX64" i="5"/>
  <c r="AP64" i="5"/>
  <c r="AX61" i="5"/>
  <c r="AP61" i="5"/>
  <c r="AH66" i="5"/>
  <c r="BA66" i="5" s="1"/>
  <c r="AH70" i="5"/>
  <c r="BA70" i="5" s="1"/>
  <c r="AL63" i="5"/>
  <c r="AH67" i="5"/>
  <c r="BA67" i="5" s="1"/>
  <c r="AH65" i="5"/>
  <c r="BA65" i="5" s="1"/>
  <c r="AH71" i="5"/>
  <c r="BA71" i="5" s="1"/>
  <c r="AL64" i="5"/>
  <c r="AH68" i="5"/>
  <c r="BA68" i="5" s="1"/>
  <c r="AL58" i="5"/>
  <c r="AL61" i="5"/>
  <c r="AL60" i="5"/>
  <c r="AL59" i="5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AL69" i="5" l="1"/>
  <c r="AX69" i="5"/>
  <c r="AT69" i="5"/>
  <c r="AP69" i="5"/>
  <c r="AQ69" i="5"/>
  <c r="AT65" i="5"/>
  <c r="AQ65" i="5"/>
  <c r="AT70" i="5"/>
  <c r="AQ70" i="5"/>
  <c r="AT68" i="5"/>
  <c r="AQ68" i="5"/>
  <c r="AT66" i="5"/>
  <c r="AQ66" i="5"/>
  <c r="AT67" i="5"/>
  <c r="AQ67" i="5"/>
  <c r="AT71" i="5"/>
  <c r="AQ71" i="5"/>
  <c r="AX70" i="5"/>
  <c r="AP70" i="5"/>
  <c r="AX68" i="5"/>
  <c r="AP68" i="5"/>
  <c r="AX66" i="5"/>
  <c r="AP66" i="5"/>
  <c r="AX67" i="5"/>
  <c r="AP67" i="5"/>
  <c r="AX71" i="5"/>
  <c r="AP71" i="5"/>
  <c r="AX65" i="5"/>
  <c r="AP65" i="5"/>
  <c r="AL68" i="5"/>
  <c r="AL67" i="5"/>
  <c r="AL71" i="5"/>
  <c r="AL70" i="5"/>
  <c r="AL65" i="5"/>
  <c r="AL66" i="5"/>
  <c r="G4" i="3"/>
  <c r="G3" i="3"/>
  <c r="G2" i="3"/>
  <c r="BA74" i="5" l="1"/>
  <c r="BA75" i="5"/>
  <c r="N9" i="5"/>
  <c r="N10" i="5"/>
  <c r="N8" i="5"/>
  <c r="L11" i="5" l="1" a="1"/>
  <c r="L12" i="5" s="1"/>
  <c r="L11" i="5" l="1"/>
  <c r="N13" i="5"/>
  <c r="M11" i="5"/>
  <c r="N11" i="5"/>
  <c r="M12" i="5"/>
  <c r="N12" i="5"/>
  <c r="L13" i="5"/>
  <c r="M13" i="5"/>
  <c r="P12" i="5" l="1"/>
  <c r="P11" i="5"/>
  <c r="P13" i="5"/>
  <c r="P2" i="5" s="1"/>
  <c r="H2" i="3"/>
  <c r="N2" i="5"/>
  <c r="P3" i="5" l="1"/>
  <c r="P5" i="5" s="1"/>
  <c r="P6" i="5" s="1"/>
  <c r="P4" i="5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1m" type="6" refreshedVersion="6" background="1" refreshOnLoad="1" saveData="1">
    <textPr prompt="0" codePage="852" sourceFile="D:\tmp\wale_395_pr07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12m" type="6" refreshedVersion="6" background="1" refreshOnLoad="1" saveData="1">
    <textPr prompt="0" codePage="852" sourceFile="D:\tmp\wale_395_pr07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3m" type="6" refreshedVersion="6" background="1" refreshOnLoad="1" saveData="1">
    <textPr prompt="0" codePage="852" sourceFile="D:\tmp\wale_395_pr071\csv\1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14m" type="6" refreshedVersion="6" background="1" refreshOnLoad="1" saveData="1">
    <textPr prompt="0" codePage="852" sourceFile="D:\tmp\wale_395_pr071\csv\1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name="15m" type="6" refreshedVersion="6" background="1" refreshOnLoad="1" saveData="1">
    <textPr prompt="0" codePage="852" sourceFile="D:\tmp\wale_395_pr071\csv\1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name="16m" type="6" refreshedVersion="6" background="1" refreshOnLoad="1" saveData="1">
    <textPr prompt="0" codePage="852" sourceFile="D:\tmp\wale_395_pr071\csv\1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17m" type="6" refreshedVersion="6" background="1" refreshOnLoad="1" saveData="1">
    <textPr prompt="0" codePage="852" sourceFile="D:\tmp\wale_395_pr071\csv\1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21m" type="6" refreshedVersion="6" background="1" refreshOnLoad="1" saveData="1">
    <textPr prompt="0" codePage="852" sourceFile="D:\tmp\wale_395_pr071\csv\2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22m" type="6" refreshedVersion="6" background="1" refreshOnLoad="1" saveData="1">
    <textPr prompt="0" codePage="852" sourceFile="D:\tmp\wale_395_pr071\csv\2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23m" type="6" refreshedVersion="6" background="1" refreshOnLoad="1" saveData="1">
    <textPr prompt="0" codePage="852" sourceFile="D:\tmp\wale_395_pr071\csv\2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24m" type="6" refreshedVersion="6" background="1" refreshOnLoad="1" saveData="1">
    <textPr prompt="0" codePage="852" sourceFile="D:\tmp\wale_395_pr071\csv\2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2" name="25m" type="6" refreshedVersion="6" background="1" refreshOnLoad="1" saveData="1">
    <textPr prompt="0" codePage="852" sourceFile="D:\tmp\wale_395_pr071\csv\2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3" name="26m" type="6" refreshedVersion="6" background="1" refreshOnLoad="1" saveData="1">
    <textPr prompt="0" codePage="852" sourceFile="D:\tmp\wale_395_pr071\csv\2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4" name="27m" type="6" refreshedVersion="6" background="1" refreshOnLoad="1" saveData="1">
    <textPr prompt="0" codePage="852" sourceFile="D:\tmp\wale_395_pr071\csv\2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5" name="31m" type="6" refreshedVersion="6" background="1" refreshOnLoad="1" saveData="1">
    <textPr prompt="0" codePage="852" sourceFile="D:\tmp\wale_395_pr071\csv\3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6" name="32m" type="6" refreshedVersion="6" background="1" refreshOnLoad="1" saveData="1">
    <textPr prompt="0" codePage="852" sourceFile="D:\tmp\wale_395_pr071\csv\3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7" name="33m" type="6" refreshedVersion="6" background="1" refreshOnLoad="1" saveData="1">
    <textPr prompt="0" codePage="852" sourceFile="D:\tmp\wale_395_pr071\csv\3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8" name="34m" type="6" refreshedVersion="6" background="1" refreshOnLoad="1" saveData="1">
    <textPr prompt="0" codePage="852" sourceFile="D:\tmp\wale_395_pr071\csv\3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9" name="35m" type="6" refreshedVersion="6" background="1" refreshOnLoad="1" saveData="1">
    <textPr prompt="0" codePage="852" sourceFile="D:\tmp\wale_395_pr071\csv\3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0" name="36m" type="6" refreshedVersion="6" background="1" refreshOnLoad="1" saveData="1">
    <textPr prompt="0" codePage="852" sourceFile="D:\tmp\wale_395_pr071\csv\3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1" name="37m" type="6" refreshedVersion="6" background="1" refreshOnLoad="1" saveData="1">
    <textPr prompt="0" codePage="852" sourceFile="D:\tmp\wale_395_pr071\csv\3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2" name="395" type="6" refreshedVersion="6" background="1" saveData="1">
    <textPr prompt="0" codePage="852" sourceFile="D:\Users\Flageul\Documents\stats\dns\395.txt" space="1" consecutive="1">
      <textFields count="8">
        <textField/>
        <textField/>
        <textField/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3" name="395_diric" type="6" refreshedVersion="6" backgroun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4" name="41m" type="6" refreshedVersion="6" background="1" refreshOnLoad="1" saveData="1">
    <textPr prompt="0" codePage="852" sourceFile="D:\tmp\wale_395_pr071\csv\4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5" name="42m" type="6" refreshedVersion="6" background="1" refreshOnLoad="1" saveData="1">
    <textPr prompt="0" codePage="852" sourceFile="D:\tmp\wale_395_pr071\csv\4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6" name="43m" type="6" refreshedVersion="6" background="1" refreshOnLoad="1" saveData="1">
    <textPr prompt="0" codePage="852" sourceFile="D:\tmp\wale_395_pr071\csv\4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7" name="44m" type="6" refreshedVersion="6" background="1" refreshOnLoad="1" saveData="1">
    <textPr prompt="0" codePage="852" sourceFile="D:\tmp\wale_395_pr071\csv\4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8" name="45m" type="6" refreshedVersion="6" background="1" refreshOnLoad="1" saveData="1">
    <textPr prompt="0" codePage="852" sourceFile="D:\tmp\wale_395_pr071\csv\4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9" name="46m" type="6" refreshedVersion="6" background="1" refreshOnLoad="1" saveData="1">
    <textPr prompt="0" codePage="852" sourceFile="D:\tmp\wale_395_pr071\csv\4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0" name="47m" type="6" refreshedVersion="6" background="1" refreshOnLoad="1" saveData="1">
    <textPr prompt="0" codePage="852" sourceFile="D:\tmp\wale_395_pr071\csv\4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1" name="51m" type="6" refreshedVersion="6" background="1" refreshOnLoad="1" saveData="1">
    <textPr prompt="0" codePage="852" sourceFile="D:\tmp\wale_395_pr071\csv\5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2" name="52m" type="6" refreshedVersion="6" background="1" refreshOnLoad="1" saveData="1">
    <textPr prompt="0" codePage="852" sourceFile="D:\tmp\wale_395_pr071\csv\5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3" name="53m" type="6" refreshedVersion="6" background="1" refreshOnLoad="1" saveData="1">
    <textPr prompt="0" codePage="852" sourceFile="D:\tmp\wale_395_pr071\csv\5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4" name="54m" type="6" refreshedVersion="6" background="1" refreshOnLoad="1" saveData="1">
    <textPr prompt="0" codePage="852" sourceFile="D:\tmp\wale_395_pr071\csv\5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5" name="55m" type="6" refreshedVersion="6" background="1" refreshOnLoad="1" saveData="1">
    <textPr prompt="0" codePage="852" sourceFile="D:\tmp\wale_395_pr071\csv\5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6" name="56m" type="6" refreshedVersion="6" background="1" refreshOnLoad="1" saveData="1">
    <textPr prompt="0" codePage="852" sourceFile="D:\tmp\wale_395_pr071\csv\5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7" name="57m" type="6" refreshedVersion="6" background="1" refreshOnLoad="1" saveData="1">
    <textPr prompt="0" codePage="852" sourceFile="D:\tmp\wale_395_pr071\csv\5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8" name="61m" type="6" refreshedVersion="6" background="1" refreshOnLoad="1" saveData="1">
    <textPr prompt="0" codePage="852" sourceFile="D:\tmp\wale_395_pr071\csv\6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9" name="62m" type="6" refreshedVersion="6" background="1" refreshOnLoad="1" saveData="1">
    <textPr prompt="0" codePage="852" sourceFile="D:\tmp\wale_395_pr071\csv\6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0" name="63m" type="6" refreshedVersion="6" background="1" refreshOnLoad="1" saveData="1">
    <textPr prompt="0" codePage="852" sourceFile="D:\tmp\wale_395_pr071\csv\6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1" name="64m" type="6" refreshedVersion="6" background="1" refreshOnLoad="1" saveData="1">
    <textPr prompt="0" codePage="852" sourceFile="D:\tmp\wale_395_pr071\csv\6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2" name="65m" type="6" refreshedVersion="6" background="1" refreshOnLoad="1" saveData="1">
    <textPr prompt="0" codePage="852" sourceFile="D:\tmp\wale_395_pr071\csv\6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3" name="66m" type="6" refreshedVersion="6" background="1" refreshOnLoad="1" saveData="1">
    <textPr prompt="0" codePage="852" sourceFile="D:\tmp\wale_395_pr071\csv\6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4" name="67m" type="6" refreshedVersion="6" background="1" refreshOnLoad="1" saveData="1">
    <textPr prompt="0" codePage="852" sourceFile="D:\tmp\wale_395_pr071\csv\6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5" name="71m" type="6" refreshedVersion="6" background="1" refreshOnLoad="1" saveData="1">
    <textPr prompt="0" codePage="852" sourceFile="D:\tmp\wale_395_pr071\csv\7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6" name="72m" type="6" refreshedVersion="6" background="1" refreshOnLoad="1" saveData="1">
    <textPr prompt="0" codePage="852" sourceFile="D:\tmp\wale_395_pr071\csv\7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7" name="73m" type="6" refreshedVersion="6" background="1" refreshOnLoad="1" saveData="1">
    <textPr prompt="0" codePage="852" sourceFile="D:\tmp\wale_395_pr071\csv\7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8" name="74m" type="6" refreshedVersion="6" background="1" refreshOnLoad="1" saveData="1">
    <textPr prompt="0" codePage="852" sourceFile="D:\tmp\wale_395_pr071\csv\7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9" name="75m" type="6" refreshedVersion="6" background="1" refreshOnLoad="1" saveData="1">
    <textPr prompt="0" codePage="852" sourceFile="D:\tmp\wale_395_pr071\csv\7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0" name="76m" type="6" refreshedVersion="6" background="1" refreshOnLoad="1" saveData="1">
    <textPr prompt="0" codePage="852" sourceFile="D:\tmp\wale_395_pr071\csv\7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1" name="77m" type="6" refreshedVersion="6" background="1" refreshOnLoad="1" saveData="1">
    <textPr prompt="0" codePage="852" sourceFile="D:\tmp\wale_395_pr071\csv\7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2" name="diricm" type="6" refreshedVersion="6" background="1" refreshOnLoad="1" saveData="1">
    <textPr prompt="0" codePage="852" sourceFile="D:\tmp\wale_395_pr07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3" name="diss1" type="6" refreshedVersion="6" background="1" refreshOnLoad="1" saveData="1">
    <textPr prompt="0" codePage="852" sourceFile="D:\tmp\wale_395_pr07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4" name="fluct1" type="6" refreshedVersion="6" background="1" refreshOnLoad="1" saveData="1">
    <textPr prompt="0" codePage="852" sourceFile="D:\tmp\wale_395_pr07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5" name="interfacem" type="6" refreshedVersion="6" background="1" refreshOnLoad="1" saveData="1">
    <textPr prompt="0" codePage="852" sourceFile="D:\tmp\wale_395_pr071\csv\interface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6" name="moy1" type="6" refreshedVersion="6" background="1" refreshOnLoad="1" saveData="1">
    <textPr prompt="0" codePage="852" sourceFile="D:\tmp\wale_395_pr07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7" name="neumam" type="6" refreshedVersion="6" background="1" refreshOnLoad="1" saveData="1">
    <textPr prompt="0" codePage="852" sourceFile="D:\tmp\wale_395_pr07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<sst xmlns="http://schemas.openxmlformats.org/spreadsheetml/2006/main" count="2394" uniqueCount="626">
  <si>
    <t>diss_tot_sat</t>
  </si>
  <si>
    <t>DNS</t>
  </si>
  <si>
    <t>diss(wall)</t>
  </si>
  <si>
    <t>dns</t>
  </si>
  <si>
    <t>error in %</t>
  </si>
  <si>
    <t>wall</t>
  </si>
  <si>
    <t>erreur en %</t>
  </si>
  <si>
    <t>matrix</t>
  </si>
  <si>
    <t>inverse</t>
  </si>
  <si>
    <t>df</t>
  </si>
  <si>
    <t>f</t>
  </si>
  <si>
    <t>d2f</t>
  </si>
  <si>
    <t>diss</t>
  </si>
  <si>
    <t>error</t>
  </si>
  <si>
    <t>average</t>
  </si>
  <si>
    <t>k</t>
  </si>
  <si>
    <t>d2k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</si>
  <si>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</si>
  <si>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</si>
  <si>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</si>
  <si>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</si>
  <si>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</si>
  <si>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</si>
  <si>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</si>
  <si>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</si>
  <si>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</si>
  <si>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</si>
  <si>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</si>
  <si>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</si>
  <si>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</si>
  <si>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</si>
  <si>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</si>
  <si>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</si>
  <si>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</si>
  <si>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</si>
  <si>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</si>
  <si>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</si>
  <si>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</si>
  <si>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</si>
  <si>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</si>
  <si>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</si>
  <si>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</si>
  <si>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</si>
  <si>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</si>
  <si>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</si>
  <si>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</si>
  <si>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</si>
  <si>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</si>
  <si>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</si>
  <si>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</si>
  <si>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</si>
  <si>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</si>
  <si>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</si>
  <si>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</si>
  <si>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</si>
  <si>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</si>
  <si>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</si>
  <si>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</si>
  <si>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</si>
  <si>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</si>
  <si>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</si>
  <si>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</si>
  <si>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</si>
  <si>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</si>
  <si>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</si>
  <si>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</si>
  <si>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</si>
  <si>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</si>
  <si>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</si>
  <si>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</si>
  <si>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</si>
  <si>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</si>
  <si>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</si>
  <si>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</si>
  <si>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</si>
  <si>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</si>
  <si>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</si>
  <si>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</si>
  <si>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</si>
  <si>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</si>
  <si>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</si>
  <si>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</si>
  <si>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</si>
  <si>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</si>
  <si>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</si>
  <si>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</si>
  <si>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</si>
  <si>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</si>
  <si>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</si>
  <si>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</si>
  <si>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</si>
  <si>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</si>
  <si>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</si>
  <si>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</si>
  <si>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</si>
  <si>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</si>
  <si>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</si>
  <si>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</si>
  <si>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</si>
  <si>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</si>
  <si>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</si>
  <si>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</si>
  <si>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</si>
  <si>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</si>
  <si>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</si>
  <si>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</si>
  <si>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</si>
  <si>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</si>
  <si>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</si>
  <si>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</si>
  <si>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</si>
  <si>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</si>
  <si>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</si>
  <si>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</si>
  <si>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</si>
  <si>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</si>
  <si>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</si>
  <si>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</si>
  <si>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</si>
  <si>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</si>
  <si>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</si>
  <si>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</si>
  <si>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ch395_4th_D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</si>
  <si>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</si>
  <si>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</si>
  <si>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</si>
  <si>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</si>
  <si>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</si>
  <si>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</si>
  <si>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</si>
  <si>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</si>
  <si>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</si>
  <si>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</si>
  <si>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</si>
  <si>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</si>
  <si>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</si>
  <si>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</si>
  <si>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</si>
  <si>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</si>
  <si>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</si>
  <si>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</si>
  <si>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</si>
  <si>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</si>
  <si>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</si>
  <si>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(u_i)*(u_i)/2.0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</si>
  <si>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</si>
  <si>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</si>
  <si>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</si>
  <si>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</si>
  <si>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</si>
  <si>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</si>
  <si>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</si>
  <si>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</si>
  <si>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</si>
  <si>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</si>
  <si>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</si>
  <si>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</si>
  <si>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</si>
  <si>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</si>
  <si>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</si>
  <si>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</si>
  <si>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</si>
  <si>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</si>
  <si>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</si>
  <si>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</si>
  <si>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</si>
  <si>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</si>
  <si>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</si>
  <si>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</si>
  <si>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</si>
  <si>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</si>
  <si>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</si>
  <si>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</si>
  <si>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</si>
  <si>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</si>
  <si>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</si>
  <si>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</si>
  <si>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</si>
  <si>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</si>
  <si>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</si>
  <si>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</si>
  <si>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</si>
  <si>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</si>
  <si>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</si>
  <si>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</si>
  <si>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</si>
  <si>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</si>
  <si>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</si>
  <si>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</si>
  <si>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</si>
  <si>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</si>
  <si>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</si>
  <si>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</si>
  <si>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</si>
  <si>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</si>
  <si>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</si>
  <si>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</si>
  <si>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</si>
  <si>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</si>
  <si>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</si>
  <si>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</si>
  <si>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Periodic</t>
  </si>
  <si>
    <t>condition</t>
  </si>
  <si>
    <t>directions.</t>
  </si>
  <si>
    <t>Non-slip</t>
  </si>
  <si>
    <t>adopted</t>
  </si>
  <si>
    <t>over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</si>
  <si>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</si>
  <si>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</si>
  <si>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</si>
  <si>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</si>
  <si>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</si>
  <si>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</si>
  <si>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</si>
  <si>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</si>
  <si>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References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</si>
  <si>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</si>
  <si>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</si>
  <si>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</si>
  <si>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</si>
  <si>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</si>
  <si>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</si>
  <si>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</si>
  <si>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</si>
  <si>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</si>
  <si>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</si>
  <si>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</si>
  <si>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</si>
  <si>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</si>
  <si>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</si>
  <si>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</si>
  <si>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</si>
  <si>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</si>
  <si>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</si>
  <si>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</si>
  <si>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</si>
  <si>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</si>
  <si>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</si>
  <si>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</si>
  <si>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</si>
  <si>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</si>
  <si>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</si>
  <si>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</si>
  <si>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</si>
  <si>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</si>
  <si>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</si>
  <si>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</si>
  <si>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</si>
  <si>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</si>
  <si>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</si>
  <si>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</si>
  <si>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</si>
  <si>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</si>
  <si>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</si>
  <si>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</si>
  <si>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</si>
  <si>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</si>
  <si>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</si>
  <si>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</si>
  <si>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Flow,"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</si>
  <si>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</si>
  <si>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</si>
  <si>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</si>
  <si>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</si>
  <si>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</si>
  <si>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</si>
  <si>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</si>
  <si>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</si>
  <si>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</si>
  <si>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</si>
  <si>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</si>
  <si>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</si>
  <si>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</si>
  <si>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</si>
  <si>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</si>
  <si>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</si>
  <si>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</si>
  <si>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</si>
  <si>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</si>
  <si>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</si>
  <si>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</si>
  <si>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</si>
  <si>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</si>
  <si>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</si>
  <si>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</si>
  <si>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</si>
  <si>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</si>
  <si>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</si>
  <si>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</si>
  <si>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</si>
  <si>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</si>
  <si>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</si>
  <si>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</si>
  <si>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</si>
  <si>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Note</t>
  </si>
  <si>
    <t>budgets</t>
  </si>
  <si>
    <t>transport</t>
  </si>
  <si>
    <t>were</t>
  </si>
  <si>
    <t>obtained</t>
  </si>
  <si>
    <t>use</t>
  </si>
  <si>
    <t>all</t>
  </si>
  <si>
    <t>three</t>
  </si>
  <si>
    <t>Further</t>
  </si>
  <si>
    <t>detailed</t>
  </si>
  <si>
    <t>found</t>
  </si>
  <si>
    <t>Abe</t>
  </si>
  <si>
    <t>et</t>
  </si>
  <si>
    <t>al.[2.2]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</si>
  <si>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</si>
  <si>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</si>
  <si>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</si>
  <si>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</si>
  <si>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</si>
  <si>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</si>
  <si>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</si>
  <si>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</si>
  <si>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</si>
  <si>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</si>
  <si>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</si>
  <si>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</si>
  <si>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</si>
  <si>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</si>
  <si>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</si>
  <si>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</si>
  <si>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</si>
  <si>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</si>
  <si>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</si>
  <si>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</si>
  <si>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</si>
  <si>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</si>
  <si>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</si>
  <si>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</si>
  <si>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</si>
  <si>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</si>
  <si>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</si>
  <si>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</si>
  <si>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</si>
  <si>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</si>
  <si>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</si>
  <si>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</si>
  <si>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</si>
  <si>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</si>
  <si>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</si>
  <si>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</si>
  <si>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</si>
  <si>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</si>
  <si>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</si>
  <si>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</si>
  <si>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</si>
  <si>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</si>
  <si>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</si>
  <si>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</si>
  <si>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</si>
  <si>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</si>
  <si>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</si>
  <si>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</si>
  <si>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</si>
  <si>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</si>
  <si>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non-dimensional</t>
  </si>
  <si>
    <t>(nu/u_tau^2)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</si>
  <si>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</si>
  <si>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</si>
  <si>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</si>
  <si>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</si>
  <si>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</si>
  <si>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</si>
  <si>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</si>
  <si>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</si>
  <si>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</si>
  <si>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</si>
  <si>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</si>
  <si>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</si>
  <si>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</si>
  <si>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</si>
  <si>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</si>
  <si>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</si>
  <si>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</si>
  <si>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</si>
  <si>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</si>
  <si>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</si>
  <si>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</si>
  <si>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</si>
  <si>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</si>
  <si>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</si>
  <si>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</si>
  <si>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</si>
  <si>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</si>
  <si>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</si>
  <si>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</si>
  <si>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</si>
  <si>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</si>
  <si>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</si>
  <si>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</si>
  <si>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</si>
  <si>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</si>
  <si>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</si>
  <si>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</si>
  <si>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</si>
  <si>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</si>
  <si>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</si>
  <si>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</si>
  <si>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</si>
  <si>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</si>
  <si>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</si>
  <si>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</si>
  <si>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</si>
  <si>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</si>
  <si>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</si>
  <si>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</si>
  <si>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</si>
  <si>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</si>
  <si>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</si>
  <si>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</si>
  <si>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</si>
  <si>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</si>
  <si>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</si>
  <si>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</si>
  <si>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</si>
  <si>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</si>
  <si>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</si>
  <si>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</si>
  <si>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</si>
  <si>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</si>
  <si>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</si>
  <si>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</si>
  <si>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</si>
  <si>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</si>
  <si>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</si>
  <si>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</si>
  <si>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</si>
  <si>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</si>
  <si>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</si>
  <si>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</si>
  <si>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</si>
  <si>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</si>
  <si>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</si>
  <si>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</si>
  <si>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</si>
  <si>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</si>
  <si>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</si>
  <si>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</si>
  <si>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</si>
  <si>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</si>
  <si>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</si>
  <si>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</si>
  <si>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</si>
  <si>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</si>
  <si>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</si>
  <si>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</si>
  <si>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</si>
  <si>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</si>
  <si>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</si>
  <si>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</si>
  <si>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</si>
  <si>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</si>
  <si>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</si>
  <si>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</si>
  <si>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</si>
  <si>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</si>
  <si>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</si>
  <si>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</si>
  <si>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</si>
  <si>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</si>
  <si>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</si>
  <si>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</si>
  <si>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</si>
  <si>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</si>
  <si>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</si>
  <si>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</si>
  <si>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</si>
  <si>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</si>
  <si>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</si>
  <si>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</si>
  <si>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</si>
  <si>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</si>
  <si>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G</t>
  </si>
  <si>
    <t>K</t>
  </si>
  <si>
    <t>G2</t>
  </si>
  <si>
    <t>TT</t>
  </si>
  <si>
    <t>dyTTf</t>
  </si>
  <si>
    <t>dyTTs</t>
  </si>
  <si>
    <t>dtdx+dtdz</t>
  </si>
  <si>
    <t>dtdyf</t>
  </si>
  <si>
    <t>dtdys</t>
  </si>
  <si>
    <t>produit</t>
  </si>
  <si>
    <t>isoQ</t>
  </si>
  <si>
    <t>epsf</t>
  </si>
  <si>
    <t>epss</t>
  </si>
  <si>
    <t>epsf~</t>
  </si>
  <si>
    <t>epss~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</si>
  <si>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</si>
  <si>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</si>
  <si>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</si>
  <si>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</si>
  <si>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</si>
  <si>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</si>
  <si>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</si>
  <si>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</si>
  <si>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</si>
  <si>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</si>
  <si>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</si>
  <si>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</si>
  <si>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</si>
  <si>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</si>
  <si>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</si>
  <si>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</si>
  <si>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</si>
  <si>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</si>
  <si>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</si>
  <si>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</si>
  <si>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</si>
  <si>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</si>
  <si>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</si>
  <si>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</si>
  <si>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</si>
  <si>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TT~</t>
  </si>
  <si>
    <t>EPSF</t>
  </si>
  <si>
    <t>EPSS</t>
  </si>
  <si>
    <t>epss/epsf</t>
  </si>
  <si>
    <t>ydiss_flu</t>
  </si>
  <si>
    <t>(epss/epsf)~</t>
  </si>
  <si>
    <t>LOG(epss/epsf)</t>
  </si>
  <si>
    <t>(ydiss_flu)~</t>
  </si>
  <si>
    <t>diricm</t>
  </si>
  <si>
    <t>neumam</t>
  </si>
  <si>
    <t>11m</t>
  </si>
  <si>
    <t>12m</t>
  </si>
  <si>
    <t>13m</t>
  </si>
  <si>
    <t>14m</t>
  </si>
  <si>
    <t>15m</t>
  </si>
  <si>
    <t>16m</t>
  </si>
  <si>
    <t>17m</t>
  </si>
  <si>
    <t>21m</t>
  </si>
  <si>
    <t>22m</t>
  </si>
  <si>
    <t>23m</t>
  </si>
  <si>
    <t>24m</t>
  </si>
  <si>
    <t>25m</t>
  </si>
  <si>
    <t>26m</t>
  </si>
  <si>
    <t>27m</t>
  </si>
  <si>
    <t>31m</t>
  </si>
  <si>
    <t>32m</t>
  </si>
  <si>
    <t>33m</t>
  </si>
  <si>
    <t>34m</t>
  </si>
  <si>
    <t>35m</t>
  </si>
  <si>
    <t>36m</t>
  </si>
  <si>
    <t>37m</t>
  </si>
  <si>
    <t>41m</t>
  </si>
  <si>
    <t>42m</t>
  </si>
  <si>
    <t>43m</t>
  </si>
  <si>
    <t>44m</t>
  </si>
  <si>
    <t>45m</t>
  </si>
  <si>
    <t>46m</t>
  </si>
  <si>
    <t>47m</t>
  </si>
  <si>
    <t>51m</t>
  </si>
  <si>
    <t>52m</t>
  </si>
  <si>
    <t>53m</t>
  </si>
  <si>
    <t>54m</t>
  </si>
  <si>
    <t>55m</t>
  </si>
  <si>
    <t>56m</t>
  </si>
  <si>
    <t>57m</t>
  </si>
  <si>
    <t>61m</t>
  </si>
  <si>
    <t>62m</t>
  </si>
  <si>
    <t>63m</t>
  </si>
  <si>
    <t>64m</t>
  </si>
  <si>
    <t>65m</t>
  </si>
  <si>
    <t>66m</t>
  </si>
  <si>
    <t>67m</t>
  </si>
  <si>
    <t>71m</t>
  </si>
  <si>
    <t>72m</t>
  </si>
  <si>
    <t>73m</t>
  </si>
  <si>
    <t>74m</t>
  </si>
  <si>
    <t>75m</t>
  </si>
  <si>
    <t>76m</t>
  </si>
  <si>
    <t>77m</t>
  </si>
  <si>
    <t>EPSS/EPSF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</si>
  <si>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</si>
  <si>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</si>
  <si>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</si>
  <si>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</si>
  <si>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</si>
  <si>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</si>
  <si>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</si>
  <si>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</si>
  <si>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</si>
  <si>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</si>
  <si>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</si>
  <si>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</si>
  <si>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</si>
  <si>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</si>
  <si>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>Fluid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</si>
  <si>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</si>
  <si>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</si>
  <si>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</si>
  <si>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</si>
  <si>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</si>
  <si>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51 passive scalars transported with a Prandtl number of 0.71</t>
  </si>
  <si>
    <t>diric</t>
  </si>
  <si>
    <t>No fluid-solid coupling, imposed temperature at the fluid boundary.</t>
  </si>
  <si>
    <t>neuma</t>
  </si>
  <si>
    <t>No fluid-solid coupling, imposed heat flux at the fluid boundary.</t>
  </si>
  <si>
    <t>"IJ"</t>
  </si>
  <si>
    <t>Fluid-solid coupling, imposed heat flux at the outer wall, various fluid-solid thermal properties ratios.</t>
  </si>
  <si>
    <t>I is the index for the fluid-to-solid thermal diffusivity ratio, often written G.</t>
  </si>
  <si>
    <t>J is the index for the thermal activity ratio, often written K.</t>
  </si>
  <si>
    <t>The interval for I and J is [1, 2, 3, 4, 5, 6, 7] =&gt; [0.1, 0.2, 0.5, 1, 2, 5, 10]</t>
  </si>
  <si>
    <t>Therefore, 7*7=49 passive scalars with fluid-solid coupling are present.</t>
  </si>
  <si>
    <t>For instance, the case 42 has fluid-solid thermal coupling with G=1 and K=0.2</t>
  </si>
  <si>
    <t>U</t>
  </si>
  <si>
    <t>mu_t / mu</t>
  </si>
  <si>
    <t>Rxx</t>
  </si>
  <si>
    <t>Ryy</t>
  </si>
  <si>
    <t>Rzz</t>
  </si>
  <si>
    <t>-Rxy</t>
  </si>
  <si>
    <t>SGS Diss.</t>
  </si>
  <si>
    <t>T</t>
  </si>
  <si>
    <t>T'**2</t>
  </si>
  <si>
    <t>u'T'</t>
  </si>
  <si>
    <t>v'T'</t>
  </si>
  <si>
    <t>w'T'</t>
  </si>
  <si>
    <t>Relative y-Diss</t>
  </si>
  <si>
    <t>LOG(tmp)</t>
  </si>
  <si>
    <t>LOG(G)</t>
  </si>
  <si>
    <t>LOG(K)</t>
  </si>
  <si>
    <t>LOG(epsf)</t>
  </si>
  <si>
    <t>LOG(epss)</t>
  </si>
  <si>
    <t>YDISS_FLU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</si>
</sst>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E+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11" fontId="0" fillId="0" borderId="0" xfId="0" applyNumberFormat="1" applyAlignment="1"/>
    <xf numFmtId="3" fontId="0" fillId="0" borderId="0" xfId="0" applyNumberFormat="1"/>
    <xf numFmtId="11" fontId="0" fillId="0" borderId="0" xfId="0" applyNumberFormat="1" applyAlignment="1">
      <alignment horizontal="right"/>
    </xf>
    <xf numFmtId="11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Continuous"/>
    </xf>
    <xf numFmtId="0" fontId="0" fillId="0" borderId="0" xfId="0" applyBorder="1"/>
    <xf numFmtId="11" fontId="0" fillId="0" borderId="0" xfId="0" applyNumberFormat="1" applyBorder="1"/>
    <xf numFmtId="11" fontId="0" fillId="0" borderId="0" xfId="0" applyNumberFormat="1" applyBorder="1" applyAlignment="1"/>
    <xf numFmtId="0" fontId="2" fillId="0" borderId="0" xfId="0" applyFont="1" applyFill="1" applyBorder="1" applyAlignment="1">
      <alignment horizontal="centerContinuous"/>
    </xf>
    <xf numFmtId="0" fontId="2" fillId="0" borderId="0" xfId="0" applyFont="1" applyFill="1" applyBorder="1" applyAlignment="1">
      <alignment horizontal="center"/>
    </xf>
    <xf numFmtId="11" fontId="2" fillId="0" borderId="0" xfId="0" applyNumberFormat="1" applyFont="1" applyFill="1" applyBorder="1" applyAlignment="1">
      <alignment horizontal="centerContinuous"/>
    </xf>
    <xf numFmtId="11" fontId="2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11" fontId="0" fillId="0" borderId="0" xfId="0" applyNumberFormat="1" applyBorder="1" applyAlignment="1">
      <alignment horizontal="center"/>
    </xf>
    <xf numFmtId="1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'&lt;U&gt;'!$B$2:$B$43</c:f>
              <c:numCache>
                <c:formatCode>#,##0</c:formatCode>
                <c:ptCount val="42"/>
                <c:pt idx="0" formatCode="General">
                  <c:v>0.49393053706499501</c:v>
                </c:pt>
                <c:pt idx="1">
                  <c:v>1.52278949901272</c:v>
                </c:pt>
                <c:pt idx="2">
                  <c:v>2.6343323406539301</c:v>
                </c:pt>
                <c:pt idx="3">
                  <c:v>3.8198789871191599</c:v>
                </c:pt>
                <c:pt idx="4">
                  <c:v>5.05707323294651</c:v>
                </c:pt>
                <c:pt idx="5">
                  <c:v>6.3092296043528702</c:v>
                </c:pt>
                <c:pt idx="6">
                  <c:v>7.5310706345340801</c:v>
                </c:pt>
                <c:pt idx="7">
                  <c:v>8.67973413090162</c:v>
                </c:pt>
                <c:pt idx="8">
                  <c:v>9.7253517884242306</c:v>
                </c:pt>
                <c:pt idx="9">
                  <c:v>10.6551614963555</c:v>
                </c:pt>
                <c:pt idx="10">
                  <c:v>11.470605599125699</c:v>
                </c:pt>
                <c:pt idx="11">
                  <c:v>12.1814879894256</c:v>
                </c:pt>
                <c:pt idx="12">
                  <c:v>12.800892601435599</c:v>
                </c:pt>
                <c:pt idx="13">
                  <c:v>13.342112234876099</c:v>
                </c:pt>
                <c:pt idx="14">
                  <c:v>13.817289863357001</c:v>
                </c:pt>
                <c:pt idx="15">
                  <c:v>14.2370616448076</c:v>
                </c:pt>
                <c:pt idx="16">
                  <c:v>14.6106283193902</c:v>
                </c:pt>
                <c:pt idx="17">
                  <c:v>14.9459406309489</c:v>
                </c:pt>
                <c:pt idx="18">
                  <c:v>15.2498815515373</c:v>
                </c:pt>
                <c:pt idx="19">
                  <c:v>15.5283195634431</c:v>
                </c:pt>
                <c:pt idx="20">
                  <c:v>15.786258914500801</c:v>
                </c:pt>
                <c:pt idx="21">
                  <c:v>16.028057008755301</c:v>
                </c:pt>
                <c:pt idx="22">
                  <c:v>16.2574371941481</c:v>
                </c:pt>
                <c:pt idx="23">
                  <c:v>16.477521797373299</c:v>
                </c:pt>
                <c:pt idx="24">
                  <c:v>16.691061236586702</c:v>
                </c:pt>
                <c:pt idx="25">
                  <c:v>16.9004478747331</c:v>
                </c:pt>
                <c:pt idx="26">
                  <c:v>17.107706428781299</c:v>
                </c:pt>
                <c:pt idx="27">
                  <c:v>17.3145717614813</c:v>
                </c:pt>
                <c:pt idx="28">
                  <c:v>17.522566673121801</c:v>
                </c:pt>
                <c:pt idx="29">
                  <c:v>17.732847383656001</c:v>
                </c:pt>
                <c:pt idx="30">
                  <c:v>17.946198204499201</c:v>
                </c:pt>
                <c:pt idx="31">
                  <c:v>18.1624848649471</c:v>
                </c:pt>
                <c:pt idx="32">
                  <c:v>18.381484646133199</c:v>
                </c:pt>
                <c:pt idx="33">
                  <c:v>18.6035278966155</c:v>
                </c:pt>
                <c:pt idx="34">
                  <c:v>18.828043433080701</c:v>
                </c:pt>
                <c:pt idx="35">
                  <c:v>19.053236716910199</c:v>
                </c:pt>
                <c:pt idx="36">
                  <c:v>19.2773622289488</c:v>
                </c:pt>
                <c:pt idx="37">
                  <c:v>19.496393979350199</c:v>
                </c:pt>
                <c:pt idx="38">
                  <c:v>19.703074956241998</c:v>
                </c:pt>
                <c:pt idx="39">
                  <c:v>19.886017725135702</c:v>
                </c:pt>
                <c:pt idx="40">
                  <c:v>20.0303757824475</c:v>
                </c:pt>
                <c:pt idx="41">
                  <c:v>20.107157312465599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8-432A-A9A1-DB2FB43EA73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ABC8-432A-A9A1-DB2FB43EA736}"/>
              </c:ext>
            </c:extLst>
          </c:dPt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DNS!$D$172:$D$411</c:f>
              <c:numCache>
                <c:formatCode>0.00E+00</c:formatCode>
                <c:ptCount val="240"/>
                <c:pt idx="0">
                  <c:v>0.11171</c:v>
                </c:pt>
                <c:pt idx="1">
                  <c:v>0.338835</c:v>
                </c:pt>
                <c:pt idx="2">
                  <c:v>0.573689</c:v>
                </c:pt>
                <c:pt idx="3">
                  <c:v>0.81666099999999997</c:v>
                </c:pt>
                <c:pt idx="4">
                  <c:v>1.0681099999999999</c:v>
                </c:pt>
                <c:pt idx="5">
                  <c:v>1.3283499999999999</c:v>
                </c:pt>
                <c:pt idx="6">
                  <c:v>1.5976399999999999</c:v>
                </c:pt>
                <c:pt idx="7">
                  <c:v>1.8761699999999999</c:v>
                </c:pt>
                <c:pt idx="8">
                  <c:v>2.16404</c:v>
                </c:pt>
                <c:pt idx="9">
                  <c:v>2.4612500000000002</c:v>
                </c:pt>
                <c:pt idx="10">
                  <c:v>2.7676699999999999</c:v>
                </c:pt>
                <c:pt idx="11">
                  <c:v>3.0830600000000001</c:v>
                </c:pt>
                <c:pt idx="12">
                  <c:v>3.4070100000000001</c:v>
                </c:pt>
                <c:pt idx="13">
                  <c:v>3.7389600000000001</c:v>
                </c:pt>
                <c:pt idx="14">
                  <c:v>4.0781999999999998</c:v>
                </c:pt>
                <c:pt idx="15">
                  <c:v>4.4238600000000003</c:v>
                </c:pt>
                <c:pt idx="16">
                  <c:v>4.7749199999999998</c:v>
                </c:pt>
                <c:pt idx="17">
                  <c:v>5.1302399999999997</c:v>
                </c:pt>
                <c:pt idx="18">
                  <c:v>5.4885599999999997</c:v>
                </c:pt>
                <c:pt idx="19">
                  <c:v>5.8485300000000002</c:v>
                </c:pt>
                <c:pt idx="20">
                  <c:v>6.2087700000000003</c:v>
                </c:pt>
                <c:pt idx="21">
                  <c:v>6.5678400000000003</c:v>
                </c:pt>
                <c:pt idx="22">
                  <c:v>6.9243300000000003</c:v>
                </c:pt>
                <c:pt idx="23">
                  <c:v>7.2769000000000004</c:v>
                </c:pt>
                <c:pt idx="24">
                  <c:v>7.6242400000000004</c:v>
                </c:pt>
                <c:pt idx="25">
                  <c:v>7.9651699999999996</c:v>
                </c:pt>
                <c:pt idx="26">
                  <c:v>8.29861</c:v>
                </c:pt>
                <c:pt idx="27">
                  <c:v>8.6236300000000004</c:v>
                </c:pt>
                <c:pt idx="28">
                  <c:v>8.9394399999999994</c:v>
                </c:pt>
                <c:pt idx="29">
                  <c:v>9.2454000000000001</c:v>
                </c:pt>
                <c:pt idx="30">
                  <c:v>9.5410299999999992</c:v>
                </c:pt>
                <c:pt idx="31">
                  <c:v>9.8259799999999995</c:v>
                </c:pt>
                <c:pt idx="32">
                  <c:v>10.1</c:v>
                </c:pt>
                <c:pt idx="33">
                  <c:v>10.363099999999999</c:v>
                </c:pt>
                <c:pt idx="34">
                  <c:v>10.6153</c:v>
                </c:pt>
                <c:pt idx="35">
                  <c:v>10.8566</c:v>
                </c:pt>
                <c:pt idx="36">
                  <c:v>11.087300000000001</c:v>
                </c:pt>
                <c:pt idx="37">
                  <c:v>11.307600000000001</c:v>
                </c:pt>
                <c:pt idx="38">
                  <c:v>11.517799999999999</c:v>
                </c:pt>
                <c:pt idx="39">
                  <c:v>11.718400000000001</c:v>
                </c:pt>
                <c:pt idx="40">
                  <c:v>11.909599999999999</c:v>
                </c:pt>
                <c:pt idx="41">
                  <c:v>12.092000000000001</c:v>
                </c:pt>
                <c:pt idx="42">
                  <c:v>12.2658</c:v>
                </c:pt>
                <c:pt idx="43">
                  <c:v>12.4315</c:v>
                </c:pt>
                <c:pt idx="44">
                  <c:v>12.589700000000001</c:v>
                </c:pt>
                <c:pt idx="45">
                  <c:v>12.740600000000001</c:v>
                </c:pt>
                <c:pt idx="46">
                  <c:v>12.884499999999999</c:v>
                </c:pt>
                <c:pt idx="47">
                  <c:v>13.0222</c:v>
                </c:pt>
                <c:pt idx="48">
                  <c:v>13.153600000000001</c:v>
                </c:pt>
                <c:pt idx="49">
                  <c:v>13.279400000000001</c:v>
                </c:pt>
                <c:pt idx="50">
                  <c:v>13.399900000000001</c:v>
                </c:pt>
                <c:pt idx="51">
                  <c:v>13.5152</c:v>
                </c:pt>
                <c:pt idx="52">
                  <c:v>13.6259</c:v>
                </c:pt>
                <c:pt idx="53">
                  <c:v>13.732200000000001</c:v>
                </c:pt>
                <c:pt idx="54">
                  <c:v>13.834300000000001</c:v>
                </c:pt>
                <c:pt idx="55">
                  <c:v>13.932499999999999</c:v>
                </c:pt>
                <c:pt idx="56">
                  <c:v>14.027200000000001</c:v>
                </c:pt>
                <c:pt idx="57">
                  <c:v>14.118499999999999</c:v>
                </c:pt>
                <c:pt idx="58">
                  <c:v>14.206799999999999</c:v>
                </c:pt>
                <c:pt idx="59">
                  <c:v>14.292199999999999</c:v>
                </c:pt>
                <c:pt idx="60">
                  <c:v>14.375</c:v>
                </c:pt>
                <c:pt idx="61">
                  <c:v>14.455299999999999</c:v>
                </c:pt>
                <c:pt idx="62">
                  <c:v>14.533300000000001</c:v>
                </c:pt>
                <c:pt idx="63">
                  <c:v>14.609299999999999</c:v>
                </c:pt>
                <c:pt idx="64">
                  <c:v>14.683299999999999</c:v>
                </c:pt>
                <c:pt idx="65">
                  <c:v>14.755599999999999</c:v>
                </c:pt>
                <c:pt idx="66">
                  <c:v>14.8262</c:v>
                </c:pt>
                <c:pt idx="67">
                  <c:v>14.895200000000001</c:v>
                </c:pt>
                <c:pt idx="68">
                  <c:v>14.962899999999999</c:v>
                </c:pt>
                <c:pt idx="69">
                  <c:v>15.0291</c:v>
                </c:pt>
                <c:pt idx="70">
                  <c:v>15.093999999999999</c:v>
                </c:pt>
                <c:pt idx="71">
                  <c:v>15.1578</c:v>
                </c:pt>
                <c:pt idx="72">
                  <c:v>15.220499999999999</c:v>
                </c:pt>
                <c:pt idx="73">
                  <c:v>15.2821</c:v>
                </c:pt>
                <c:pt idx="74">
                  <c:v>15.3429</c:v>
                </c:pt>
                <c:pt idx="75">
                  <c:v>15.402799999999999</c:v>
                </c:pt>
                <c:pt idx="76">
                  <c:v>15.4619</c:v>
                </c:pt>
                <c:pt idx="77">
                  <c:v>15.520200000000001</c:v>
                </c:pt>
                <c:pt idx="78">
                  <c:v>15.5778</c:v>
                </c:pt>
                <c:pt idx="79">
                  <c:v>15.6348</c:v>
                </c:pt>
                <c:pt idx="80">
                  <c:v>15.6912</c:v>
                </c:pt>
                <c:pt idx="81">
                  <c:v>15.747</c:v>
                </c:pt>
                <c:pt idx="82">
                  <c:v>15.802199999999999</c:v>
                </c:pt>
                <c:pt idx="83">
                  <c:v>15.8569</c:v>
                </c:pt>
                <c:pt idx="84">
                  <c:v>15.911199999999999</c:v>
                </c:pt>
                <c:pt idx="85">
                  <c:v>15.965</c:v>
                </c:pt>
                <c:pt idx="86">
                  <c:v>16.0183</c:v>
                </c:pt>
                <c:pt idx="87">
                  <c:v>16.071100000000001</c:v>
                </c:pt>
                <c:pt idx="88">
                  <c:v>16.1236</c:v>
                </c:pt>
                <c:pt idx="89">
                  <c:v>16.175699999999999</c:v>
                </c:pt>
                <c:pt idx="90">
                  <c:v>16.2273</c:v>
                </c:pt>
                <c:pt idx="91">
                  <c:v>16.278600000000001</c:v>
                </c:pt>
                <c:pt idx="92">
                  <c:v>16.329499999999999</c:v>
                </c:pt>
                <c:pt idx="93">
                  <c:v>16.38</c:v>
                </c:pt>
                <c:pt idx="94">
                  <c:v>16.43</c:v>
                </c:pt>
                <c:pt idx="95">
                  <c:v>16.479700000000001</c:v>
                </c:pt>
                <c:pt idx="96">
                  <c:v>16.529</c:v>
                </c:pt>
                <c:pt idx="97">
                  <c:v>16.5779</c:v>
                </c:pt>
                <c:pt idx="98">
                  <c:v>16.6264</c:v>
                </c:pt>
                <c:pt idx="99">
                  <c:v>16.674399999999999</c:v>
                </c:pt>
                <c:pt idx="100">
                  <c:v>16.722000000000001</c:v>
                </c:pt>
                <c:pt idx="101">
                  <c:v>16.769200000000001</c:v>
                </c:pt>
                <c:pt idx="102">
                  <c:v>16.815999999999999</c:v>
                </c:pt>
                <c:pt idx="103">
                  <c:v>16.862400000000001</c:v>
                </c:pt>
                <c:pt idx="104">
                  <c:v>16.9085</c:v>
                </c:pt>
                <c:pt idx="105">
                  <c:v>16.9542</c:v>
                </c:pt>
                <c:pt idx="106">
                  <c:v>16.999600000000001</c:v>
                </c:pt>
                <c:pt idx="107">
                  <c:v>17.044699999999999</c:v>
                </c:pt>
                <c:pt idx="108">
                  <c:v>17.089400000000001</c:v>
                </c:pt>
                <c:pt idx="109">
                  <c:v>17.133900000000001</c:v>
                </c:pt>
                <c:pt idx="110">
                  <c:v>17.178100000000001</c:v>
                </c:pt>
                <c:pt idx="111">
                  <c:v>17.221900000000002</c:v>
                </c:pt>
                <c:pt idx="112">
                  <c:v>17.265499999999999</c:v>
                </c:pt>
                <c:pt idx="113">
                  <c:v>17.308700000000002</c:v>
                </c:pt>
                <c:pt idx="114">
                  <c:v>17.351700000000001</c:v>
                </c:pt>
                <c:pt idx="115">
                  <c:v>17.394300000000001</c:v>
                </c:pt>
                <c:pt idx="116">
                  <c:v>17.436599999999999</c:v>
                </c:pt>
                <c:pt idx="117">
                  <c:v>17.4786</c:v>
                </c:pt>
                <c:pt idx="118">
                  <c:v>17.520299999999999</c:v>
                </c:pt>
                <c:pt idx="119">
                  <c:v>17.561599999999999</c:v>
                </c:pt>
                <c:pt idx="120">
                  <c:v>17.602699999999999</c:v>
                </c:pt>
                <c:pt idx="121">
                  <c:v>17.6435</c:v>
                </c:pt>
                <c:pt idx="122">
                  <c:v>17.684000000000001</c:v>
                </c:pt>
                <c:pt idx="123">
                  <c:v>17.724299999999999</c:v>
                </c:pt>
                <c:pt idx="124">
                  <c:v>17.764299999999999</c:v>
                </c:pt>
                <c:pt idx="125">
                  <c:v>17.803999999999998</c:v>
                </c:pt>
                <c:pt idx="126">
                  <c:v>17.843599999999999</c:v>
                </c:pt>
                <c:pt idx="127">
                  <c:v>17.882899999999999</c:v>
                </c:pt>
                <c:pt idx="128">
                  <c:v>17.922000000000001</c:v>
                </c:pt>
                <c:pt idx="129">
                  <c:v>17.960899999999999</c:v>
                </c:pt>
                <c:pt idx="130">
                  <c:v>17.999600000000001</c:v>
                </c:pt>
                <c:pt idx="131">
                  <c:v>18.0381</c:v>
                </c:pt>
                <c:pt idx="132">
                  <c:v>18.0764</c:v>
                </c:pt>
                <c:pt idx="133">
                  <c:v>18.1144</c:v>
                </c:pt>
                <c:pt idx="134">
                  <c:v>18.1523</c:v>
                </c:pt>
                <c:pt idx="135">
                  <c:v>18.189900000000002</c:v>
                </c:pt>
                <c:pt idx="136">
                  <c:v>18.2273</c:v>
                </c:pt>
                <c:pt idx="137">
                  <c:v>18.264500000000002</c:v>
                </c:pt>
                <c:pt idx="138">
                  <c:v>18.301500000000001</c:v>
                </c:pt>
                <c:pt idx="139">
                  <c:v>18.3384</c:v>
                </c:pt>
                <c:pt idx="140">
                  <c:v>18.375</c:v>
                </c:pt>
                <c:pt idx="141">
                  <c:v>18.4114</c:v>
                </c:pt>
                <c:pt idx="142">
                  <c:v>18.447600000000001</c:v>
                </c:pt>
                <c:pt idx="143">
                  <c:v>18.483599999999999</c:v>
                </c:pt>
                <c:pt idx="144">
                  <c:v>18.519200000000001</c:v>
                </c:pt>
                <c:pt idx="145">
                  <c:v>18.5548</c:v>
                </c:pt>
                <c:pt idx="146">
                  <c:v>18.5901</c:v>
                </c:pt>
                <c:pt idx="147">
                  <c:v>18.6251</c:v>
                </c:pt>
                <c:pt idx="148">
                  <c:v>18.6599</c:v>
                </c:pt>
                <c:pt idx="149">
                  <c:v>18.694500000000001</c:v>
                </c:pt>
                <c:pt idx="150">
                  <c:v>18.7288</c:v>
                </c:pt>
                <c:pt idx="151">
                  <c:v>18.762899999999998</c:v>
                </c:pt>
                <c:pt idx="152">
                  <c:v>18.796600000000002</c:v>
                </c:pt>
                <c:pt idx="153">
                  <c:v>18.829999999999998</c:v>
                </c:pt>
                <c:pt idx="154">
                  <c:v>18.863099999999999</c:v>
                </c:pt>
                <c:pt idx="155">
                  <c:v>18.895900000000001</c:v>
                </c:pt>
                <c:pt idx="156">
                  <c:v>18.9284</c:v>
                </c:pt>
                <c:pt idx="157">
                  <c:v>18.960599999999999</c:v>
                </c:pt>
                <c:pt idx="158">
                  <c:v>18.9925</c:v>
                </c:pt>
                <c:pt idx="159">
                  <c:v>19.024000000000001</c:v>
                </c:pt>
                <c:pt idx="160">
                  <c:v>19.055199999999999</c:v>
                </c:pt>
                <c:pt idx="161">
                  <c:v>19.085999999999999</c:v>
                </c:pt>
                <c:pt idx="162">
                  <c:v>19.116499999999998</c:v>
                </c:pt>
                <c:pt idx="163">
                  <c:v>19.146699999999999</c:v>
                </c:pt>
                <c:pt idx="164">
                  <c:v>19.176600000000001</c:v>
                </c:pt>
                <c:pt idx="165">
                  <c:v>19.206099999999999</c:v>
                </c:pt>
                <c:pt idx="166">
                  <c:v>19.235299999999999</c:v>
                </c:pt>
                <c:pt idx="167">
                  <c:v>19.264199999999999</c:v>
                </c:pt>
                <c:pt idx="168">
                  <c:v>19.2928</c:v>
                </c:pt>
                <c:pt idx="169">
                  <c:v>19.320900000000002</c:v>
                </c:pt>
                <c:pt idx="170">
                  <c:v>19.348800000000001</c:v>
                </c:pt>
                <c:pt idx="171">
                  <c:v>19.376300000000001</c:v>
                </c:pt>
                <c:pt idx="172">
                  <c:v>19.403400000000001</c:v>
                </c:pt>
                <c:pt idx="173">
                  <c:v>19.430299999999999</c:v>
                </c:pt>
                <c:pt idx="174">
                  <c:v>19.456800000000001</c:v>
                </c:pt>
                <c:pt idx="175">
                  <c:v>19.482900000000001</c:v>
                </c:pt>
                <c:pt idx="176">
                  <c:v>19.508700000000001</c:v>
                </c:pt>
                <c:pt idx="177">
                  <c:v>19.534199999999998</c:v>
                </c:pt>
                <c:pt idx="178">
                  <c:v>19.5594</c:v>
                </c:pt>
                <c:pt idx="179">
                  <c:v>19.584299999999999</c:v>
                </c:pt>
                <c:pt idx="180">
                  <c:v>19.608799999999999</c:v>
                </c:pt>
                <c:pt idx="181">
                  <c:v>19.633099999999999</c:v>
                </c:pt>
                <c:pt idx="182">
                  <c:v>19.6571</c:v>
                </c:pt>
                <c:pt idx="183">
                  <c:v>19.680800000000001</c:v>
                </c:pt>
                <c:pt idx="184">
                  <c:v>19.7043</c:v>
                </c:pt>
                <c:pt idx="185">
                  <c:v>19.727499999999999</c:v>
                </c:pt>
                <c:pt idx="186">
                  <c:v>19.750299999999999</c:v>
                </c:pt>
                <c:pt idx="187">
                  <c:v>19.7729</c:v>
                </c:pt>
                <c:pt idx="188">
                  <c:v>19.795200000000001</c:v>
                </c:pt>
                <c:pt idx="189">
                  <c:v>19.817299999999999</c:v>
                </c:pt>
                <c:pt idx="190">
                  <c:v>19.838999999999999</c:v>
                </c:pt>
                <c:pt idx="191">
                  <c:v>19.860399999999998</c:v>
                </c:pt>
                <c:pt idx="192">
                  <c:v>19.881399999999999</c:v>
                </c:pt>
                <c:pt idx="193">
                  <c:v>19.902100000000001</c:v>
                </c:pt>
                <c:pt idx="194">
                  <c:v>19.922499999999999</c:v>
                </c:pt>
                <c:pt idx="195">
                  <c:v>19.942499999999999</c:v>
                </c:pt>
                <c:pt idx="196">
                  <c:v>19.962199999999999</c:v>
                </c:pt>
                <c:pt idx="197">
                  <c:v>19.9815</c:v>
                </c:pt>
                <c:pt idx="198">
                  <c:v>20.000499999999999</c:v>
                </c:pt>
                <c:pt idx="199">
                  <c:v>20.018999999999998</c:v>
                </c:pt>
                <c:pt idx="200">
                  <c:v>20.037199999999999</c:v>
                </c:pt>
                <c:pt idx="201">
                  <c:v>20.0549</c:v>
                </c:pt>
                <c:pt idx="202">
                  <c:v>20.072299999999998</c:v>
                </c:pt>
                <c:pt idx="203">
                  <c:v>20.089300000000001</c:v>
                </c:pt>
                <c:pt idx="204">
                  <c:v>20.105799999999999</c:v>
                </c:pt>
                <c:pt idx="205">
                  <c:v>20.1219</c:v>
                </c:pt>
                <c:pt idx="206">
                  <c:v>20.137599999999999</c:v>
                </c:pt>
                <c:pt idx="207">
                  <c:v>20.152799999999999</c:v>
                </c:pt>
                <c:pt idx="208">
                  <c:v>20.1676</c:v>
                </c:pt>
                <c:pt idx="209">
                  <c:v>20.181899999999999</c:v>
                </c:pt>
                <c:pt idx="210">
                  <c:v>20.195799999999998</c:v>
                </c:pt>
                <c:pt idx="211">
                  <c:v>20.209099999999999</c:v>
                </c:pt>
                <c:pt idx="212">
                  <c:v>20.222100000000001</c:v>
                </c:pt>
                <c:pt idx="213">
                  <c:v>20.234500000000001</c:v>
                </c:pt>
                <c:pt idx="214">
                  <c:v>20.246400000000001</c:v>
                </c:pt>
                <c:pt idx="215">
                  <c:v>20.2578</c:v>
                </c:pt>
                <c:pt idx="216">
                  <c:v>20.268799999999999</c:v>
                </c:pt>
                <c:pt idx="217">
                  <c:v>20.279299999999999</c:v>
                </c:pt>
                <c:pt idx="218">
                  <c:v>20.289300000000001</c:v>
                </c:pt>
                <c:pt idx="219">
                  <c:v>20.2988</c:v>
                </c:pt>
                <c:pt idx="220">
                  <c:v>20.3078</c:v>
                </c:pt>
                <c:pt idx="221">
                  <c:v>20.316299999999998</c:v>
                </c:pt>
                <c:pt idx="222">
                  <c:v>20.324400000000001</c:v>
                </c:pt>
                <c:pt idx="223">
                  <c:v>20.332000000000001</c:v>
                </c:pt>
                <c:pt idx="224">
                  <c:v>20.339099999999998</c:v>
                </c:pt>
                <c:pt idx="225">
                  <c:v>20.345800000000001</c:v>
                </c:pt>
                <c:pt idx="226">
                  <c:v>20.352</c:v>
                </c:pt>
                <c:pt idx="227">
                  <c:v>20.357800000000001</c:v>
                </c:pt>
                <c:pt idx="228">
                  <c:v>20.363099999999999</c:v>
                </c:pt>
                <c:pt idx="229">
                  <c:v>20.367899999999999</c:v>
                </c:pt>
                <c:pt idx="230">
                  <c:v>20.372299999999999</c:v>
                </c:pt>
                <c:pt idx="231">
                  <c:v>20.376300000000001</c:v>
                </c:pt>
                <c:pt idx="232">
                  <c:v>20.379899999999999</c:v>
                </c:pt>
                <c:pt idx="233">
                  <c:v>20.383099999999999</c:v>
                </c:pt>
                <c:pt idx="234">
                  <c:v>20.3857</c:v>
                </c:pt>
                <c:pt idx="235">
                  <c:v>20.388000000000002</c:v>
                </c:pt>
                <c:pt idx="236">
                  <c:v>20.389900000000001</c:v>
                </c:pt>
                <c:pt idx="237">
                  <c:v>20.391200000000001</c:v>
                </c:pt>
                <c:pt idx="238">
                  <c:v>20.392099999999999</c:v>
                </c:pt>
                <c:pt idx="239">
                  <c:v>20.392600000000002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8-432A-A9A1-DB2FB43E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78144"/>
        <c:axId val="105096320"/>
      </c:scatterChart>
      <c:valAx>
        <c:axId val="10507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5096320"/>
        <c:crosses val="autoZero"/>
        <c:crossBetween val="midCat"/>
      </c:valAx>
      <c:valAx>
        <c:axId val="105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78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'&lt;U&gt;'!$C$2:$C$43</c:f>
              <c:numCache>
                <c:formatCode>General</c:formatCode>
                <c:ptCount val="42"/>
                <c:pt idx="0" formatCode="0.00E+00">
                  <c:v>2.8236564769024101E-5</c:v>
                </c:pt>
                <c:pt idx="1">
                  <c:v>2.64922305532877E-4</c:v>
                </c:pt>
                <c:pt idx="2">
                  <c:v>1.0499895119551099E-3</c:v>
                </c:pt>
                <c:pt idx="3">
                  <c:v>2.3290791291969899E-3</c:v>
                </c:pt>
                <c:pt idx="4">
                  <c:v>4.4709192890195404E-3</c:v>
                </c:pt>
                <c:pt idx="5">
                  <c:v>8.93476300416296E-3</c:v>
                </c:pt>
                <c:pt idx="6">
                  <c:v>1.9831952841286599E-2</c:v>
                </c:pt>
                <c:pt idx="7">
                  <c:v>4.3524232170056999E-2</c:v>
                </c:pt>
                <c:pt idx="8">
                  <c:v>8.3389096032988094E-2</c:v>
                </c:pt>
                <c:pt idx="9">
                  <c:v>0.13680129215936099</c:v>
                </c:pt>
                <c:pt idx="10">
                  <c:v>0.19849473416979799</c:v>
                </c:pt>
                <c:pt idx="11">
                  <c:v>0.26437703152623698</c:v>
                </c:pt>
                <c:pt idx="12">
                  <c:v>0.33269500266032898</c:v>
                </c:pt>
                <c:pt idx="13">
                  <c:v>0.40341982181416802</c:v>
                </c:pt>
                <c:pt idx="14">
                  <c:v>0.476875920066959</c:v>
                </c:pt>
                <c:pt idx="15">
                  <c:v>0.55279967789829199</c:v>
                </c:pt>
                <c:pt idx="16">
                  <c:v>0.62992939034302198</c:v>
                </c:pt>
                <c:pt idx="17">
                  <c:v>0.70607614958134901</c:v>
                </c:pt>
                <c:pt idx="18">
                  <c:v>0.77863047947175801</c:v>
                </c:pt>
                <c:pt idx="19">
                  <c:v>0.84509979977156002</c:v>
                </c:pt>
                <c:pt idx="20">
                  <c:v>0.90371782629517805</c:v>
                </c:pt>
                <c:pt idx="21">
                  <c:v>0.95407616844749998</c:v>
                </c:pt>
                <c:pt idx="22">
                  <c:v>0.99680477951187596</c:v>
                </c:pt>
                <c:pt idx="23" formatCode="#,##0">
                  <c:v>1.03333580124308</c:v>
                </c:pt>
                <c:pt idx="24" formatCode="#,##0">
                  <c:v>1.0643563246121599</c:v>
                </c:pt>
                <c:pt idx="25" formatCode="#,##0">
                  <c:v>1.0907611299189699</c:v>
                </c:pt>
                <c:pt idx="26" formatCode="#,##0">
                  <c:v>1.1135484824480899</c:v>
                </c:pt>
                <c:pt idx="27" formatCode="#,##0">
                  <c:v>1.1336023721087201</c:v>
                </c:pt>
                <c:pt idx="28" formatCode="#,##0">
                  <c:v>1.1506106996966901</c:v>
                </c:pt>
                <c:pt idx="29" formatCode="#,##0">
                  <c:v>1.16380909449071</c:v>
                </c:pt>
                <c:pt idx="30" formatCode="#,##0">
                  <c:v>1.1733164563192899</c:v>
                </c:pt>
                <c:pt idx="31" formatCode="#,##0">
                  <c:v>1.1784454886801501</c:v>
                </c:pt>
                <c:pt idx="32" formatCode="#,##0">
                  <c:v>1.1777802867873099</c:v>
                </c:pt>
                <c:pt idx="33" formatCode="#,##0">
                  <c:v>1.1706004636071099</c:v>
                </c:pt>
                <c:pt idx="34" formatCode="#,##0">
                  <c:v>1.15717444295296</c:v>
                </c:pt>
                <c:pt idx="35" formatCode="#,##0">
                  <c:v>1.13202337827533</c:v>
                </c:pt>
                <c:pt idx="36" formatCode="#,##0">
                  <c:v>1.0954073693719599</c:v>
                </c:pt>
                <c:pt idx="37" formatCode="#,##0">
                  <c:v>1.04775690144742</c:v>
                </c:pt>
                <c:pt idx="38">
                  <c:v>0.99201847051153802</c:v>
                </c:pt>
                <c:pt idx="39">
                  <c:v>0.93355829198844698</c:v>
                </c:pt>
                <c:pt idx="40">
                  <c:v>0.88901874507428102</c:v>
                </c:pt>
                <c:pt idx="41">
                  <c:v>0.81821158496313695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139-90F1-B8412429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400"/>
        <c:axId val="104999936"/>
      </c:scatterChart>
      <c:valAx>
        <c:axId val="10499840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104999936"/>
        <c:crosses val="autoZero"/>
        <c:crossBetween val="midCat"/>
      </c:valAx>
      <c:valAx>
        <c:axId val="1049999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4998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Rij!$B$2:$B$43</c:f>
              <c:numCache>
                <c:formatCode>General</c:formatCode>
                <c:ptCount val="42"/>
                <c:pt idx="0">
                  <c:v>3.8205790498751502E-2</c:v>
                </c:pt>
                <c:pt idx="1">
                  <c:v>0.363889228020844</c:v>
                </c:pt>
                <c:pt idx="2" formatCode="#,##0">
                  <c:v>1.0857192819400301</c:v>
                </c:pt>
                <c:pt idx="3" formatCode="#,##0">
                  <c:v>2.2422152315026298</c:v>
                </c:pt>
                <c:pt idx="4" formatCode="#,##0">
                  <c:v>3.7677599379414</c:v>
                </c:pt>
                <c:pt idx="5" formatCode="#,##0">
                  <c:v>5.4568161925950402</c:v>
                </c:pt>
                <c:pt idx="6" formatCode="#,##0">
                  <c:v>7.0176290413048701</c:v>
                </c:pt>
                <c:pt idx="7" formatCode="#,##0">
                  <c:v>8.1978102409162403</c:v>
                </c:pt>
                <c:pt idx="8" formatCode="#,##0">
                  <c:v>8.8822682424452406</c:v>
                </c:pt>
                <c:pt idx="9" formatCode="#,##0">
                  <c:v>9.0957123427478095</c:v>
                </c:pt>
                <c:pt idx="10" formatCode="#,##0">
                  <c:v>8.9410550783148803</c:v>
                </c:pt>
                <c:pt idx="11" formatCode="#,##0">
                  <c:v>8.5376878039685202</c:v>
                </c:pt>
                <c:pt idx="12" formatCode="#,##0">
                  <c:v>7.9879389922939001</c:v>
                </c:pt>
                <c:pt idx="13" formatCode="#,##0">
                  <c:v>7.3675744133743999</c:v>
                </c:pt>
                <c:pt idx="14" formatCode="#,##0">
                  <c:v>6.72823519971924</c:v>
                </c:pt>
                <c:pt idx="15" formatCode="#,##0">
                  <c:v>6.1033070633711599</c:v>
                </c:pt>
                <c:pt idx="16" formatCode="#,##0">
                  <c:v>5.5132447439278804</c:v>
                </c:pt>
                <c:pt idx="17" formatCode="#,##0">
                  <c:v>4.9695384037917698</c:v>
                </c:pt>
                <c:pt idx="18" formatCode="#,##0">
                  <c:v>4.4779673582869304</c:v>
                </c:pt>
                <c:pt idx="19" formatCode="#,##0">
                  <c:v>4.0405356432000099</c:v>
                </c:pt>
                <c:pt idx="20" formatCode="#,##0">
                  <c:v>3.6559352173476301</c:v>
                </c:pt>
                <c:pt idx="21" formatCode="#,##0">
                  <c:v>3.3208287002776</c:v>
                </c:pt>
                <c:pt idx="22" formatCode="#,##0">
                  <c:v>3.03099874573484</c:v>
                </c:pt>
                <c:pt idx="23" formatCode="#,##0">
                  <c:v>2.7813724520793901</c:v>
                </c:pt>
                <c:pt idx="24" formatCode="#,##0">
                  <c:v>2.5659135992212598</c:v>
                </c:pt>
                <c:pt idx="25" formatCode="#,##0">
                  <c:v>2.37849159996644</c:v>
                </c:pt>
                <c:pt idx="26" formatCode="#,##0">
                  <c:v>2.2141559024533999</c:v>
                </c:pt>
                <c:pt idx="27" formatCode="#,##0">
                  <c:v>2.0683347628328601</c:v>
                </c:pt>
                <c:pt idx="28" formatCode="#,##0">
                  <c:v>1.9359578098130801</c:v>
                </c:pt>
                <c:pt idx="29" formatCode="#,##0">
                  <c:v>1.8137623826362499</c:v>
                </c:pt>
                <c:pt idx="30" formatCode="#,##0">
                  <c:v>1.6986942021622999</c:v>
                </c:pt>
                <c:pt idx="31" formatCode="#,##0">
                  <c:v>1.58799876109268</c:v>
                </c:pt>
                <c:pt idx="32" formatCode="#,##0">
                  <c:v>1.47866018204259</c:v>
                </c:pt>
                <c:pt idx="33" formatCode="#,##0">
                  <c:v>1.3684450606018701</c:v>
                </c:pt>
                <c:pt idx="34" formatCode="#,##0">
                  <c:v>1.25579693492999</c:v>
                </c:pt>
                <c:pt idx="35" formatCode="#,##0">
                  <c:v>1.14049305996196</c:v>
                </c:pt>
                <c:pt idx="36" formatCode="#,##0">
                  <c:v>1.0210723828693999</c:v>
                </c:pt>
                <c:pt idx="37">
                  <c:v>0.89747283569901304</c:v>
                </c:pt>
                <c:pt idx="38">
                  <c:v>0.770246853003834</c:v>
                </c:pt>
                <c:pt idx="39">
                  <c:v>0.64661500668269201</c:v>
                </c:pt>
                <c:pt idx="40">
                  <c:v>0.54087525259304603</c:v>
                </c:pt>
                <c:pt idx="41">
                  <c:v>0.48036119358932799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0-41AA-9DE3-1349A573AC5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DNS!$E$172:$E$411</c:f>
              <c:numCache>
                <c:formatCode>0.00E+00</c:formatCode>
                <c:ptCount val="240"/>
                <c:pt idx="0">
                  <c:v>1.9848700000000001E-3</c:v>
                </c:pt>
                <c:pt idx="1">
                  <c:v>1.8171799999999998E-2</c:v>
                </c:pt>
                <c:pt idx="2">
                  <c:v>5.1953100000000002E-2</c:v>
                </c:pt>
                <c:pt idx="3">
                  <c:v>0.10505299999999999</c:v>
                </c:pt>
                <c:pt idx="4">
                  <c:v>0.17934600000000001</c:v>
                </c:pt>
                <c:pt idx="5">
                  <c:v>0.27680700000000003</c:v>
                </c:pt>
                <c:pt idx="6">
                  <c:v>0.39941900000000002</c:v>
                </c:pt>
                <c:pt idx="7">
                  <c:v>0.54907600000000001</c:v>
                </c:pt>
                <c:pt idx="8">
                  <c:v>0.72744200000000003</c:v>
                </c:pt>
                <c:pt idx="9">
                  <c:v>0.93579400000000001</c:v>
                </c:pt>
                <c:pt idx="10">
                  <c:v>1.17486</c:v>
                </c:pt>
                <c:pt idx="11">
                  <c:v>1.4446399999999999</c:v>
                </c:pt>
                <c:pt idx="12">
                  <c:v>1.7443</c:v>
                </c:pt>
                <c:pt idx="13">
                  <c:v>2.0720299999999998</c:v>
                </c:pt>
                <c:pt idx="14">
                  <c:v>2.42502</c:v>
                </c:pt>
                <c:pt idx="15">
                  <c:v>2.7995000000000001</c:v>
                </c:pt>
                <c:pt idx="16">
                  <c:v>3.1907800000000002</c:v>
                </c:pt>
                <c:pt idx="17">
                  <c:v>3.5934699999999999</c:v>
                </c:pt>
                <c:pt idx="18">
                  <c:v>4.0016299999999996</c:v>
                </c:pt>
                <c:pt idx="19">
                  <c:v>4.4090600000000002</c:v>
                </c:pt>
                <c:pt idx="20">
                  <c:v>4.8095600000000003</c:v>
                </c:pt>
                <c:pt idx="21">
                  <c:v>5.1971499999999997</c:v>
                </c:pt>
                <c:pt idx="22">
                  <c:v>5.5663299999999998</c:v>
                </c:pt>
                <c:pt idx="23">
                  <c:v>5.9122500000000002</c:v>
                </c:pt>
                <c:pt idx="24">
                  <c:v>6.2308599999999998</c:v>
                </c:pt>
                <c:pt idx="25">
                  <c:v>6.5190099999999997</c:v>
                </c:pt>
                <c:pt idx="26">
                  <c:v>6.7744299999999997</c:v>
                </c:pt>
                <c:pt idx="27">
                  <c:v>6.9957200000000004</c:v>
                </c:pt>
                <c:pt idx="28">
                  <c:v>7.1823300000000003</c:v>
                </c:pt>
                <c:pt idx="29">
                  <c:v>7.3344300000000002</c:v>
                </c:pt>
                <c:pt idx="30">
                  <c:v>7.4528299999999996</c:v>
                </c:pt>
                <c:pt idx="31">
                  <c:v>7.5388700000000002</c:v>
                </c:pt>
                <c:pt idx="32">
                  <c:v>7.5942800000000004</c:v>
                </c:pt>
                <c:pt idx="33">
                  <c:v>7.6211099999999998</c:v>
                </c:pt>
                <c:pt idx="34">
                  <c:v>7.6216200000000001</c:v>
                </c:pt>
                <c:pt idx="35">
                  <c:v>7.59816</c:v>
                </c:pt>
                <c:pt idx="36">
                  <c:v>7.5532000000000004</c:v>
                </c:pt>
                <c:pt idx="37">
                  <c:v>7.4891399999999999</c:v>
                </c:pt>
                <c:pt idx="38">
                  <c:v>7.4083600000000001</c:v>
                </c:pt>
                <c:pt idx="39">
                  <c:v>7.3131700000000004</c:v>
                </c:pt>
                <c:pt idx="40">
                  <c:v>7.20573</c:v>
                </c:pt>
                <c:pt idx="41">
                  <c:v>7.0880700000000001</c:v>
                </c:pt>
                <c:pt idx="42">
                  <c:v>6.9621300000000002</c:v>
                </c:pt>
                <c:pt idx="43">
                  <c:v>6.8296200000000002</c:v>
                </c:pt>
                <c:pt idx="44">
                  <c:v>6.6921499999999998</c:v>
                </c:pt>
                <c:pt idx="45">
                  <c:v>6.5511900000000001</c:v>
                </c:pt>
                <c:pt idx="46">
                  <c:v>6.4080300000000001</c:v>
                </c:pt>
                <c:pt idx="47">
                  <c:v>6.2638699999999998</c:v>
                </c:pt>
                <c:pt idx="48">
                  <c:v>6.1197499999999998</c:v>
                </c:pt>
                <c:pt idx="49">
                  <c:v>5.9766199999999996</c:v>
                </c:pt>
                <c:pt idx="50">
                  <c:v>5.83528</c:v>
                </c:pt>
                <c:pt idx="51">
                  <c:v>5.6964600000000001</c:v>
                </c:pt>
                <c:pt idx="52">
                  <c:v>5.56074</c:v>
                </c:pt>
                <c:pt idx="53">
                  <c:v>5.4286000000000003</c:v>
                </c:pt>
                <c:pt idx="54">
                  <c:v>5.30044</c:v>
                </c:pt>
                <c:pt idx="55">
                  <c:v>5.1764900000000003</c:v>
                </c:pt>
                <c:pt idx="56">
                  <c:v>5.0568799999999996</c:v>
                </c:pt>
                <c:pt idx="57">
                  <c:v>4.9416000000000002</c:v>
                </c:pt>
                <c:pt idx="58">
                  <c:v>4.8305699999999998</c:v>
                </c:pt>
                <c:pt idx="59">
                  <c:v>4.7237</c:v>
                </c:pt>
                <c:pt idx="60">
                  <c:v>4.6208900000000002</c:v>
                </c:pt>
                <c:pt idx="61">
                  <c:v>4.5221</c:v>
                </c:pt>
                <c:pt idx="62">
                  <c:v>4.4272900000000002</c:v>
                </c:pt>
                <c:pt idx="63">
                  <c:v>4.3364599999999998</c:v>
                </c:pt>
                <c:pt idx="64">
                  <c:v>4.2495399999999997</c:v>
                </c:pt>
                <c:pt idx="65">
                  <c:v>4.16648</c:v>
                </c:pt>
                <c:pt idx="66">
                  <c:v>4.0871899999999997</c:v>
                </c:pt>
                <c:pt idx="67">
                  <c:v>4.0115499999999997</c:v>
                </c:pt>
                <c:pt idx="68">
                  <c:v>3.9394</c:v>
                </c:pt>
                <c:pt idx="69">
                  <c:v>3.8705699999999998</c:v>
                </c:pt>
                <c:pt idx="70">
                  <c:v>3.8048600000000001</c:v>
                </c:pt>
                <c:pt idx="71">
                  <c:v>3.74207</c:v>
                </c:pt>
                <c:pt idx="72">
                  <c:v>3.68201</c:v>
                </c:pt>
                <c:pt idx="73">
                  <c:v>3.6245500000000002</c:v>
                </c:pt>
                <c:pt idx="74">
                  <c:v>3.5695399999999999</c:v>
                </c:pt>
                <c:pt idx="75">
                  <c:v>3.5168499999999998</c:v>
                </c:pt>
                <c:pt idx="76">
                  <c:v>3.4663900000000001</c:v>
                </c:pt>
                <c:pt idx="77">
                  <c:v>3.4180199999999998</c:v>
                </c:pt>
                <c:pt idx="78">
                  <c:v>3.3716499999999998</c:v>
                </c:pt>
                <c:pt idx="79">
                  <c:v>3.32714</c:v>
                </c:pt>
                <c:pt idx="80">
                  <c:v>3.2844199999999999</c:v>
                </c:pt>
                <c:pt idx="81">
                  <c:v>3.24336</c:v>
                </c:pt>
                <c:pt idx="82">
                  <c:v>3.2038500000000001</c:v>
                </c:pt>
                <c:pt idx="83">
                  <c:v>3.1657899999999999</c:v>
                </c:pt>
                <c:pt idx="84">
                  <c:v>3.12906</c:v>
                </c:pt>
                <c:pt idx="85">
                  <c:v>3.09361</c:v>
                </c:pt>
                <c:pt idx="86">
                  <c:v>3.0593300000000001</c:v>
                </c:pt>
                <c:pt idx="87">
                  <c:v>3.0261399999999998</c:v>
                </c:pt>
                <c:pt idx="88">
                  <c:v>2.9939499999999999</c:v>
                </c:pt>
                <c:pt idx="89">
                  <c:v>2.9626600000000001</c:v>
                </c:pt>
                <c:pt idx="90">
                  <c:v>2.9321899999999999</c:v>
                </c:pt>
                <c:pt idx="91">
                  <c:v>2.9024399999999999</c:v>
                </c:pt>
                <c:pt idx="92">
                  <c:v>2.8733900000000001</c:v>
                </c:pt>
                <c:pt idx="93">
                  <c:v>2.84504</c:v>
                </c:pt>
                <c:pt idx="94">
                  <c:v>2.8174399999999999</c:v>
                </c:pt>
                <c:pt idx="95">
                  <c:v>2.7905700000000002</c:v>
                </c:pt>
                <c:pt idx="96">
                  <c:v>2.7644500000000001</c:v>
                </c:pt>
                <c:pt idx="97">
                  <c:v>2.7390099999999999</c:v>
                </c:pt>
                <c:pt idx="98">
                  <c:v>2.7141799999999998</c:v>
                </c:pt>
                <c:pt idx="99">
                  <c:v>2.6898</c:v>
                </c:pt>
                <c:pt idx="100">
                  <c:v>2.6657999999999999</c:v>
                </c:pt>
                <c:pt idx="101">
                  <c:v>2.6420699999999999</c:v>
                </c:pt>
                <c:pt idx="102">
                  <c:v>2.6185499999999999</c:v>
                </c:pt>
                <c:pt idx="103">
                  <c:v>2.5952700000000002</c:v>
                </c:pt>
                <c:pt idx="104">
                  <c:v>2.5722399999999999</c:v>
                </c:pt>
                <c:pt idx="105">
                  <c:v>2.5495000000000001</c:v>
                </c:pt>
                <c:pt idx="106">
                  <c:v>2.5270899999999998</c:v>
                </c:pt>
                <c:pt idx="107">
                  <c:v>2.5049899999999998</c:v>
                </c:pt>
                <c:pt idx="108">
                  <c:v>2.4831699999999999</c:v>
                </c:pt>
                <c:pt idx="109">
                  <c:v>2.46157</c:v>
                </c:pt>
                <c:pt idx="110">
                  <c:v>2.44015</c:v>
                </c:pt>
                <c:pt idx="111">
                  <c:v>2.4188999999999998</c:v>
                </c:pt>
                <c:pt idx="112">
                  <c:v>2.39777</c:v>
                </c:pt>
                <c:pt idx="113">
                  <c:v>2.37676</c:v>
                </c:pt>
                <c:pt idx="114">
                  <c:v>2.3559100000000002</c:v>
                </c:pt>
                <c:pt idx="115">
                  <c:v>2.33527</c:v>
                </c:pt>
                <c:pt idx="116">
                  <c:v>2.31488</c:v>
                </c:pt>
                <c:pt idx="117">
                  <c:v>2.29481</c:v>
                </c:pt>
                <c:pt idx="118">
                  <c:v>2.27508</c:v>
                </c:pt>
                <c:pt idx="119">
                  <c:v>2.2556500000000002</c:v>
                </c:pt>
                <c:pt idx="120">
                  <c:v>2.2365300000000001</c:v>
                </c:pt>
                <c:pt idx="121">
                  <c:v>2.2176499999999999</c:v>
                </c:pt>
                <c:pt idx="122">
                  <c:v>2.1989800000000002</c:v>
                </c:pt>
                <c:pt idx="123">
                  <c:v>2.1804700000000001</c:v>
                </c:pt>
                <c:pt idx="124">
                  <c:v>2.1620699999999999</c:v>
                </c:pt>
                <c:pt idx="125">
                  <c:v>2.1436700000000002</c:v>
                </c:pt>
                <c:pt idx="126">
                  <c:v>2.12521</c:v>
                </c:pt>
                <c:pt idx="127">
                  <c:v>2.1065900000000002</c:v>
                </c:pt>
                <c:pt idx="128">
                  <c:v>2.08779</c:v>
                </c:pt>
                <c:pt idx="129">
                  <c:v>2.0687799999999998</c:v>
                </c:pt>
                <c:pt idx="130">
                  <c:v>2.0496400000000001</c:v>
                </c:pt>
                <c:pt idx="131">
                  <c:v>2.0304500000000001</c:v>
                </c:pt>
                <c:pt idx="132">
                  <c:v>2.0112700000000001</c:v>
                </c:pt>
                <c:pt idx="133">
                  <c:v>1.9921899999999999</c:v>
                </c:pt>
                <c:pt idx="134">
                  <c:v>1.97326</c:v>
                </c:pt>
                <c:pt idx="135">
                  <c:v>1.9544600000000001</c:v>
                </c:pt>
                <c:pt idx="136">
                  <c:v>1.9357800000000001</c:v>
                </c:pt>
                <c:pt idx="137">
                  <c:v>1.9171499999999999</c:v>
                </c:pt>
                <c:pt idx="138">
                  <c:v>1.89852</c:v>
                </c:pt>
                <c:pt idx="139">
                  <c:v>1.8798900000000001</c:v>
                </c:pt>
                <c:pt idx="140">
                  <c:v>1.8612200000000001</c:v>
                </c:pt>
                <c:pt idx="141">
                  <c:v>1.8425100000000001</c:v>
                </c:pt>
                <c:pt idx="142">
                  <c:v>1.82375</c:v>
                </c:pt>
                <c:pt idx="143">
                  <c:v>1.8049599999999999</c:v>
                </c:pt>
                <c:pt idx="144">
                  <c:v>1.7861800000000001</c:v>
                </c:pt>
                <c:pt idx="145">
                  <c:v>1.7674000000000001</c:v>
                </c:pt>
                <c:pt idx="146">
                  <c:v>1.7486299999999999</c:v>
                </c:pt>
                <c:pt idx="147">
                  <c:v>1.72987</c:v>
                </c:pt>
                <c:pt idx="148">
                  <c:v>1.7111400000000001</c:v>
                </c:pt>
                <c:pt idx="149">
                  <c:v>1.69245</c:v>
                </c:pt>
                <c:pt idx="150">
                  <c:v>1.6738599999999999</c:v>
                </c:pt>
                <c:pt idx="151">
                  <c:v>1.6554199999999999</c:v>
                </c:pt>
                <c:pt idx="152">
                  <c:v>1.6371800000000001</c:v>
                </c:pt>
                <c:pt idx="153">
                  <c:v>1.61917</c:v>
                </c:pt>
                <c:pt idx="154">
                  <c:v>1.6013999999999999</c:v>
                </c:pt>
                <c:pt idx="155">
                  <c:v>1.58382</c:v>
                </c:pt>
                <c:pt idx="156">
                  <c:v>1.5664199999999999</c:v>
                </c:pt>
                <c:pt idx="157">
                  <c:v>1.5491699999999999</c:v>
                </c:pt>
                <c:pt idx="158">
                  <c:v>1.53207</c:v>
                </c:pt>
                <c:pt idx="159">
                  <c:v>1.51509</c:v>
                </c:pt>
                <c:pt idx="160">
                  <c:v>1.49823</c:v>
                </c:pt>
                <c:pt idx="161">
                  <c:v>1.4814700000000001</c:v>
                </c:pt>
                <c:pt idx="162">
                  <c:v>1.4648099999999999</c:v>
                </c:pt>
                <c:pt idx="163">
                  <c:v>1.4482299999999999</c:v>
                </c:pt>
                <c:pt idx="164">
                  <c:v>1.4317500000000001</c:v>
                </c:pt>
                <c:pt idx="165">
                  <c:v>1.4153899999999999</c:v>
                </c:pt>
                <c:pt idx="166">
                  <c:v>1.3991899999999999</c:v>
                </c:pt>
                <c:pt idx="167">
                  <c:v>1.38317</c:v>
                </c:pt>
                <c:pt idx="168">
                  <c:v>1.3673500000000001</c:v>
                </c:pt>
                <c:pt idx="169">
                  <c:v>1.3517600000000001</c:v>
                </c:pt>
                <c:pt idx="170">
                  <c:v>1.3364199999999999</c:v>
                </c:pt>
                <c:pt idx="171">
                  <c:v>1.3213299999999999</c:v>
                </c:pt>
                <c:pt idx="172">
                  <c:v>1.3064800000000001</c:v>
                </c:pt>
                <c:pt idx="173">
                  <c:v>1.2918499999999999</c:v>
                </c:pt>
                <c:pt idx="174">
                  <c:v>1.2774300000000001</c:v>
                </c:pt>
                <c:pt idx="175">
                  <c:v>1.2631699999999999</c:v>
                </c:pt>
                <c:pt idx="176">
                  <c:v>1.2490699999999999</c:v>
                </c:pt>
                <c:pt idx="177">
                  <c:v>1.2351099999999999</c:v>
                </c:pt>
                <c:pt idx="178">
                  <c:v>1.22126</c:v>
                </c:pt>
                <c:pt idx="179">
                  <c:v>1.2075100000000001</c:v>
                </c:pt>
                <c:pt idx="180">
                  <c:v>1.19387</c:v>
                </c:pt>
                <c:pt idx="181">
                  <c:v>1.18032</c:v>
                </c:pt>
                <c:pt idx="182">
                  <c:v>1.1668499999999999</c:v>
                </c:pt>
                <c:pt idx="183">
                  <c:v>1.1534899999999999</c:v>
                </c:pt>
                <c:pt idx="184">
                  <c:v>1.1402399999999999</c:v>
                </c:pt>
                <c:pt idx="185">
                  <c:v>1.12713</c:v>
                </c:pt>
                <c:pt idx="186">
                  <c:v>1.11415</c:v>
                </c:pt>
                <c:pt idx="187">
                  <c:v>1.1013200000000001</c:v>
                </c:pt>
                <c:pt idx="188">
                  <c:v>1.0886400000000001</c:v>
                </c:pt>
                <c:pt idx="189">
                  <c:v>1.0761099999999999</c:v>
                </c:pt>
                <c:pt idx="190">
                  <c:v>1.0637300000000001</c:v>
                </c:pt>
                <c:pt idx="191">
                  <c:v>1.0515000000000001</c:v>
                </c:pt>
                <c:pt idx="192">
                  <c:v>1.0393699999999999</c:v>
                </c:pt>
                <c:pt idx="193">
                  <c:v>1.02735</c:v>
                </c:pt>
                <c:pt idx="194">
                  <c:v>1.01539</c:v>
                </c:pt>
                <c:pt idx="195">
                  <c:v>1.0034700000000001</c:v>
                </c:pt>
                <c:pt idx="196">
                  <c:v>0.99152499999999999</c:v>
                </c:pt>
                <c:pt idx="197">
                  <c:v>0.97955300000000001</c:v>
                </c:pt>
                <c:pt idx="198">
                  <c:v>0.96753100000000003</c:v>
                </c:pt>
                <c:pt idx="199">
                  <c:v>0.95546299999999995</c:v>
                </c:pt>
                <c:pt idx="200">
                  <c:v>0.943357</c:v>
                </c:pt>
                <c:pt idx="201">
                  <c:v>0.93123299999999998</c:v>
                </c:pt>
                <c:pt idx="202">
                  <c:v>0.91911900000000002</c:v>
                </c:pt>
                <c:pt idx="203">
                  <c:v>0.90705000000000002</c:v>
                </c:pt>
                <c:pt idx="204">
                  <c:v>0.89505100000000004</c:v>
                </c:pt>
                <c:pt idx="205">
                  <c:v>0.88314899999999996</c:v>
                </c:pt>
                <c:pt idx="206">
                  <c:v>0.87136000000000002</c:v>
                </c:pt>
                <c:pt idx="207">
                  <c:v>0.85970299999999999</c:v>
                </c:pt>
                <c:pt idx="208">
                  <c:v>0.84820499999999999</c:v>
                </c:pt>
                <c:pt idx="209">
                  <c:v>0.836893</c:v>
                </c:pt>
                <c:pt idx="210">
                  <c:v>0.82580299999999995</c:v>
                </c:pt>
                <c:pt idx="211">
                  <c:v>0.814971</c:v>
                </c:pt>
                <c:pt idx="212">
                  <c:v>0.80442599999999997</c:v>
                </c:pt>
                <c:pt idx="213">
                  <c:v>0.79418800000000001</c:v>
                </c:pt>
                <c:pt idx="214">
                  <c:v>0.78426200000000001</c:v>
                </c:pt>
                <c:pt idx="215">
                  <c:v>0.77465200000000001</c:v>
                </c:pt>
                <c:pt idx="216">
                  <c:v>0.76535799999999998</c:v>
                </c:pt>
                <c:pt idx="217">
                  <c:v>0.75638499999999997</c:v>
                </c:pt>
                <c:pt idx="218">
                  <c:v>0.74774600000000002</c:v>
                </c:pt>
                <c:pt idx="219">
                  <c:v>0.73945399999999994</c:v>
                </c:pt>
                <c:pt idx="220">
                  <c:v>0.73152499999999998</c:v>
                </c:pt>
                <c:pt idx="221">
                  <c:v>0.72397299999999998</c:v>
                </c:pt>
                <c:pt idx="222">
                  <c:v>0.716804</c:v>
                </c:pt>
                <c:pt idx="223">
                  <c:v>0.71002100000000001</c:v>
                </c:pt>
                <c:pt idx="224">
                  <c:v>0.703627</c:v>
                </c:pt>
                <c:pt idx="225">
                  <c:v>0.69762299999999999</c:v>
                </c:pt>
                <c:pt idx="226">
                  <c:v>0.69200899999999999</c:v>
                </c:pt>
                <c:pt idx="227">
                  <c:v>0.68678799999999995</c:v>
                </c:pt>
                <c:pt idx="228">
                  <c:v>0.68195799999999995</c:v>
                </c:pt>
                <c:pt idx="229">
                  <c:v>0.67751499999999998</c:v>
                </c:pt>
                <c:pt idx="230">
                  <c:v>0.673458</c:v>
                </c:pt>
                <c:pt idx="231">
                  <c:v>0.66977799999999998</c:v>
                </c:pt>
                <c:pt idx="232">
                  <c:v>0.66647299999999998</c:v>
                </c:pt>
                <c:pt idx="233">
                  <c:v>0.66353899999999999</c:v>
                </c:pt>
                <c:pt idx="234">
                  <c:v>0.66098299999999999</c:v>
                </c:pt>
                <c:pt idx="235">
                  <c:v>0.65881599999999996</c:v>
                </c:pt>
                <c:pt idx="236">
                  <c:v>0.657053</c:v>
                </c:pt>
                <c:pt idx="237">
                  <c:v>0.65571400000000002</c:v>
                </c:pt>
                <c:pt idx="238">
                  <c:v>0.65481</c:v>
                </c:pt>
                <c:pt idx="239">
                  <c:v>0.65435699999999997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0-41AA-9DE3-1349A573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2112"/>
        <c:axId val="106523648"/>
      </c:scatterChart>
      <c:valAx>
        <c:axId val="1065221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523648"/>
        <c:crosses val="autoZero"/>
        <c:crossBetween val="midCat"/>
      </c:valAx>
      <c:valAx>
        <c:axId val="1065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22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Rij!$C$2:$C$43</c:f>
              <c:numCache>
                <c:formatCode>General</c:formatCode>
                <c:ptCount val="42"/>
                <c:pt idx="0" formatCode="0.00E+00">
                  <c:v>5.1556851022405201E-6</c:v>
                </c:pt>
                <c:pt idx="1">
                  <c:v>1.0927241832251499E-4</c:v>
                </c:pt>
                <c:pt idx="2">
                  <c:v>8.1104506548554704E-4</c:v>
                </c:pt>
                <c:pt idx="3">
                  <c:v>2.9751548839177201E-3</c:v>
                </c:pt>
                <c:pt idx="4">
                  <c:v>7.7517514105703601E-3</c:v>
                </c:pt>
                <c:pt idx="5">
                  <c:v>1.6418085322610299E-2</c:v>
                </c:pt>
                <c:pt idx="6">
                  <c:v>3.0201817675907901E-2</c:v>
                </c:pt>
                <c:pt idx="7">
                  <c:v>5.0132761238885E-2</c:v>
                </c:pt>
                <c:pt idx="8">
                  <c:v>7.7032581475255699E-2</c:v>
                </c:pt>
                <c:pt idx="9">
                  <c:v>0.111530074567936</c:v>
                </c:pt>
                <c:pt idx="10">
                  <c:v>0.153952450821914</c:v>
                </c:pt>
                <c:pt idx="11">
                  <c:v>0.204208794453697</c:v>
                </c:pt>
                <c:pt idx="12">
                  <c:v>0.26174675463500302</c:v>
                </c:pt>
                <c:pt idx="13">
                  <c:v>0.32555326180457</c:v>
                </c:pt>
                <c:pt idx="14">
                  <c:v>0.39418170100322097</c:v>
                </c:pt>
                <c:pt idx="15">
                  <c:v>0.46579029502362901</c:v>
                </c:pt>
                <c:pt idx="16">
                  <c:v>0.53821686131568702</c:v>
                </c:pt>
                <c:pt idx="17">
                  <c:v>0.60910304092058198</c:v>
                </c:pt>
                <c:pt idx="18">
                  <c:v>0.676021597312637</c:v>
                </c:pt>
                <c:pt idx="19">
                  <c:v>0.73669860329922998</c:v>
                </c:pt>
                <c:pt idx="20">
                  <c:v>0.78923986997507201</c:v>
                </c:pt>
                <c:pt idx="21">
                  <c:v>0.83234234243120997</c:v>
                </c:pt>
                <c:pt idx="22">
                  <c:v>0.86540156513217303</c:v>
                </c:pt>
                <c:pt idx="23">
                  <c:v>0.88845861902546097</c:v>
                </c:pt>
                <c:pt idx="24">
                  <c:v>0.90197484612835499</c:v>
                </c:pt>
                <c:pt idx="25">
                  <c:v>0.90679039647039505</c:v>
                </c:pt>
                <c:pt idx="26">
                  <c:v>0.90391800471381401</c:v>
                </c:pt>
                <c:pt idx="27">
                  <c:v>0.894279089719069</c:v>
                </c:pt>
                <c:pt idx="28">
                  <c:v>0.87846925080287497</c:v>
                </c:pt>
                <c:pt idx="29">
                  <c:v>0.85695861177926302</c:v>
                </c:pt>
                <c:pt idx="30">
                  <c:v>0.83004523278361297</c:v>
                </c:pt>
                <c:pt idx="31">
                  <c:v>0.79801906195261296</c:v>
                </c:pt>
                <c:pt idx="32">
                  <c:v>0.76078975097057</c:v>
                </c:pt>
                <c:pt idx="33">
                  <c:v>0.71872829353907397</c:v>
                </c:pt>
                <c:pt idx="34">
                  <c:v>0.67204441087198297</c:v>
                </c:pt>
                <c:pt idx="35">
                  <c:v>0.61995499740761595</c:v>
                </c:pt>
                <c:pt idx="36">
                  <c:v>0.563382960446557</c:v>
                </c:pt>
                <c:pt idx="37">
                  <c:v>0.50467601660071304</c:v>
                </c:pt>
                <c:pt idx="38">
                  <c:v>0.44588088267735998</c:v>
                </c:pt>
                <c:pt idx="39">
                  <c:v>0.39204359397216298</c:v>
                </c:pt>
                <c:pt idx="40">
                  <c:v>0.34834686179542501</c:v>
                </c:pt>
                <c:pt idx="41">
                  <c:v>0.32372657365902902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A-403C-AB13-DB88F5389A5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DNS!$D$414:$D$653</c:f>
              <c:numCache>
                <c:formatCode>0.00E+00</c:formatCode>
                <c:ptCount val="240"/>
                <c:pt idx="0">
                  <c:v>3.0882100000000001E-7</c:v>
                </c:pt>
                <c:pt idx="1">
                  <c:v>4.7194199999999998E-6</c:v>
                </c:pt>
                <c:pt idx="2">
                  <c:v>2.3552799999999999E-5</c:v>
                </c:pt>
                <c:pt idx="3">
                  <c:v>7.3943199999999994E-5</c:v>
                </c:pt>
                <c:pt idx="4">
                  <c:v>1.7981E-4</c:v>
                </c:pt>
                <c:pt idx="5">
                  <c:v>3.7175000000000001E-4</c:v>
                </c:pt>
                <c:pt idx="6">
                  <c:v>6.8682300000000003E-4</c:v>
                </c:pt>
                <c:pt idx="7">
                  <c:v>1.1682400000000001E-3</c:v>
                </c:pt>
                <c:pt idx="8">
                  <c:v>1.8649199999999999E-3</c:v>
                </c:pt>
                <c:pt idx="9">
                  <c:v>2.8309199999999998E-3</c:v>
                </c:pt>
                <c:pt idx="10">
                  <c:v>4.1248400000000003E-3</c:v>
                </c:pt>
                <c:pt idx="11">
                  <c:v>5.8089600000000002E-3</c:v>
                </c:pt>
                <c:pt idx="12">
                  <c:v>7.9485400000000005E-3</c:v>
                </c:pt>
                <c:pt idx="13">
                  <c:v>1.06108E-2</c:v>
                </c:pt>
                <c:pt idx="14">
                  <c:v>1.38643E-2</c:v>
                </c:pt>
                <c:pt idx="15">
                  <c:v>1.7777399999999999E-2</c:v>
                </c:pt>
                <c:pt idx="16">
                  <c:v>2.2418199999999999E-2</c:v>
                </c:pt>
                <c:pt idx="17">
                  <c:v>2.7852999999999999E-2</c:v>
                </c:pt>
                <c:pt idx="18">
                  <c:v>3.4145700000000001E-2</c:v>
                </c:pt>
                <c:pt idx="19">
                  <c:v>4.1356900000000002E-2</c:v>
                </c:pt>
                <c:pt idx="20">
                  <c:v>4.9543299999999998E-2</c:v>
                </c:pt>
                <c:pt idx="21">
                  <c:v>5.8756299999999997E-2</c:v>
                </c:pt>
                <c:pt idx="22">
                  <c:v>6.9041900000000003E-2</c:v>
                </c:pt>
                <c:pt idx="23">
                  <c:v>8.0439099999999999E-2</c:v>
                </c:pt>
                <c:pt idx="24">
                  <c:v>9.2979300000000001E-2</c:v>
                </c:pt>
                <c:pt idx="25">
                  <c:v>0.106686</c:v>
                </c:pt>
                <c:pt idx="26">
                  <c:v>0.121572</c:v>
                </c:pt>
                <c:pt idx="27">
                  <c:v>0.13764100000000001</c:v>
                </c:pt>
                <c:pt idx="28">
                  <c:v>0.154886</c:v>
                </c:pt>
                <c:pt idx="29">
                  <c:v>0.173289</c:v>
                </c:pt>
                <c:pt idx="30">
                  <c:v>0.19281799999999999</c:v>
                </c:pt>
                <c:pt idx="31">
                  <c:v>0.21343000000000001</c:v>
                </c:pt>
                <c:pt idx="32">
                  <c:v>0.235071</c:v>
                </c:pt>
                <c:pt idx="33">
                  <c:v>0.25767600000000002</c:v>
                </c:pt>
                <c:pt idx="34">
                  <c:v>0.28116799999999997</c:v>
                </c:pt>
                <c:pt idx="35">
                  <c:v>0.30545899999999998</c:v>
                </c:pt>
                <c:pt idx="36">
                  <c:v>0.33045600000000003</c:v>
                </c:pt>
                <c:pt idx="37">
                  <c:v>0.35605500000000001</c:v>
                </c:pt>
                <c:pt idx="38">
                  <c:v>0.38215100000000002</c:v>
                </c:pt>
                <c:pt idx="39">
                  <c:v>0.408632</c:v>
                </c:pt>
                <c:pt idx="40">
                  <c:v>0.43538500000000002</c:v>
                </c:pt>
                <c:pt idx="41">
                  <c:v>0.46229599999999998</c:v>
                </c:pt>
                <c:pt idx="42">
                  <c:v>0.48925600000000002</c:v>
                </c:pt>
                <c:pt idx="43">
                  <c:v>0.51615299999999997</c:v>
                </c:pt>
                <c:pt idx="44">
                  <c:v>0.54288499999999995</c:v>
                </c:pt>
                <c:pt idx="45">
                  <c:v>0.56934899999999999</c:v>
                </c:pt>
                <c:pt idx="46">
                  <c:v>0.59545199999999998</c:v>
                </c:pt>
                <c:pt idx="47">
                  <c:v>0.62110100000000001</c:v>
                </c:pt>
                <c:pt idx="48">
                  <c:v>0.64621099999999998</c:v>
                </c:pt>
                <c:pt idx="49">
                  <c:v>0.67070399999999997</c:v>
                </c:pt>
                <c:pt idx="50">
                  <c:v>0.69450400000000001</c:v>
                </c:pt>
                <c:pt idx="51">
                  <c:v>0.71754799999999996</c:v>
                </c:pt>
                <c:pt idx="52">
                  <c:v>0.73977499999999996</c:v>
                </c:pt>
                <c:pt idx="53">
                  <c:v>0.76114000000000004</c:v>
                </c:pt>
                <c:pt idx="54">
                  <c:v>0.78160300000000005</c:v>
                </c:pt>
                <c:pt idx="55">
                  <c:v>0.80113599999999996</c:v>
                </c:pt>
                <c:pt idx="56">
                  <c:v>0.81971899999999998</c:v>
                </c:pt>
                <c:pt idx="57">
                  <c:v>0.83734699999999995</c:v>
                </c:pt>
                <c:pt idx="58">
                  <c:v>0.85401700000000003</c:v>
                </c:pt>
                <c:pt idx="59">
                  <c:v>0.86973599999999995</c:v>
                </c:pt>
                <c:pt idx="60">
                  <c:v>0.88451500000000005</c:v>
                </c:pt>
                <c:pt idx="61">
                  <c:v>0.898366</c:v>
                </c:pt>
                <c:pt idx="62">
                  <c:v>0.91130199999999995</c:v>
                </c:pt>
                <c:pt idx="63">
                  <c:v>0.923342</c:v>
                </c:pt>
                <c:pt idx="64">
                  <c:v>0.93450200000000005</c:v>
                </c:pt>
                <c:pt idx="65">
                  <c:v>0.94479800000000003</c:v>
                </c:pt>
                <c:pt idx="66">
                  <c:v>0.95425599999999999</c:v>
                </c:pt>
                <c:pt idx="67">
                  <c:v>0.962897</c:v>
                </c:pt>
                <c:pt idx="68">
                  <c:v>0.97075100000000003</c:v>
                </c:pt>
                <c:pt idx="69">
                  <c:v>0.97784499999999996</c:v>
                </c:pt>
                <c:pt idx="70">
                  <c:v>0.984209</c:v>
                </c:pt>
                <c:pt idx="71">
                  <c:v>0.98987000000000003</c:v>
                </c:pt>
                <c:pt idx="72">
                  <c:v>0.994861</c:v>
                </c:pt>
                <c:pt idx="73">
                  <c:v>0.99920799999999999</c:v>
                </c:pt>
                <c:pt idx="74">
                  <c:v>1.0029399999999999</c:v>
                </c:pt>
                <c:pt idx="75">
                  <c:v>1.0060800000000001</c:v>
                </c:pt>
                <c:pt idx="76">
                  <c:v>1.0086599999999999</c:v>
                </c:pt>
                <c:pt idx="77">
                  <c:v>1.0106999999999999</c:v>
                </c:pt>
                <c:pt idx="78">
                  <c:v>1.0122100000000001</c:v>
                </c:pt>
                <c:pt idx="79">
                  <c:v>1.0132399999999999</c:v>
                </c:pt>
                <c:pt idx="80">
                  <c:v>1.0138199999999999</c:v>
                </c:pt>
                <c:pt idx="81">
                  <c:v>1.01397</c:v>
                </c:pt>
                <c:pt idx="82">
                  <c:v>1.0137100000000001</c:v>
                </c:pt>
                <c:pt idx="83">
                  <c:v>1.0130699999999999</c:v>
                </c:pt>
                <c:pt idx="84">
                  <c:v>1.0120800000000001</c:v>
                </c:pt>
                <c:pt idx="85">
                  <c:v>1.0107600000000001</c:v>
                </c:pt>
                <c:pt idx="86">
                  <c:v>1.0091399999999999</c:v>
                </c:pt>
                <c:pt idx="87">
                  <c:v>1.00722</c:v>
                </c:pt>
                <c:pt idx="88">
                  <c:v>1.0050300000000001</c:v>
                </c:pt>
                <c:pt idx="89">
                  <c:v>1.0025999999999999</c:v>
                </c:pt>
                <c:pt idx="90">
                  <c:v>0.99993100000000001</c:v>
                </c:pt>
                <c:pt idx="91">
                  <c:v>0.99704400000000004</c:v>
                </c:pt>
                <c:pt idx="92">
                  <c:v>0.99395</c:v>
                </c:pt>
                <c:pt idx="93">
                  <c:v>0.99066500000000002</c:v>
                </c:pt>
                <c:pt idx="94">
                  <c:v>0.98720399999999997</c:v>
                </c:pt>
                <c:pt idx="95">
                  <c:v>0.98358400000000001</c:v>
                </c:pt>
                <c:pt idx="96">
                  <c:v>0.97982499999999995</c:v>
                </c:pt>
                <c:pt idx="97">
                  <c:v>0.97594400000000003</c:v>
                </c:pt>
                <c:pt idx="98">
                  <c:v>0.97195500000000001</c:v>
                </c:pt>
                <c:pt idx="99">
                  <c:v>0.96787100000000004</c:v>
                </c:pt>
                <c:pt idx="100">
                  <c:v>0.96369700000000003</c:v>
                </c:pt>
                <c:pt idx="101">
                  <c:v>0.95943999999999996</c:v>
                </c:pt>
                <c:pt idx="102">
                  <c:v>0.95510600000000001</c:v>
                </c:pt>
                <c:pt idx="103">
                  <c:v>0.95069899999999996</c:v>
                </c:pt>
                <c:pt idx="104">
                  <c:v>0.94622200000000001</c:v>
                </c:pt>
                <c:pt idx="105">
                  <c:v>0.94167999999999996</c:v>
                </c:pt>
                <c:pt idx="106">
                  <c:v>0.93707499999999999</c:v>
                </c:pt>
                <c:pt idx="107">
                  <c:v>0.93240800000000001</c:v>
                </c:pt>
                <c:pt idx="108">
                  <c:v>0.927674</c:v>
                </c:pt>
                <c:pt idx="109">
                  <c:v>0.92286800000000002</c:v>
                </c:pt>
                <c:pt idx="110">
                  <c:v>0.917987</c:v>
                </c:pt>
                <c:pt idx="111">
                  <c:v>0.91302700000000003</c:v>
                </c:pt>
                <c:pt idx="112">
                  <c:v>0.90798699999999999</c:v>
                </c:pt>
                <c:pt idx="113">
                  <c:v>0.90287099999999998</c:v>
                </c:pt>
                <c:pt idx="114">
                  <c:v>0.89768300000000001</c:v>
                </c:pt>
                <c:pt idx="115">
                  <c:v>0.89242600000000005</c:v>
                </c:pt>
                <c:pt idx="116">
                  <c:v>0.88710800000000001</c:v>
                </c:pt>
                <c:pt idx="117">
                  <c:v>0.881741</c:v>
                </c:pt>
                <c:pt idx="118">
                  <c:v>0.87633399999999995</c:v>
                </c:pt>
                <c:pt idx="119">
                  <c:v>0.87090299999999998</c:v>
                </c:pt>
                <c:pt idx="120">
                  <c:v>0.86546000000000001</c:v>
                </c:pt>
                <c:pt idx="121">
                  <c:v>0.86001399999999995</c:v>
                </c:pt>
                <c:pt idx="122">
                  <c:v>0.854572</c:v>
                </c:pt>
                <c:pt idx="123">
                  <c:v>0.849136</c:v>
                </c:pt>
                <c:pt idx="124">
                  <c:v>0.84371099999999999</c:v>
                </c:pt>
                <c:pt idx="125">
                  <c:v>0.83829399999999998</c:v>
                </c:pt>
                <c:pt idx="126">
                  <c:v>0.83288700000000004</c:v>
                </c:pt>
                <c:pt idx="127">
                  <c:v>0.827488</c:v>
                </c:pt>
                <c:pt idx="128">
                  <c:v>0.82209500000000002</c:v>
                </c:pt>
                <c:pt idx="129">
                  <c:v>0.81670600000000004</c:v>
                </c:pt>
                <c:pt idx="130">
                  <c:v>0.81131900000000001</c:v>
                </c:pt>
                <c:pt idx="131">
                  <c:v>0.80593300000000001</c:v>
                </c:pt>
                <c:pt idx="132">
                  <c:v>0.80054700000000001</c:v>
                </c:pt>
                <c:pt idx="133">
                  <c:v>0.79516200000000004</c:v>
                </c:pt>
                <c:pt idx="134">
                  <c:v>0.78978000000000004</c:v>
                </c:pt>
                <c:pt idx="135">
                  <c:v>0.78440600000000005</c:v>
                </c:pt>
                <c:pt idx="136">
                  <c:v>0.77903900000000004</c:v>
                </c:pt>
                <c:pt idx="137">
                  <c:v>0.77368199999999998</c:v>
                </c:pt>
                <c:pt idx="138">
                  <c:v>0.76833499999999999</c:v>
                </c:pt>
                <c:pt idx="139">
                  <c:v>0.76299899999999998</c:v>
                </c:pt>
                <c:pt idx="140">
                  <c:v>0.75767399999999996</c:v>
                </c:pt>
                <c:pt idx="141">
                  <c:v>0.75236199999999998</c:v>
                </c:pt>
                <c:pt idx="142">
                  <c:v>0.74706300000000003</c:v>
                </c:pt>
                <c:pt idx="143">
                  <c:v>0.74177999999999999</c:v>
                </c:pt>
                <c:pt idx="144">
                  <c:v>0.73651200000000006</c:v>
                </c:pt>
                <c:pt idx="145">
                  <c:v>0.731267</c:v>
                </c:pt>
                <c:pt idx="146">
                  <c:v>0.726047</c:v>
                </c:pt>
                <c:pt idx="147">
                  <c:v>0.72085600000000005</c:v>
                </c:pt>
                <c:pt idx="148">
                  <c:v>0.71569300000000002</c:v>
                </c:pt>
                <c:pt idx="149">
                  <c:v>0.71055800000000002</c:v>
                </c:pt>
                <c:pt idx="150">
                  <c:v>0.70544799999999996</c:v>
                </c:pt>
                <c:pt idx="151">
                  <c:v>0.70035999999999998</c:v>
                </c:pt>
                <c:pt idx="152">
                  <c:v>0.695295</c:v>
                </c:pt>
                <c:pt idx="153">
                  <c:v>0.69025499999999995</c:v>
                </c:pt>
                <c:pt idx="154">
                  <c:v>0.68524499999999999</c:v>
                </c:pt>
                <c:pt idx="155">
                  <c:v>0.68026500000000001</c:v>
                </c:pt>
                <c:pt idx="156">
                  <c:v>0.67532099999999995</c:v>
                </c:pt>
                <c:pt idx="157">
                  <c:v>0.67041300000000004</c:v>
                </c:pt>
                <c:pt idx="158">
                  <c:v>0.66554400000000002</c:v>
                </c:pt>
                <c:pt idx="159">
                  <c:v>0.66071400000000002</c:v>
                </c:pt>
                <c:pt idx="160">
                  <c:v>0.65592499999999998</c:v>
                </c:pt>
                <c:pt idx="161">
                  <c:v>0.65117999999999998</c:v>
                </c:pt>
                <c:pt idx="162">
                  <c:v>0.64647699999999997</c:v>
                </c:pt>
                <c:pt idx="163">
                  <c:v>0.64181699999999997</c:v>
                </c:pt>
                <c:pt idx="164">
                  <c:v>0.63719999999999999</c:v>
                </c:pt>
                <c:pt idx="165">
                  <c:v>0.63262200000000002</c:v>
                </c:pt>
                <c:pt idx="166">
                  <c:v>0.62808399999999998</c:v>
                </c:pt>
                <c:pt idx="167">
                  <c:v>0.62358499999999994</c:v>
                </c:pt>
                <c:pt idx="168">
                  <c:v>0.61912500000000004</c:v>
                </c:pt>
                <c:pt idx="169">
                  <c:v>0.61470999999999998</c:v>
                </c:pt>
                <c:pt idx="170">
                  <c:v>0.61034100000000002</c:v>
                </c:pt>
                <c:pt idx="171">
                  <c:v>0.60602800000000001</c:v>
                </c:pt>
                <c:pt idx="172">
                  <c:v>0.60177499999999995</c:v>
                </c:pt>
                <c:pt idx="173">
                  <c:v>0.59758500000000003</c:v>
                </c:pt>
                <c:pt idx="174">
                  <c:v>0.59346600000000005</c:v>
                </c:pt>
                <c:pt idx="175">
                  <c:v>0.58941699999999997</c:v>
                </c:pt>
                <c:pt idx="176">
                  <c:v>0.58543699999999999</c:v>
                </c:pt>
                <c:pt idx="177">
                  <c:v>0.58152400000000004</c:v>
                </c:pt>
                <c:pt idx="178">
                  <c:v>0.57767500000000005</c:v>
                </c:pt>
                <c:pt idx="179">
                  <c:v>0.57388600000000001</c:v>
                </c:pt>
                <c:pt idx="180">
                  <c:v>0.57015199999999999</c:v>
                </c:pt>
                <c:pt idx="181">
                  <c:v>0.56646700000000005</c:v>
                </c:pt>
                <c:pt idx="182">
                  <c:v>0.56282600000000005</c:v>
                </c:pt>
                <c:pt idx="183">
                  <c:v>0.559222</c:v>
                </c:pt>
                <c:pt idx="184">
                  <c:v>0.55564800000000003</c:v>
                </c:pt>
                <c:pt idx="185">
                  <c:v>0.552095</c:v>
                </c:pt>
                <c:pt idx="186">
                  <c:v>0.54855699999999996</c:v>
                </c:pt>
                <c:pt idx="187">
                  <c:v>0.54502700000000004</c:v>
                </c:pt>
                <c:pt idx="188">
                  <c:v>0.54150399999999999</c:v>
                </c:pt>
                <c:pt idx="189">
                  <c:v>0.53798599999999996</c:v>
                </c:pt>
                <c:pt idx="190">
                  <c:v>0.53447699999999998</c:v>
                </c:pt>
                <c:pt idx="191">
                  <c:v>0.53098299999999998</c:v>
                </c:pt>
                <c:pt idx="192">
                  <c:v>0.52751199999999998</c:v>
                </c:pt>
                <c:pt idx="193">
                  <c:v>0.52407599999999999</c:v>
                </c:pt>
                <c:pt idx="194">
                  <c:v>0.52068700000000001</c:v>
                </c:pt>
                <c:pt idx="195">
                  <c:v>0.51735600000000004</c:v>
                </c:pt>
                <c:pt idx="196">
                  <c:v>0.51409899999999997</c:v>
                </c:pt>
                <c:pt idx="197">
                  <c:v>0.51092300000000002</c:v>
                </c:pt>
                <c:pt idx="198">
                  <c:v>0.50783999999999996</c:v>
                </c:pt>
                <c:pt idx="199">
                  <c:v>0.504857</c:v>
                </c:pt>
                <c:pt idx="200">
                  <c:v>0.50197700000000001</c:v>
                </c:pt>
                <c:pt idx="201">
                  <c:v>0.49920199999999998</c:v>
                </c:pt>
                <c:pt idx="202">
                  <c:v>0.49653199999999997</c:v>
                </c:pt>
                <c:pt idx="203">
                  <c:v>0.49395899999999998</c:v>
                </c:pt>
                <c:pt idx="204">
                  <c:v>0.49148199999999997</c:v>
                </c:pt>
                <c:pt idx="205">
                  <c:v>0.48909200000000003</c:v>
                </c:pt>
                <c:pt idx="206">
                  <c:v>0.48678300000000002</c:v>
                </c:pt>
                <c:pt idx="207">
                  <c:v>0.48454799999999998</c:v>
                </c:pt>
                <c:pt idx="208">
                  <c:v>0.482377</c:v>
                </c:pt>
                <c:pt idx="209">
                  <c:v>0.48026400000000002</c:v>
                </c:pt>
                <c:pt idx="210">
                  <c:v>0.47820200000000002</c:v>
                </c:pt>
                <c:pt idx="211">
                  <c:v>0.476186</c:v>
                </c:pt>
                <c:pt idx="212">
                  <c:v>0.47421000000000002</c:v>
                </c:pt>
                <c:pt idx="213">
                  <c:v>0.47227400000000003</c:v>
                </c:pt>
                <c:pt idx="214">
                  <c:v>0.47037800000000002</c:v>
                </c:pt>
                <c:pt idx="215">
                  <c:v>0.46851999999999999</c:v>
                </c:pt>
                <c:pt idx="216">
                  <c:v>0.46670400000000001</c:v>
                </c:pt>
                <c:pt idx="217">
                  <c:v>0.46493200000000001</c:v>
                </c:pt>
                <c:pt idx="218">
                  <c:v>0.46320699999999998</c:v>
                </c:pt>
                <c:pt idx="219">
                  <c:v>0.46153300000000003</c:v>
                </c:pt>
                <c:pt idx="220">
                  <c:v>0.45991199999999999</c:v>
                </c:pt>
                <c:pt idx="221">
                  <c:v>0.45834599999999998</c:v>
                </c:pt>
                <c:pt idx="222">
                  <c:v>0.45684000000000002</c:v>
                </c:pt>
                <c:pt idx="223">
                  <c:v>0.45539299999999999</c:v>
                </c:pt>
                <c:pt idx="224">
                  <c:v>0.454009</c:v>
                </c:pt>
                <c:pt idx="225">
                  <c:v>0.45269199999999998</c:v>
                </c:pt>
                <c:pt idx="226">
                  <c:v>0.45144499999999999</c:v>
                </c:pt>
                <c:pt idx="227">
                  <c:v>0.45027099999999998</c:v>
                </c:pt>
                <c:pt idx="228">
                  <c:v>0.44917400000000002</c:v>
                </c:pt>
                <c:pt idx="229">
                  <c:v>0.44815500000000003</c:v>
                </c:pt>
                <c:pt idx="230">
                  <c:v>0.44721899999999998</c:v>
                </c:pt>
                <c:pt idx="231">
                  <c:v>0.44636799999999999</c:v>
                </c:pt>
                <c:pt idx="232">
                  <c:v>0.44560499999999997</c:v>
                </c:pt>
                <c:pt idx="233">
                  <c:v>0.444934</c:v>
                </c:pt>
                <c:pt idx="234">
                  <c:v>0.44435599999999997</c:v>
                </c:pt>
                <c:pt idx="235">
                  <c:v>0.44387799999999999</c:v>
                </c:pt>
                <c:pt idx="236">
                  <c:v>0.44350000000000001</c:v>
                </c:pt>
                <c:pt idx="237">
                  <c:v>0.44322800000000001</c:v>
                </c:pt>
                <c:pt idx="238">
                  <c:v>0.44306299999999998</c:v>
                </c:pt>
                <c:pt idx="239">
                  <c:v>0.44300800000000001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A-403C-AB13-DB88F5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8352"/>
        <c:axId val="107349888"/>
      </c:scatterChart>
      <c:valAx>
        <c:axId val="10734835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49888"/>
        <c:crosses val="autoZero"/>
        <c:crossBetween val="midCat"/>
      </c:valAx>
      <c:valAx>
        <c:axId val="1073498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348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Rij!$D$2:$D$43</c:f>
              <c:numCache>
                <c:formatCode>General</c:formatCode>
                <c:ptCount val="42"/>
                <c:pt idx="0">
                  <c:v>1.03857421540242E-2</c:v>
                </c:pt>
                <c:pt idx="1">
                  <c:v>7.7179346323127604E-2</c:v>
                </c:pt>
                <c:pt idx="2">
                  <c:v>0.187823803667029</c:v>
                </c:pt>
                <c:pt idx="3">
                  <c:v>0.32214867828067301</c:v>
                </c:pt>
                <c:pt idx="4">
                  <c:v>0.46328205014405399</c:v>
                </c:pt>
                <c:pt idx="5">
                  <c:v>0.60006683254415705</c:v>
                </c:pt>
                <c:pt idx="6">
                  <c:v>0.727201015694519</c:v>
                </c:pt>
                <c:pt idx="7">
                  <c:v>0.84284477596548202</c:v>
                </c:pt>
                <c:pt idx="8">
                  <c:v>0.94618948104719203</c:v>
                </c:pt>
                <c:pt idx="9" formatCode="#,##0">
                  <c:v>1.0366451132734</c:v>
                </c:pt>
                <c:pt idx="10" formatCode="#,##0">
                  <c:v>1.1140427346897399</c:v>
                </c:pt>
                <c:pt idx="11" formatCode="#,##0">
                  <c:v>1.1788391475711</c:v>
                </c:pt>
                <c:pt idx="12" formatCode="#,##0">
                  <c:v>1.2319588965021999</c:v>
                </c:pt>
                <c:pt idx="13" formatCode="#,##0">
                  <c:v>1.27447849580471</c:v>
                </c:pt>
                <c:pt idx="14" formatCode="#,##0">
                  <c:v>1.30746738970968</c:v>
                </c:pt>
                <c:pt idx="15" formatCode="#,##0">
                  <c:v>1.3320870824700299</c:v>
                </c:pt>
                <c:pt idx="16" formatCode="#,##0">
                  <c:v>1.34954261521235</c:v>
                </c:pt>
                <c:pt idx="17" formatCode="#,##0">
                  <c:v>1.36102682385422</c:v>
                </c:pt>
                <c:pt idx="18" formatCode="#,##0">
                  <c:v>1.3675792349801501</c:v>
                </c:pt>
                <c:pt idx="19" formatCode="#,##0">
                  <c:v>1.3697239283587701</c:v>
                </c:pt>
                <c:pt idx="20" formatCode="#,##0">
                  <c:v>1.36745137797326</c:v>
                </c:pt>
                <c:pt idx="21" formatCode="#,##0">
                  <c:v>1.3604671703665601</c:v>
                </c:pt>
                <c:pt idx="22" formatCode="#,##0">
                  <c:v>1.34842077788882</c:v>
                </c:pt>
                <c:pt idx="23" formatCode="#,##0">
                  <c:v>1.33120503285092</c:v>
                </c:pt>
                <c:pt idx="24" formatCode="#,##0">
                  <c:v>1.3089696723296</c:v>
                </c:pt>
                <c:pt idx="25" formatCode="#,##0">
                  <c:v>1.2817843553227899</c:v>
                </c:pt>
                <c:pt idx="26" formatCode="#,##0">
                  <c:v>1.24995808200081</c:v>
                </c:pt>
                <c:pt idx="27" formatCode="#,##0">
                  <c:v>1.21346599541355</c:v>
                </c:pt>
                <c:pt idx="28" formatCode="#,##0">
                  <c:v>1.17176950350113</c:v>
                </c:pt>
                <c:pt idx="29" formatCode="#,##0">
                  <c:v>1.12420744115926</c:v>
                </c:pt>
                <c:pt idx="30" formatCode="#,##0">
                  <c:v>1.07124472266153</c:v>
                </c:pt>
                <c:pt idx="31" formatCode="#,##0">
                  <c:v>1.01345082520043</c:v>
                </c:pt>
                <c:pt idx="32">
                  <c:v>0.951752153910849</c:v>
                </c:pt>
                <c:pt idx="33">
                  <c:v>0.88524463025979205</c:v>
                </c:pt>
                <c:pt idx="34">
                  <c:v>0.81231441303984897</c:v>
                </c:pt>
                <c:pt idx="35">
                  <c:v>0.733894679788479</c:v>
                </c:pt>
                <c:pt idx="36">
                  <c:v>0.65134921377180599</c:v>
                </c:pt>
                <c:pt idx="37">
                  <c:v>0.56678966499763495</c:v>
                </c:pt>
                <c:pt idx="38">
                  <c:v>0.484122965532639</c:v>
                </c:pt>
                <c:pt idx="39">
                  <c:v>0.40808015953066201</c:v>
                </c:pt>
                <c:pt idx="40">
                  <c:v>0.34802360981090003</c:v>
                </c:pt>
                <c:pt idx="41">
                  <c:v>0.31621490008241698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2-4364-999C-32D6296EA4CA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DNS!$F$172:$F$411</c:f>
              <c:numCache>
                <c:formatCode>0.00E+00</c:formatCode>
                <c:ptCount val="240"/>
                <c:pt idx="0">
                  <c:v>7.6595400000000001E-4</c:v>
                </c:pt>
                <c:pt idx="1">
                  <c:v>6.48008E-3</c:v>
                </c:pt>
                <c:pt idx="2">
                  <c:v>1.7479499999999999E-2</c:v>
                </c:pt>
                <c:pt idx="3">
                  <c:v>3.34121E-2</c:v>
                </c:pt>
                <c:pt idx="4">
                  <c:v>5.3921700000000003E-2</c:v>
                </c:pt>
                <c:pt idx="5">
                  <c:v>7.86443E-2</c:v>
                </c:pt>
                <c:pt idx="6">
                  <c:v>0.107206</c:v>
                </c:pt>
                <c:pt idx="7">
                  <c:v>0.13922499999999999</c:v>
                </c:pt>
                <c:pt idx="8">
                  <c:v>0.17430999999999999</c:v>
                </c:pt>
                <c:pt idx="9">
                  <c:v>0.21207000000000001</c:v>
                </c:pt>
                <c:pt idx="10">
                  <c:v>0.25211499999999998</c:v>
                </c:pt>
                <c:pt idx="11">
                  <c:v>0.294068</c:v>
                </c:pt>
                <c:pt idx="12">
                  <c:v>0.33756399999999998</c:v>
                </c:pt>
                <c:pt idx="13">
                  <c:v>0.38226900000000003</c:v>
                </c:pt>
                <c:pt idx="14">
                  <c:v>0.42787199999999997</c:v>
                </c:pt>
                <c:pt idx="15">
                  <c:v>0.47410400000000003</c:v>
                </c:pt>
                <c:pt idx="16">
                  <c:v>0.52073000000000003</c:v>
                </c:pt>
                <c:pt idx="17">
                  <c:v>0.567554</c:v>
                </c:pt>
                <c:pt idx="18">
                  <c:v>0.61441800000000002</c:v>
                </c:pt>
                <c:pt idx="19">
                  <c:v>0.66119600000000001</c:v>
                </c:pt>
                <c:pt idx="20">
                  <c:v>0.70779099999999995</c:v>
                </c:pt>
                <c:pt idx="21">
                  <c:v>0.75412599999999996</c:v>
                </c:pt>
                <c:pt idx="22">
                  <c:v>0.80013999999999996</c:v>
                </c:pt>
                <c:pt idx="23">
                  <c:v>0.845773</c:v>
                </c:pt>
                <c:pt idx="24">
                  <c:v>0.89097300000000001</c:v>
                </c:pt>
                <c:pt idx="25">
                  <c:v>0.93567699999999998</c:v>
                </c:pt>
                <c:pt idx="26">
                  <c:v>0.97981499999999999</c:v>
                </c:pt>
                <c:pt idx="27">
                  <c:v>1.0233000000000001</c:v>
                </c:pt>
                <c:pt idx="28">
                  <c:v>1.0660400000000001</c:v>
                </c:pt>
                <c:pt idx="29">
                  <c:v>1.1079399999999999</c:v>
                </c:pt>
                <c:pt idx="30">
                  <c:v>1.14886</c:v>
                </c:pt>
                <c:pt idx="31">
                  <c:v>1.18869</c:v>
                </c:pt>
                <c:pt idx="32">
                  <c:v>1.2273000000000001</c:v>
                </c:pt>
                <c:pt idx="33">
                  <c:v>1.26458</c:v>
                </c:pt>
                <c:pt idx="34">
                  <c:v>1.3004100000000001</c:v>
                </c:pt>
                <c:pt idx="35">
                  <c:v>1.3346800000000001</c:v>
                </c:pt>
                <c:pt idx="36">
                  <c:v>1.3673200000000001</c:v>
                </c:pt>
                <c:pt idx="37">
                  <c:v>1.3982300000000001</c:v>
                </c:pt>
                <c:pt idx="38">
                  <c:v>1.4273800000000001</c:v>
                </c:pt>
                <c:pt idx="39">
                  <c:v>1.4547099999999999</c:v>
                </c:pt>
                <c:pt idx="40">
                  <c:v>1.4802299999999999</c:v>
                </c:pt>
                <c:pt idx="41">
                  <c:v>1.5039199999999999</c:v>
                </c:pt>
                <c:pt idx="42">
                  <c:v>1.52582</c:v>
                </c:pt>
                <c:pt idx="43">
                  <c:v>1.5459400000000001</c:v>
                </c:pt>
                <c:pt idx="44">
                  <c:v>1.56433</c:v>
                </c:pt>
                <c:pt idx="45">
                  <c:v>1.5810500000000001</c:v>
                </c:pt>
                <c:pt idx="46">
                  <c:v>1.59615</c:v>
                </c:pt>
                <c:pt idx="47">
                  <c:v>1.60972</c:v>
                </c:pt>
                <c:pt idx="48">
                  <c:v>1.62182</c:v>
                </c:pt>
                <c:pt idx="49">
                  <c:v>1.6325099999999999</c:v>
                </c:pt>
                <c:pt idx="50">
                  <c:v>1.6418699999999999</c:v>
                </c:pt>
                <c:pt idx="51">
                  <c:v>1.64998</c:v>
                </c:pt>
                <c:pt idx="52">
                  <c:v>1.6569</c:v>
                </c:pt>
                <c:pt idx="53">
                  <c:v>1.66269</c:v>
                </c:pt>
                <c:pt idx="54">
                  <c:v>1.6674199999999999</c:v>
                </c:pt>
                <c:pt idx="55">
                  <c:v>1.6711400000000001</c:v>
                </c:pt>
                <c:pt idx="56">
                  <c:v>1.6738599999999999</c:v>
                </c:pt>
                <c:pt idx="57">
                  <c:v>1.6756500000000001</c:v>
                </c:pt>
                <c:pt idx="58">
                  <c:v>1.6765000000000001</c:v>
                </c:pt>
                <c:pt idx="59">
                  <c:v>1.6764300000000001</c:v>
                </c:pt>
                <c:pt idx="60">
                  <c:v>1.6754599999999999</c:v>
                </c:pt>
                <c:pt idx="61">
                  <c:v>1.6736500000000001</c:v>
                </c:pt>
                <c:pt idx="62">
                  <c:v>1.6710199999999999</c:v>
                </c:pt>
                <c:pt idx="63">
                  <c:v>1.66761</c:v>
                </c:pt>
                <c:pt idx="64">
                  <c:v>1.6634800000000001</c:v>
                </c:pt>
                <c:pt idx="65">
                  <c:v>1.6586700000000001</c:v>
                </c:pt>
                <c:pt idx="66">
                  <c:v>1.6532500000000001</c:v>
                </c:pt>
                <c:pt idx="67">
                  <c:v>1.6472899999999999</c:v>
                </c:pt>
                <c:pt idx="68">
                  <c:v>1.64086</c:v>
                </c:pt>
                <c:pt idx="69">
                  <c:v>1.6340600000000001</c:v>
                </c:pt>
                <c:pt idx="70">
                  <c:v>1.62696</c:v>
                </c:pt>
                <c:pt idx="71">
                  <c:v>1.6196299999999999</c:v>
                </c:pt>
                <c:pt idx="72">
                  <c:v>1.61208</c:v>
                </c:pt>
                <c:pt idx="73">
                  <c:v>1.6043499999999999</c:v>
                </c:pt>
                <c:pt idx="74">
                  <c:v>1.5964499999999999</c:v>
                </c:pt>
                <c:pt idx="75">
                  <c:v>1.58839</c:v>
                </c:pt>
                <c:pt idx="76">
                  <c:v>1.5802</c:v>
                </c:pt>
                <c:pt idx="77">
                  <c:v>1.5719399999999999</c:v>
                </c:pt>
                <c:pt idx="78">
                  <c:v>1.5636399999999999</c:v>
                </c:pt>
                <c:pt idx="79">
                  <c:v>1.5553300000000001</c:v>
                </c:pt>
                <c:pt idx="80">
                  <c:v>1.5470200000000001</c:v>
                </c:pt>
                <c:pt idx="81">
                  <c:v>1.5386899999999999</c:v>
                </c:pt>
                <c:pt idx="82">
                  <c:v>1.5302899999999999</c:v>
                </c:pt>
                <c:pt idx="83">
                  <c:v>1.5218</c:v>
                </c:pt>
                <c:pt idx="84">
                  <c:v>1.5131699999999999</c:v>
                </c:pt>
                <c:pt idx="85">
                  <c:v>1.5044</c:v>
                </c:pt>
                <c:pt idx="86">
                  <c:v>1.4954700000000001</c:v>
                </c:pt>
                <c:pt idx="87">
                  <c:v>1.48644</c:v>
                </c:pt>
                <c:pt idx="88">
                  <c:v>1.4773499999999999</c:v>
                </c:pt>
                <c:pt idx="89">
                  <c:v>1.4682500000000001</c:v>
                </c:pt>
                <c:pt idx="90">
                  <c:v>1.4591799999999999</c:v>
                </c:pt>
                <c:pt idx="91">
                  <c:v>1.45014</c:v>
                </c:pt>
                <c:pt idx="92">
                  <c:v>1.4411400000000001</c:v>
                </c:pt>
                <c:pt idx="93">
                  <c:v>1.4321600000000001</c:v>
                </c:pt>
                <c:pt idx="94">
                  <c:v>1.42319</c:v>
                </c:pt>
                <c:pt idx="95">
                  <c:v>1.4141600000000001</c:v>
                </c:pt>
                <c:pt idx="96">
                  <c:v>1.40499</c:v>
                </c:pt>
                <c:pt idx="97">
                  <c:v>1.3956200000000001</c:v>
                </c:pt>
                <c:pt idx="98">
                  <c:v>1.3859999999999999</c:v>
                </c:pt>
                <c:pt idx="99">
                  <c:v>1.3761099999999999</c:v>
                </c:pt>
                <c:pt idx="100">
                  <c:v>1.36598</c:v>
                </c:pt>
                <c:pt idx="101">
                  <c:v>1.3556600000000001</c:v>
                </c:pt>
                <c:pt idx="102">
                  <c:v>1.3451900000000001</c:v>
                </c:pt>
                <c:pt idx="103">
                  <c:v>1.3346499999999999</c:v>
                </c:pt>
                <c:pt idx="104">
                  <c:v>1.3240099999999999</c:v>
                </c:pt>
                <c:pt idx="105">
                  <c:v>1.3133300000000001</c:v>
                </c:pt>
                <c:pt idx="106">
                  <c:v>1.30257</c:v>
                </c:pt>
                <c:pt idx="107">
                  <c:v>1.2917700000000001</c:v>
                </c:pt>
                <c:pt idx="108">
                  <c:v>1.2809600000000001</c:v>
                </c:pt>
                <c:pt idx="109">
                  <c:v>1.2701899999999999</c:v>
                </c:pt>
                <c:pt idx="110">
                  <c:v>1.25949</c:v>
                </c:pt>
                <c:pt idx="111">
                  <c:v>1.24891</c:v>
                </c:pt>
                <c:pt idx="112">
                  <c:v>1.23844</c:v>
                </c:pt>
                <c:pt idx="113">
                  <c:v>1.22811</c:v>
                </c:pt>
                <c:pt idx="114">
                  <c:v>1.2179199999999999</c:v>
                </c:pt>
                <c:pt idx="115">
                  <c:v>1.2078899999999999</c:v>
                </c:pt>
                <c:pt idx="116">
                  <c:v>1.19801</c:v>
                </c:pt>
                <c:pt idx="117">
                  <c:v>1.18824</c:v>
                </c:pt>
                <c:pt idx="118">
                  <c:v>1.1785699999999999</c:v>
                </c:pt>
                <c:pt idx="119">
                  <c:v>1.16892</c:v>
                </c:pt>
                <c:pt idx="120">
                  <c:v>1.1593100000000001</c:v>
                </c:pt>
                <c:pt idx="121">
                  <c:v>1.14971</c:v>
                </c:pt>
                <c:pt idx="122">
                  <c:v>1.1401300000000001</c:v>
                </c:pt>
                <c:pt idx="123">
                  <c:v>1.1305700000000001</c:v>
                </c:pt>
                <c:pt idx="124">
                  <c:v>1.1210199999999999</c:v>
                </c:pt>
                <c:pt idx="125">
                  <c:v>1.11145</c:v>
                </c:pt>
                <c:pt idx="126">
                  <c:v>1.10181</c:v>
                </c:pt>
                <c:pt idx="127">
                  <c:v>1.0921099999999999</c:v>
                </c:pt>
                <c:pt idx="128">
                  <c:v>1.0823499999999999</c:v>
                </c:pt>
                <c:pt idx="129">
                  <c:v>1.0725499999999999</c:v>
                </c:pt>
                <c:pt idx="130">
                  <c:v>1.0627800000000001</c:v>
                </c:pt>
                <c:pt idx="131">
                  <c:v>1.05304</c:v>
                </c:pt>
                <c:pt idx="132">
                  <c:v>1.0433699999999999</c:v>
                </c:pt>
                <c:pt idx="133">
                  <c:v>1.03373</c:v>
                </c:pt>
                <c:pt idx="134">
                  <c:v>1.02413</c:v>
                </c:pt>
                <c:pt idx="135">
                  <c:v>1.0145500000000001</c:v>
                </c:pt>
                <c:pt idx="136">
                  <c:v>1.00498</c:v>
                </c:pt>
                <c:pt idx="137">
                  <c:v>0.99542900000000001</c:v>
                </c:pt>
                <c:pt idx="138">
                  <c:v>0.98588200000000004</c:v>
                </c:pt>
                <c:pt idx="139">
                  <c:v>0.97633999999999999</c:v>
                </c:pt>
                <c:pt idx="140">
                  <c:v>0.96680500000000003</c:v>
                </c:pt>
                <c:pt idx="141">
                  <c:v>0.95729399999999998</c:v>
                </c:pt>
                <c:pt idx="142">
                  <c:v>0.94784199999999996</c:v>
                </c:pt>
                <c:pt idx="143">
                  <c:v>0.93848399999999998</c:v>
                </c:pt>
                <c:pt idx="144">
                  <c:v>0.92923699999999998</c:v>
                </c:pt>
                <c:pt idx="145">
                  <c:v>0.92009600000000002</c:v>
                </c:pt>
                <c:pt idx="146">
                  <c:v>0.91103699999999999</c:v>
                </c:pt>
                <c:pt idx="147">
                  <c:v>0.90202800000000005</c:v>
                </c:pt>
                <c:pt idx="148">
                  <c:v>0.89303500000000002</c:v>
                </c:pt>
                <c:pt idx="149">
                  <c:v>0.88403200000000004</c:v>
                </c:pt>
                <c:pt idx="150">
                  <c:v>0.87499899999999997</c:v>
                </c:pt>
                <c:pt idx="151">
                  <c:v>0.86592899999999995</c:v>
                </c:pt>
                <c:pt idx="152">
                  <c:v>0.85682899999999995</c:v>
                </c:pt>
                <c:pt idx="153">
                  <c:v>0.84772199999999998</c:v>
                </c:pt>
                <c:pt idx="154">
                  <c:v>0.83864000000000005</c:v>
                </c:pt>
                <c:pt idx="155">
                  <c:v>0.82961300000000004</c:v>
                </c:pt>
                <c:pt idx="156">
                  <c:v>0.82066300000000003</c:v>
                </c:pt>
                <c:pt idx="157">
                  <c:v>0.81181000000000003</c:v>
                </c:pt>
                <c:pt idx="158">
                  <c:v>0.80306100000000002</c:v>
                </c:pt>
                <c:pt idx="159">
                  <c:v>0.79442699999999999</c:v>
                </c:pt>
                <c:pt idx="160">
                  <c:v>0.78590899999999997</c:v>
                </c:pt>
                <c:pt idx="161">
                  <c:v>0.77750699999999995</c:v>
                </c:pt>
                <c:pt idx="162">
                  <c:v>0.76921700000000004</c:v>
                </c:pt>
                <c:pt idx="163">
                  <c:v>0.76103500000000002</c:v>
                </c:pt>
                <c:pt idx="164">
                  <c:v>0.75295299999999998</c:v>
                </c:pt>
                <c:pt idx="165">
                  <c:v>0.74496700000000005</c:v>
                </c:pt>
                <c:pt idx="166">
                  <c:v>0.73707699999999998</c:v>
                </c:pt>
                <c:pt idx="167">
                  <c:v>0.72928499999999996</c:v>
                </c:pt>
                <c:pt idx="168">
                  <c:v>0.72158500000000003</c:v>
                </c:pt>
                <c:pt idx="169">
                  <c:v>0.71396499999999996</c:v>
                </c:pt>
                <c:pt idx="170">
                  <c:v>0.706395</c:v>
                </c:pt>
                <c:pt idx="171">
                  <c:v>0.69885900000000001</c:v>
                </c:pt>
                <c:pt idx="172">
                  <c:v>0.69134200000000001</c:v>
                </c:pt>
                <c:pt idx="173">
                  <c:v>0.68384999999999996</c:v>
                </c:pt>
                <c:pt idx="174">
                  <c:v>0.67639700000000003</c:v>
                </c:pt>
                <c:pt idx="175">
                  <c:v>0.66900499999999996</c:v>
                </c:pt>
                <c:pt idx="176">
                  <c:v>0.661686</c:v>
                </c:pt>
                <c:pt idx="177">
                  <c:v>0.654447</c:v>
                </c:pt>
                <c:pt idx="178">
                  <c:v>0.647285</c:v>
                </c:pt>
                <c:pt idx="179">
                  <c:v>0.64019899999999996</c:v>
                </c:pt>
                <c:pt idx="180">
                  <c:v>0.63319300000000001</c:v>
                </c:pt>
                <c:pt idx="181">
                  <c:v>0.62627299999999997</c:v>
                </c:pt>
                <c:pt idx="182">
                  <c:v>0.61945099999999997</c:v>
                </c:pt>
                <c:pt idx="183">
                  <c:v>0.612734</c:v>
                </c:pt>
                <c:pt idx="184">
                  <c:v>0.606132</c:v>
                </c:pt>
                <c:pt idx="185">
                  <c:v>0.59965299999999999</c:v>
                </c:pt>
                <c:pt idx="186">
                  <c:v>0.59329699999999996</c:v>
                </c:pt>
                <c:pt idx="187">
                  <c:v>0.58706599999999998</c:v>
                </c:pt>
                <c:pt idx="188">
                  <c:v>0.58095799999999997</c:v>
                </c:pt>
                <c:pt idx="189">
                  <c:v>0.57497399999999999</c:v>
                </c:pt>
                <c:pt idx="190">
                  <c:v>0.56911500000000004</c:v>
                </c:pt>
                <c:pt idx="191">
                  <c:v>0.56338500000000002</c:v>
                </c:pt>
                <c:pt idx="192">
                  <c:v>0.55778300000000003</c:v>
                </c:pt>
                <c:pt idx="193">
                  <c:v>0.55230699999999999</c:v>
                </c:pt>
                <c:pt idx="194">
                  <c:v>0.54695400000000005</c:v>
                </c:pt>
                <c:pt idx="195">
                  <c:v>0.54171800000000003</c:v>
                </c:pt>
                <c:pt idx="196">
                  <c:v>0.53659100000000004</c:v>
                </c:pt>
                <c:pt idx="197">
                  <c:v>0.53156599999999998</c:v>
                </c:pt>
                <c:pt idx="198">
                  <c:v>0.52662500000000001</c:v>
                </c:pt>
                <c:pt idx="199">
                  <c:v>0.52175800000000006</c:v>
                </c:pt>
                <c:pt idx="200">
                  <c:v>0.51695599999999997</c:v>
                </c:pt>
                <c:pt idx="201">
                  <c:v>0.51221099999999997</c:v>
                </c:pt>
                <c:pt idx="202">
                  <c:v>0.50751800000000002</c:v>
                </c:pt>
                <c:pt idx="203">
                  <c:v>0.50286900000000001</c:v>
                </c:pt>
                <c:pt idx="204">
                  <c:v>0.49825599999999998</c:v>
                </c:pt>
                <c:pt idx="205">
                  <c:v>0.49366700000000002</c:v>
                </c:pt>
                <c:pt idx="206">
                  <c:v>0.48909599999999998</c:v>
                </c:pt>
                <c:pt idx="207">
                  <c:v>0.484541</c:v>
                </c:pt>
                <c:pt idx="208">
                  <c:v>0.48000399999999999</c:v>
                </c:pt>
                <c:pt idx="209">
                  <c:v>0.47549599999999997</c:v>
                </c:pt>
                <c:pt idx="210">
                  <c:v>0.47103099999999998</c:v>
                </c:pt>
                <c:pt idx="211">
                  <c:v>0.46662399999999998</c:v>
                </c:pt>
                <c:pt idx="212">
                  <c:v>0.46229100000000001</c:v>
                </c:pt>
                <c:pt idx="213">
                  <c:v>0.45803899999999997</c:v>
                </c:pt>
                <c:pt idx="214">
                  <c:v>0.45387499999999997</c:v>
                </c:pt>
                <c:pt idx="215">
                  <c:v>0.44979999999999998</c:v>
                </c:pt>
                <c:pt idx="216">
                  <c:v>0.44581799999999999</c:v>
                </c:pt>
                <c:pt idx="217">
                  <c:v>0.44193300000000002</c:v>
                </c:pt>
                <c:pt idx="218">
                  <c:v>0.43814700000000001</c:v>
                </c:pt>
                <c:pt idx="219">
                  <c:v>0.43446600000000002</c:v>
                </c:pt>
                <c:pt idx="220">
                  <c:v>0.43089699999999997</c:v>
                </c:pt>
                <c:pt idx="221">
                  <c:v>0.42745100000000003</c:v>
                </c:pt>
                <c:pt idx="222">
                  <c:v>0.42414200000000002</c:v>
                </c:pt>
                <c:pt idx="223">
                  <c:v>0.42098000000000002</c:v>
                </c:pt>
                <c:pt idx="224">
                  <c:v>0.41797099999999998</c:v>
                </c:pt>
                <c:pt idx="225">
                  <c:v>0.41511399999999998</c:v>
                </c:pt>
                <c:pt idx="226">
                  <c:v>0.412408</c:v>
                </c:pt>
                <c:pt idx="227">
                  <c:v>0.40985300000000002</c:v>
                </c:pt>
                <c:pt idx="228">
                  <c:v>0.40745399999999998</c:v>
                </c:pt>
                <c:pt idx="229">
                  <c:v>0.405219</c:v>
                </c:pt>
                <c:pt idx="230">
                  <c:v>0.40316000000000002</c:v>
                </c:pt>
                <c:pt idx="231">
                  <c:v>0.401285</c:v>
                </c:pt>
                <c:pt idx="232">
                  <c:v>0.39960499999999999</c:v>
                </c:pt>
                <c:pt idx="233">
                  <c:v>0.39812399999999998</c:v>
                </c:pt>
                <c:pt idx="234">
                  <c:v>0.39684900000000001</c:v>
                </c:pt>
                <c:pt idx="235">
                  <c:v>0.39578000000000002</c:v>
                </c:pt>
                <c:pt idx="236">
                  <c:v>0.394926</c:v>
                </c:pt>
                <c:pt idx="237">
                  <c:v>0.39428800000000003</c:v>
                </c:pt>
                <c:pt idx="238">
                  <c:v>0.39386599999999999</c:v>
                </c:pt>
                <c:pt idx="239">
                  <c:v>0.39365699999999998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2-4364-999C-32D6296E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1504"/>
        <c:axId val="107383040"/>
      </c:scatterChart>
      <c:valAx>
        <c:axId val="10738150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040"/>
        <c:crosses val="autoZero"/>
        <c:crossBetween val="midCat"/>
      </c:valAx>
      <c:valAx>
        <c:axId val="1073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Rij!$E$2:$E$43</c:f>
              <c:numCache>
                <c:formatCode>General</c:formatCode>
                <c:ptCount val="42"/>
                <c:pt idx="0">
                  <c:v>1.09045509331758E-4</c:v>
                </c:pt>
                <c:pt idx="1">
                  <c:v>2.2788221838053002E-3</c:v>
                </c:pt>
                <c:pt idx="2">
                  <c:v>1.27076622379836E-2</c:v>
                </c:pt>
                <c:pt idx="3">
                  <c:v>3.9015836826726297E-2</c:v>
                </c:pt>
                <c:pt idx="4">
                  <c:v>8.8018246399425307E-2</c:v>
                </c:pt>
                <c:pt idx="5">
                  <c:v>0.16163760209529801</c:v>
                </c:pt>
                <c:pt idx="6">
                  <c:v>0.254480748101309</c:v>
                </c:pt>
                <c:pt idx="7">
                  <c:v>0.35556884771237102</c:v>
                </c:pt>
                <c:pt idx="8">
                  <c:v>0.45339277951999102</c:v>
                </c:pt>
                <c:pt idx="9">
                  <c:v>0.54011611091740597</c:v>
                </c:pt>
                <c:pt idx="10">
                  <c:v>0.61244574254620998</c:v>
                </c:pt>
                <c:pt idx="11">
                  <c:v>0.67032027625117496</c:v>
                </c:pt>
                <c:pt idx="12">
                  <c:v>0.71527883354535604</c:v>
                </c:pt>
                <c:pt idx="13">
                  <c:v>0.74934967457845802</c:v>
                </c:pt>
                <c:pt idx="14">
                  <c:v>0.77448220938447099</c:v>
                </c:pt>
                <c:pt idx="15">
                  <c:v>0.79231535938694797</c:v>
                </c:pt>
                <c:pt idx="16">
                  <c:v>0.80414064408385999</c:v>
                </c:pt>
                <c:pt idx="17">
                  <c:v>0.81093559652844405</c:v>
                </c:pt>
                <c:pt idx="18">
                  <c:v>0.81345113476464004</c:v>
                </c:pt>
                <c:pt idx="19">
                  <c:v>0.81226983425805299</c:v>
                </c:pt>
                <c:pt idx="20">
                  <c:v>0.80780406734579702</c:v>
                </c:pt>
                <c:pt idx="21">
                  <c:v>0.80040510589778202</c:v>
                </c:pt>
                <c:pt idx="22">
                  <c:v>0.79033565959637797</c:v>
                </c:pt>
                <c:pt idx="23">
                  <c:v>0.77779830514283299</c:v>
                </c:pt>
                <c:pt idx="24">
                  <c:v>0.76286686916743496</c:v>
                </c:pt>
                <c:pt idx="25">
                  <c:v>0.74557320428889495</c:v>
                </c:pt>
                <c:pt idx="26">
                  <c:v>0.72592415733179605</c:v>
                </c:pt>
                <c:pt idx="27">
                  <c:v>0.70388698261335003</c:v>
                </c:pt>
                <c:pt idx="28">
                  <c:v>0.679337395382974</c:v>
                </c:pt>
                <c:pt idx="29">
                  <c:v>0.65219688042398405</c:v>
                </c:pt>
                <c:pt idx="30">
                  <c:v>0.62235960964336701</c:v>
                </c:pt>
                <c:pt idx="31">
                  <c:v>0.58972879722188198</c:v>
                </c:pt>
                <c:pt idx="32">
                  <c:v>0.55383759391377796</c:v>
                </c:pt>
                <c:pt idx="33">
                  <c:v>0.51445413795831196</c:v>
                </c:pt>
                <c:pt idx="34">
                  <c:v>0.47140651452084498</c:v>
                </c:pt>
                <c:pt idx="35">
                  <c:v>0.42431941342342</c:v>
                </c:pt>
                <c:pt idx="36">
                  <c:v>0.37274183730763499</c:v>
                </c:pt>
                <c:pt idx="37">
                  <c:v>0.316491936001006</c:v>
                </c:pt>
                <c:pt idx="38">
                  <c:v>0.25497561723244599</c:v>
                </c:pt>
                <c:pt idx="39">
                  <c:v>0.18791833822057899</c:v>
                </c:pt>
                <c:pt idx="40">
                  <c:v>0.11397827019114801</c:v>
                </c:pt>
                <c:pt idx="41">
                  <c:v>3.7403632903448503E-2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7-44EB-BD85-5DA21338FF6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DNS!$E$414:$E$653</c:f>
              <c:numCache>
                <c:formatCode>0.00E+00</c:formatCode>
                <c:ptCount val="240"/>
                <c:pt idx="0">
                  <c:v>1.08495E-5</c:v>
                </c:pt>
                <c:pt idx="1">
                  <c:v>9.2143299999999996E-5</c:v>
                </c:pt>
                <c:pt idx="2">
                  <c:v>3.3144199999999999E-4</c:v>
                </c:pt>
                <c:pt idx="3">
                  <c:v>8.3763399999999997E-4</c:v>
                </c:pt>
                <c:pt idx="4">
                  <c:v>1.74288E-3</c:v>
                </c:pt>
                <c:pt idx="5">
                  <c:v>3.2034400000000001E-3</c:v>
                </c:pt>
                <c:pt idx="6">
                  <c:v>5.3990499999999999E-3</c:v>
                </c:pt>
                <c:pt idx="7">
                  <c:v>8.5303199999999992E-3</c:v>
                </c:pt>
                <c:pt idx="8">
                  <c:v>1.28141E-2</c:v>
                </c:pt>
                <c:pt idx="9">
                  <c:v>1.8476699999999999E-2</c:v>
                </c:pt>
                <c:pt idx="10">
                  <c:v>2.57445E-2</c:v>
                </c:pt>
                <c:pt idx="11">
                  <c:v>3.48341E-2</c:v>
                </c:pt>
                <c:pt idx="12">
                  <c:v>4.5940000000000002E-2</c:v>
                </c:pt>
                <c:pt idx="13">
                  <c:v>5.9223199999999997E-2</c:v>
                </c:pt>
                <c:pt idx="14">
                  <c:v>7.4800199999999997E-2</c:v>
                </c:pt>
                <c:pt idx="15">
                  <c:v>9.2733800000000005E-2</c:v>
                </c:pt>
                <c:pt idx="16">
                  <c:v>0.113026</c:v>
                </c:pt>
                <c:pt idx="17">
                  <c:v>0.13561500000000001</c:v>
                </c:pt>
                <c:pt idx="18">
                  <c:v>0.16037599999999999</c:v>
                </c:pt>
                <c:pt idx="19">
                  <c:v>0.18712100000000001</c:v>
                </c:pt>
                <c:pt idx="20">
                  <c:v>0.215611</c:v>
                </c:pt>
                <c:pt idx="21">
                  <c:v>0.24556</c:v>
                </c:pt>
                <c:pt idx="22">
                  <c:v>0.27665200000000001</c:v>
                </c:pt>
                <c:pt idx="23">
                  <c:v>0.30854900000000002</c:v>
                </c:pt>
                <c:pt idx="24">
                  <c:v>0.34090599999999999</c:v>
                </c:pt>
                <c:pt idx="25">
                  <c:v>0.37338100000000002</c:v>
                </c:pt>
                <c:pt idx="26">
                  <c:v>0.40565200000000001</c:v>
                </c:pt>
                <c:pt idx="27">
                  <c:v>0.43741999999999998</c:v>
                </c:pt>
                <c:pt idx="28">
                  <c:v>0.46841899999999997</c:v>
                </c:pt>
                <c:pt idx="29">
                  <c:v>0.49841800000000003</c:v>
                </c:pt>
                <c:pt idx="30">
                  <c:v>0.52722999999999998</c:v>
                </c:pt>
                <c:pt idx="31">
                  <c:v>0.55470399999999997</c:v>
                </c:pt>
                <c:pt idx="32">
                  <c:v>0.580731</c:v>
                </c:pt>
                <c:pt idx="33">
                  <c:v>0.60523499999999997</c:v>
                </c:pt>
                <c:pt idx="34">
                  <c:v>0.62817699999999999</c:v>
                </c:pt>
                <c:pt idx="35">
                  <c:v>0.64954100000000004</c:v>
                </c:pt>
                <c:pt idx="36">
                  <c:v>0.66934099999999996</c:v>
                </c:pt>
                <c:pt idx="37">
                  <c:v>0.68760699999999997</c:v>
                </c:pt>
                <c:pt idx="38">
                  <c:v>0.70438699999999999</c:v>
                </c:pt>
                <c:pt idx="39">
                  <c:v>0.71973699999999996</c:v>
                </c:pt>
                <c:pt idx="40">
                  <c:v>0.73372599999999999</c:v>
                </c:pt>
                <c:pt idx="41">
                  <c:v>0.74642399999999998</c:v>
                </c:pt>
                <c:pt idx="42">
                  <c:v>0.75790500000000005</c:v>
                </c:pt>
                <c:pt idx="43">
                  <c:v>0.76824400000000004</c:v>
                </c:pt>
                <c:pt idx="44">
                  <c:v>0.77751499999999996</c:v>
                </c:pt>
                <c:pt idx="45">
                  <c:v>0.78578899999999996</c:v>
                </c:pt>
                <c:pt idx="46">
                  <c:v>0.79313699999999998</c:v>
                </c:pt>
                <c:pt idx="47">
                  <c:v>0.799624</c:v>
                </c:pt>
                <c:pt idx="48">
                  <c:v>0.805315</c:v>
                </c:pt>
                <c:pt idx="49">
                  <c:v>0.81026900000000002</c:v>
                </c:pt>
                <c:pt idx="50">
                  <c:v>0.81454199999999999</c:v>
                </c:pt>
                <c:pt idx="51">
                  <c:v>0.81818199999999996</c:v>
                </c:pt>
                <c:pt idx="52">
                  <c:v>0.82123900000000005</c:v>
                </c:pt>
                <c:pt idx="53">
                  <c:v>0.82375299999999996</c:v>
                </c:pt>
                <c:pt idx="54">
                  <c:v>0.825762</c:v>
                </c:pt>
                <c:pt idx="55">
                  <c:v>0.82730000000000004</c:v>
                </c:pt>
                <c:pt idx="56">
                  <c:v>0.828399</c:v>
                </c:pt>
                <c:pt idx="57">
                  <c:v>0.82908599999999999</c:v>
                </c:pt>
                <c:pt idx="58">
                  <c:v>0.82938900000000004</c:v>
                </c:pt>
                <c:pt idx="59">
                  <c:v>0.82933900000000005</c:v>
                </c:pt>
                <c:pt idx="60">
                  <c:v>0.82896499999999995</c:v>
                </c:pt>
                <c:pt idx="61">
                  <c:v>0.82829699999999995</c:v>
                </c:pt>
                <c:pt idx="62">
                  <c:v>0.82735999999999998</c:v>
                </c:pt>
                <c:pt idx="63">
                  <c:v>0.826179</c:v>
                </c:pt>
                <c:pt idx="64">
                  <c:v>0.82477299999999998</c:v>
                </c:pt>
                <c:pt idx="65">
                  <c:v>0.82316199999999995</c:v>
                </c:pt>
                <c:pt idx="66">
                  <c:v>0.82135999999999998</c:v>
                </c:pt>
                <c:pt idx="67">
                  <c:v>0.81938100000000003</c:v>
                </c:pt>
                <c:pt idx="68">
                  <c:v>0.81723500000000004</c:v>
                </c:pt>
                <c:pt idx="69">
                  <c:v>0.81493000000000004</c:v>
                </c:pt>
                <c:pt idx="70">
                  <c:v>0.81247400000000003</c:v>
                </c:pt>
                <c:pt idx="71">
                  <c:v>0.80987500000000001</c:v>
                </c:pt>
                <c:pt idx="72">
                  <c:v>0.80714300000000005</c:v>
                </c:pt>
                <c:pt idx="73">
                  <c:v>0.804284</c:v>
                </c:pt>
                <c:pt idx="74">
                  <c:v>0.80130599999999996</c:v>
                </c:pt>
                <c:pt idx="75">
                  <c:v>0.79821799999999998</c:v>
                </c:pt>
                <c:pt idx="76">
                  <c:v>0.79502499999999998</c:v>
                </c:pt>
                <c:pt idx="77">
                  <c:v>0.79173400000000005</c:v>
                </c:pt>
                <c:pt idx="78">
                  <c:v>0.78835100000000002</c:v>
                </c:pt>
                <c:pt idx="79">
                  <c:v>0.784883</c:v>
                </c:pt>
                <c:pt idx="80">
                  <c:v>0.78133399999999997</c:v>
                </c:pt>
                <c:pt idx="81">
                  <c:v>0.77770899999999998</c:v>
                </c:pt>
                <c:pt idx="82">
                  <c:v>0.77401200000000003</c:v>
                </c:pt>
                <c:pt idx="83">
                  <c:v>0.77024700000000001</c:v>
                </c:pt>
                <c:pt idx="84">
                  <c:v>0.76641800000000004</c:v>
                </c:pt>
                <c:pt idx="85">
                  <c:v>0.76252900000000001</c:v>
                </c:pt>
                <c:pt idx="86">
                  <c:v>0.75858400000000004</c:v>
                </c:pt>
                <c:pt idx="87">
                  <c:v>0.75458800000000004</c:v>
                </c:pt>
                <c:pt idx="88">
                  <c:v>0.75054399999999999</c:v>
                </c:pt>
                <c:pt idx="89">
                  <c:v>0.746452</c:v>
                </c:pt>
                <c:pt idx="90">
                  <c:v>0.74231400000000003</c:v>
                </c:pt>
                <c:pt idx="91">
                  <c:v>0.73812800000000001</c:v>
                </c:pt>
                <c:pt idx="92">
                  <c:v>0.7339</c:v>
                </c:pt>
                <c:pt idx="93">
                  <c:v>0.72963599999999995</c:v>
                </c:pt>
                <c:pt idx="94">
                  <c:v>0.72533800000000004</c:v>
                </c:pt>
                <c:pt idx="95">
                  <c:v>0.72101099999999996</c:v>
                </c:pt>
                <c:pt idx="96">
                  <c:v>0.71665500000000004</c:v>
                </c:pt>
                <c:pt idx="97">
                  <c:v>0.71226999999999996</c:v>
                </c:pt>
                <c:pt idx="98">
                  <c:v>0.70785200000000004</c:v>
                </c:pt>
                <c:pt idx="99">
                  <c:v>0.70340100000000005</c:v>
                </c:pt>
                <c:pt idx="100">
                  <c:v>0.69891400000000004</c:v>
                </c:pt>
                <c:pt idx="101">
                  <c:v>0.69439200000000001</c:v>
                </c:pt>
                <c:pt idx="102">
                  <c:v>0.68983700000000003</c:v>
                </c:pt>
                <c:pt idx="103">
                  <c:v>0.68524799999999997</c:v>
                </c:pt>
                <c:pt idx="104">
                  <c:v>0.68062999999999996</c:v>
                </c:pt>
                <c:pt idx="105">
                  <c:v>0.67598499999999995</c:v>
                </c:pt>
                <c:pt idx="106">
                  <c:v>0.671315</c:v>
                </c:pt>
                <c:pt idx="107">
                  <c:v>0.66661999999999999</c:v>
                </c:pt>
                <c:pt idx="108">
                  <c:v>0.66190300000000002</c:v>
                </c:pt>
                <c:pt idx="109">
                  <c:v>0.65716699999999995</c:v>
                </c:pt>
                <c:pt idx="110">
                  <c:v>0.65241700000000002</c:v>
                </c:pt>
                <c:pt idx="111">
                  <c:v>0.64765600000000001</c:v>
                </c:pt>
                <c:pt idx="112">
                  <c:v>0.64288599999999996</c:v>
                </c:pt>
                <c:pt idx="113">
                  <c:v>0.63810299999999998</c:v>
                </c:pt>
                <c:pt idx="114">
                  <c:v>0.63330900000000001</c:v>
                </c:pt>
                <c:pt idx="115">
                  <c:v>0.62850399999999995</c:v>
                </c:pt>
                <c:pt idx="116">
                  <c:v>0.62368999999999997</c:v>
                </c:pt>
                <c:pt idx="117">
                  <c:v>0.618865</c:v>
                </c:pt>
                <c:pt idx="118">
                  <c:v>0.61402900000000005</c:v>
                </c:pt>
                <c:pt idx="119">
                  <c:v>0.60917900000000003</c:v>
                </c:pt>
                <c:pt idx="120">
                  <c:v>0.60431400000000002</c:v>
                </c:pt>
                <c:pt idx="121">
                  <c:v>0.59943400000000002</c:v>
                </c:pt>
                <c:pt idx="122">
                  <c:v>0.59454099999999999</c:v>
                </c:pt>
                <c:pt idx="123">
                  <c:v>0.58963600000000005</c:v>
                </c:pt>
                <c:pt idx="124">
                  <c:v>0.58471799999999996</c:v>
                </c:pt>
                <c:pt idx="125">
                  <c:v>0.57978600000000002</c:v>
                </c:pt>
                <c:pt idx="126">
                  <c:v>0.57484000000000002</c:v>
                </c:pt>
                <c:pt idx="127">
                  <c:v>0.56988000000000005</c:v>
                </c:pt>
                <c:pt idx="128">
                  <c:v>0.56491199999999997</c:v>
                </c:pt>
                <c:pt idx="129">
                  <c:v>0.55993599999999999</c:v>
                </c:pt>
                <c:pt idx="130">
                  <c:v>0.55495399999999995</c:v>
                </c:pt>
                <c:pt idx="131">
                  <c:v>0.54996599999999995</c:v>
                </c:pt>
                <c:pt idx="132">
                  <c:v>0.54497300000000004</c:v>
                </c:pt>
                <c:pt idx="133">
                  <c:v>0.53997200000000001</c:v>
                </c:pt>
                <c:pt idx="134">
                  <c:v>0.53496500000000002</c:v>
                </c:pt>
                <c:pt idx="135">
                  <c:v>0.52994799999999997</c:v>
                </c:pt>
                <c:pt idx="136">
                  <c:v>0.52492300000000003</c:v>
                </c:pt>
                <c:pt idx="137">
                  <c:v>0.51989099999999999</c:v>
                </c:pt>
                <c:pt idx="138">
                  <c:v>0.51485499999999995</c:v>
                </c:pt>
                <c:pt idx="139">
                  <c:v>0.50981500000000002</c:v>
                </c:pt>
                <c:pt idx="140">
                  <c:v>0.504772</c:v>
                </c:pt>
                <c:pt idx="141">
                  <c:v>0.499726</c:v>
                </c:pt>
                <c:pt idx="142">
                  <c:v>0.49467499999999998</c:v>
                </c:pt>
                <c:pt idx="143">
                  <c:v>0.489622</c:v>
                </c:pt>
                <c:pt idx="144">
                  <c:v>0.48456700000000003</c:v>
                </c:pt>
                <c:pt idx="145">
                  <c:v>0.47950999999999999</c:v>
                </c:pt>
                <c:pt idx="146">
                  <c:v>0.47445100000000001</c:v>
                </c:pt>
                <c:pt idx="147">
                  <c:v>0.469393</c:v>
                </c:pt>
                <c:pt idx="148">
                  <c:v>0.46433799999999997</c:v>
                </c:pt>
                <c:pt idx="149">
                  <c:v>0.45928600000000003</c:v>
                </c:pt>
                <c:pt idx="150">
                  <c:v>0.454239</c:v>
                </c:pt>
                <c:pt idx="151">
                  <c:v>0.44919900000000001</c:v>
                </c:pt>
                <c:pt idx="152">
                  <c:v>0.44416099999999997</c:v>
                </c:pt>
                <c:pt idx="153">
                  <c:v>0.43912499999999999</c:v>
                </c:pt>
                <c:pt idx="154">
                  <c:v>0.434087</c:v>
                </c:pt>
                <c:pt idx="155">
                  <c:v>0.42904500000000001</c:v>
                </c:pt>
                <c:pt idx="156">
                  <c:v>0.42399799999999999</c:v>
                </c:pt>
                <c:pt idx="157">
                  <c:v>0.41894799999999999</c:v>
                </c:pt>
                <c:pt idx="158">
                  <c:v>0.41389500000000001</c:v>
                </c:pt>
                <c:pt idx="159">
                  <c:v>0.40883900000000001</c:v>
                </c:pt>
                <c:pt idx="160">
                  <c:v>0.403777</c:v>
                </c:pt>
                <c:pt idx="161">
                  <c:v>0.39870800000000001</c:v>
                </c:pt>
                <c:pt idx="162">
                  <c:v>0.39362900000000001</c:v>
                </c:pt>
                <c:pt idx="163">
                  <c:v>0.38854100000000003</c:v>
                </c:pt>
                <c:pt idx="164">
                  <c:v>0.38344499999999998</c:v>
                </c:pt>
                <c:pt idx="165">
                  <c:v>0.37834400000000001</c:v>
                </c:pt>
                <c:pt idx="166">
                  <c:v>0.37323899999999999</c:v>
                </c:pt>
                <c:pt idx="167">
                  <c:v>0.36813099999999999</c:v>
                </c:pt>
                <c:pt idx="168">
                  <c:v>0.36302000000000001</c:v>
                </c:pt>
                <c:pt idx="169">
                  <c:v>0.357904</c:v>
                </c:pt>
                <c:pt idx="170">
                  <c:v>0.35278500000000002</c:v>
                </c:pt>
                <c:pt idx="171">
                  <c:v>0.34766399999999997</c:v>
                </c:pt>
                <c:pt idx="172">
                  <c:v>0.34253899999999998</c:v>
                </c:pt>
                <c:pt idx="173">
                  <c:v>0.33741100000000002</c:v>
                </c:pt>
                <c:pt idx="174">
                  <c:v>0.33227800000000002</c:v>
                </c:pt>
                <c:pt idx="175">
                  <c:v>0.32713900000000001</c:v>
                </c:pt>
                <c:pt idx="176">
                  <c:v>0.32199499999999998</c:v>
                </c:pt>
                <c:pt idx="177">
                  <c:v>0.31684800000000002</c:v>
                </c:pt>
                <c:pt idx="178">
                  <c:v>0.311699</c:v>
                </c:pt>
                <c:pt idx="179">
                  <c:v>0.30654700000000001</c:v>
                </c:pt>
                <c:pt idx="180">
                  <c:v>0.30139500000000002</c:v>
                </c:pt>
                <c:pt idx="181">
                  <c:v>0.29624</c:v>
                </c:pt>
                <c:pt idx="182">
                  <c:v>0.29108299999999998</c:v>
                </c:pt>
                <c:pt idx="183">
                  <c:v>0.28592400000000001</c:v>
                </c:pt>
                <c:pt idx="184">
                  <c:v>0.28076499999999999</c:v>
                </c:pt>
                <c:pt idx="185">
                  <c:v>0.27560499999999999</c:v>
                </c:pt>
                <c:pt idx="186">
                  <c:v>0.27044800000000002</c:v>
                </c:pt>
                <c:pt idx="187">
                  <c:v>0.265293</c:v>
                </c:pt>
                <c:pt idx="188">
                  <c:v>0.26014199999999998</c:v>
                </c:pt>
                <c:pt idx="189">
                  <c:v>0.25499500000000003</c:v>
                </c:pt>
                <c:pt idx="190">
                  <c:v>0.24985199999999999</c:v>
                </c:pt>
                <c:pt idx="191">
                  <c:v>0.24471200000000001</c:v>
                </c:pt>
                <c:pt idx="192">
                  <c:v>0.23957700000000001</c:v>
                </c:pt>
                <c:pt idx="193">
                  <c:v>0.23444499999999999</c:v>
                </c:pt>
                <c:pt idx="194">
                  <c:v>0.22931699999999999</c:v>
                </c:pt>
                <c:pt idx="195">
                  <c:v>0.224193</c:v>
                </c:pt>
                <c:pt idx="196">
                  <c:v>0.21907299999999999</c:v>
                </c:pt>
                <c:pt idx="197">
                  <c:v>0.21395800000000001</c:v>
                </c:pt>
                <c:pt idx="198">
                  <c:v>0.208847</c:v>
                </c:pt>
                <c:pt idx="199">
                  <c:v>0.20374100000000001</c:v>
                </c:pt>
                <c:pt idx="200">
                  <c:v>0.19863900000000001</c:v>
                </c:pt>
                <c:pt idx="201">
                  <c:v>0.19354099999999999</c:v>
                </c:pt>
                <c:pt idx="202">
                  <c:v>0.188448</c:v>
                </c:pt>
                <c:pt idx="203">
                  <c:v>0.18335899999999999</c:v>
                </c:pt>
                <c:pt idx="204">
                  <c:v>0.17827299999999999</c:v>
                </c:pt>
                <c:pt idx="205">
                  <c:v>0.17319100000000001</c:v>
                </c:pt>
                <c:pt idx="206">
                  <c:v>0.16811000000000001</c:v>
                </c:pt>
                <c:pt idx="207">
                  <c:v>0.16303200000000001</c:v>
                </c:pt>
                <c:pt idx="208">
                  <c:v>0.15795600000000001</c:v>
                </c:pt>
                <c:pt idx="209">
                  <c:v>0.15288299999999999</c:v>
                </c:pt>
                <c:pt idx="210">
                  <c:v>0.147814</c:v>
                </c:pt>
                <c:pt idx="211">
                  <c:v>0.14274700000000001</c:v>
                </c:pt>
                <c:pt idx="212">
                  <c:v>0.137683</c:v>
                </c:pt>
                <c:pt idx="213">
                  <c:v>0.13261899999999999</c:v>
                </c:pt>
                <c:pt idx="214">
                  <c:v>0.127555</c:v>
                </c:pt>
                <c:pt idx="215">
                  <c:v>0.122491</c:v>
                </c:pt>
                <c:pt idx="216">
                  <c:v>0.117424</c:v>
                </c:pt>
                <c:pt idx="217">
                  <c:v>0.112357</c:v>
                </c:pt>
                <c:pt idx="218">
                  <c:v>0.10728799999999999</c:v>
                </c:pt>
                <c:pt idx="219">
                  <c:v>0.102217</c:v>
                </c:pt>
                <c:pt idx="220">
                  <c:v>9.7141900000000003E-2</c:v>
                </c:pt>
                <c:pt idx="221">
                  <c:v>9.2063599999999995E-2</c:v>
                </c:pt>
                <c:pt idx="222">
                  <c:v>8.6981100000000006E-2</c:v>
                </c:pt>
                <c:pt idx="223">
                  <c:v>8.1894099999999997E-2</c:v>
                </c:pt>
                <c:pt idx="224">
                  <c:v>7.6802700000000002E-2</c:v>
                </c:pt>
                <c:pt idx="225">
                  <c:v>7.1706400000000003E-2</c:v>
                </c:pt>
                <c:pt idx="226">
                  <c:v>6.6604899999999995E-2</c:v>
                </c:pt>
                <c:pt idx="227">
                  <c:v>6.1497499999999997E-2</c:v>
                </c:pt>
                <c:pt idx="228">
                  <c:v>5.6384200000000002E-2</c:v>
                </c:pt>
                <c:pt idx="229">
                  <c:v>5.1265600000000001E-2</c:v>
                </c:pt>
                <c:pt idx="230">
                  <c:v>4.61424E-2</c:v>
                </c:pt>
                <c:pt idx="231">
                  <c:v>4.1016200000000003E-2</c:v>
                </c:pt>
                <c:pt idx="232">
                  <c:v>3.5888099999999999E-2</c:v>
                </c:pt>
                <c:pt idx="233">
                  <c:v>3.0759600000000002E-2</c:v>
                </c:pt>
                <c:pt idx="234">
                  <c:v>2.5631500000000002E-2</c:v>
                </c:pt>
                <c:pt idx="235">
                  <c:v>2.05043E-2</c:v>
                </c:pt>
                <c:pt idx="236">
                  <c:v>1.53778E-2</c:v>
                </c:pt>
                <c:pt idx="237">
                  <c:v>1.0251700000000001E-2</c:v>
                </c:pt>
                <c:pt idx="238">
                  <c:v>5.1258500000000004E-3</c:v>
                </c:pt>
                <c:pt idx="2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7-44EB-BD85-5DA21338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5792"/>
        <c:axId val="107427328"/>
      </c:scatterChart>
      <c:valAx>
        <c:axId val="1074257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427328"/>
        <c:crosses val="autoZero"/>
        <c:crossBetween val="midCat"/>
      </c:valAx>
      <c:valAx>
        <c:axId val="1074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25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2"/>
          <c:tx>
            <c:strRef>
              <c:f>scalar!$AJ$22</c:f>
              <c:strCache>
                <c:ptCount val="1"/>
                <c:pt idx="0">
                  <c:v>epsf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scalar!$AJ$23:$AJ$71</c:f>
              <c:numCache>
                <c:formatCode>0.00E+00</c:formatCode>
                <c:ptCount val="49"/>
                <c:pt idx="0">
                  <c:v>0.10824752166620115</c:v>
                </c:pt>
                <c:pt idx="1">
                  <c:v>0.10596191978167624</c:v>
                </c:pt>
                <c:pt idx="2">
                  <c:v>0.10528771450929035</c:v>
                </c:pt>
                <c:pt idx="3">
                  <c:v>0.10375886828292059</c:v>
                </c:pt>
                <c:pt idx="4">
                  <c:v>0.10184397507819468</c:v>
                </c:pt>
                <c:pt idx="5">
                  <c:v>9.7304534952619412E-2</c:v>
                </c:pt>
                <c:pt idx="6">
                  <c:v>9.0983226018945651E-2</c:v>
                </c:pt>
                <c:pt idx="7">
                  <c:v>9.3528400884858018E-2</c:v>
                </c:pt>
                <c:pt idx="8">
                  <c:v>9.0894937191978345E-2</c:v>
                </c:pt>
                <c:pt idx="9">
                  <c:v>8.8646669389735575E-2</c:v>
                </c:pt>
                <c:pt idx="10">
                  <c:v>8.8287862936215225E-2</c:v>
                </c:pt>
                <c:pt idx="11">
                  <c:v>8.6723521470660869E-2</c:v>
                </c:pt>
                <c:pt idx="12">
                  <c:v>8.3067920910471771E-2</c:v>
                </c:pt>
                <c:pt idx="13">
                  <c:v>7.7764216123755503E-2</c:v>
                </c:pt>
                <c:pt idx="14">
                  <c:v>6.7332064752641349E-2</c:v>
                </c:pt>
                <c:pt idx="15">
                  <c:v>6.3405506756191637E-2</c:v>
                </c:pt>
                <c:pt idx="16">
                  <c:v>6.0417850324761185E-2</c:v>
                </c:pt>
                <c:pt idx="17">
                  <c:v>5.9287918553872651E-2</c:v>
                </c:pt>
                <c:pt idx="18">
                  <c:v>5.8891296558064868E-2</c:v>
                </c:pt>
                <c:pt idx="19">
                  <c:v>5.6684346744395854E-2</c:v>
                </c:pt>
                <c:pt idx="20">
                  <c:v>5.3159048556187374E-2</c:v>
                </c:pt>
                <c:pt idx="21">
                  <c:v>4.4273093510340422E-2</c:v>
                </c:pt>
                <c:pt idx="22">
                  <c:v>4.0677360478856298E-2</c:v>
                </c:pt>
                <c:pt idx="23">
                  <c:v>3.8221980879783048E-2</c:v>
                </c:pt>
                <c:pt idx="24">
                  <c:v>3.7569631606095145E-2</c:v>
                </c:pt>
                <c:pt idx="25">
                  <c:v>3.73201013022951E-2</c:v>
                </c:pt>
                <c:pt idx="26">
                  <c:v>3.6058793229190311E-2</c:v>
                </c:pt>
                <c:pt idx="27">
                  <c:v>3.3884066656832267E-2</c:v>
                </c:pt>
                <c:pt idx="28">
                  <c:v>2.5617480152558551E-2</c:v>
                </c:pt>
                <c:pt idx="29">
                  <c:v>2.3310930279227787E-2</c:v>
                </c:pt>
                <c:pt idx="30">
                  <c:v>2.2025141263420693E-2</c:v>
                </c:pt>
                <c:pt idx="31">
                  <c:v>2.1865379337330831E-2</c:v>
                </c:pt>
                <c:pt idx="32">
                  <c:v>2.1699168416146098E-2</c:v>
                </c:pt>
                <c:pt idx="33">
                  <c:v>2.1099727532418944E-2</c:v>
                </c:pt>
                <c:pt idx="34">
                  <c:v>2.0006523969618228E-2</c:v>
                </c:pt>
                <c:pt idx="35">
                  <c:v>1.3370193670492608E-2</c:v>
                </c:pt>
                <c:pt idx="36">
                  <c:v>1.2782698270784904E-2</c:v>
                </c:pt>
                <c:pt idx="37">
                  <c:v>1.2627893719252607E-2</c:v>
                </c:pt>
                <c:pt idx="38">
                  <c:v>1.2664832514566762E-2</c:v>
                </c:pt>
                <c:pt idx="39">
                  <c:v>1.2690100856386579E-2</c:v>
                </c:pt>
                <c:pt idx="40">
                  <c:v>1.2564613669167675E-2</c:v>
                </c:pt>
                <c:pt idx="41">
                  <c:v>1.2271042950780565E-2</c:v>
                </c:pt>
                <c:pt idx="42">
                  <c:v>1.090689974942541E-2</c:v>
                </c:pt>
                <c:pt idx="43">
                  <c:v>1.0893966939393733E-2</c:v>
                </c:pt>
                <c:pt idx="44">
                  <c:v>1.1038086052607466E-2</c:v>
                </c:pt>
                <c:pt idx="45">
                  <c:v>1.1142771629672282E-2</c:v>
                </c:pt>
                <c:pt idx="46">
                  <c:v>1.120398310039562E-2</c:v>
                </c:pt>
                <c:pt idx="47">
                  <c:v>1.12023542219134E-2</c:v>
                </c:pt>
                <c:pt idx="48">
                  <c:v>1.1200250307357058E-2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3F-4D9F-9623-408C1F7C60B6}"/>
            </c:ext>
          </c:extLst>
        </c:ser>
        <c:ser>
          <c:idx val="3"/>
          <c:order val="3"/>
          <c:tx>
            <c:strRef>
              <c:f>scalar!$AK$22</c:f>
              <c:strCache>
                <c:ptCount val="1"/>
                <c:pt idx="0">
                  <c:v>epss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scalar!$AK$23:$AK$71</c:f>
              <c:numCache>
                <c:formatCode>0.00E+00</c:formatCode>
                <c:ptCount val="49"/>
                <c:pt idx="0">
                  <c:v>1.4852395090488031E-3</c:v>
                </c:pt>
                <c:pt idx="1">
                  <c:v>1.3511980177393136E-3</c:v>
                </c:pt>
                <c:pt idx="2">
                  <c:v>1.221984472218305E-3</c:v>
                </c:pt>
                <c:pt idx="3">
                  <c:v>1.1417104889729394E-3</c:v>
                </c:pt>
                <c:pt idx="4">
                  <c:v>1.0792994454959623E-3</c:v>
                </c:pt>
                <c:pt idx="5">
                  <c:v>1.0010335271593508E-3</c:v>
                </c:pt>
                <c:pt idx="6">
                  <c:v>9.24551878449281E-4</c:v>
                </c:pt>
                <c:pt idx="7">
                  <c:v>5.1768252185000569E-3</c:v>
                </c:pt>
                <c:pt idx="8">
                  <c:v>4.6264163188537745E-3</c:v>
                </c:pt>
                <c:pt idx="9">
                  <c:v>4.0880147681541046E-3</c:v>
                </c:pt>
                <c:pt idx="10">
                  <c:v>3.8531518279720676E-3</c:v>
                </c:pt>
                <c:pt idx="11">
                  <c:v>3.6460561685623199E-3</c:v>
                </c:pt>
                <c:pt idx="12">
                  <c:v>3.3930064427578734E-3</c:v>
                </c:pt>
                <c:pt idx="13">
                  <c:v>3.1389604756033953E-3</c:v>
                </c:pt>
                <c:pt idx="14">
                  <c:v>2.3096459687578719E-2</c:v>
                </c:pt>
                <c:pt idx="15">
                  <c:v>1.9903246102116925E-2</c:v>
                </c:pt>
                <c:pt idx="16">
                  <c:v>1.7024640784075552E-2</c:v>
                </c:pt>
                <c:pt idx="17">
                  <c:v>1.5766246820047576E-2</c:v>
                </c:pt>
                <c:pt idx="18">
                  <c:v>1.5071879040346089E-2</c:v>
                </c:pt>
                <c:pt idx="19">
                  <c:v>1.4095198315641849E-2</c:v>
                </c:pt>
                <c:pt idx="20">
                  <c:v>1.3052087611969231E-2</c:v>
                </c:pt>
                <c:pt idx="21">
                  <c:v>5.915555521367493E-2</c:v>
                </c:pt>
                <c:pt idx="22">
                  <c:v>4.8993778017246623E-2</c:v>
                </c:pt>
                <c:pt idx="23">
                  <c:v>4.0734998353875666E-2</c:v>
                </c:pt>
                <c:pt idx="24">
                  <c:v>3.7569631606095145E-2</c:v>
                </c:pt>
                <c:pt idx="25">
                  <c:v>3.5828180988216704E-2</c:v>
                </c:pt>
                <c:pt idx="26">
                  <c:v>3.3537308898748681E-2</c:v>
                </c:pt>
                <c:pt idx="27">
                  <c:v>3.0968490520029989E-2</c:v>
                </c:pt>
                <c:pt idx="28">
                  <c:v>0.12306583490199073</c:v>
                </c:pt>
                <c:pt idx="29">
                  <c:v>9.7224721509195991E-2</c:v>
                </c:pt>
                <c:pt idx="30">
                  <c:v>7.8821524861971817E-2</c:v>
                </c:pt>
                <c:pt idx="31">
                  <c:v>7.2552734843810834E-2</c:v>
                </c:pt>
                <c:pt idx="32">
                  <c:v>6.8622810203613965E-2</c:v>
                </c:pt>
                <c:pt idx="33">
                  <c:v>6.3982741031054391E-2</c:v>
                </c:pt>
                <c:pt idx="34">
                  <c:v>5.8713319811354345E-2</c:v>
                </c:pt>
                <c:pt idx="35">
                  <c:v>0.23893037688823804</c:v>
                </c:pt>
                <c:pt idx="36">
                  <c:v>0.17870813818290249</c:v>
                </c:pt>
                <c:pt idx="37">
                  <c:v>0.13924157006877769</c:v>
                </c:pt>
                <c:pt idx="38">
                  <c:v>0.12547765397913191</c:v>
                </c:pt>
                <c:pt idx="39">
                  <c:v>0.11776903346135575</c:v>
                </c:pt>
                <c:pt idx="40">
                  <c:v>0.10878797298237022</c:v>
                </c:pt>
                <c:pt idx="41">
                  <c:v>9.8891742465424592E-2</c:v>
                </c:pt>
                <c:pt idx="42">
                  <c:v>0.33429021340767862</c:v>
                </c:pt>
                <c:pt idx="43">
                  <c:v>0.23603235596978361</c:v>
                </c:pt>
                <c:pt idx="44">
                  <c:v>0.1767228410866597</c:v>
                </c:pt>
                <c:pt idx="45">
                  <c:v>0.15777835785623029</c:v>
                </c:pt>
                <c:pt idx="46">
                  <c:v>0.14723431326358774</c:v>
                </c:pt>
                <c:pt idx="47">
                  <c:v>0.13517299994489862</c:v>
                </c:pt>
                <c:pt idx="48">
                  <c:v>0.12173464605099177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3F-4D9F-9623-408C1F7C60B6}"/>
            </c:ext>
          </c:extLst>
        </c:ser>
        <c:ser>
          <c:idx val="8"/>
          <c:order val="8"/>
          <c:tx>
            <c:strRef>
              <c:f>scalar!$AP$22</c:f>
              <c:strCache>
                <c:ptCount val="1"/>
                <c:pt idx="0">
                  <c:v>epsf~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scalar!$AP$23:$AP$71</c:f>
              <c:numCache>
                <c:formatCode>0.00E+00</c:formatCode>
                <c:ptCount val="49"/>
                <c:pt idx="0">
                  <c:v>0.13672168310207702</c:v>
                </c:pt>
                <c:pt idx="1">
                  <c:v>0.13387399342697132</c:v>
                </c:pt>
                <c:pt idx="2">
                  <c:v>0.13020037616298116</c:v>
                </c:pt>
                <c:pt idx="3">
                  <c:v>0.1274885146756019</c:v>
                </c:pt>
                <c:pt idx="4">
                  <c:v>0.12483313684014026</c:v>
                </c:pt>
                <c:pt idx="5">
                  <c:v>0.12140760843932992</c:v>
                </c:pt>
                <c:pt idx="6">
                  <c:v>0.11887888596321887</c:v>
                </c:pt>
                <c:pt idx="7">
                  <c:v>9.4645639021296676E-2</c:v>
                </c:pt>
                <c:pt idx="8">
                  <c:v>9.2674324721183046E-2</c:v>
                </c:pt>
                <c:pt idx="9">
                  <c:v>9.0131261722094402E-2</c:v>
                </c:pt>
                <c:pt idx="10">
                  <c:v>8.8253974538476082E-2</c:v>
                </c:pt>
                <c:pt idx="11">
                  <c:v>8.6415788185162851E-2</c:v>
                </c:pt>
                <c:pt idx="12">
                  <c:v>8.4044464799403779E-2</c:v>
                </c:pt>
                <c:pt idx="13">
                  <c:v>8.2293955668526861E-2</c:v>
                </c:pt>
                <c:pt idx="14">
                  <c:v>5.8202288266019364E-2</c:v>
                </c:pt>
                <c:pt idx="15">
                  <c:v>5.6990029525473253E-2</c:v>
                </c:pt>
                <c:pt idx="16">
                  <c:v>5.5426174209135842E-2</c:v>
                </c:pt>
                <c:pt idx="17">
                  <c:v>5.4271737396738483E-2</c:v>
                </c:pt>
                <c:pt idx="18">
                  <c:v>5.3141345620334228E-2</c:v>
                </c:pt>
                <c:pt idx="19">
                  <c:v>5.1683101493113039E-2</c:v>
                </c:pt>
                <c:pt idx="20">
                  <c:v>5.0606626780689452E-2</c:v>
                </c:pt>
                <c:pt idx="21">
                  <c:v>4.0290556994726133E-2</c:v>
                </c:pt>
                <c:pt idx="22">
                  <c:v>3.9451370403726684E-2</c:v>
                </c:pt>
                <c:pt idx="23">
                  <c:v>3.836879094454098E-2</c:v>
                </c:pt>
                <c:pt idx="24">
                  <c:v>3.7569631606095145E-2</c:v>
                </c:pt>
                <c:pt idx="25">
                  <c:v>3.6787117453293772E-2</c:v>
                </c:pt>
                <c:pt idx="26">
                  <c:v>3.5777647381404307E-2</c:v>
                </c:pt>
                <c:pt idx="27">
                  <c:v>3.5032457337396947E-2</c:v>
                </c:pt>
                <c:pt idx="28">
                  <c:v>2.7891153961605221E-2</c:v>
                </c:pt>
                <c:pt idx="29">
                  <c:v>2.7310226713189566E-2</c:v>
                </c:pt>
                <c:pt idx="30">
                  <c:v>2.6560810655829725E-2</c:v>
                </c:pt>
                <c:pt idx="31">
                  <c:v>2.6007592288772526E-2</c:v>
                </c:pt>
                <c:pt idx="32">
                  <c:v>2.546589655803902E-2</c:v>
                </c:pt>
                <c:pt idx="33">
                  <c:v>2.476709050285375E-2</c:v>
                </c:pt>
                <c:pt idx="34">
                  <c:v>2.4251232401145569E-2</c:v>
                </c:pt>
                <c:pt idx="35">
                  <c:v>1.7151651145595855E-2</c:v>
                </c:pt>
                <c:pt idx="36">
                  <c:v>1.6794410225427679E-2</c:v>
                </c:pt>
                <c:pt idx="37">
                  <c:v>1.6333557196670307E-2</c:v>
                </c:pt>
                <c:pt idx="38">
                  <c:v>1.5993355839201799E-2</c:v>
                </c:pt>
                <c:pt idx="39">
                  <c:v>1.5660240321163726E-2</c:v>
                </c:pt>
                <c:pt idx="40">
                  <c:v>1.5230509887870535E-2</c:v>
                </c:pt>
                <c:pt idx="41">
                  <c:v>1.4913283206848021E-2</c:v>
                </c:pt>
                <c:pt idx="42">
                  <c:v>1.1873237266493347E-2</c:v>
                </c:pt>
                <c:pt idx="43">
                  <c:v>1.1625937098687268E-2</c:v>
                </c:pt>
                <c:pt idx="44">
                  <c:v>1.1306911407867793E-2</c:v>
                </c:pt>
                <c:pt idx="45">
                  <c:v>1.1071406884057331E-2</c:v>
                </c:pt>
                <c:pt idx="46">
                  <c:v>1.0840807535385733E-2</c:v>
                </c:pt>
                <c:pt idx="47">
                  <c:v>1.0543326473544454E-2</c:v>
                </c:pt>
                <c:pt idx="48">
                  <c:v>1.0323726178560045E-2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83F-4D9F-9623-408C1F7C60B6}"/>
            </c:ext>
          </c:extLst>
        </c:ser>
        <c:ser>
          <c:idx val="9"/>
          <c:order val="9"/>
          <c:tx>
            <c:strRef>
              <c:f>scalar!$AQ$22</c:f>
              <c:strCache>
                <c:ptCount val="1"/>
                <c:pt idx="0">
                  <c:v>epss~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scalar!$AQ$23:$AQ$71</c:f>
              <c:numCache>
                <c:formatCode>0.00E+00</c:formatCode>
                <c:ptCount val="49"/>
                <c:pt idx="0">
                  <c:v>4.138706447947586E-3</c:v>
                </c:pt>
                <c:pt idx="1">
                  <c:v>3.7583388566333263E-3</c:v>
                </c:pt>
                <c:pt idx="2">
                  <c:v>3.3086325427245703E-3</c:v>
                </c:pt>
                <c:pt idx="3">
                  <c:v>3.0045528485862683E-3</c:v>
                </c:pt>
                <c:pt idx="4">
                  <c:v>2.7284195822223556E-3</c:v>
                </c:pt>
                <c:pt idx="5">
                  <c:v>2.4019488833517365E-3</c:v>
                </c:pt>
                <c:pt idx="6">
                  <c:v>2.1811979016836485E-3</c:v>
                </c:pt>
                <c:pt idx="7">
                  <c:v>8.8534331917009858E-3</c:v>
                </c:pt>
                <c:pt idx="8">
                  <c:v>8.0397588950716567E-3</c:v>
                </c:pt>
                <c:pt idx="9">
                  <c:v>7.0777566713933595E-3</c:v>
                </c:pt>
                <c:pt idx="10">
                  <c:v>6.427275828921099E-3</c:v>
                </c:pt>
                <c:pt idx="11">
                  <c:v>5.8365773929468737E-3</c:v>
                </c:pt>
                <c:pt idx="12">
                  <c:v>5.1381981873058653E-3</c:v>
                </c:pt>
                <c:pt idx="13">
                  <c:v>4.6659723619709879E-3</c:v>
                </c:pt>
                <c:pt idx="14">
                  <c:v>2.4192158655382042E-2</c:v>
                </c:pt>
                <c:pt idx="15">
                  <c:v>2.1968779628100857E-2</c:v>
                </c:pt>
                <c:pt idx="16">
                  <c:v>1.9340091985902211E-2</c:v>
                </c:pt>
                <c:pt idx="17">
                  <c:v>1.7562641882350676E-2</c:v>
                </c:pt>
                <c:pt idx="18">
                  <c:v>1.5948548234027915E-2</c:v>
                </c:pt>
                <c:pt idx="19">
                  <c:v>1.404021502829206E-2</c:v>
                </c:pt>
                <c:pt idx="20">
                  <c:v>1.2749849828679006E-2</c:v>
                </c:pt>
                <c:pt idx="21">
                  <c:v>5.1751353499514548E-2</c:v>
                </c:pt>
                <c:pt idx="22">
                  <c:v>4.6995148166897927E-2</c:v>
                </c:pt>
                <c:pt idx="23">
                  <c:v>4.1371915228114141E-2</c:v>
                </c:pt>
                <c:pt idx="24">
                  <c:v>3.7569631606095145E-2</c:v>
                </c:pt>
                <c:pt idx="25">
                  <c:v>3.4116796653845483E-2</c:v>
                </c:pt>
                <c:pt idx="26">
                  <c:v>3.0034530671230197E-2</c:v>
                </c:pt>
                <c:pt idx="27">
                  <c:v>2.7274208761147542E-2</c:v>
                </c:pt>
                <c:pt idx="28">
                  <c:v>0.11070539951323838</c:v>
                </c:pt>
                <c:pt idx="29">
                  <c:v>0.10053102578368449</c:v>
                </c:pt>
                <c:pt idx="30">
                  <c:v>8.8501924959299275E-2</c:v>
                </c:pt>
                <c:pt idx="31">
                  <c:v>8.0368160352694271E-2</c:v>
                </c:pt>
                <c:pt idx="32">
                  <c:v>7.2981928940492505E-2</c:v>
                </c:pt>
                <c:pt idx="33">
                  <c:v>6.4249231997040246E-2</c:v>
                </c:pt>
                <c:pt idx="34">
                  <c:v>5.8344409819902167E-2</c:v>
                </c:pt>
                <c:pt idx="35">
                  <c:v>0.30250441055366012</c:v>
                </c:pt>
                <c:pt idx="36">
                  <c:v>0.27470275913156039</c:v>
                </c:pt>
                <c:pt idx="37">
                  <c:v>0.2418330339838177</c:v>
                </c:pt>
                <c:pt idx="38">
                  <c:v>0.21960738213014236</c:v>
                </c:pt>
                <c:pt idx="39">
                  <c:v>0.19942437760294374</c:v>
                </c:pt>
                <c:pt idx="40">
                  <c:v>0.17556213282501962</c:v>
                </c:pt>
                <c:pt idx="41">
                  <c:v>0.15942710454299142</c:v>
                </c:pt>
                <c:pt idx="42">
                  <c:v>0.64711102918639185</c:v>
                </c:pt>
                <c:pt idx="43">
                  <c:v>0.58763832519537029</c:v>
                </c:pt>
                <c:pt idx="44">
                  <c:v>0.51732410521259575</c:v>
                </c:pt>
                <c:pt idx="45">
                  <c:v>0.46977946142030624</c:v>
                </c:pt>
                <c:pt idx="46">
                  <c:v>0.42660440553346868</c:v>
                </c:pt>
                <c:pt idx="47">
                  <c:v>0.37555879681431598</c:v>
                </c:pt>
                <c:pt idx="48">
                  <c:v>0.34104308599071231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83F-4D9F-9623-408C1F7C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82120"/>
        <c:axId val="4460808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scalar!$AH$22</c15:sqref>
                        </c15:formulaRef>
                      </c:ext>
                    </c:extLst>
                    <c:strCache>
                      <c:ptCount val="1"/>
                      <c:pt idx="0">
                        <c:v>G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scalar!$AH$23:$AH$71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0.5</c:v>
                      </c:pt>
                      <c:pt idx="3">
                        <c:v>1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10</c:v>
                      </c:pt>
                      <c:pt idx="7">
                        <c:v>0.1</c:v>
                      </c:pt>
                      <c:pt idx="8">
                        <c:v>0.2</c:v>
                      </c:pt>
                      <c:pt idx="9">
                        <c:v>0.5</c:v>
                      </c:pt>
                      <c:pt idx="10">
                        <c:v>1</c:v>
                      </c:pt>
                      <c:pt idx="11">
                        <c:v>2</c:v>
                      </c:pt>
                      <c:pt idx="12">
                        <c:v>5</c:v>
                      </c:pt>
                      <c:pt idx="13">
                        <c:v>10</c:v>
                      </c:pt>
                      <c:pt idx="14">
                        <c:v>0.1</c:v>
                      </c:pt>
                      <c:pt idx="15">
                        <c:v>0.2</c:v>
                      </c:pt>
                      <c:pt idx="16">
                        <c:v>0.5</c:v>
                      </c:pt>
                      <c:pt idx="17">
                        <c:v>1</c:v>
                      </c:pt>
                      <c:pt idx="18">
                        <c:v>2</c:v>
                      </c:pt>
                      <c:pt idx="19">
                        <c:v>5</c:v>
                      </c:pt>
                      <c:pt idx="20">
                        <c:v>10</c:v>
                      </c:pt>
                      <c:pt idx="21">
                        <c:v>0.1</c:v>
                      </c:pt>
                      <c:pt idx="22">
                        <c:v>0.2</c:v>
                      </c:pt>
                      <c:pt idx="23">
                        <c:v>0.5</c:v>
                      </c:pt>
                      <c:pt idx="24">
                        <c:v>1</c:v>
                      </c:pt>
                      <c:pt idx="25">
                        <c:v>2</c:v>
                      </c:pt>
                      <c:pt idx="26">
                        <c:v>5</c:v>
                      </c:pt>
                      <c:pt idx="27">
                        <c:v>10</c:v>
                      </c:pt>
                      <c:pt idx="28">
                        <c:v>0.1</c:v>
                      </c:pt>
                      <c:pt idx="29">
                        <c:v>0.2</c:v>
                      </c:pt>
                      <c:pt idx="30">
                        <c:v>0.5</c:v>
                      </c:pt>
                      <c:pt idx="31">
                        <c:v>1</c:v>
                      </c:pt>
                      <c:pt idx="32">
                        <c:v>2</c:v>
                      </c:pt>
                      <c:pt idx="33">
                        <c:v>5</c:v>
                      </c:pt>
                      <c:pt idx="34">
                        <c:v>10</c:v>
                      </c:pt>
                      <c:pt idx="35">
                        <c:v>0.1</c:v>
                      </c:pt>
                      <c:pt idx="36">
                        <c:v>0.2</c:v>
                      </c:pt>
                      <c:pt idx="37">
                        <c:v>0.5</c:v>
                      </c:pt>
                      <c:pt idx="38">
                        <c:v>1</c:v>
                      </c:pt>
                      <c:pt idx="39">
                        <c:v>2</c:v>
                      </c:pt>
                      <c:pt idx="40">
                        <c:v>5</c:v>
                      </c:pt>
                      <c:pt idx="41">
                        <c:v>10</c:v>
                      </c:pt>
                      <c:pt idx="42">
                        <c:v>0.1</c:v>
                      </c:pt>
                      <c:pt idx="43">
                        <c:v>0.2</c:v>
                      </c:pt>
                      <c:pt idx="44">
                        <c:v>0.5</c:v>
                      </c:pt>
                      <c:pt idx="45">
                        <c:v>1</c:v>
                      </c:pt>
                      <c:pt idx="46">
                        <c:v>2</c:v>
                      </c:pt>
                      <c:pt idx="47">
                        <c:v>5</c:v>
                      </c:pt>
                      <c:pt idx="48">
                        <c:v>10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83F-4D9F-9623-408C1F7C60B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scalar!$AI$22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scalar!$AI$23:$AI$71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0.5</c:v>
                      </c:pt>
                      <c:pt idx="15">
                        <c:v>0.5</c:v>
                      </c:pt>
                      <c:pt idx="16">
                        <c:v>0.5</c:v>
                      </c:pt>
                      <c:pt idx="17">
                        <c:v>0.5</c:v>
                      </c:pt>
                      <c:pt idx="18">
                        <c:v>0.5</c:v>
                      </c:pt>
                      <c:pt idx="19">
                        <c:v>0.5</c:v>
                      </c:pt>
                      <c:pt idx="20">
                        <c:v>0.5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5</c:v>
                      </c:pt>
                      <c:pt idx="36">
                        <c:v>5</c:v>
                      </c:pt>
                      <c:pt idx="37">
                        <c:v>5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3F-4D9F-9623-408C1F7C60B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scalar!$AL$22</c15:sqref>
                        </c15:formulaRef>
                      </c:ext>
                    </c:extLst>
                    <c:strCache>
                      <c:ptCount val="1"/>
                      <c:pt idx="0">
                        <c:v>LOG(G)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scalar!$AL$23:$AL$71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-2.3025850929940455</c:v>
                      </c:pt>
                      <c:pt idx="1">
                        <c:v>-1.6094379124341003</c:v>
                      </c:pt>
                      <c:pt idx="2">
                        <c:v>-0.69314718055994529</c:v>
                      </c:pt>
                      <c:pt idx="3">
                        <c:v>0</c:v>
                      </c:pt>
                      <c:pt idx="4">
                        <c:v>0.69314718055994529</c:v>
                      </c:pt>
                      <c:pt idx="5">
                        <c:v>1.6094379124341003</c:v>
                      </c:pt>
                      <c:pt idx="6">
                        <c:v>2.3025850929940459</c:v>
                      </c:pt>
                      <c:pt idx="7">
                        <c:v>-2.3025850929940455</c:v>
                      </c:pt>
                      <c:pt idx="8">
                        <c:v>-1.6094379124341003</c:v>
                      </c:pt>
                      <c:pt idx="9">
                        <c:v>-0.69314718055994529</c:v>
                      </c:pt>
                      <c:pt idx="10">
                        <c:v>0</c:v>
                      </c:pt>
                      <c:pt idx="11">
                        <c:v>0.69314718055994529</c:v>
                      </c:pt>
                      <c:pt idx="12">
                        <c:v>1.6094379124341003</c:v>
                      </c:pt>
                      <c:pt idx="13">
                        <c:v>2.3025850929940459</c:v>
                      </c:pt>
                      <c:pt idx="14">
                        <c:v>-2.3025850929940455</c:v>
                      </c:pt>
                      <c:pt idx="15">
                        <c:v>-1.6094379124341003</c:v>
                      </c:pt>
                      <c:pt idx="16">
                        <c:v>-0.69314718055994529</c:v>
                      </c:pt>
                      <c:pt idx="17">
                        <c:v>0</c:v>
                      </c:pt>
                      <c:pt idx="18">
                        <c:v>0.69314718055994529</c:v>
                      </c:pt>
                      <c:pt idx="19">
                        <c:v>1.6094379124341003</c:v>
                      </c:pt>
                      <c:pt idx="20">
                        <c:v>2.3025850929940459</c:v>
                      </c:pt>
                      <c:pt idx="21">
                        <c:v>-2.3025850929940455</c:v>
                      </c:pt>
                      <c:pt idx="22">
                        <c:v>-1.6094379124341003</c:v>
                      </c:pt>
                      <c:pt idx="23">
                        <c:v>-0.69314718055994529</c:v>
                      </c:pt>
                      <c:pt idx="24">
                        <c:v>0</c:v>
                      </c:pt>
                      <c:pt idx="25">
                        <c:v>0.69314718055994529</c:v>
                      </c:pt>
                      <c:pt idx="26">
                        <c:v>1.6094379124341003</c:v>
                      </c:pt>
                      <c:pt idx="27">
                        <c:v>2.3025850929940459</c:v>
                      </c:pt>
                      <c:pt idx="28">
                        <c:v>-2.3025850929940455</c:v>
                      </c:pt>
                      <c:pt idx="29">
                        <c:v>-1.6094379124341003</c:v>
                      </c:pt>
                      <c:pt idx="30">
                        <c:v>-0.69314718055994529</c:v>
                      </c:pt>
                      <c:pt idx="31">
                        <c:v>0</c:v>
                      </c:pt>
                      <c:pt idx="32">
                        <c:v>0.69314718055994529</c:v>
                      </c:pt>
                      <c:pt idx="33">
                        <c:v>1.6094379124341003</c:v>
                      </c:pt>
                      <c:pt idx="34">
                        <c:v>2.3025850929940459</c:v>
                      </c:pt>
                      <c:pt idx="35">
                        <c:v>-2.3025850929940455</c:v>
                      </c:pt>
                      <c:pt idx="36">
                        <c:v>-1.6094379124341003</c:v>
                      </c:pt>
                      <c:pt idx="37">
                        <c:v>-0.69314718055994529</c:v>
                      </c:pt>
                      <c:pt idx="38">
                        <c:v>0</c:v>
                      </c:pt>
                      <c:pt idx="39">
                        <c:v>0.69314718055994529</c:v>
                      </c:pt>
                      <c:pt idx="40">
                        <c:v>1.6094379124341003</c:v>
                      </c:pt>
                      <c:pt idx="41">
                        <c:v>2.3025850929940459</c:v>
                      </c:pt>
                      <c:pt idx="42">
                        <c:v>-2.3025850929940455</c:v>
                      </c:pt>
                      <c:pt idx="43">
                        <c:v>-1.6094379124341003</c:v>
                      </c:pt>
                      <c:pt idx="44">
                        <c:v>-0.69314718055994529</c:v>
                      </c:pt>
                      <c:pt idx="45">
                        <c:v>0</c:v>
                      </c:pt>
                      <c:pt idx="46">
                        <c:v>0.69314718055994529</c:v>
                      </c:pt>
                      <c:pt idx="47">
                        <c:v>1.6094379124341003</c:v>
                      </c:pt>
                      <c:pt idx="48">
                        <c:v>2.3025850929940459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3F-4D9F-9623-408C1F7C60B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scalar!$AM$22</c15:sqref>
                        </c15:formulaRef>
                      </c:ext>
                    </c:extLst>
                    <c:strCache>
                      <c:ptCount val="1"/>
                      <c:pt idx="0">
                        <c:v>LOG(K)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scalar!$AM$23:$AM$71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-2.3025850929940455</c:v>
                      </c:pt>
                      <c:pt idx="1">
                        <c:v>-2.3025850929940455</c:v>
                      </c:pt>
                      <c:pt idx="2">
                        <c:v>-2.3025850929940455</c:v>
                      </c:pt>
                      <c:pt idx="3">
                        <c:v>-2.3025850929940455</c:v>
                      </c:pt>
                      <c:pt idx="4">
                        <c:v>-2.3025850929940455</c:v>
                      </c:pt>
                      <c:pt idx="5">
                        <c:v>-2.3025850929940455</c:v>
                      </c:pt>
                      <c:pt idx="6">
                        <c:v>-2.3025850929940455</c:v>
                      </c:pt>
                      <c:pt idx="7">
                        <c:v>-1.6094379124341003</c:v>
                      </c:pt>
                      <c:pt idx="8">
                        <c:v>-1.6094379124341003</c:v>
                      </c:pt>
                      <c:pt idx="9">
                        <c:v>-1.6094379124341003</c:v>
                      </c:pt>
                      <c:pt idx="10">
                        <c:v>-1.6094379124341003</c:v>
                      </c:pt>
                      <c:pt idx="11">
                        <c:v>-1.6094379124341003</c:v>
                      </c:pt>
                      <c:pt idx="12">
                        <c:v>-1.6094379124341003</c:v>
                      </c:pt>
                      <c:pt idx="13">
                        <c:v>-1.6094379124341003</c:v>
                      </c:pt>
                      <c:pt idx="14">
                        <c:v>-0.69314718055994529</c:v>
                      </c:pt>
                      <c:pt idx="15">
                        <c:v>-0.69314718055994529</c:v>
                      </c:pt>
                      <c:pt idx="16">
                        <c:v>-0.69314718055994529</c:v>
                      </c:pt>
                      <c:pt idx="17">
                        <c:v>-0.69314718055994529</c:v>
                      </c:pt>
                      <c:pt idx="18">
                        <c:v>-0.69314718055994529</c:v>
                      </c:pt>
                      <c:pt idx="19">
                        <c:v>-0.69314718055994529</c:v>
                      </c:pt>
                      <c:pt idx="20">
                        <c:v>-0.69314718055994529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0.69314718055994529</c:v>
                      </c:pt>
                      <c:pt idx="29">
                        <c:v>0.69314718055994529</c:v>
                      </c:pt>
                      <c:pt idx="30">
                        <c:v>0.69314718055994529</c:v>
                      </c:pt>
                      <c:pt idx="31">
                        <c:v>0.69314718055994529</c:v>
                      </c:pt>
                      <c:pt idx="32">
                        <c:v>0.69314718055994529</c:v>
                      </c:pt>
                      <c:pt idx="33">
                        <c:v>0.69314718055994529</c:v>
                      </c:pt>
                      <c:pt idx="34">
                        <c:v>0.69314718055994529</c:v>
                      </c:pt>
                      <c:pt idx="35">
                        <c:v>1.6094379124341003</c:v>
                      </c:pt>
                      <c:pt idx="36">
                        <c:v>1.6094379124341003</c:v>
                      </c:pt>
                      <c:pt idx="37">
                        <c:v>1.6094379124341003</c:v>
                      </c:pt>
                      <c:pt idx="38">
                        <c:v>1.6094379124341003</c:v>
                      </c:pt>
                      <c:pt idx="39">
                        <c:v>1.6094379124341003</c:v>
                      </c:pt>
                      <c:pt idx="40">
                        <c:v>1.6094379124341003</c:v>
                      </c:pt>
                      <c:pt idx="41">
                        <c:v>1.6094379124341003</c:v>
                      </c:pt>
                      <c:pt idx="42">
                        <c:v>2.3025850929940459</c:v>
                      </c:pt>
                      <c:pt idx="43">
                        <c:v>2.3025850929940459</c:v>
                      </c:pt>
                      <c:pt idx="44">
                        <c:v>2.3025850929940459</c:v>
                      </c:pt>
                      <c:pt idx="45">
                        <c:v>2.3025850929940459</c:v>
                      </c:pt>
                      <c:pt idx="46">
                        <c:v>2.3025850929940459</c:v>
                      </c:pt>
                      <c:pt idx="47">
                        <c:v>2.3025850929940459</c:v>
                      </c:pt>
                      <c:pt idx="48">
                        <c:v>2.3025850929940459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3F-4D9F-9623-408C1F7C60B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scalar!$AN$22</c15:sqref>
                        </c15:formulaRef>
                      </c:ext>
                    </c:extLst>
                    <c:strCache>
                      <c:ptCount val="1"/>
                      <c:pt idx="0">
                        <c:v>LOG(epsf)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scalar!$AN$23:$AN$71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1.0582244180779543</c:v>
                      </c:pt>
                      <c:pt idx="1">
                        <c:v>1.0368837282206014</c:v>
                      </c:pt>
                      <c:pt idx="2">
                        <c:v>1.0305006870025206</c:v>
                      </c:pt>
                      <c:pt idx="3">
                        <c:v>1.0158735788795581</c:v>
                      </c:pt>
                      <c:pt idx="4">
                        <c:v>0.99724593206582635</c:v>
                      </c:pt>
                      <c:pt idx="5">
                        <c:v>0.9516495420424298</c:v>
                      </c:pt>
                      <c:pt idx="6">
                        <c:v>0.88447910605994784</c:v>
                      </c:pt>
                      <c:pt idx="7">
                        <c:v>0.91206908894633265</c:v>
                      </c:pt>
                      <c:pt idx="8">
                        <c:v>0.88350824917044046</c:v>
                      </c:pt>
                      <c:pt idx="9">
                        <c:v>0.85846240747467872</c:v>
                      </c:pt>
                      <c:pt idx="10">
                        <c:v>0.85440659156744381</c:v>
                      </c:pt>
                      <c:pt idx="11">
                        <c:v>0.83652909022750799</c:v>
                      </c:pt>
                      <c:pt idx="12">
                        <c:v>0.79346254337043221</c:v>
                      </c:pt>
                      <c:pt idx="13">
                        <c:v>0.72748532437684754</c:v>
                      </c:pt>
                      <c:pt idx="14">
                        <c:v>0.58344051424430421</c:v>
                      </c:pt>
                      <c:pt idx="15">
                        <c:v>0.5233546610204759</c:v>
                      </c:pt>
                      <c:pt idx="16">
                        <c:v>0.47508854245301269</c:v>
                      </c:pt>
                      <c:pt idx="17">
                        <c:v>0.45620949690697438</c:v>
                      </c:pt>
                      <c:pt idx="18">
                        <c:v>0.44949725931844958</c:v>
                      </c:pt>
                      <c:pt idx="19">
                        <c:v>0.41130204708753387</c:v>
                      </c:pt>
                      <c:pt idx="20">
                        <c:v>0.34709228194173591</c:v>
                      </c:pt>
                      <c:pt idx="21">
                        <c:v>0.16418106855348455</c:v>
                      </c:pt>
                      <c:pt idx="22">
                        <c:v>7.9475630087367549E-2</c:v>
                      </c:pt>
                      <c:pt idx="23">
                        <c:v>1.7214711821518441E-2</c:v>
                      </c:pt>
                      <c:pt idx="24">
                        <c:v>0</c:v>
                      </c:pt>
                      <c:pt idx="25">
                        <c:v>-6.6639636047741658E-3</c:v>
                      </c:pt>
                      <c:pt idx="26">
                        <c:v>-4.1045302424140256E-2</c:v>
                      </c:pt>
                      <c:pt idx="27">
                        <c:v>-0.10325116022992063</c:v>
                      </c:pt>
                      <c:pt idx="28">
                        <c:v>-0.3829211170736273</c:v>
                      </c:pt>
                      <c:pt idx="29">
                        <c:v>-0.47727369273390008</c:v>
                      </c:pt>
                      <c:pt idx="30">
                        <c:v>-0.53401146842613334</c:v>
                      </c:pt>
                      <c:pt idx="31">
                        <c:v>-0.54129152022348725</c:v>
                      </c:pt>
                      <c:pt idx="32">
                        <c:v>-0.54892211602847518</c:v>
                      </c:pt>
                      <c:pt idx="33">
                        <c:v>-0.57693592676085825</c:v>
                      </c:pt>
                      <c:pt idx="34">
                        <c:v>-0.63013763516025845</c:v>
                      </c:pt>
                      <c:pt idx="35">
                        <c:v>-1.0331681775431119</c:v>
                      </c:pt>
                      <c:pt idx="36">
                        <c:v>-1.0781034950406136</c:v>
                      </c:pt>
                      <c:pt idx="37">
                        <c:v>-1.090287899620789</c:v>
                      </c:pt>
                      <c:pt idx="38">
                        <c:v>-1.0873669949120452</c:v>
                      </c:pt>
                      <c:pt idx="39">
                        <c:v>-1.0853738246034916</c:v>
                      </c:pt>
                      <c:pt idx="40">
                        <c:v>-1.095311630065481</c:v>
                      </c:pt>
                      <c:pt idx="41">
                        <c:v>-1.1189537988298683</c:v>
                      </c:pt>
                      <c:pt idx="42">
                        <c:v>-1.2368004604973273</c:v>
                      </c:pt>
                      <c:pt idx="43">
                        <c:v>-1.2379869098007759</c:v>
                      </c:pt>
                      <c:pt idx="44">
                        <c:v>-1.2248443929845165</c:v>
                      </c:pt>
                      <c:pt idx="45">
                        <c:v>-1.2154050506593519</c:v>
                      </c:pt>
                      <c:pt idx="46">
                        <c:v>-1.209926704961829</c:v>
                      </c:pt>
                      <c:pt idx="47">
                        <c:v>-1.2100720994064147</c:v>
                      </c:pt>
                      <c:pt idx="48">
                        <c:v>-1.2102599270815206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3F-4D9F-9623-408C1F7C60B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scalar!$AO$22</c15:sqref>
                        </c15:formulaRef>
                      </c:ext>
                    </c:extLst>
                    <c:strCache>
                      <c:ptCount val="1"/>
                      <c:pt idx="0">
                        <c:v>LOG(epss)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scalar!$AO$23:$AO$71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-3.2306200091997077</c:v>
                      </c:pt>
                      <c:pt idx="1">
                        <c:v>-3.3252044345308422</c:v>
                      </c:pt>
                      <c:pt idx="2">
                        <c:v>-3.4257199001943301</c:v>
                      </c:pt>
                      <c:pt idx="3">
                        <c:v>-3.4936684871927457</c:v>
                      </c:pt>
                      <c:pt idx="4">
                        <c:v>-3.5498838849176306</c:v>
                      </c:pt>
                      <c:pt idx="5">
                        <c:v>-3.6251630605661349</c:v>
                      </c:pt>
                      <c:pt idx="6">
                        <c:v>-3.7046421685908135</c:v>
                      </c:pt>
                      <c:pt idx="7">
                        <c:v>-1.9820040778092578</c:v>
                      </c:pt>
                      <c:pt idx="8">
                        <c:v>-2.0944134988152698</c:v>
                      </c:pt>
                      <c:pt idx="9">
                        <c:v>-2.2181365885469666</c:v>
                      </c:pt>
                      <c:pt idx="10">
                        <c:v>-2.277304584004741</c:v>
                      </c:pt>
                      <c:pt idx="11">
                        <c:v>-2.3325499723362126</c:v>
                      </c:pt>
                      <c:pt idx="12">
                        <c:v>-2.4044796693655539</c:v>
                      </c:pt>
                      <c:pt idx="13">
                        <c:v>-2.482304367620912</c:v>
                      </c:pt>
                      <c:pt idx="14">
                        <c:v>-0.48651670849978951</c:v>
                      </c:pt>
                      <c:pt idx="15">
                        <c:v>-0.63531321486689962</c:v>
                      </c:pt>
                      <c:pt idx="16">
                        <c:v>-0.79153430151110604</c:v>
                      </c:pt>
                      <c:pt idx="17">
                        <c:v>-0.86832467627840237</c:v>
                      </c:pt>
                      <c:pt idx="18">
                        <c:v>-0.91336536165694471</c:v>
                      </c:pt>
                      <c:pt idx="19">
                        <c:v>-0.98036185960843336</c:v>
                      </c:pt>
                      <c:pt idx="20">
                        <c:v>-1.057247962763338</c:v>
                      </c:pt>
                      <c:pt idx="21">
                        <c:v>0.45397444940138448</c:v>
                      </c:pt>
                      <c:pt idx="22">
                        <c:v>0.26549725680421232</c:v>
                      </c:pt>
                      <c:pt idx="23">
                        <c:v>8.089157934803673E-2</c:v>
                      </c:pt>
                      <c:pt idx="24">
                        <c:v>0</c:v>
                      </c:pt>
                      <c:pt idx="25">
                        <c:v>-4.7461291817995119E-2</c:v>
                      </c:pt>
                      <c:pt idx="26">
                        <c:v>-0.11353753640494899</c:v>
                      </c:pt>
                      <c:pt idx="27">
                        <c:v>-0.19322580127679581</c:v>
                      </c:pt>
                      <c:pt idx="28">
                        <c:v>1.1865234012825314</c:v>
                      </c:pt>
                      <c:pt idx="29">
                        <c:v>0.9508289616387039</c:v>
                      </c:pt>
                      <c:pt idx="30">
                        <c:v>0.74099006370578646</c:v>
                      </c:pt>
                      <c:pt idx="31">
                        <c:v>0.65811762060208345</c:v>
                      </c:pt>
                      <c:pt idx="32">
                        <c:v>0.60242893571531564</c:v>
                      </c:pt>
                      <c:pt idx="33">
                        <c:v>0.53241732159802579</c:v>
                      </c:pt>
                      <c:pt idx="34">
                        <c:v>0.44647056040009298</c:v>
                      </c:pt>
                      <c:pt idx="35">
                        <c:v>1.8499761453974266</c:v>
                      </c:pt>
                      <c:pt idx="36">
                        <c:v>1.5595579081591266</c:v>
                      </c:pt>
                      <c:pt idx="37">
                        <c:v>1.3100142848651593</c:v>
                      </c:pt>
                      <c:pt idx="38">
                        <c:v>1.2059316327708218</c:v>
                      </c:pt>
                      <c:pt idx="39">
                        <c:v>1.1425293088136175</c:v>
                      </c:pt>
                      <c:pt idx="40">
                        <c:v>1.0632047318661229</c:v>
                      </c:pt>
                      <c:pt idx="41">
                        <c:v>0.96782968736155928</c:v>
                      </c:pt>
                      <c:pt idx="42">
                        <c:v>2.1858134641137195</c:v>
                      </c:pt>
                      <c:pt idx="43">
                        <c:v>1.8377728431909255</c:v>
                      </c:pt>
                      <c:pt idx="44">
                        <c:v>1.5483865817478664</c:v>
                      </c:pt>
                      <c:pt idx="45">
                        <c:v>1.4349951958018976</c:v>
                      </c:pt>
                      <c:pt idx="46">
                        <c:v>1.3658292315359377</c:v>
                      </c:pt>
                      <c:pt idx="47">
                        <c:v>1.2803593851116852</c:v>
                      </c:pt>
                      <c:pt idx="48">
                        <c:v>1.1756475895419694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3F-4D9F-9623-408C1F7C60B6}"/>
                  </c:ext>
                </c:extLst>
              </c15:ser>
            </c15:filteredLineSeries>
          </c:ext>
        </c:extLst>
      </c:lineChart>
      <c:catAx>
        <c:axId val="446082120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0808"/>
        <c:crosses val="autoZero"/>
        <c:auto val="1"/>
        <c:lblAlgn val="ctr"/>
        <c:lblOffset val="100"/>
        <c:noMultiLvlLbl val="0"/>
      </c:catAx>
      <c:valAx>
        <c:axId val="4460808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scalar!$AV$22</c:f>
              <c:strCache>
                <c:ptCount val="1"/>
                <c:pt idx="0">
                  <c:v>TT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scalar!$AV$23:$AV$71</c:f>
              <c:numCache>
                <c:formatCode>0.00E+00</c:formatCode>
                <c:ptCount val="49"/>
                <c:pt idx="0">
                  <c:v>3.71239943943307E-2</c:v>
                </c:pt>
                <c:pt idx="1">
                  <c:v>4.7593381695312797E-2</c:v>
                </c:pt>
                <c:pt idx="2">
                  <c:v>6.2101034579760302E-2</c:v>
                </c:pt>
                <c:pt idx="3">
                  <c:v>7.2269579597983705E-2</c:v>
                </c:pt>
                <c:pt idx="4">
                  <c:v>8.1026766464076694E-2</c:v>
                </c:pt>
                <c:pt idx="5">
                  <c:v>9.0173570352482399E-2</c:v>
                </c:pt>
                <c:pt idx="6">
                  <c:v>9.5495795085201604E-2</c:v>
                </c:pt>
                <c:pt idx="7">
                  <c:v>0.123154104409175</c:v>
                </c:pt>
                <c:pt idx="8">
                  <c:v>0.15366655029301801</c:v>
                </c:pt>
                <c:pt idx="9">
                  <c:v>0.19292973271122399</c:v>
                </c:pt>
                <c:pt idx="10">
                  <c:v>0.221074233283725</c:v>
                </c:pt>
                <c:pt idx="11">
                  <c:v>0.242996490540454</c:v>
                </c:pt>
                <c:pt idx="12">
                  <c:v>0.26405279042579699</c:v>
                </c:pt>
                <c:pt idx="13">
                  <c:v>0.27530983985577001</c:v>
                </c:pt>
                <c:pt idx="14">
                  <c:v>0.48822371108862</c:v>
                </c:pt>
                <c:pt idx="15">
                  <c:v>0.58999843214355696</c:v>
                </c:pt>
                <c:pt idx="16">
                  <c:v>0.70073882378421204</c:v>
                </c:pt>
                <c:pt idx="17">
                  <c:v>0.76868598082390405</c:v>
                </c:pt>
                <c:pt idx="18">
                  <c:v>0.82417397254328195</c:v>
                </c:pt>
                <c:pt idx="19">
                  <c:v>0.86834171143040195</c:v>
                </c:pt>
                <c:pt idx="20">
                  <c:v>0.89038384932051695</c:v>
                </c:pt>
                <c:pt idx="21">
                  <c:v>1.13305040909914</c:v>
                </c:pt>
                <c:pt idx="22">
                  <c:v>1.31794187223918</c:v>
                </c:pt>
                <c:pt idx="23">
                  <c:v>1.49404992323352</c:v>
                </c:pt>
                <c:pt idx="24">
                  <c:v>1.5963740324767699</c:v>
                </c:pt>
                <c:pt idx="25">
                  <c:v>1.6727575182902199</c:v>
                </c:pt>
                <c:pt idx="26">
                  <c:v>1.73171033517837</c:v>
                </c:pt>
                <c:pt idx="27">
                  <c:v>1.76112405864046</c:v>
                </c:pt>
                <c:pt idx="28">
                  <c:v>2.1320928360704001</c:v>
                </c:pt>
                <c:pt idx="29">
                  <c:v>2.3452414910353201</c:v>
                </c:pt>
                <c:pt idx="30">
                  <c:v>2.5947047346007399</c:v>
                </c:pt>
                <c:pt idx="31">
                  <c:v>2.7133501743601198</c:v>
                </c:pt>
                <c:pt idx="32">
                  <c:v>2.79212020260064</c:v>
                </c:pt>
                <c:pt idx="33">
                  <c:v>2.8545672552674599</c:v>
                </c:pt>
                <c:pt idx="34">
                  <c:v>2.88631354568109</c:v>
                </c:pt>
                <c:pt idx="35">
                  <c:v>3.5883186859413199</c:v>
                </c:pt>
                <c:pt idx="36">
                  <c:v>3.8394013756407901</c:v>
                </c:pt>
                <c:pt idx="37">
                  <c:v>4.0637993216174602</c:v>
                </c:pt>
                <c:pt idx="38">
                  <c:v>4.1663206037609903</c:v>
                </c:pt>
                <c:pt idx="39">
                  <c:v>4.2279191903980804</c:v>
                </c:pt>
                <c:pt idx="40">
                  <c:v>4.2756382918659499</c:v>
                </c:pt>
                <c:pt idx="41">
                  <c:v>4.3003043587287797</c:v>
                </c:pt>
                <c:pt idx="42">
                  <c:v>4.51611266345546</c:v>
                </c:pt>
                <c:pt idx="43">
                  <c:v>4.7271490439625703</c:v>
                </c:pt>
                <c:pt idx="44">
                  <c:v>4.8961392365181604</c:v>
                </c:pt>
                <c:pt idx="45">
                  <c:v>4.96616163066453</c:v>
                </c:pt>
                <c:pt idx="46">
                  <c:v>5.0073130672925004</c:v>
                </c:pt>
                <c:pt idx="47">
                  <c:v>5.0388168996215104</c:v>
                </c:pt>
                <c:pt idx="48">
                  <c:v>5.06672720564264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64-403F-81E6-3F49F11653B9}"/>
            </c:ext>
          </c:extLst>
        </c:ser>
        <c:ser>
          <c:idx val="6"/>
          <c:order val="1"/>
          <c:tx>
            <c:strRef>
              <c:f>scalar!$AX$22</c:f>
              <c:strCache>
                <c:ptCount val="1"/>
                <c:pt idx="0">
                  <c:v>TT~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scalar!$AX$23:$AX$71</c:f>
              <c:numCache>
                <c:formatCode>0.00E+00</c:formatCode>
                <c:ptCount val="49"/>
                <c:pt idx="0">
                  <c:v>0.1472838017109051</c:v>
                </c:pt>
                <c:pt idx="1">
                  <c:v>0.15810406543458611</c:v>
                </c:pt>
                <c:pt idx="2">
                  <c:v>0.17363714158140059</c:v>
                </c:pt>
                <c:pt idx="3">
                  <c:v>0.18639346401680784</c:v>
                </c:pt>
                <c:pt idx="4">
                  <c:v>0.2000869348099574</c:v>
                </c:pt>
                <c:pt idx="5">
                  <c:v>0.21974465572840943</c:v>
                </c:pt>
                <c:pt idx="6">
                  <c:v>0.23588828523301664</c:v>
                </c:pt>
                <c:pt idx="7">
                  <c:v>0.28114273105856497</c:v>
                </c:pt>
                <c:pt idx="8">
                  <c:v>0.30179699485887507</c:v>
                </c:pt>
                <c:pt idx="9">
                  <c:v>0.33144731213020562</c:v>
                </c:pt>
                <c:pt idx="10">
                  <c:v>0.35579722220920723</c:v>
                </c:pt>
                <c:pt idx="11">
                  <c:v>0.38193600822461271</c:v>
                </c:pt>
                <c:pt idx="12">
                  <c:v>0.41945965496105819</c:v>
                </c:pt>
                <c:pt idx="13">
                  <c:v>0.45027542720077518</c:v>
                </c:pt>
                <c:pt idx="14">
                  <c:v>0.66082594741983969</c:v>
                </c:pt>
                <c:pt idx="15">
                  <c:v>0.70937379140182055</c:v>
                </c:pt>
                <c:pt idx="16">
                  <c:v>0.77906685772564543</c:v>
                </c:pt>
                <c:pt idx="17">
                  <c:v>0.83630131773447358</c:v>
                </c:pt>
                <c:pt idx="18">
                  <c:v>0.89774053036500245</c:v>
                </c:pt>
                <c:pt idx="19">
                  <c:v>0.98593985642224835</c:v>
                </c:pt>
                <c:pt idx="20">
                  <c:v>1.0583723244754344</c:v>
                </c:pt>
                <c:pt idx="21">
                  <c:v>1.2614178168529817</c:v>
                </c:pt>
                <c:pt idx="22">
                  <c:v>1.3540883840541855</c:v>
                </c:pt>
                <c:pt idx="23">
                  <c:v>1.4871220155500997</c:v>
                </c:pt>
                <c:pt idx="24">
                  <c:v>1.5963740324767699</c:v>
                </c:pt>
                <c:pt idx="25">
                  <c:v>1.7136522927632563</c:v>
                </c:pt>
                <c:pt idx="26">
                  <c:v>1.8820116039516706</c:v>
                </c:pt>
                <c:pt idx="27">
                  <c:v>2.0202743432972778</c:v>
                </c:pt>
                <c:pt idx="28">
                  <c:v>2.4078577950620761</c:v>
                </c:pt>
                <c:pt idx="29">
                  <c:v>2.5847520363095415</c:v>
                </c:pt>
                <c:pt idx="30">
                  <c:v>2.8386933254868345</c:v>
                </c:pt>
                <c:pt idx="31">
                  <c:v>3.0472390722398286</c:v>
                </c:pt>
                <c:pt idx="32">
                  <c:v>3.2711057161458483</c:v>
                </c:pt>
                <c:pt idx="33">
                  <c:v>3.5924784400761882</c:v>
                </c:pt>
                <c:pt idx="34">
                  <c:v>3.8564013134113106</c:v>
                </c:pt>
                <c:pt idx="35">
                  <c:v>5.6596693881538904</c:v>
                </c:pt>
                <c:pt idx="36">
                  <c:v>6.0754592758217294</c:v>
                </c:pt>
                <c:pt idx="37">
                  <c:v>6.6723482381568191</c:v>
                </c:pt>
                <c:pt idx="38">
                  <c:v>7.1625349847944815</c:v>
                </c:pt>
                <c:pt idx="39">
                  <c:v>7.6887334979051714</c:v>
                </c:pt>
                <c:pt idx="40">
                  <c:v>8.4441200375696877</c:v>
                </c:pt>
                <c:pt idx="41">
                  <c:v>9.0644707119789718</c:v>
                </c:pt>
                <c:pt idx="42">
                  <c:v>10.803461685470124</c:v>
                </c:pt>
                <c:pt idx="43">
                  <c:v>11.597142342864609</c:v>
                </c:pt>
                <c:pt idx="44">
                  <c:v>12.736514025698996</c:v>
                </c:pt>
                <c:pt idx="45">
                  <c:v>13.672207150656005</c:v>
                </c:pt>
                <c:pt idx="46">
                  <c:v>14.676641347332108</c:v>
                </c:pt>
                <c:pt idx="47">
                  <c:v>16.118561180329174</c:v>
                </c:pt>
                <c:pt idx="48">
                  <c:v>17.302717759609919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64-403F-81E6-3F49F1165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64000"/>
        <c:axId val="466996824"/>
      </c:lineChart>
      <c:catAx>
        <c:axId val="495764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96824"/>
        <c:crosses val="autoZero"/>
        <c:auto val="1"/>
        <c:lblAlgn val="ctr"/>
        <c:lblOffset val="100"/>
        <c:noMultiLvlLbl val="0"/>
      </c:catAx>
      <c:valAx>
        <c:axId val="4669968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scalar!$AR$22</c:f>
              <c:strCache>
                <c:ptCount val="1"/>
                <c:pt idx="0">
                  <c:v>epss/epsf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scalar!$AR$23:$AR$71</c:f>
              <c:numCache>
                <c:formatCode>0.00E+00</c:formatCode>
                <c:ptCount val="49"/>
                <c:pt idx="0">
                  <c:v>1.3720771489150402E-2</c:v>
                </c:pt>
                <c:pt idx="1">
                  <c:v>1.2751732136632856E-2</c:v>
                </c:pt>
                <c:pt idx="2">
                  <c:v>1.1606144913616487E-2</c:v>
                </c:pt>
                <c:pt idx="3">
                  <c:v>1.1003497897257545E-2</c:v>
                </c:pt>
                <c:pt idx="4">
                  <c:v>1.0597577762133579E-2</c:v>
                </c:pt>
                <c:pt idx="5">
                  <c:v>1.0287634873819448E-2</c:v>
                </c:pt>
                <c:pt idx="6">
                  <c:v>1.0161783868344692E-2</c:v>
                </c:pt>
                <c:pt idx="7">
                  <c:v>5.5350301828352655E-2</c:v>
                </c:pt>
                <c:pt idx="8">
                  <c:v>5.0898503940680039E-2</c:v>
                </c:pt>
                <c:pt idx="9">
                  <c:v>4.6115830366746491E-2</c:v>
                </c:pt>
                <c:pt idx="10">
                  <c:v>4.3643052395048114E-2</c:v>
                </c:pt>
                <c:pt idx="11">
                  <c:v>4.204229840684922E-2</c:v>
                </c:pt>
                <c:pt idx="12">
                  <c:v>4.0846170285335041E-2</c:v>
                </c:pt>
                <c:pt idx="13">
                  <c:v>4.036510148328367E-2</c:v>
                </c:pt>
                <c:pt idx="14">
                  <c:v>0.34302319069567333</c:v>
                </c:pt>
                <c:pt idx="15">
                  <c:v>0.31390406165586471</c:v>
                </c:pt>
                <c:pt idx="16">
                  <c:v>0.28178163725726441</c:v>
                </c:pt>
                <c:pt idx="17">
                  <c:v>0.26592680607806113</c:v>
                </c:pt>
                <c:pt idx="18">
                  <c:v>0.25592710504319965</c:v>
                </c:pt>
                <c:pt idx="19">
                  <c:v>0.24866121116647397</c:v>
                </c:pt>
                <c:pt idx="20">
                  <c:v>0.24552899208069162</c:v>
                </c:pt>
                <c:pt idx="21">
                  <c:v>1.3361513850361182</c:v>
                </c:pt>
                <c:pt idx="22">
                  <c:v>1.2044483083584816</c:v>
                </c:pt>
                <c:pt idx="23">
                  <c:v>1.0657479653395421</c:v>
                </c:pt>
                <c:pt idx="24">
                  <c:v>1</c:v>
                </c:pt>
                <c:pt idx="25">
                  <c:v>0.96002367994679993</c:v>
                </c:pt>
                <c:pt idx="26">
                  <c:v>0.93007296959676289</c:v>
                </c:pt>
                <c:pt idx="27">
                  <c:v>0.91395436190318113</c:v>
                </c:pt>
                <c:pt idx="28">
                  <c:v>4.8039789303671814</c:v>
                </c:pt>
                <c:pt idx="29">
                  <c:v>4.1707782720208417</c:v>
                </c:pt>
                <c:pt idx="30">
                  <c:v>3.5787068931484418</c:v>
                </c:pt>
                <c:pt idx="31">
                  <c:v>3.3181557806290294</c:v>
                </c:pt>
                <c:pt idx="32">
                  <c:v>3.1624626754153646</c:v>
                </c:pt>
                <c:pt idx="33">
                  <c:v>3.0323965526449239</c:v>
                </c:pt>
                <c:pt idx="34">
                  <c:v>2.9347086930501267</c:v>
                </c:pt>
                <c:pt idx="35">
                  <c:v>17.870375162593657</c:v>
                </c:pt>
                <c:pt idx="36">
                  <c:v>13.980470664111918</c:v>
                </c:pt>
                <c:pt idx="37">
                  <c:v>11.026507916873632</c:v>
                </c:pt>
                <c:pt idx="38">
                  <c:v>9.9075652074206886</c:v>
                </c:pt>
                <c:pt idx="39">
                  <c:v>9.2803859318490627</c:v>
                </c:pt>
                <c:pt idx="40">
                  <c:v>8.6582823671948788</c:v>
                </c:pt>
                <c:pt idx="41">
                  <c:v>8.0589517013412504</c:v>
                </c:pt>
                <c:pt idx="42">
                  <c:v>30.649425692694155</c:v>
                </c:pt>
                <c:pt idx="43">
                  <c:v>21.666336724069332</c:v>
                </c:pt>
                <c:pt idx="44">
                  <c:v>16.010279340494311</c:v>
                </c:pt>
                <c:pt idx="45">
                  <c:v>14.159704883126164</c:v>
                </c:pt>
                <c:pt idx="46">
                  <c:v>13.141247353219303</c:v>
                </c:pt>
                <c:pt idx="47">
                  <c:v>12.066481497298218</c:v>
                </c:pt>
                <c:pt idx="48">
                  <c:v>10.868921917845753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5-4688-A061-C4A71AFA2DA1}"/>
            </c:ext>
          </c:extLst>
        </c:ser>
        <c:ser>
          <c:idx val="1"/>
          <c:order val="1"/>
          <c:tx>
            <c:strRef>
              <c:f>scalar!$AT$22</c:f>
              <c:strCache>
                <c:ptCount val="1"/>
                <c:pt idx="0">
                  <c:v>(epss/epsf)~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scalar!$AT$23:$AT$71</c:f>
              <c:numCache>
                <c:formatCode>0.00E+00</c:formatCode>
                <c:ptCount val="49"/>
                <c:pt idx="0">
                  <c:v>3.0271032026848367E-2</c:v>
                </c:pt>
                <c:pt idx="1">
                  <c:v>2.8073703939245763E-2</c:v>
                </c:pt>
                <c:pt idx="2">
                  <c:v>2.5411850873479181E-2</c:v>
                </c:pt>
                <c:pt idx="3">
                  <c:v>2.3567243341342848E-2</c:v>
                </c:pt>
                <c:pt idx="4">
                  <c:v>2.1856533059137456E-2</c:v>
                </c:pt>
                <c:pt idx="5">
                  <c:v>1.9784170977653715E-2</c:v>
                </c:pt>
                <c:pt idx="6">
                  <c:v>1.8348068153654393E-2</c:v>
                </c:pt>
                <c:pt idx="7">
                  <c:v>9.3542959646654586E-2</c:v>
                </c:pt>
                <c:pt idx="8">
                  <c:v>8.6752818747369509E-2</c:v>
                </c:pt>
                <c:pt idx="9">
                  <c:v>7.8527211715026413E-2</c:v>
                </c:pt>
                <c:pt idx="10">
                  <c:v>7.2827041076988577E-2</c:v>
                </c:pt>
                <c:pt idx="11">
                  <c:v>6.754063713960301E-2</c:v>
                </c:pt>
                <c:pt idx="12">
                  <c:v>6.1136663783506177E-2</c:v>
                </c:pt>
                <c:pt idx="13">
                  <c:v>5.6698846519969641E-2</c:v>
                </c:pt>
                <c:pt idx="14">
                  <c:v>0.41565648664549704</c:v>
                </c:pt>
                <c:pt idx="15">
                  <c:v>0.38548461566038156</c:v>
                </c:pt>
                <c:pt idx="16">
                  <c:v>0.34893427630288082</c:v>
                </c:pt>
                <c:pt idx="17">
                  <c:v>0.32360566889472975</c:v>
                </c:pt>
                <c:pt idx="18">
                  <c:v>0.30011562650241391</c:v>
                </c:pt>
                <c:pt idx="19">
                  <c:v>0.27165968416510322</c:v>
                </c:pt>
                <c:pt idx="20">
                  <c:v>0.25194032164862867</c:v>
                </c:pt>
                <c:pt idx="21">
                  <c:v>1.2844536625862133</c:v>
                </c:pt>
                <c:pt idx="22">
                  <c:v>1.1912171284792334</c:v>
                </c:pt>
                <c:pt idx="23">
                  <c:v>1.0782699743631208</c:v>
                </c:pt>
                <c:pt idx="24">
                  <c:v>1</c:v>
                </c:pt>
                <c:pt idx="25">
                  <c:v>0.92741152380752245</c:v>
                </c:pt>
                <c:pt idx="26">
                  <c:v>0.83947751933071124</c:v>
                </c:pt>
                <c:pt idx="27">
                  <c:v>0.77854112540465381</c:v>
                </c:pt>
                <c:pt idx="28">
                  <c:v>3.969193948218662</c:v>
                </c:pt>
                <c:pt idx="29">
                  <c:v>3.6810762078050661</c:v>
                </c:pt>
                <c:pt idx="30">
                  <c:v>3.3320490893930739</c:v>
                </c:pt>
                <c:pt idx="31">
                  <c:v>3.0901807233954983</c:v>
                </c:pt>
                <c:pt idx="32">
                  <c:v>2.8658692135248511</c:v>
                </c:pt>
                <c:pt idx="33">
                  <c:v>2.5941372479596359</c:v>
                </c:pt>
                <c:pt idx="34">
                  <c:v>2.4058327780960984</c:v>
                </c:pt>
                <c:pt idx="35">
                  <c:v>17.637043103651052</c:v>
                </c:pt>
                <c:pt idx="36">
                  <c:v>16.356797020215978</c:v>
                </c:pt>
                <c:pt idx="37">
                  <c:v>14.805901192981814</c:v>
                </c:pt>
                <c:pt idx="38">
                  <c:v>13.731163386726879</c:v>
                </c:pt>
                <c:pt idx="39">
                  <c:v>12.734439160134436</c:v>
                </c:pt>
                <c:pt idx="40">
                  <c:v>11.527002977414167</c:v>
                </c:pt>
                <c:pt idx="41">
                  <c:v>10.690275396217523</c:v>
                </c:pt>
                <c:pt idx="42">
                  <c:v>54.501650616598013</c:v>
                </c:pt>
                <c:pt idx="43">
                  <c:v>50.545458848364362</c:v>
                </c:pt>
                <c:pt idx="44">
                  <c:v>45.752910459050831</c:v>
                </c:pt>
                <c:pt idx="45">
                  <c:v>42.431776407457463</c:v>
                </c:pt>
                <c:pt idx="46">
                  <c:v>39.351718415900208</c:v>
                </c:pt>
                <c:pt idx="47">
                  <c:v>35.62052239932779</c:v>
                </c:pt>
                <c:pt idx="48">
                  <c:v>33.034882957180571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5-4688-A061-C4A71AFA2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65624"/>
        <c:axId val="535864312"/>
      </c:lineChart>
      <c:catAx>
        <c:axId val="535865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64312"/>
        <c:crosses val="autoZero"/>
        <c:auto val="1"/>
        <c:lblAlgn val="ctr"/>
        <c:lblOffset val="100"/>
        <c:noMultiLvlLbl val="0"/>
      </c:catAx>
      <c:valAx>
        <c:axId val="5358643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65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scalar!$AY$22</c:f>
              <c:strCache>
                <c:ptCount val="1"/>
                <c:pt idx="0">
                  <c:v>ydiss_flu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scalar!$AY$23:$AY$71</c:f>
              <c:numCache>
                <c:formatCode>0.00E+00</c:formatCode>
                <c:ptCount val="49"/>
                <c:pt idx="0">
                  <c:v>0.99962755040148643</c:v>
                </c:pt>
                <c:pt idx="1">
                  <c:v>0.9994485506740215</c:v>
                </c:pt>
                <c:pt idx="2">
                  <c:v>0.99919289200320782</c:v>
                </c:pt>
                <c:pt idx="3">
                  <c:v>0.99898636576034594</c:v>
                </c:pt>
                <c:pt idx="4">
                  <c:v>0.99878045354666622</c:v>
                </c:pt>
                <c:pt idx="5">
                  <c:v>0.99848613224305538</c:v>
                </c:pt>
                <c:pt idx="6">
                  <c:v>0.99820240146283679</c:v>
                </c:pt>
                <c:pt idx="7">
                  <c:v>0.99845880503731399</c:v>
                </c:pt>
                <c:pt idx="8">
                  <c:v>0.99780272097970157</c:v>
                </c:pt>
                <c:pt idx="9">
                  <c:v>0.99687967838431313</c:v>
                </c:pt>
                <c:pt idx="10">
                  <c:v>0.99620515375515817</c:v>
                </c:pt>
                <c:pt idx="11">
                  <c:v>0.99556022085467566</c:v>
                </c:pt>
                <c:pt idx="12">
                  <c:v>0.99471143571665555</c:v>
                </c:pt>
                <c:pt idx="13">
                  <c:v>0.99391497527860662</c:v>
                </c:pt>
                <c:pt idx="14">
                  <c:v>0.99045915992864875</c:v>
                </c:pt>
                <c:pt idx="15">
                  <c:v>0.9865465133356075</c:v>
                </c:pt>
                <c:pt idx="16">
                  <c:v>0.98183906442442004</c:v>
                </c:pt>
                <c:pt idx="17">
                  <c:v>0.97876425856258342</c:v>
                </c:pt>
                <c:pt idx="18">
                  <c:v>0.97629157982719628</c:v>
                </c:pt>
                <c:pt idx="19">
                  <c:v>0.97322422332947867</c:v>
                </c:pt>
                <c:pt idx="20">
                  <c:v>0.97019328053794063</c:v>
                </c:pt>
                <c:pt idx="21">
                  <c:v>0.96264984610709803</c:v>
                </c:pt>
                <c:pt idx="22">
                  <c:v>0.94888792291037993</c:v>
                </c:pt>
                <c:pt idx="23">
                  <c:v>0.93425203466045781</c:v>
                </c:pt>
                <c:pt idx="24">
                  <c:v>0.92601014510733537</c:v>
                </c:pt>
                <c:pt idx="25">
                  <c:v>0.92004735989359998</c:v>
                </c:pt>
                <c:pt idx="26">
                  <c:v>0.91259121199595861</c:v>
                </c:pt>
                <c:pt idx="27">
                  <c:v>0.90439373544797896</c:v>
                </c:pt>
                <c:pt idx="28">
                  <c:v>0.86600351160547084</c:v>
                </c:pt>
                <c:pt idx="29">
                  <c:v>0.82922172797917071</c:v>
                </c:pt>
                <c:pt idx="30">
                  <c:v>0.7893534465742208</c:v>
                </c:pt>
                <c:pt idx="31">
                  <c:v>0.77271859354300765</c:v>
                </c:pt>
                <c:pt idx="32">
                  <c:v>0.76070362154724425</c:v>
                </c:pt>
                <c:pt idx="33">
                  <c:v>0.74536751385392719</c:v>
                </c:pt>
                <c:pt idx="34">
                  <c:v>0.72684838283336417</c:v>
                </c:pt>
                <c:pt idx="35">
                  <c:v>0.52469167750624568</c:v>
                </c:pt>
                <c:pt idx="36">
                  <c:v>0.44902353320559729</c:v>
                </c:pt>
                <c:pt idx="37">
                  <c:v>0.39245686595102697</c:v>
                </c:pt>
                <c:pt idx="38">
                  <c:v>0.37114855030919508</c:v>
                </c:pt>
                <c:pt idx="39">
                  <c:v>0.35838309925914658</c:v>
                </c:pt>
                <c:pt idx="40">
                  <c:v>0.34105977287076189</c:v>
                </c:pt>
                <c:pt idx="41">
                  <c:v>0.31963661451169606</c:v>
                </c:pt>
                <c:pt idx="42">
                  <c:v>0.22943806325215729</c:v>
                </c:pt>
                <c:pt idx="43">
                  <c:v>0.17543512341125544</c:v>
                </c:pt>
                <c:pt idx="44">
                  <c:v>0.14296203408667635</c:v>
                </c:pt>
                <c:pt idx="45">
                  <c:v>0.13292631195076932</c:v>
                </c:pt>
                <c:pt idx="46">
                  <c:v>0.12704771209265567</c:v>
                </c:pt>
                <c:pt idx="47">
                  <c:v>0.11890262021340886</c:v>
                </c:pt>
                <c:pt idx="48">
                  <c:v>0.10779701619465204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8-4E32-8B49-DB058FC0DC2C}"/>
            </c:ext>
          </c:extLst>
        </c:ser>
        <c:ser>
          <c:idx val="1"/>
          <c:order val="1"/>
          <c:tx>
            <c:strRef>
              <c:f>scalar!$BA$22</c:f>
              <c:strCache>
                <c:ptCount val="1"/>
                <c:pt idx="0">
                  <c:v>(ydiss_flu)~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scalar!$BA$23:$BA$71</c:f>
              <c:numCache>
                <c:formatCode>0.00E+00</c:formatCode>
                <c:ptCount val="49"/>
                <c:pt idx="0">
                  <c:v>0.99940379917525413</c:v>
                </c:pt>
                <c:pt idx="1">
                  <c:v>0.9993030482766373</c:v>
                </c:pt>
                <c:pt idx="2">
                  <c:v>0.99914329510293654</c:v>
                </c:pt>
                <c:pt idx="3">
                  <c:v>0.99899856620402061</c:v>
                </c:pt>
                <c:pt idx="4">
                  <c:v>0.99882941592775143</c:v>
                </c:pt>
                <c:pt idx="5">
                  <c:v>0.99856125448011412</c:v>
                </c:pt>
                <c:pt idx="6">
                  <c:v>0.99831836305243049</c:v>
                </c:pt>
                <c:pt idx="7">
                  <c:v>0.99777621408877248</c:v>
                </c:pt>
                <c:pt idx="8">
                  <c:v>0.99740113575626854</c:v>
                </c:pt>
                <c:pt idx="9">
                  <c:v>0.99680682496387063</c:v>
                </c:pt>
                <c:pt idx="10">
                  <c:v>0.99626885451197156</c:v>
                </c:pt>
                <c:pt idx="11">
                  <c:v>0.99564064581382428</c:v>
                </c:pt>
                <c:pt idx="12">
                  <c:v>0.99464590560050969</c:v>
                </c:pt>
                <c:pt idx="13">
                  <c:v>0.99374615813807965</c:v>
                </c:pt>
                <c:pt idx="14">
                  <c:v>0.98743247426815539</c:v>
                </c:pt>
                <c:pt idx="15">
                  <c:v>0.98533838915099692</c:v>
                </c:pt>
                <c:pt idx="16">
                  <c:v>0.98203524305845524</c:v>
                </c:pt>
                <c:pt idx="17">
                  <c:v>0.97906090588580352</c:v>
                </c:pt>
                <c:pt idx="18">
                  <c:v>0.97560635453246436</c:v>
                </c:pt>
                <c:pt idx="19">
                  <c:v>0.97017701864056394</c:v>
                </c:pt>
                <c:pt idx="20">
                  <c:v>0.96530872871700302</c:v>
                </c:pt>
                <c:pt idx="21">
                  <c:v>0.95460836121668069</c:v>
                </c:pt>
                <c:pt idx="22">
                  <c:v>0.94733660476686465</c:v>
                </c:pt>
                <c:pt idx="23">
                  <c:v>0.93602780216539672</c:v>
                </c:pt>
                <c:pt idx="24">
                  <c:v>0.92601014510733537</c:v>
                </c:pt>
                <c:pt idx="25">
                  <c:v>0.91456696250015224</c:v>
                </c:pt>
                <c:pt idx="26">
                  <c:v>0.89698648100832679</c:v>
                </c:pt>
                <c:pt idx="27">
                  <c:v>0.88162833102050986</c:v>
                </c:pt>
                <c:pt idx="28">
                  <c:v>0.84915059598943887</c:v>
                </c:pt>
                <c:pt idx="29">
                  <c:v>0.82802797757551205</c:v>
                </c:pt>
                <c:pt idx="30">
                  <c:v>0.79659995222398339</c:v>
                </c:pt>
                <c:pt idx="31">
                  <c:v>0.7701110742339754</c:v>
                </c:pt>
                <c:pt idx="32">
                  <c:v>0.74129286343973644</c:v>
                </c:pt>
                <c:pt idx="33">
                  <c:v>0.69976138401920351</c:v>
                </c:pt>
                <c:pt idx="34">
                  <c:v>0.66594967635954117</c:v>
                </c:pt>
                <c:pt idx="35">
                  <c:v>0.49640720638702746</c:v>
                </c:pt>
                <c:pt idx="36">
                  <c:v>0.45745045660501749</c:v>
                </c:pt>
                <c:pt idx="37">
                  <c:v>0.40681493264590002</c:v>
                </c:pt>
                <c:pt idx="38">
                  <c:v>0.36972716339363904</c:v>
                </c:pt>
                <c:pt idx="39">
                  <c:v>0.33411608554669725</c:v>
                </c:pt>
                <c:pt idx="40">
                  <c:v>0.28983941212768322</c:v>
                </c:pt>
                <c:pt idx="41">
                  <c:v>0.25876382950108018</c:v>
                </c:pt>
                <c:pt idx="42">
                  <c:v>0.20876428474634545</c:v>
                </c:pt>
                <c:pt idx="43">
                  <c:v>0.18412751732756727</c:v>
                </c:pt>
                <c:pt idx="44">
                  <c:v>0.15509756710036704</c:v>
                </c:pt>
                <c:pt idx="45">
                  <c:v>0.13570788118184748</c:v>
                </c:pt>
                <c:pt idx="46">
                  <c:v>0.118402520891458</c:v>
                </c:pt>
                <c:pt idx="47">
                  <c:v>9.8484078060979696E-2</c:v>
                </c:pt>
                <c:pt idx="48">
                  <c:v>8.5456136562692922E-2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8-4E32-8B49-DB058FC0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89184"/>
        <c:axId val="319190496"/>
      </c:scatterChart>
      <c:valAx>
        <c:axId val="31918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90496"/>
        <c:crosses val="autoZero"/>
        <c:crossBetween val="midCat"/>
      </c:valAx>
      <c:valAx>
        <c:axId val="31919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8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104775</xdr:colOff>
      <xdr:row>21</xdr:row>
      <xdr:rowOff>123825</xdr:rowOff>
    </xdr:from>
    <xdr:to>
      <xdr:col>32</xdr:col>
      <xdr:colOff>476250</xdr:colOff>
      <xdr:row>62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542926</xdr:colOff>
      <xdr:row>73</xdr:row>
      <xdr:rowOff>85725</xdr:rowOff>
    </xdr:from>
    <xdr:to>
      <xdr:col>51</xdr:col>
      <xdr:colOff>0</xdr:colOff>
      <xdr:row>106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504824</xdr:colOff>
      <xdr:row>107</xdr:row>
      <xdr:rowOff>114299</xdr:rowOff>
    </xdr:from>
    <xdr:to>
      <xdr:col>51</xdr:col>
      <xdr:colOff>0</xdr:colOff>
      <xdr:row>137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447675</xdr:colOff>
      <xdr:row>138</xdr:row>
      <xdr:rowOff>123824</xdr:rowOff>
    </xdr:from>
    <xdr:to>
      <xdr:col>51</xdr:col>
      <xdr:colOff>0</xdr:colOff>
      <xdr:row>174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" refreshOnLoad="1" growShrinkType="overwriteClear" connectionId="5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" refreshOnLoad="1" growShrinkType="overwriteClear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" refreshOnLoad="1" growShrinkType="overwriteClear" connectionId="5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connectionId="2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73m" refreshOnLoad="1" growShrinkType="overwriteClear" connectionId="4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7m" refreshOnLoad="1" growShrinkType="overwriteClear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6m" refreshOnLoad="1" growShrinkType="overwriteClear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62m" refreshOnLoad="1" growShrinkType="overwriteClear" connectionId="3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5m" refreshOnLoad="1" growShrinkType="overwriteClear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37m" refreshOnLoad="1" growShrinkType="overwriteClear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44m" refreshOnLoad="1" growShrinkType="overwriteClear" connectionId="2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42m" refreshOnLoad="1" growShrinkType="overwriteClear" connectionId="2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61m" refreshOnLoad="1" growShrinkType="overwriteClear" connectionId="3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21m" refreshOnLoad="1" growShrinkType="overwriteClear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77m" refreshOnLoad="1" growShrinkType="overwriteClear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15m" refreshOnLoad="1" growShrinkType="overwriteClear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46m" refreshOnLoad="1" growShrinkType="overwriteClear" connectionId="2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17m" refreshOnLoad="1" growShrinkType="overwriteClear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24m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43m" refreshOnLoad="1" growShrinkType="overwriteClear" connectionId="2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51m" refreshOnLoad="1" growShrinkType="overwriteClear" connectionId="3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52m" refreshOnLoad="1" growShrinkType="overwriteClear" connectionId="3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56m" refreshOnLoad="1" growShrinkType="overwriteClear" connectionId="3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11m" refreshOnLoad="1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45m" refreshOnLoad="1" growShrinkType="overwriteClear" connectionId="2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57m" refreshOnLoad="1" growShrinkType="overwriteClear" connectionId="3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35m" refreshOnLoad="1" growShrinkType="overwriteClear" connectionId="1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66m" refreshOnLoad="1" growShrinkType="overwriteClear" connectionId="4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31m" refreshOnLoad="1" growShrinkType="overwriteClear" connectionId="1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67m" refreshOnLoad="1" growShrinkType="overwriteClear" connectionId="4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71m" refreshOnLoad="1" growShrinkType="overwriteClear" connectionId="4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23m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54m" refreshOnLoad="1" growShrinkType="overwriteClear" connectionId="3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55m" refreshOnLoad="1" growShrinkType="overwriteClear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63m" refreshOnLoad="1" growShrinkType="overwriteClear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22m" refreshOnLoad="1" growShrinkType="overwriteClear" connectionId="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53m" refreshOnLoad="1" growShrinkType="overwriteClear" connectionId="3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65m" refreshOnLoad="1" growShrinkType="overwriteClear" connectionId="4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74m" refreshOnLoad="1" growShrinkType="overwriteClear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36m" refreshOnLoad="1" growShrinkType="overwriteClear" connectionId="2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75m" refreshOnLoad="1" growShrinkType="overwriteClear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26m" refreshOnLoad="1" growShrinkType="overwriteClear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76m" refreshOnLoad="1" growShrinkType="overwriteClear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14m" refreshOnLoad="1" growShrinkType="overwriteClear" connectionId="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64m" refreshOnLoad="1" growShrinkType="overwriteClear" connectionId="4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interfacem" refreshOnLoad="1" growShrinkType="overwriteClear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13m" refreshOnLoad="1" growShrinkType="overwriteClear" connectionId="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47m" refreshOnLoad="1" growShrinkType="overwriteClear" connectionId="3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32m" refreshOnLoad="1" growShrinkType="overwriteClear" connectionId="1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41m" refreshOnLoad="1" growShrinkType="overwriteClear" connectionId="2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34m" refreshOnLoad="1" growShrinkType="overwriteClear" connectionId="1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12m" refreshOnLoad="1" growShrinkType="overwriteClear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iricm" refreshOnLoad="1" growShrinkType="overwriteClear" connectionId="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neumam" refreshOnLoad="1" growShrinkType="overwriteClear" connectionId="5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33m" refreshOnLoad="1" growShrinkType="overwriteClear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72m" refreshOnLoad="1" growShrinkType="overwriteClear" connectionId="4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395_diric" connectionId="2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.xml"/><Relationship Id="rId18" Type="http://schemas.openxmlformats.org/officeDocument/2006/relationships/queryTable" Target="../queryTables/queryTable20.xml"/><Relationship Id="rId26" Type="http://schemas.openxmlformats.org/officeDocument/2006/relationships/queryTable" Target="../queryTables/queryTable28.xml"/><Relationship Id="rId39" Type="http://schemas.openxmlformats.org/officeDocument/2006/relationships/queryTable" Target="../queryTables/queryTable41.xml"/><Relationship Id="rId3" Type="http://schemas.openxmlformats.org/officeDocument/2006/relationships/queryTable" Target="../queryTables/queryTable5.xml"/><Relationship Id="rId21" Type="http://schemas.openxmlformats.org/officeDocument/2006/relationships/queryTable" Target="../queryTables/queryTable23.xml"/><Relationship Id="rId34" Type="http://schemas.openxmlformats.org/officeDocument/2006/relationships/queryTable" Target="../queryTables/queryTable36.xml"/><Relationship Id="rId42" Type="http://schemas.openxmlformats.org/officeDocument/2006/relationships/queryTable" Target="../queryTables/queryTable44.xml"/><Relationship Id="rId47" Type="http://schemas.openxmlformats.org/officeDocument/2006/relationships/queryTable" Target="../queryTables/queryTable49.xml"/><Relationship Id="rId50" Type="http://schemas.openxmlformats.org/officeDocument/2006/relationships/queryTable" Target="../queryTables/queryTable52.xml"/><Relationship Id="rId7" Type="http://schemas.openxmlformats.org/officeDocument/2006/relationships/queryTable" Target="../queryTables/queryTable9.xml"/><Relationship Id="rId12" Type="http://schemas.openxmlformats.org/officeDocument/2006/relationships/queryTable" Target="../queryTables/queryTable14.xml"/><Relationship Id="rId17" Type="http://schemas.openxmlformats.org/officeDocument/2006/relationships/queryTable" Target="../queryTables/queryTable19.xml"/><Relationship Id="rId25" Type="http://schemas.openxmlformats.org/officeDocument/2006/relationships/queryTable" Target="../queryTables/queryTable27.xml"/><Relationship Id="rId33" Type="http://schemas.openxmlformats.org/officeDocument/2006/relationships/queryTable" Target="../queryTables/queryTable35.xml"/><Relationship Id="rId38" Type="http://schemas.openxmlformats.org/officeDocument/2006/relationships/queryTable" Target="../queryTables/queryTable40.xml"/><Relationship Id="rId46" Type="http://schemas.openxmlformats.org/officeDocument/2006/relationships/queryTable" Target="../queryTables/queryTable48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18.xml"/><Relationship Id="rId20" Type="http://schemas.openxmlformats.org/officeDocument/2006/relationships/queryTable" Target="../queryTables/queryTable22.xml"/><Relationship Id="rId29" Type="http://schemas.openxmlformats.org/officeDocument/2006/relationships/queryTable" Target="../queryTables/queryTable31.xml"/><Relationship Id="rId41" Type="http://schemas.openxmlformats.org/officeDocument/2006/relationships/queryTable" Target="../queryTables/queryTable43.xml"/><Relationship Id="rId54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8.xml"/><Relationship Id="rId11" Type="http://schemas.openxmlformats.org/officeDocument/2006/relationships/queryTable" Target="../queryTables/queryTable13.xml"/><Relationship Id="rId24" Type="http://schemas.openxmlformats.org/officeDocument/2006/relationships/queryTable" Target="../queryTables/queryTable26.xml"/><Relationship Id="rId32" Type="http://schemas.openxmlformats.org/officeDocument/2006/relationships/queryTable" Target="../queryTables/queryTable34.xml"/><Relationship Id="rId37" Type="http://schemas.openxmlformats.org/officeDocument/2006/relationships/queryTable" Target="../queryTables/queryTable39.xml"/><Relationship Id="rId40" Type="http://schemas.openxmlformats.org/officeDocument/2006/relationships/queryTable" Target="../queryTables/queryTable42.xml"/><Relationship Id="rId45" Type="http://schemas.openxmlformats.org/officeDocument/2006/relationships/queryTable" Target="../queryTables/queryTable47.xml"/><Relationship Id="rId53" Type="http://schemas.openxmlformats.org/officeDocument/2006/relationships/queryTable" Target="../queryTables/queryTable55.xml"/><Relationship Id="rId5" Type="http://schemas.openxmlformats.org/officeDocument/2006/relationships/queryTable" Target="../queryTables/queryTable7.xml"/><Relationship Id="rId15" Type="http://schemas.openxmlformats.org/officeDocument/2006/relationships/queryTable" Target="../queryTables/queryTable17.xml"/><Relationship Id="rId23" Type="http://schemas.openxmlformats.org/officeDocument/2006/relationships/queryTable" Target="../queryTables/queryTable25.xml"/><Relationship Id="rId28" Type="http://schemas.openxmlformats.org/officeDocument/2006/relationships/queryTable" Target="../queryTables/queryTable30.xml"/><Relationship Id="rId36" Type="http://schemas.openxmlformats.org/officeDocument/2006/relationships/queryTable" Target="../queryTables/queryTable38.xml"/><Relationship Id="rId49" Type="http://schemas.openxmlformats.org/officeDocument/2006/relationships/queryTable" Target="../queryTables/queryTable51.xml"/><Relationship Id="rId10" Type="http://schemas.openxmlformats.org/officeDocument/2006/relationships/queryTable" Target="../queryTables/queryTable12.xml"/><Relationship Id="rId19" Type="http://schemas.openxmlformats.org/officeDocument/2006/relationships/queryTable" Target="../queryTables/queryTable21.xml"/><Relationship Id="rId31" Type="http://schemas.openxmlformats.org/officeDocument/2006/relationships/queryTable" Target="../queryTables/queryTable33.xml"/><Relationship Id="rId44" Type="http://schemas.openxmlformats.org/officeDocument/2006/relationships/queryTable" Target="../queryTables/queryTable46.xml"/><Relationship Id="rId52" Type="http://schemas.openxmlformats.org/officeDocument/2006/relationships/queryTable" Target="../queryTables/queryTable54.xml"/><Relationship Id="rId4" Type="http://schemas.openxmlformats.org/officeDocument/2006/relationships/queryTable" Target="../queryTables/queryTable6.xml"/><Relationship Id="rId9" Type="http://schemas.openxmlformats.org/officeDocument/2006/relationships/queryTable" Target="../queryTables/queryTable11.xml"/><Relationship Id="rId14" Type="http://schemas.openxmlformats.org/officeDocument/2006/relationships/queryTable" Target="../queryTables/queryTable16.xml"/><Relationship Id="rId22" Type="http://schemas.openxmlformats.org/officeDocument/2006/relationships/queryTable" Target="../queryTables/queryTable24.xml"/><Relationship Id="rId27" Type="http://schemas.openxmlformats.org/officeDocument/2006/relationships/queryTable" Target="../queryTables/queryTable29.xml"/><Relationship Id="rId30" Type="http://schemas.openxmlformats.org/officeDocument/2006/relationships/queryTable" Target="../queryTables/queryTable32.xml"/><Relationship Id="rId35" Type="http://schemas.openxmlformats.org/officeDocument/2006/relationships/queryTable" Target="../queryTables/queryTable37.xml"/><Relationship Id="rId43" Type="http://schemas.openxmlformats.org/officeDocument/2006/relationships/queryTable" Target="../queryTables/queryTable45.xml"/><Relationship Id="rId48" Type="http://schemas.openxmlformats.org/officeDocument/2006/relationships/queryTable" Target="../queryTables/queryTable50.xml"/><Relationship Id="rId8" Type="http://schemas.openxmlformats.org/officeDocument/2006/relationships/queryTable" Target="../queryTables/queryTable10.xml"/><Relationship Id="rId51" Type="http://schemas.openxmlformats.org/officeDocument/2006/relationships/queryTable" Target="../queryTables/queryTable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2"/>
  <sheetViews>
    <sheetView tabSelected="1" workbookViewId="0"/>
  </sheetViews>
  <sheetFormatPr defaultRowHeight="15" x14ac:dyDescent="0.25"/>
  <cols>
    <col min="3" max="3" width="6.7109375" customWidth="1"/>
    <col min="4" max="5" width="7" bestFit="1" customWidth="1"/>
  </cols>
  <sheetData>
    <row r="1" spans="1:9" x14ac:dyDescent="0.25">
      <c r="A1" t="s">
        <v>575</v>
      </c>
    </row>
    <row r="3" spans="1:9" x14ac:dyDescent="0.25">
      <c r="A3" t="s">
        <v>576</v>
      </c>
    </row>
    <row r="5" spans="1:9" x14ac:dyDescent="0.25">
      <c r="A5" t="s">
        <v>577</v>
      </c>
    </row>
    <row r="6" spans="1:9" x14ac:dyDescent="0.25">
      <c r="B6" t="s">
        <v>578</v>
      </c>
    </row>
    <row r="7" spans="1:9" x14ac:dyDescent="0.25">
      <c r="A7" t="s">
        <v>579</v>
      </c>
    </row>
    <row r="8" spans="1:9" x14ac:dyDescent="0.25">
      <c r="B8" t="s">
        <v>580</v>
      </c>
    </row>
    <row r="10" spans="1:9" x14ac:dyDescent="0.25">
      <c r="A10" t="s">
        <v>581</v>
      </c>
    </row>
    <row r="11" spans="1:9" x14ac:dyDescent="0.25">
      <c r="B11" t="s">
        <v>582</v>
      </c>
    </row>
    <row r="13" spans="1:9" x14ac:dyDescent="0.25">
      <c r="A13" t="s">
        <v>583</v>
      </c>
    </row>
    <row r="14" spans="1:9" x14ac:dyDescent="0.25">
      <c r="C14" s="18">
        <v>0</v>
      </c>
      <c r="D14" s="18" t="s">
        <v>584</v>
      </c>
      <c r="E14" s="18">
        <f>12.566/2</f>
        <v>6.2830000000000004</v>
      </c>
      <c r="H14" s="19" t="s">
        <v>585</v>
      </c>
      <c r="I14">
        <v>30</v>
      </c>
    </row>
    <row r="15" spans="1:9" x14ac:dyDescent="0.25">
      <c r="B15" s="19" t="s">
        <v>586</v>
      </c>
      <c r="C15" s="18">
        <f>E15-150/400</f>
        <v>-1.375</v>
      </c>
      <c r="D15" s="18" t="s">
        <v>587</v>
      </c>
      <c r="E15" s="18">
        <v>-1</v>
      </c>
      <c r="G15">
        <v>1</v>
      </c>
      <c r="H15" s="20" t="s">
        <v>588</v>
      </c>
      <c r="I15">
        <v>15</v>
      </c>
    </row>
    <row r="16" spans="1:9" x14ac:dyDescent="0.25">
      <c r="B16" s="19" t="s">
        <v>589</v>
      </c>
      <c r="C16" s="18">
        <v>-1</v>
      </c>
      <c r="D16" s="18" t="str">
        <f>D15</f>
        <v>&lt;= Y &lt;=</v>
      </c>
      <c r="E16" s="18">
        <v>1</v>
      </c>
      <c r="H16" s="19" t="s">
        <v>590</v>
      </c>
      <c r="I16">
        <v>15</v>
      </c>
    </row>
    <row r="17" spans="1:5" x14ac:dyDescent="0.25">
      <c r="B17" s="19" t="s">
        <v>591</v>
      </c>
      <c r="C17" s="18">
        <v>1</v>
      </c>
      <c r="D17" s="18" t="str">
        <f>D16</f>
        <v>&lt;= Y &lt;=</v>
      </c>
      <c r="E17" s="18">
        <f>C17+150/400</f>
        <v>1.375</v>
      </c>
    </row>
    <row r="18" spans="1:5" x14ac:dyDescent="0.25">
      <c r="C18" s="18">
        <v>0</v>
      </c>
      <c r="D18" s="18" t="s">
        <v>592</v>
      </c>
      <c r="E18" s="18">
        <f>6.284/2</f>
        <v>3.1419999999999999</v>
      </c>
    </row>
    <row r="20" spans="1:5" x14ac:dyDescent="0.25">
      <c r="A20" t="s">
        <v>593</v>
      </c>
    </row>
    <row r="21" spans="1:5" x14ac:dyDescent="0.25">
      <c r="B21" s="19" t="s">
        <v>594</v>
      </c>
      <c r="C21">
        <v>395</v>
      </c>
    </row>
    <row r="23" spans="1:5" x14ac:dyDescent="0.25">
      <c r="A23" s="21" t="s">
        <v>595</v>
      </c>
      <c r="B23" s="21"/>
    </row>
    <row r="24" spans="1:5" x14ac:dyDescent="0.25">
      <c r="A24" s="21">
        <v>1</v>
      </c>
      <c r="B24" s="21" t="s">
        <v>596</v>
      </c>
      <c r="C24" t="s">
        <v>597</v>
      </c>
    </row>
    <row r="25" spans="1:5" x14ac:dyDescent="0.25">
      <c r="A25">
        <v>1</v>
      </c>
      <c r="B25" t="s">
        <v>598</v>
      </c>
      <c r="C25" t="s">
        <v>599</v>
      </c>
    </row>
    <row r="26" spans="1:5" x14ac:dyDescent="0.25">
      <c r="A26">
        <v>49</v>
      </c>
      <c r="B26" t="s">
        <v>600</v>
      </c>
      <c r="C26" t="s">
        <v>601</v>
      </c>
    </row>
    <row r="27" spans="1:5" x14ac:dyDescent="0.25">
      <c r="C27" t="s">
        <v>602</v>
      </c>
    </row>
    <row r="28" spans="1:5" x14ac:dyDescent="0.25">
      <c r="C28" t="s">
        <v>603</v>
      </c>
    </row>
    <row r="29" spans="1:5" x14ac:dyDescent="0.25">
      <c r="C29" t="s">
        <v>604</v>
      </c>
    </row>
    <row r="30" spans="1:5" x14ac:dyDescent="0.25">
      <c r="C30" t="s">
        <v>605</v>
      </c>
    </row>
    <row r="32" spans="1:5" x14ac:dyDescent="0.25">
      <c r="B32" t="s">
        <v>606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/>
  </sheetViews>
  <sheetFormatPr defaultRowHeight="15" x14ac:dyDescent="0.25"/>
  <cols>
    <col min="1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392</v>
      </c>
      <c r="B1" t="s">
        <v>607</v>
      </c>
      <c r="C1" t="s">
        <v>608</v>
      </c>
    </row>
    <row r="2" spans="1:6" x14ac:dyDescent="0.25">
      <c r="A2">
        <v>0.49376130104064903</v>
      </c>
      <c r="B2">
        <v>0.49393053706499501</v>
      </c>
      <c r="C2" s="1">
        <v>2.8236564769024101E-5</v>
      </c>
      <c r="E2" s="1"/>
      <c r="F2" s="1"/>
    </row>
    <row r="3" spans="1:6" x14ac:dyDescent="0.25">
      <c r="A3" s="4">
        <v>1.5257111191749499</v>
      </c>
      <c r="B3" s="4">
        <v>1.52278949901272</v>
      </c>
      <c r="C3">
        <v>2.64922305532877E-4</v>
      </c>
      <c r="E3" s="1"/>
      <c r="F3" s="1"/>
    </row>
    <row r="4" spans="1:6" x14ac:dyDescent="0.25">
      <c r="A4" s="4">
        <v>2.6505178213119498</v>
      </c>
      <c r="B4" s="4">
        <v>2.6343323406539301</v>
      </c>
      <c r="C4">
        <v>1.0499895119551099E-3</v>
      </c>
      <c r="E4" s="1"/>
      <c r="F4" s="1"/>
    </row>
    <row r="5" spans="1:6" x14ac:dyDescent="0.25">
      <c r="A5" s="4">
        <v>3.8765159249305698</v>
      </c>
      <c r="B5" s="4">
        <v>3.8198789871191599</v>
      </c>
      <c r="C5">
        <v>2.3290791291969899E-3</v>
      </c>
      <c r="E5" s="1"/>
      <c r="F5" s="1"/>
    </row>
    <row r="6" spans="1:6" x14ac:dyDescent="0.25">
      <c r="A6" s="4">
        <v>5.2129346132278398</v>
      </c>
      <c r="B6" s="4">
        <v>5.05707323294651</v>
      </c>
      <c r="C6">
        <v>4.4709192890195404E-3</v>
      </c>
      <c r="E6" s="1"/>
      <c r="F6" s="1"/>
    </row>
    <row r="7" spans="1:6" x14ac:dyDescent="0.25">
      <c r="A7" s="4">
        <v>6.6695916652679399</v>
      </c>
      <c r="B7" s="4">
        <v>6.3092296043528702</v>
      </c>
      <c r="C7">
        <v>8.93476300416296E-3</v>
      </c>
      <c r="E7" s="1"/>
      <c r="F7" s="1"/>
    </row>
    <row r="8" spans="1:6" x14ac:dyDescent="0.25">
      <c r="A8" s="4">
        <v>8.2573878765106201</v>
      </c>
      <c r="B8" s="4">
        <v>7.5310706345340801</v>
      </c>
      <c r="C8">
        <v>1.9831952841286599E-2</v>
      </c>
      <c r="E8" s="1"/>
      <c r="F8" s="1"/>
    </row>
    <row r="9" spans="1:6" x14ac:dyDescent="0.25">
      <c r="A9" s="4">
        <v>9.9880245327949506</v>
      </c>
      <c r="B9" s="4">
        <v>8.67973413090162</v>
      </c>
      <c r="C9">
        <v>4.3524232170056999E-2</v>
      </c>
      <c r="E9" s="1"/>
      <c r="F9" s="1"/>
    </row>
    <row r="10" spans="1:6" x14ac:dyDescent="0.25">
      <c r="A10" s="4">
        <v>11.874474287032999</v>
      </c>
      <c r="B10" s="4">
        <v>9.7253517884242306</v>
      </c>
      <c r="C10">
        <v>8.3389096032988094E-2</v>
      </c>
      <c r="E10" s="1"/>
      <c r="F10" s="1"/>
    </row>
    <row r="11" spans="1:6" x14ac:dyDescent="0.25">
      <c r="A11" s="4">
        <v>13.9306750893592</v>
      </c>
      <c r="B11" s="4">
        <v>10.6551614963555</v>
      </c>
      <c r="C11">
        <v>0.13680129215936099</v>
      </c>
      <c r="E11" s="1"/>
      <c r="F11" s="1"/>
    </row>
    <row r="12" spans="1:6" x14ac:dyDescent="0.25">
      <c r="A12" s="4">
        <v>16.171883344650201</v>
      </c>
      <c r="B12" s="4">
        <v>11.470605599125699</v>
      </c>
      <c r="C12">
        <v>0.19849473416979799</v>
      </c>
      <c r="E12" s="1"/>
      <c r="F12" s="1"/>
    </row>
    <row r="13" spans="1:6" x14ac:dyDescent="0.25">
      <c r="A13" s="4">
        <v>18.614838719367899</v>
      </c>
      <c r="B13" s="4">
        <v>12.1814879894256</v>
      </c>
      <c r="C13">
        <v>0.26437703152623698</v>
      </c>
      <c r="E13" s="1"/>
      <c r="F13" s="1"/>
    </row>
    <row r="14" spans="1:6" x14ac:dyDescent="0.25">
      <c r="A14" s="4">
        <v>21.2777170538902</v>
      </c>
      <c r="B14" s="4">
        <v>12.800892601435599</v>
      </c>
      <c r="C14">
        <v>0.33269500266032898</v>
      </c>
      <c r="E14" s="1"/>
      <c r="F14" s="1"/>
    </row>
    <row r="15" spans="1:6" x14ac:dyDescent="0.25">
      <c r="A15" s="4">
        <v>24.180224537849401</v>
      </c>
      <c r="B15" s="4">
        <v>13.342112234876099</v>
      </c>
      <c r="C15">
        <v>0.40341982181416802</v>
      </c>
      <c r="E15" s="1"/>
      <c r="F15" s="1"/>
    </row>
    <row r="16" spans="1:6" x14ac:dyDescent="0.25">
      <c r="A16" s="4">
        <v>27.343950867652801</v>
      </c>
      <c r="B16" s="4">
        <v>13.817289863357001</v>
      </c>
      <c r="C16">
        <v>0.476875920066959</v>
      </c>
      <c r="E16" s="1"/>
      <c r="F16" s="1"/>
    </row>
    <row r="17" spans="1:6" x14ac:dyDescent="0.25">
      <c r="A17" s="4">
        <v>30.7923927903175</v>
      </c>
      <c r="B17" s="4">
        <v>14.2370616448076</v>
      </c>
      <c r="C17">
        <v>0.55279967789829199</v>
      </c>
      <c r="E17" s="1"/>
      <c r="F17" s="1"/>
    </row>
    <row r="18" spans="1:6" x14ac:dyDescent="0.25">
      <c r="A18" s="4">
        <v>34.551213085651298</v>
      </c>
      <c r="B18" s="4">
        <v>14.6106283193902</v>
      </c>
      <c r="C18">
        <v>0.62992939034302198</v>
      </c>
      <c r="E18" s="1"/>
      <c r="F18" s="1"/>
    </row>
    <row r="19" spans="1:6" x14ac:dyDescent="0.25">
      <c r="A19" s="4">
        <v>38.6483111977577</v>
      </c>
      <c r="B19" s="4">
        <v>14.9459406309489</v>
      </c>
      <c r="C19">
        <v>0.70607614958134901</v>
      </c>
      <c r="E19" s="1"/>
      <c r="F19" s="1"/>
    </row>
    <row r="20" spans="1:6" x14ac:dyDescent="0.25">
      <c r="A20" s="4">
        <v>43.1141293048858</v>
      </c>
      <c r="B20" s="4">
        <v>15.2498815515373</v>
      </c>
      <c r="C20">
        <v>0.77863047947175801</v>
      </c>
      <c r="E20" s="1"/>
      <c r="F20" s="1"/>
    </row>
    <row r="21" spans="1:6" x14ac:dyDescent="0.25">
      <c r="A21" s="4">
        <v>47.981887757778097</v>
      </c>
      <c r="B21" s="4">
        <v>15.5283195634431</v>
      </c>
      <c r="C21">
        <v>0.84509979977156002</v>
      </c>
      <c r="E21" s="1"/>
      <c r="F21" s="1"/>
    </row>
    <row r="22" spans="1:6" x14ac:dyDescent="0.25">
      <c r="A22" s="4">
        <v>53.287820518016801</v>
      </c>
      <c r="B22" s="4">
        <v>15.786258914500801</v>
      </c>
      <c r="C22">
        <v>0.90371782629517805</v>
      </c>
      <c r="E22" s="1"/>
      <c r="F22" s="1"/>
    </row>
    <row r="23" spans="1:6" x14ac:dyDescent="0.25">
      <c r="A23" s="4">
        <v>59.071175158023799</v>
      </c>
      <c r="B23" s="4">
        <v>16.028057008755301</v>
      </c>
      <c r="C23">
        <v>0.95407616844749998</v>
      </c>
      <c r="E23" s="1"/>
      <c r="F23" s="1"/>
    </row>
    <row r="24" spans="1:6" x14ac:dyDescent="0.25">
      <c r="A24" s="4">
        <v>65.375131070613804</v>
      </c>
      <c r="B24" s="4">
        <v>16.2574371941481</v>
      </c>
      <c r="C24">
        <v>0.99680477951187596</v>
      </c>
      <c r="E24" s="1"/>
      <c r="F24" s="1"/>
    </row>
    <row r="25" spans="1:6" x14ac:dyDescent="0.25">
      <c r="A25" s="4">
        <v>72.246375679969702</v>
      </c>
      <c r="B25" s="4">
        <v>16.477521797373299</v>
      </c>
      <c r="C25" s="4">
        <v>1.03333580124308</v>
      </c>
      <c r="E25" s="1"/>
      <c r="F25" s="1"/>
    </row>
    <row r="26" spans="1:6" x14ac:dyDescent="0.25">
      <c r="A26" s="4">
        <v>79.736069738864799</v>
      </c>
      <c r="B26" s="4">
        <v>16.691061236586702</v>
      </c>
      <c r="C26" s="4">
        <v>1.0643563246121599</v>
      </c>
      <c r="E26" s="1"/>
      <c r="F26" s="1"/>
    </row>
    <row r="27" spans="1:6" x14ac:dyDescent="0.25">
      <c r="A27" s="4">
        <v>87.899753153324099</v>
      </c>
      <c r="B27" s="4">
        <v>16.9004478747331</v>
      </c>
      <c r="C27" s="4">
        <v>1.0907611299189699</v>
      </c>
      <c r="E27" s="1"/>
      <c r="F27" s="1"/>
    </row>
    <row r="28" spans="1:6" x14ac:dyDescent="0.25">
      <c r="A28" s="4">
        <v>96.798263192176805</v>
      </c>
      <c r="B28" s="4">
        <v>17.107706428781299</v>
      </c>
      <c r="C28" s="4">
        <v>1.1135484824480899</v>
      </c>
      <c r="E28" s="1"/>
      <c r="F28" s="1"/>
    </row>
    <row r="29" spans="1:6" x14ac:dyDescent="0.25">
      <c r="A29" s="4">
        <v>106.497616767883</v>
      </c>
      <c r="B29" s="4">
        <v>17.3145717614813</v>
      </c>
      <c r="C29" s="4">
        <v>1.1336023721087201</v>
      </c>
      <c r="E29" s="1"/>
      <c r="F29" s="1"/>
    </row>
    <row r="30" spans="1:6" x14ac:dyDescent="0.25">
      <c r="A30" s="4">
        <v>117.06990510225199</v>
      </c>
      <c r="B30" s="4">
        <v>17.522566673121801</v>
      </c>
      <c r="C30" s="4">
        <v>1.1506106996966901</v>
      </c>
      <c r="E30" s="1"/>
      <c r="F30" s="1"/>
    </row>
    <row r="31" spans="1:6" x14ac:dyDescent="0.25">
      <c r="A31" s="4">
        <v>128.593670427799</v>
      </c>
      <c r="B31" s="4">
        <v>17.732847383656001</v>
      </c>
      <c r="C31" s="4">
        <v>1.16380909449071</v>
      </c>
      <c r="E31" s="1"/>
      <c r="F31" s="1"/>
    </row>
    <row r="32" spans="1:6" x14ac:dyDescent="0.25">
      <c r="A32" s="4">
        <v>141.15461230278001</v>
      </c>
      <c r="B32" s="4">
        <v>17.946198204499201</v>
      </c>
      <c r="C32" s="4">
        <v>1.1733164563192899</v>
      </c>
      <c r="E32" s="1"/>
      <c r="F32" s="1"/>
    </row>
    <row r="33" spans="1:6" x14ac:dyDescent="0.25">
      <c r="A33" s="4">
        <v>154.84601140022201</v>
      </c>
      <c r="B33" s="4">
        <v>18.1624848649471</v>
      </c>
      <c r="C33" s="4">
        <v>1.1784454886801501</v>
      </c>
      <c r="E33" s="1"/>
      <c r="F33" s="1"/>
    </row>
    <row r="34" spans="1:6" x14ac:dyDescent="0.25">
      <c r="A34" s="4">
        <v>169.76969480514501</v>
      </c>
      <c r="B34" s="4">
        <v>18.381484646133199</v>
      </c>
      <c r="C34" s="4">
        <v>1.1777802867873099</v>
      </c>
      <c r="E34" s="1"/>
      <c r="F34" s="1"/>
    </row>
    <row r="35" spans="1:6" x14ac:dyDescent="0.25">
      <c r="A35" s="4">
        <v>186.03645980358101</v>
      </c>
      <c r="B35" s="4">
        <v>18.6035278966155</v>
      </c>
      <c r="C35" s="4">
        <v>1.1706004636071099</v>
      </c>
      <c r="E35" s="1"/>
      <c r="F35" s="1"/>
    </row>
    <row r="36" spans="1:6" x14ac:dyDescent="0.25">
      <c r="A36" s="4">
        <v>203.76720398664401</v>
      </c>
      <c r="B36" s="4">
        <v>18.828043433080701</v>
      </c>
      <c r="C36" s="4">
        <v>1.15717444295296</v>
      </c>
      <c r="E36" s="1"/>
      <c r="F36" s="1"/>
    </row>
    <row r="37" spans="1:6" x14ac:dyDescent="0.25">
      <c r="A37" s="4">
        <v>223.09376105666101</v>
      </c>
      <c r="B37" s="4">
        <v>19.053236716910199</v>
      </c>
      <c r="C37" s="4">
        <v>1.13202337827533</v>
      </c>
      <c r="E37" s="1"/>
      <c r="F37" s="1"/>
    </row>
    <row r="38" spans="1:6" x14ac:dyDescent="0.25">
      <c r="A38" s="4">
        <v>244.15970131754801</v>
      </c>
      <c r="B38" s="4">
        <v>19.2773622289488</v>
      </c>
      <c r="C38" s="4">
        <v>1.0954073693719599</v>
      </c>
      <c r="E38" s="1"/>
      <c r="F38" s="1"/>
    </row>
    <row r="39" spans="1:6" x14ac:dyDescent="0.25">
      <c r="A39" s="4">
        <v>267.12157949805197</v>
      </c>
      <c r="B39" s="4">
        <v>19.496393979350199</v>
      </c>
      <c r="C39" s="4">
        <v>1.04775690144742</v>
      </c>
      <c r="E39" s="1"/>
      <c r="F39" s="1"/>
    </row>
    <row r="40" spans="1:6" x14ac:dyDescent="0.25">
      <c r="A40" s="4">
        <v>292.15002954006098</v>
      </c>
      <c r="B40" s="4">
        <v>19.703074956241998</v>
      </c>
      <c r="C40">
        <v>0.99201847051153802</v>
      </c>
      <c r="E40" s="1"/>
      <c r="F40" s="1"/>
    </row>
    <row r="41" spans="1:6" x14ac:dyDescent="0.25">
      <c r="A41" s="4">
        <v>319.43101242184599</v>
      </c>
      <c r="B41" s="4">
        <v>19.886017725135702</v>
      </c>
      <c r="C41">
        <v>0.93355829198844698</v>
      </c>
      <c r="E41" s="1"/>
      <c r="F41" s="1"/>
    </row>
    <row r="42" spans="1:6" x14ac:dyDescent="0.25">
      <c r="A42" s="4">
        <v>349.16732590645501</v>
      </c>
      <c r="B42" s="4">
        <v>20.0303757824475</v>
      </c>
      <c r="C42">
        <v>0.88901874507428102</v>
      </c>
      <c r="E42" s="1"/>
      <c r="F42" s="1"/>
    </row>
    <row r="43" spans="1:6" x14ac:dyDescent="0.25">
      <c r="A43" s="4">
        <v>379.83785875141598</v>
      </c>
      <c r="B43" s="4">
        <v>20.107157312465599</v>
      </c>
      <c r="C43">
        <v>0.81821158496313695</v>
      </c>
      <c r="E43" s="1"/>
      <c r="F43" s="1"/>
    </row>
    <row r="44" spans="1:6" x14ac:dyDescent="0.25">
      <c r="E44" s="1"/>
      <c r="F44" s="1"/>
    </row>
    <row r="45" spans="1:6" x14ac:dyDescent="0.25">
      <c r="E45" s="1"/>
      <c r="F45" s="1"/>
    </row>
    <row r="46" spans="1:6" x14ac:dyDescent="0.25">
      <c r="E46" s="1"/>
      <c r="F46" s="1"/>
    </row>
    <row r="47" spans="1:6" x14ac:dyDescent="0.25">
      <c r="E47" s="1"/>
      <c r="F47" s="1"/>
    </row>
    <row r="48" spans="1:6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5" width="12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392</v>
      </c>
      <c r="B1" t="s">
        <v>609</v>
      </c>
      <c r="C1" t="s">
        <v>610</v>
      </c>
      <c r="D1" t="s">
        <v>611</v>
      </c>
      <c r="E1" t="s">
        <v>612</v>
      </c>
      <c r="G1" t="s">
        <v>15</v>
      </c>
      <c r="H1" t="s">
        <v>16</v>
      </c>
    </row>
    <row r="2" spans="1:20" x14ac:dyDescent="0.25">
      <c r="A2">
        <v>0.49376130104064903</v>
      </c>
      <c r="B2">
        <v>3.8205790498751502E-2</v>
      </c>
      <c r="C2" s="1">
        <v>5.1556851022405201E-6</v>
      </c>
      <c r="D2">
        <v>1.03857421540242E-2</v>
      </c>
      <c r="E2">
        <v>1.09045509331758E-4</v>
      </c>
      <c r="G2">
        <f>(D2+C2+B2)/2</f>
        <v>2.429834416893897E-2</v>
      </c>
      <c r="H2">
        <f>scalar!L13*Rij!G2+scalar!M13*Rij!G3+scalar!N13*Rij!G4</f>
        <v>2.5088394040493241E-2</v>
      </c>
      <c r="K2" s="1"/>
      <c r="T2" s="1"/>
    </row>
    <row r="3" spans="1:20" x14ac:dyDescent="0.25">
      <c r="A3" s="4">
        <v>1.5257111191749499</v>
      </c>
      <c r="B3">
        <v>0.363889228020844</v>
      </c>
      <c r="C3">
        <v>1.0927241832251499E-4</v>
      </c>
      <c r="D3">
        <v>7.7179346323127604E-2</v>
      </c>
      <c r="E3">
        <v>2.2788221838053002E-3</v>
      </c>
      <c r="G3">
        <f>(D3+C3+B3)/2</f>
        <v>0.22058892338114705</v>
      </c>
      <c r="K3" s="1"/>
      <c r="T3" s="1"/>
    </row>
    <row r="4" spans="1:20" x14ac:dyDescent="0.25">
      <c r="A4" s="4">
        <v>2.6505178213119498</v>
      </c>
      <c r="B4" s="4">
        <v>1.0857192819400301</v>
      </c>
      <c r="C4">
        <v>8.1104506548554704E-4</v>
      </c>
      <c r="D4">
        <v>0.187823803667029</v>
      </c>
      <c r="E4">
        <v>1.27076622379836E-2</v>
      </c>
      <c r="G4">
        <f>(D4+C4+B4)/2</f>
        <v>0.63717706533627227</v>
      </c>
      <c r="K4" s="1"/>
    </row>
    <row r="5" spans="1:20" x14ac:dyDescent="0.25">
      <c r="A5" s="4">
        <v>3.8765159249305698</v>
      </c>
      <c r="B5" s="4">
        <v>2.2422152315026298</v>
      </c>
      <c r="C5">
        <v>2.9751548839177201E-3</v>
      </c>
      <c r="D5">
        <v>0.32214867828067301</v>
      </c>
      <c r="E5">
        <v>3.9015836826726297E-2</v>
      </c>
      <c r="G5" s="1"/>
      <c r="K5" s="1"/>
    </row>
    <row r="6" spans="1:20" x14ac:dyDescent="0.25">
      <c r="A6" s="4">
        <v>5.2129346132278398</v>
      </c>
      <c r="B6" s="4">
        <v>3.7677599379414</v>
      </c>
      <c r="C6">
        <v>7.7517514105703601E-3</v>
      </c>
      <c r="D6">
        <v>0.46328205014405399</v>
      </c>
      <c r="E6">
        <v>8.8018246399425307E-2</v>
      </c>
      <c r="K6" s="1"/>
    </row>
    <row r="7" spans="1:20" x14ac:dyDescent="0.25">
      <c r="A7" s="4">
        <v>6.6695916652679399</v>
      </c>
      <c r="B7" s="4">
        <v>5.4568161925950402</v>
      </c>
      <c r="C7">
        <v>1.6418085322610299E-2</v>
      </c>
      <c r="D7">
        <v>0.60006683254415705</v>
      </c>
      <c r="E7">
        <v>0.16163760209529801</v>
      </c>
      <c r="K7" s="1"/>
    </row>
    <row r="8" spans="1:20" x14ac:dyDescent="0.25">
      <c r="A8" s="4">
        <v>8.2573878765106201</v>
      </c>
      <c r="B8" s="4">
        <v>7.0176290413048701</v>
      </c>
      <c r="C8">
        <v>3.0201817675907901E-2</v>
      </c>
      <c r="D8">
        <v>0.727201015694519</v>
      </c>
      <c r="E8">
        <v>0.254480748101309</v>
      </c>
      <c r="K8" s="1"/>
    </row>
    <row r="9" spans="1:20" x14ac:dyDescent="0.25">
      <c r="A9" s="4">
        <v>9.9880245327949506</v>
      </c>
      <c r="B9" s="4">
        <v>8.1978102409162403</v>
      </c>
      <c r="C9">
        <v>5.0132761238885E-2</v>
      </c>
      <c r="D9">
        <v>0.84284477596548202</v>
      </c>
      <c r="E9">
        <v>0.35556884771237102</v>
      </c>
      <c r="K9" s="1"/>
    </row>
    <row r="10" spans="1:20" x14ac:dyDescent="0.25">
      <c r="A10" s="4">
        <v>11.874474287032999</v>
      </c>
      <c r="B10" s="4">
        <v>8.8822682424452406</v>
      </c>
      <c r="C10">
        <v>7.7032581475255699E-2</v>
      </c>
      <c r="D10">
        <v>0.94618948104719203</v>
      </c>
      <c r="E10">
        <v>0.45339277951999102</v>
      </c>
      <c r="K10" s="1"/>
    </row>
    <row r="11" spans="1:20" x14ac:dyDescent="0.25">
      <c r="A11" s="4">
        <v>13.9306750893592</v>
      </c>
      <c r="B11" s="4">
        <v>9.0957123427478095</v>
      </c>
      <c r="C11">
        <v>0.111530074567936</v>
      </c>
      <c r="D11" s="4">
        <v>1.0366451132734</v>
      </c>
      <c r="E11">
        <v>0.54011611091740597</v>
      </c>
      <c r="K11" s="1"/>
    </row>
    <row r="12" spans="1:20" x14ac:dyDescent="0.25">
      <c r="A12" s="4">
        <v>16.171883344650201</v>
      </c>
      <c r="B12" s="4">
        <v>8.9410550783148803</v>
      </c>
      <c r="C12">
        <v>0.153952450821914</v>
      </c>
      <c r="D12" s="4">
        <v>1.1140427346897399</v>
      </c>
      <c r="E12">
        <v>0.61244574254620998</v>
      </c>
      <c r="K12" s="1"/>
    </row>
    <row r="13" spans="1:20" x14ac:dyDescent="0.25">
      <c r="A13" s="4">
        <v>18.614838719367899</v>
      </c>
      <c r="B13" s="4">
        <v>8.5376878039685202</v>
      </c>
      <c r="C13">
        <v>0.204208794453697</v>
      </c>
      <c r="D13" s="4">
        <v>1.1788391475711</v>
      </c>
      <c r="E13">
        <v>0.67032027625117496</v>
      </c>
      <c r="K13" s="1"/>
    </row>
    <row r="14" spans="1:20" x14ac:dyDescent="0.25">
      <c r="A14" s="4">
        <v>21.2777170538902</v>
      </c>
      <c r="B14" s="4">
        <v>7.9879389922939001</v>
      </c>
      <c r="C14">
        <v>0.26174675463500302</v>
      </c>
      <c r="D14" s="4">
        <v>1.2319588965021999</v>
      </c>
      <c r="E14">
        <v>0.71527883354535604</v>
      </c>
      <c r="K14" s="1"/>
    </row>
    <row r="15" spans="1:20" x14ac:dyDescent="0.25">
      <c r="A15" s="4">
        <v>24.180224537849401</v>
      </c>
      <c r="B15" s="4">
        <v>7.3675744133743999</v>
      </c>
      <c r="C15">
        <v>0.32555326180457</v>
      </c>
      <c r="D15" s="4">
        <v>1.27447849580471</v>
      </c>
      <c r="E15">
        <v>0.74934967457845802</v>
      </c>
      <c r="K15" s="1"/>
    </row>
    <row r="16" spans="1:20" x14ac:dyDescent="0.25">
      <c r="A16" s="4">
        <v>27.343950867652801</v>
      </c>
      <c r="B16" s="4">
        <v>6.72823519971924</v>
      </c>
      <c r="C16">
        <v>0.39418170100322097</v>
      </c>
      <c r="D16" s="4">
        <v>1.30746738970968</v>
      </c>
      <c r="E16">
        <v>0.77448220938447099</v>
      </c>
      <c r="K16" s="1"/>
    </row>
    <row r="17" spans="1:11" x14ac:dyDescent="0.25">
      <c r="A17" s="4">
        <v>30.7923927903175</v>
      </c>
      <c r="B17" s="4">
        <v>6.1033070633711599</v>
      </c>
      <c r="C17">
        <v>0.46579029502362901</v>
      </c>
      <c r="D17" s="4">
        <v>1.3320870824700299</v>
      </c>
      <c r="E17">
        <v>0.79231535938694797</v>
      </c>
      <c r="K17" s="1"/>
    </row>
    <row r="18" spans="1:11" x14ac:dyDescent="0.25">
      <c r="A18" s="4">
        <v>34.551213085651298</v>
      </c>
      <c r="B18" s="4">
        <v>5.5132447439278804</v>
      </c>
      <c r="C18">
        <v>0.53821686131568702</v>
      </c>
      <c r="D18" s="4">
        <v>1.34954261521235</v>
      </c>
      <c r="E18">
        <v>0.80414064408385999</v>
      </c>
      <c r="K18" s="1"/>
    </row>
    <row r="19" spans="1:11" x14ac:dyDescent="0.25">
      <c r="A19" s="4">
        <v>38.6483111977577</v>
      </c>
      <c r="B19" s="4">
        <v>4.9695384037917698</v>
      </c>
      <c r="C19">
        <v>0.60910304092058198</v>
      </c>
      <c r="D19" s="4">
        <v>1.36102682385422</v>
      </c>
      <c r="E19">
        <v>0.81093559652844405</v>
      </c>
      <c r="K19" s="1"/>
    </row>
    <row r="20" spans="1:11" x14ac:dyDescent="0.25">
      <c r="A20" s="4">
        <v>43.1141293048858</v>
      </c>
      <c r="B20" s="4">
        <v>4.4779673582869304</v>
      </c>
      <c r="C20">
        <v>0.676021597312637</v>
      </c>
      <c r="D20" s="4">
        <v>1.3675792349801501</v>
      </c>
      <c r="E20">
        <v>0.81345113476464004</v>
      </c>
      <c r="K20" s="1"/>
    </row>
    <row r="21" spans="1:11" x14ac:dyDescent="0.25">
      <c r="A21" s="4">
        <v>47.981887757778097</v>
      </c>
      <c r="B21" s="4">
        <v>4.0405356432000099</v>
      </c>
      <c r="C21">
        <v>0.73669860329922998</v>
      </c>
      <c r="D21" s="4">
        <v>1.3697239283587701</v>
      </c>
      <c r="E21">
        <v>0.81226983425805299</v>
      </c>
      <c r="K21" s="1"/>
    </row>
    <row r="22" spans="1:11" x14ac:dyDescent="0.25">
      <c r="A22" s="4">
        <v>53.287820518016801</v>
      </c>
      <c r="B22" s="4">
        <v>3.6559352173476301</v>
      </c>
      <c r="C22">
        <v>0.78923986997507201</v>
      </c>
      <c r="D22" s="4">
        <v>1.36745137797326</v>
      </c>
      <c r="E22">
        <v>0.80780406734579702</v>
      </c>
      <c r="K22" s="1"/>
    </row>
    <row r="23" spans="1:11" x14ac:dyDescent="0.25">
      <c r="A23" s="4">
        <v>59.071175158023799</v>
      </c>
      <c r="B23" s="4">
        <v>3.3208287002776</v>
      </c>
      <c r="C23">
        <v>0.83234234243120997</v>
      </c>
      <c r="D23" s="4">
        <v>1.3604671703665601</v>
      </c>
      <c r="E23">
        <v>0.80040510589778202</v>
      </c>
      <c r="K23" s="1"/>
    </row>
    <row r="24" spans="1:11" x14ac:dyDescent="0.25">
      <c r="A24" s="4">
        <v>65.375131070613804</v>
      </c>
      <c r="B24" s="4">
        <v>3.03099874573484</v>
      </c>
      <c r="C24">
        <v>0.86540156513217303</v>
      </c>
      <c r="D24" s="4">
        <v>1.34842077788882</v>
      </c>
      <c r="E24">
        <v>0.79033565959637797</v>
      </c>
      <c r="K24" s="1"/>
    </row>
    <row r="25" spans="1:11" x14ac:dyDescent="0.25">
      <c r="A25" s="4">
        <v>72.246375679969702</v>
      </c>
      <c r="B25" s="4">
        <v>2.7813724520793901</v>
      </c>
      <c r="C25">
        <v>0.88845861902546097</v>
      </c>
      <c r="D25" s="4">
        <v>1.33120503285092</v>
      </c>
      <c r="E25">
        <v>0.77779830514283299</v>
      </c>
      <c r="K25" s="1"/>
    </row>
    <row r="26" spans="1:11" x14ac:dyDescent="0.25">
      <c r="A26" s="4">
        <v>79.736069738864799</v>
      </c>
      <c r="B26" s="4">
        <v>2.5659135992212598</v>
      </c>
      <c r="C26">
        <v>0.90197484612835499</v>
      </c>
      <c r="D26" s="4">
        <v>1.3089696723296</v>
      </c>
      <c r="E26">
        <v>0.76286686916743496</v>
      </c>
      <c r="K26" s="1"/>
    </row>
    <row r="27" spans="1:11" x14ac:dyDescent="0.25">
      <c r="A27" s="4">
        <v>87.899753153324099</v>
      </c>
      <c r="B27" s="4">
        <v>2.37849159996644</v>
      </c>
      <c r="C27">
        <v>0.90679039647039505</v>
      </c>
      <c r="D27" s="4">
        <v>1.2817843553227899</v>
      </c>
      <c r="E27">
        <v>0.74557320428889495</v>
      </c>
      <c r="K27" s="1"/>
    </row>
    <row r="28" spans="1:11" x14ac:dyDescent="0.25">
      <c r="A28" s="4">
        <v>96.798263192176805</v>
      </c>
      <c r="B28" s="4">
        <v>2.2141559024533999</v>
      </c>
      <c r="C28">
        <v>0.90391800471381401</v>
      </c>
      <c r="D28" s="4">
        <v>1.24995808200081</v>
      </c>
      <c r="E28">
        <v>0.72592415733179605</v>
      </c>
      <c r="K28" s="1"/>
    </row>
    <row r="29" spans="1:11" x14ac:dyDescent="0.25">
      <c r="A29" s="4">
        <v>106.497616767883</v>
      </c>
      <c r="B29" s="4">
        <v>2.0683347628328601</v>
      </c>
      <c r="C29">
        <v>0.894279089719069</v>
      </c>
      <c r="D29" s="4">
        <v>1.21346599541355</v>
      </c>
      <c r="E29">
        <v>0.70388698261335003</v>
      </c>
      <c r="K29" s="1"/>
    </row>
    <row r="30" spans="1:11" x14ac:dyDescent="0.25">
      <c r="A30" s="4">
        <v>117.06990510225199</v>
      </c>
      <c r="B30" s="4">
        <v>1.9359578098130801</v>
      </c>
      <c r="C30">
        <v>0.87846925080287497</v>
      </c>
      <c r="D30" s="4">
        <v>1.17176950350113</v>
      </c>
      <c r="E30">
        <v>0.679337395382974</v>
      </c>
      <c r="K30" s="1"/>
    </row>
    <row r="31" spans="1:11" x14ac:dyDescent="0.25">
      <c r="A31" s="4">
        <v>128.593670427799</v>
      </c>
      <c r="B31" s="4">
        <v>1.8137623826362499</v>
      </c>
      <c r="C31">
        <v>0.85695861177926302</v>
      </c>
      <c r="D31" s="4">
        <v>1.12420744115926</v>
      </c>
      <c r="E31">
        <v>0.65219688042398405</v>
      </c>
      <c r="K31" s="1"/>
    </row>
    <row r="32" spans="1:11" x14ac:dyDescent="0.25">
      <c r="A32" s="4">
        <v>141.15461230278001</v>
      </c>
      <c r="B32" s="4">
        <v>1.6986942021622999</v>
      </c>
      <c r="C32">
        <v>0.83004523278361297</v>
      </c>
      <c r="D32" s="4">
        <v>1.07124472266153</v>
      </c>
      <c r="E32">
        <v>0.62235960964336701</v>
      </c>
      <c r="K32" s="1"/>
    </row>
    <row r="33" spans="1:11" x14ac:dyDescent="0.25">
      <c r="A33" s="4">
        <v>154.84601140022201</v>
      </c>
      <c r="B33" s="4">
        <v>1.58799876109268</v>
      </c>
      <c r="C33">
        <v>0.79801906195261296</v>
      </c>
      <c r="D33" s="4">
        <v>1.01345082520043</v>
      </c>
      <c r="E33">
        <v>0.58972879722188198</v>
      </c>
      <c r="K33" s="1"/>
    </row>
    <row r="34" spans="1:11" x14ac:dyDescent="0.25">
      <c r="A34" s="4">
        <v>169.76969480514501</v>
      </c>
      <c r="B34" s="4">
        <v>1.47866018204259</v>
      </c>
      <c r="C34">
        <v>0.76078975097057</v>
      </c>
      <c r="D34">
        <v>0.951752153910849</v>
      </c>
      <c r="E34">
        <v>0.55383759391377796</v>
      </c>
      <c r="K34" s="1"/>
    </row>
    <row r="35" spans="1:11" x14ac:dyDescent="0.25">
      <c r="A35" s="4">
        <v>186.03645980358101</v>
      </c>
      <c r="B35" s="4">
        <v>1.3684450606018701</v>
      </c>
      <c r="C35">
        <v>0.71872829353907397</v>
      </c>
      <c r="D35">
        <v>0.88524463025979205</v>
      </c>
      <c r="E35">
        <v>0.51445413795831196</v>
      </c>
      <c r="K35" s="1"/>
    </row>
    <row r="36" spans="1:11" x14ac:dyDescent="0.25">
      <c r="A36" s="4">
        <v>203.76720398664401</v>
      </c>
      <c r="B36" s="4">
        <v>1.25579693492999</v>
      </c>
      <c r="C36">
        <v>0.67204441087198297</v>
      </c>
      <c r="D36">
        <v>0.81231441303984897</v>
      </c>
      <c r="E36">
        <v>0.47140651452084498</v>
      </c>
      <c r="K36" s="1"/>
    </row>
    <row r="37" spans="1:11" x14ac:dyDescent="0.25">
      <c r="A37" s="4">
        <v>223.09376105666101</v>
      </c>
      <c r="B37" s="4">
        <v>1.14049305996196</v>
      </c>
      <c r="C37">
        <v>0.61995499740761595</v>
      </c>
      <c r="D37">
        <v>0.733894679788479</v>
      </c>
      <c r="E37">
        <v>0.42431941342342</v>
      </c>
      <c r="K37" s="1"/>
    </row>
    <row r="38" spans="1:11" x14ac:dyDescent="0.25">
      <c r="A38" s="4">
        <v>244.15970131754801</v>
      </c>
      <c r="B38" s="4">
        <v>1.0210723828693999</v>
      </c>
      <c r="C38">
        <v>0.563382960446557</v>
      </c>
      <c r="D38">
        <v>0.65134921377180599</v>
      </c>
      <c r="E38">
        <v>0.37274183730763499</v>
      </c>
      <c r="K38" s="1"/>
    </row>
    <row r="39" spans="1:11" x14ac:dyDescent="0.25">
      <c r="A39" s="4">
        <v>267.12157949805197</v>
      </c>
      <c r="B39">
        <v>0.89747283569901304</v>
      </c>
      <c r="C39">
        <v>0.50467601660071304</v>
      </c>
      <c r="D39">
        <v>0.56678966499763495</v>
      </c>
      <c r="E39">
        <v>0.316491936001006</v>
      </c>
      <c r="K39" s="1"/>
    </row>
    <row r="40" spans="1:11" x14ac:dyDescent="0.25">
      <c r="A40" s="4">
        <v>292.15002954006098</v>
      </c>
      <c r="B40">
        <v>0.770246853003834</v>
      </c>
      <c r="C40">
        <v>0.44588088267735998</v>
      </c>
      <c r="D40">
        <v>0.484122965532639</v>
      </c>
      <c r="E40">
        <v>0.25497561723244599</v>
      </c>
      <c r="K40" s="1"/>
    </row>
    <row r="41" spans="1:11" x14ac:dyDescent="0.25">
      <c r="A41" s="4">
        <v>319.43101242184599</v>
      </c>
      <c r="B41">
        <v>0.64661500668269201</v>
      </c>
      <c r="C41">
        <v>0.39204359397216298</v>
      </c>
      <c r="D41">
        <v>0.40808015953066201</v>
      </c>
      <c r="E41">
        <v>0.18791833822057899</v>
      </c>
      <c r="K41" s="1"/>
    </row>
    <row r="42" spans="1:11" x14ac:dyDescent="0.25">
      <c r="A42" s="4">
        <v>349.16732590645501</v>
      </c>
      <c r="B42">
        <v>0.54087525259304603</v>
      </c>
      <c r="C42">
        <v>0.34834686179542501</v>
      </c>
      <c r="D42">
        <v>0.34802360981090003</v>
      </c>
      <c r="E42">
        <v>0.11397827019114801</v>
      </c>
      <c r="K42" s="1"/>
    </row>
    <row r="43" spans="1:11" x14ac:dyDescent="0.25">
      <c r="A43" s="4">
        <v>379.83785875141598</v>
      </c>
      <c r="B43">
        <v>0.48036119358932799</v>
      </c>
      <c r="C43">
        <v>0.32372657365902902</v>
      </c>
      <c r="D43">
        <v>0.31621490008241698</v>
      </c>
      <c r="E43">
        <v>3.7403632903448503E-2</v>
      </c>
      <c r="K43" s="1"/>
    </row>
    <row r="44" spans="1:11" x14ac:dyDescent="0.25">
      <c r="K44" s="1"/>
    </row>
    <row r="45" spans="1:11" x14ac:dyDescent="0.25">
      <c r="K45" s="1"/>
    </row>
    <row r="46" spans="1:11" x14ac:dyDescent="0.25">
      <c r="K46" s="1"/>
    </row>
    <row r="47" spans="1:11" x14ac:dyDescent="0.25">
      <c r="K47" s="1"/>
    </row>
    <row r="48" spans="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392</v>
      </c>
      <c r="B1" t="s">
        <v>400</v>
      </c>
      <c r="C1" t="s">
        <v>613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>
        <v>0.49376130104064903</v>
      </c>
      <c r="B2">
        <v>0.19188212673720101</v>
      </c>
      <c r="C2" s="1">
        <v>1.0520862323023E-6</v>
      </c>
      <c r="D2" s="1">
        <f>-B2-C2</f>
        <v>-0.19188317882343331</v>
      </c>
      <c r="F2" s="1"/>
      <c r="G2" s="2">
        <f>D2-A2*(D3-D2)/(A3-A2)</f>
        <v>-0.19750518556336308</v>
      </c>
      <c r="H2" s="1">
        <f>DNS!D1636</f>
        <v>-0.220577</v>
      </c>
      <c r="I2" s="1">
        <f>100*(H2-G2)/H2</f>
        <v>10.459755294811751</v>
      </c>
    </row>
    <row r="3" spans="1:9" x14ac:dyDescent="0.25">
      <c r="A3" s="4">
        <v>1.5257111191749499</v>
      </c>
      <c r="B3">
        <v>0.18011800876009501</v>
      </c>
      <c r="C3" s="1">
        <v>1.5304651462440601E-5</v>
      </c>
      <c r="D3" s="1">
        <f t="shared" ref="D3:D43" si="0">-B3-C3</f>
        <v>-0.18013331341155744</v>
      </c>
    </row>
    <row r="4" spans="1:9" x14ac:dyDescent="0.25">
      <c r="A4" s="4">
        <v>2.6505178213119498</v>
      </c>
      <c r="B4">
        <v>0.16828651646808299</v>
      </c>
      <c r="C4" s="1">
        <v>6.9976358406149305E-5</v>
      </c>
      <c r="D4" s="1">
        <f t="shared" si="0"/>
        <v>-0.16835649282648912</v>
      </c>
    </row>
    <row r="5" spans="1:9" x14ac:dyDescent="0.25">
      <c r="A5" s="4">
        <v>3.8765159249305698</v>
      </c>
      <c r="B5">
        <v>0.15299425605320199</v>
      </c>
      <c r="C5">
        <v>1.65248047475421E-4</v>
      </c>
      <c r="D5" s="1">
        <f t="shared" si="0"/>
        <v>-0.15315950410067741</v>
      </c>
    </row>
    <row r="6" spans="1:9" x14ac:dyDescent="0.25">
      <c r="A6" s="4">
        <v>5.2129346132278398</v>
      </c>
      <c r="B6">
        <v>0.13486328857930999</v>
      </c>
      <c r="C6">
        <v>3.2457561328006601E-4</v>
      </c>
      <c r="D6" s="1">
        <f t="shared" si="0"/>
        <v>-0.13518786419259005</v>
      </c>
    </row>
    <row r="7" spans="1:9" x14ac:dyDescent="0.25">
      <c r="A7" s="4">
        <v>6.6695916652679399</v>
      </c>
      <c r="B7">
        <v>0.11861724463612899</v>
      </c>
      <c r="C7">
        <v>8.5612321358779803E-4</v>
      </c>
      <c r="D7" s="1">
        <f t="shared" si="0"/>
        <v>-0.11947336784971679</v>
      </c>
    </row>
    <row r="8" spans="1:9" x14ac:dyDescent="0.25">
      <c r="A8" s="4">
        <v>8.2573878765106201</v>
      </c>
      <c r="B8">
        <v>0.108843548195849</v>
      </c>
      <c r="C8">
        <v>2.5750892304937201E-3</v>
      </c>
      <c r="D8" s="1">
        <f t="shared" si="0"/>
        <v>-0.11141863742634273</v>
      </c>
    </row>
    <row r="9" spans="1:9" x14ac:dyDescent="0.25">
      <c r="A9" s="4">
        <v>9.9880245327949506</v>
      </c>
      <c r="B9">
        <v>0.105692022001175</v>
      </c>
      <c r="C9">
        <v>5.7248158582805103E-3</v>
      </c>
      <c r="D9" s="1">
        <f t="shared" si="0"/>
        <v>-0.11141683785945551</v>
      </c>
    </row>
    <row r="10" spans="1:9" x14ac:dyDescent="0.25">
      <c r="A10" s="4">
        <v>11.874474287032999</v>
      </c>
      <c r="B10">
        <v>0.10559622921631601</v>
      </c>
      <c r="C10">
        <v>8.5974469866627393E-3</v>
      </c>
      <c r="D10" s="1">
        <f t="shared" si="0"/>
        <v>-0.11419367620297874</v>
      </c>
    </row>
    <row r="11" spans="1:9" x14ac:dyDescent="0.25">
      <c r="A11" s="4">
        <v>13.9306750893592</v>
      </c>
      <c r="B11">
        <v>0.10484493396702201</v>
      </c>
      <c r="C11">
        <v>9.4585799060093699E-3</v>
      </c>
      <c r="D11" s="1">
        <f t="shared" si="0"/>
        <v>-0.11430351387303138</v>
      </c>
    </row>
    <row r="12" spans="1:9" x14ac:dyDescent="0.25">
      <c r="A12" s="4">
        <v>16.171883344650201</v>
      </c>
      <c r="B12">
        <v>0.101684114542212</v>
      </c>
      <c r="C12">
        <v>8.4437821249120203E-3</v>
      </c>
      <c r="D12" s="1">
        <f t="shared" si="0"/>
        <v>-0.11012789666712403</v>
      </c>
    </row>
    <row r="13" spans="1:9" x14ac:dyDescent="0.25">
      <c r="A13" s="4">
        <v>18.614838719367899</v>
      </c>
      <c r="B13">
        <v>9.6161781535218996E-2</v>
      </c>
      <c r="C13">
        <v>6.6817062006182901E-3</v>
      </c>
      <c r="D13" s="1">
        <f t="shared" si="0"/>
        <v>-0.10284348773583729</v>
      </c>
    </row>
    <row r="14" spans="1:9" x14ac:dyDescent="0.25">
      <c r="A14" s="4">
        <v>21.2777170538902</v>
      </c>
      <c r="B14">
        <v>8.9140223469531807E-2</v>
      </c>
      <c r="C14">
        <v>5.0649262555989899E-3</v>
      </c>
      <c r="D14" s="1">
        <f t="shared" si="0"/>
        <v>-9.4205149725130791E-2</v>
      </c>
    </row>
    <row r="15" spans="1:9" x14ac:dyDescent="0.25">
      <c r="A15" s="4">
        <v>24.180224537849401</v>
      </c>
      <c r="B15">
        <v>8.1545429222690494E-2</v>
      </c>
      <c r="C15">
        <v>3.9676855596144202E-3</v>
      </c>
      <c r="D15" s="1">
        <f t="shared" si="0"/>
        <v>-8.5513114782304916E-2</v>
      </c>
    </row>
    <row r="16" spans="1:9" x14ac:dyDescent="0.25">
      <c r="A16" s="4">
        <v>27.343950867652801</v>
      </c>
      <c r="B16">
        <v>7.4036660346475602E-2</v>
      </c>
      <c r="C16">
        <v>3.4324265057566602E-3</v>
      </c>
      <c r="D16" s="1">
        <f t="shared" si="0"/>
        <v>-7.7469086852232263E-2</v>
      </c>
    </row>
    <row r="17" spans="1:16" x14ac:dyDescent="0.25">
      <c r="A17" s="4">
        <v>30.7923927903175</v>
      </c>
      <c r="B17">
        <v>6.6963557959742695E-2</v>
      </c>
      <c r="C17">
        <v>3.3633057821471999E-3</v>
      </c>
      <c r="D17" s="1">
        <f t="shared" si="0"/>
        <v>-7.03268637418899E-2</v>
      </c>
    </row>
    <row r="18" spans="1:16" x14ac:dyDescent="0.25">
      <c r="A18" s="4">
        <v>34.551213085651298</v>
      </c>
      <c r="B18">
        <v>6.0456075102699403E-2</v>
      </c>
      <c r="C18">
        <v>3.6205857139070402E-3</v>
      </c>
      <c r="D18" s="1">
        <f t="shared" si="0"/>
        <v>-6.4076660816606443E-2</v>
      </c>
    </row>
    <row r="19" spans="1:16" x14ac:dyDescent="0.25">
      <c r="A19" s="4">
        <v>38.6483111977577</v>
      </c>
      <c r="B19">
        <v>5.45316978706002E-2</v>
      </c>
      <c r="C19">
        <v>4.0516913876853097E-3</v>
      </c>
      <c r="D19" s="1">
        <f t="shared" si="0"/>
        <v>-5.8583389258285511E-2</v>
      </c>
    </row>
    <row r="20" spans="1:16" x14ac:dyDescent="0.25">
      <c r="A20" s="4">
        <v>43.1141293048858</v>
      </c>
      <c r="B20">
        <v>4.9141681146857699E-2</v>
      </c>
      <c r="C20">
        <v>4.5243174324489203E-3</v>
      </c>
      <c r="D20" s="1">
        <f t="shared" si="0"/>
        <v>-5.3665998579306623E-2</v>
      </c>
    </row>
    <row r="21" spans="1:16" x14ac:dyDescent="0.25">
      <c r="A21" s="4">
        <v>47.981887757778097</v>
      </c>
      <c r="B21">
        <v>4.4219499773981902E-2</v>
      </c>
      <c r="C21">
        <v>4.9263952691533698E-3</v>
      </c>
      <c r="D21" s="1">
        <f t="shared" si="0"/>
        <v>-4.9145895043135268E-2</v>
      </c>
    </row>
    <row r="22" spans="1:16" x14ac:dyDescent="0.25">
      <c r="A22" s="4">
        <v>53.287820518016801</v>
      </c>
      <c r="B22">
        <v>3.9726188651244797E-2</v>
      </c>
      <c r="C22">
        <v>5.1810903102700902E-3</v>
      </c>
      <c r="D22" s="1">
        <f t="shared" si="0"/>
        <v>-4.490727896151489E-2</v>
      </c>
    </row>
    <row r="23" spans="1:16" x14ac:dyDescent="0.25">
      <c r="A23" s="4">
        <v>59.071175158023799</v>
      </c>
      <c r="B23">
        <v>3.5636201323931603E-2</v>
      </c>
      <c r="C23">
        <v>5.2568524650059203E-3</v>
      </c>
      <c r="D23" s="1">
        <f t="shared" si="0"/>
        <v>-4.0893053788937525E-2</v>
      </c>
    </row>
    <row r="24" spans="1:16" x14ac:dyDescent="0.25">
      <c r="A24" s="4">
        <v>65.375131070613804</v>
      </c>
      <c r="B24">
        <v>3.19144100076496E-2</v>
      </c>
      <c r="C24">
        <v>5.1694261957924304E-3</v>
      </c>
      <c r="D24" s="1">
        <f t="shared" si="0"/>
        <v>-3.7083836203442029E-2</v>
      </c>
    </row>
    <row r="25" spans="1:16" x14ac:dyDescent="0.25">
      <c r="A25" s="4">
        <v>72.246375679969702</v>
      </c>
      <c r="B25">
        <v>2.8541000136702299E-2</v>
      </c>
      <c r="C25">
        <v>4.9563131778097196E-3</v>
      </c>
      <c r="D25" s="1">
        <f t="shared" si="0"/>
        <v>-3.3497313314512021E-2</v>
      </c>
    </row>
    <row r="26" spans="1:16" x14ac:dyDescent="0.25">
      <c r="A26" s="4">
        <v>79.736069738864799</v>
      </c>
      <c r="B26">
        <v>2.5490110400064599E-2</v>
      </c>
      <c r="C26">
        <v>4.6484595140395797E-3</v>
      </c>
      <c r="D26" s="1">
        <f t="shared" si="0"/>
        <v>-3.0138569914104178E-2</v>
      </c>
    </row>
    <row r="27" spans="1:16" x14ac:dyDescent="0.25">
      <c r="A27" s="4">
        <v>87.899753153324099</v>
      </c>
      <c r="B27">
        <v>2.2734409830612302E-2</v>
      </c>
      <c r="C27">
        <v>4.2840439937239802E-3</v>
      </c>
      <c r="D27" s="1">
        <f t="shared" si="0"/>
        <v>-2.7018453824336281E-2</v>
      </c>
    </row>
    <row r="28" spans="1:16" x14ac:dyDescent="0.25">
      <c r="A28" s="4">
        <v>96.798263192176805</v>
      </c>
      <c r="B28">
        <v>2.02410694108155E-2</v>
      </c>
      <c r="C28">
        <v>3.9005600711002398E-3</v>
      </c>
      <c r="D28" s="1">
        <f t="shared" si="0"/>
        <v>-2.4141629481915741E-2</v>
      </c>
    </row>
    <row r="29" spans="1:16" x14ac:dyDescent="0.25">
      <c r="A29" s="4">
        <v>106.497616767883</v>
      </c>
      <c r="B29">
        <v>1.7993909345092499E-2</v>
      </c>
      <c r="C29">
        <v>3.52645295966707E-3</v>
      </c>
      <c r="D29" s="1">
        <f t="shared" si="0"/>
        <v>-2.1520362304759569E-2</v>
      </c>
    </row>
    <row r="30" spans="1:16" x14ac:dyDescent="0.25">
      <c r="A30" s="4">
        <v>117.06990510225199</v>
      </c>
      <c r="B30">
        <v>1.59699834555911E-2</v>
      </c>
      <c r="C30">
        <v>3.16195419786029E-3</v>
      </c>
      <c r="D30" s="1">
        <f t="shared" si="0"/>
        <v>-1.9131937653451388E-2</v>
      </c>
    </row>
    <row r="31" spans="1:16" x14ac:dyDescent="0.25">
      <c r="A31" s="4">
        <v>128.593670427799</v>
      </c>
      <c r="B31">
        <v>1.4130229359876E-2</v>
      </c>
      <c r="C31">
        <v>2.7983313797209802E-3</v>
      </c>
      <c r="D31" s="1">
        <f t="shared" si="0"/>
        <v>-1.692856073959698E-2</v>
      </c>
    </row>
    <row r="32" spans="1:16" x14ac:dyDescent="0.25">
      <c r="A32" s="4">
        <v>141.15461230278001</v>
      </c>
      <c r="B32">
        <v>1.2443993796663499E-2</v>
      </c>
      <c r="C32">
        <v>2.46030634623451E-3</v>
      </c>
      <c r="D32" s="1">
        <f t="shared" si="0"/>
        <v>-1.490430014289801E-2</v>
      </c>
      <c r="L32" s="1"/>
      <c r="M32" s="1"/>
      <c r="P32" s="1"/>
    </row>
    <row r="33" spans="1:16" x14ac:dyDescent="0.25">
      <c r="A33" s="4">
        <v>154.84601140022201</v>
      </c>
      <c r="B33">
        <v>1.0888812234616499E-2</v>
      </c>
      <c r="C33">
        <v>2.1529623742447199E-3</v>
      </c>
      <c r="D33" s="1">
        <f t="shared" si="0"/>
        <v>-1.3041774608861219E-2</v>
      </c>
      <c r="L33" s="1"/>
      <c r="M33" s="1"/>
    </row>
    <row r="34" spans="1:16" x14ac:dyDescent="0.25">
      <c r="A34" s="4">
        <v>169.76969480514501</v>
      </c>
      <c r="B34">
        <v>9.4440854835019204E-3</v>
      </c>
      <c r="C34">
        <v>1.8633229303925099E-3</v>
      </c>
      <c r="D34" s="1">
        <f t="shared" si="0"/>
        <v>-1.1307408413894431E-2</v>
      </c>
      <c r="K34" s="1"/>
      <c r="L34" s="1"/>
      <c r="M34" s="1"/>
      <c r="N34" s="1"/>
    </row>
    <row r="35" spans="1:16" x14ac:dyDescent="0.25">
      <c r="A35" s="4">
        <v>186.03645980358101</v>
      </c>
      <c r="B35">
        <v>8.1039526457898706E-3</v>
      </c>
      <c r="C35">
        <v>1.5856346567683199E-3</v>
      </c>
      <c r="D35" s="1">
        <f t="shared" si="0"/>
        <v>-9.6895873025581898E-3</v>
      </c>
      <c r="L35" s="1"/>
    </row>
    <row r="36" spans="1:16" x14ac:dyDescent="0.25">
      <c r="A36" s="4">
        <v>203.76720398664401</v>
      </c>
      <c r="B36">
        <v>6.8654322009088099E-3</v>
      </c>
      <c r="C36">
        <v>1.3286944103202999E-3</v>
      </c>
      <c r="D36" s="1">
        <f t="shared" si="0"/>
        <v>-8.1941266112291102E-3</v>
      </c>
      <c r="L36" s="1"/>
      <c r="M36" s="1"/>
    </row>
    <row r="37" spans="1:16" x14ac:dyDescent="0.25">
      <c r="A37" s="4">
        <v>223.09376105666101</v>
      </c>
      <c r="B37">
        <v>5.7053402768932797E-3</v>
      </c>
      <c r="C37">
        <v>1.08896666399536E-3</v>
      </c>
      <c r="D37" s="1">
        <f t="shared" si="0"/>
        <v>-6.7943069408886395E-3</v>
      </c>
      <c r="L37" s="1"/>
      <c r="N37" s="2"/>
      <c r="O37" s="2"/>
      <c r="P37" s="1"/>
    </row>
    <row r="38" spans="1:16" x14ac:dyDescent="0.25">
      <c r="A38" s="4">
        <v>244.15970131754801</v>
      </c>
      <c r="B38">
        <v>4.6390717664929098E-3</v>
      </c>
      <c r="C38">
        <v>8.6208719201642803E-4</v>
      </c>
      <c r="D38" s="1">
        <f t="shared" si="0"/>
        <v>-5.5011589585093378E-3</v>
      </c>
      <c r="N38" s="2"/>
      <c r="O38" s="2"/>
      <c r="P38" s="1"/>
    </row>
    <row r="39" spans="1:16" x14ac:dyDescent="0.25">
      <c r="A39" s="4">
        <v>267.12157949805197</v>
      </c>
      <c r="B39">
        <v>3.6849633040539399E-3</v>
      </c>
      <c r="C39">
        <v>6.6016172784867601E-4</v>
      </c>
      <c r="D39" s="1">
        <f t="shared" si="0"/>
        <v>-4.345125031902616E-3</v>
      </c>
      <c r="O39" s="1"/>
    </row>
    <row r="40" spans="1:16" x14ac:dyDescent="0.25">
      <c r="A40" s="4">
        <v>292.15002954006098</v>
      </c>
      <c r="B40">
        <v>2.85904608943629E-3</v>
      </c>
      <c r="C40">
        <v>4.8075109503119598E-4</v>
      </c>
      <c r="D40" s="1">
        <f t="shared" si="0"/>
        <v>-3.3397971844674858E-3</v>
      </c>
    </row>
    <row r="41" spans="1:16" x14ac:dyDescent="0.25">
      <c r="A41" s="4">
        <v>319.43101242184599</v>
      </c>
      <c r="B41">
        <v>2.1876152396735401E-3</v>
      </c>
      <c r="C41">
        <v>3.39312970758497E-4</v>
      </c>
      <c r="D41" s="1">
        <f t="shared" si="0"/>
        <v>-2.5269282104320371E-3</v>
      </c>
    </row>
    <row r="42" spans="1:16" x14ac:dyDescent="0.25">
      <c r="A42" s="4">
        <v>349.16732590645501</v>
      </c>
      <c r="B42">
        <v>1.72824558361385E-3</v>
      </c>
      <c r="C42">
        <v>2.37206240058033E-4</v>
      </c>
      <c r="D42" s="1">
        <f t="shared" si="0"/>
        <v>-1.9654518236718829E-3</v>
      </c>
    </row>
    <row r="43" spans="1:16" x14ac:dyDescent="0.25">
      <c r="A43" s="4">
        <v>379.83785875141598</v>
      </c>
      <c r="B43">
        <v>1.4727466222260301E-3</v>
      </c>
      <c r="C43">
        <v>1.74225865961871E-4</v>
      </c>
      <c r="D43" s="1">
        <f t="shared" si="0"/>
        <v>-1.6469724881879011E-3</v>
      </c>
    </row>
    <row r="44" spans="1:16" x14ac:dyDescent="0.25">
      <c r="D44" s="1"/>
    </row>
    <row r="45" spans="1:16" x14ac:dyDescent="0.25">
      <c r="D45" s="1"/>
    </row>
    <row r="46" spans="1:16" x14ac:dyDescent="0.25">
      <c r="D46" s="1"/>
    </row>
    <row r="47" spans="1:16" x14ac:dyDescent="0.25">
      <c r="D47" s="1"/>
    </row>
    <row r="48" spans="1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877"/>
  <sheetViews>
    <sheetView topLeftCell="B1" workbookViewId="0">
      <selection activeCell="D12" sqref="D12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2.5703125" bestFit="1" customWidth="1"/>
    <col min="9" max="9" width="11.85546875" bestFit="1" customWidth="1"/>
    <col min="10" max="10" width="12.28515625" bestFit="1" customWidth="1"/>
    <col min="11" max="11" width="14" bestFit="1" customWidth="1"/>
    <col min="12" max="12" width="12" customWidth="1"/>
    <col min="13" max="13" width="5" bestFit="1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17</v>
      </c>
    </row>
    <row r="2" spans="1:6" x14ac:dyDescent="0.25">
      <c r="A2" t="s">
        <v>17</v>
      </c>
      <c r="B2" s="1"/>
      <c r="C2" s="1"/>
      <c r="D2" s="1"/>
      <c r="E2" s="1"/>
    </row>
    <row r="3" spans="1:6" x14ac:dyDescent="0.25">
      <c r="A3" t="s">
        <v>18</v>
      </c>
      <c r="B3" s="1" t="s">
        <v>19</v>
      </c>
      <c r="C3" s="1"/>
      <c r="D3" s="1"/>
      <c r="E3" s="1"/>
    </row>
    <row r="4" spans="1:6" x14ac:dyDescent="0.25">
      <c r="A4" t="s">
        <v>18</v>
      </c>
      <c r="B4" s="1" t="s">
        <v>20</v>
      </c>
      <c r="C4" s="1" t="s">
        <v>21</v>
      </c>
      <c r="D4" s="1" t="s">
        <v>22</v>
      </c>
      <c r="E4" s="1" t="s">
        <v>19</v>
      </c>
    </row>
    <row r="5" spans="1:6" x14ac:dyDescent="0.25">
      <c r="A5" t="s">
        <v>18</v>
      </c>
      <c r="B5" s="1" t="s">
        <v>23</v>
      </c>
      <c r="C5" s="1" t="s">
        <v>24</v>
      </c>
      <c r="D5" s="1" t="s">
        <v>19</v>
      </c>
      <c r="E5" s="1"/>
    </row>
    <row r="6" spans="1:6" x14ac:dyDescent="0.25">
      <c r="A6" t="s">
        <v>18</v>
      </c>
      <c r="B6" s="1" t="s">
        <v>25</v>
      </c>
      <c r="C6" s="1" t="s">
        <v>26</v>
      </c>
      <c r="D6" s="1" t="s">
        <v>27</v>
      </c>
      <c r="E6" s="1" t="s">
        <v>28</v>
      </c>
      <c r="F6" t="s">
        <v>19</v>
      </c>
    </row>
    <row r="7" spans="1:6" x14ac:dyDescent="0.25">
      <c r="A7" t="s">
        <v>18</v>
      </c>
      <c r="B7" s="1" t="s">
        <v>29</v>
      </c>
      <c r="C7" s="1" t="s">
        <v>30</v>
      </c>
      <c r="D7" s="1" t="s">
        <v>31</v>
      </c>
      <c r="E7" s="1" t="s">
        <v>19</v>
      </c>
    </row>
    <row r="8" spans="1:6" x14ac:dyDescent="0.25">
      <c r="A8" t="s">
        <v>18</v>
      </c>
      <c r="B8" s="1" t="s">
        <v>19</v>
      </c>
      <c r="C8" s="1"/>
      <c r="D8" s="1"/>
      <c r="E8" s="1"/>
    </row>
    <row r="9" spans="1:6" x14ac:dyDescent="0.25">
      <c r="A9" t="s">
        <v>18</v>
      </c>
      <c r="B9" s="1" t="s">
        <v>19</v>
      </c>
      <c r="C9" s="1"/>
      <c r="D9" s="1"/>
      <c r="E9" s="1"/>
    </row>
    <row r="10" spans="1:6" x14ac:dyDescent="0.25">
      <c r="A10" t="s">
        <v>18</v>
      </c>
      <c r="B10" s="1" t="s">
        <v>32</v>
      </c>
      <c r="C10" s="1" t="s">
        <v>19</v>
      </c>
      <c r="D10" s="1"/>
      <c r="E10" s="1"/>
    </row>
    <row r="11" spans="1:6" x14ac:dyDescent="0.25">
      <c r="A11" t="s">
        <v>18</v>
      </c>
      <c r="B11" s="1" t="s">
        <v>19</v>
      </c>
      <c r="C11" s="1"/>
      <c r="D11" s="1"/>
      <c r="E11" s="1"/>
    </row>
    <row r="12" spans="1:6" x14ac:dyDescent="0.25">
      <c r="A12" t="s">
        <v>18</v>
      </c>
      <c r="B12" s="1" t="s">
        <v>33</v>
      </c>
      <c r="C12" s="1" t="s">
        <v>34</v>
      </c>
      <c r="D12" s="1" t="s">
        <v>19</v>
      </c>
      <c r="E12" s="1"/>
    </row>
    <row r="13" spans="1:6" x14ac:dyDescent="0.25">
      <c r="A13" t="s">
        <v>18</v>
      </c>
      <c r="B13" s="1" t="s">
        <v>19</v>
      </c>
      <c r="C13" s="1"/>
      <c r="D13" s="1"/>
      <c r="E13" s="1"/>
    </row>
    <row r="14" spans="1:6" x14ac:dyDescent="0.25">
      <c r="A14" t="s">
        <v>18</v>
      </c>
      <c r="B14" s="1" t="s">
        <v>35</v>
      </c>
      <c r="C14" s="1" t="s">
        <v>36</v>
      </c>
      <c r="D14" s="1" t="s">
        <v>37</v>
      </c>
      <c r="E14" s="1" t="s">
        <v>38</v>
      </c>
      <c r="F14" t="s">
        <v>19</v>
      </c>
    </row>
    <row r="15" spans="1:6" x14ac:dyDescent="0.25">
      <c r="A15" t="s">
        <v>18</v>
      </c>
      <c r="B15" s="1" t="s">
        <v>19</v>
      </c>
      <c r="C15" s="1"/>
      <c r="D15" s="1"/>
      <c r="E15" s="1"/>
    </row>
    <row r="16" spans="1:6" x14ac:dyDescent="0.25">
      <c r="A16" t="s">
        <v>18</v>
      </c>
      <c r="B16" s="1" t="s">
        <v>39</v>
      </c>
      <c r="C16" s="1" t="s">
        <v>36</v>
      </c>
      <c r="D16" s="1" t="s">
        <v>40</v>
      </c>
      <c r="E16" s="1" t="s">
        <v>41</v>
      </c>
      <c r="F16" t="s">
        <v>19</v>
      </c>
    </row>
    <row r="17" spans="1:10" x14ac:dyDescent="0.25">
      <c r="A17" t="s">
        <v>18</v>
      </c>
      <c r="B17" s="1" t="s">
        <v>42</v>
      </c>
      <c r="C17" s="1" t="s">
        <v>36</v>
      </c>
      <c r="D17" s="1" t="s">
        <v>43</v>
      </c>
      <c r="E17" s="1" t="s">
        <v>44</v>
      </c>
      <c r="F17" t="s">
        <v>45</v>
      </c>
      <c r="G17" t="s">
        <v>19</v>
      </c>
    </row>
    <row r="18" spans="1:10" x14ac:dyDescent="0.25">
      <c r="A18" t="s">
        <v>18</v>
      </c>
      <c r="B18" s="1" t="s">
        <v>46</v>
      </c>
      <c r="C18" s="1" t="s">
        <v>47</v>
      </c>
      <c r="D18" s="1" t="s">
        <v>36</v>
      </c>
      <c r="E18" s="1" t="s">
        <v>43</v>
      </c>
      <c r="F18" t="s">
        <v>19</v>
      </c>
    </row>
    <row r="19" spans="1:10" x14ac:dyDescent="0.25">
      <c r="A19" t="s">
        <v>18</v>
      </c>
      <c r="B19" s="1" t="s">
        <v>48</v>
      </c>
      <c r="C19" s="1" t="s">
        <v>49</v>
      </c>
      <c r="D19" s="1" t="s">
        <v>50</v>
      </c>
      <c r="E19" s="1" t="s">
        <v>19</v>
      </c>
    </row>
    <row r="20" spans="1:10" x14ac:dyDescent="0.25">
      <c r="A20" t="s">
        <v>18</v>
      </c>
      <c r="B20" s="1" t="s">
        <v>51</v>
      </c>
      <c r="C20" s="1" t="s">
        <v>19</v>
      </c>
      <c r="D20" s="1"/>
      <c r="E20" s="1"/>
    </row>
    <row r="21" spans="1:10" x14ac:dyDescent="0.25">
      <c r="A21" t="s">
        <v>18</v>
      </c>
      <c r="B21" s="1" t="s">
        <v>19</v>
      </c>
      <c r="C21" s="1"/>
      <c r="D21" s="1"/>
      <c r="E21" s="1"/>
    </row>
    <row r="22" spans="1:10" x14ac:dyDescent="0.25">
      <c r="A22" t="s">
        <v>18</v>
      </c>
      <c r="B22" s="1" t="s">
        <v>19</v>
      </c>
      <c r="C22" s="1"/>
      <c r="D22" s="1"/>
      <c r="E22" s="1"/>
    </row>
    <row r="23" spans="1:10" x14ac:dyDescent="0.25">
      <c r="A23" t="s">
        <v>18</v>
      </c>
      <c r="B23" s="1" t="s">
        <v>19</v>
      </c>
      <c r="C23" s="1"/>
      <c r="D23" s="1"/>
      <c r="E23" s="1"/>
    </row>
    <row r="24" spans="1:10" x14ac:dyDescent="0.25">
      <c r="A24" t="s">
        <v>17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52</v>
      </c>
      <c r="B26" s="1"/>
      <c r="C26" s="1"/>
      <c r="D26" s="1"/>
      <c r="E26" s="1"/>
    </row>
    <row r="27" spans="1:10" x14ac:dyDescent="0.25">
      <c r="A27" t="s">
        <v>52</v>
      </c>
      <c r="B27" s="1"/>
      <c r="C27" s="1"/>
      <c r="D27" s="1"/>
      <c r="E27" s="1"/>
    </row>
    <row r="28" spans="1:10" x14ac:dyDescent="0.25">
      <c r="A28" t="s">
        <v>52</v>
      </c>
      <c r="B28" s="1"/>
      <c r="C28" s="1"/>
      <c r="D28" s="1"/>
      <c r="E28" s="1"/>
    </row>
    <row r="29" spans="1:10" x14ac:dyDescent="0.25">
      <c r="A29" t="s">
        <v>53</v>
      </c>
      <c r="B29" s="1" t="s">
        <v>54</v>
      </c>
      <c r="C29" s="1" t="s">
        <v>55</v>
      </c>
      <c r="D29" s="1" t="s">
        <v>54</v>
      </c>
      <c r="E29" s="1" t="s">
        <v>56</v>
      </c>
    </row>
    <row r="30" spans="1:10" x14ac:dyDescent="0.25">
      <c r="A30" t="s">
        <v>53</v>
      </c>
      <c r="B30" s="1" t="s">
        <v>56</v>
      </c>
      <c r="C30" s="1"/>
      <c r="D30" s="1"/>
      <c r="E30" s="1"/>
    </row>
    <row r="31" spans="1:10" x14ac:dyDescent="0.25">
      <c r="A31" t="s">
        <v>53</v>
      </c>
      <c r="B31" s="1" t="s">
        <v>57</v>
      </c>
      <c r="C31" s="1" t="s">
        <v>58</v>
      </c>
      <c r="D31" s="1" t="s">
        <v>59</v>
      </c>
      <c r="E31" s="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s="1" t="s">
        <v>56</v>
      </c>
      <c r="C32" s="1"/>
      <c r="D32" s="1"/>
      <c r="E32" s="1"/>
    </row>
    <row r="33" spans="1:12" x14ac:dyDescent="0.25">
      <c r="A33" t="s">
        <v>53</v>
      </c>
      <c r="B33" s="1" t="s">
        <v>57</v>
      </c>
      <c r="C33" s="1" t="s">
        <v>62</v>
      </c>
      <c r="D33" s="1" t="s">
        <v>65</v>
      </c>
      <c r="E33" s="1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s="1" t="s">
        <v>70</v>
      </c>
      <c r="C34" s="1" t="s">
        <v>62</v>
      </c>
      <c r="D34" s="1" t="s">
        <v>71</v>
      </c>
      <c r="E34" s="1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s="1" t="s">
        <v>76</v>
      </c>
      <c r="C35" s="1" t="s">
        <v>77</v>
      </c>
      <c r="D35" s="1" t="s">
        <v>78</v>
      </c>
      <c r="E35" s="1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s="1" t="s">
        <v>84</v>
      </c>
      <c r="C36" s="1" t="s">
        <v>85</v>
      </c>
      <c r="D36" s="1" t="s">
        <v>86</v>
      </c>
      <c r="E36" s="1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s="1" t="s">
        <v>90</v>
      </c>
      <c r="C37" s="1" t="s">
        <v>44</v>
      </c>
      <c r="D37" s="1" t="s">
        <v>91</v>
      </c>
      <c r="E37" s="1" t="s">
        <v>92</v>
      </c>
      <c r="F37" t="s">
        <v>93</v>
      </c>
      <c r="G37" t="s">
        <v>56</v>
      </c>
    </row>
    <row r="38" spans="1:12" x14ac:dyDescent="0.25">
      <c r="A38" t="s">
        <v>53</v>
      </c>
      <c r="B38" s="1" t="s">
        <v>56</v>
      </c>
      <c r="C38" s="1"/>
      <c r="D38" s="1"/>
      <c r="E38" s="1"/>
    </row>
    <row r="39" spans="1:12" x14ac:dyDescent="0.25">
      <c r="A39" t="s">
        <v>53</v>
      </c>
      <c r="B39" s="1" t="s">
        <v>94</v>
      </c>
      <c r="C39" s="1" t="s">
        <v>65</v>
      </c>
      <c r="D39" s="1" t="s">
        <v>66</v>
      </c>
      <c r="E39" s="1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s="1" t="s">
        <v>56</v>
      </c>
      <c r="C40" s="1"/>
      <c r="D40" s="1"/>
      <c r="E40" s="1"/>
    </row>
    <row r="41" spans="1:12" x14ac:dyDescent="0.25">
      <c r="A41" t="s">
        <v>53</v>
      </c>
      <c r="B41" s="1" t="s">
        <v>94</v>
      </c>
      <c r="C41" s="1" t="s">
        <v>65</v>
      </c>
      <c r="D41" s="1" t="s">
        <v>66</v>
      </c>
      <c r="E41" s="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s="1" t="s">
        <v>63</v>
      </c>
      <c r="C42" s="1" t="s">
        <v>102</v>
      </c>
      <c r="D42" s="1" t="s">
        <v>29</v>
      </c>
      <c r="E42" s="1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s="1" t="s">
        <v>108</v>
      </c>
      <c r="C43" s="1" t="s">
        <v>109</v>
      </c>
      <c r="D43" s="1" t="s">
        <v>77</v>
      </c>
      <c r="E43" s="1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s="1" t="s">
        <v>113</v>
      </c>
      <c r="C44" s="1" t="s">
        <v>114</v>
      </c>
      <c r="D44" s="1" t="s">
        <v>56</v>
      </c>
      <c r="E44" s="1"/>
    </row>
    <row r="45" spans="1:12" x14ac:dyDescent="0.25">
      <c r="A45" t="s">
        <v>53</v>
      </c>
      <c r="B45" s="1" t="s">
        <v>56</v>
      </c>
      <c r="C45" s="1"/>
      <c r="D45" s="1"/>
      <c r="E45" s="1"/>
    </row>
    <row r="46" spans="1:12" x14ac:dyDescent="0.25">
      <c r="A46" t="s">
        <v>53</v>
      </c>
      <c r="B46" s="1" t="s">
        <v>115</v>
      </c>
      <c r="C46" s="1" t="s">
        <v>116</v>
      </c>
      <c r="D46" s="1" t="s">
        <v>117</v>
      </c>
      <c r="E46" s="1" t="s">
        <v>118</v>
      </c>
      <c r="F46" t="s">
        <v>56</v>
      </c>
    </row>
    <row r="47" spans="1:12" x14ac:dyDescent="0.25">
      <c r="A47" t="s">
        <v>53</v>
      </c>
      <c r="B47" s="1" t="s">
        <v>56</v>
      </c>
      <c r="C47" s="1"/>
      <c r="D47" s="1"/>
      <c r="E47" s="1"/>
    </row>
    <row r="48" spans="1:12" x14ac:dyDescent="0.25">
      <c r="A48" t="s">
        <v>53</v>
      </c>
      <c r="B48" s="1" t="s">
        <v>119</v>
      </c>
      <c r="C48" s="1" t="s">
        <v>120</v>
      </c>
      <c r="D48" s="1">
        <v>2008</v>
      </c>
      <c r="E48" s="1" t="s">
        <v>56</v>
      </c>
    </row>
    <row r="49" spans="1:12" x14ac:dyDescent="0.25">
      <c r="A49" t="s">
        <v>52</v>
      </c>
      <c r="B49" s="1"/>
      <c r="C49" s="1"/>
      <c r="D49" s="1"/>
      <c r="E49" s="1"/>
    </row>
    <row r="50" spans="1:12" x14ac:dyDescent="0.25">
      <c r="A50" t="s">
        <v>52</v>
      </c>
      <c r="B50" s="1"/>
      <c r="C50" s="1"/>
      <c r="D50" s="1"/>
      <c r="E50" s="1"/>
    </row>
    <row r="51" spans="1:12" x14ac:dyDescent="0.25">
      <c r="B51" s="1"/>
      <c r="C51" s="1"/>
      <c r="D51" s="1"/>
      <c r="E51" s="1"/>
    </row>
    <row r="52" spans="1:12" x14ac:dyDescent="0.25">
      <c r="A52" t="s">
        <v>121</v>
      </c>
      <c r="B52" s="1" t="s">
        <v>122</v>
      </c>
      <c r="C52" s="1"/>
      <c r="D52" s="1"/>
      <c r="E52" s="1"/>
    </row>
    <row r="53" spans="1:12" x14ac:dyDescent="0.25">
      <c r="B53" s="1"/>
      <c r="C53" s="1"/>
      <c r="D53" s="1"/>
      <c r="E53" s="1"/>
    </row>
    <row r="54" spans="1:12" x14ac:dyDescent="0.25">
      <c r="A54" t="s">
        <v>123</v>
      </c>
      <c r="B54" s="1" t="s">
        <v>36</v>
      </c>
      <c r="C54" s="1" t="s">
        <v>124</v>
      </c>
      <c r="D54" s="1" t="s">
        <v>119</v>
      </c>
      <c r="E54" s="1" t="s">
        <v>120</v>
      </c>
      <c r="F54">
        <v>2008</v>
      </c>
    </row>
    <row r="55" spans="1:12" x14ac:dyDescent="0.25">
      <c r="B55" s="1"/>
      <c r="C55" s="1"/>
      <c r="D55" s="1"/>
      <c r="E55" s="1"/>
    </row>
    <row r="56" spans="1:12" x14ac:dyDescent="0.25">
      <c r="A56" t="s">
        <v>125</v>
      </c>
      <c r="B56" s="1" t="s">
        <v>126</v>
      </c>
      <c r="C56" s="1" t="s">
        <v>127</v>
      </c>
      <c r="D56" s="1" t="s">
        <v>128</v>
      </c>
      <c r="E56" s="1" t="s">
        <v>129</v>
      </c>
      <c r="F56" t="s">
        <v>130</v>
      </c>
      <c r="G56" t="s">
        <v>131</v>
      </c>
      <c r="H56" t="s">
        <v>132</v>
      </c>
      <c r="I56" t="s">
        <v>44</v>
      </c>
      <c r="J56" t="s">
        <v>133</v>
      </c>
      <c r="K56" t="s">
        <v>34</v>
      </c>
      <c r="L56" t="s">
        <v>132</v>
      </c>
    </row>
    <row r="57" spans="1:12" x14ac:dyDescent="0.25">
      <c r="B57" s="1"/>
      <c r="C57" s="1"/>
      <c r="D57" s="1"/>
      <c r="E57" s="1"/>
    </row>
    <row r="58" spans="1:12" x14ac:dyDescent="0.25">
      <c r="B58" s="1" t="s">
        <v>132</v>
      </c>
      <c r="C58" s="1" t="s">
        <v>39</v>
      </c>
      <c r="D58" s="1" t="s">
        <v>36</v>
      </c>
      <c r="E58" s="1" t="s">
        <v>40</v>
      </c>
      <c r="F58" t="s">
        <v>41</v>
      </c>
    </row>
    <row r="59" spans="1:12" x14ac:dyDescent="0.25">
      <c r="B59" s="1" t="s">
        <v>42</v>
      </c>
      <c r="C59" s="1" t="s">
        <v>36</v>
      </c>
      <c r="D59" s="1" t="s">
        <v>43</v>
      </c>
      <c r="E59" s="1" t="s">
        <v>44</v>
      </c>
      <c r="F59" t="s">
        <v>45</v>
      </c>
    </row>
    <row r="60" spans="1:12" x14ac:dyDescent="0.25">
      <c r="B60" s="1" t="s">
        <v>46</v>
      </c>
      <c r="C60" s="1" t="s">
        <v>47</v>
      </c>
      <c r="D60" s="1" t="s">
        <v>36</v>
      </c>
      <c r="E60" s="1" t="s">
        <v>43</v>
      </c>
    </row>
    <row r="61" spans="1:12" x14ac:dyDescent="0.25">
      <c r="B61" s="1" t="s">
        <v>48</v>
      </c>
      <c r="C61" s="1" t="s">
        <v>49</v>
      </c>
      <c r="D61" s="1" t="s">
        <v>134</v>
      </c>
      <c r="E61" s="1" t="s">
        <v>51</v>
      </c>
    </row>
    <row r="62" spans="1:12" x14ac:dyDescent="0.25">
      <c r="B62" s="1" t="s">
        <v>135</v>
      </c>
      <c r="C62" s="1" t="s">
        <v>136</v>
      </c>
      <c r="D62" s="1" t="s">
        <v>137</v>
      </c>
      <c r="E62" s="1"/>
    </row>
    <row r="63" spans="1:12" x14ac:dyDescent="0.25">
      <c r="B63" s="1"/>
      <c r="C63" s="1"/>
      <c r="D63" s="1"/>
      <c r="E63" s="1"/>
    </row>
    <row r="64" spans="1:12" x14ac:dyDescent="0.25">
      <c r="A64" t="s">
        <v>138</v>
      </c>
      <c r="B64" s="1"/>
      <c r="C64" s="1"/>
      <c r="D64" s="1"/>
      <c r="E64" s="1"/>
    </row>
    <row r="65" spans="2:11" x14ac:dyDescent="0.25">
      <c r="B65" s="1" t="s">
        <v>139</v>
      </c>
      <c r="C65" s="1" t="s">
        <v>140</v>
      </c>
      <c r="D65" s="1" t="s">
        <v>141</v>
      </c>
      <c r="E65" s="1" t="s">
        <v>142</v>
      </c>
      <c r="F65" t="s">
        <v>143</v>
      </c>
    </row>
    <row r="66" spans="2:11" x14ac:dyDescent="0.25">
      <c r="B66" s="1" t="s">
        <v>15</v>
      </c>
      <c r="C66" s="1" t="s">
        <v>140</v>
      </c>
      <c r="D66" s="1" t="s">
        <v>144</v>
      </c>
      <c r="E66" s="1" t="s">
        <v>117</v>
      </c>
      <c r="F66" t="s">
        <v>145</v>
      </c>
      <c r="G66" t="s">
        <v>146</v>
      </c>
      <c r="H66" t="s">
        <v>147</v>
      </c>
    </row>
    <row r="67" spans="2:11" x14ac:dyDescent="0.25">
      <c r="B67" s="1" t="s">
        <v>148</v>
      </c>
      <c r="C67" s="1" t="s">
        <v>140</v>
      </c>
      <c r="D67" s="1" t="s">
        <v>149</v>
      </c>
      <c r="E67" s="1" t="s">
        <v>150</v>
      </c>
    </row>
    <row r="68" spans="2:11" x14ac:dyDescent="0.25">
      <c r="B68" s="1" t="s">
        <v>151</v>
      </c>
      <c r="C68" s="1" t="s">
        <v>140</v>
      </c>
      <c r="D68" s="1" t="s">
        <v>152</v>
      </c>
      <c r="E68" s="1" t="s">
        <v>117</v>
      </c>
      <c r="F68" t="s">
        <v>153</v>
      </c>
      <c r="G68" t="s">
        <v>154</v>
      </c>
    </row>
    <row r="69" spans="2:11" x14ac:dyDescent="0.25">
      <c r="B69" s="1" t="s">
        <v>155</v>
      </c>
      <c r="C69" s="1" t="s">
        <v>140</v>
      </c>
      <c r="D69" s="1" t="s">
        <v>156</v>
      </c>
      <c r="E69" s="1" t="s">
        <v>117</v>
      </c>
      <c r="F69" t="s">
        <v>153</v>
      </c>
      <c r="G69" t="s">
        <v>154</v>
      </c>
    </row>
    <row r="70" spans="2:11" x14ac:dyDescent="0.25">
      <c r="B70" s="1" t="s">
        <v>157</v>
      </c>
      <c r="C70" s="1" t="s">
        <v>140</v>
      </c>
      <c r="D70" s="1" t="s">
        <v>158</v>
      </c>
      <c r="E70" s="1"/>
    </row>
    <row r="71" spans="2:11" x14ac:dyDescent="0.25">
      <c r="B71" s="1" t="s">
        <v>159</v>
      </c>
      <c r="C71" s="1" t="s">
        <v>140</v>
      </c>
      <c r="D71" s="1" t="s">
        <v>160</v>
      </c>
      <c r="E71" s="1" t="s">
        <v>161</v>
      </c>
      <c r="F71" t="s">
        <v>162</v>
      </c>
    </row>
    <row r="72" spans="2:11" x14ac:dyDescent="0.25">
      <c r="B72" s="1" t="s">
        <v>163</v>
      </c>
      <c r="C72" s="1" t="s">
        <v>140</v>
      </c>
      <c r="D72" s="1" t="s">
        <v>164</v>
      </c>
      <c r="E72" s="1" t="s">
        <v>161</v>
      </c>
      <c r="F72" t="s">
        <v>162</v>
      </c>
    </row>
    <row r="73" spans="2:11" x14ac:dyDescent="0.25">
      <c r="B73" s="1" t="s">
        <v>165</v>
      </c>
      <c r="C73" s="1" t="s">
        <v>166</v>
      </c>
      <c r="D73" s="1" t="s">
        <v>167</v>
      </c>
      <c r="E73" s="1" t="s">
        <v>140</v>
      </c>
      <c r="F73" t="s">
        <v>168</v>
      </c>
      <c r="G73" t="s">
        <v>169</v>
      </c>
      <c r="H73" t="s">
        <v>44</v>
      </c>
      <c r="I73" t="s">
        <v>170</v>
      </c>
      <c r="J73" t="s">
        <v>162</v>
      </c>
      <c r="K73" t="s">
        <v>171</v>
      </c>
    </row>
    <row r="74" spans="2:11" x14ac:dyDescent="0.25">
      <c r="B74" s="1" t="s">
        <v>172</v>
      </c>
      <c r="C74" s="1" t="s">
        <v>140</v>
      </c>
      <c r="D74" s="1" t="s">
        <v>173</v>
      </c>
      <c r="E74" s="1" t="s">
        <v>174</v>
      </c>
      <c r="F74" t="s">
        <v>36</v>
      </c>
      <c r="G74" t="s">
        <v>162</v>
      </c>
      <c r="H74" t="s">
        <v>171</v>
      </c>
    </row>
    <row r="75" spans="2:11" x14ac:dyDescent="0.25">
      <c r="B75" s="1" t="s">
        <v>175</v>
      </c>
      <c r="C75" s="1" t="s">
        <v>140</v>
      </c>
      <c r="D75" s="1" t="s">
        <v>176</v>
      </c>
      <c r="E75" s="1" t="s">
        <v>162</v>
      </c>
    </row>
    <row r="76" spans="2:11" x14ac:dyDescent="0.25">
      <c r="B76" s="1" t="s">
        <v>177</v>
      </c>
      <c r="C76" s="1" t="s">
        <v>178</v>
      </c>
      <c r="D76" s="1" t="s">
        <v>179</v>
      </c>
      <c r="E76" s="1" t="s">
        <v>140</v>
      </c>
      <c r="F76" t="s">
        <v>168</v>
      </c>
      <c r="G76" t="s">
        <v>169</v>
      </c>
      <c r="H76" t="s">
        <v>44</v>
      </c>
      <c r="I76" t="s">
        <v>170</v>
      </c>
      <c r="J76" t="s">
        <v>180</v>
      </c>
    </row>
    <row r="77" spans="2:11" x14ac:dyDescent="0.25">
      <c r="B77" s="1"/>
      <c r="C77" s="1"/>
      <c r="D77" s="1"/>
      <c r="E77" s="1"/>
    </row>
    <row r="78" spans="2:11" x14ac:dyDescent="0.25">
      <c r="B78" s="1" t="s">
        <v>181</v>
      </c>
      <c r="C78" s="1" t="s">
        <v>140</v>
      </c>
      <c r="D78" s="1" t="s">
        <v>182</v>
      </c>
      <c r="E78" s="1" t="s">
        <v>61</v>
      </c>
      <c r="F78" t="s">
        <v>5</v>
      </c>
      <c r="G78" t="s">
        <v>183</v>
      </c>
      <c r="H78" t="s">
        <v>184</v>
      </c>
      <c r="I78" t="s">
        <v>148</v>
      </c>
      <c r="J78" t="s">
        <v>44</v>
      </c>
      <c r="K78" t="s">
        <v>185</v>
      </c>
    </row>
    <row r="79" spans="2:11" x14ac:dyDescent="0.25">
      <c r="B79" s="1"/>
      <c r="C79" s="1"/>
      <c r="D79" s="1"/>
      <c r="E79" s="1"/>
    </row>
    <row r="80" spans="2:11" x14ac:dyDescent="0.25">
      <c r="B80" s="1"/>
      <c r="C80" s="1"/>
      <c r="D80" s="1"/>
      <c r="E80" s="1"/>
    </row>
    <row r="81" spans="1:13" x14ac:dyDescent="0.25">
      <c r="A81">
        <v>1</v>
      </c>
      <c r="B81" s="1" t="s">
        <v>186</v>
      </c>
      <c r="C81" s="1"/>
      <c r="D81" s="1"/>
      <c r="E81" s="1"/>
    </row>
    <row r="82" spans="1:13" x14ac:dyDescent="0.25">
      <c r="B82" s="1" t="s">
        <v>20</v>
      </c>
      <c r="C82" s="1" t="s">
        <v>91</v>
      </c>
      <c r="D82" s="1" t="s">
        <v>187</v>
      </c>
      <c r="E82" s="1" t="s">
        <v>188</v>
      </c>
      <c r="F82" t="s">
        <v>36</v>
      </c>
      <c r="G82" t="s">
        <v>189</v>
      </c>
      <c r="H82" t="s">
        <v>190</v>
      </c>
      <c r="I82" t="s">
        <v>191</v>
      </c>
      <c r="J82" t="s">
        <v>192</v>
      </c>
      <c r="K82" t="s">
        <v>193</v>
      </c>
    </row>
    <row r="83" spans="1:13" x14ac:dyDescent="0.25">
      <c r="B83" s="1" t="s">
        <v>94</v>
      </c>
      <c r="C83" s="1" t="s">
        <v>194</v>
      </c>
      <c r="D83" s="1" t="s">
        <v>195</v>
      </c>
      <c r="E83" s="1" t="s">
        <v>107</v>
      </c>
      <c r="F83" t="s">
        <v>83</v>
      </c>
      <c r="G83" t="s">
        <v>196</v>
      </c>
      <c r="H83" t="s">
        <v>197</v>
      </c>
      <c r="I83" t="s">
        <v>145</v>
      </c>
      <c r="J83" t="s">
        <v>141</v>
      </c>
      <c r="K83" t="s">
        <v>195</v>
      </c>
      <c r="L83" t="s">
        <v>198</v>
      </c>
      <c r="M83" t="s">
        <v>61</v>
      </c>
    </row>
    <row r="84" spans="1:13" x14ac:dyDescent="0.25">
      <c r="B84" s="1" t="s">
        <v>83</v>
      </c>
      <c r="C84" s="1" t="s">
        <v>164</v>
      </c>
      <c r="D84" s="1" t="s">
        <v>161</v>
      </c>
      <c r="E84" s="1" t="s">
        <v>199</v>
      </c>
      <c r="F84" t="s">
        <v>200</v>
      </c>
    </row>
    <row r="85" spans="1:13" x14ac:dyDescent="0.25">
      <c r="B85" s="1" t="s">
        <v>201</v>
      </c>
      <c r="C85" s="1" t="s">
        <v>202</v>
      </c>
      <c r="D85" s="1" t="s">
        <v>107</v>
      </c>
      <c r="E85" s="1" t="s">
        <v>86</v>
      </c>
      <c r="F85" t="s">
        <v>70</v>
      </c>
      <c r="G85" t="s">
        <v>62</v>
      </c>
      <c r="H85" t="s">
        <v>164</v>
      </c>
      <c r="I85" t="s">
        <v>44</v>
      </c>
      <c r="J85" t="s">
        <v>170</v>
      </c>
      <c r="K85" t="s">
        <v>203</v>
      </c>
    </row>
    <row r="86" spans="1:13" x14ac:dyDescent="0.25">
      <c r="B86" s="1" t="s">
        <v>204</v>
      </c>
      <c r="C86" s="1" t="s">
        <v>107</v>
      </c>
      <c r="D86" s="1" t="s">
        <v>205</v>
      </c>
      <c r="E86" s="1" t="s">
        <v>206</v>
      </c>
      <c r="F86" t="s">
        <v>62</v>
      </c>
      <c r="G86" t="s">
        <v>207</v>
      </c>
      <c r="H86" t="s">
        <v>44</v>
      </c>
      <c r="I86" t="s">
        <v>208</v>
      </c>
      <c r="J86" t="s">
        <v>209</v>
      </c>
    </row>
    <row r="87" spans="1:13" x14ac:dyDescent="0.25">
      <c r="B87" s="1" t="s">
        <v>210</v>
      </c>
      <c r="C87" s="1" t="s">
        <v>211</v>
      </c>
      <c r="D87" s="1" t="s">
        <v>59</v>
      </c>
      <c r="E87" s="1" t="s">
        <v>104</v>
      </c>
      <c r="F87" t="s">
        <v>212</v>
      </c>
      <c r="G87" t="s">
        <v>62</v>
      </c>
      <c r="H87" t="s">
        <v>213</v>
      </c>
      <c r="I87" t="s">
        <v>214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215</v>
      </c>
      <c r="C90" s="1"/>
      <c r="D90" s="1"/>
      <c r="E90" s="1"/>
    </row>
    <row r="91" spans="1:13" x14ac:dyDescent="0.25">
      <c r="B91" s="1"/>
      <c r="C91" s="1"/>
      <c r="D91" s="1"/>
      <c r="E91" s="1"/>
    </row>
    <row r="92" spans="1:13" x14ac:dyDescent="0.25">
      <c r="A92" t="s">
        <v>216</v>
      </c>
      <c r="B92" s="1" t="s">
        <v>217</v>
      </c>
      <c r="C92" s="1" t="s">
        <v>218</v>
      </c>
      <c r="D92" s="1" t="s">
        <v>219</v>
      </c>
      <c r="E92" s="1" t="s">
        <v>220</v>
      </c>
      <c r="F92" t="s">
        <v>44</v>
      </c>
      <c r="G92" t="s">
        <v>221</v>
      </c>
      <c r="H92" t="s">
        <v>222</v>
      </c>
    </row>
    <row r="93" spans="1:13" x14ac:dyDescent="0.25">
      <c r="B93" s="1" t="s">
        <v>223</v>
      </c>
      <c r="C93" s="1"/>
      <c r="D93" s="1"/>
      <c r="E93" s="1"/>
    </row>
    <row r="94" spans="1:13" x14ac:dyDescent="0.25">
      <c r="B94" s="1" t="s">
        <v>29</v>
      </c>
      <c r="C94" s="1" t="s">
        <v>83</v>
      </c>
      <c r="D94" s="1" t="s">
        <v>224</v>
      </c>
      <c r="E94" s="1" t="s">
        <v>225</v>
      </c>
      <c r="F94" t="s">
        <v>226</v>
      </c>
      <c r="G94" t="s">
        <v>227</v>
      </c>
      <c r="H94" t="s">
        <v>36</v>
      </c>
      <c r="I94" t="s">
        <v>62</v>
      </c>
      <c r="J94" t="s">
        <v>228</v>
      </c>
      <c r="K94" t="s">
        <v>229</v>
      </c>
      <c r="L94" t="s">
        <v>230</v>
      </c>
    </row>
    <row r="95" spans="1:13" x14ac:dyDescent="0.25">
      <c r="B95" s="1" t="s">
        <v>70</v>
      </c>
      <c r="C95" s="1" t="s">
        <v>41</v>
      </c>
      <c r="D95" s="1" t="s">
        <v>231</v>
      </c>
      <c r="E95" s="1" t="s">
        <v>232</v>
      </c>
      <c r="F95" t="s">
        <v>44</v>
      </c>
      <c r="G95" t="s">
        <v>233</v>
      </c>
      <c r="H95" t="s">
        <v>234</v>
      </c>
      <c r="I95" t="s">
        <v>235</v>
      </c>
      <c r="J95" t="s">
        <v>236</v>
      </c>
      <c r="K95" t="s">
        <v>237</v>
      </c>
      <c r="L95" t="s">
        <v>238</v>
      </c>
      <c r="M95">
        <v>2008</v>
      </c>
    </row>
    <row r="96" spans="1:13" x14ac:dyDescent="0.25">
      <c r="B96" s="1"/>
      <c r="C96" s="1"/>
      <c r="D96" s="1"/>
      <c r="E96" s="1"/>
    </row>
    <row r="97" spans="1:12" x14ac:dyDescent="0.25">
      <c r="A97" t="s">
        <v>239</v>
      </c>
      <c r="B97" s="1" t="s">
        <v>240</v>
      </c>
      <c r="C97" s="1" t="s">
        <v>222</v>
      </c>
      <c r="D97" s="1" t="s">
        <v>221</v>
      </c>
      <c r="E97" s="1" t="s">
        <v>33</v>
      </c>
      <c r="F97" t="s">
        <v>44</v>
      </c>
      <c r="G97" t="s">
        <v>241</v>
      </c>
      <c r="H97" t="s">
        <v>242</v>
      </c>
    </row>
    <row r="98" spans="1:12" x14ac:dyDescent="0.25">
      <c r="B98" s="1" t="s">
        <v>243</v>
      </c>
      <c r="C98" s="1"/>
      <c r="D98" s="1"/>
      <c r="E98" s="1"/>
    </row>
    <row r="99" spans="1:12" x14ac:dyDescent="0.25">
      <c r="B99" s="1" t="s">
        <v>29</v>
      </c>
      <c r="C99" s="1" t="s">
        <v>244</v>
      </c>
      <c r="D99" s="1" t="s">
        <v>101</v>
      </c>
      <c r="E99" s="1" t="s">
        <v>153</v>
      </c>
      <c r="F99" t="s">
        <v>154</v>
      </c>
      <c r="G99" t="s">
        <v>245</v>
      </c>
    </row>
    <row r="100" spans="1:12" x14ac:dyDescent="0.25">
      <c r="B100" s="1" t="s">
        <v>246</v>
      </c>
      <c r="C100" s="1" t="s">
        <v>247</v>
      </c>
      <c r="D100" s="1" t="s">
        <v>248</v>
      </c>
      <c r="E100" s="1" t="s">
        <v>249</v>
      </c>
      <c r="F100" t="s">
        <v>235</v>
      </c>
      <c r="G100" t="s">
        <v>250</v>
      </c>
      <c r="H100" t="s">
        <v>237</v>
      </c>
      <c r="I100" t="s">
        <v>251</v>
      </c>
      <c r="J100">
        <v>2001</v>
      </c>
    </row>
    <row r="101" spans="1:12" x14ac:dyDescent="0.25">
      <c r="B101" s="1"/>
      <c r="C101" s="1"/>
      <c r="D101" s="1"/>
      <c r="E101" s="1"/>
    </row>
    <row r="102" spans="1:12" x14ac:dyDescent="0.25">
      <c r="A102" t="s">
        <v>252</v>
      </c>
      <c r="B102" s="1" t="s">
        <v>219</v>
      </c>
      <c r="C102" s="1" t="s">
        <v>242</v>
      </c>
      <c r="D102" s="1" t="s">
        <v>253</v>
      </c>
      <c r="E102" s="1" t="s">
        <v>254</v>
      </c>
      <c r="F102" t="s">
        <v>44</v>
      </c>
      <c r="G102" t="s">
        <v>221</v>
      </c>
      <c r="H102" t="s">
        <v>222</v>
      </c>
    </row>
    <row r="103" spans="1:12" x14ac:dyDescent="0.25">
      <c r="B103" s="1" t="s">
        <v>255</v>
      </c>
      <c r="C103" s="1"/>
      <c r="D103" s="1"/>
      <c r="E103" s="1"/>
    </row>
    <row r="104" spans="1:12" x14ac:dyDescent="0.25">
      <c r="B104" s="1" t="s">
        <v>256</v>
      </c>
      <c r="C104" s="1" t="s">
        <v>257</v>
      </c>
      <c r="D104" s="1" t="s">
        <v>258</v>
      </c>
      <c r="E104" s="1" t="s">
        <v>1</v>
      </c>
      <c r="F104" t="s">
        <v>36</v>
      </c>
      <c r="G104" t="s">
        <v>26</v>
      </c>
      <c r="H104" t="s">
        <v>30</v>
      </c>
      <c r="I104" t="s">
        <v>31</v>
      </c>
    </row>
    <row r="105" spans="1:12" x14ac:dyDescent="0.25">
      <c r="B105" s="1" t="s">
        <v>212</v>
      </c>
      <c r="C105" s="1" t="s">
        <v>83</v>
      </c>
      <c r="D105" s="1" t="s">
        <v>27</v>
      </c>
      <c r="E105" s="1" t="s">
        <v>259</v>
      </c>
      <c r="F105" t="s">
        <v>260</v>
      </c>
      <c r="G105" t="s">
        <v>30</v>
      </c>
      <c r="H105" t="s">
        <v>44</v>
      </c>
      <c r="I105" t="s">
        <v>261</v>
      </c>
      <c r="J105" t="s">
        <v>31</v>
      </c>
      <c r="K105">
        <v>5</v>
      </c>
    </row>
    <row r="106" spans="1:12" x14ac:dyDescent="0.25">
      <c r="B106" s="1" t="s">
        <v>262</v>
      </c>
      <c r="C106" s="1" t="s">
        <v>36</v>
      </c>
      <c r="D106" s="1" t="s">
        <v>62</v>
      </c>
      <c r="E106" s="1" t="s">
        <v>263</v>
      </c>
      <c r="F106" t="s">
        <v>229</v>
      </c>
      <c r="G106" t="s">
        <v>230</v>
      </c>
      <c r="H106" t="s">
        <v>70</v>
      </c>
      <c r="I106" t="s">
        <v>260</v>
      </c>
    </row>
    <row r="107" spans="1:12" x14ac:dyDescent="0.25">
      <c r="B107" s="1" t="s">
        <v>30</v>
      </c>
      <c r="C107" s="1" t="s">
        <v>44</v>
      </c>
      <c r="D107" s="1" t="s">
        <v>261</v>
      </c>
      <c r="E107" s="1" t="s">
        <v>264</v>
      </c>
      <c r="F107" t="s">
        <v>254</v>
      </c>
      <c r="G107" t="s">
        <v>265</v>
      </c>
      <c r="H107" t="s">
        <v>220</v>
      </c>
      <c r="I107" t="s">
        <v>266</v>
      </c>
      <c r="J107" t="s">
        <v>267</v>
      </c>
      <c r="K107" t="s">
        <v>268</v>
      </c>
      <c r="L107" t="s">
        <v>269</v>
      </c>
    </row>
    <row r="108" spans="1:12" x14ac:dyDescent="0.25">
      <c r="B108" s="1" t="s">
        <v>237</v>
      </c>
      <c r="C108" s="1" t="s">
        <v>270</v>
      </c>
      <c r="D108" s="1">
        <v>2006</v>
      </c>
      <c r="E108" s="1"/>
    </row>
    <row r="109" spans="1:12" x14ac:dyDescent="0.25">
      <c r="B109" s="1"/>
      <c r="C109" s="1"/>
      <c r="D109" s="1"/>
      <c r="E109" s="1"/>
    </row>
    <row r="110" spans="1:12" x14ac:dyDescent="0.25">
      <c r="B110" s="1"/>
      <c r="C110" s="1"/>
      <c r="D110" s="1"/>
      <c r="E110" s="1"/>
    </row>
    <row r="111" spans="1:12" x14ac:dyDescent="0.25">
      <c r="A111">
        <v>3</v>
      </c>
      <c r="B111" s="1" t="s">
        <v>21</v>
      </c>
      <c r="C111" s="1" t="s">
        <v>271</v>
      </c>
      <c r="D111" s="1"/>
      <c r="E111" s="1"/>
    </row>
    <row r="112" spans="1:12" x14ac:dyDescent="0.25">
      <c r="B112" s="1"/>
      <c r="C112" s="1"/>
      <c r="D112" s="1"/>
      <c r="E112" s="1"/>
    </row>
    <row r="113" spans="1:13" x14ac:dyDescent="0.25">
      <c r="A113" t="s">
        <v>272</v>
      </c>
      <c r="B113" s="1" t="s">
        <v>273</v>
      </c>
      <c r="C113" s="1" t="s">
        <v>274</v>
      </c>
      <c r="D113" s="1"/>
      <c r="E113" s="1"/>
    </row>
    <row r="114" spans="1:13" x14ac:dyDescent="0.25">
      <c r="B114" s="1" t="s">
        <v>275</v>
      </c>
      <c r="C114" s="1" t="s">
        <v>276</v>
      </c>
      <c r="D114" s="1" t="s">
        <v>44</v>
      </c>
      <c r="E114" s="1" t="s">
        <v>62</v>
      </c>
      <c r="F114" t="s">
        <v>277</v>
      </c>
      <c r="G114" t="s">
        <v>276</v>
      </c>
      <c r="H114" t="s">
        <v>25</v>
      </c>
      <c r="I114" t="s">
        <v>195</v>
      </c>
      <c r="J114" t="s">
        <v>278</v>
      </c>
    </row>
    <row r="115" spans="1:13" x14ac:dyDescent="0.25">
      <c r="B115" s="1" t="s">
        <v>44</v>
      </c>
      <c r="C115" s="1" t="s">
        <v>62</v>
      </c>
      <c r="D115" s="1" t="s">
        <v>147</v>
      </c>
      <c r="E115" s="1" t="s">
        <v>276</v>
      </c>
      <c r="F115" t="s">
        <v>25</v>
      </c>
      <c r="G115" t="s">
        <v>279</v>
      </c>
      <c r="H115" t="s">
        <v>280</v>
      </c>
    </row>
    <row r="116" spans="1:13" x14ac:dyDescent="0.25">
      <c r="B116" s="1"/>
      <c r="C116" s="1"/>
      <c r="D116" s="1"/>
      <c r="E116" s="1"/>
    </row>
    <row r="117" spans="1:13" x14ac:dyDescent="0.25">
      <c r="A117" t="s">
        <v>281</v>
      </c>
      <c r="B117" s="1" t="s">
        <v>282</v>
      </c>
      <c r="C117" s="1" t="s">
        <v>283</v>
      </c>
      <c r="D117" s="1"/>
      <c r="E117" s="1"/>
    </row>
    <row r="118" spans="1:13" x14ac:dyDescent="0.25">
      <c r="B118" s="1" t="s">
        <v>284</v>
      </c>
      <c r="C118" s="1" t="s">
        <v>285</v>
      </c>
      <c r="D118" s="1" t="s">
        <v>271</v>
      </c>
      <c r="E118" s="1" t="s">
        <v>286</v>
      </c>
      <c r="F118" t="s">
        <v>287</v>
      </c>
    </row>
    <row r="119" spans="1:13" x14ac:dyDescent="0.25">
      <c r="B119" s="1" t="s">
        <v>94</v>
      </c>
      <c r="C119" s="1" t="s">
        <v>288</v>
      </c>
      <c r="D119" s="1" t="s">
        <v>289</v>
      </c>
      <c r="E119" s="1" t="s">
        <v>290</v>
      </c>
      <c r="F119" t="s">
        <v>92</v>
      </c>
      <c r="G119" t="s">
        <v>286</v>
      </c>
      <c r="H119" t="s">
        <v>205</v>
      </c>
      <c r="I119" t="s">
        <v>212</v>
      </c>
      <c r="J119" t="s">
        <v>62</v>
      </c>
      <c r="K119" t="s">
        <v>164</v>
      </c>
      <c r="L119" t="s">
        <v>44</v>
      </c>
    </row>
    <row r="120" spans="1:13" x14ac:dyDescent="0.25">
      <c r="B120" s="1" t="s">
        <v>170</v>
      </c>
      <c r="C120" s="1" t="s">
        <v>291</v>
      </c>
      <c r="D120" s="1" t="s">
        <v>44</v>
      </c>
      <c r="E120" s="1" t="s">
        <v>62</v>
      </c>
      <c r="F120" t="s">
        <v>292</v>
      </c>
      <c r="G120" t="s">
        <v>289</v>
      </c>
      <c r="H120" t="s">
        <v>290</v>
      </c>
      <c r="I120" t="s">
        <v>92</v>
      </c>
      <c r="J120" t="s">
        <v>286</v>
      </c>
      <c r="K120" t="s">
        <v>99</v>
      </c>
    </row>
    <row r="121" spans="1:13" x14ac:dyDescent="0.25">
      <c r="B121" s="1" t="s">
        <v>212</v>
      </c>
      <c r="C121" s="1" t="s">
        <v>62</v>
      </c>
      <c r="D121" s="1" t="s">
        <v>169</v>
      </c>
      <c r="E121" s="1" t="s">
        <v>293</v>
      </c>
    </row>
    <row r="122" spans="1:13" x14ac:dyDescent="0.25">
      <c r="B122" s="1" t="s">
        <v>294</v>
      </c>
      <c r="C122" s="1" t="s">
        <v>77</v>
      </c>
      <c r="D122" s="1" t="s">
        <v>295</v>
      </c>
      <c r="E122" s="1" t="s">
        <v>36</v>
      </c>
      <c r="F122" t="s">
        <v>296</v>
      </c>
      <c r="G122" t="s">
        <v>274</v>
      </c>
      <c r="H122" t="s">
        <v>297</v>
      </c>
      <c r="I122" t="s">
        <v>298</v>
      </c>
      <c r="J122" t="s">
        <v>29</v>
      </c>
      <c r="K122" t="s">
        <v>62</v>
      </c>
      <c r="L122" t="s">
        <v>299</v>
      </c>
      <c r="M122" t="s">
        <v>36</v>
      </c>
    </row>
    <row r="123" spans="1:13" x14ac:dyDescent="0.25">
      <c r="B123" s="1" t="s">
        <v>62</v>
      </c>
      <c r="C123" s="1" t="s">
        <v>292</v>
      </c>
      <c r="D123" s="1" t="s">
        <v>289</v>
      </c>
      <c r="E123" s="1" t="s">
        <v>290</v>
      </c>
      <c r="F123" t="s">
        <v>92</v>
      </c>
      <c r="G123" t="s">
        <v>212</v>
      </c>
      <c r="H123" t="s">
        <v>300</v>
      </c>
      <c r="I123" t="s">
        <v>301</v>
      </c>
      <c r="J123" t="s">
        <v>203</v>
      </c>
    </row>
    <row r="124" spans="1:13" x14ac:dyDescent="0.25">
      <c r="B124" s="1" t="s">
        <v>302</v>
      </c>
      <c r="C124" s="1" t="s">
        <v>303</v>
      </c>
      <c r="D124" s="1" t="s">
        <v>283</v>
      </c>
      <c r="E124" s="1" t="s">
        <v>79</v>
      </c>
      <c r="F124" t="s">
        <v>80</v>
      </c>
      <c r="G124" t="s">
        <v>304</v>
      </c>
      <c r="H124" t="s">
        <v>212</v>
      </c>
      <c r="I124" t="s">
        <v>305</v>
      </c>
      <c r="J124" t="s">
        <v>306</v>
      </c>
      <c r="K124" t="s">
        <v>307</v>
      </c>
    </row>
    <row r="125" spans="1:13" x14ac:dyDescent="0.25">
      <c r="B125" s="1"/>
      <c r="C125" s="1"/>
      <c r="D125" s="1"/>
      <c r="E125" s="1"/>
    </row>
    <row r="126" spans="1:13" x14ac:dyDescent="0.25">
      <c r="A126" t="s">
        <v>308</v>
      </c>
      <c r="B126" s="1" t="s">
        <v>257</v>
      </c>
      <c r="C126" s="1" t="s">
        <v>90</v>
      </c>
      <c r="D126" s="1"/>
      <c r="E126" s="1"/>
    </row>
    <row r="127" spans="1:13" x14ac:dyDescent="0.25">
      <c r="B127" s="1">
        <v>1.2</v>
      </c>
      <c r="C127" s="1" t="s">
        <v>44</v>
      </c>
      <c r="D127" s="1">
        <v>2.5</v>
      </c>
      <c r="E127" s="1" t="s">
        <v>5</v>
      </c>
      <c r="F127" t="s">
        <v>183</v>
      </c>
      <c r="G127" t="s">
        <v>212</v>
      </c>
      <c r="H127" t="s">
        <v>62</v>
      </c>
      <c r="I127" t="s">
        <v>309</v>
      </c>
      <c r="J127" t="s">
        <v>44</v>
      </c>
      <c r="K127" t="s">
        <v>310</v>
      </c>
      <c r="L127" t="s">
        <v>311</v>
      </c>
    </row>
    <row r="128" spans="1:13" x14ac:dyDescent="0.25">
      <c r="B128" s="1" t="s">
        <v>44</v>
      </c>
      <c r="C128" s="1">
        <v>0.11</v>
      </c>
      <c r="D128" s="1" t="s">
        <v>101</v>
      </c>
      <c r="E128" s="1">
        <v>2.1</v>
      </c>
      <c r="F128" t="s">
        <v>5</v>
      </c>
      <c r="G128" t="s">
        <v>183</v>
      </c>
      <c r="H128" t="s">
        <v>212</v>
      </c>
      <c r="I128" t="s">
        <v>62</v>
      </c>
      <c r="J128" t="s">
        <v>312</v>
      </c>
    </row>
    <row r="129" spans="1:11" x14ac:dyDescent="0.25">
      <c r="B129" s="1"/>
      <c r="C129" s="1"/>
      <c r="D129" s="1"/>
      <c r="E129" s="1"/>
    </row>
    <row r="130" spans="1:11" x14ac:dyDescent="0.25">
      <c r="A130" t="s">
        <v>313</v>
      </c>
      <c r="B130" s="1" t="s">
        <v>314</v>
      </c>
      <c r="C130" s="1" t="s">
        <v>315</v>
      </c>
      <c r="D130" s="1"/>
      <c r="E130" s="1"/>
    </row>
    <row r="131" spans="1:11" x14ac:dyDescent="0.25">
      <c r="B131" s="1" t="s">
        <v>94</v>
      </c>
      <c r="C131" s="1" t="s">
        <v>316</v>
      </c>
      <c r="D131" s="1" t="s">
        <v>283</v>
      </c>
      <c r="E131" s="1" t="s">
        <v>25</v>
      </c>
      <c r="F131" t="s">
        <v>62</v>
      </c>
      <c r="G131" t="s">
        <v>317</v>
      </c>
      <c r="H131" t="s">
        <v>318</v>
      </c>
      <c r="I131" t="s">
        <v>29</v>
      </c>
      <c r="J131" t="s">
        <v>169</v>
      </c>
      <c r="K131" t="s">
        <v>319</v>
      </c>
    </row>
    <row r="132" spans="1:11" x14ac:dyDescent="0.25">
      <c r="B132" s="1" t="s">
        <v>44</v>
      </c>
      <c r="C132" s="1" t="s">
        <v>62</v>
      </c>
      <c r="D132" s="1" t="s">
        <v>292</v>
      </c>
      <c r="E132" s="1" t="s">
        <v>320</v>
      </c>
      <c r="F132" t="s">
        <v>283</v>
      </c>
      <c r="G132" t="s">
        <v>25</v>
      </c>
      <c r="H132" t="s">
        <v>62</v>
      </c>
      <c r="I132" t="s">
        <v>321</v>
      </c>
      <c r="J132" t="s">
        <v>322</v>
      </c>
    </row>
    <row r="133" spans="1:11" x14ac:dyDescent="0.25">
      <c r="B133" s="1"/>
      <c r="C133" s="1"/>
      <c r="D133" s="1"/>
      <c r="E133" s="1"/>
    </row>
    <row r="134" spans="1:11" x14ac:dyDescent="0.25">
      <c r="A134" t="s">
        <v>323</v>
      </c>
      <c r="B134" s="1" t="s">
        <v>324</v>
      </c>
      <c r="C134" s="1" t="s">
        <v>325</v>
      </c>
      <c r="D134" s="1"/>
      <c r="E134" s="1"/>
    </row>
    <row r="135" spans="1:11" x14ac:dyDescent="0.25">
      <c r="B135" s="1" t="s">
        <v>326</v>
      </c>
      <c r="C135" s="1" t="s">
        <v>327</v>
      </c>
      <c r="D135" s="1" t="s">
        <v>328</v>
      </c>
      <c r="E135" s="1" t="s">
        <v>327</v>
      </c>
      <c r="F135" t="s">
        <v>329</v>
      </c>
    </row>
    <row r="136" spans="1:11" x14ac:dyDescent="0.25">
      <c r="B136" s="1"/>
      <c r="C136" s="1"/>
      <c r="D136" s="1"/>
      <c r="E136" s="1"/>
    </row>
    <row r="137" spans="1:11" x14ac:dyDescent="0.25">
      <c r="A137" t="s">
        <v>330</v>
      </c>
      <c r="B137" s="1" t="s">
        <v>331</v>
      </c>
      <c r="C137" s="1"/>
      <c r="D137" s="1"/>
      <c r="E137" s="1"/>
    </row>
    <row r="138" spans="1:11" x14ac:dyDescent="0.25">
      <c r="B138" s="1" t="s">
        <v>332</v>
      </c>
      <c r="C138" s="1" t="s">
        <v>333</v>
      </c>
      <c r="D138" s="1"/>
      <c r="E138" s="1"/>
    </row>
    <row r="139" spans="1:11" x14ac:dyDescent="0.25">
      <c r="B139" s="1"/>
      <c r="C139" s="1"/>
      <c r="D139" s="1"/>
      <c r="E139" s="1"/>
    </row>
    <row r="140" spans="1:11" x14ac:dyDescent="0.25">
      <c r="A140" t="s">
        <v>334</v>
      </c>
      <c r="B140" s="1" t="s">
        <v>335</v>
      </c>
      <c r="C140" s="1" t="s">
        <v>154</v>
      </c>
      <c r="D140" s="1"/>
      <c r="E140" s="1"/>
    </row>
    <row r="141" spans="1:11" x14ac:dyDescent="0.25">
      <c r="B141" s="1">
        <v>2048</v>
      </c>
      <c r="C141" s="1" t="s">
        <v>327</v>
      </c>
      <c r="D141" s="1">
        <v>480</v>
      </c>
      <c r="E141" s="1" t="s">
        <v>327</v>
      </c>
      <c r="F141">
        <v>512</v>
      </c>
    </row>
    <row r="142" spans="1:11" x14ac:dyDescent="0.25">
      <c r="B142" s="1"/>
      <c r="C142" s="1"/>
      <c r="D142" s="1"/>
      <c r="E142" s="1"/>
    </row>
    <row r="143" spans="1:11" x14ac:dyDescent="0.25">
      <c r="A143" t="s">
        <v>336</v>
      </c>
      <c r="B143" s="1" t="s">
        <v>337</v>
      </c>
      <c r="C143" s="1" t="s">
        <v>25</v>
      </c>
      <c r="D143" s="1" t="s">
        <v>338</v>
      </c>
      <c r="E143" s="1" t="s">
        <v>339</v>
      </c>
    </row>
    <row r="144" spans="1:11" x14ac:dyDescent="0.25">
      <c r="B144" s="1" t="s">
        <v>94</v>
      </c>
      <c r="C144" s="1" t="s">
        <v>340</v>
      </c>
      <c r="D144" s="1" t="s">
        <v>339</v>
      </c>
      <c r="E144" s="1" t="s">
        <v>107</v>
      </c>
      <c r="F144" t="s">
        <v>341</v>
      </c>
      <c r="G144" t="s">
        <v>61</v>
      </c>
    </row>
    <row r="145" spans="1:12" x14ac:dyDescent="0.25">
      <c r="B145" s="1" t="s">
        <v>342</v>
      </c>
      <c r="C145" s="1" t="s">
        <v>343</v>
      </c>
      <c r="D145" s="1" t="s">
        <v>344</v>
      </c>
      <c r="E145" s="1" t="s">
        <v>345</v>
      </c>
      <c r="F145" t="s">
        <v>145</v>
      </c>
      <c r="G145" t="s">
        <v>146</v>
      </c>
      <c r="H145" t="s">
        <v>147</v>
      </c>
      <c r="I145" t="s">
        <v>25</v>
      </c>
      <c r="J145" t="s">
        <v>162</v>
      </c>
      <c r="K145" t="s">
        <v>346</v>
      </c>
    </row>
    <row r="146" spans="1:12" x14ac:dyDescent="0.25">
      <c r="B146" s="1" t="s">
        <v>44</v>
      </c>
      <c r="C146" s="1" t="s">
        <v>342</v>
      </c>
      <c r="D146" s="1" t="s">
        <v>347</v>
      </c>
      <c r="E146" s="1" t="s">
        <v>348</v>
      </c>
      <c r="F146" t="s">
        <v>345</v>
      </c>
      <c r="G146" t="s">
        <v>349</v>
      </c>
      <c r="H146" t="s">
        <v>350</v>
      </c>
      <c r="I146" t="s">
        <v>25</v>
      </c>
      <c r="J146" t="s">
        <v>349</v>
      </c>
      <c r="K146" t="s">
        <v>280</v>
      </c>
    </row>
    <row r="147" spans="1:12" x14ac:dyDescent="0.25">
      <c r="B147" s="1"/>
      <c r="C147" s="1"/>
      <c r="D147" s="1"/>
      <c r="E147" s="1"/>
    </row>
    <row r="148" spans="1:12" x14ac:dyDescent="0.25">
      <c r="A148" t="s">
        <v>351</v>
      </c>
      <c r="B148" s="1" t="s">
        <v>352</v>
      </c>
      <c r="C148" s="1" t="s">
        <v>36</v>
      </c>
      <c r="D148" s="1" t="s">
        <v>353</v>
      </c>
      <c r="E148" s="1" t="s">
        <v>354</v>
      </c>
      <c r="F148" t="s">
        <v>25</v>
      </c>
      <c r="G148" t="s">
        <v>355</v>
      </c>
      <c r="H148" t="s">
        <v>356</v>
      </c>
    </row>
    <row r="149" spans="1:12" x14ac:dyDescent="0.25">
      <c r="B149" s="1" t="s">
        <v>357</v>
      </c>
      <c r="C149" s="1">
        <v>1323</v>
      </c>
      <c r="D149" s="1" t="s">
        <v>358</v>
      </c>
      <c r="E149" s="1" t="s">
        <v>183</v>
      </c>
      <c r="F149" t="s">
        <v>36</v>
      </c>
      <c r="G149" t="s">
        <v>353</v>
      </c>
      <c r="H149" t="s">
        <v>359</v>
      </c>
    </row>
    <row r="150" spans="1:12" x14ac:dyDescent="0.25">
      <c r="B150" s="1" t="s">
        <v>360</v>
      </c>
      <c r="C150" s="1" t="s">
        <v>62</v>
      </c>
      <c r="D150" s="1" t="s">
        <v>195</v>
      </c>
      <c r="E150" s="1" t="s">
        <v>361</v>
      </c>
      <c r="F150" t="s">
        <v>62</v>
      </c>
      <c r="G150" t="s">
        <v>196</v>
      </c>
      <c r="H150" t="s">
        <v>197</v>
      </c>
      <c r="I150" t="s">
        <v>362</v>
      </c>
      <c r="J150" t="s">
        <v>363</v>
      </c>
      <c r="K150" t="s">
        <v>354</v>
      </c>
      <c r="L150" t="s">
        <v>353</v>
      </c>
    </row>
    <row r="151" spans="1:12" x14ac:dyDescent="0.25">
      <c r="B151" s="1" t="s">
        <v>364</v>
      </c>
      <c r="C151" s="1" t="s">
        <v>101</v>
      </c>
      <c r="D151" s="1" t="s">
        <v>365</v>
      </c>
      <c r="E151" s="1">
        <v>9</v>
      </c>
      <c r="F151" t="s">
        <v>366</v>
      </c>
      <c r="G151" t="s">
        <v>367</v>
      </c>
      <c r="H151" t="s">
        <v>368</v>
      </c>
      <c r="I151" t="s">
        <v>369</v>
      </c>
      <c r="J151" t="s">
        <v>62</v>
      </c>
      <c r="K151" t="s">
        <v>370</v>
      </c>
      <c r="L151" t="s">
        <v>371</v>
      </c>
    </row>
    <row r="152" spans="1:12" x14ac:dyDescent="0.25">
      <c r="B152" s="1"/>
      <c r="C152" s="1"/>
      <c r="D152" s="1"/>
      <c r="E152" s="1"/>
    </row>
    <row r="153" spans="1:12" x14ac:dyDescent="0.25">
      <c r="A153" t="s">
        <v>372</v>
      </c>
      <c r="B153" s="1" t="s">
        <v>373</v>
      </c>
      <c r="C153" s="1"/>
      <c r="D153" s="1"/>
      <c r="E153" s="1"/>
    </row>
    <row r="154" spans="1:12" x14ac:dyDescent="0.25">
      <c r="B154" s="1" t="s">
        <v>374</v>
      </c>
      <c r="C154" s="1" t="s">
        <v>375</v>
      </c>
      <c r="D154" s="1" t="s">
        <v>376</v>
      </c>
      <c r="E154" s="1" t="s">
        <v>377</v>
      </c>
      <c r="F154" t="s">
        <v>378</v>
      </c>
      <c r="G154" t="s">
        <v>379</v>
      </c>
      <c r="H154" t="s">
        <v>380</v>
      </c>
      <c r="I154" t="s">
        <v>47</v>
      </c>
    </row>
    <row r="155" spans="1:12" x14ac:dyDescent="0.25">
      <c r="B155" s="1" t="s">
        <v>381</v>
      </c>
      <c r="C155" s="1" t="s">
        <v>374</v>
      </c>
      <c r="D155" s="1" t="s">
        <v>375</v>
      </c>
      <c r="E155" s="1" t="s">
        <v>376</v>
      </c>
      <c r="F155" t="s">
        <v>377</v>
      </c>
      <c r="G155" t="s">
        <v>378</v>
      </c>
      <c r="H155" t="s">
        <v>379</v>
      </c>
      <c r="I155" t="s">
        <v>380</v>
      </c>
      <c r="J155" t="s">
        <v>382</v>
      </c>
    </row>
    <row r="156" spans="1:12" x14ac:dyDescent="0.25">
      <c r="B156" s="1"/>
      <c r="C156" s="1"/>
      <c r="D156" s="1"/>
      <c r="E156" s="1"/>
    </row>
    <row r="157" spans="1:12" x14ac:dyDescent="0.25">
      <c r="B157" s="1"/>
      <c r="C157" s="1"/>
      <c r="D157" s="1"/>
      <c r="E157" s="1"/>
    </row>
    <row r="158" spans="1:12" x14ac:dyDescent="0.25">
      <c r="A158">
        <v>4</v>
      </c>
      <c r="B158" s="1" t="s">
        <v>383</v>
      </c>
      <c r="C158" s="1"/>
      <c r="D158" s="1"/>
      <c r="E158" s="1"/>
    </row>
    <row r="159" spans="1:12" x14ac:dyDescent="0.25">
      <c r="B159" s="1"/>
      <c r="C159" s="1"/>
      <c r="D159" s="1"/>
      <c r="E159" s="1"/>
    </row>
    <row r="160" spans="1:12" x14ac:dyDescent="0.25">
      <c r="A160" t="s">
        <v>384</v>
      </c>
      <c r="B160" s="1" t="s">
        <v>385</v>
      </c>
      <c r="C160" s="1" t="s">
        <v>386</v>
      </c>
      <c r="D160" s="1"/>
      <c r="E160" s="1"/>
    </row>
    <row r="161" spans="1:6" x14ac:dyDescent="0.25">
      <c r="B161" s="1"/>
      <c r="C161" s="1"/>
      <c r="D161" s="1"/>
      <c r="E161" s="1"/>
    </row>
    <row r="162" spans="1:6" x14ac:dyDescent="0.25">
      <c r="B162" s="1" t="s">
        <v>155</v>
      </c>
      <c r="C162" s="1" t="s">
        <v>140</v>
      </c>
      <c r="D162" s="1">
        <v>395</v>
      </c>
      <c r="E162" s="1"/>
    </row>
    <row r="163" spans="1:6" x14ac:dyDescent="0.25">
      <c r="B163" s="1"/>
      <c r="C163" s="1"/>
      <c r="D163" s="1"/>
      <c r="E163" s="1"/>
    </row>
    <row r="164" spans="1:6" x14ac:dyDescent="0.25">
      <c r="A164" t="s">
        <v>387</v>
      </c>
      <c r="B164" s="1" t="s">
        <v>388</v>
      </c>
      <c r="C164" s="1" t="s">
        <v>161</v>
      </c>
      <c r="D164" s="1" t="s">
        <v>389</v>
      </c>
      <c r="E164" s="1"/>
    </row>
    <row r="165" spans="1:6" x14ac:dyDescent="0.25">
      <c r="B165" s="1"/>
      <c r="C165" s="1"/>
      <c r="D165" s="1"/>
      <c r="E165" s="1"/>
    </row>
    <row r="166" spans="1:6" x14ac:dyDescent="0.25">
      <c r="B166" s="1" t="s">
        <v>151</v>
      </c>
      <c r="C166" s="1" t="s">
        <v>140</v>
      </c>
      <c r="D166" s="1">
        <v>14124</v>
      </c>
      <c r="E166" s="1"/>
    </row>
    <row r="167" spans="1:6" x14ac:dyDescent="0.25">
      <c r="B167" s="1"/>
      <c r="C167" s="1"/>
      <c r="D167" s="1"/>
      <c r="E167" s="1"/>
    </row>
    <row r="168" spans="1:6" x14ac:dyDescent="0.25">
      <c r="B168" s="1"/>
      <c r="C168" s="1"/>
      <c r="D168" s="1"/>
      <c r="E168" s="1"/>
    </row>
    <row r="169" spans="1:6" x14ac:dyDescent="0.25">
      <c r="A169">
        <v>5</v>
      </c>
      <c r="B169" s="1" t="s">
        <v>231</v>
      </c>
      <c r="C169" s="1" t="s">
        <v>390</v>
      </c>
      <c r="D169" s="1"/>
      <c r="E169" s="1"/>
    </row>
    <row r="170" spans="1:6" x14ac:dyDescent="0.25">
      <c r="B170" s="1"/>
      <c r="C170" s="1"/>
      <c r="D170" s="1"/>
      <c r="E170" s="1"/>
    </row>
    <row r="171" spans="1:6" x14ac:dyDescent="0.25">
      <c r="B171" s="1" t="s">
        <v>391</v>
      </c>
      <c r="C171" s="1" t="s">
        <v>392</v>
      </c>
      <c r="D171" s="1" t="s">
        <v>163</v>
      </c>
      <c r="E171" s="1" t="s">
        <v>393</v>
      </c>
      <c r="F171" t="s">
        <v>394</v>
      </c>
    </row>
    <row r="172" spans="1:6" x14ac:dyDescent="0.25">
      <c r="B172" s="1">
        <v>1</v>
      </c>
      <c r="C172" s="1">
        <v>0.110599</v>
      </c>
      <c r="D172" s="1">
        <v>0.11171</v>
      </c>
      <c r="E172" s="1">
        <v>1.9848700000000001E-3</v>
      </c>
      <c r="F172" s="1">
        <v>7.6595400000000001E-4</v>
      </c>
    </row>
    <row r="173" spans="1:6" x14ac:dyDescent="0.25">
      <c r="B173" s="1">
        <v>2</v>
      </c>
      <c r="C173" s="1">
        <v>0.33559099999999997</v>
      </c>
      <c r="D173" s="1">
        <v>0.338835</v>
      </c>
      <c r="E173" s="1">
        <v>1.8171799999999998E-2</v>
      </c>
      <c r="F173" s="1">
        <v>6.48008E-3</v>
      </c>
    </row>
    <row r="174" spans="1:6" x14ac:dyDescent="0.25">
      <c r="B174" s="1">
        <v>3</v>
      </c>
      <c r="C174" s="1">
        <v>0.56839200000000001</v>
      </c>
      <c r="D174" s="1">
        <v>0.573689</v>
      </c>
      <c r="E174" s="1">
        <v>5.1953100000000002E-2</v>
      </c>
      <c r="F174" s="1">
        <v>1.7479499999999999E-2</v>
      </c>
    </row>
    <row r="175" spans="1:6" x14ac:dyDescent="0.25">
      <c r="B175" s="1">
        <v>4</v>
      </c>
      <c r="C175" s="1">
        <v>0.80944199999999999</v>
      </c>
      <c r="D175" s="1">
        <v>0.81666099999999997</v>
      </c>
      <c r="E175" s="1">
        <v>0.10505299999999999</v>
      </c>
      <c r="F175" s="1">
        <v>3.34121E-2</v>
      </c>
    </row>
    <row r="176" spans="1:6" x14ac:dyDescent="0.25">
      <c r="B176" s="1">
        <v>5</v>
      </c>
      <c r="C176" s="1">
        <v>1.05918</v>
      </c>
      <c r="D176" s="1">
        <v>1.0681099999999999</v>
      </c>
      <c r="E176" s="1">
        <v>0.17934600000000001</v>
      </c>
      <c r="F176" s="1">
        <v>5.3921700000000003E-2</v>
      </c>
    </row>
    <row r="177" spans="2:6" x14ac:dyDescent="0.25">
      <c r="B177" s="1">
        <v>6</v>
      </c>
      <c r="C177" s="1">
        <v>1.3180499999999999</v>
      </c>
      <c r="D177" s="1">
        <v>1.3283499999999999</v>
      </c>
      <c r="E177" s="1">
        <v>0.27680700000000003</v>
      </c>
      <c r="F177" s="1">
        <v>7.86443E-2</v>
      </c>
    </row>
    <row r="178" spans="2:6" x14ac:dyDescent="0.25">
      <c r="B178" s="1">
        <v>7</v>
      </c>
      <c r="C178" s="1">
        <v>1.58649</v>
      </c>
      <c r="D178" s="1">
        <v>1.5976399999999999</v>
      </c>
      <c r="E178" s="1">
        <v>0.39941900000000002</v>
      </c>
      <c r="F178" s="1">
        <v>0.107206</v>
      </c>
    </row>
    <row r="179" spans="2:6" x14ac:dyDescent="0.25">
      <c r="B179" s="1">
        <v>8</v>
      </c>
      <c r="C179" s="1">
        <v>1.86496</v>
      </c>
      <c r="D179" s="1">
        <v>1.8761699999999999</v>
      </c>
      <c r="E179" s="1">
        <v>0.54907600000000001</v>
      </c>
      <c r="F179" s="1">
        <v>0.13922499999999999</v>
      </c>
    </row>
    <row r="180" spans="2:6" x14ac:dyDescent="0.25">
      <c r="B180" s="1">
        <v>9</v>
      </c>
      <c r="C180" s="1">
        <v>2.15388</v>
      </c>
      <c r="D180" s="1">
        <v>2.16404</v>
      </c>
      <c r="E180" s="1">
        <v>0.72744200000000003</v>
      </c>
      <c r="F180" s="1">
        <v>0.17430999999999999</v>
      </c>
    </row>
    <row r="181" spans="2:6" x14ac:dyDescent="0.25">
      <c r="B181" s="1">
        <v>10</v>
      </c>
      <c r="C181" s="1">
        <v>2.4537100000000001</v>
      </c>
      <c r="D181" s="1">
        <v>2.4612500000000002</v>
      </c>
      <c r="E181" s="1">
        <v>0.93579400000000001</v>
      </c>
      <c r="F181" s="1">
        <v>0.21207000000000001</v>
      </c>
    </row>
    <row r="182" spans="2:6" x14ac:dyDescent="0.25">
      <c r="B182" s="1">
        <v>11</v>
      </c>
      <c r="C182" s="1">
        <v>2.7648700000000002</v>
      </c>
      <c r="D182" s="1">
        <v>2.7676699999999999</v>
      </c>
      <c r="E182" s="1">
        <v>1.17486</v>
      </c>
      <c r="F182" s="1">
        <v>0.25211499999999998</v>
      </c>
    </row>
    <row r="183" spans="2:6" x14ac:dyDescent="0.25">
      <c r="B183" s="1">
        <v>12</v>
      </c>
      <c r="C183" s="1">
        <v>3.0878100000000002</v>
      </c>
      <c r="D183" s="1">
        <v>3.0830600000000001</v>
      </c>
      <c r="E183" s="1">
        <v>1.4446399999999999</v>
      </c>
      <c r="F183" s="1">
        <v>0.294068</v>
      </c>
    </row>
    <row r="184" spans="2:6" x14ac:dyDescent="0.25">
      <c r="B184" s="1">
        <v>13</v>
      </c>
      <c r="C184" s="1">
        <v>3.4229500000000002</v>
      </c>
      <c r="D184" s="1">
        <v>3.4070100000000001</v>
      </c>
      <c r="E184" s="1">
        <v>1.7443</v>
      </c>
      <c r="F184" s="1">
        <v>0.33756399999999998</v>
      </c>
    </row>
    <row r="185" spans="2:6" x14ac:dyDescent="0.25">
      <c r="B185" s="1">
        <v>14</v>
      </c>
      <c r="C185" s="1">
        <v>3.7707299999999999</v>
      </c>
      <c r="D185" s="1">
        <v>3.7389600000000001</v>
      </c>
      <c r="E185" s="1">
        <v>2.0720299999999998</v>
      </c>
      <c r="F185" s="1">
        <v>0.38226900000000003</v>
      </c>
    </row>
    <row r="186" spans="2:6" x14ac:dyDescent="0.25">
      <c r="B186" s="1">
        <v>15</v>
      </c>
      <c r="C186" s="1">
        <v>4.1315600000000003</v>
      </c>
      <c r="D186" s="1">
        <v>4.0781999999999998</v>
      </c>
      <c r="E186" s="1">
        <v>2.42502</v>
      </c>
      <c r="F186" s="1">
        <v>0.42787199999999997</v>
      </c>
    </row>
    <row r="187" spans="2:6" x14ac:dyDescent="0.25">
      <c r="B187" s="1">
        <v>16</v>
      </c>
      <c r="C187" s="1">
        <v>4.5058699999999998</v>
      </c>
      <c r="D187" s="1">
        <v>4.4238600000000003</v>
      </c>
      <c r="E187" s="1">
        <v>2.7995000000000001</v>
      </c>
      <c r="F187" s="1">
        <v>0.47410400000000003</v>
      </c>
    </row>
    <row r="188" spans="2:6" x14ac:dyDescent="0.25">
      <c r="B188" s="1">
        <v>17</v>
      </c>
      <c r="C188" s="1">
        <v>4.8940599999999996</v>
      </c>
      <c r="D188" s="1">
        <v>4.7749199999999998</v>
      </c>
      <c r="E188" s="1">
        <v>3.1907800000000002</v>
      </c>
      <c r="F188" s="1">
        <v>0.52073000000000003</v>
      </c>
    </row>
    <row r="189" spans="2:6" x14ac:dyDescent="0.25">
      <c r="B189" s="1">
        <v>18</v>
      </c>
      <c r="C189" s="1">
        <v>5.2965299999999997</v>
      </c>
      <c r="D189" s="1">
        <v>5.1302399999999997</v>
      </c>
      <c r="E189" s="1">
        <v>3.5934699999999999</v>
      </c>
      <c r="F189" s="1">
        <v>0.567554</v>
      </c>
    </row>
    <row r="190" spans="2:6" x14ac:dyDescent="0.25">
      <c r="B190" s="1">
        <v>19</v>
      </c>
      <c r="C190" s="1">
        <v>5.7136899999999997</v>
      </c>
      <c r="D190" s="1">
        <v>5.4885599999999997</v>
      </c>
      <c r="E190" s="1">
        <v>4.0016299999999996</v>
      </c>
      <c r="F190" s="1">
        <v>0.61441800000000002</v>
      </c>
    </row>
    <row r="191" spans="2:6" x14ac:dyDescent="0.25">
      <c r="B191" s="1">
        <v>20</v>
      </c>
      <c r="C191" s="1">
        <v>6.1459200000000003</v>
      </c>
      <c r="D191" s="1">
        <v>5.8485300000000002</v>
      </c>
      <c r="E191" s="1">
        <v>4.4090600000000002</v>
      </c>
      <c r="F191" s="1">
        <v>0.66119600000000001</v>
      </c>
    </row>
    <row r="192" spans="2:6" x14ac:dyDescent="0.25">
      <c r="B192" s="1">
        <v>21</v>
      </c>
      <c r="C192" s="1">
        <v>6.59361</v>
      </c>
      <c r="D192" s="1">
        <v>6.2087700000000003</v>
      </c>
      <c r="E192" s="1">
        <v>4.8095600000000003</v>
      </c>
      <c r="F192" s="1">
        <v>0.70779099999999995</v>
      </c>
    </row>
    <row r="193" spans="2:6" x14ac:dyDescent="0.25">
      <c r="B193" s="1">
        <v>22</v>
      </c>
      <c r="C193" s="1">
        <v>7.0571200000000003</v>
      </c>
      <c r="D193" s="1">
        <v>6.5678400000000003</v>
      </c>
      <c r="E193" s="1">
        <v>5.1971499999999997</v>
      </c>
      <c r="F193" s="1">
        <v>0.75412599999999996</v>
      </c>
    </row>
    <row r="194" spans="2:6" x14ac:dyDescent="0.25">
      <c r="B194" s="1">
        <v>23</v>
      </c>
      <c r="C194" s="1">
        <v>7.53681</v>
      </c>
      <c r="D194" s="1">
        <v>6.9243300000000003</v>
      </c>
      <c r="E194" s="1">
        <v>5.5663299999999998</v>
      </c>
      <c r="F194" s="1">
        <v>0.80013999999999996</v>
      </c>
    </row>
    <row r="195" spans="2:6" x14ac:dyDescent="0.25">
      <c r="B195" s="1">
        <v>24</v>
      </c>
      <c r="C195" s="1">
        <v>8.0330399999999997</v>
      </c>
      <c r="D195" s="1">
        <v>7.2769000000000004</v>
      </c>
      <c r="E195" s="1">
        <v>5.9122500000000002</v>
      </c>
      <c r="F195" s="1">
        <v>0.845773</v>
      </c>
    </row>
    <row r="196" spans="2:6" x14ac:dyDescent="0.25">
      <c r="B196" s="1">
        <v>25</v>
      </c>
      <c r="C196" s="1">
        <v>8.5461399999999994</v>
      </c>
      <c r="D196" s="1">
        <v>7.6242400000000004</v>
      </c>
      <c r="E196" s="1">
        <v>6.2308599999999998</v>
      </c>
      <c r="F196" s="1">
        <v>0.89097300000000001</v>
      </c>
    </row>
    <row r="197" spans="2:6" x14ac:dyDescent="0.25">
      <c r="B197" s="1">
        <v>26</v>
      </c>
      <c r="C197" s="1">
        <v>9.0764700000000005</v>
      </c>
      <c r="D197" s="1">
        <v>7.9651699999999996</v>
      </c>
      <c r="E197" s="1">
        <v>6.5190099999999997</v>
      </c>
      <c r="F197" s="1">
        <v>0.93567699999999998</v>
      </c>
    </row>
    <row r="198" spans="2:6" x14ac:dyDescent="0.25">
      <c r="B198" s="1">
        <v>27</v>
      </c>
      <c r="C198" s="1">
        <v>9.6243300000000005</v>
      </c>
      <c r="D198" s="1">
        <v>8.29861</v>
      </c>
      <c r="E198" s="1">
        <v>6.7744299999999997</v>
      </c>
      <c r="F198" s="1">
        <v>0.97981499999999999</v>
      </c>
    </row>
    <row r="199" spans="2:6" x14ac:dyDescent="0.25">
      <c r="B199" s="1">
        <v>28</v>
      </c>
      <c r="C199" s="1">
        <v>10.19</v>
      </c>
      <c r="D199" s="1">
        <v>8.6236300000000004</v>
      </c>
      <c r="E199" s="1">
        <v>6.9957200000000004</v>
      </c>
      <c r="F199" s="1">
        <v>1.0233000000000001</v>
      </c>
    </row>
    <row r="200" spans="2:6" x14ac:dyDescent="0.25">
      <c r="B200" s="1">
        <v>29</v>
      </c>
      <c r="C200" s="1">
        <v>10.7738</v>
      </c>
      <c r="D200" s="1">
        <v>8.9394399999999994</v>
      </c>
      <c r="E200" s="1">
        <v>7.1823300000000003</v>
      </c>
      <c r="F200" s="1">
        <v>1.0660400000000001</v>
      </c>
    </row>
    <row r="201" spans="2:6" x14ac:dyDescent="0.25">
      <c r="B201" s="1">
        <v>30</v>
      </c>
      <c r="C201" s="1">
        <v>11.375999999999999</v>
      </c>
      <c r="D201" s="1">
        <v>9.2454000000000001</v>
      </c>
      <c r="E201" s="1">
        <v>7.3344300000000002</v>
      </c>
      <c r="F201" s="1">
        <v>1.1079399999999999</v>
      </c>
    </row>
    <row r="202" spans="2:6" x14ac:dyDescent="0.25">
      <c r="B202" s="1">
        <v>31</v>
      </c>
      <c r="C202" s="1">
        <v>11.9969</v>
      </c>
      <c r="D202" s="1">
        <v>9.5410299999999992</v>
      </c>
      <c r="E202" s="1">
        <v>7.4528299999999996</v>
      </c>
      <c r="F202" s="1">
        <v>1.14886</v>
      </c>
    </row>
    <row r="203" spans="2:6" x14ac:dyDescent="0.25">
      <c r="B203" s="1">
        <v>32</v>
      </c>
      <c r="C203" s="1">
        <v>12.636699999999999</v>
      </c>
      <c r="D203" s="1">
        <v>9.8259799999999995</v>
      </c>
      <c r="E203" s="1">
        <v>7.5388700000000002</v>
      </c>
      <c r="F203" s="1">
        <v>1.18869</v>
      </c>
    </row>
    <row r="204" spans="2:6" x14ac:dyDescent="0.25">
      <c r="B204" s="1">
        <v>33</v>
      </c>
      <c r="C204" s="1">
        <v>13.2956</v>
      </c>
      <c r="D204" s="1">
        <v>10.1</v>
      </c>
      <c r="E204" s="1">
        <v>7.5942800000000004</v>
      </c>
      <c r="F204" s="1">
        <v>1.2273000000000001</v>
      </c>
    </row>
    <row r="205" spans="2:6" x14ac:dyDescent="0.25">
      <c r="B205" s="1">
        <v>34</v>
      </c>
      <c r="C205" s="1">
        <v>13.9741</v>
      </c>
      <c r="D205" s="1">
        <v>10.363099999999999</v>
      </c>
      <c r="E205" s="1">
        <v>7.6211099999999998</v>
      </c>
      <c r="F205" s="1">
        <v>1.26458</v>
      </c>
    </row>
    <row r="206" spans="2:6" x14ac:dyDescent="0.25">
      <c r="B206" s="1">
        <v>35</v>
      </c>
      <c r="C206" s="1">
        <v>14.672000000000001</v>
      </c>
      <c r="D206" s="1">
        <v>10.6153</v>
      </c>
      <c r="E206" s="1">
        <v>7.6216200000000001</v>
      </c>
      <c r="F206" s="1">
        <v>1.3004100000000001</v>
      </c>
    </row>
    <row r="207" spans="2:6" x14ac:dyDescent="0.25">
      <c r="B207" s="1">
        <v>36</v>
      </c>
      <c r="C207" s="1">
        <v>15.389900000000001</v>
      </c>
      <c r="D207" s="1">
        <v>10.8566</v>
      </c>
      <c r="E207" s="1">
        <v>7.59816</v>
      </c>
      <c r="F207" s="1">
        <v>1.3346800000000001</v>
      </c>
    </row>
    <row r="208" spans="2:6" x14ac:dyDescent="0.25">
      <c r="B208" s="1">
        <v>37</v>
      </c>
      <c r="C208" s="1">
        <v>16.127800000000001</v>
      </c>
      <c r="D208" s="1">
        <v>11.087300000000001</v>
      </c>
      <c r="E208" s="1">
        <v>7.5532000000000004</v>
      </c>
      <c r="F208" s="1">
        <v>1.3673200000000001</v>
      </c>
    </row>
    <row r="209" spans="2:6" x14ac:dyDescent="0.25">
      <c r="B209" s="1">
        <v>38</v>
      </c>
      <c r="C209" s="1">
        <v>16.8858</v>
      </c>
      <c r="D209" s="1">
        <v>11.307600000000001</v>
      </c>
      <c r="E209" s="1">
        <v>7.4891399999999999</v>
      </c>
      <c r="F209" s="1">
        <v>1.3982300000000001</v>
      </c>
    </row>
    <row r="210" spans="2:6" x14ac:dyDescent="0.25">
      <c r="B210" s="1">
        <v>39</v>
      </c>
      <c r="C210" s="1">
        <v>17.664200000000001</v>
      </c>
      <c r="D210" s="1">
        <v>11.517799999999999</v>
      </c>
      <c r="E210" s="1">
        <v>7.4083600000000001</v>
      </c>
      <c r="F210" s="1">
        <v>1.4273800000000001</v>
      </c>
    </row>
    <row r="211" spans="2:6" x14ac:dyDescent="0.25">
      <c r="B211" s="1">
        <v>40</v>
      </c>
      <c r="C211" s="1">
        <v>18.463000000000001</v>
      </c>
      <c r="D211" s="1">
        <v>11.718400000000001</v>
      </c>
      <c r="E211" s="1">
        <v>7.3131700000000004</v>
      </c>
      <c r="F211" s="1">
        <v>1.4547099999999999</v>
      </c>
    </row>
    <row r="212" spans="2:6" x14ac:dyDescent="0.25">
      <c r="B212" s="1">
        <v>41</v>
      </c>
      <c r="C212" s="1">
        <v>19.282499999999999</v>
      </c>
      <c r="D212" s="1">
        <v>11.909599999999999</v>
      </c>
      <c r="E212" s="1">
        <v>7.20573</v>
      </c>
      <c r="F212" s="1">
        <v>1.4802299999999999</v>
      </c>
    </row>
    <row r="213" spans="2:6" x14ac:dyDescent="0.25">
      <c r="B213" s="1">
        <v>42</v>
      </c>
      <c r="C213" s="1">
        <v>20.122599999999998</v>
      </c>
      <c r="D213" s="1">
        <v>12.092000000000001</v>
      </c>
      <c r="E213" s="1">
        <v>7.0880700000000001</v>
      </c>
      <c r="F213" s="1">
        <v>1.5039199999999999</v>
      </c>
    </row>
    <row r="214" spans="2:6" x14ac:dyDescent="0.25">
      <c r="B214" s="1">
        <v>43</v>
      </c>
      <c r="C214" s="1">
        <v>20.983699999999999</v>
      </c>
      <c r="D214" s="1">
        <v>12.2658</v>
      </c>
      <c r="E214" s="1">
        <v>6.9621300000000002</v>
      </c>
      <c r="F214" s="1">
        <v>1.52582</v>
      </c>
    </row>
    <row r="215" spans="2:6" x14ac:dyDescent="0.25">
      <c r="B215" s="1">
        <v>44</v>
      </c>
      <c r="C215" s="1">
        <v>21.865600000000001</v>
      </c>
      <c r="D215" s="1">
        <v>12.4315</v>
      </c>
      <c r="E215" s="1">
        <v>6.8296200000000002</v>
      </c>
      <c r="F215" s="1">
        <v>1.5459400000000001</v>
      </c>
    </row>
    <row r="216" spans="2:6" x14ac:dyDescent="0.25">
      <c r="B216" s="1">
        <v>45</v>
      </c>
      <c r="C216" s="1">
        <v>22.768599999999999</v>
      </c>
      <c r="D216" s="1">
        <v>12.589700000000001</v>
      </c>
      <c r="E216" s="1">
        <v>6.6921499999999998</v>
      </c>
      <c r="F216" s="1">
        <v>1.56433</v>
      </c>
    </row>
    <row r="217" spans="2:6" x14ac:dyDescent="0.25">
      <c r="B217" s="1">
        <v>46</v>
      </c>
      <c r="C217" s="1">
        <v>23.692599999999999</v>
      </c>
      <c r="D217" s="1">
        <v>12.740600000000001</v>
      </c>
      <c r="E217" s="1">
        <v>6.5511900000000001</v>
      </c>
      <c r="F217" s="1">
        <v>1.5810500000000001</v>
      </c>
    </row>
    <row r="218" spans="2:6" x14ac:dyDescent="0.25">
      <c r="B218" s="1">
        <v>47</v>
      </c>
      <c r="C218" s="1">
        <v>24.637699999999999</v>
      </c>
      <c r="D218" s="1">
        <v>12.884499999999999</v>
      </c>
      <c r="E218" s="1">
        <v>6.4080300000000001</v>
      </c>
      <c r="F218" s="1">
        <v>1.59615</v>
      </c>
    </row>
    <row r="219" spans="2:6" x14ac:dyDescent="0.25">
      <c r="B219" s="1">
        <v>48</v>
      </c>
      <c r="C219" s="1">
        <v>25.6038</v>
      </c>
      <c r="D219" s="1">
        <v>13.0222</v>
      </c>
      <c r="E219" s="1">
        <v>6.2638699999999998</v>
      </c>
      <c r="F219" s="1">
        <v>1.60972</v>
      </c>
    </row>
    <row r="220" spans="2:6" x14ac:dyDescent="0.25">
      <c r="B220" s="1">
        <v>49</v>
      </c>
      <c r="C220" s="1">
        <v>26.591200000000001</v>
      </c>
      <c r="D220" s="1">
        <v>13.153600000000001</v>
      </c>
      <c r="E220" s="1">
        <v>6.1197499999999998</v>
      </c>
      <c r="F220" s="1">
        <v>1.62182</v>
      </c>
    </row>
    <row r="221" spans="2:6" x14ac:dyDescent="0.25">
      <c r="B221" s="1">
        <v>50</v>
      </c>
      <c r="C221" s="1">
        <v>27.599599999999999</v>
      </c>
      <c r="D221" s="1">
        <v>13.279400000000001</v>
      </c>
      <c r="E221" s="1">
        <v>5.9766199999999996</v>
      </c>
      <c r="F221" s="1">
        <v>1.6325099999999999</v>
      </c>
    </row>
    <row r="222" spans="2:6" x14ac:dyDescent="0.25">
      <c r="B222" s="1">
        <v>51</v>
      </c>
      <c r="C222" s="1">
        <v>28.629200000000001</v>
      </c>
      <c r="D222" s="1">
        <v>13.399900000000001</v>
      </c>
      <c r="E222" s="1">
        <v>5.83528</v>
      </c>
      <c r="F222" s="1">
        <v>1.6418699999999999</v>
      </c>
    </row>
    <row r="223" spans="2:6" x14ac:dyDescent="0.25">
      <c r="B223" s="1">
        <v>52</v>
      </c>
      <c r="C223" s="1">
        <v>29.6798</v>
      </c>
      <c r="D223" s="1">
        <v>13.5152</v>
      </c>
      <c r="E223" s="1">
        <v>5.6964600000000001</v>
      </c>
      <c r="F223" s="1">
        <v>1.64998</v>
      </c>
    </row>
    <row r="224" spans="2:6" x14ac:dyDescent="0.25">
      <c r="B224" s="1">
        <v>53</v>
      </c>
      <c r="C224" s="1">
        <v>30.7516</v>
      </c>
      <c r="D224" s="1">
        <v>13.6259</v>
      </c>
      <c r="E224" s="1">
        <v>5.56074</v>
      </c>
      <c r="F224" s="1">
        <v>1.6569</v>
      </c>
    </row>
    <row r="225" spans="2:6" x14ac:dyDescent="0.25">
      <c r="B225" s="1">
        <v>54</v>
      </c>
      <c r="C225" s="1">
        <v>31.8443</v>
      </c>
      <c r="D225" s="1">
        <v>13.732200000000001</v>
      </c>
      <c r="E225" s="1">
        <v>5.4286000000000003</v>
      </c>
      <c r="F225" s="1">
        <v>1.66269</v>
      </c>
    </row>
    <row r="226" spans="2:6" x14ac:dyDescent="0.25">
      <c r="B226">
        <v>55</v>
      </c>
      <c r="C226" s="1">
        <v>32.957999999999998</v>
      </c>
      <c r="D226" s="1">
        <v>13.834300000000001</v>
      </c>
      <c r="E226" s="1">
        <v>5.30044</v>
      </c>
      <c r="F226" s="1">
        <v>1.6674199999999999</v>
      </c>
    </row>
    <row r="227" spans="2:6" x14ac:dyDescent="0.25">
      <c r="B227">
        <v>56</v>
      </c>
      <c r="C227" s="1">
        <v>34.092599999999997</v>
      </c>
      <c r="D227" s="1">
        <v>13.932499999999999</v>
      </c>
      <c r="E227" s="1">
        <v>5.1764900000000003</v>
      </c>
      <c r="F227" s="1">
        <v>1.6711400000000001</v>
      </c>
    </row>
    <row r="228" spans="2:6" x14ac:dyDescent="0.25">
      <c r="B228" s="1">
        <v>57</v>
      </c>
      <c r="C228" s="1">
        <v>35.247900000000001</v>
      </c>
      <c r="D228" s="1">
        <v>14.027200000000001</v>
      </c>
      <c r="E228" s="1">
        <v>5.0568799999999996</v>
      </c>
      <c r="F228" s="1">
        <v>1.6738599999999999</v>
      </c>
    </row>
    <row r="229" spans="2:6" x14ac:dyDescent="0.25">
      <c r="B229" s="1">
        <v>58</v>
      </c>
      <c r="C229" s="1">
        <v>36.423900000000003</v>
      </c>
      <c r="D229" s="1">
        <v>14.118499999999999</v>
      </c>
      <c r="E229" s="1">
        <v>4.9416000000000002</v>
      </c>
      <c r="F229" s="1">
        <v>1.6756500000000001</v>
      </c>
    </row>
    <row r="230" spans="2:6" x14ac:dyDescent="0.25">
      <c r="B230" s="1">
        <v>59</v>
      </c>
      <c r="C230" s="1">
        <v>37.620399999999997</v>
      </c>
      <c r="D230" s="1">
        <v>14.206799999999999</v>
      </c>
      <c r="E230" s="1">
        <v>4.8305699999999998</v>
      </c>
      <c r="F230" s="1">
        <v>1.6765000000000001</v>
      </c>
    </row>
    <row r="231" spans="2:6" x14ac:dyDescent="0.25">
      <c r="B231" s="1">
        <v>60</v>
      </c>
      <c r="C231" s="1">
        <v>38.837400000000002</v>
      </c>
      <c r="D231" s="1">
        <v>14.292199999999999</v>
      </c>
      <c r="E231" s="1">
        <v>4.7237</v>
      </c>
      <c r="F231" s="1">
        <v>1.6764300000000001</v>
      </c>
    </row>
    <row r="232" spans="2:6" x14ac:dyDescent="0.25">
      <c r="B232" s="1">
        <v>61</v>
      </c>
      <c r="C232" s="1">
        <v>40.0747</v>
      </c>
      <c r="D232" s="1">
        <v>14.375</v>
      </c>
      <c r="E232" s="1">
        <v>4.6208900000000002</v>
      </c>
      <c r="F232" s="1">
        <v>1.6754599999999999</v>
      </c>
    </row>
    <row r="233" spans="2:6" x14ac:dyDescent="0.25">
      <c r="B233" s="1">
        <v>62</v>
      </c>
      <c r="C233" s="1">
        <v>41.3322</v>
      </c>
      <c r="D233" s="1">
        <v>14.455299999999999</v>
      </c>
      <c r="E233" s="1">
        <v>4.5221</v>
      </c>
      <c r="F233" s="1">
        <v>1.6736500000000001</v>
      </c>
    </row>
    <row r="234" spans="2:6" x14ac:dyDescent="0.25">
      <c r="B234" s="1">
        <v>63</v>
      </c>
      <c r="C234" s="1">
        <v>42.609699999999997</v>
      </c>
      <c r="D234" s="1">
        <v>14.533300000000001</v>
      </c>
      <c r="E234" s="1">
        <v>4.4272900000000002</v>
      </c>
      <c r="F234" s="1">
        <v>1.6710199999999999</v>
      </c>
    </row>
    <row r="235" spans="2:6" x14ac:dyDescent="0.25">
      <c r="B235" s="1">
        <v>64</v>
      </c>
      <c r="C235" s="1">
        <v>43.9069</v>
      </c>
      <c r="D235" s="1">
        <v>14.609299999999999</v>
      </c>
      <c r="E235" s="1">
        <v>4.3364599999999998</v>
      </c>
      <c r="F235" s="1">
        <v>1.66761</v>
      </c>
    </row>
    <row r="236" spans="2:6" x14ac:dyDescent="0.25">
      <c r="B236" s="1">
        <v>65</v>
      </c>
      <c r="C236" s="1">
        <v>45.2239</v>
      </c>
      <c r="D236" s="1">
        <v>14.683299999999999</v>
      </c>
      <c r="E236" s="1">
        <v>4.2495399999999997</v>
      </c>
      <c r="F236" s="1">
        <v>1.6634800000000001</v>
      </c>
    </row>
    <row r="237" spans="2:6" x14ac:dyDescent="0.25">
      <c r="B237" s="1">
        <v>66</v>
      </c>
      <c r="C237" s="1">
        <v>46.560299999999998</v>
      </c>
      <c r="D237" s="1">
        <v>14.755599999999999</v>
      </c>
      <c r="E237" s="1">
        <v>4.16648</v>
      </c>
      <c r="F237" s="1">
        <v>1.6586700000000001</v>
      </c>
    </row>
    <row r="238" spans="2:6" x14ac:dyDescent="0.25">
      <c r="B238" s="1">
        <v>67</v>
      </c>
      <c r="C238" s="1">
        <v>47.915999999999997</v>
      </c>
      <c r="D238" s="1">
        <v>14.8262</v>
      </c>
      <c r="E238" s="1">
        <v>4.0871899999999997</v>
      </c>
      <c r="F238" s="1">
        <v>1.6532500000000001</v>
      </c>
    </row>
    <row r="239" spans="2:6" x14ac:dyDescent="0.25">
      <c r="B239" s="1">
        <v>68</v>
      </c>
      <c r="C239" s="1">
        <v>49.290900000000001</v>
      </c>
      <c r="D239" s="1">
        <v>14.895200000000001</v>
      </c>
      <c r="E239" s="1">
        <v>4.0115499999999997</v>
      </c>
      <c r="F239" s="1">
        <v>1.6472899999999999</v>
      </c>
    </row>
    <row r="240" spans="2:6" x14ac:dyDescent="0.25">
      <c r="B240" s="1">
        <v>69</v>
      </c>
      <c r="C240" s="1">
        <v>50.6845</v>
      </c>
      <c r="D240" s="1">
        <v>14.962899999999999</v>
      </c>
      <c r="E240" s="1">
        <v>3.9394</v>
      </c>
      <c r="F240" s="1">
        <v>1.64086</v>
      </c>
    </row>
    <row r="241" spans="2:6" x14ac:dyDescent="0.25">
      <c r="B241" s="1">
        <v>70</v>
      </c>
      <c r="C241" s="1">
        <v>52.096899999999998</v>
      </c>
      <c r="D241" s="1">
        <v>15.0291</v>
      </c>
      <c r="E241" s="1">
        <v>3.8705699999999998</v>
      </c>
      <c r="F241" s="1">
        <v>1.6340600000000001</v>
      </c>
    </row>
    <row r="242" spans="2:6" x14ac:dyDescent="0.25">
      <c r="B242" s="1">
        <v>71</v>
      </c>
      <c r="C242" s="1">
        <v>53.5276</v>
      </c>
      <c r="D242" s="1">
        <v>15.093999999999999</v>
      </c>
      <c r="E242" s="1">
        <v>3.8048600000000001</v>
      </c>
      <c r="F242" s="1">
        <v>1.62696</v>
      </c>
    </row>
    <row r="243" spans="2:6" x14ac:dyDescent="0.25">
      <c r="B243" s="1">
        <v>72</v>
      </c>
      <c r="C243" s="1">
        <v>54.976500000000001</v>
      </c>
      <c r="D243" s="1">
        <v>15.1578</v>
      </c>
      <c r="E243" s="1">
        <v>3.74207</v>
      </c>
      <c r="F243" s="1">
        <v>1.6196299999999999</v>
      </c>
    </row>
    <row r="244" spans="2:6" x14ac:dyDescent="0.25">
      <c r="B244" s="1">
        <v>73</v>
      </c>
      <c r="C244" s="1">
        <v>56.443399999999997</v>
      </c>
      <c r="D244" s="1">
        <v>15.220499999999999</v>
      </c>
      <c r="E244" s="1">
        <v>3.68201</v>
      </c>
      <c r="F244" s="1">
        <v>1.61208</v>
      </c>
    </row>
    <row r="245" spans="2:6" x14ac:dyDescent="0.25">
      <c r="B245" s="1">
        <v>74</v>
      </c>
      <c r="C245" s="1">
        <v>57.928100000000001</v>
      </c>
      <c r="D245" s="1">
        <v>15.2821</v>
      </c>
      <c r="E245" s="1">
        <v>3.6245500000000002</v>
      </c>
      <c r="F245" s="1">
        <v>1.6043499999999999</v>
      </c>
    </row>
    <row r="246" spans="2:6" x14ac:dyDescent="0.25">
      <c r="B246" s="1">
        <v>75</v>
      </c>
      <c r="C246" s="1">
        <v>59.430100000000003</v>
      </c>
      <c r="D246" s="1">
        <v>15.3429</v>
      </c>
      <c r="E246" s="1">
        <v>3.5695399999999999</v>
      </c>
      <c r="F246" s="1">
        <v>1.5964499999999999</v>
      </c>
    </row>
    <row r="247" spans="2:6" x14ac:dyDescent="0.25">
      <c r="B247" s="1">
        <v>76</v>
      </c>
      <c r="C247" s="1">
        <v>60.949399999999997</v>
      </c>
      <c r="D247" s="1">
        <v>15.402799999999999</v>
      </c>
      <c r="E247" s="1">
        <v>3.5168499999999998</v>
      </c>
      <c r="F247" s="1">
        <v>1.58839</v>
      </c>
    </row>
    <row r="248" spans="2:6" x14ac:dyDescent="0.25">
      <c r="B248" s="1">
        <v>77</v>
      </c>
      <c r="C248" s="1">
        <v>62.485799999999998</v>
      </c>
      <c r="D248" s="1">
        <v>15.4619</v>
      </c>
      <c r="E248" s="1">
        <v>3.4663900000000001</v>
      </c>
      <c r="F248" s="1">
        <v>1.5802</v>
      </c>
    </row>
    <row r="249" spans="2:6" x14ac:dyDescent="0.25">
      <c r="B249" s="1">
        <v>78</v>
      </c>
      <c r="C249" s="1">
        <v>64.038700000000006</v>
      </c>
      <c r="D249" s="1">
        <v>15.520200000000001</v>
      </c>
      <c r="E249" s="1">
        <v>3.4180199999999998</v>
      </c>
      <c r="F249" s="1">
        <v>1.5719399999999999</v>
      </c>
    </row>
    <row r="250" spans="2:6" x14ac:dyDescent="0.25">
      <c r="B250" s="1">
        <v>79</v>
      </c>
      <c r="C250" s="1">
        <v>65.608099999999993</v>
      </c>
      <c r="D250" s="1">
        <v>15.5778</v>
      </c>
      <c r="E250" s="1">
        <v>3.3716499999999998</v>
      </c>
      <c r="F250" s="1">
        <v>1.5636399999999999</v>
      </c>
    </row>
    <row r="251" spans="2:6" x14ac:dyDescent="0.25">
      <c r="B251" s="1">
        <v>80</v>
      </c>
      <c r="C251" s="1">
        <v>67.193600000000004</v>
      </c>
      <c r="D251" s="1">
        <v>15.6348</v>
      </c>
      <c r="E251" s="1">
        <v>3.32714</v>
      </c>
      <c r="F251" s="1">
        <v>1.5553300000000001</v>
      </c>
    </row>
    <row r="252" spans="2:6" x14ac:dyDescent="0.25">
      <c r="B252" s="1">
        <v>81</v>
      </c>
      <c r="C252" s="1">
        <v>68.795000000000002</v>
      </c>
      <c r="D252" s="1">
        <v>15.6912</v>
      </c>
      <c r="E252" s="1">
        <v>3.2844199999999999</v>
      </c>
      <c r="F252" s="1">
        <v>1.5470200000000001</v>
      </c>
    </row>
    <row r="253" spans="2:6" x14ac:dyDescent="0.25">
      <c r="B253" s="1">
        <v>82</v>
      </c>
      <c r="C253" s="1">
        <v>70.412099999999995</v>
      </c>
      <c r="D253" s="1">
        <v>15.747</v>
      </c>
      <c r="E253" s="1">
        <v>3.24336</v>
      </c>
      <c r="F253" s="1">
        <v>1.5386899999999999</v>
      </c>
    </row>
    <row r="254" spans="2:6" x14ac:dyDescent="0.25">
      <c r="B254" s="1">
        <v>83</v>
      </c>
      <c r="C254" s="1">
        <v>72.044399999999996</v>
      </c>
      <c r="D254" s="1">
        <v>15.802199999999999</v>
      </c>
      <c r="E254" s="1">
        <v>3.2038500000000001</v>
      </c>
      <c r="F254" s="1">
        <v>1.5302899999999999</v>
      </c>
    </row>
    <row r="255" spans="2:6" x14ac:dyDescent="0.25">
      <c r="B255" s="1">
        <v>84</v>
      </c>
      <c r="C255" s="1">
        <v>73.691800000000001</v>
      </c>
      <c r="D255" s="1">
        <v>15.8569</v>
      </c>
      <c r="E255" s="1">
        <v>3.1657899999999999</v>
      </c>
      <c r="F255" s="1">
        <v>1.5218</v>
      </c>
    </row>
    <row r="256" spans="2:6" x14ac:dyDescent="0.25">
      <c r="B256" s="1">
        <v>85</v>
      </c>
      <c r="C256" s="1">
        <v>75.353800000000007</v>
      </c>
      <c r="D256" s="1">
        <v>15.911199999999999</v>
      </c>
      <c r="E256" s="1">
        <v>3.12906</v>
      </c>
      <c r="F256" s="1">
        <v>1.5131699999999999</v>
      </c>
    </row>
    <row r="257" spans="2:6" x14ac:dyDescent="0.25">
      <c r="B257" s="1">
        <v>86</v>
      </c>
      <c r="C257" s="1">
        <v>77.030500000000004</v>
      </c>
      <c r="D257" s="1">
        <v>15.965</v>
      </c>
      <c r="E257" s="1">
        <v>3.09361</v>
      </c>
      <c r="F257" s="1">
        <v>1.5044</v>
      </c>
    </row>
    <row r="258" spans="2:6" x14ac:dyDescent="0.25">
      <c r="B258" s="1">
        <v>87</v>
      </c>
      <c r="C258" s="1">
        <v>78.721199999999996</v>
      </c>
      <c r="D258" s="1">
        <v>16.0183</v>
      </c>
      <c r="E258" s="1">
        <v>3.0593300000000001</v>
      </c>
      <c r="F258" s="1">
        <v>1.4954700000000001</v>
      </c>
    </row>
    <row r="259" spans="2:6" x14ac:dyDescent="0.25">
      <c r="B259" s="1">
        <v>88</v>
      </c>
      <c r="C259" s="1">
        <v>80.426000000000002</v>
      </c>
      <c r="D259" s="1">
        <v>16.071100000000001</v>
      </c>
      <c r="E259" s="1">
        <v>3.0261399999999998</v>
      </c>
      <c r="F259" s="1">
        <v>1.48644</v>
      </c>
    </row>
    <row r="260" spans="2:6" x14ac:dyDescent="0.25">
      <c r="B260" s="1">
        <v>89</v>
      </c>
      <c r="C260" s="1">
        <v>82.144199999999998</v>
      </c>
      <c r="D260" s="1">
        <v>16.1236</v>
      </c>
      <c r="E260" s="1">
        <v>2.9939499999999999</v>
      </c>
      <c r="F260" s="1">
        <v>1.4773499999999999</v>
      </c>
    </row>
    <row r="261" spans="2:6" x14ac:dyDescent="0.25">
      <c r="B261" s="1">
        <v>90</v>
      </c>
      <c r="C261" s="1">
        <v>83.875900000000001</v>
      </c>
      <c r="D261" s="1">
        <v>16.175699999999999</v>
      </c>
      <c r="E261" s="1">
        <v>2.9626600000000001</v>
      </c>
      <c r="F261" s="1">
        <v>1.4682500000000001</v>
      </c>
    </row>
    <row r="262" spans="2:6" x14ac:dyDescent="0.25">
      <c r="B262" s="1">
        <v>91</v>
      </c>
      <c r="C262" s="1">
        <v>85.620199999999997</v>
      </c>
      <c r="D262" s="1">
        <v>16.2273</v>
      </c>
      <c r="E262" s="1">
        <v>2.9321899999999999</v>
      </c>
      <c r="F262" s="1">
        <v>1.4591799999999999</v>
      </c>
    </row>
    <row r="263" spans="2:6" x14ac:dyDescent="0.25">
      <c r="B263" s="1">
        <v>92</v>
      </c>
      <c r="C263" s="1">
        <v>87.377899999999997</v>
      </c>
      <c r="D263" s="1">
        <v>16.278600000000001</v>
      </c>
      <c r="E263" s="1">
        <v>2.9024399999999999</v>
      </c>
      <c r="F263" s="1">
        <v>1.45014</v>
      </c>
    </row>
    <row r="264" spans="2:6" x14ac:dyDescent="0.25">
      <c r="B264" s="1">
        <v>93</v>
      </c>
      <c r="C264" s="1">
        <v>89.147499999999994</v>
      </c>
      <c r="D264" s="1">
        <v>16.329499999999999</v>
      </c>
      <c r="E264" s="1">
        <v>2.8733900000000001</v>
      </c>
      <c r="F264" s="1">
        <v>1.4411400000000001</v>
      </c>
    </row>
    <row r="265" spans="2:6" x14ac:dyDescent="0.25">
      <c r="B265" s="1">
        <v>94</v>
      </c>
      <c r="C265" s="1">
        <v>90.9298</v>
      </c>
      <c r="D265" s="1">
        <v>16.38</v>
      </c>
      <c r="E265" s="1">
        <v>2.84504</v>
      </c>
      <c r="F265" s="1">
        <v>1.4321600000000001</v>
      </c>
    </row>
    <row r="266" spans="2:6" x14ac:dyDescent="0.25">
      <c r="B266" s="1">
        <v>95</v>
      </c>
      <c r="C266" s="1">
        <v>92.723100000000002</v>
      </c>
      <c r="D266" s="1">
        <v>16.43</v>
      </c>
      <c r="E266" s="1">
        <v>2.8174399999999999</v>
      </c>
      <c r="F266" s="1">
        <v>1.42319</v>
      </c>
    </row>
    <row r="267" spans="2:6" x14ac:dyDescent="0.25">
      <c r="B267" s="1">
        <v>96</v>
      </c>
      <c r="C267" s="1">
        <v>94.528999999999996</v>
      </c>
      <c r="D267" s="1">
        <v>16.479700000000001</v>
      </c>
      <c r="E267" s="1">
        <v>2.7905700000000002</v>
      </c>
      <c r="F267" s="1">
        <v>1.4141600000000001</v>
      </c>
    </row>
    <row r="268" spans="2:6" x14ac:dyDescent="0.25">
      <c r="B268" s="1">
        <v>97</v>
      </c>
      <c r="C268" s="1">
        <v>96.345200000000006</v>
      </c>
      <c r="D268" s="1">
        <v>16.529</v>
      </c>
      <c r="E268" s="1">
        <v>2.7644500000000001</v>
      </c>
      <c r="F268" s="1">
        <v>1.40499</v>
      </c>
    </row>
    <row r="269" spans="2:6" x14ac:dyDescent="0.25">
      <c r="B269" s="1">
        <v>98</v>
      </c>
      <c r="C269" s="1">
        <v>98.173299999999998</v>
      </c>
      <c r="D269" s="1">
        <v>16.5779</v>
      </c>
      <c r="E269" s="1">
        <v>2.7390099999999999</v>
      </c>
      <c r="F269" s="1">
        <v>1.3956200000000001</v>
      </c>
    </row>
    <row r="270" spans="2:6" x14ac:dyDescent="0.25">
      <c r="B270" s="1">
        <v>99</v>
      </c>
      <c r="C270" s="1">
        <v>100.012</v>
      </c>
      <c r="D270" s="1">
        <v>16.6264</v>
      </c>
      <c r="E270" s="1">
        <v>2.7141799999999998</v>
      </c>
      <c r="F270" s="1">
        <v>1.3859999999999999</v>
      </c>
    </row>
    <row r="271" spans="2:6" x14ac:dyDescent="0.25">
      <c r="B271" s="1">
        <v>100</v>
      </c>
      <c r="C271" s="1">
        <v>101.861</v>
      </c>
      <c r="D271" s="1">
        <v>16.674399999999999</v>
      </c>
      <c r="E271" s="1">
        <v>2.6898</v>
      </c>
      <c r="F271" s="1">
        <v>1.3761099999999999</v>
      </c>
    </row>
    <row r="272" spans="2:6" x14ac:dyDescent="0.25">
      <c r="B272" s="1">
        <v>101</v>
      </c>
      <c r="C272" s="1">
        <v>103.72</v>
      </c>
      <c r="D272" s="1">
        <v>16.722000000000001</v>
      </c>
      <c r="E272" s="1">
        <v>2.6657999999999999</v>
      </c>
      <c r="F272" s="1">
        <v>1.36598</v>
      </c>
    </row>
    <row r="273" spans="2:6" x14ac:dyDescent="0.25">
      <c r="B273" s="1">
        <v>102</v>
      </c>
      <c r="C273" s="1">
        <v>105.589</v>
      </c>
      <c r="D273" s="1">
        <v>16.769200000000001</v>
      </c>
      <c r="E273" s="1">
        <v>2.6420699999999999</v>
      </c>
      <c r="F273" s="1">
        <v>1.3556600000000001</v>
      </c>
    </row>
    <row r="274" spans="2:6" x14ac:dyDescent="0.25">
      <c r="B274" s="1">
        <v>103</v>
      </c>
      <c r="C274" s="1">
        <v>107.468</v>
      </c>
      <c r="D274" s="1">
        <v>16.815999999999999</v>
      </c>
      <c r="E274" s="1">
        <v>2.6185499999999999</v>
      </c>
      <c r="F274" s="1">
        <v>1.3451900000000001</v>
      </c>
    </row>
    <row r="275" spans="2:6" x14ac:dyDescent="0.25">
      <c r="B275" s="1">
        <v>104</v>
      </c>
      <c r="C275" s="1">
        <v>109.35599999999999</v>
      </c>
      <c r="D275" s="1">
        <v>16.862400000000001</v>
      </c>
      <c r="E275" s="1">
        <v>2.5952700000000002</v>
      </c>
      <c r="F275" s="1">
        <v>1.3346499999999999</v>
      </c>
    </row>
    <row r="276" spans="2:6" x14ac:dyDescent="0.25">
      <c r="B276" s="1">
        <v>105</v>
      </c>
      <c r="C276" s="1">
        <v>111.253</v>
      </c>
      <c r="D276" s="1">
        <v>16.9085</v>
      </c>
      <c r="E276" s="1">
        <v>2.5722399999999999</v>
      </c>
      <c r="F276" s="1">
        <v>1.3240099999999999</v>
      </c>
    </row>
    <row r="277" spans="2:6" x14ac:dyDescent="0.25">
      <c r="B277" s="1">
        <v>106</v>
      </c>
      <c r="C277" s="1">
        <v>113.16</v>
      </c>
      <c r="D277" s="1">
        <v>16.9542</v>
      </c>
      <c r="E277" s="1">
        <v>2.5495000000000001</v>
      </c>
      <c r="F277" s="1">
        <v>1.3133300000000001</v>
      </c>
    </row>
    <row r="278" spans="2:6" x14ac:dyDescent="0.25">
      <c r="B278" s="1">
        <v>107</v>
      </c>
      <c r="C278" s="1">
        <v>115.074</v>
      </c>
      <c r="D278" s="1">
        <v>16.999600000000001</v>
      </c>
      <c r="E278" s="1">
        <v>2.5270899999999998</v>
      </c>
      <c r="F278" s="1">
        <v>1.30257</v>
      </c>
    </row>
    <row r="279" spans="2:6" x14ac:dyDescent="0.25">
      <c r="B279" s="1">
        <v>108</v>
      </c>
      <c r="C279" s="1">
        <v>116.997</v>
      </c>
      <c r="D279" s="1">
        <v>17.044699999999999</v>
      </c>
      <c r="E279" s="1">
        <v>2.5049899999999998</v>
      </c>
      <c r="F279" s="1">
        <v>1.2917700000000001</v>
      </c>
    </row>
    <row r="280" spans="2:6" x14ac:dyDescent="0.25">
      <c r="B280" s="1">
        <v>109</v>
      </c>
      <c r="C280" s="1">
        <v>118.928</v>
      </c>
      <c r="D280" s="1">
        <v>17.089400000000001</v>
      </c>
      <c r="E280" s="1">
        <v>2.4831699999999999</v>
      </c>
      <c r="F280" s="1">
        <v>1.2809600000000001</v>
      </c>
    </row>
    <row r="281" spans="2:6" x14ac:dyDescent="0.25">
      <c r="B281" s="1">
        <v>110</v>
      </c>
      <c r="C281" s="1">
        <v>120.86799999999999</v>
      </c>
      <c r="D281" s="1">
        <v>17.133900000000001</v>
      </c>
      <c r="E281" s="1">
        <v>2.46157</v>
      </c>
      <c r="F281" s="1">
        <v>1.2701899999999999</v>
      </c>
    </row>
    <row r="282" spans="2:6" x14ac:dyDescent="0.25">
      <c r="B282" s="1">
        <v>111</v>
      </c>
      <c r="C282" s="1">
        <v>122.81399999999999</v>
      </c>
      <c r="D282" s="1">
        <v>17.178100000000001</v>
      </c>
      <c r="E282" s="1">
        <v>2.44015</v>
      </c>
      <c r="F282" s="1">
        <v>1.25949</v>
      </c>
    </row>
    <row r="283" spans="2:6" x14ac:dyDescent="0.25">
      <c r="B283" s="1">
        <v>112</v>
      </c>
      <c r="C283" s="1">
        <v>124.768</v>
      </c>
      <c r="D283" s="1">
        <v>17.221900000000002</v>
      </c>
      <c r="E283" s="1">
        <v>2.4188999999999998</v>
      </c>
      <c r="F283" s="1">
        <v>1.24891</v>
      </c>
    </row>
    <row r="284" spans="2:6" x14ac:dyDescent="0.25">
      <c r="B284" s="1">
        <v>113</v>
      </c>
      <c r="C284" s="1">
        <v>126.729</v>
      </c>
      <c r="D284" s="1">
        <v>17.265499999999999</v>
      </c>
      <c r="E284" s="1">
        <v>2.39777</v>
      </c>
      <c r="F284" s="1">
        <v>1.23844</v>
      </c>
    </row>
    <row r="285" spans="2:6" x14ac:dyDescent="0.25">
      <c r="B285" s="1">
        <v>114</v>
      </c>
      <c r="C285" s="1">
        <v>128.697</v>
      </c>
      <c r="D285" s="1">
        <v>17.308700000000002</v>
      </c>
      <c r="E285" s="1">
        <v>2.37676</v>
      </c>
      <c r="F285" s="1">
        <v>1.22811</v>
      </c>
    </row>
    <row r="286" spans="2:6" x14ac:dyDescent="0.25">
      <c r="B286" s="1">
        <v>115</v>
      </c>
      <c r="C286" s="1">
        <v>130.672</v>
      </c>
      <c r="D286" s="1">
        <v>17.351700000000001</v>
      </c>
      <c r="E286" s="1">
        <v>2.3559100000000002</v>
      </c>
      <c r="F286" s="1">
        <v>1.2179199999999999</v>
      </c>
    </row>
    <row r="287" spans="2:6" x14ac:dyDescent="0.25">
      <c r="B287" s="1">
        <v>116</v>
      </c>
      <c r="C287" s="1">
        <v>132.654</v>
      </c>
      <c r="D287" s="1">
        <v>17.394300000000001</v>
      </c>
      <c r="E287" s="1">
        <v>2.33527</v>
      </c>
      <c r="F287" s="1">
        <v>1.2078899999999999</v>
      </c>
    </row>
    <row r="288" spans="2:6" x14ac:dyDescent="0.25">
      <c r="B288" s="1">
        <v>117</v>
      </c>
      <c r="C288" s="1">
        <v>134.64099999999999</v>
      </c>
      <c r="D288" s="1">
        <v>17.436599999999999</v>
      </c>
      <c r="E288" s="1">
        <v>2.31488</v>
      </c>
      <c r="F288" s="1">
        <v>1.19801</v>
      </c>
    </row>
    <row r="289" spans="2:6" x14ac:dyDescent="0.25">
      <c r="B289" s="1">
        <v>118</v>
      </c>
      <c r="C289" s="1">
        <v>136.63499999999999</v>
      </c>
      <c r="D289" s="1">
        <v>17.4786</v>
      </c>
      <c r="E289" s="1">
        <v>2.29481</v>
      </c>
      <c r="F289" s="1">
        <v>1.18824</v>
      </c>
    </row>
    <row r="290" spans="2:6" x14ac:dyDescent="0.25">
      <c r="B290" s="1">
        <v>119</v>
      </c>
      <c r="C290" s="1">
        <v>138.63499999999999</v>
      </c>
      <c r="D290" s="1">
        <v>17.520299999999999</v>
      </c>
      <c r="E290" s="1">
        <v>2.27508</v>
      </c>
      <c r="F290" s="1">
        <v>1.1785699999999999</v>
      </c>
    </row>
    <row r="291" spans="2:6" x14ac:dyDescent="0.25">
      <c r="B291" s="1">
        <v>120</v>
      </c>
      <c r="C291" s="1">
        <v>140.63999999999999</v>
      </c>
      <c r="D291" s="1">
        <v>17.561599999999999</v>
      </c>
      <c r="E291" s="1">
        <v>2.2556500000000002</v>
      </c>
      <c r="F291" s="1">
        <v>1.16892</v>
      </c>
    </row>
    <row r="292" spans="2:6" x14ac:dyDescent="0.25">
      <c r="B292" s="1">
        <v>121</v>
      </c>
      <c r="C292" s="1">
        <v>142.65</v>
      </c>
      <c r="D292" s="1">
        <v>17.602699999999999</v>
      </c>
      <c r="E292" s="1">
        <v>2.2365300000000001</v>
      </c>
      <c r="F292" s="1">
        <v>1.1593100000000001</v>
      </c>
    </row>
    <row r="293" spans="2:6" x14ac:dyDescent="0.25">
      <c r="B293" s="1">
        <v>122</v>
      </c>
      <c r="C293" s="1">
        <v>144.666</v>
      </c>
      <c r="D293" s="1">
        <v>17.6435</v>
      </c>
      <c r="E293" s="1">
        <v>2.2176499999999999</v>
      </c>
      <c r="F293" s="1">
        <v>1.14971</v>
      </c>
    </row>
    <row r="294" spans="2:6" x14ac:dyDescent="0.25">
      <c r="B294" s="1">
        <v>123</v>
      </c>
      <c r="C294" s="1">
        <v>146.68600000000001</v>
      </c>
      <c r="D294" s="1">
        <v>17.684000000000001</v>
      </c>
      <c r="E294" s="1">
        <v>2.1989800000000002</v>
      </c>
      <c r="F294" s="1">
        <v>1.1401300000000001</v>
      </c>
    </row>
    <row r="295" spans="2:6" x14ac:dyDescent="0.25">
      <c r="B295" s="1">
        <v>124</v>
      </c>
      <c r="C295" s="1">
        <v>148.71299999999999</v>
      </c>
      <c r="D295" s="1">
        <v>17.724299999999999</v>
      </c>
      <c r="E295" s="1">
        <v>2.1804700000000001</v>
      </c>
      <c r="F295" s="1">
        <v>1.1305700000000001</v>
      </c>
    </row>
    <row r="296" spans="2:6" x14ac:dyDescent="0.25">
      <c r="B296" s="1">
        <v>125</v>
      </c>
      <c r="C296" s="1">
        <v>150.74299999999999</v>
      </c>
      <c r="D296" s="1">
        <v>17.764299999999999</v>
      </c>
      <c r="E296" s="1">
        <v>2.1620699999999999</v>
      </c>
      <c r="F296" s="1">
        <v>1.1210199999999999</v>
      </c>
    </row>
    <row r="297" spans="2:6" x14ac:dyDescent="0.25">
      <c r="B297" s="1">
        <v>126</v>
      </c>
      <c r="C297" s="1">
        <v>152.77799999999999</v>
      </c>
      <c r="D297" s="1">
        <v>17.803999999999998</v>
      </c>
      <c r="E297" s="1">
        <v>2.1436700000000002</v>
      </c>
      <c r="F297" s="1">
        <v>1.11145</v>
      </c>
    </row>
    <row r="298" spans="2:6" x14ac:dyDescent="0.25">
      <c r="B298" s="1">
        <v>127</v>
      </c>
      <c r="C298" s="1">
        <v>154.81700000000001</v>
      </c>
      <c r="D298" s="1">
        <v>17.843599999999999</v>
      </c>
      <c r="E298" s="1">
        <v>2.12521</v>
      </c>
      <c r="F298" s="1">
        <v>1.10181</v>
      </c>
    </row>
    <row r="299" spans="2:6" x14ac:dyDescent="0.25">
      <c r="B299" s="1">
        <v>128</v>
      </c>
      <c r="C299" s="1">
        <v>156.86099999999999</v>
      </c>
      <c r="D299" s="1">
        <v>17.882899999999999</v>
      </c>
      <c r="E299" s="1">
        <v>2.1065900000000002</v>
      </c>
      <c r="F299" s="1">
        <v>1.0921099999999999</v>
      </c>
    </row>
    <row r="300" spans="2:6" x14ac:dyDescent="0.25">
      <c r="B300" s="1">
        <v>129</v>
      </c>
      <c r="C300" s="1">
        <v>158.90899999999999</v>
      </c>
      <c r="D300" s="1">
        <v>17.922000000000001</v>
      </c>
      <c r="E300" s="1">
        <v>2.08779</v>
      </c>
      <c r="F300" s="1">
        <v>1.0823499999999999</v>
      </c>
    </row>
    <row r="301" spans="2:6" x14ac:dyDescent="0.25">
      <c r="B301" s="1">
        <v>130</v>
      </c>
      <c r="C301" s="1">
        <v>160.959</v>
      </c>
      <c r="D301" s="1">
        <v>17.960899999999999</v>
      </c>
      <c r="E301" s="1">
        <v>2.0687799999999998</v>
      </c>
      <c r="F301" s="1">
        <v>1.0725499999999999</v>
      </c>
    </row>
    <row r="302" spans="2:6" x14ac:dyDescent="0.25">
      <c r="B302" s="1">
        <v>131</v>
      </c>
      <c r="C302" s="1">
        <v>163.01499999999999</v>
      </c>
      <c r="D302" s="1">
        <v>17.999600000000001</v>
      </c>
      <c r="E302" s="1">
        <v>2.0496400000000001</v>
      </c>
      <c r="F302" s="1">
        <v>1.0627800000000001</v>
      </c>
    </row>
    <row r="303" spans="2:6" x14ac:dyDescent="0.25">
      <c r="B303" s="1">
        <v>132</v>
      </c>
      <c r="C303" s="1">
        <v>165.07400000000001</v>
      </c>
      <c r="D303" s="1">
        <v>18.0381</v>
      </c>
      <c r="E303" s="1">
        <v>2.0304500000000001</v>
      </c>
      <c r="F303" s="1">
        <v>1.05304</v>
      </c>
    </row>
    <row r="304" spans="2:6" x14ac:dyDescent="0.25">
      <c r="B304" s="1">
        <v>133</v>
      </c>
      <c r="C304" s="1">
        <v>167.136</v>
      </c>
      <c r="D304" s="1">
        <v>18.0764</v>
      </c>
      <c r="E304" s="1">
        <v>2.0112700000000001</v>
      </c>
      <c r="F304" s="1">
        <v>1.0433699999999999</v>
      </c>
    </row>
    <row r="305" spans="2:6" x14ac:dyDescent="0.25">
      <c r="B305" s="1">
        <v>134</v>
      </c>
      <c r="C305" s="1">
        <v>169.20099999999999</v>
      </c>
      <c r="D305" s="1">
        <v>18.1144</v>
      </c>
      <c r="E305" s="1">
        <v>1.9921899999999999</v>
      </c>
      <c r="F305" s="1">
        <v>1.03373</v>
      </c>
    </row>
    <row r="306" spans="2:6" x14ac:dyDescent="0.25">
      <c r="B306" s="1">
        <v>135</v>
      </c>
      <c r="C306" s="1">
        <v>171.26900000000001</v>
      </c>
      <c r="D306" s="1">
        <v>18.1523</v>
      </c>
      <c r="E306" s="1">
        <v>1.97326</v>
      </c>
      <c r="F306" s="1">
        <v>1.02413</v>
      </c>
    </row>
    <row r="307" spans="2:6" x14ac:dyDescent="0.25">
      <c r="B307" s="1">
        <v>136</v>
      </c>
      <c r="C307" s="1">
        <v>173.34</v>
      </c>
      <c r="D307" s="1">
        <v>18.189900000000002</v>
      </c>
      <c r="E307" s="1">
        <v>1.9544600000000001</v>
      </c>
      <c r="F307" s="1">
        <v>1.0145500000000001</v>
      </c>
    </row>
    <row r="308" spans="2:6" x14ac:dyDescent="0.25">
      <c r="B308" s="1">
        <v>137</v>
      </c>
      <c r="C308" s="1">
        <v>175.41499999999999</v>
      </c>
      <c r="D308" s="1">
        <v>18.2273</v>
      </c>
      <c r="E308" s="1">
        <v>1.9357800000000001</v>
      </c>
      <c r="F308" s="1">
        <v>1.00498</v>
      </c>
    </row>
    <row r="309" spans="2:6" x14ac:dyDescent="0.25">
      <c r="B309" s="1">
        <v>138</v>
      </c>
      <c r="C309" s="1">
        <v>177.49199999999999</v>
      </c>
      <c r="D309" s="1">
        <v>18.264500000000002</v>
      </c>
      <c r="E309" s="1">
        <v>1.9171499999999999</v>
      </c>
      <c r="F309" s="1">
        <v>0.99542900000000001</v>
      </c>
    </row>
    <row r="310" spans="2:6" x14ac:dyDescent="0.25">
      <c r="B310" s="1">
        <v>139</v>
      </c>
      <c r="C310" s="1">
        <v>179.572</v>
      </c>
      <c r="D310" s="1">
        <v>18.301500000000001</v>
      </c>
      <c r="E310" s="1">
        <v>1.89852</v>
      </c>
      <c r="F310" s="1">
        <v>0.98588200000000004</v>
      </c>
    </row>
    <row r="311" spans="2:6" x14ac:dyDescent="0.25">
      <c r="B311" s="1">
        <v>140</v>
      </c>
      <c r="C311" s="1">
        <v>181.654</v>
      </c>
      <c r="D311" s="1">
        <v>18.3384</v>
      </c>
      <c r="E311" s="1">
        <v>1.8798900000000001</v>
      </c>
      <c r="F311" s="1">
        <v>0.97633999999999999</v>
      </c>
    </row>
    <row r="312" spans="2:6" x14ac:dyDescent="0.25">
      <c r="B312" s="1">
        <v>141</v>
      </c>
      <c r="C312" s="1">
        <v>183.739</v>
      </c>
      <c r="D312" s="1">
        <v>18.375</v>
      </c>
      <c r="E312" s="1">
        <v>1.8612200000000001</v>
      </c>
      <c r="F312" s="1">
        <v>0.96680500000000003</v>
      </c>
    </row>
    <row r="313" spans="2:6" x14ac:dyDescent="0.25">
      <c r="B313" s="1">
        <v>142</v>
      </c>
      <c r="C313" s="1">
        <v>185.82499999999999</v>
      </c>
      <c r="D313" s="1">
        <v>18.4114</v>
      </c>
      <c r="E313" s="1">
        <v>1.8425100000000001</v>
      </c>
      <c r="F313" s="1">
        <v>0.95729399999999998</v>
      </c>
    </row>
    <row r="314" spans="2:6" x14ac:dyDescent="0.25">
      <c r="B314" s="1">
        <v>143</v>
      </c>
      <c r="C314" s="1">
        <v>187.91499999999999</v>
      </c>
      <c r="D314" s="1">
        <v>18.447600000000001</v>
      </c>
      <c r="E314" s="1">
        <v>1.82375</v>
      </c>
      <c r="F314" s="1">
        <v>0.94784199999999996</v>
      </c>
    </row>
    <row r="315" spans="2:6" x14ac:dyDescent="0.25">
      <c r="B315" s="1">
        <v>144</v>
      </c>
      <c r="C315" s="1">
        <v>190.006</v>
      </c>
      <c r="D315" s="1">
        <v>18.483599999999999</v>
      </c>
      <c r="E315" s="1">
        <v>1.8049599999999999</v>
      </c>
      <c r="F315" s="1">
        <v>0.93848399999999998</v>
      </c>
    </row>
    <row r="316" spans="2:6" x14ac:dyDescent="0.25">
      <c r="B316" s="1">
        <v>145</v>
      </c>
      <c r="C316" s="1">
        <v>192.1</v>
      </c>
      <c r="D316" s="1">
        <v>18.519200000000001</v>
      </c>
      <c r="E316" s="1">
        <v>1.7861800000000001</v>
      </c>
      <c r="F316" s="1">
        <v>0.92923699999999998</v>
      </c>
    </row>
    <row r="317" spans="2:6" x14ac:dyDescent="0.25">
      <c r="B317" s="1">
        <v>146</v>
      </c>
      <c r="C317" s="1">
        <v>194.19499999999999</v>
      </c>
      <c r="D317" s="1">
        <v>18.5548</v>
      </c>
      <c r="E317" s="1">
        <v>1.7674000000000001</v>
      </c>
      <c r="F317" s="1">
        <v>0.92009600000000002</v>
      </c>
    </row>
    <row r="318" spans="2:6" x14ac:dyDescent="0.25">
      <c r="B318" s="1">
        <v>147</v>
      </c>
      <c r="C318" s="1">
        <v>196.291</v>
      </c>
      <c r="D318" s="1">
        <v>18.5901</v>
      </c>
      <c r="E318" s="1">
        <v>1.7486299999999999</v>
      </c>
      <c r="F318" s="1">
        <v>0.91103699999999999</v>
      </c>
    </row>
    <row r="319" spans="2:6" x14ac:dyDescent="0.25">
      <c r="B319" s="1">
        <v>148</v>
      </c>
      <c r="C319" s="1">
        <v>198.39</v>
      </c>
      <c r="D319" s="1">
        <v>18.6251</v>
      </c>
      <c r="E319" s="1">
        <v>1.72987</v>
      </c>
      <c r="F319" s="1">
        <v>0.90202800000000005</v>
      </c>
    </row>
    <row r="320" spans="2:6" x14ac:dyDescent="0.25">
      <c r="B320" s="1">
        <v>149</v>
      </c>
      <c r="C320" s="1">
        <v>200.49</v>
      </c>
      <c r="D320" s="1">
        <v>18.6599</v>
      </c>
      <c r="E320" s="1">
        <v>1.7111400000000001</v>
      </c>
      <c r="F320" s="1">
        <v>0.89303500000000002</v>
      </c>
    </row>
    <row r="321" spans="2:6" x14ac:dyDescent="0.25">
      <c r="B321" s="1">
        <v>150</v>
      </c>
      <c r="C321" s="1">
        <v>202.59200000000001</v>
      </c>
      <c r="D321" s="1">
        <v>18.694500000000001</v>
      </c>
      <c r="E321" s="1">
        <v>1.69245</v>
      </c>
      <c r="F321" s="1">
        <v>0.88403200000000004</v>
      </c>
    </row>
    <row r="322" spans="2:6" x14ac:dyDescent="0.25">
      <c r="B322" s="1">
        <v>151</v>
      </c>
      <c r="C322" s="1">
        <v>204.69499999999999</v>
      </c>
      <c r="D322" s="1">
        <v>18.7288</v>
      </c>
      <c r="E322" s="1">
        <v>1.6738599999999999</v>
      </c>
      <c r="F322" s="1">
        <v>0.87499899999999997</v>
      </c>
    </row>
    <row r="323" spans="2:6" x14ac:dyDescent="0.25">
      <c r="B323" s="1">
        <v>152</v>
      </c>
      <c r="C323" s="1">
        <v>206.80099999999999</v>
      </c>
      <c r="D323" s="1">
        <v>18.762899999999998</v>
      </c>
      <c r="E323" s="1">
        <v>1.6554199999999999</v>
      </c>
      <c r="F323" s="1">
        <v>0.86592899999999995</v>
      </c>
    </row>
    <row r="324" spans="2:6" x14ac:dyDescent="0.25">
      <c r="B324" s="1">
        <v>153</v>
      </c>
      <c r="C324" s="1">
        <v>208.90700000000001</v>
      </c>
      <c r="D324" s="1">
        <v>18.796600000000002</v>
      </c>
      <c r="E324" s="1">
        <v>1.6371800000000001</v>
      </c>
      <c r="F324" s="1">
        <v>0.85682899999999995</v>
      </c>
    </row>
    <row r="325" spans="2:6" x14ac:dyDescent="0.25">
      <c r="B325" s="1">
        <v>154</v>
      </c>
      <c r="C325" s="1">
        <v>211.01400000000001</v>
      </c>
      <c r="D325" s="1">
        <v>18.829999999999998</v>
      </c>
      <c r="E325" s="1">
        <v>1.61917</v>
      </c>
      <c r="F325" s="1">
        <v>0.84772199999999998</v>
      </c>
    </row>
    <row r="326" spans="2:6" x14ac:dyDescent="0.25">
      <c r="B326" s="1">
        <v>155</v>
      </c>
      <c r="C326" s="1">
        <v>213.12200000000001</v>
      </c>
      <c r="D326" s="1">
        <v>18.863099999999999</v>
      </c>
      <c r="E326" s="1">
        <v>1.6013999999999999</v>
      </c>
      <c r="F326" s="1">
        <v>0.83864000000000005</v>
      </c>
    </row>
    <row r="327" spans="2:6" x14ac:dyDescent="0.25">
      <c r="B327" s="1">
        <v>156</v>
      </c>
      <c r="C327" s="1">
        <v>215.232</v>
      </c>
      <c r="D327" s="1">
        <v>18.895900000000001</v>
      </c>
      <c r="E327" s="1">
        <v>1.58382</v>
      </c>
      <c r="F327" s="1">
        <v>0.82961300000000004</v>
      </c>
    </row>
    <row r="328" spans="2:6" x14ac:dyDescent="0.25">
      <c r="B328" s="1">
        <v>157</v>
      </c>
      <c r="C328" s="1">
        <v>217.34299999999999</v>
      </c>
      <c r="D328" s="1">
        <v>18.9284</v>
      </c>
      <c r="E328" s="1">
        <v>1.5664199999999999</v>
      </c>
      <c r="F328" s="1">
        <v>0.82066300000000003</v>
      </c>
    </row>
    <row r="329" spans="2:6" x14ac:dyDescent="0.25">
      <c r="B329" s="1">
        <v>158</v>
      </c>
      <c r="C329" s="1">
        <v>219.45599999999999</v>
      </c>
      <c r="D329" s="1">
        <v>18.960599999999999</v>
      </c>
      <c r="E329" s="1">
        <v>1.5491699999999999</v>
      </c>
      <c r="F329" s="1">
        <v>0.81181000000000003</v>
      </c>
    </row>
    <row r="330" spans="2:6" x14ac:dyDescent="0.25">
      <c r="B330" s="1">
        <v>159</v>
      </c>
      <c r="C330" s="1">
        <v>221.56800000000001</v>
      </c>
      <c r="D330" s="1">
        <v>18.9925</v>
      </c>
      <c r="E330" s="1">
        <v>1.53207</v>
      </c>
      <c r="F330" s="1">
        <v>0.80306100000000002</v>
      </c>
    </row>
    <row r="331" spans="2:6" x14ac:dyDescent="0.25">
      <c r="B331" s="1">
        <v>160</v>
      </c>
      <c r="C331" s="1">
        <v>223.68199999999999</v>
      </c>
      <c r="D331" s="1">
        <v>19.024000000000001</v>
      </c>
      <c r="E331" s="1">
        <v>1.51509</v>
      </c>
      <c r="F331" s="1">
        <v>0.79442699999999999</v>
      </c>
    </row>
    <row r="332" spans="2:6" x14ac:dyDescent="0.25">
      <c r="B332" s="1">
        <v>161</v>
      </c>
      <c r="C332" s="1">
        <v>225.797</v>
      </c>
      <c r="D332" s="1">
        <v>19.055199999999999</v>
      </c>
      <c r="E332" s="1">
        <v>1.49823</v>
      </c>
      <c r="F332" s="1">
        <v>0.78590899999999997</v>
      </c>
    </row>
    <row r="333" spans="2:6" x14ac:dyDescent="0.25">
      <c r="B333" s="1">
        <v>162</v>
      </c>
      <c r="C333" s="1">
        <v>227.91300000000001</v>
      </c>
      <c r="D333" s="1">
        <v>19.085999999999999</v>
      </c>
      <c r="E333" s="1">
        <v>1.4814700000000001</v>
      </c>
      <c r="F333" s="1">
        <v>0.77750699999999995</v>
      </c>
    </row>
    <row r="334" spans="2:6" x14ac:dyDescent="0.25">
      <c r="B334" s="1">
        <v>163</v>
      </c>
      <c r="C334" s="1">
        <v>230.029</v>
      </c>
      <c r="D334" s="1">
        <v>19.116499999999998</v>
      </c>
      <c r="E334" s="1">
        <v>1.4648099999999999</v>
      </c>
      <c r="F334" s="1">
        <v>0.76921700000000004</v>
      </c>
    </row>
    <row r="335" spans="2:6" x14ac:dyDescent="0.25">
      <c r="B335" s="1">
        <v>164</v>
      </c>
      <c r="C335" s="1">
        <v>232.14599999999999</v>
      </c>
      <c r="D335" s="1">
        <v>19.146699999999999</v>
      </c>
      <c r="E335" s="1">
        <v>1.4482299999999999</v>
      </c>
      <c r="F335" s="1">
        <v>0.76103500000000002</v>
      </c>
    </row>
    <row r="336" spans="2:6" x14ac:dyDescent="0.25">
      <c r="B336" s="1">
        <v>165</v>
      </c>
      <c r="C336" s="1">
        <v>234.26400000000001</v>
      </c>
      <c r="D336" s="1">
        <v>19.176600000000001</v>
      </c>
      <c r="E336" s="1">
        <v>1.4317500000000001</v>
      </c>
      <c r="F336" s="1">
        <v>0.75295299999999998</v>
      </c>
    </row>
    <row r="337" spans="2:6" x14ac:dyDescent="0.25">
      <c r="B337" s="1">
        <v>166</v>
      </c>
      <c r="C337" s="1">
        <v>236.38200000000001</v>
      </c>
      <c r="D337" s="1">
        <v>19.206099999999999</v>
      </c>
      <c r="E337" s="1">
        <v>1.4153899999999999</v>
      </c>
      <c r="F337" s="1">
        <v>0.74496700000000005</v>
      </c>
    </row>
    <row r="338" spans="2:6" x14ac:dyDescent="0.25">
      <c r="B338" s="1">
        <v>167</v>
      </c>
      <c r="C338" s="1">
        <v>238.50200000000001</v>
      </c>
      <c r="D338" s="1">
        <v>19.235299999999999</v>
      </c>
      <c r="E338" s="1">
        <v>1.3991899999999999</v>
      </c>
      <c r="F338" s="1">
        <v>0.73707699999999998</v>
      </c>
    </row>
    <row r="339" spans="2:6" x14ac:dyDescent="0.25">
      <c r="B339" s="1">
        <v>168</v>
      </c>
      <c r="C339" s="1">
        <v>240.62100000000001</v>
      </c>
      <c r="D339" s="1">
        <v>19.264199999999999</v>
      </c>
      <c r="E339" s="1">
        <v>1.38317</v>
      </c>
      <c r="F339" s="1">
        <v>0.72928499999999996</v>
      </c>
    </row>
    <row r="340" spans="2:6" x14ac:dyDescent="0.25">
      <c r="B340" s="1">
        <v>169</v>
      </c>
      <c r="C340" s="1">
        <v>242.74199999999999</v>
      </c>
      <c r="D340" s="1">
        <v>19.2928</v>
      </c>
      <c r="E340" s="1">
        <v>1.3673500000000001</v>
      </c>
      <c r="F340" s="1">
        <v>0.72158500000000003</v>
      </c>
    </row>
    <row r="341" spans="2:6" x14ac:dyDescent="0.25">
      <c r="B341" s="1">
        <v>170</v>
      </c>
      <c r="C341" s="1">
        <v>244.863</v>
      </c>
      <c r="D341" s="1">
        <v>19.320900000000002</v>
      </c>
      <c r="E341" s="1">
        <v>1.3517600000000001</v>
      </c>
      <c r="F341" s="1">
        <v>0.71396499999999996</v>
      </c>
    </row>
    <row r="342" spans="2:6" x14ac:dyDescent="0.25">
      <c r="B342" s="1">
        <v>171</v>
      </c>
      <c r="C342" s="1">
        <v>246.98400000000001</v>
      </c>
      <c r="D342" s="1">
        <v>19.348800000000001</v>
      </c>
      <c r="E342" s="1">
        <v>1.3364199999999999</v>
      </c>
      <c r="F342" s="1">
        <v>0.706395</v>
      </c>
    </row>
    <row r="343" spans="2:6" x14ac:dyDescent="0.25">
      <c r="B343" s="1">
        <v>172</v>
      </c>
      <c r="C343" s="1">
        <v>249.10599999999999</v>
      </c>
      <c r="D343" s="1">
        <v>19.376300000000001</v>
      </c>
      <c r="E343" s="1">
        <v>1.3213299999999999</v>
      </c>
      <c r="F343" s="1">
        <v>0.69885900000000001</v>
      </c>
    </row>
    <row r="344" spans="2:6" x14ac:dyDescent="0.25">
      <c r="B344" s="1">
        <v>173</v>
      </c>
      <c r="C344" s="1">
        <v>251.22900000000001</v>
      </c>
      <c r="D344" s="1">
        <v>19.403400000000001</v>
      </c>
      <c r="E344" s="1">
        <v>1.3064800000000001</v>
      </c>
      <c r="F344" s="1">
        <v>0.69134200000000001</v>
      </c>
    </row>
    <row r="345" spans="2:6" x14ac:dyDescent="0.25">
      <c r="B345" s="1">
        <v>174</v>
      </c>
      <c r="C345" s="1">
        <v>253.351</v>
      </c>
      <c r="D345" s="1">
        <v>19.430299999999999</v>
      </c>
      <c r="E345" s="1">
        <v>1.2918499999999999</v>
      </c>
      <c r="F345" s="1">
        <v>0.68384999999999996</v>
      </c>
    </row>
    <row r="346" spans="2:6" x14ac:dyDescent="0.25">
      <c r="B346" s="1">
        <v>175</v>
      </c>
      <c r="C346" s="1">
        <v>255.47499999999999</v>
      </c>
      <c r="D346" s="1">
        <v>19.456800000000001</v>
      </c>
      <c r="E346" s="1">
        <v>1.2774300000000001</v>
      </c>
      <c r="F346" s="1">
        <v>0.67639700000000003</v>
      </c>
    </row>
    <row r="347" spans="2:6" x14ac:dyDescent="0.25">
      <c r="B347" s="1">
        <v>176</v>
      </c>
      <c r="C347" s="1">
        <v>257.59800000000001</v>
      </c>
      <c r="D347" s="1">
        <v>19.482900000000001</v>
      </c>
      <c r="E347" s="1">
        <v>1.2631699999999999</v>
      </c>
      <c r="F347" s="1">
        <v>0.66900499999999996</v>
      </c>
    </row>
    <row r="348" spans="2:6" x14ac:dyDescent="0.25">
      <c r="B348" s="1">
        <v>177</v>
      </c>
      <c r="C348" s="1">
        <v>259.72300000000001</v>
      </c>
      <c r="D348" s="1">
        <v>19.508700000000001</v>
      </c>
      <c r="E348" s="1">
        <v>1.2490699999999999</v>
      </c>
      <c r="F348" s="1">
        <v>0.661686</v>
      </c>
    </row>
    <row r="349" spans="2:6" x14ac:dyDescent="0.25">
      <c r="B349" s="1">
        <v>178</v>
      </c>
      <c r="C349" s="1">
        <v>261.84699999999998</v>
      </c>
      <c r="D349" s="1">
        <v>19.534199999999998</v>
      </c>
      <c r="E349" s="1">
        <v>1.2351099999999999</v>
      </c>
      <c r="F349" s="1">
        <v>0.654447</v>
      </c>
    </row>
    <row r="350" spans="2:6" x14ac:dyDescent="0.25">
      <c r="B350" s="1">
        <v>179</v>
      </c>
      <c r="C350" s="1">
        <v>263.971</v>
      </c>
      <c r="D350" s="1">
        <v>19.5594</v>
      </c>
      <c r="E350" s="1">
        <v>1.22126</v>
      </c>
      <c r="F350" s="1">
        <v>0.647285</v>
      </c>
    </row>
    <row r="351" spans="2:6" x14ac:dyDescent="0.25">
      <c r="B351" s="1">
        <v>180</v>
      </c>
      <c r="C351" s="1">
        <v>266.096</v>
      </c>
      <c r="D351" s="1">
        <v>19.584299999999999</v>
      </c>
      <c r="E351" s="1">
        <v>1.2075100000000001</v>
      </c>
      <c r="F351" s="1">
        <v>0.64019899999999996</v>
      </c>
    </row>
    <row r="352" spans="2:6" x14ac:dyDescent="0.25">
      <c r="B352" s="1">
        <v>181</v>
      </c>
      <c r="C352" s="1">
        <v>268.22199999999998</v>
      </c>
      <c r="D352" s="1">
        <v>19.608799999999999</v>
      </c>
      <c r="E352" s="1">
        <v>1.19387</v>
      </c>
      <c r="F352" s="1">
        <v>0.63319300000000001</v>
      </c>
    </row>
    <row r="353" spans="2:6" x14ac:dyDescent="0.25">
      <c r="B353" s="1">
        <v>182</v>
      </c>
      <c r="C353" s="1">
        <v>270.34800000000001</v>
      </c>
      <c r="D353" s="1">
        <v>19.633099999999999</v>
      </c>
      <c r="E353" s="1">
        <v>1.18032</v>
      </c>
      <c r="F353" s="1">
        <v>0.62627299999999997</v>
      </c>
    </row>
    <row r="354" spans="2:6" x14ac:dyDescent="0.25">
      <c r="B354" s="1">
        <v>183</v>
      </c>
      <c r="C354" s="1">
        <v>272.47399999999999</v>
      </c>
      <c r="D354" s="1">
        <v>19.6571</v>
      </c>
      <c r="E354" s="1">
        <v>1.1668499999999999</v>
      </c>
      <c r="F354" s="1">
        <v>0.61945099999999997</v>
      </c>
    </row>
    <row r="355" spans="2:6" x14ac:dyDescent="0.25">
      <c r="B355" s="1">
        <v>184</v>
      </c>
      <c r="C355" s="1">
        <v>274.60000000000002</v>
      </c>
      <c r="D355" s="1">
        <v>19.680800000000001</v>
      </c>
      <c r="E355" s="1">
        <v>1.1534899999999999</v>
      </c>
      <c r="F355" s="1">
        <v>0.612734</v>
      </c>
    </row>
    <row r="356" spans="2:6" x14ac:dyDescent="0.25">
      <c r="B356" s="1">
        <v>185</v>
      </c>
      <c r="C356" s="1">
        <v>276.72699999999998</v>
      </c>
      <c r="D356" s="1">
        <v>19.7043</v>
      </c>
      <c r="E356" s="1">
        <v>1.1402399999999999</v>
      </c>
      <c r="F356" s="1">
        <v>0.606132</v>
      </c>
    </row>
    <row r="357" spans="2:6" x14ac:dyDescent="0.25">
      <c r="B357" s="1">
        <v>186</v>
      </c>
      <c r="C357" s="1">
        <v>278.85300000000001</v>
      </c>
      <c r="D357" s="1">
        <v>19.727499999999999</v>
      </c>
      <c r="E357" s="1">
        <v>1.12713</v>
      </c>
      <c r="F357" s="1">
        <v>0.59965299999999999</v>
      </c>
    </row>
    <row r="358" spans="2:6" x14ac:dyDescent="0.25">
      <c r="B358" s="1">
        <v>187</v>
      </c>
      <c r="C358" s="1">
        <v>280.98099999999999</v>
      </c>
      <c r="D358" s="1">
        <v>19.750299999999999</v>
      </c>
      <c r="E358" s="1">
        <v>1.11415</v>
      </c>
      <c r="F358" s="1">
        <v>0.59329699999999996</v>
      </c>
    </row>
    <row r="359" spans="2:6" x14ac:dyDescent="0.25">
      <c r="B359" s="1">
        <v>188</v>
      </c>
      <c r="C359" s="1">
        <v>283.108</v>
      </c>
      <c r="D359" s="1">
        <v>19.7729</v>
      </c>
      <c r="E359" s="1">
        <v>1.1013200000000001</v>
      </c>
      <c r="F359" s="1">
        <v>0.58706599999999998</v>
      </c>
    </row>
    <row r="360" spans="2:6" x14ac:dyDescent="0.25">
      <c r="B360" s="1">
        <v>189</v>
      </c>
      <c r="C360" s="1">
        <v>285.23599999999999</v>
      </c>
      <c r="D360" s="1">
        <v>19.795200000000001</v>
      </c>
      <c r="E360" s="1">
        <v>1.0886400000000001</v>
      </c>
      <c r="F360" s="1">
        <v>0.58095799999999997</v>
      </c>
    </row>
    <row r="361" spans="2:6" x14ac:dyDescent="0.25">
      <c r="B361" s="1">
        <v>190</v>
      </c>
      <c r="C361" s="1">
        <v>287.363</v>
      </c>
      <c r="D361" s="1">
        <v>19.817299999999999</v>
      </c>
      <c r="E361" s="1">
        <v>1.0761099999999999</v>
      </c>
      <c r="F361" s="1">
        <v>0.57497399999999999</v>
      </c>
    </row>
    <row r="362" spans="2:6" x14ac:dyDescent="0.25">
      <c r="B362" s="1">
        <v>191</v>
      </c>
      <c r="C362" s="1">
        <v>289.49200000000002</v>
      </c>
      <c r="D362" s="1">
        <v>19.838999999999999</v>
      </c>
      <c r="E362" s="1">
        <v>1.0637300000000001</v>
      </c>
      <c r="F362" s="1">
        <v>0.56911500000000004</v>
      </c>
    </row>
    <row r="363" spans="2:6" x14ac:dyDescent="0.25">
      <c r="B363" s="1">
        <v>192</v>
      </c>
      <c r="C363" s="1">
        <v>291.62</v>
      </c>
      <c r="D363" s="1">
        <v>19.860399999999998</v>
      </c>
      <c r="E363" s="1">
        <v>1.0515000000000001</v>
      </c>
      <c r="F363" s="1">
        <v>0.56338500000000002</v>
      </c>
    </row>
    <row r="364" spans="2:6" x14ac:dyDescent="0.25">
      <c r="B364" s="1">
        <v>193</v>
      </c>
      <c r="C364" s="1">
        <v>293.74799999999999</v>
      </c>
      <c r="D364" s="1">
        <v>19.881399999999999</v>
      </c>
      <c r="E364" s="1">
        <v>1.0393699999999999</v>
      </c>
      <c r="F364" s="1">
        <v>0.55778300000000003</v>
      </c>
    </row>
    <row r="365" spans="2:6" x14ac:dyDescent="0.25">
      <c r="B365" s="1">
        <v>194</v>
      </c>
      <c r="C365" s="1">
        <v>295.87599999999998</v>
      </c>
      <c r="D365" s="1">
        <v>19.902100000000001</v>
      </c>
      <c r="E365" s="1">
        <v>1.02735</v>
      </c>
      <c r="F365" s="1">
        <v>0.55230699999999999</v>
      </c>
    </row>
    <row r="366" spans="2:6" x14ac:dyDescent="0.25">
      <c r="B366" s="1">
        <v>195</v>
      </c>
      <c r="C366" s="1">
        <v>298.005</v>
      </c>
      <c r="D366" s="1">
        <v>19.922499999999999</v>
      </c>
      <c r="E366" s="1">
        <v>1.01539</v>
      </c>
      <c r="F366" s="1">
        <v>0.54695400000000005</v>
      </c>
    </row>
    <row r="367" spans="2:6" x14ac:dyDescent="0.25">
      <c r="B367" s="1">
        <v>196</v>
      </c>
      <c r="C367" s="1">
        <v>300.13400000000001</v>
      </c>
      <c r="D367" s="1">
        <v>19.942499999999999</v>
      </c>
      <c r="E367" s="1">
        <v>1.0034700000000001</v>
      </c>
      <c r="F367" s="1">
        <v>0.54171800000000003</v>
      </c>
    </row>
    <row r="368" spans="2:6" x14ac:dyDescent="0.25">
      <c r="B368" s="1">
        <v>197</v>
      </c>
      <c r="C368" s="1">
        <v>302.26299999999998</v>
      </c>
      <c r="D368" s="1">
        <v>19.962199999999999</v>
      </c>
      <c r="E368" s="1">
        <v>0.99152499999999999</v>
      </c>
      <c r="F368" s="1">
        <v>0.53659100000000004</v>
      </c>
    </row>
    <row r="369" spans="2:6" x14ac:dyDescent="0.25">
      <c r="B369" s="1">
        <v>198</v>
      </c>
      <c r="C369" s="1">
        <v>304.39299999999997</v>
      </c>
      <c r="D369" s="1">
        <v>19.9815</v>
      </c>
      <c r="E369" s="1">
        <v>0.97955300000000001</v>
      </c>
      <c r="F369" s="1">
        <v>0.53156599999999998</v>
      </c>
    </row>
    <row r="370" spans="2:6" x14ac:dyDescent="0.25">
      <c r="B370" s="1">
        <v>199</v>
      </c>
      <c r="C370" s="1">
        <v>306.52199999999999</v>
      </c>
      <c r="D370" s="1">
        <v>20.000499999999999</v>
      </c>
      <c r="E370" s="1">
        <v>0.96753100000000003</v>
      </c>
      <c r="F370" s="1">
        <v>0.52662500000000001</v>
      </c>
    </row>
    <row r="371" spans="2:6" x14ac:dyDescent="0.25">
      <c r="B371" s="1">
        <v>200</v>
      </c>
      <c r="C371" s="1">
        <v>308.65100000000001</v>
      </c>
      <c r="D371" s="1">
        <v>20.018999999999998</v>
      </c>
      <c r="E371" s="1">
        <v>0.95546299999999995</v>
      </c>
      <c r="F371" s="1">
        <v>0.52175800000000006</v>
      </c>
    </row>
    <row r="372" spans="2:6" x14ac:dyDescent="0.25">
      <c r="B372" s="1">
        <v>201</v>
      </c>
      <c r="C372" s="1">
        <v>310.78100000000001</v>
      </c>
      <c r="D372" s="1">
        <v>20.037199999999999</v>
      </c>
      <c r="E372" s="1">
        <v>0.943357</v>
      </c>
      <c r="F372" s="1">
        <v>0.51695599999999997</v>
      </c>
    </row>
    <row r="373" spans="2:6" x14ac:dyDescent="0.25">
      <c r="B373" s="1">
        <v>202</v>
      </c>
      <c r="C373" s="1">
        <v>312.911</v>
      </c>
      <c r="D373" s="1">
        <v>20.0549</v>
      </c>
      <c r="E373" s="1">
        <v>0.93123299999999998</v>
      </c>
      <c r="F373" s="1">
        <v>0.51221099999999997</v>
      </c>
    </row>
    <row r="374" spans="2:6" x14ac:dyDescent="0.25">
      <c r="B374" s="1">
        <v>203</v>
      </c>
      <c r="C374" s="1">
        <v>315.04199999999997</v>
      </c>
      <c r="D374" s="1">
        <v>20.072299999999998</v>
      </c>
      <c r="E374" s="1">
        <v>0.91911900000000002</v>
      </c>
      <c r="F374" s="1">
        <v>0.50751800000000002</v>
      </c>
    </row>
    <row r="375" spans="2:6" x14ac:dyDescent="0.25">
      <c r="B375" s="1">
        <v>204</v>
      </c>
      <c r="C375" s="1">
        <v>317.17200000000003</v>
      </c>
      <c r="D375" s="1">
        <v>20.089300000000001</v>
      </c>
      <c r="E375" s="1">
        <v>0.90705000000000002</v>
      </c>
      <c r="F375" s="1">
        <v>0.50286900000000001</v>
      </c>
    </row>
    <row r="376" spans="2:6" x14ac:dyDescent="0.25">
      <c r="B376" s="1">
        <v>205</v>
      </c>
      <c r="C376" s="1">
        <v>319.30200000000002</v>
      </c>
      <c r="D376" s="1">
        <v>20.105799999999999</v>
      </c>
      <c r="E376" s="1">
        <v>0.89505100000000004</v>
      </c>
      <c r="F376" s="1">
        <v>0.49825599999999998</v>
      </c>
    </row>
    <row r="377" spans="2:6" x14ac:dyDescent="0.25">
      <c r="B377" s="1">
        <v>206</v>
      </c>
      <c r="C377" s="1">
        <v>321.43299999999999</v>
      </c>
      <c r="D377" s="1">
        <v>20.1219</v>
      </c>
      <c r="E377" s="1">
        <v>0.88314899999999996</v>
      </c>
      <c r="F377" s="1">
        <v>0.49366700000000002</v>
      </c>
    </row>
    <row r="378" spans="2:6" x14ac:dyDescent="0.25">
      <c r="B378" s="1">
        <v>207</v>
      </c>
      <c r="C378" s="1">
        <v>323.56299999999999</v>
      </c>
      <c r="D378" s="1">
        <v>20.137599999999999</v>
      </c>
      <c r="E378" s="1">
        <v>0.87136000000000002</v>
      </c>
      <c r="F378" s="1">
        <v>0.48909599999999998</v>
      </c>
    </row>
    <row r="379" spans="2:6" x14ac:dyDescent="0.25">
      <c r="B379" s="1">
        <v>208</v>
      </c>
      <c r="C379" s="1">
        <v>325.69400000000002</v>
      </c>
      <c r="D379" s="1">
        <v>20.152799999999999</v>
      </c>
      <c r="E379" s="1">
        <v>0.85970299999999999</v>
      </c>
      <c r="F379" s="1">
        <v>0.484541</v>
      </c>
    </row>
    <row r="380" spans="2:6" x14ac:dyDescent="0.25">
      <c r="B380" s="1">
        <v>209</v>
      </c>
      <c r="C380" s="1">
        <v>327.82600000000002</v>
      </c>
      <c r="D380" s="1">
        <v>20.1676</v>
      </c>
      <c r="E380" s="1">
        <v>0.84820499999999999</v>
      </c>
      <c r="F380" s="1">
        <v>0.48000399999999999</v>
      </c>
    </row>
    <row r="381" spans="2:6" x14ac:dyDescent="0.25">
      <c r="B381" s="1">
        <v>210</v>
      </c>
      <c r="C381" s="1">
        <v>329.95600000000002</v>
      </c>
      <c r="D381" s="1">
        <v>20.181899999999999</v>
      </c>
      <c r="E381" s="1">
        <v>0.836893</v>
      </c>
      <c r="F381" s="1">
        <v>0.47549599999999997</v>
      </c>
    </row>
    <row r="382" spans="2:6" x14ac:dyDescent="0.25">
      <c r="B382" s="1">
        <v>211</v>
      </c>
      <c r="C382" s="1">
        <v>332.08800000000002</v>
      </c>
      <c r="D382" s="1">
        <v>20.195799999999998</v>
      </c>
      <c r="E382" s="1">
        <v>0.82580299999999995</v>
      </c>
      <c r="F382" s="1">
        <v>0.47103099999999998</v>
      </c>
    </row>
    <row r="383" spans="2:6" x14ac:dyDescent="0.25">
      <c r="B383" s="1">
        <v>212</v>
      </c>
      <c r="C383" s="1">
        <v>334.21899999999999</v>
      </c>
      <c r="D383" s="1">
        <v>20.209099999999999</v>
      </c>
      <c r="E383" s="1">
        <v>0.814971</v>
      </c>
      <c r="F383" s="1">
        <v>0.46662399999999998</v>
      </c>
    </row>
    <row r="384" spans="2:6" x14ac:dyDescent="0.25">
      <c r="B384" s="1">
        <v>213</v>
      </c>
      <c r="C384" s="1">
        <v>336.35</v>
      </c>
      <c r="D384" s="1">
        <v>20.222100000000001</v>
      </c>
      <c r="E384" s="1">
        <v>0.80442599999999997</v>
      </c>
      <c r="F384" s="1">
        <v>0.46229100000000001</v>
      </c>
    </row>
    <row r="385" spans="2:6" x14ac:dyDescent="0.25">
      <c r="B385" s="1">
        <v>214</v>
      </c>
      <c r="C385" s="1">
        <v>338.48200000000003</v>
      </c>
      <c r="D385" s="1">
        <v>20.234500000000001</v>
      </c>
      <c r="E385" s="1">
        <v>0.79418800000000001</v>
      </c>
      <c r="F385" s="1">
        <v>0.45803899999999997</v>
      </c>
    </row>
    <row r="386" spans="2:6" x14ac:dyDescent="0.25">
      <c r="B386" s="1">
        <v>215</v>
      </c>
      <c r="C386" s="1">
        <v>340.61399999999998</v>
      </c>
      <c r="D386" s="1">
        <v>20.246400000000001</v>
      </c>
      <c r="E386" s="1">
        <v>0.78426200000000001</v>
      </c>
      <c r="F386" s="1">
        <v>0.45387499999999997</v>
      </c>
    </row>
    <row r="387" spans="2:6" x14ac:dyDescent="0.25">
      <c r="B387" s="1">
        <v>216</v>
      </c>
      <c r="C387" s="1">
        <v>342.745</v>
      </c>
      <c r="D387" s="1">
        <v>20.2578</v>
      </c>
      <c r="E387" s="1">
        <v>0.77465200000000001</v>
      </c>
      <c r="F387" s="1">
        <v>0.44979999999999998</v>
      </c>
    </row>
    <row r="388" spans="2:6" x14ac:dyDescent="0.25">
      <c r="B388" s="1">
        <v>217</v>
      </c>
      <c r="C388" s="1">
        <v>344.87799999999999</v>
      </c>
      <c r="D388" s="1">
        <v>20.268799999999999</v>
      </c>
      <c r="E388" s="1">
        <v>0.76535799999999998</v>
      </c>
      <c r="F388" s="1">
        <v>0.44581799999999999</v>
      </c>
    </row>
    <row r="389" spans="2:6" x14ac:dyDescent="0.25">
      <c r="B389" s="1">
        <v>218</v>
      </c>
      <c r="C389" s="1">
        <v>347.01</v>
      </c>
      <c r="D389" s="1">
        <v>20.279299999999999</v>
      </c>
      <c r="E389" s="1">
        <v>0.75638499999999997</v>
      </c>
      <c r="F389" s="1">
        <v>0.44193300000000002</v>
      </c>
    </row>
    <row r="390" spans="2:6" x14ac:dyDescent="0.25">
      <c r="B390" s="1">
        <v>219</v>
      </c>
      <c r="C390" s="1">
        <v>349.142</v>
      </c>
      <c r="D390" s="1">
        <v>20.289300000000001</v>
      </c>
      <c r="E390" s="1">
        <v>0.74774600000000002</v>
      </c>
      <c r="F390" s="1">
        <v>0.43814700000000001</v>
      </c>
    </row>
    <row r="391" spans="2:6" x14ac:dyDescent="0.25">
      <c r="B391" s="1">
        <v>220</v>
      </c>
      <c r="C391" s="1">
        <v>351.274</v>
      </c>
      <c r="D391" s="1">
        <v>20.2988</v>
      </c>
      <c r="E391" s="1">
        <v>0.73945399999999994</v>
      </c>
      <c r="F391" s="1">
        <v>0.43446600000000002</v>
      </c>
    </row>
    <row r="392" spans="2:6" x14ac:dyDescent="0.25">
      <c r="B392" s="1">
        <v>221</v>
      </c>
      <c r="C392" s="1">
        <v>353.40600000000001</v>
      </c>
      <c r="D392" s="1">
        <v>20.3078</v>
      </c>
      <c r="E392" s="1">
        <v>0.73152499999999998</v>
      </c>
      <c r="F392" s="1">
        <v>0.43089699999999997</v>
      </c>
    </row>
    <row r="393" spans="2:6" x14ac:dyDescent="0.25">
      <c r="B393" s="1">
        <v>222</v>
      </c>
      <c r="C393" s="1">
        <v>355.53899999999999</v>
      </c>
      <c r="D393" s="1">
        <v>20.316299999999998</v>
      </c>
      <c r="E393" s="1">
        <v>0.72397299999999998</v>
      </c>
      <c r="F393" s="1">
        <v>0.42745100000000003</v>
      </c>
    </row>
    <row r="394" spans="2:6" x14ac:dyDescent="0.25">
      <c r="B394" s="1">
        <v>223</v>
      </c>
      <c r="C394" s="1">
        <v>357.67099999999999</v>
      </c>
      <c r="D394" s="1">
        <v>20.324400000000001</v>
      </c>
      <c r="E394" s="1">
        <v>0.716804</v>
      </c>
      <c r="F394" s="1">
        <v>0.42414200000000002</v>
      </c>
    </row>
    <row r="395" spans="2:6" x14ac:dyDescent="0.25">
      <c r="B395" s="1">
        <v>224</v>
      </c>
      <c r="C395" s="1">
        <v>359.80399999999997</v>
      </c>
      <c r="D395" s="1">
        <v>20.332000000000001</v>
      </c>
      <c r="E395" s="1">
        <v>0.71002100000000001</v>
      </c>
      <c r="F395" s="1">
        <v>0.42098000000000002</v>
      </c>
    </row>
    <row r="396" spans="2:6" x14ac:dyDescent="0.25">
      <c r="B396" s="1">
        <v>225</v>
      </c>
      <c r="C396" s="1">
        <v>361.93700000000001</v>
      </c>
      <c r="D396" s="1">
        <v>20.339099999999998</v>
      </c>
      <c r="E396" s="1">
        <v>0.703627</v>
      </c>
      <c r="F396" s="1">
        <v>0.41797099999999998</v>
      </c>
    </row>
    <row r="397" spans="2:6" x14ac:dyDescent="0.25">
      <c r="B397" s="1">
        <v>226</v>
      </c>
      <c r="C397" s="1">
        <v>364.06900000000002</v>
      </c>
      <c r="D397" s="1">
        <v>20.345800000000001</v>
      </c>
      <c r="E397" s="1">
        <v>0.69762299999999999</v>
      </c>
      <c r="F397" s="1">
        <v>0.41511399999999998</v>
      </c>
    </row>
    <row r="398" spans="2:6" x14ac:dyDescent="0.25">
      <c r="B398" s="1">
        <v>227</v>
      </c>
      <c r="C398" s="1">
        <v>366.202</v>
      </c>
      <c r="D398" s="1">
        <v>20.352</v>
      </c>
      <c r="E398" s="1">
        <v>0.69200899999999999</v>
      </c>
      <c r="F398" s="1">
        <v>0.412408</v>
      </c>
    </row>
    <row r="399" spans="2:6" x14ac:dyDescent="0.25">
      <c r="B399" s="1">
        <v>228</v>
      </c>
      <c r="C399" s="1">
        <v>368.33499999999998</v>
      </c>
      <c r="D399" s="1">
        <v>20.357800000000001</v>
      </c>
      <c r="E399" s="1">
        <v>0.68678799999999995</v>
      </c>
      <c r="F399" s="1">
        <v>0.40985300000000002</v>
      </c>
    </row>
    <row r="400" spans="2:6" x14ac:dyDescent="0.25">
      <c r="B400" s="1">
        <v>229</v>
      </c>
      <c r="C400" s="1">
        <v>370.46800000000002</v>
      </c>
      <c r="D400" s="1">
        <v>20.363099999999999</v>
      </c>
      <c r="E400" s="1">
        <v>0.68195799999999995</v>
      </c>
      <c r="F400" s="1">
        <v>0.40745399999999998</v>
      </c>
    </row>
    <row r="401" spans="2:6" x14ac:dyDescent="0.25">
      <c r="B401" s="1">
        <v>230</v>
      </c>
      <c r="C401" s="1">
        <v>372.601</v>
      </c>
      <c r="D401" s="1">
        <v>20.367899999999999</v>
      </c>
      <c r="E401" s="1">
        <v>0.67751499999999998</v>
      </c>
      <c r="F401" s="1">
        <v>0.405219</v>
      </c>
    </row>
    <row r="402" spans="2:6" x14ac:dyDescent="0.25">
      <c r="B402" s="1">
        <v>231</v>
      </c>
      <c r="C402" s="1">
        <v>374.73399999999998</v>
      </c>
      <c r="D402" s="1">
        <v>20.372299999999999</v>
      </c>
      <c r="E402" s="1">
        <v>0.673458</v>
      </c>
      <c r="F402" s="1">
        <v>0.40316000000000002</v>
      </c>
    </row>
    <row r="403" spans="2:6" x14ac:dyDescent="0.25">
      <c r="B403" s="1">
        <v>232</v>
      </c>
      <c r="C403" s="1">
        <v>376.86700000000002</v>
      </c>
      <c r="D403" s="1">
        <v>20.376300000000001</v>
      </c>
      <c r="E403" s="1">
        <v>0.66977799999999998</v>
      </c>
      <c r="F403" s="1">
        <v>0.401285</v>
      </c>
    </row>
    <row r="404" spans="2:6" x14ac:dyDescent="0.25">
      <c r="B404" s="1">
        <v>233</v>
      </c>
      <c r="C404" s="1">
        <v>379</v>
      </c>
      <c r="D404" s="1">
        <v>20.379899999999999</v>
      </c>
      <c r="E404" s="1">
        <v>0.66647299999999998</v>
      </c>
      <c r="F404" s="1">
        <v>0.39960499999999999</v>
      </c>
    </row>
    <row r="405" spans="2:6" x14ac:dyDescent="0.25">
      <c r="B405" s="1">
        <v>234</v>
      </c>
      <c r="C405" s="1">
        <v>381.13400000000001</v>
      </c>
      <c r="D405" s="1">
        <v>20.383099999999999</v>
      </c>
      <c r="E405" s="1">
        <v>0.66353899999999999</v>
      </c>
      <c r="F405" s="1">
        <v>0.39812399999999998</v>
      </c>
    </row>
    <row r="406" spans="2:6" x14ac:dyDescent="0.25">
      <c r="B406" s="1">
        <v>235</v>
      </c>
      <c r="C406" s="1">
        <v>383.267</v>
      </c>
      <c r="D406" s="1">
        <v>20.3857</v>
      </c>
      <c r="E406" s="1">
        <v>0.66098299999999999</v>
      </c>
      <c r="F406" s="1">
        <v>0.39684900000000001</v>
      </c>
    </row>
    <row r="407" spans="2:6" x14ac:dyDescent="0.25">
      <c r="B407" s="1">
        <v>236</v>
      </c>
      <c r="C407" s="1">
        <v>385.4</v>
      </c>
      <c r="D407" s="1">
        <v>20.388000000000002</v>
      </c>
      <c r="E407" s="1">
        <v>0.65881599999999996</v>
      </c>
      <c r="F407" s="1">
        <v>0.39578000000000002</v>
      </c>
    </row>
    <row r="408" spans="2:6" x14ac:dyDescent="0.25">
      <c r="B408" s="1">
        <v>237</v>
      </c>
      <c r="C408" s="1">
        <v>387.53399999999999</v>
      </c>
      <c r="D408" s="1">
        <v>20.389900000000001</v>
      </c>
      <c r="E408" s="1">
        <v>0.657053</v>
      </c>
      <c r="F408" s="1">
        <v>0.394926</v>
      </c>
    </row>
    <row r="409" spans="2:6" x14ac:dyDescent="0.25">
      <c r="B409" s="1">
        <v>238</v>
      </c>
      <c r="C409" s="1">
        <v>389.66699999999997</v>
      </c>
      <c r="D409" s="1">
        <v>20.391200000000001</v>
      </c>
      <c r="E409" s="1">
        <v>0.65571400000000002</v>
      </c>
      <c r="F409" s="1">
        <v>0.39428800000000003</v>
      </c>
    </row>
    <row r="410" spans="2:6" x14ac:dyDescent="0.25">
      <c r="B410" s="1">
        <v>239</v>
      </c>
      <c r="C410" s="1">
        <v>391.8</v>
      </c>
      <c r="D410" s="1">
        <v>20.392099999999999</v>
      </c>
      <c r="E410" s="1">
        <v>0.65481</v>
      </c>
      <c r="F410" s="1">
        <v>0.39386599999999999</v>
      </c>
    </row>
    <row r="411" spans="2:6" x14ac:dyDescent="0.25">
      <c r="B411" s="1">
        <v>240</v>
      </c>
      <c r="C411" s="1">
        <v>393.93299999999999</v>
      </c>
      <c r="D411" s="1">
        <v>20.392600000000002</v>
      </c>
      <c r="E411" s="1">
        <v>0.65435699999999997</v>
      </c>
      <c r="F411" s="1">
        <v>0.39365699999999998</v>
      </c>
    </row>
    <row r="412" spans="2:6" x14ac:dyDescent="0.25">
      <c r="B412" s="1"/>
      <c r="C412" s="1"/>
      <c r="D412" s="1"/>
    </row>
    <row r="413" spans="2:6" x14ac:dyDescent="0.25">
      <c r="B413" s="1" t="s">
        <v>391</v>
      </c>
      <c r="C413" s="1" t="s">
        <v>392</v>
      </c>
      <c r="D413" s="1" t="s">
        <v>395</v>
      </c>
      <c r="E413" t="s">
        <v>396</v>
      </c>
    </row>
    <row r="414" spans="2:6" x14ac:dyDescent="0.25">
      <c r="B414" s="1">
        <v>1</v>
      </c>
      <c r="C414" s="1">
        <v>0.22119800000000001</v>
      </c>
      <c r="D414" s="1">
        <v>3.0882100000000001E-7</v>
      </c>
      <c r="E414" s="1">
        <v>1.08495E-5</v>
      </c>
    </row>
    <row r="415" spans="2:6" x14ac:dyDescent="0.25">
      <c r="B415" s="1">
        <v>2</v>
      </c>
      <c r="C415" s="1">
        <v>0.44998500000000002</v>
      </c>
      <c r="D415" s="1">
        <v>4.7194199999999998E-6</v>
      </c>
      <c r="E415" s="1">
        <v>9.2143299999999996E-5</v>
      </c>
    </row>
    <row r="416" spans="2:6" x14ac:dyDescent="0.25">
      <c r="B416" s="1">
        <v>3</v>
      </c>
      <c r="C416" s="1">
        <v>0.68679900000000005</v>
      </c>
      <c r="D416" s="1">
        <v>2.3552799999999999E-5</v>
      </c>
      <c r="E416" s="1">
        <v>3.3144199999999999E-4</v>
      </c>
    </row>
    <row r="417" spans="2:5" x14ac:dyDescent="0.25">
      <c r="B417" s="1">
        <v>4</v>
      </c>
      <c r="C417" s="1">
        <v>0.93208199999999997</v>
      </c>
      <c r="D417" s="1">
        <v>7.3943199999999994E-5</v>
      </c>
      <c r="E417" s="1">
        <v>8.3763399999999997E-4</v>
      </c>
    </row>
    <row r="418" spans="2:5" x14ac:dyDescent="0.25">
      <c r="B418" s="1">
        <v>5</v>
      </c>
      <c r="C418" s="1">
        <v>1.18628</v>
      </c>
      <c r="D418" s="1">
        <v>1.7981E-4</v>
      </c>
      <c r="E418" s="1">
        <v>1.74288E-3</v>
      </c>
    </row>
    <row r="419" spans="2:5" x14ac:dyDescent="0.25">
      <c r="B419" s="1">
        <v>6</v>
      </c>
      <c r="C419" s="1">
        <v>1.4498200000000001</v>
      </c>
      <c r="D419" s="1">
        <v>3.7175000000000001E-4</v>
      </c>
      <c r="E419" s="1">
        <v>3.2034400000000001E-3</v>
      </c>
    </row>
    <row r="420" spans="2:5" x14ac:dyDescent="0.25">
      <c r="B420" s="1">
        <v>7</v>
      </c>
      <c r="C420" s="1">
        <v>1.72316</v>
      </c>
      <c r="D420" s="1">
        <v>6.8682300000000003E-4</v>
      </c>
      <c r="E420" s="1">
        <v>5.3990499999999999E-3</v>
      </c>
    </row>
    <row r="421" spans="2:5" x14ac:dyDescent="0.25">
      <c r="B421" s="1">
        <v>8</v>
      </c>
      <c r="C421" s="1">
        <v>2.0067499999999998</v>
      </c>
      <c r="D421" s="1">
        <v>1.1682400000000001E-3</v>
      </c>
      <c r="E421" s="1">
        <v>8.5303199999999992E-3</v>
      </c>
    </row>
    <row r="422" spans="2:5" x14ac:dyDescent="0.25">
      <c r="B422" s="1">
        <v>9</v>
      </c>
      <c r="C422" s="1">
        <v>2.3010199999999998</v>
      </c>
      <c r="D422" s="1">
        <v>1.8649199999999999E-3</v>
      </c>
      <c r="E422" s="1">
        <v>1.28141E-2</v>
      </c>
    </row>
    <row r="423" spans="2:5" x14ac:dyDescent="0.25">
      <c r="B423" s="1">
        <v>10</v>
      </c>
      <c r="C423" s="1">
        <v>2.6063999999999998</v>
      </c>
      <c r="D423" s="1">
        <v>2.8309199999999998E-3</v>
      </c>
      <c r="E423" s="1">
        <v>1.8476699999999999E-2</v>
      </c>
    </row>
    <row r="424" spans="2:5" x14ac:dyDescent="0.25">
      <c r="B424" s="1">
        <v>11</v>
      </c>
      <c r="C424" s="1">
        <v>2.92334</v>
      </c>
      <c r="D424" s="1">
        <v>4.1248400000000003E-3</v>
      </c>
      <c r="E424" s="1">
        <v>2.57445E-2</v>
      </c>
    </row>
    <row r="425" spans="2:5" x14ac:dyDescent="0.25">
      <c r="B425" s="1">
        <v>12</v>
      </c>
      <c r="C425" s="1">
        <v>3.2522700000000002</v>
      </c>
      <c r="D425" s="1">
        <v>5.8089600000000002E-3</v>
      </c>
      <c r="E425" s="1">
        <v>3.48341E-2</v>
      </c>
    </row>
    <row r="426" spans="2:5" x14ac:dyDescent="0.25">
      <c r="B426" s="1">
        <v>13</v>
      </c>
      <c r="C426" s="1">
        <v>3.5936300000000001</v>
      </c>
      <c r="D426" s="1">
        <v>7.9485400000000005E-3</v>
      </c>
      <c r="E426" s="1">
        <v>4.5940000000000002E-2</v>
      </c>
    </row>
    <row r="427" spans="2:5" x14ac:dyDescent="0.25">
      <c r="B427" s="1">
        <v>14</v>
      </c>
      <c r="C427" s="1">
        <v>3.9478300000000002</v>
      </c>
      <c r="D427" s="1">
        <v>1.06108E-2</v>
      </c>
      <c r="E427" s="1">
        <v>5.9223199999999997E-2</v>
      </c>
    </row>
    <row r="428" spans="2:5" x14ac:dyDescent="0.25">
      <c r="B428" s="1">
        <v>15</v>
      </c>
      <c r="C428" s="1">
        <v>4.3152999999999997</v>
      </c>
      <c r="D428" s="1">
        <v>1.38643E-2</v>
      </c>
      <c r="E428" s="1">
        <v>7.4800199999999997E-2</v>
      </c>
    </row>
    <row r="429" spans="2:5" x14ac:dyDescent="0.25">
      <c r="B429" s="1">
        <v>16</v>
      </c>
      <c r="C429" s="1">
        <v>4.6964399999999999</v>
      </c>
      <c r="D429" s="1">
        <v>1.7777399999999999E-2</v>
      </c>
      <c r="E429" s="1">
        <v>9.2733800000000005E-2</v>
      </c>
    </row>
    <row r="430" spans="2:5" x14ac:dyDescent="0.25">
      <c r="B430" s="1">
        <v>17</v>
      </c>
      <c r="C430" s="1">
        <v>5.0916699999999997</v>
      </c>
      <c r="D430" s="1">
        <v>2.2418199999999999E-2</v>
      </c>
      <c r="E430" s="1">
        <v>0.113026</v>
      </c>
    </row>
    <row r="431" spans="2:5" x14ac:dyDescent="0.25">
      <c r="B431" s="1">
        <v>18</v>
      </c>
      <c r="C431" s="1">
        <v>5.5013899999999998</v>
      </c>
      <c r="D431" s="1">
        <v>2.7852999999999999E-2</v>
      </c>
      <c r="E431" s="1">
        <v>0.13561500000000001</v>
      </c>
    </row>
    <row r="432" spans="2:5" x14ac:dyDescent="0.25">
      <c r="B432" s="1">
        <v>19</v>
      </c>
      <c r="C432" s="1">
        <v>5.9259899999999996</v>
      </c>
      <c r="D432" s="1">
        <v>3.4145700000000001E-2</v>
      </c>
      <c r="E432" s="1">
        <v>0.16037599999999999</v>
      </c>
    </row>
    <row r="433" spans="2:5" x14ac:dyDescent="0.25">
      <c r="B433" s="1">
        <v>20</v>
      </c>
      <c r="C433" s="1">
        <v>6.3658599999999996</v>
      </c>
      <c r="D433" s="1">
        <v>4.1356900000000002E-2</v>
      </c>
      <c r="E433" s="1">
        <v>0.18712100000000001</v>
      </c>
    </row>
    <row r="434" spans="2:5" x14ac:dyDescent="0.25">
      <c r="B434" s="1">
        <v>21</v>
      </c>
      <c r="C434" s="1">
        <v>6.8213600000000003</v>
      </c>
      <c r="D434" s="1">
        <v>4.9543299999999998E-2</v>
      </c>
      <c r="E434" s="1">
        <v>0.215611</v>
      </c>
    </row>
    <row r="435" spans="2:5" x14ac:dyDescent="0.25">
      <c r="B435" s="1">
        <v>22</v>
      </c>
      <c r="C435" s="1">
        <v>7.2928800000000003</v>
      </c>
      <c r="D435" s="1">
        <v>5.8756299999999997E-2</v>
      </c>
      <c r="E435" s="1">
        <v>0.24556</v>
      </c>
    </row>
    <row r="436" spans="2:5" x14ac:dyDescent="0.25">
      <c r="B436" s="1">
        <v>23</v>
      </c>
      <c r="C436" s="1">
        <v>7.7807500000000003</v>
      </c>
      <c r="D436" s="1">
        <v>6.9041900000000003E-2</v>
      </c>
      <c r="E436" s="1">
        <v>0.27665200000000001</v>
      </c>
    </row>
    <row r="437" spans="2:5" x14ac:dyDescent="0.25">
      <c r="B437" s="1">
        <v>24</v>
      </c>
      <c r="C437" s="1">
        <v>8.2853600000000007</v>
      </c>
      <c r="D437" s="1">
        <v>8.0439099999999999E-2</v>
      </c>
      <c r="E437" s="1">
        <v>0.30854900000000002</v>
      </c>
    </row>
    <row r="438" spans="2:5" x14ac:dyDescent="0.25">
      <c r="B438" s="1">
        <v>25</v>
      </c>
      <c r="C438" s="1">
        <v>8.8070000000000004</v>
      </c>
      <c r="D438" s="1">
        <v>9.2979300000000001E-2</v>
      </c>
      <c r="E438" s="1">
        <v>0.34090599999999999</v>
      </c>
    </row>
    <row r="439" spans="2:5" x14ac:dyDescent="0.25">
      <c r="B439" s="1">
        <v>26</v>
      </c>
      <c r="C439" s="1">
        <v>9.3459400000000006</v>
      </c>
      <c r="D439" s="1">
        <v>0.106686</v>
      </c>
      <c r="E439" s="1">
        <v>0.37338100000000002</v>
      </c>
    </row>
    <row r="440" spans="2:5" x14ac:dyDescent="0.25">
      <c r="B440" s="1">
        <v>27</v>
      </c>
      <c r="C440" s="1">
        <v>9.9026499999999995</v>
      </c>
      <c r="D440" s="1">
        <v>0.121572</v>
      </c>
      <c r="E440" s="1">
        <v>0.40565200000000001</v>
      </c>
    </row>
    <row r="441" spans="2:5" x14ac:dyDescent="0.25">
      <c r="B441" s="1">
        <v>28</v>
      </c>
      <c r="C441" s="1">
        <v>10.4773</v>
      </c>
      <c r="D441" s="1">
        <v>0.13764100000000001</v>
      </c>
      <c r="E441" s="1">
        <v>0.43741999999999998</v>
      </c>
    </row>
    <row r="442" spans="2:5" x14ac:dyDescent="0.25">
      <c r="B442" s="1">
        <v>29</v>
      </c>
      <c r="C442" s="1">
        <v>11.0702</v>
      </c>
      <c r="D442" s="1">
        <v>0.154886</v>
      </c>
      <c r="E442" s="1">
        <v>0.46841899999999997</v>
      </c>
    </row>
    <row r="443" spans="2:5" x14ac:dyDescent="0.25">
      <c r="B443" s="1">
        <v>30</v>
      </c>
      <c r="C443" s="1">
        <v>11.681699999999999</v>
      </c>
      <c r="D443" s="1">
        <v>0.173289</v>
      </c>
      <c r="E443" s="1">
        <v>0.49841800000000003</v>
      </c>
    </row>
    <row r="444" spans="2:5" x14ac:dyDescent="0.25">
      <c r="B444" s="1">
        <v>31</v>
      </c>
      <c r="C444" s="1">
        <v>12.311999999999999</v>
      </c>
      <c r="D444" s="1">
        <v>0.19281799999999999</v>
      </c>
      <c r="E444" s="1">
        <v>0.52722999999999998</v>
      </c>
    </row>
    <row r="445" spans="2:5" x14ac:dyDescent="0.25">
      <c r="B445" s="1">
        <v>32</v>
      </c>
      <c r="C445" s="1">
        <v>12.961399999999999</v>
      </c>
      <c r="D445" s="1">
        <v>0.21343000000000001</v>
      </c>
      <c r="E445" s="1">
        <v>0.55470399999999997</v>
      </c>
    </row>
    <row r="446" spans="2:5" x14ac:dyDescent="0.25">
      <c r="B446" s="1">
        <v>33</v>
      </c>
      <c r="C446" s="1">
        <v>13.629899999999999</v>
      </c>
      <c r="D446" s="1">
        <v>0.235071</v>
      </c>
      <c r="E446" s="1">
        <v>0.580731</v>
      </c>
    </row>
    <row r="447" spans="2:5" x14ac:dyDescent="0.25">
      <c r="B447" s="1">
        <v>34</v>
      </c>
      <c r="C447" s="1">
        <v>14.318099999999999</v>
      </c>
      <c r="D447" s="1">
        <v>0.25767600000000002</v>
      </c>
      <c r="E447" s="1">
        <v>0.60523499999999997</v>
      </c>
    </row>
    <row r="448" spans="2:5" x14ac:dyDescent="0.25">
      <c r="B448" s="1">
        <v>35</v>
      </c>
      <c r="C448" s="1">
        <v>15.026</v>
      </c>
      <c r="D448" s="1">
        <v>0.28116799999999997</v>
      </c>
      <c r="E448" s="1">
        <v>0.62817699999999999</v>
      </c>
    </row>
    <row r="449" spans="2:8" x14ac:dyDescent="0.25">
      <c r="B449" s="1">
        <v>36</v>
      </c>
      <c r="C449" s="1">
        <v>15.7538</v>
      </c>
      <c r="D449" s="1">
        <v>0.30545899999999998</v>
      </c>
      <c r="E449" s="1">
        <v>0.64954100000000004</v>
      </c>
    </row>
    <row r="450" spans="2:8" x14ac:dyDescent="0.25">
      <c r="B450" s="1">
        <v>37</v>
      </c>
      <c r="C450" s="1">
        <v>16.5017</v>
      </c>
      <c r="D450" s="1">
        <v>0.33045600000000003</v>
      </c>
      <c r="E450" s="1">
        <v>0.66934099999999996</v>
      </c>
    </row>
    <row r="451" spans="2:8" x14ac:dyDescent="0.25">
      <c r="B451" s="1">
        <v>38</v>
      </c>
      <c r="C451" s="1">
        <v>17.2699</v>
      </c>
      <c r="D451" s="1">
        <v>0.35605500000000001</v>
      </c>
      <c r="E451" s="1">
        <v>0.68760699999999997</v>
      </c>
    </row>
    <row r="452" spans="2:8" x14ac:dyDescent="0.25">
      <c r="B452">
        <v>39</v>
      </c>
      <c r="C452" s="1">
        <v>18.058499999999999</v>
      </c>
      <c r="D452" s="1">
        <v>0.38215100000000002</v>
      </c>
      <c r="E452" s="1">
        <v>0.70438699999999999</v>
      </c>
    </row>
    <row r="453" spans="2:8" x14ac:dyDescent="0.25">
      <c r="B453">
        <v>40</v>
      </c>
      <c r="C453" s="1">
        <v>18.867599999999999</v>
      </c>
      <c r="D453" s="1">
        <v>0.408632</v>
      </c>
      <c r="E453" s="1">
        <v>0.71973699999999996</v>
      </c>
    </row>
    <row r="454" spans="2:8" x14ac:dyDescent="0.25">
      <c r="B454">
        <v>41</v>
      </c>
      <c r="C454" s="1">
        <v>19.697399999999998</v>
      </c>
      <c r="D454" s="1">
        <v>0.43538500000000002</v>
      </c>
      <c r="E454" s="1">
        <v>0.73372599999999999</v>
      </c>
    </row>
    <row r="455" spans="2:8" x14ac:dyDescent="0.25">
      <c r="B455">
        <v>42</v>
      </c>
      <c r="C455" s="1">
        <v>20.547999999999998</v>
      </c>
      <c r="D455" s="1">
        <v>0.46229599999999998</v>
      </c>
      <c r="E455" s="1">
        <v>0.74642399999999998</v>
      </c>
    </row>
    <row r="456" spans="2:8" x14ac:dyDescent="0.25">
      <c r="B456">
        <v>43</v>
      </c>
      <c r="C456" s="1">
        <v>21.4194</v>
      </c>
      <c r="D456" s="1">
        <v>0.48925600000000002</v>
      </c>
      <c r="E456" s="1">
        <v>0.75790500000000005</v>
      </c>
    </row>
    <row r="457" spans="2:8" x14ac:dyDescent="0.25">
      <c r="B457">
        <v>44</v>
      </c>
      <c r="C457" s="1">
        <v>22.311800000000002</v>
      </c>
      <c r="D457" s="1">
        <v>0.51615299999999997</v>
      </c>
      <c r="E457" s="1">
        <v>0.76824400000000004</v>
      </c>
    </row>
    <row r="458" spans="2:8" x14ac:dyDescent="0.25">
      <c r="B458">
        <v>45</v>
      </c>
      <c r="C458" s="1">
        <v>23.225300000000001</v>
      </c>
      <c r="D458" s="1">
        <v>0.54288499999999995</v>
      </c>
      <c r="E458" s="1">
        <v>0.77751499999999996</v>
      </c>
    </row>
    <row r="459" spans="2:8" x14ac:dyDescent="0.25">
      <c r="B459" s="1">
        <v>46</v>
      </c>
      <c r="C459" s="1">
        <v>24.159800000000001</v>
      </c>
      <c r="D459" s="1">
        <v>0.56934899999999999</v>
      </c>
      <c r="E459" s="1">
        <v>0.78578899999999996</v>
      </c>
      <c r="F459" s="1"/>
      <c r="G459" s="1"/>
      <c r="H459" s="1"/>
    </row>
    <row r="460" spans="2:8" x14ac:dyDescent="0.25">
      <c r="B460" s="1">
        <v>47</v>
      </c>
      <c r="C460" s="1">
        <v>25.115400000000001</v>
      </c>
      <c r="D460" s="1">
        <v>0.59545199999999998</v>
      </c>
      <c r="E460" s="1">
        <v>0.79313699999999998</v>
      </c>
      <c r="F460" s="1"/>
      <c r="G460" s="1"/>
      <c r="H460" s="1"/>
    </row>
    <row r="461" spans="2:8" x14ac:dyDescent="0.25">
      <c r="B461" s="1">
        <v>48</v>
      </c>
      <c r="C461" s="1">
        <v>26.092199999999998</v>
      </c>
      <c r="D461" s="1">
        <v>0.62110100000000001</v>
      </c>
      <c r="E461" s="1">
        <v>0.799624</v>
      </c>
      <c r="F461" s="1"/>
      <c r="G461" s="1"/>
      <c r="H461" s="1"/>
    </row>
    <row r="462" spans="2:8" x14ac:dyDescent="0.25">
      <c r="B462" s="1">
        <v>49</v>
      </c>
      <c r="C462" s="1">
        <v>27.09</v>
      </c>
      <c r="D462" s="1">
        <v>0.64621099999999998</v>
      </c>
      <c r="E462" s="1">
        <v>0.805315</v>
      </c>
      <c r="F462" s="1"/>
      <c r="G462" s="1"/>
      <c r="H462" s="1"/>
    </row>
    <row r="463" spans="2:8" x14ac:dyDescent="0.25">
      <c r="B463" s="1">
        <v>50</v>
      </c>
      <c r="C463" s="1">
        <v>28.109100000000002</v>
      </c>
      <c r="D463" s="1">
        <v>0.67070399999999997</v>
      </c>
      <c r="E463" s="1">
        <v>0.81026900000000002</v>
      </c>
      <c r="F463" s="1"/>
      <c r="G463" s="1"/>
      <c r="H463" s="1"/>
    </row>
    <row r="464" spans="2:8" x14ac:dyDescent="0.25">
      <c r="B464" s="1">
        <v>51</v>
      </c>
      <c r="C464" s="1">
        <v>29.1493</v>
      </c>
      <c r="D464" s="1">
        <v>0.69450400000000001</v>
      </c>
      <c r="E464" s="1">
        <v>0.81454199999999999</v>
      </c>
      <c r="F464" s="1"/>
      <c r="G464" s="1"/>
      <c r="H464" s="1"/>
    </row>
    <row r="465" spans="2:8" x14ac:dyDescent="0.25">
      <c r="B465" s="1">
        <v>52</v>
      </c>
      <c r="C465" s="1">
        <v>30.2105</v>
      </c>
      <c r="D465" s="1">
        <v>0.71754799999999996</v>
      </c>
      <c r="E465" s="1">
        <v>0.81818199999999996</v>
      </c>
      <c r="F465" s="1"/>
      <c r="G465" s="1"/>
      <c r="H465" s="1"/>
    </row>
    <row r="466" spans="2:8" x14ac:dyDescent="0.25">
      <c r="B466" s="1">
        <v>53</v>
      </c>
      <c r="C466" s="1">
        <v>31.2927</v>
      </c>
      <c r="D466" s="1">
        <v>0.73977499999999996</v>
      </c>
      <c r="E466" s="1">
        <v>0.82123900000000005</v>
      </c>
      <c r="F466" s="1"/>
      <c r="G466" s="1"/>
      <c r="H466" s="1"/>
    </row>
    <row r="467" spans="2:8" x14ac:dyDescent="0.25">
      <c r="B467" s="1">
        <v>54</v>
      </c>
      <c r="C467" s="1">
        <v>32.395899999999997</v>
      </c>
      <c r="D467" s="1">
        <v>0.76114000000000004</v>
      </c>
      <c r="E467" s="1">
        <v>0.82375299999999996</v>
      </c>
      <c r="F467" s="1"/>
      <c r="G467" s="1"/>
      <c r="H467" s="1"/>
    </row>
    <row r="468" spans="2:8" x14ac:dyDescent="0.25">
      <c r="B468" s="1">
        <v>55</v>
      </c>
      <c r="C468" s="1">
        <v>33.520099999999999</v>
      </c>
      <c r="D468" s="1">
        <v>0.78160300000000005</v>
      </c>
      <c r="E468" s="1">
        <v>0.825762</v>
      </c>
      <c r="F468" s="1"/>
      <c r="G468" s="1"/>
      <c r="H468" s="1"/>
    </row>
    <row r="469" spans="2:8" x14ac:dyDescent="0.25">
      <c r="B469" s="1">
        <v>56</v>
      </c>
      <c r="C469" s="1">
        <v>34.664999999999999</v>
      </c>
      <c r="D469" s="1">
        <v>0.80113599999999996</v>
      </c>
      <c r="E469" s="1">
        <v>0.82730000000000004</v>
      </c>
      <c r="F469" s="1"/>
      <c r="G469" s="1"/>
      <c r="H469" s="1"/>
    </row>
    <row r="470" spans="2:8" x14ac:dyDescent="0.25">
      <c r="B470" s="1">
        <v>57</v>
      </c>
      <c r="C470" s="1">
        <v>35.830800000000004</v>
      </c>
      <c r="D470" s="1">
        <v>0.81971899999999998</v>
      </c>
      <c r="E470" s="1">
        <v>0.828399</v>
      </c>
      <c r="F470" s="1"/>
      <c r="G470" s="1"/>
      <c r="H470" s="1"/>
    </row>
    <row r="471" spans="2:8" x14ac:dyDescent="0.25">
      <c r="B471" s="1">
        <v>58</v>
      </c>
      <c r="C471" s="1">
        <v>37.017000000000003</v>
      </c>
      <c r="D471" s="1">
        <v>0.83734699999999995</v>
      </c>
      <c r="E471" s="1">
        <v>0.82908599999999999</v>
      </c>
      <c r="F471" s="1"/>
      <c r="G471" s="1"/>
      <c r="H471" s="1"/>
    </row>
    <row r="472" spans="2:8" x14ac:dyDescent="0.25">
      <c r="B472" s="1">
        <v>59</v>
      </c>
      <c r="C472" s="1">
        <v>38.223799999999997</v>
      </c>
      <c r="D472" s="1">
        <v>0.85401700000000003</v>
      </c>
      <c r="E472" s="1">
        <v>0.82938900000000004</v>
      </c>
      <c r="F472" s="1"/>
      <c r="G472" s="1"/>
      <c r="H472" s="1"/>
    </row>
    <row r="473" spans="2:8" x14ac:dyDescent="0.25">
      <c r="B473" s="1">
        <v>60</v>
      </c>
      <c r="C473" s="1">
        <v>39.451000000000001</v>
      </c>
      <c r="D473" s="1">
        <v>0.86973599999999995</v>
      </c>
      <c r="E473" s="1">
        <v>0.82933900000000005</v>
      </c>
      <c r="F473" s="1"/>
      <c r="G473" s="1"/>
      <c r="H473" s="1"/>
    </row>
    <row r="474" spans="2:8" x14ac:dyDescent="0.25">
      <c r="B474" s="1">
        <v>61</v>
      </c>
      <c r="C474" s="1">
        <v>40.698399999999999</v>
      </c>
      <c r="D474" s="1">
        <v>0.88451500000000005</v>
      </c>
      <c r="E474" s="1">
        <v>0.82896499999999995</v>
      </c>
      <c r="F474" s="1"/>
      <c r="G474" s="1"/>
      <c r="H474" s="1"/>
    </row>
    <row r="475" spans="2:8" x14ac:dyDescent="0.25">
      <c r="B475" s="1">
        <v>62</v>
      </c>
      <c r="C475" s="1">
        <v>41.966000000000001</v>
      </c>
      <c r="D475" s="1">
        <v>0.898366</v>
      </c>
      <c r="E475" s="1">
        <v>0.82829699999999995</v>
      </c>
      <c r="F475" s="1"/>
      <c r="G475" s="1"/>
      <c r="H475" s="1"/>
    </row>
    <row r="476" spans="2:8" x14ac:dyDescent="0.25">
      <c r="B476" s="1">
        <v>63</v>
      </c>
      <c r="C476" s="1">
        <v>43.253399999999999</v>
      </c>
      <c r="D476" s="1">
        <v>0.91130199999999995</v>
      </c>
      <c r="E476" s="1">
        <v>0.82735999999999998</v>
      </c>
      <c r="F476" s="1"/>
      <c r="G476" s="1"/>
      <c r="H476" s="1"/>
    </row>
    <row r="477" spans="2:8" x14ac:dyDescent="0.25">
      <c r="B477" s="1">
        <v>64</v>
      </c>
      <c r="C477" s="1">
        <v>44.560600000000001</v>
      </c>
      <c r="D477" s="1">
        <v>0.923342</v>
      </c>
      <c r="E477" s="1">
        <v>0.826179</v>
      </c>
      <c r="F477" s="1"/>
      <c r="G477" s="1"/>
      <c r="H477" s="1"/>
    </row>
    <row r="478" spans="2:8" x14ac:dyDescent="0.25">
      <c r="B478" s="1">
        <v>65</v>
      </c>
      <c r="C478" s="1">
        <v>45.887300000000003</v>
      </c>
      <c r="D478" s="1">
        <v>0.93450200000000005</v>
      </c>
      <c r="E478" s="1">
        <v>0.82477299999999998</v>
      </c>
      <c r="F478" s="1"/>
      <c r="G478" s="1"/>
      <c r="H478" s="1"/>
    </row>
    <row r="479" spans="2:8" x14ac:dyDescent="0.25">
      <c r="B479" s="1">
        <v>66</v>
      </c>
      <c r="C479" s="1">
        <v>47.233400000000003</v>
      </c>
      <c r="D479" s="1">
        <v>0.94479800000000003</v>
      </c>
      <c r="E479" s="1">
        <v>0.82316199999999995</v>
      </c>
      <c r="F479" s="1"/>
      <c r="G479" s="1"/>
      <c r="H479" s="1"/>
    </row>
    <row r="480" spans="2:8" x14ac:dyDescent="0.25">
      <c r="B480" s="1">
        <v>67</v>
      </c>
      <c r="C480" s="1">
        <v>48.598700000000001</v>
      </c>
      <c r="D480" s="1">
        <v>0.95425599999999999</v>
      </c>
      <c r="E480" s="1">
        <v>0.82135999999999998</v>
      </c>
      <c r="F480" s="1"/>
      <c r="G480" s="1"/>
      <c r="H480" s="1"/>
    </row>
    <row r="481" spans="2:8" x14ac:dyDescent="0.25">
      <c r="B481" s="1">
        <v>68</v>
      </c>
      <c r="C481" s="1">
        <v>49.982999999999997</v>
      </c>
      <c r="D481" s="1">
        <v>0.962897</v>
      </c>
      <c r="E481" s="1">
        <v>0.81938100000000003</v>
      </c>
      <c r="F481" s="1"/>
      <c r="G481" s="1"/>
      <c r="H481" s="1"/>
    </row>
    <row r="482" spans="2:8" x14ac:dyDescent="0.25">
      <c r="B482" s="1">
        <v>69</v>
      </c>
      <c r="C482" s="1">
        <v>51.386000000000003</v>
      </c>
      <c r="D482" s="1">
        <v>0.97075100000000003</v>
      </c>
      <c r="E482" s="1">
        <v>0.81723500000000004</v>
      </c>
      <c r="F482" s="1"/>
      <c r="G482" s="1"/>
      <c r="H482" s="1"/>
    </row>
    <row r="483" spans="2:8" x14ac:dyDescent="0.25">
      <c r="B483" s="1">
        <v>70</v>
      </c>
      <c r="C483" s="1">
        <v>52.807600000000001</v>
      </c>
      <c r="D483" s="1">
        <v>0.97784499999999996</v>
      </c>
      <c r="E483" s="1">
        <v>0.81493000000000004</v>
      </c>
      <c r="F483" s="1"/>
      <c r="G483" s="1"/>
      <c r="H483" s="1"/>
    </row>
    <row r="484" spans="2:8" x14ac:dyDescent="0.25">
      <c r="B484" s="1">
        <v>71</v>
      </c>
      <c r="C484" s="1">
        <v>54.247599999999998</v>
      </c>
      <c r="D484" s="1">
        <v>0.984209</v>
      </c>
      <c r="E484" s="1">
        <v>0.81247400000000003</v>
      </c>
      <c r="F484" s="1"/>
      <c r="G484" s="1"/>
      <c r="H484" s="1"/>
    </row>
    <row r="485" spans="2:8" x14ac:dyDescent="0.25">
      <c r="B485" s="1">
        <v>72</v>
      </c>
      <c r="C485" s="1">
        <v>55.705500000000001</v>
      </c>
      <c r="D485" s="1">
        <v>0.98987000000000003</v>
      </c>
      <c r="E485" s="1">
        <v>0.80987500000000001</v>
      </c>
      <c r="F485" s="1"/>
      <c r="G485" s="1"/>
      <c r="H485" s="1"/>
    </row>
    <row r="486" spans="2:8" x14ac:dyDescent="0.25">
      <c r="B486" s="1">
        <v>73</v>
      </c>
      <c r="C486" s="1">
        <v>57.1813</v>
      </c>
      <c r="D486" s="1">
        <v>0.994861</v>
      </c>
      <c r="E486" s="1">
        <v>0.80714300000000005</v>
      </c>
      <c r="F486" s="1"/>
      <c r="G486" s="1"/>
      <c r="H486" s="1"/>
    </row>
    <row r="487" spans="2:8" x14ac:dyDescent="0.25">
      <c r="B487" s="1">
        <v>74</v>
      </c>
      <c r="C487" s="1">
        <v>58.674799999999998</v>
      </c>
      <c r="D487" s="1">
        <v>0.99920799999999999</v>
      </c>
      <c r="E487" s="1">
        <v>0.804284</v>
      </c>
      <c r="F487" s="1"/>
      <c r="G487" s="1"/>
      <c r="H487" s="1"/>
    </row>
    <row r="488" spans="2:8" x14ac:dyDescent="0.25">
      <c r="B488" s="1">
        <v>75</v>
      </c>
      <c r="C488" s="1">
        <v>60.185499999999998</v>
      </c>
      <c r="D488" s="1">
        <v>1.0029399999999999</v>
      </c>
      <c r="E488" s="1">
        <v>0.80130599999999996</v>
      </c>
      <c r="F488" s="1"/>
      <c r="G488" s="1"/>
      <c r="H488" s="1"/>
    </row>
    <row r="489" spans="2:8" x14ac:dyDescent="0.25">
      <c r="B489" s="1">
        <v>76</v>
      </c>
      <c r="C489" s="1">
        <v>61.7134</v>
      </c>
      <c r="D489" s="1">
        <v>1.0060800000000001</v>
      </c>
      <c r="E489" s="1">
        <v>0.79821799999999998</v>
      </c>
      <c r="F489" s="1"/>
      <c r="G489" s="1"/>
      <c r="H489" s="1"/>
    </row>
    <row r="490" spans="2:8" x14ac:dyDescent="0.25">
      <c r="B490" s="1">
        <v>77</v>
      </c>
      <c r="C490" s="1">
        <v>63.258099999999999</v>
      </c>
      <c r="D490" s="1">
        <v>1.0086599999999999</v>
      </c>
      <c r="E490" s="1">
        <v>0.79502499999999998</v>
      </c>
      <c r="F490" s="1"/>
      <c r="G490" s="1"/>
      <c r="H490" s="1"/>
    </row>
    <row r="491" spans="2:8" x14ac:dyDescent="0.25">
      <c r="B491" s="1">
        <v>78</v>
      </c>
      <c r="C491" s="1">
        <v>64.819299999999998</v>
      </c>
      <c r="D491" s="1">
        <v>1.0106999999999999</v>
      </c>
      <c r="E491" s="1">
        <v>0.79173400000000005</v>
      </c>
      <c r="F491" s="1"/>
      <c r="G491" s="1"/>
      <c r="H491" s="1"/>
    </row>
    <row r="492" spans="2:8" x14ac:dyDescent="0.25">
      <c r="B492" s="1">
        <v>79</v>
      </c>
      <c r="C492" s="1">
        <v>66.396799999999999</v>
      </c>
      <c r="D492" s="1">
        <v>1.0122100000000001</v>
      </c>
      <c r="E492" s="1">
        <v>0.78835100000000002</v>
      </c>
      <c r="F492" s="1"/>
      <c r="G492" s="1"/>
      <c r="H492" s="1"/>
    </row>
    <row r="493" spans="2:8" x14ac:dyDescent="0.25">
      <c r="B493" s="1">
        <v>80</v>
      </c>
      <c r="C493" s="1">
        <v>67.990399999999994</v>
      </c>
      <c r="D493" s="1">
        <v>1.0132399999999999</v>
      </c>
      <c r="E493" s="1">
        <v>0.784883</v>
      </c>
      <c r="F493" s="1"/>
      <c r="G493" s="1"/>
      <c r="H493" s="1"/>
    </row>
    <row r="494" spans="2:8" x14ac:dyDescent="0.25">
      <c r="B494" s="1">
        <v>81</v>
      </c>
      <c r="C494" s="1">
        <v>69.599599999999995</v>
      </c>
      <c r="D494" s="1">
        <v>1.0138199999999999</v>
      </c>
      <c r="E494" s="1">
        <v>0.78133399999999997</v>
      </c>
      <c r="F494" s="1"/>
      <c r="G494" s="1"/>
      <c r="H494" s="1"/>
    </row>
    <row r="495" spans="2:8" x14ac:dyDescent="0.25">
      <c r="B495" s="1">
        <v>82</v>
      </c>
      <c r="C495" s="1">
        <v>71.224400000000003</v>
      </c>
      <c r="D495" s="1">
        <v>1.01397</v>
      </c>
      <c r="E495" s="1">
        <v>0.77770899999999998</v>
      </c>
      <c r="F495" s="1"/>
      <c r="G495" s="1"/>
      <c r="H495" s="1"/>
    </row>
    <row r="496" spans="2:8" x14ac:dyDescent="0.25">
      <c r="B496" s="1">
        <v>83</v>
      </c>
      <c r="C496" s="1">
        <v>72.8643</v>
      </c>
      <c r="D496" s="1">
        <v>1.0137100000000001</v>
      </c>
      <c r="E496" s="1">
        <v>0.77401200000000003</v>
      </c>
      <c r="F496" s="1"/>
      <c r="G496" s="1"/>
      <c r="H496" s="1"/>
    </row>
    <row r="497" spans="2:8" x14ac:dyDescent="0.25">
      <c r="B497" s="1">
        <v>84</v>
      </c>
      <c r="C497" s="1">
        <v>74.519099999999995</v>
      </c>
      <c r="D497" s="1">
        <v>1.0130699999999999</v>
      </c>
      <c r="E497" s="1">
        <v>0.77024700000000001</v>
      </c>
      <c r="F497" s="1"/>
      <c r="G497" s="1"/>
      <c r="H497" s="1"/>
    </row>
    <row r="498" spans="2:8" x14ac:dyDescent="0.25">
      <c r="B498" s="1">
        <v>85</v>
      </c>
      <c r="C498" s="1">
        <v>76.188500000000005</v>
      </c>
      <c r="D498" s="1">
        <v>1.0120800000000001</v>
      </c>
      <c r="E498" s="1">
        <v>0.76641800000000004</v>
      </c>
      <c r="F498" s="1"/>
      <c r="G498" s="1"/>
      <c r="H498" s="1"/>
    </row>
    <row r="499" spans="2:8" x14ac:dyDescent="0.25">
      <c r="B499" s="1">
        <v>86</v>
      </c>
      <c r="C499" s="1">
        <v>77.872399999999999</v>
      </c>
      <c r="D499" s="1">
        <v>1.0107600000000001</v>
      </c>
      <c r="E499" s="1">
        <v>0.76252900000000001</v>
      </c>
      <c r="F499" s="1"/>
      <c r="G499" s="1"/>
      <c r="H499" s="1"/>
    </row>
    <row r="500" spans="2:8" x14ac:dyDescent="0.25">
      <c r="B500" s="1">
        <v>87</v>
      </c>
      <c r="C500" s="1">
        <v>79.570400000000006</v>
      </c>
      <c r="D500" s="1">
        <v>1.0091399999999999</v>
      </c>
      <c r="E500" s="1">
        <v>0.75858400000000004</v>
      </c>
      <c r="F500" s="1"/>
      <c r="G500" s="1"/>
      <c r="H500" s="1"/>
    </row>
    <row r="501" spans="2:8" x14ac:dyDescent="0.25">
      <c r="B501" s="1">
        <v>88</v>
      </c>
      <c r="C501" s="1">
        <v>81.281499999999994</v>
      </c>
      <c r="D501" s="1">
        <v>1.00722</v>
      </c>
      <c r="E501" s="1">
        <v>0.75458800000000004</v>
      </c>
      <c r="F501" s="1"/>
      <c r="G501" s="1"/>
      <c r="H501" s="1"/>
    </row>
    <row r="502" spans="2:8" x14ac:dyDescent="0.25">
      <c r="B502" s="1">
        <v>89</v>
      </c>
      <c r="C502" s="1">
        <v>83.006900000000002</v>
      </c>
      <c r="D502" s="1">
        <v>1.0050300000000001</v>
      </c>
      <c r="E502" s="1">
        <v>0.75054399999999999</v>
      </c>
      <c r="F502" s="1"/>
      <c r="G502" s="1"/>
      <c r="H502" s="1"/>
    </row>
    <row r="503" spans="2:8" x14ac:dyDescent="0.25">
      <c r="B503" s="1">
        <v>90</v>
      </c>
      <c r="C503" s="1">
        <v>84.744900000000001</v>
      </c>
      <c r="D503" s="1">
        <v>1.0025999999999999</v>
      </c>
      <c r="E503" s="1">
        <v>0.746452</v>
      </c>
      <c r="F503" s="1"/>
      <c r="G503" s="1"/>
      <c r="H503" s="1"/>
    </row>
    <row r="504" spans="2:8" x14ac:dyDescent="0.25">
      <c r="B504" s="1">
        <v>91</v>
      </c>
      <c r="C504" s="1">
        <v>86.495500000000007</v>
      </c>
      <c r="D504" s="1">
        <v>0.99993100000000001</v>
      </c>
      <c r="E504" s="1">
        <v>0.74231400000000003</v>
      </c>
      <c r="F504" s="1"/>
      <c r="G504" s="1"/>
      <c r="H504" s="1"/>
    </row>
    <row r="505" spans="2:8" x14ac:dyDescent="0.25">
      <c r="B505" s="1">
        <v>92</v>
      </c>
      <c r="C505" s="1">
        <v>88.259600000000006</v>
      </c>
      <c r="D505" s="1">
        <v>0.99704400000000004</v>
      </c>
      <c r="E505" s="1">
        <v>0.73812800000000001</v>
      </c>
      <c r="F505" s="1"/>
      <c r="G505" s="1"/>
      <c r="H505" s="1"/>
    </row>
    <row r="506" spans="2:8" x14ac:dyDescent="0.25">
      <c r="B506" s="1">
        <v>93</v>
      </c>
      <c r="C506" s="1">
        <v>90.035499999999999</v>
      </c>
      <c r="D506" s="1">
        <v>0.99395</v>
      </c>
      <c r="E506" s="1">
        <v>0.7339</v>
      </c>
      <c r="F506" s="1"/>
      <c r="G506" s="1"/>
      <c r="H506" s="1"/>
    </row>
    <row r="507" spans="2:8" x14ac:dyDescent="0.25">
      <c r="B507" s="1">
        <v>94</v>
      </c>
      <c r="C507" s="1">
        <v>91.823300000000003</v>
      </c>
      <c r="D507" s="1">
        <v>0.99066500000000002</v>
      </c>
      <c r="E507" s="1">
        <v>0.72963599999999995</v>
      </c>
      <c r="F507" s="1"/>
      <c r="G507" s="1"/>
      <c r="H507" s="1"/>
    </row>
    <row r="508" spans="2:8" x14ac:dyDescent="0.25">
      <c r="B508" s="1">
        <v>95</v>
      </c>
      <c r="C508" s="1">
        <v>93.622900000000001</v>
      </c>
      <c r="D508" s="1">
        <v>0.98720399999999997</v>
      </c>
      <c r="E508" s="1">
        <v>0.72533800000000004</v>
      </c>
      <c r="F508" s="1"/>
      <c r="G508" s="1"/>
      <c r="H508" s="1"/>
    </row>
    <row r="509" spans="2:8" x14ac:dyDescent="0.25">
      <c r="B509" s="1">
        <v>96</v>
      </c>
      <c r="C509" s="1">
        <v>95.434399999999997</v>
      </c>
      <c r="D509" s="1">
        <v>0.98358400000000001</v>
      </c>
      <c r="E509" s="1">
        <v>0.72101099999999996</v>
      </c>
      <c r="F509" s="1"/>
      <c r="G509" s="1"/>
      <c r="H509" s="1"/>
    </row>
    <row r="510" spans="2:8" x14ac:dyDescent="0.25">
      <c r="B510" s="1">
        <v>97</v>
      </c>
      <c r="C510" s="1">
        <v>97.256900000000002</v>
      </c>
      <c r="D510" s="1">
        <v>0.97982499999999995</v>
      </c>
      <c r="E510" s="1">
        <v>0.71665500000000004</v>
      </c>
      <c r="F510" s="1"/>
      <c r="G510" s="1"/>
      <c r="H510" s="1"/>
    </row>
    <row r="511" spans="2:8" x14ac:dyDescent="0.25">
      <c r="B511" s="1">
        <v>98</v>
      </c>
      <c r="C511" s="1">
        <v>99.089699999999993</v>
      </c>
      <c r="D511" s="1">
        <v>0.97594400000000003</v>
      </c>
      <c r="E511" s="1">
        <v>0.71226999999999996</v>
      </c>
      <c r="F511" s="1"/>
      <c r="G511" s="1"/>
      <c r="H511" s="1"/>
    </row>
    <row r="512" spans="2:8" x14ac:dyDescent="0.25">
      <c r="B512" s="1">
        <v>99</v>
      </c>
      <c r="C512" s="1">
        <v>100.934</v>
      </c>
      <c r="D512" s="1">
        <v>0.97195500000000001</v>
      </c>
      <c r="E512" s="1">
        <v>0.70785200000000004</v>
      </c>
      <c r="F512" s="1"/>
      <c r="G512" s="1"/>
      <c r="H512" s="1"/>
    </row>
    <row r="513" spans="2:8" x14ac:dyDescent="0.25">
      <c r="B513" s="1">
        <v>100</v>
      </c>
      <c r="C513" s="1">
        <v>102.788</v>
      </c>
      <c r="D513" s="1">
        <v>0.96787100000000004</v>
      </c>
      <c r="E513" s="1">
        <v>0.70340100000000005</v>
      </c>
      <c r="F513" s="1"/>
      <c r="G513" s="1"/>
      <c r="H513" s="1"/>
    </row>
    <row r="514" spans="2:8" x14ac:dyDescent="0.25">
      <c r="B514" s="1">
        <v>101</v>
      </c>
      <c r="C514" s="1">
        <v>104.652</v>
      </c>
      <c r="D514" s="1">
        <v>0.96369700000000003</v>
      </c>
      <c r="E514" s="1">
        <v>0.69891400000000004</v>
      </c>
      <c r="F514" s="1"/>
      <c r="G514" s="1"/>
      <c r="H514" s="1"/>
    </row>
    <row r="515" spans="2:8" x14ac:dyDescent="0.25">
      <c r="B515" s="1">
        <v>102</v>
      </c>
      <c r="C515" s="1">
        <v>106.526</v>
      </c>
      <c r="D515" s="1">
        <v>0.95943999999999996</v>
      </c>
      <c r="E515" s="1">
        <v>0.69439200000000001</v>
      </c>
      <c r="F515" s="1"/>
      <c r="G515" s="1"/>
      <c r="H515" s="1"/>
    </row>
    <row r="516" spans="2:8" x14ac:dyDescent="0.25">
      <c r="B516" s="1">
        <v>103</v>
      </c>
      <c r="C516" s="1">
        <v>108.40900000000001</v>
      </c>
      <c r="D516" s="1">
        <v>0.95510600000000001</v>
      </c>
      <c r="E516" s="1">
        <v>0.68983700000000003</v>
      </c>
      <c r="F516" s="1"/>
      <c r="G516" s="1"/>
      <c r="H516" s="1"/>
    </row>
    <row r="517" spans="2:8" x14ac:dyDescent="0.25">
      <c r="B517" s="1">
        <v>104</v>
      </c>
      <c r="C517" s="1">
        <v>110.30200000000001</v>
      </c>
      <c r="D517" s="1">
        <v>0.95069899999999996</v>
      </c>
      <c r="E517" s="1">
        <v>0.68524799999999997</v>
      </c>
      <c r="F517" s="1"/>
      <c r="G517" s="1"/>
      <c r="H517" s="1"/>
    </row>
    <row r="518" spans="2:8" x14ac:dyDescent="0.25">
      <c r="B518" s="1">
        <v>105</v>
      </c>
      <c r="C518" s="1">
        <v>112.20399999999999</v>
      </c>
      <c r="D518" s="1">
        <v>0.94622200000000001</v>
      </c>
      <c r="E518" s="1">
        <v>0.68062999999999996</v>
      </c>
      <c r="F518" s="1"/>
      <c r="G518" s="1"/>
      <c r="H518" s="1"/>
    </row>
    <row r="519" spans="2:8" x14ac:dyDescent="0.25">
      <c r="B519" s="1">
        <v>106</v>
      </c>
      <c r="C519" s="1">
        <v>114.11499999999999</v>
      </c>
      <c r="D519" s="1">
        <v>0.94167999999999996</v>
      </c>
      <c r="E519" s="1">
        <v>0.67598499999999995</v>
      </c>
      <c r="F519" s="1"/>
      <c r="G519" s="1"/>
      <c r="H519" s="1"/>
    </row>
    <row r="520" spans="2:8" x14ac:dyDescent="0.25">
      <c r="B520" s="1">
        <v>107</v>
      </c>
      <c r="C520" s="1">
        <v>116.03400000000001</v>
      </c>
      <c r="D520" s="1">
        <v>0.93707499999999999</v>
      </c>
      <c r="E520" s="1">
        <v>0.671315</v>
      </c>
      <c r="F520" s="1"/>
      <c r="G520" s="1"/>
      <c r="H520" s="1"/>
    </row>
    <row r="521" spans="2:8" x14ac:dyDescent="0.25">
      <c r="B521" s="1">
        <v>108</v>
      </c>
      <c r="C521" s="1">
        <v>117.96</v>
      </c>
      <c r="D521" s="1">
        <v>0.93240800000000001</v>
      </c>
      <c r="E521" s="1">
        <v>0.66661999999999999</v>
      </c>
      <c r="F521" s="1"/>
      <c r="G521" s="1"/>
      <c r="H521" s="1"/>
    </row>
    <row r="522" spans="2:8" x14ac:dyDescent="0.25">
      <c r="B522" s="1">
        <v>109</v>
      </c>
      <c r="C522" s="1">
        <v>119.896</v>
      </c>
      <c r="D522" s="1">
        <v>0.927674</v>
      </c>
      <c r="E522" s="1">
        <v>0.66190300000000002</v>
      </c>
      <c r="F522" s="1"/>
      <c r="G522" s="1"/>
      <c r="H522" s="1"/>
    </row>
    <row r="523" spans="2:8" x14ac:dyDescent="0.25">
      <c r="B523" s="1">
        <v>110</v>
      </c>
      <c r="C523" s="1">
        <v>121.839</v>
      </c>
      <c r="D523" s="1">
        <v>0.92286800000000002</v>
      </c>
      <c r="E523" s="1">
        <v>0.65716699999999995</v>
      </c>
      <c r="F523" s="1"/>
      <c r="G523" s="1"/>
      <c r="H523" s="1"/>
    </row>
    <row r="524" spans="2:8" x14ac:dyDescent="0.25">
      <c r="B524" s="1">
        <v>111</v>
      </c>
      <c r="C524" s="1">
        <v>123.789</v>
      </c>
      <c r="D524" s="1">
        <v>0.917987</v>
      </c>
      <c r="E524" s="1">
        <v>0.65241700000000002</v>
      </c>
      <c r="F524" s="1"/>
      <c r="G524" s="1"/>
      <c r="H524" s="1"/>
    </row>
    <row r="525" spans="2:8" x14ac:dyDescent="0.25">
      <c r="B525" s="1">
        <v>112</v>
      </c>
      <c r="C525" s="1">
        <v>125.747</v>
      </c>
      <c r="D525" s="1">
        <v>0.91302700000000003</v>
      </c>
      <c r="E525" s="1">
        <v>0.64765600000000001</v>
      </c>
      <c r="F525" s="1"/>
      <c r="G525" s="1"/>
      <c r="H525" s="1"/>
    </row>
    <row r="526" spans="2:8" x14ac:dyDescent="0.25">
      <c r="B526" s="1">
        <v>113</v>
      </c>
      <c r="C526" s="1">
        <v>127.711</v>
      </c>
      <c r="D526" s="1">
        <v>0.90798699999999999</v>
      </c>
      <c r="E526" s="1">
        <v>0.64288599999999996</v>
      </c>
      <c r="F526" s="1"/>
      <c r="G526" s="1"/>
      <c r="H526" s="1"/>
    </row>
    <row r="527" spans="2:8" x14ac:dyDescent="0.25">
      <c r="B527" s="1">
        <v>114</v>
      </c>
      <c r="C527" s="1">
        <v>129.68299999999999</v>
      </c>
      <c r="D527" s="1">
        <v>0.90287099999999998</v>
      </c>
      <c r="E527" s="1">
        <v>0.63810299999999998</v>
      </c>
      <c r="F527" s="1"/>
      <c r="G527" s="1"/>
      <c r="H527" s="1"/>
    </row>
    <row r="528" spans="2:8" x14ac:dyDescent="0.25">
      <c r="B528" s="1">
        <v>115</v>
      </c>
      <c r="C528" s="1">
        <v>131.661</v>
      </c>
      <c r="D528" s="1">
        <v>0.89768300000000001</v>
      </c>
      <c r="E528" s="1">
        <v>0.63330900000000001</v>
      </c>
      <c r="F528" s="1"/>
      <c r="G528" s="1"/>
      <c r="H528" s="1"/>
    </row>
    <row r="529" spans="2:8" x14ac:dyDescent="0.25">
      <c r="B529" s="1">
        <v>116</v>
      </c>
      <c r="C529" s="1">
        <v>133.64599999999999</v>
      </c>
      <c r="D529" s="1">
        <v>0.89242600000000005</v>
      </c>
      <c r="E529" s="1">
        <v>0.62850399999999995</v>
      </c>
      <c r="F529" s="1"/>
      <c r="G529" s="1"/>
      <c r="H529" s="1"/>
    </row>
    <row r="530" spans="2:8" x14ac:dyDescent="0.25">
      <c r="B530" s="1">
        <v>117</v>
      </c>
      <c r="C530" s="1">
        <v>135.637</v>
      </c>
      <c r="D530" s="1">
        <v>0.88710800000000001</v>
      </c>
      <c r="E530" s="1">
        <v>0.62368999999999997</v>
      </c>
      <c r="F530" s="1"/>
      <c r="G530" s="1"/>
      <c r="H530" s="1"/>
    </row>
    <row r="531" spans="2:8" x14ac:dyDescent="0.25">
      <c r="B531" s="1">
        <v>118</v>
      </c>
      <c r="C531" s="1">
        <v>137.63300000000001</v>
      </c>
      <c r="D531" s="1">
        <v>0.881741</v>
      </c>
      <c r="E531" s="1">
        <v>0.618865</v>
      </c>
      <c r="F531" s="1"/>
      <c r="G531" s="1"/>
      <c r="H531" s="1"/>
    </row>
    <row r="532" spans="2:8" x14ac:dyDescent="0.25">
      <c r="B532" s="1">
        <v>119</v>
      </c>
      <c r="C532" s="1">
        <v>139.636</v>
      </c>
      <c r="D532" s="1">
        <v>0.87633399999999995</v>
      </c>
      <c r="E532" s="1">
        <v>0.61402900000000005</v>
      </c>
      <c r="F532" s="1"/>
      <c r="G532" s="1"/>
      <c r="H532" s="1"/>
    </row>
    <row r="533" spans="2:8" x14ac:dyDescent="0.25">
      <c r="B533" s="1">
        <v>120</v>
      </c>
      <c r="C533" s="1">
        <v>141.64400000000001</v>
      </c>
      <c r="D533" s="1">
        <v>0.87090299999999998</v>
      </c>
      <c r="E533" s="1">
        <v>0.60917900000000003</v>
      </c>
      <c r="F533" s="1"/>
      <c r="G533" s="1"/>
      <c r="H533" s="1"/>
    </row>
    <row r="534" spans="2:8" x14ac:dyDescent="0.25">
      <c r="B534" s="1">
        <v>121</v>
      </c>
      <c r="C534" s="1">
        <v>143.65700000000001</v>
      </c>
      <c r="D534" s="1">
        <v>0.86546000000000001</v>
      </c>
      <c r="E534" s="1">
        <v>0.60431400000000002</v>
      </c>
      <c r="F534" s="1"/>
      <c r="G534" s="1"/>
      <c r="H534" s="1"/>
    </row>
    <row r="535" spans="2:8" x14ac:dyDescent="0.25">
      <c r="B535" s="1">
        <v>122</v>
      </c>
      <c r="C535" s="1">
        <v>145.67500000000001</v>
      </c>
      <c r="D535" s="1">
        <v>0.86001399999999995</v>
      </c>
      <c r="E535" s="1">
        <v>0.59943400000000002</v>
      </c>
      <c r="F535" s="1"/>
      <c r="G535" s="1"/>
      <c r="H535" s="1"/>
    </row>
    <row r="536" spans="2:8" x14ac:dyDescent="0.25">
      <c r="B536" s="1">
        <v>123</v>
      </c>
      <c r="C536" s="1">
        <v>147.69800000000001</v>
      </c>
      <c r="D536" s="1">
        <v>0.854572</v>
      </c>
      <c r="E536" s="1">
        <v>0.59454099999999999</v>
      </c>
      <c r="F536" s="1"/>
      <c r="G536" s="1"/>
      <c r="H536" s="1"/>
    </row>
    <row r="537" spans="2:8" x14ac:dyDescent="0.25">
      <c r="B537" s="1">
        <v>124</v>
      </c>
      <c r="C537" s="1">
        <v>149.726</v>
      </c>
      <c r="D537" s="1">
        <v>0.849136</v>
      </c>
      <c r="E537" s="1">
        <v>0.58963600000000005</v>
      </c>
      <c r="F537" s="1"/>
      <c r="G537" s="1"/>
      <c r="H537" s="1"/>
    </row>
    <row r="538" spans="2:8" x14ac:dyDescent="0.25">
      <c r="B538" s="1">
        <v>125</v>
      </c>
      <c r="C538" s="1">
        <v>151.75899999999999</v>
      </c>
      <c r="D538" s="1">
        <v>0.84371099999999999</v>
      </c>
      <c r="E538" s="1">
        <v>0.58471799999999996</v>
      </c>
      <c r="F538" s="1"/>
      <c r="G538" s="1"/>
      <c r="H538" s="1"/>
    </row>
    <row r="539" spans="2:8" x14ac:dyDescent="0.25">
      <c r="B539" s="1">
        <v>126</v>
      </c>
      <c r="C539" s="1">
        <v>153.79599999999999</v>
      </c>
      <c r="D539" s="1">
        <v>0.83829399999999998</v>
      </c>
      <c r="E539" s="1">
        <v>0.57978600000000002</v>
      </c>
      <c r="F539" s="1"/>
      <c r="G539" s="1"/>
      <c r="H539" s="1"/>
    </row>
    <row r="540" spans="2:8" x14ac:dyDescent="0.25">
      <c r="B540" s="1">
        <v>127</v>
      </c>
      <c r="C540" s="1">
        <v>155.83799999999999</v>
      </c>
      <c r="D540" s="1">
        <v>0.83288700000000004</v>
      </c>
      <c r="E540" s="1">
        <v>0.57484000000000002</v>
      </c>
      <c r="F540" s="1"/>
      <c r="G540" s="1"/>
      <c r="H540" s="1"/>
    </row>
    <row r="541" spans="2:8" x14ac:dyDescent="0.25">
      <c r="B541" s="1">
        <v>128</v>
      </c>
      <c r="C541" s="1">
        <v>157.88399999999999</v>
      </c>
      <c r="D541" s="1">
        <v>0.827488</v>
      </c>
      <c r="E541" s="1">
        <v>0.56988000000000005</v>
      </c>
      <c r="F541" s="1"/>
      <c r="G541" s="1"/>
      <c r="H541" s="1"/>
    </row>
    <row r="542" spans="2:8" x14ac:dyDescent="0.25">
      <c r="B542" s="1">
        <v>129</v>
      </c>
      <c r="C542" s="1">
        <v>159.93299999999999</v>
      </c>
      <c r="D542" s="1">
        <v>0.82209500000000002</v>
      </c>
      <c r="E542" s="1">
        <v>0.56491199999999997</v>
      </c>
      <c r="F542" s="1"/>
      <c r="G542" s="1"/>
      <c r="H542" s="1"/>
    </row>
    <row r="543" spans="2:8" x14ac:dyDescent="0.25">
      <c r="B543" s="1">
        <v>130</v>
      </c>
      <c r="C543" s="1">
        <v>161.98599999999999</v>
      </c>
      <c r="D543" s="1">
        <v>0.81670600000000004</v>
      </c>
      <c r="E543" s="1">
        <v>0.55993599999999999</v>
      </c>
      <c r="F543" s="1"/>
      <c r="G543" s="1"/>
      <c r="H543" s="1"/>
    </row>
    <row r="544" spans="2:8" x14ac:dyDescent="0.25">
      <c r="B544" s="1">
        <v>131</v>
      </c>
      <c r="C544" s="1">
        <v>164.04300000000001</v>
      </c>
      <c r="D544" s="1">
        <v>0.81131900000000001</v>
      </c>
      <c r="E544" s="1">
        <v>0.55495399999999995</v>
      </c>
      <c r="F544" s="1"/>
      <c r="G544" s="1"/>
      <c r="H544" s="1"/>
    </row>
    <row r="545" spans="2:8" x14ac:dyDescent="0.25">
      <c r="B545" s="1">
        <v>132</v>
      </c>
      <c r="C545" s="1">
        <v>166.10400000000001</v>
      </c>
      <c r="D545" s="1">
        <v>0.80593300000000001</v>
      </c>
      <c r="E545" s="1">
        <v>0.54996599999999995</v>
      </c>
      <c r="F545" s="1"/>
      <c r="G545" s="1"/>
      <c r="H545" s="1"/>
    </row>
    <row r="546" spans="2:8" x14ac:dyDescent="0.25">
      <c r="B546" s="1">
        <v>133</v>
      </c>
      <c r="C546" s="1">
        <v>168.167</v>
      </c>
      <c r="D546" s="1">
        <v>0.80054700000000001</v>
      </c>
      <c r="E546" s="1">
        <v>0.54497300000000004</v>
      </c>
      <c r="F546" s="1"/>
      <c r="G546" s="1"/>
      <c r="H546" s="1"/>
    </row>
    <row r="547" spans="2:8" x14ac:dyDescent="0.25">
      <c r="B547" s="1">
        <v>134</v>
      </c>
      <c r="C547" s="1">
        <v>170.23400000000001</v>
      </c>
      <c r="D547" s="1">
        <v>0.79516200000000004</v>
      </c>
      <c r="E547" s="1">
        <v>0.53997200000000001</v>
      </c>
      <c r="F547" s="1"/>
      <c r="G547" s="1"/>
      <c r="H547" s="1"/>
    </row>
    <row r="548" spans="2:8" x14ac:dyDescent="0.25">
      <c r="B548" s="1">
        <v>135</v>
      </c>
      <c r="C548" s="1">
        <v>172.304</v>
      </c>
      <c r="D548" s="1">
        <v>0.78978000000000004</v>
      </c>
      <c r="E548" s="1">
        <v>0.53496500000000002</v>
      </c>
      <c r="F548" s="1"/>
      <c r="G548" s="1"/>
      <c r="H548" s="1"/>
    </row>
    <row r="549" spans="2:8" x14ac:dyDescent="0.25">
      <c r="B549" s="1">
        <v>136</v>
      </c>
      <c r="C549" s="1">
        <v>174.37700000000001</v>
      </c>
      <c r="D549" s="1">
        <v>0.78440600000000005</v>
      </c>
      <c r="E549" s="1">
        <v>0.52994799999999997</v>
      </c>
      <c r="F549" s="1"/>
      <c r="G549" s="1"/>
      <c r="H549" s="1"/>
    </row>
    <row r="550" spans="2:8" x14ac:dyDescent="0.25">
      <c r="B550" s="1">
        <v>137</v>
      </c>
      <c r="C550" s="1">
        <v>176.453</v>
      </c>
      <c r="D550" s="1">
        <v>0.77903900000000004</v>
      </c>
      <c r="E550" s="1">
        <v>0.52492300000000003</v>
      </c>
      <c r="F550" s="1"/>
      <c r="G550" s="1"/>
      <c r="H550" s="1"/>
    </row>
    <row r="551" spans="2:8" x14ac:dyDescent="0.25">
      <c r="B551" s="1">
        <v>138</v>
      </c>
      <c r="C551" s="1">
        <v>178.53100000000001</v>
      </c>
      <c r="D551" s="1">
        <v>0.77368199999999998</v>
      </c>
      <c r="E551" s="1">
        <v>0.51989099999999999</v>
      </c>
      <c r="F551" s="1"/>
      <c r="G551" s="1"/>
      <c r="H551" s="1"/>
    </row>
    <row r="552" spans="2:8" x14ac:dyDescent="0.25">
      <c r="B552" s="1">
        <v>139</v>
      </c>
      <c r="C552" s="1">
        <v>180.61199999999999</v>
      </c>
      <c r="D552" s="1">
        <v>0.76833499999999999</v>
      </c>
      <c r="E552" s="1">
        <v>0.51485499999999995</v>
      </c>
      <c r="F552" s="1"/>
      <c r="G552" s="1"/>
      <c r="H552" s="1"/>
    </row>
    <row r="553" spans="2:8" x14ac:dyDescent="0.25">
      <c r="B553" s="1">
        <v>140</v>
      </c>
      <c r="C553" s="1">
        <v>182.69499999999999</v>
      </c>
      <c r="D553" s="1">
        <v>0.76299899999999998</v>
      </c>
      <c r="E553" s="1">
        <v>0.50981500000000002</v>
      </c>
      <c r="F553" s="1"/>
      <c r="G553" s="1"/>
      <c r="H553" s="1"/>
    </row>
    <row r="554" spans="2:8" x14ac:dyDescent="0.25">
      <c r="B554" s="1">
        <v>141</v>
      </c>
      <c r="C554" s="1">
        <v>184.78200000000001</v>
      </c>
      <c r="D554" s="1">
        <v>0.75767399999999996</v>
      </c>
      <c r="E554" s="1">
        <v>0.504772</v>
      </c>
      <c r="F554" s="1"/>
      <c r="G554" s="1"/>
      <c r="H554" s="1"/>
    </row>
    <row r="555" spans="2:8" x14ac:dyDescent="0.25">
      <c r="B555" s="1">
        <v>142</v>
      </c>
      <c r="C555" s="1">
        <v>186.87</v>
      </c>
      <c r="D555" s="1">
        <v>0.75236199999999998</v>
      </c>
      <c r="E555" s="1">
        <v>0.499726</v>
      </c>
      <c r="F555" s="1"/>
      <c r="G555" s="1"/>
      <c r="H555" s="1"/>
    </row>
    <row r="556" spans="2:8" x14ac:dyDescent="0.25">
      <c r="B556" s="1">
        <v>143</v>
      </c>
      <c r="C556" s="1">
        <v>188.96</v>
      </c>
      <c r="D556" s="1">
        <v>0.74706300000000003</v>
      </c>
      <c r="E556" s="1">
        <v>0.49467499999999998</v>
      </c>
      <c r="F556" s="1"/>
      <c r="G556" s="1"/>
      <c r="H556" s="1"/>
    </row>
    <row r="557" spans="2:8" x14ac:dyDescent="0.25">
      <c r="B557" s="1">
        <v>144</v>
      </c>
      <c r="C557" s="1">
        <v>191.05199999999999</v>
      </c>
      <c r="D557" s="1">
        <v>0.74177999999999999</v>
      </c>
      <c r="E557" s="1">
        <v>0.489622</v>
      </c>
      <c r="F557" s="1"/>
      <c r="G557" s="1"/>
      <c r="H557" s="1"/>
    </row>
    <row r="558" spans="2:8" x14ac:dyDescent="0.25">
      <c r="B558" s="1">
        <v>145</v>
      </c>
      <c r="C558" s="1">
        <v>193.14599999999999</v>
      </c>
      <c r="D558" s="1">
        <v>0.73651200000000006</v>
      </c>
      <c r="E558" s="1">
        <v>0.48456700000000003</v>
      </c>
      <c r="F558" s="1"/>
      <c r="G558" s="1"/>
      <c r="H558" s="1"/>
    </row>
    <row r="559" spans="2:8" x14ac:dyDescent="0.25">
      <c r="B559" s="1">
        <v>146</v>
      </c>
      <c r="C559" s="1">
        <v>195.24199999999999</v>
      </c>
      <c r="D559" s="1">
        <v>0.731267</v>
      </c>
      <c r="E559" s="1">
        <v>0.47950999999999999</v>
      </c>
      <c r="F559" s="1"/>
      <c r="G559" s="1"/>
      <c r="H559" s="1"/>
    </row>
    <row r="560" spans="2:8" x14ac:dyDescent="0.25">
      <c r="B560" s="1">
        <v>147</v>
      </c>
      <c r="C560" s="1">
        <v>197.34</v>
      </c>
      <c r="D560" s="1">
        <v>0.726047</v>
      </c>
      <c r="E560" s="1">
        <v>0.47445100000000001</v>
      </c>
      <c r="F560" s="1"/>
      <c r="G560" s="1"/>
      <c r="H560" s="1"/>
    </row>
    <row r="561" spans="2:8" x14ac:dyDescent="0.25">
      <c r="B561" s="1">
        <v>148</v>
      </c>
      <c r="C561" s="1">
        <v>199.43899999999999</v>
      </c>
      <c r="D561" s="1">
        <v>0.72085600000000005</v>
      </c>
      <c r="E561" s="1">
        <v>0.469393</v>
      </c>
      <c r="F561" s="1"/>
      <c r="G561" s="1"/>
      <c r="H561" s="1"/>
    </row>
    <row r="562" spans="2:8" x14ac:dyDescent="0.25">
      <c r="B562" s="1">
        <v>149</v>
      </c>
      <c r="C562" s="1">
        <v>201.541</v>
      </c>
      <c r="D562" s="1">
        <v>0.71569300000000002</v>
      </c>
      <c r="E562" s="1">
        <v>0.46433799999999997</v>
      </c>
      <c r="F562" s="1"/>
      <c r="G562" s="1"/>
      <c r="H562" s="1"/>
    </row>
    <row r="563" spans="2:8" x14ac:dyDescent="0.25">
      <c r="B563" s="1">
        <v>150</v>
      </c>
      <c r="C563" s="1">
        <v>203.64400000000001</v>
      </c>
      <c r="D563" s="1">
        <v>0.71055800000000002</v>
      </c>
      <c r="E563" s="1">
        <v>0.45928600000000003</v>
      </c>
      <c r="F563" s="1"/>
      <c r="G563" s="1"/>
      <c r="H563" s="1"/>
    </row>
    <row r="564" spans="2:8" x14ac:dyDescent="0.25">
      <c r="B564" s="1">
        <v>151</v>
      </c>
      <c r="C564" s="1">
        <v>205.74799999999999</v>
      </c>
      <c r="D564" s="1">
        <v>0.70544799999999996</v>
      </c>
      <c r="E564" s="1">
        <v>0.454239</v>
      </c>
      <c r="F564" s="1"/>
      <c r="G564" s="1"/>
      <c r="H564" s="1"/>
    </row>
    <row r="565" spans="2:8" x14ac:dyDescent="0.25">
      <c r="B565" s="1">
        <v>152</v>
      </c>
      <c r="C565" s="1">
        <v>207.85300000000001</v>
      </c>
      <c r="D565" s="1">
        <v>0.70035999999999998</v>
      </c>
      <c r="E565" s="1">
        <v>0.44919900000000001</v>
      </c>
      <c r="F565" s="1"/>
      <c r="G565" s="1"/>
      <c r="H565" s="1"/>
    </row>
    <row r="566" spans="2:8" x14ac:dyDescent="0.25">
      <c r="B566" s="1">
        <v>153</v>
      </c>
      <c r="C566" s="1">
        <v>209.96</v>
      </c>
      <c r="D566" s="1">
        <v>0.695295</v>
      </c>
      <c r="E566" s="1">
        <v>0.44416099999999997</v>
      </c>
      <c r="F566" s="1"/>
      <c r="G566" s="1"/>
      <c r="H566" s="1"/>
    </row>
    <row r="567" spans="2:8" x14ac:dyDescent="0.25">
      <c r="B567" s="1">
        <v>154</v>
      </c>
      <c r="C567" s="1">
        <v>212.06800000000001</v>
      </c>
      <c r="D567" s="1">
        <v>0.69025499999999995</v>
      </c>
      <c r="E567" s="1">
        <v>0.43912499999999999</v>
      </c>
      <c r="F567" s="1"/>
      <c r="G567" s="1"/>
      <c r="H567" s="1"/>
    </row>
    <row r="568" spans="2:8" x14ac:dyDescent="0.25">
      <c r="B568" s="1">
        <v>155</v>
      </c>
      <c r="C568" s="1">
        <v>214.17699999999999</v>
      </c>
      <c r="D568" s="1">
        <v>0.68524499999999999</v>
      </c>
      <c r="E568" s="1">
        <v>0.434087</v>
      </c>
      <c r="F568" s="1"/>
      <c r="G568" s="1"/>
      <c r="H568" s="1"/>
    </row>
    <row r="569" spans="2:8" x14ac:dyDescent="0.25">
      <c r="B569" s="1">
        <v>156</v>
      </c>
      <c r="C569" s="1">
        <v>216.28800000000001</v>
      </c>
      <c r="D569" s="1">
        <v>0.68026500000000001</v>
      </c>
      <c r="E569" s="1">
        <v>0.42904500000000001</v>
      </c>
      <c r="F569" s="1"/>
      <c r="G569" s="1"/>
      <c r="H569" s="1"/>
    </row>
    <row r="570" spans="2:8" x14ac:dyDescent="0.25">
      <c r="B570" s="1">
        <v>157</v>
      </c>
      <c r="C570" s="1">
        <v>218.399</v>
      </c>
      <c r="D570" s="1">
        <v>0.67532099999999995</v>
      </c>
      <c r="E570" s="1">
        <v>0.42399799999999999</v>
      </c>
      <c r="F570" s="1"/>
      <c r="G570" s="1"/>
      <c r="H570" s="1"/>
    </row>
    <row r="571" spans="2:8" x14ac:dyDescent="0.25">
      <c r="B571" s="1">
        <v>158</v>
      </c>
      <c r="C571" s="1">
        <v>220.512</v>
      </c>
      <c r="D571" s="1">
        <v>0.67041300000000004</v>
      </c>
      <c r="E571" s="1">
        <v>0.41894799999999999</v>
      </c>
      <c r="F571" s="1"/>
      <c r="G571" s="1"/>
      <c r="H571" s="1"/>
    </row>
    <row r="572" spans="2:8" x14ac:dyDescent="0.25">
      <c r="B572" s="1">
        <v>159</v>
      </c>
      <c r="C572" s="1">
        <v>222.625</v>
      </c>
      <c r="D572" s="1">
        <v>0.66554400000000002</v>
      </c>
      <c r="E572" s="1">
        <v>0.41389500000000001</v>
      </c>
      <c r="F572" s="1"/>
      <c r="G572" s="1"/>
      <c r="H572" s="1"/>
    </row>
    <row r="573" spans="2:8" x14ac:dyDescent="0.25">
      <c r="B573" s="1">
        <v>160</v>
      </c>
      <c r="C573" s="1">
        <v>224.739</v>
      </c>
      <c r="D573" s="1">
        <v>0.66071400000000002</v>
      </c>
      <c r="E573" s="1">
        <v>0.40883900000000001</v>
      </c>
      <c r="F573" s="1"/>
      <c r="G573" s="1"/>
      <c r="H573" s="1"/>
    </row>
    <row r="574" spans="2:8" x14ac:dyDescent="0.25">
      <c r="B574" s="1">
        <v>161</v>
      </c>
      <c r="C574" s="1">
        <v>226.85499999999999</v>
      </c>
      <c r="D574" s="1">
        <v>0.65592499999999998</v>
      </c>
      <c r="E574" s="1">
        <v>0.403777</v>
      </c>
      <c r="F574" s="1"/>
      <c r="G574" s="1"/>
      <c r="H574" s="1"/>
    </row>
    <row r="575" spans="2:8" x14ac:dyDescent="0.25">
      <c r="B575" s="1">
        <v>162</v>
      </c>
      <c r="C575" s="1">
        <v>228.97</v>
      </c>
      <c r="D575" s="1">
        <v>0.65117999999999998</v>
      </c>
      <c r="E575" s="1">
        <v>0.39870800000000001</v>
      </c>
      <c r="F575" s="1"/>
      <c r="G575" s="1"/>
      <c r="H575" s="1"/>
    </row>
    <row r="576" spans="2:8" x14ac:dyDescent="0.25">
      <c r="B576" s="1">
        <v>163</v>
      </c>
      <c r="C576" s="1">
        <v>231.08699999999999</v>
      </c>
      <c r="D576" s="1">
        <v>0.64647699999999997</v>
      </c>
      <c r="E576" s="1">
        <v>0.39362900000000001</v>
      </c>
      <c r="F576" s="1"/>
      <c r="G576" s="1"/>
      <c r="H576" s="1"/>
    </row>
    <row r="577" spans="2:8" x14ac:dyDescent="0.25">
      <c r="B577" s="1">
        <v>164</v>
      </c>
      <c r="C577" s="1">
        <v>233.20500000000001</v>
      </c>
      <c r="D577" s="1">
        <v>0.64181699999999997</v>
      </c>
      <c r="E577" s="1">
        <v>0.38854100000000003</v>
      </c>
      <c r="F577" s="1"/>
      <c r="G577" s="1"/>
      <c r="H577" s="1"/>
    </row>
    <row r="578" spans="2:8" x14ac:dyDescent="0.25">
      <c r="B578" s="1">
        <v>165</v>
      </c>
      <c r="C578" s="1">
        <v>235.32300000000001</v>
      </c>
      <c r="D578" s="1">
        <v>0.63719999999999999</v>
      </c>
      <c r="E578" s="1">
        <v>0.38344499999999998</v>
      </c>
      <c r="F578" s="1"/>
      <c r="G578" s="1"/>
      <c r="H578" s="1"/>
    </row>
    <row r="579" spans="2:8" x14ac:dyDescent="0.25">
      <c r="B579" s="1">
        <v>166</v>
      </c>
      <c r="C579" s="1">
        <v>237.44200000000001</v>
      </c>
      <c r="D579" s="1">
        <v>0.63262200000000002</v>
      </c>
      <c r="E579" s="1">
        <v>0.37834400000000001</v>
      </c>
      <c r="F579" s="1"/>
      <c r="G579" s="1"/>
      <c r="H579" s="1"/>
    </row>
    <row r="580" spans="2:8" x14ac:dyDescent="0.25">
      <c r="B580" s="1">
        <v>167</v>
      </c>
      <c r="C580" s="1">
        <v>239.56100000000001</v>
      </c>
      <c r="D580" s="1">
        <v>0.62808399999999998</v>
      </c>
      <c r="E580" s="1">
        <v>0.37323899999999999</v>
      </c>
      <c r="F580" s="1"/>
      <c r="G580" s="1"/>
      <c r="H580" s="1"/>
    </row>
    <row r="581" spans="2:8" x14ac:dyDescent="0.25">
      <c r="B581" s="1">
        <v>168</v>
      </c>
      <c r="C581" s="1">
        <v>241.68199999999999</v>
      </c>
      <c r="D581" s="1">
        <v>0.62358499999999994</v>
      </c>
      <c r="E581" s="1">
        <v>0.36813099999999999</v>
      </c>
      <c r="F581" s="1"/>
      <c r="G581" s="1"/>
      <c r="H581" s="1"/>
    </row>
    <row r="582" spans="2:8" x14ac:dyDescent="0.25">
      <c r="B582" s="1">
        <v>169</v>
      </c>
      <c r="C582" s="1">
        <v>243.80199999999999</v>
      </c>
      <c r="D582" s="1">
        <v>0.61912500000000004</v>
      </c>
      <c r="E582" s="1">
        <v>0.36302000000000001</v>
      </c>
      <c r="F582" s="1"/>
      <c r="G582" s="1"/>
      <c r="H582" s="1"/>
    </row>
    <row r="583" spans="2:8" x14ac:dyDescent="0.25">
      <c r="B583" s="1">
        <v>170</v>
      </c>
      <c r="C583" s="1">
        <v>245.923</v>
      </c>
      <c r="D583" s="1">
        <v>0.61470999999999998</v>
      </c>
      <c r="E583" s="1">
        <v>0.357904</v>
      </c>
      <c r="F583" s="1"/>
      <c r="G583" s="1"/>
      <c r="H583" s="1"/>
    </row>
    <row r="584" spans="2:8" x14ac:dyDescent="0.25">
      <c r="B584" s="1">
        <v>171</v>
      </c>
      <c r="C584" s="1">
        <v>248.04499999999999</v>
      </c>
      <c r="D584" s="1">
        <v>0.61034100000000002</v>
      </c>
      <c r="E584" s="1">
        <v>0.35278500000000002</v>
      </c>
      <c r="F584" s="1"/>
      <c r="G584" s="1"/>
      <c r="H584" s="1"/>
    </row>
    <row r="585" spans="2:8" x14ac:dyDescent="0.25">
      <c r="B585" s="1">
        <v>172</v>
      </c>
      <c r="C585" s="1">
        <v>250.167</v>
      </c>
      <c r="D585" s="1">
        <v>0.60602800000000001</v>
      </c>
      <c r="E585" s="1">
        <v>0.34766399999999997</v>
      </c>
      <c r="F585" s="1"/>
      <c r="G585" s="1"/>
      <c r="H585" s="1"/>
    </row>
    <row r="586" spans="2:8" x14ac:dyDescent="0.25">
      <c r="B586" s="1">
        <v>173</v>
      </c>
      <c r="C586" s="1">
        <v>252.29</v>
      </c>
      <c r="D586" s="1">
        <v>0.60177499999999995</v>
      </c>
      <c r="E586" s="1">
        <v>0.34253899999999998</v>
      </c>
      <c r="F586" s="1"/>
      <c r="G586" s="1"/>
      <c r="H586" s="1"/>
    </row>
    <row r="587" spans="2:8" x14ac:dyDescent="0.25">
      <c r="B587" s="1">
        <v>174</v>
      </c>
      <c r="C587" s="1">
        <v>254.41300000000001</v>
      </c>
      <c r="D587" s="1">
        <v>0.59758500000000003</v>
      </c>
      <c r="E587" s="1">
        <v>0.33741100000000002</v>
      </c>
      <c r="F587" s="1"/>
      <c r="G587" s="1"/>
      <c r="H587" s="1"/>
    </row>
    <row r="588" spans="2:8" x14ac:dyDescent="0.25">
      <c r="B588" s="1">
        <v>175</v>
      </c>
      <c r="C588" s="1">
        <v>256.53699999999998</v>
      </c>
      <c r="D588" s="1">
        <v>0.59346600000000005</v>
      </c>
      <c r="E588" s="1">
        <v>0.33227800000000002</v>
      </c>
      <c r="F588" s="1"/>
      <c r="G588" s="1"/>
      <c r="H588" s="1"/>
    </row>
    <row r="589" spans="2:8" x14ac:dyDescent="0.25">
      <c r="B589" s="1">
        <v>176</v>
      </c>
      <c r="C589" s="1">
        <v>258.66000000000003</v>
      </c>
      <c r="D589" s="1">
        <v>0.58941699999999997</v>
      </c>
      <c r="E589" s="1">
        <v>0.32713900000000001</v>
      </c>
      <c r="F589" s="1"/>
      <c r="G589" s="1"/>
      <c r="H589" s="1"/>
    </row>
    <row r="590" spans="2:8" x14ac:dyDescent="0.25">
      <c r="B590" s="1">
        <v>177</v>
      </c>
      <c r="C590" s="1">
        <v>260.78500000000003</v>
      </c>
      <c r="D590" s="1">
        <v>0.58543699999999999</v>
      </c>
      <c r="E590" s="1">
        <v>0.32199499999999998</v>
      </c>
      <c r="F590" s="1"/>
      <c r="G590" s="1"/>
      <c r="H590" s="1"/>
    </row>
    <row r="591" spans="2:8" x14ac:dyDescent="0.25">
      <c r="B591" s="1">
        <v>178</v>
      </c>
      <c r="C591" s="1">
        <v>262.90899999999999</v>
      </c>
      <c r="D591" s="1">
        <v>0.58152400000000004</v>
      </c>
      <c r="E591" s="1">
        <v>0.31684800000000002</v>
      </c>
      <c r="F591" s="1"/>
      <c r="G591" s="1"/>
      <c r="H591" s="1"/>
    </row>
    <row r="592" spans="2:8" x14ac:dyDescent="0.25">
      <c r="B592" s="1">
        <v>179</v>
      </c>
      <c r="C592" s="1">
        <v>265.03399999999999</v>
      </c>
      <c r="D592" s="1">
        <v>0.57767500000000005</v>
      </c>
      <c r="E592" s="1">
        <v>0.311699</v>
      </c>
      <c r="F592" s="1"/>
      <c r="G592" s="1"/>
      <c r="H592" s="1"/>
    </row>
    <row r="593" spans="2:8" x14ac:dyDescent="0.25">
      <c r="B593" s="1">
        <v>180</v>
      </c>
      <c r="C593" s="1">
        <v>267.15899999999999</v>
      </c>
      <c r="D593" s="1">
        <v>0.57388600000000001</v>
      </c>
      <c r="E593" s="1">
        <v>0.30654700000000001</v>
      </c>
      <c r="F593" s="1"/>
      <c r="G593" s="1"/>
      <c r="H593" s="1"/>
    </row>
    <row r="594" spans="2:8" x14ac:dyDescent="0.25">
      <c r="B594" s="1">
        <v>181</v>
      </c>
      <c r="C594" s="1">
        <v>269.28500000000003</v>
      </c>
      <c r="D594" s="1">
        <v>0.57015199999999999</v>
      </c>
      <c r="E594" s="1">
        <v>0.30139500000000002</v>
      </c>
      <c r="F594" s="1"/>
      <c r="G594" s="1"/>
      <c r="H594" s="1"/>
    </row>
    <row r="595" spans="2:8" x14ac:dyDescent="0.25">
      <c r="B595" s="1">
        <v>182</v>
      </c>
      <c r="C595" s="1">
        <v>271.411</v>
      </c>
      <c r="D595" s="1">
        <v>0.56646700000000005</v>
      </c>
      <c r="E595" s="1">
        <v>0.29624</v>
      </c>
      <c r="F595" s="1"/>
      <c r="G595" s="1"/>
      <c r="H595" s="1"/>
    </row>
    <row r="596" spans="2:8" x14ac:dyDescent="0.25">
      <c r="B596" s="1">
        <v>183</v>
      </c>
      <c r="C596" s="1">
        <v>273.53699999999998</v>
      </c>
      <c r="D596" s="1">
        <v>0.56282600000000005</v>
      </c>
      <c r="E596" s="1">
        <v>0.29108299999999998</v>
      </c>
      <c r="F596" s="1"/>
      <c r="G596" s="1"/>
      <c r="H596" s="1"/>
    </row>
    <row r="597" spans="2:8" x14ac:dyDescent="0.25">
      <c r="B597" s="1">
        <v>184</v>
      </c>
      <c r="C597" s="1">
        <v>275.66300000000001</v>
      </c>
      <c r="D597" s="1">
        <v>0.559222</v>
      </c>
      <c r="E597" s="1">
        <v>0.28592400000000001</v>
      </c>
      <c r="F597" s="1"/>
      <c r="G597" s="1"/>
      <c r="H597" s="1"/>
    </row>
    <row r="598" spans="2:8" x14ac:dyDescent="0.25">
      <c r="B598" s="1">
        <v>185</v>
      </c>
      <c r="C598" s="1">
        <v>277.79000000000002</v>
      </c>
      <c r="D598" s="1">
        <v>0.55564800000000003</v>
      </c>
      <c r="E598" s="1">
        <v>0.28076499999999999</v>
      </c>
      <c r="F598" s="1"/>
      <c r="G598" s="1"/>
      <c r="H598" s="1"/>
    </row>
    <row r="599" spans="2:8" x14ac:dyDescent="0.25">
      <c r="B599" s="1">
        <v>186</v>
      </c>
      <c r="C599" s="1">
        <v>279.91699999999997</v>
      </c>
      <c r="D599" s="1">
        <v>0.552095</v>
      </c>
      <c r="E599" s="1">
        <v>0.27560499999999999</v>
      </c>
      <c r="F599" s="1"/>
      <c r="G599" s="1"/>
      <c r="H599" s="1"/>
    </row>
    <row r="600" spans="2:8" x14ac:dyDescent="0.25">
      <c r="B600" s="1">
        <v>187</v>
      </c>
      <c r="C600" s="1">
        <v>282.04399999999998</v>
      </c>
      <c r="D600" s="1">
        <v>0.54855699999999996</v>
      </c>
      <c r="E600" s="1">
        <v>0.27044800000000002</v>
      </c>
      <c r="F600" s="1"/>
      <c r="G600" s="1"/>
      <c r="H600" s="1"/>
    </row>
    <row r="601" spans="2:8" x14ac:dyDescent="0.25">
      <c r="B601" s="1">
        <v>188</v>
      </c>
      <c r="C601" s="1">
        <v>284.17200000000003</v>
      </c>
      <c r="D601" s="1">
        <v>0.54502700000000004</v>
      </c>
      <c r="E601" s="1">
        <v>0.265293</v>
      </c>
      <c r="F601" s="1"/>
      <c r="G601" s="1"/>
      <c r="H601" s="1"/>
    </row>
    <row r="602" spans="2:8" x14ac:dyDescent="0.25">
      <c r="B602" s="1">
        <v>189</v>
      </c>
      <c r="C602" s="1">
        <v>286.29899999999998</v>
      </c>
      <c r="D602" s="1">
        <v>0.54150399999999999</v>
      </c>
      <c r="E602" s="1">
        <v>0.26014199999999998</v>
      </c>
      <c r="F602" s="1"/>
      <c r="G602" s="1"/>
      <c r="H602" s="1"/>
    </row>
    <row r="603" spans="2:8" x14ac:dyDescent="0.25">
      <c r="B603" s="1">
        <v>190</v>
      </c>
      <c r="C603" s="1">
        <v>288.42700000000002</v>
      </c>
      <c r="D603" s="1">
        <v>0.53798599999999996</v>
      </c>
      <c r="E603" s="1">
        <v>0.25499500000000003</v>
      </c>
      <c r="F603" s="1"/>
      <c r="G603" s="1"/>
      <c r="H603" s="1"/>
    </row>
    <row r="604" spans="2:8" x14ac:dyDescent="0.25">
      <c r="B604" s="1">
        <v>191</v>
      </c>
      <c r="C604" s="1">
        <v>290.55599999999998</v>
      </c>
      <c r="D604" s="1">
        <v>0.53447699999999998</v>
      </c>
      <c r="E604" s="1">
        <v>0.24985199999999999</v>
      </c>
      <c r="F604" s="1"/>
      <c r="G604" s="1"/>
      <c r="H604" s="1"/>
    </row>
    <row r="605" spans="2:8" x14ac:dyDescent="0.25">
      <c r="B605" s="1">
        <v>192</v>
      </c>
      <c r="C605" s="1">
        <v>292.68400000000003</v>
      </c>
      <c r="D605" s="1">
        <v>0.53098299999999998</v>
      </c>
      <c r="E605" s="1">
        <v>0.24471200000000001</v>
      </c>
      <c r="F605" s="1"/>
      <c r="G605" s="1"/>
      <c r="H605" s="1"/>
    </row>
    <row r="606" spans="2:8" x14ac:dyDescent="0.25">
      <c r="B606" s="1">
        <v>193</v>
      </c>
      <c r="C606" s="1">
        <v>294.81200000000001</v>
      </c>
      <c r="D606" s="1">
        <v>0.52751199999999998</v>
      </c>
      <c r="E606" s="1">
        <v>0.23957700000000001</v>
      </c>
      <c r="F606" s="1"/>
      <c r="G606" s="1"/>
      <c r="H606" s="1"/>
    </row>
    <row r="607" spans="2:8" x14ac:dyDescent="0.25">
      <c r="B607" s="1">
        <v>194</v>
      </c>
      <c r="C607" s="1">
        <v>296.94</v>
      </c>
      <c r="D607" s="1">
        <v>0.52407599999999999</v>
      </c>
      <c r="E607" s="1">
        <v>0.23444499999999999</v>
      </c>
      <c r="F607" s="1"/>
      <c r="G607" s="1"/>
      <c r="H607" s="1"/>
    </row>
    <row r="608" spans="2:8" x14ac:dyDescent="0.25">
      <c r="B608" s="1">
        <v>195</v>
      </c>
      <c r="C608" s="1">
        <v>299.07</v>
      </c>
      <c r="D608" s="1">
        <v>0.52068700000000001</v>
      </c>
      <c r="E608" s="1">
        <v>0.22931699999999999</v>
      </c>
      <c r="F608" s="1"/>
      <c r="G608" s="1"/>
      <c r="H608" s="1"/>
    </row>
    <row r="609" spans="2:8" x14ac:dyDescent="0.25">
      <c r="B609" s="1">
        <v>196</v>
      </c>
      <c r="C609" s="1">
        <v>301.19900000000001</v>
      </c>
      <c r="D609" s="1">
        <v>0.51735600000000004</v>
      </c>
      <c r="E609" s="1">
        <v>0.224193</v>
      </c>
      <c r="F609" s="1"/>
      <c r="G609" s="1"/>
      <c r="H609" s="1"/>
    </row>
    <row r="610" spans="2:8" x14ac:dyDescent="0.25">
      <c r="B610" s="1">
        <v>197</v>
      </c>
      <c r="C610" s="1">
        <v>303.32799999999997</v>
      </c>
      <c r="D610" s="1">
        <v>0.51409899999999997</v>
      </c>
      <c r="E610" s="1">
        <v>0.21907299999999999</v>
      </c>
      <c r="F610" s="1"/>
      <c r="G610" s="1"/>
      <c r="H610" s="1"/>
    </row>
    <row r="611" spans="2:8" x14ac:dyDescent="0.25">
      <c r="B611" s="1">
        <v>198</v>
      </c>
      <c r="C611" s="1">
        <v>305.45699999999999</v>
      </c>
      <c r="D611" s="1">
        <v>0.51092300000000002</v>
      </c>
      <c r="E611" s="1">
        <v>0.21395800000000001</v>
      </c>
      <c r="F611" s="1"/>
      <c r="G611" s="1"/>
      <c r="H611" s="1"/>
    </row>
    <row r="612" spans="2:8" x14ac:dyDescent="0.25">
      <c r="B612" s="1">
        <v>199</v>
      </c>
      <c r="C612" s="1">
        <v>307.58699999999999</v>
      </c>
      <c r="D612" s="1">
        <v>0.50783999999999996</v>
      </c>
      <c r="E612" s="1">
        <v>0.208847</v>
      </c>
      <c r="F612" s="1"/>
      <c r="G612" s="1"/>
      <c r="H612" s="1"/>
    </row>
    <row r="613" spans="2:8" x14ac:dyDescent="0.25">
      <c r="B613" s="1">
        <v>200</v>
      </c>
      <c r="C613" s="1">
        <v>309.71600000000001</v>
      </c>
      <c r="D613" s="1">
        <v>0.504857</v>
      </c>
      <c r="E613" s="1">
        <v>0.20374100000000001</v>
      </c>
      <c r="F613" s="1"/>
      <c r="G613" s="1"/>
      <c r="H613" s="1"/>
    </row>
    <row r="614" spans="2:8" x14ac:dyDescent="0.25">
      <c r="B614" s="1">
        <v>201</v>
      </c>
      <c r="C614" s="1">
        <v>311.846</v>
      </c>
      <c r="D614" s="1">
        <v>0.50197700000000001</v>
      </c>
      <c r="E614" s="1">
        <v>0.19863900000000001</v>
      </c>
      <c r="F614" s="1"/>
      <c r="G614" s="1"/>
      <c r="H614" s="1"/>
    </row>
    <row r="615" spans="2:8" x14ac:dyDescent="0.25">
      <c r="B615" s="1">
        <v>202</v>
      </c>
      <c r="C615" s="1">
        <v>313.976</v>
      </c>
      <c r="D615" s="1">
        <v>0.49920199999999998</v>
      </c>
      <c r="E615" s="1">
        <v>0.19354099999999999</v>
      </c>
      <c r="F615" s="1"/>
      <c r="G615" s="1"/>
      <c r="H615" s="1"/>
    </row>
    <row r="616" spans="2:8" x14ac:dyDescent="0.25">
      <c r="B616" s="1">
        <v>203</v>
      </c>
      <c r="C616" s="1">
        <v>316.10700000000003</v>
      </c>
      <c r="D616" s="1">
        <v>0.49653199999999997</v>
      </c>
      <c r="E616" s="1">
        <v>0.188448</v>
      </c>
      <c r="F616" s="1"/>
      <c r="G616" s="1"/>
      <c r="H616" s="1"/>
    </row>
    <row r="617" spans="2:8" x14ac:dyDescent="0.25">
      <c r="B617" s="1">
        <v>204</v>
      </c>
      <c r="C617" s="1">
        <v>318.23700000000002</v>
      </c>
      <c r="D617" s="1">
        <v>0.49395899999999998</v>
      </c>
      <c r="E617" s="1">
        <v>0.18335899999999999</v>
      </c>
      <c r="F617" s="1"/>
      <c r="G617" s="1"/>
      <c r="H617" s="1"/>
    </row>
    <row r="618" spans="2:8" x14ac:dyDescent="0.25">
      <c r="B618" s="1">
        <v>205</v>
      </c>
      <c r="C618" s="1">
        <v>320.36700000000002</v>
      </c>
      <c r="D618" s="1">
        <v>0.49148199999999997</v>
      </c>
      <c r="E618" s="1">
        <v>0.17827299999999999</v>
      </c>
      <c r="F618" s="1"/>
      <c r="G618" s="1"/>
      <c r="H618" s="1"/>
    </row>
    <row r="619" spans="2:8" x14ac:dyDescent="0.25">
      <c r="B619" s="1">
        <v>206</v>
      </c>
      <c r="C619" s="1">
        <v>322.49799999999999</v>
      </c>
      <c r="D619" s="1">
        <v>0.48909200000000003</v>
      </c>
      <c r="E619" s="1">
        <v>0.17319100000000001</v>
      </c>
      <c r="F619" s="1"/>
      <c r="G619" s="1"/>
      <c r="H619" s="1"/>
    </row>
    <row r="620" spans="2:8" x14ac:dyDescent="0.25">
      <c r="B620" s="1">
        <v>207</v>
      </c>
      <c r="C620" s="1">
        <v>324.62900000000002</v>
      </c>
      <c r="D620" s="1">
        <v>0.48678300000000002</v>
      </c>
      <c r="E620" s="1">
        <v>0.16811000000000001</v>
      </c>
      <c r="F620" s="1"/>
      <c r="G620" s="1"/>
      <c r="H620" s="1"/>
    </row>
    <row r="621" spans="2:8" x14ac:dyDescent="0.25">
      <c r="B621" s="1">
        <v>208</v>
      </c>
      <c r="C621" s="1">
        <v>326.76</v>
      </c>
      <c r="D621" s="1">
        <v>0.48454799999999998</v>
      </c>
      <c r="E621" s="1">
        <v>0.16303200000000001</v>
      </c>
      <c r="F621" s="1"/>
      <c r="G621" s="1"/>
      <c r="H621" s="1"/>
    </row>
    <row r="622" spans="2:8" x14ac:dyDescent="0.25">
      <c r="B622" s="1">
        <v>209</v>
      </c>
      <c r="C622" s="1">
        <v>328.89</v>
      </c>
      <c r="D622" s="1">
        <v>0.482377</v>
      </c>
      <c r="E622" s="1">
        <v>0.15795600000000001</v>
      </c>
      <c r="F622" s="1"/>
      <c r="G622" s="1"/>
      <c r="H622" s="1"/>
    </row>
    <row r="623" spans="2:8" x14ac:dyDescent="0.25">
      <c r="B623" s="1">
        <v>210</v>
      </c>
      <c r="C623" s="1">
        <v>331.02199999999999</v>
      </c>
      <c r="D623" s="1">
        <v>0.48026400000000002</v>
      </c>
      <c r="E623" s="1">
        <v>0.15288299999999999</v>
      </c>
      <c r="F623" s="1"/>
      <c r="G623" s="1"/>
      <c r="H623" s="1"/>
    </row>
    <row r="624" spans="2:8" x14ac:dyDescent="0.25">
      <c r="B624" s="1">
        <v>211</v>
      </c>
      <c r="C624" s="1">
        <v>333.15300000000002</v>
      </c>
      <c r="D624" s="1">
        <v>0.47820200000000002</v>
      </c>
      <c r="E624" s="1">
        <v>0.147814</v>
      </c>
      <c r="F624" s="1"/>
      <c r="G624" s="1"/>
      <c r="H624" s="1"/>
    </row>
    <row r="625" spans="2:8" x14ac:dyDescent="0.25">
      <c r="B625" s="1">
        <v>212</v>
      </c>
      <c r="C625" s="1">
        <v>335.28500000000003</v>
      </c>
      <c r="D625" s="1">
        <v>0.476186</v>
      </c>
      <c r="E625" s="1">
        <v>0.14274700000000001</v>
      </c>
      <c r="F625" s="1"/>
      <c r="G625" s="1"/>
      <c r="H625" s="1"/>
    </row>
    <row r="626" spans="2:8" x14ac:dyDescent="0.25">
      <c r="B626" s="1">
        <v>213</v>
      </c>
      <c r="C626" s="1">
        <v>337.416</v>
      </c>
      <c r="D626" s="1">
        <v>0.47421000000000002</v>
      </c>
      <c r="E626" s="1">
        <v>0.137683</v>
      </c>
      <c r="F626" s="1"/>
      <c r="G626" s="1"/>
      <c r="H626" s="1"/>
    </row>
    <row r="627" spans="2:8" x14ac:dyDescent="0.25">
      <c r="B627" s="1">
        <v>214</v>
      </c>
      <c r="C627" s="1">
        <v>339.548</v>
      </c>
      <c r="D627" s="1">
        <v>0.47227400000000003</v>
      </c>
      <c r="E627" s="1">
        <v>0.13261899999999999</v>
      </c>
      <c r="F627" s="1"/>
      <c r="G627" s="1"/>
      <c r="H627" s="1"/>
    </row>
    <row r="628" spans="2:8" x14ac:dyDescent="0.25">
      <c r="B628" s="1">
        <v>215</v>
      </c>
      <c r="C628" s="1">
        <v>341.68</v>
      </c>
      <c r="D628" s="1">
        <v>0.47037800000000002</v>
      </c>
      <c r="E628" s="1">
        <v>0.127555</v>
      </c>
      <c r="F628" s="1"/>
      <c r="G628" s="1"/>
      <c r="H628" s="1"/>
    </row>
    <row r="629" spans="2:8" x14ac:dyDescent="0.25">
      <c r="B629" s="1">
        <v>216</v>
      </c>
      <c r="C629" s="1">
        <v>343.81099999999998</v>
      </c>
      <c r="D629" s="1">
        <v>0.46851999999999999</v>
      </c>
      <c r="E629" s="1">
        <v>0.122491</v>
      </c>
      <c r="F629" s="1"/>
      <c r="G629" s="1"/>
      <c r="H629" s="1"/>
    </row>
    <row r="630" spans="2:8" x14ac:dyDescent="0.25">
      <c r="B630" s="1">
        <v>217</v>
      </c>
      <c r="C630" s="1">
        <v>345.94299999999998</v>
      </c>
      <c r="D630" s="1">
        <v>0.46670400000000001</v>
      </c>
      <c r="E630" s="1">
        <v>0.117424</v>
      </c>
      <c r="F630" s="1"/>
      <c r="G630" s="1"/>
      <c r="H630" s="1"/>
    </row>
    <row r="631" spans="2:8" x14ac:dyDescent="0.25">
      <c r="B631" s="1">
        <v>218</v>
      </c>
      <c r="C631" s="1">
        <v>348.07600000000002</v>
      </c>
      <c r="D631" s="1">
        <v>0.46493200000000001</v>
      </c>
      <c r="E631" s="1">
        <v>0.112357</v>
      </c>
      <c r="F631" s="1"/>
      <c r="G631" s="1"/>
      <c r="H631" s="1"/>
    </row>
    <row r="632" spans="2:8" x14ac:dyDescent="0.25">
      <c r="B632" s="1">
        <v>219</v>
      </c>
      <c r="C632" s="1">
        <v>350.20800000000003</v>
      </c>
      <c r="D632" s="1">
        <v>0.46320699999999998</v>
      </c>
      <c r="E632" s="1">
        <v>0.10728799999999999</v>
      </c>
      <c r="F632" s="1"/>
      <c r="G632" s="1"/>
      <c r="H632" s="1"/>
    </row>
    <row r="633" spans="2:8" x14ac:dyDescent="0.25">
      <c r="B633" s="1">
        <v>220</v>
      </c>
      <c r="C633" s="1">
        <v>352.34</v>
      </c>
      <c r="D633" s="1">
        <v>0.46153300000000003</v>
      </c>
      <c r="E633" s="1">
        <v>0.102217</v>
      </c>
      <c r="F633" s="1"/>
      <c r="G633" s="1"/>
      <c r="H633" s="1"/>
    </row>
    <row r="634" spans="2:8" x14ac:dyDescent="0.25">
      <c r="B634" s="1">
        <v>221</v>
      </c>
      <c r="C634" s="1">
        <v>354.47199999999998</v>
      </c>
      <c r="D634" s="1">
        <v>0.45991199999999999</v>
      </c>
      <c r="E634" s="1">
        <v>9.7141900000000003E-2</v>
      </c>
      <c r="F634" s="1"/>
      <c r="G634" s="1"/>
      <c r="H634" s="1"/>
    </row>
    <row r="635" spans="2:8" x14ac:dyDescent="0.25">
      <c r="B635" s="1">
        <v>222</v>
      </c>
      <c r="C635" s="1">
        <v>356.60500000000002</v>
      </c>
      <c r="D635" s="1">
        <v>0.45834599999999998</v>
      </c>
      <c r="E635" s="1">
        <v>9.2063599999999995E-2</v>
      </c>
      <c r="F635" s="1"/>
      <c r="G635" s="1"/>
      <c r="H635" s="1"/>
    </row>
    <row r="636" spans="2:8" x14ac:dyDescent="0.25">
      <c r="B636" s="1">
        <v>223</v>
      </c>
      <c r="C636" s="1">
        <v>358.73700000000002</v>
      </c>
      <c r="D636" s="1">
        <v>0.45684000000000002</v>
      </c>
      <c r="E636" s="1">
        <v>8.6981100000000006E-2</v>
      </c>
      <c r="F636" s="1"/>
      <c r="G636" s="1"/>
      <c r="H636" s="1"/>
    </row>
    <row r="637" spans="2:8" x14ac:dyDescent="0.25">
      <c r="B637" s="1">
        <v>224</v>
      </c>
      <c r="C637" s="1">
        <v>360.87</v>
      </c>
      <c r="D637" s="1">
        <v>0.45539299999999999</v>
      </c>
      <c r="E637" s="1">
        <v>8.1894099999999997E-2</v>
      </c>
      <c r="F637" s="1"/>
      <c r="G637" s="1"/>
      <c r="H637" s="1"/>
    </row>
    <row r="638" spans="2:8" x14ac:dyDescent="0.25">
      <c r="B638" s="1">
        <v>225</v>
      </c>
      <c r="C638" s="1">
        <v>363.00299999999999</v>
      </c>
      <c r="D638" s="1">
        <v>0.454009</v>
      </c>
      <c r="E638" s="1">
        <v>7.6802700000000002E-2</v>
      </c>
      <c r="F638" s="1"/>
      <c r="G638" s="1"/>
      <c r="H638" s="1"/>
    </row>
    <row r="639" spans="2:8" x14ac:dyDescent="0.25">
      <c r="B639" s="1">
        <v>226</v>
      </c>
      <c r="C639" s="1">
        <v>365.13600000000002</v>
      </c>
      <c r="D639" s="1">
        <v>0.45269199999999998</v>
      </c>
      <c r="E639" s="1">
        <v>7.1706400000000003E-2</v>
      </c>
      <c r="F639" s="1"/>
      <c r="G639" s="1"/>
      <c r="H639" s="1"/>
    </row>
    <row r="640" spans="2:8" x14ac:dyDescent="0.25">
      <c r="B640" s="1">
        <v>227</v>
      </c>
      <c r="C640" s="1">
        <v>367.26900000000001</v>
      </c>
      <c r="D640" s="1">
        <v>0.45144499999999999</v>
      </c>
      <c r="E640" s="1">
        <v>6.6604899999999995E-2</v>
      </c>
      <c r="F640" s="1"/>
      <c r="G640" s="1"/>
      <c r="H640" s="1"/>
    </row>
    <row r="641" spans="1:8" x14ac:dyDescent="0.25">
      <c r="B641" s="1">
        <v>228</v>
      </c>
      <c r="C641" s="1">
        <v>369.40199999999999</v>
      </c>
      <c r="D641" s="1">
        <v>0.45027099999999998</v>
      </c>
      <c r="E641" s="1">
        <v>6.1497499999999997E-2</v>
      </c>
      <c r="F641" s="1"/>
      <c r="G641" s="1"/>
      <c r="H641" s="1"/>
    </row>
    <row r="642" spans="1:8" x14ac:dyDescent="0.25">
      <c r="B642" s="1">
        <v>229</v>
      </c>
      <c r="C642" s="1">
        <v>371.53500000000003</v>
      </c>
      <c r="D642" s="1">
        <v>0.44917400000000002</v>
      </c>
      <c r="E642" s="1">
        <v>5.6384200000000002E-2</v>
      </c>
      <c r="F642" s="1"/>
      <c r="G642" s="1"/>
      <c r="H642" s="1"/>
    </row>
    <row r="643" spans="1:8" x14ac:dyDescent="0.25">
      <c r="B643" s="1">
        <v>230</v>
      </c>
      <c r="C643" s="1">
        <v>373.66800000000001</v>
      </c>
      <c r="D643" s="1">
        <v>0.44815500000000003</v>
      </c>
      <c r="E643" s="1">
        <v>5.1265600000000001E-2</v>
      </c>
      <c r="F643" s="1"/>
      <c r="G643" s="1"/>
      <c r="H643" s="1"/>
    </row>
    <row r="644" spans="1:8" x14ac:dyDescent="0.25">
      <c r="B644" s="1">
        <v>231</v>
      </c>
      <c r="C644" s="1">
        <v>375.80099999999999</v>
      </c>
      <c r="D644" s="1">
        <v>0.44721899999999998</v>
      </c>
      <c r="E644" s="1">
        <v>4.61424E-2</v>
      </c>
      <c r="F644" s="1"/>
      <c r="G644" s="1"/>
      <c r="H644" s="1"/>
    </row>
    <row r="645" spans="1:8" x14ac:dyDescent="0.25">
      <c r="B645" s="1">
        <v>232</v>
      </c>
      <c r="C645" s="1">
        <v>377.93400000000003</v>
      </c>
      <c r="D645" s="1">
        <v>0.44636799999999999</v>
      </c>
      <c r="E645" s="1">
        <v>4.1016200000000003E-2</v>
      </c>
      <c r="F645" s="1"/>
      <c r="G645" s="1"/>
      <c r="H645" s="1"/>
    </row>
    <row r="646" spans="1:8" x14ac:dyDescent="0.25">
      <c r="B646" s="1">
        <v>233</v>
      </c>
      <c r="C646" s="1">
        <v>380.06700000000001</v>
      </c>
      <c r="D646" s="1">
        <v>0.44560499999999997</v>
      </c>
      <c r="E646" s="1">
        <v>3.5888099999999999E-2</v>
      </c>
      <c r="F646" s="1"/>
      <c r="G646" s="1"/>
      <c r="H646" s="1"/>
    </row>
    <row r="647" spans="1:8" x14ac:dyDescent="0.25">
      <c r="B647" s="1">
        <v>234</v>
      </c>
      <c r="C647" s="1">
        <v>382.2</v>
      </c>
      <c r="D647" s="1">
        <v>0.444934</v>
      </c>
      <c r="E647" s="1">
        <v>3.0759600000000002E-2</v>
      </c>
      <c r="F647" s="1"/>
      <c r="G647" s="1"/>
      <c r="H647" s="1"/>
    </row>
    <row r="648" spans="1:8" x14ac:dyDescent="0.25">
      <c r="B648" s="1">
        <v>235</v>
      </c>
      <c r="C648" s="1">
        <v>384.33300000000003</v>
      </c>
      <c r="D648" s="1">
        <v>0.44435599999999997</v>
      </c>
      <c r="E648" s="1">
        <v>2.5631500000000002E-2</v>
      </c>
      <c r="F648" s="1"/>
      <c r="G648" s="1"/>
      <c r="H648" s="1"/>
    </row>
    <row r="649" spans="1:8" x14ac:dyDescent="0.25">
      <c r="B649" s="1">
        <v>236</v>
      </c>
      <c r="C649" s="1">
        <v>386.46600000000001</v>
      </c>
      <c r="D649" s="1">
        <v>0.44387799999999999</v>
      </c>
      <c r="E649" s="1">
        <v>2.05043E-2</v>
      </c>
      <c r="F649" s="1"/>
      <c r="G649" s="1"/>
      <c r="H649" s="1"/>
    </row>
    <row r="650" spans="1:8" x14ac:dyDescent="0.25">
      <c r="B650" s="1">
        <v>237</v>
      </c>
      <c r="C650" s="1">
        <v>388.6</v>
      </c>
      <c r="D650" s="1">
        <v>0.44350000000000001</v>
      </c>
      <c r="E650" s="1">
        <v>1.53778E-2</v>
      </c>
      <c r="F650" s="1"/>
      <c r="G650" s="1"/>
      <c r="H650" s="1"/>
    </row>
    <row r="651" spans="1:8" x14ac:dyDescent="0.25">
      <c r="B651" s="1">
        <v>238</v>
      </c>
      <c r="C651" s="1">
        <v>390.733</v>
      </c>
      <c r="D651" s="1">
        <v>0.44322800000000001</v>
      </c>
      <c r="E651" s="1">
        <v>1.0251700000000001E-2</v>
      </c>
      <c r="F651" s="1"/>
      <c r="G651" s="1"/>
      <c r="H651" s="1"/>
    </row>
    <row r="652" spans="1:8" x14ac:dyDescent="0.25">
      <c r="B652" s="1">
        <v>239</v>
      </c>
      <c r="C652" s="1">
        <v>392.86700000000002</v>
      </c>
      <c r="D652" s="1">
        <v>0.44306299999999998</v>
      </c>
      <c r="E652" s="1">
        <v>5.1258500000000004E-3</v>
      </c>
      <c r="F652" s="1"/>
      <c r="G652" s="1"/>
      <c r="H652" s="1"/>
    </row>
    <row r="653" spans="1:8" x14ac:dyDescent="0.25">
      <c r="B653" s="1">
        <v>240</v>
      </c>
      <c r="C653" s="1">
        <v>395</v>
      </c>
      <c r="D653" s="1">
        <v>0.44300800000000001</v>
      </c>
      <c r="E653" s="1">
        <v>0</v>
      </c>
      <c r="F653" s="1"/>
      <c r="G653" s="1"/>
      <c r="H653" s="1"/>
    </row>
    <row r="654" spans="1:8" x14ac:dyDescent="0.25">
      <c r="B654" s="1"/>
      <c r="C654" s="1"/>
      <c r="D654" s="1"/>
      <c r="E654" s="1"/>
      <c r="F654" s="1"/>
      <c r="G654" s="1"/>
      <c r="H654" s="1"/>
    </row>
    <row r="655" spans="1:8" x14ac:dyDescent="0.25">
      <c r="B655" s="1"/>
      <c r="C655" s="1"/>
      <c r="D655" s="1"/>
      <c r="E655" s="1"/>
      <c r="F655" s="1"/>
      <c r="G655" s="1"/>
      <c r="H655" s="1"/>
    </row>
    <row r="656" spans="1:8" x14ac:dyDescent="0.25">
      <c r="A656">
        <v>6</v>
      </c>
      <c r="B656" s="1" t="s">
        <v>397</v>
      </c>
      <c r="C656" s="1" t="s">
        <v>36</v>
      </c>
      <c r="D656" s="1" t="s">
        <v>296</v>
      </c>
      <c r="E656" s="1" t="s">
        <v>274</v>
      </c>
      <c r="F656" s="1"/>
      <c r="G656" s="1"/>
      <c r="H656" s="1"/>
    </row>
    <row r="657" spans="1:8" x14ac:dyDescent="0.25">
      <c r="B657" s="1"/>
      <c r="C657" s="1"/>
      <c r="D657" s="1"/>
      <c r="E657" s="1"/>
      <c r="F657" s="1"/>
      <c r="G657" s="1"/>
      <c r="H657" s="1"/>
    </row>
    <row r="658" spans="1:8" x14ac:dyDescent="0.25">
      <c r="A658" t="s">
        <v>398</v>
      </c>
      <c r="B658" s="1" t="s">
        <v>36</v>
      </c>
      <c r="C658" s="1" t="s">
        <v>393</v>
      </c>
      <c r="D658" s="1" t="s">
        <v>117</v>
      </c>
      <c r="E658" s="1"/>
      <c r="F658" s="1"/>
      <c r="G658" s="1"/>
      <c r="H658" s="1"/>
    </row>
    <row r="659" spans="1:8" x14ac:dyDescent="0.25">
      <c r="B659" s="1" t="s">
        <v>392</v>
      </c>
      <c r="C659" s="1" t="s">
        <v>399</v>
      </c>
      <c r="D659" s="1" t="s">
        <v>400</v>
      </c>
      <c r="E659" s="1" t="s">
        <v>401</v>
      </c>
      <c r="F659" s="1" t="s">
        <v>402</v>
      </c>
      <c r="G659" s="1" t="s">
        <v>403</v>
      </c>
      <c r="H659" s="1" t="s">
        <v>404</v>
      </c>
    </row>
    <row r="660" spans="1:8" x14ac:dyDescent="0.25">
      <c r="B660" s="1">
        <v>0.110599</v>
      </c>
      <c r="C660" s="1">
        <v>5.4862600000000001E-6</v>
      </c>
      <c r="D660" s="1">
        <v>-0.32327699999999998</v>
      </c>
      <c r="E660" s="1">
        <v>6.6715899999999996E-4</v>
      </c>
      <c r="F660" s="1">
        <v>9.4094399999999995E-6</v>
      </c>
      <c r="G660" s="1">
        <v>0.32248199999999999</v>
      </c>
      <c r="H660" s="1">
        <v>-1.13719E-4</v>
      </c>
    </row>
    <row r="661" spans="1:8" x14ac:dyDescent="0.25">
      <c r="B661" s="1">
        <v>0.33559099999999997</v>
      </c>
      <c r="C661" s="1">
        <v>8.7707599999999994E-5</v>
      </c>
      <c r="D661" s="1">
        <v>-0.32141799999999998</v>
      </c>
      <c r="E661" s="1">
        <v>1.54816E-3</v>
      </c>
      <c r="F661" s="1">
        <v>1.4627999999999999E-4</v>
      </c>
      <c r="G661" s="1">
        <v>0.319635</v>
      </c>
      <c r="H661" s="1">
        <v>-2.3389799999999999E-7</v>
      </c>
    </row>
    <row r="662" spans="1:8" x14ac:dyDescent="0.25">
      <c r="B662" s="1">
        <v>0.56839200000000001</v>
      </c>
      <c r="C662" s="1">
        <v>4.0401100000000002E-4</v>
      </c>
      <c r="D662" s="1">
        <v>-0.32043500000000003</v>
      </c>
      <c r="E662" s="1">
        <v>2.0702799999999999E-3</v>
      </c>
      <c r="F662" s="1">
        <v>6.6364699999999996E-4</v>
      </c>
      <c r="G662" s="1">
        <v>0.31730999999999998</v>
      </c>
      <c r="H662" s="1">
        <v>1.3224800000000001E-5</v>
      </c>
    </row>
    <row r="663" spans="1:8" x14ac:dyDescent="0.25">
      <c r="B663" s="1">
        <v>0.80944199999999999</v>
      </c>
      <c r="C663" s="1">
        <v>1.1577899999999999E-3</v>
      </c>
      <c r="D663" s="1">
        <v>-0.31984600000000002</v>
      </c>
      <c r="E663" s="1">
        <v>2.2412199999999999E-3</v>
      </c>
      <c r="F663" s="1">
        <v>1.87053E-3</v>
      </c>
      <c r="G663" s="1">
        <v>0.31460199999999999</v>
      </c>
      <c r="H663" s="1">
        <v>2.5984799999999999E-5</v>
      </c>
    </row>
    <row r="664" spans="1:8" x14ac:dyDescent="0.25">
      <c r="B664" s="1">
        <v>1.05918</v>
      </c>
      <c r="C664" s="1">
        <v>2.5973799999999998E-3</v>
      </c>
      <c r="D664" s="1">
        <v>-0.31937100000000002</v>
      </c>
      <c r="E664" s="1">
        <v>2.0713400000000001E-3</v>
      </c>
      <c r="F664" s="1">
        <v>4.1101699999999998E-3</v>
      </c>
      <c r="G664" s="1">
        <v>0.31062800000000002</v>
      </c>
      <c r="H664" s="1">
        <v>3.7167399999999999E-5</v>
      </c>
    </row>
    <row r="665" spans="1:8" x14ac:dyDescent="0.25">
      <c r="B665" s="1">
        <v>1.3180499999999999</v>
      </c>
      <c r="C665" s="1">
        <v>5.0172200000000002E-3</v>
      </c>
      <c r="D665" s="1">
        <v>-0.318716</v>
      </c>
      <c r="E665" s="1">
        <v>1.57336E-3</v>
      </c>
      <c r="F665" s="1">
        <v>7.7302300000000003E-3</v>
      </c>
      <c r="G665" s="1">
        <v>0.30444100000000002</v>
      </c>
      <c r="H665" s="1">
        <v>4.56074E-5</v>
      </c>
    </row>
    <row r="666" spans="1:8" x14ac:dyDescent="0.25">
      <c r="B666" s="1">
        <v>1.58649</v>
      </c>
      <c r="C666" s="1">
        <v>8.7549800000000007E-3</v>
      </c>
      <c r="D666" s="1">
        <v>-0.317583</v>
      </c>
      <c r="E666" s="1">
        <v>7.6205000000000001E-4</v>
      </c>
      <c r="F666" s="1">
        <v>1.3036499999999999E-2</v>
      </c>
      <c r="G666" s="1">
        <v>0.29507899999999998</v>
      </c>
      <c r="H666" s="1">
        <v>5.0054299999999999E-5</v>
      </c>
    </row>
    <row r="667" spans="1:8" x14ac:dyDescent="0.25">
      <c r="B667" s="1">
        <v>1.86496</v>
      </c>
      <c r="C667" s="1">
        <v>1.4183400000000001E-2</v>
      </c>
      <c r="D667" s="1">
        <v>-0.31568600000000002</v>
      </c>
      <c r="E667" s="1">
        <v>-3.4598799999999998E-4</v>
      </c>
      <c r="F667" s="1">
        <v>2.02338E-2</v>
      </c>
      <c r="G667" s="1">
        <v>0.28166400000000003</v>
      </c>
      <c r="H667" s="1">
        <v>4.9506999999999999E-5</v>
      </c>
    </row>
    <row r="668" spans="1:8" x14ac:dyDescent="0.25">
      <c r="B668" s="1">
        <v>2.15388</v>
      </c>
      <c r="C668" s="1">
        <v>2.1695800000000001E-2</v>
      </c>
      <c r="D668" s="1">
        <v>-0.31278099999999998</v>
      </c>
      <c r="E668" s="1">
        <v>-1.7324899999999999E-3</v>
      </c>
      <c r="F668" s="1">
        <v>2.9362800000000001E-2</v>
      </c>
      <c r="G668" s="1">
        <v>0.26349899999999998</v>
      </c>
      <c r="H668" s="1">
        <v>4.35371E-5</v>
      </c>
    </row>
    <row r="669" spans="1:8" x14ac:dyDescent="0.25">
      <c r="B669" s="1">
        <v>2.4537100000000001</v>
      </c>
      <c r="C669" s="1">
        <v>3.1684799999999999E-2</v>
      </c>
      <c r="D669" s="1">
        <v>-0.308701</v>
      </c>
      <c r="E669" s="1">
        <v>-3.3776499999999998E-3</v>
      </c>
      <c r="F669" s="1">
        <v>4.0245299999999998E-2</v>
      </c>
      <c r="G669" s="1">
        <v>0.24018200000000001</v>
      </c>
      <c r="H669" s="1">
        <v>3.2681200000000001E-5</v>
      </c>
    </row>
    <row r="670" spans="1:8" x14ac:dyDescent="0.25">
      <c r="B670" s="1">
        <v>2.7648700000000002</v>
      </c>
      <c r="C670" s="1">
        <v>4.4514199999999997E-2</v>
      </c>
      <c r="D670" s="1">
        <v>-0.30337399999999998</v>
      </c>
      <c r="E670" s="1">
        <v>-5.2602999999999999E-3</v>
      </c>
      <c r="F670" s="1">
        <v>5.2449299999999997E-2</v>
      </c>
      <c r="G670" s="1">
        <v>0.21168999999999999</v>
      </c>
      <c r="H670" s="1">
        <v>1.8584500000000001E-5</v>
      </c>
    </row>
    <row r="671" spans="1:8" x14ac:dyDescent="0.25">
      <c r="B671" s="1">
        <v>3.0878100000000002</v>
      </c>
      <c r="C671" s="1">
        <v>6.0486100000000001E-2</v>
      </c>
      <c r="D671" s="1">
        <v>-0.29684700000000003</v>
      </c>
      <c r="E671" s="1">
        <v>-7.3580499999999997E-3</v>
      </c>
      <c r="F671" s="1">
        <v>6.5287700000000004E-2</v>
      </c>
      <c r="G671" s="1">
        <v>0.17843500000000001</v>
      </c>
      <c r="H671" s="1">
        <v>3.8854000000000001E-6</v>
      </c>
    </row>
    <row r="672" spans="1:8" x14ac:dyDescent="0.25">
      <c r="B672" s="1">
        <v>3.4229500000000002</v>
      </c>
      <c r="C672" s="1">
        <v>7.9805299999999996E-2</v>
      </c>
      <c r="D672" s="1">
        <v>-0.28928399999999999</v>
      </c>
      <c r="E672" s="1">
        <v>-9.6474799999999999E-3</v>
      </c>
      <c r="F672" s="1">
        <v>7.7855999999999995E-2</v>
      </c>
      <c r="G672" s="1">
        <v>0.141262</v>
      </c>
      <c r="H672" s="1">
        <v>-7.8770900000000005E-6</v>
      </c>
    </row>
    <row r="673" spans="2:8" x14ac:dyDescent="0.25">
      <c r="B673" s="1">
        <v>3.7707299999999999</v>
      </c>
      <c r="C673" s="1">
        <v>0.102544</v>
      </c>
      <c r="D673" s="1">
        <v>-0.28095700000000001</v>
      </c>
      <c r="E673" s="1">
        <v>-1.2104500000000001E-2</v>
      </c>
      <c r="F673" s="1">
        <v>8.9107500000000006E-2</v>
      </c>
      <c r="G673" s="1">
        <v>0.101397</v>
      </c>
      <c r="H673" s="1">
        <v>-1.2944300000000001E-5</v>
      </c>
    </row>
    <row r="674" spans="2:8" x14ac:dyDescent="0.25">
      <c r="B674" s="1">
        <v>4.1315600000000003</v>
      </c>
      <c r="C674" s="1">
        <v>0.12861500000000001</v>
      </c>
      <c r="D674" s="1">
        <v>-0.27221299999999998</v>
      </c>
      <c r="E674" s="1">
        <v>-1.47043E-2</v>
      </c>
      <c r="F674" s="1">
        <v>9.79574E-2</v>
      </c>
      <c r="G674" s="1">
        <v>6.0336399999999998E-2</v>
      </c>
      <c r="H674" s="1">
        <v>-7.9354000000000003E-6</v>
      </c>
    </row>
    <row r="675" spans="2:8" x14ac:dyDescent="0.25">
      <c r="B675" s="1">
        <v>4.5058699999999998</v>
      </c>
      <c r="C675" s="1">
        <v>0.157749</v>
      </c>
      <c r="D675" s="1">
        <v>-0.263436</v>
      </c>
      <c r="E675" s="1">
        <v>-1.7422199999999999E-2</v>
      </c>
      <c r="F675" s="1">
        <v>0.10340199999999999</v>
      </c>
      <c r="G675" s="1">
        <v>1.97162E-2</v>
      </c>
      <c r="H675" s="1">
        <v>9.67515E-6</v>
      </c>
    </row>
    <row r="676" spans="2:8" x14ac:dyDescent="0.25">
      <c r="B676" s="1">
        <v>4.8940599999999996</v>
      </c>
      <c r="C676" s="1">
        <v>0.18948999999999999</v>
      </c>
      <c r="D676" s="1">
        <v>-0.25500099999999998</v>
      </c>
      <c r="E676" s="1">
        <v>-2.02338E-2</v>
      </c>
      <c r="F676" s="1">
        <v>0.10463500000000001</v>
      </c>
      <c r="G676" s="1">
        <v>-1.8848899999999998E-2</v>
      </c>
      <c r="H676" s="1">
        <v>4.09629E-5</v>
      </c>
    </row>
    <row r="677" spans="2:8" x14ac:dyDescent="0.25">
      <c r="B677" s="1">
        <v>5.2965299999999997</v>
      </c>
      <c r="C677" s="1">
        <v>0.22320300000000001</v>
      </c>
      <c r="D677" s="1">
        <v>-0.24723600000000001</v>
      </c>
      <c r="E677" s="1">
        <v>-2.3114800000000001E-2</v>
      </c>
      <c r="F677" s="1">
        <v>0.10113999999999999</v>
      </c>
      <c r="G677" s="1">
        <v>-5.3907499999999997E-2</v>
      </c>
      <c r="H677" s="1">
        <v>8.54174E-5</v>
      </c>
    </row>
    <row r="678" spans="2:8" x14ac:dyDescent="0.25">
      <c r="B678" s="1">
        <v>5.7136899999999997</v>
      </c>
      <c r="C678" s="1">
        <v>0.258108</v>
      </c>
      <c r="D678" s="1">
        <v>-0.24038799999999999</v>
      </c>
      <c r="E678" s="1">
        <v>-2.60418E-2</v>
      </c>
      <c r="F678" s="1">
        <v>9.2751899999999998E-2</v>
      </c>
      <c r="G678" s="1">
        <v>-8.4289500000000003E-2</v>
      </c>
      <c r="H678" s="1">
        <v>1.4101000000000001E-4</v>
      </c>
    </row>
    <row r="679" spans="2:8" x14ac:dyDescent="0.25">
      <c r="B679" s="1">
        <v>6.1459200000000003</v>
      </c>
      <c r="C679" s="1">
        <v>0.29331000000000002</v>
      </c>
      <c r="D679" s="1">
        <v>-0.234602</v>
      </c>
      <c r="E679" s="1">
        <v>-2.89921E-2</v>
      </c>
      <c r="F679" s="1">
        <v>7.9673400000000005E-2</v>
      </c>
      <c r="G679" s="1">
        <v>-0.109184</v>
      </c>
      <c r="H679" s="1">
        <v>2.0457900000000001E-4</v>
      </c>
    </row>
    <row r="680" spans="2:8" x14ac:dyDescent="0.25">
      <c r="B680" s="1">
        <v>6.59361</v>
      </c>
      <c r="C680" s="1">
        <v>0.32785700000000001</v>
      </c>
      <c r="D680" s="1">
        <v>-0.22991900000000001</v>
      </c>
      <c r="E680" s="1">
        <v>-3.1944199999999999E-2</v>
      </c>
      <c r="F680" s="1">
        <v>6.2450100000000001E-2</v>
      </c>
      <c r="G680" s="1">
        <v>-0.12817100000000001</v>
      </c>
      <c r="H680" s="1">
        <v>2.7223500000000001E-4</v>
      </c>
    </row>
    <row r="681" spans="2:8" x14ac:dyDescent="0.25">
      <c r="B681" s="1">
        <v>7.0571200000000003</v>
      </c>
      <c r="C681" s="1">
        <v>0.36080000000000001</v>
      </c>
      <c r="D681" s="1">
        <v>-0.22628400000000001</v>
      </c>
      <c r="E681" s="1">
        <v>-3.4876900000000002E-2</v>
      </c>
      <c r="F681" s="1">
        <v>4.1909399999999999E-2</v>
      </c>
      <c r="G681" s="1">
        <v>-0.141209</v>
      </c>
      <c r="H681" s="1">
        <v>3.39988E-4</v>
      </c>
    </row>
    <row r="682" spans="2:8" x14ac:dyDescent="0.25">
      <c r="B682" s="1">
        <v>7.53681</v>
      </c>
      <c r="C682" s="1">
        <v>0.39124599999999998</v>
      </c>
      <c r="D682" s="1">
        <v>-0.22355700000000001</v>
      </c>
      <c r="E682" s="1">
        <v>-3.7770600000000001E-2</v>
      </c>
      <c r="F682" s="1">
        <v>1.9074399999999998E-2</v>
      </c>
      <c r="G682" s="1">
        <v>-0.148588</v>
      </c>
      <c r="H682" s="1">
        <v>4.0420199999999999E-4</v>
      </c>
    </row>
    <row r="683" spans="2:8" x14ac:dyDescent="0.25">
      <c r="B683" s="1">
        <v>8.0330399999999997</v>
      </c>
      <c r="C683" s="1">
        <v>0.41841099999999998</v>
      </c>
      <c r="D683" s="1">
        <v>-0.221549</v>
      </c>
      <c r="E683" s="1">
        <v>-4.0606499999999997E-2</v>
      </c>
      <c r="F683" s="1">
        <v>-4.9344499999999999E-3</v>
      </c>
      <c r="G683" s="1">
        <v>-0.15085899999999999</v>
      </c>
      <c r="H683" s="1">
        <v>4.6209799999999998E-4</v>
      </c>
    </row>
    <row r="684" spans="2:8" x14ac:dyDescent="0.25">
      <c r="B684" s="1">
        <v>8.5461399999999994</v>
      </c>
      <c r="C684" s="1">
        <v>0.44166499999999997</v>
      </c>
      <c r="D684" s="1">
        <v>-0.22003700000000001</v>
      </c>
      <c r="E684" s="1">
        <v>-4.33669E-2</v>
      </c>
      <c r="F684" s="1">
        <v>-2.8995799999999999E-2</v>
      </c>
      <c r="G684" s="1">
        <v>-0.148753</v>
      </c>
      <c r="H684" s="1">
        <v>5.1194999999999995E-4</v>
      </c>
    </row>
    <row r="685" spans="2:8" x14ac:dyDescent="0.25">
      <c r="B685" s="1">
        <v>9.0764700000000005</v>
      </c>
      <c r="C685" s="1">
        <v>0.46055400000000002</v>
      </c>
      <c r="D685" s="1">
        <v>-0.21879499999999999</v>
      </c>
      <c r="E685" s="1">
        <v>-4.6035800000000002E-2</v>
      </c>
      <c r="F685" s="1">
        <v>-5.2072899999999998E-2</v>
      </c>
      <c r="G685" s="1">
        <v>-0.143099</v>
      </c>
      <c r="H685" s="1">
        <v>5.5288699999999995E-4</v>
      </c>
    </row>
    <row r="686" spans="2:8" x14ac:dyDescent="0.25">
      <c r="B686" s="1">
        <v>9.6243300000000005</v>
      </c>
      <c r="C686" s="1">
        <v>0.47481899999999999</v>
      </c>
      <c r="D686" s="1">
        <v>-0.217611</v>
      </c>
      <c r="E686" s="1">
        <v>-4.8598599999999999E-2</v>
      </c>
      <c r="F686" s="1">
        <v>-7.3279499999999997E-2</v>
      </c>
      <c r="G686" s="1">
        <v>-0.134744</v>
      </c>
      <c r="H686" s="1">
        <v>5.8514799999999996E-4</v>
      </c>
    </row>
    <row r="687" spans="2:8" x14ac:dyDescent="0.25">
      <c r="B687" s="1">
        <v>10.19</v>
      </c>
      <c r="C687" s="1">
        <v>0.48438300000000001</v>
      </c>
      <c r="D687" s="1">
        <v>-0.216307</v>
      </c>
      <c r="E687" s="1">
        <v>-5.10426E-2</v>
      </c>
      <c r="F687" s="1">
        <v>-9.1922699999999996E-2</v>
      </c>
      <c r="G687" s="1">
        <v>-0.124503</v>
      </c>
      <c r="H687" s="1">
        <v>6.0960699999999997E-4</v>
      </c>
    </row>
    <row r="688" spans="2:8" x14ac:dyDescent="0.25">
      <c r="B688" s="1">
        <v>10.7738</v>
      </c>
      <c r="C688" s="1">
        <v>0.48934899999999998</v>
      </c>
      <c r="D688" s="1">
        <v>-0.21473800000000001</v>
      </c>
      <c r="E688" s="1">
        <v>-5.3357300000000003E-2</v>
      </c>
      <c r="F688" s="1">
        <v>-0.10752200000000001</v>
      </c>
      <c r="G688" s="1">
        <v>-0.113103</v>
      </c>
      <c r="H688" s="1">
        <v>6.2763300000000005E-4</v>
      </c>
    </row>
    <row r="689" spans="2:8" x14ac:dyDescent="0.25">
      <c r="B689" s="1">
        <v>11.375999999999999</v>
      </c>
      <c r="C689" s="1">
        <v>0.48996200000000001</v>
      </c>
      <c r="D689" s="1">
        <v>-0.212806</v>
      </c>
      <c r="E689" s="1">
        <v>-5.5533800000000001E-2</v>
      </c>
      <c r="F689" s="1">
        <v>-0.119812</v>
      </c>
      <c r="G689" s="1">
        <v>-0.10117</v>
      </c>
      <c r="H689" s="1">
        <v>6.4081100000000003E-4</v>
      </c>
    </row>
    <row r="690" spans="2:8" x14ac:dyDescent="0.25">
      <c r="B690" s="1">
        <v>11.9969</v>
      </c>
      <c r="C690" s="1">
        <v>0.48658499999999999</v>
      </c>
      <c r="D690" s="1">
        <v>-0.21045</v>
      </c>
      <c r="E690" s="1">
        <v>-5.7565699999999997E-2</v>
      </c>
      <c r="F690" s="1">
        <v>-0.128714</v>
      </c>
      <c r="G690" s="1">
        <v>-8.9204500000000006E-2</v>
      </c>
      <c r="H690" s="1">
        <v>6.50553E-4</v>
      </c>
    </row>
    <row r="691" spans="2:8" x14ac:dyDescent="0.25">
      <c r="B691" s="1">
        <v>12.636699999999999</v>
      </c>
      <c r="C691" s="1">
        <v>0.47966199999999998</v>
      </c>
      <c r="D691" s="1">
        <v>-0.207645</v>
      </c>
      <c r="E691" s="1">
        <v>-5.9448599999999997E-2</v>
      </c>
      <c r="F691" s="1">
        <v>-0.13431899999999999</v>
      </c>
      <c r="G691" s="1">
        <v>-7.7590500000000007E-2</v>
      </c>
      <c r="H691" s="1">
        <v>6.58279E-4</v>
      </c>
    </row>
    <row r="692" spans="2:8" x14ac:dyDescent="0.25">
      <c r="B692" s="1">
        <v>13.2956</v>
      </c>
      <c r="C692" s="1">
        <v>0.46968799999999999</v>
      </c>
      <c r="D692" s="1">
        <v>-0.20439199999999999</v>
      </c>
      <c r="E692" s="1">
        <v>-6.1179900000000002E-2</v>
      </c>
      <c r="F692" s="1">
        <v>-0.136848</v>
      </c>
      <c r="G692" s="1">
        <v>-6.6603700000000002E-2</v>
      </c>
      <c r="H692" s="1">
        <v>6.6491399999999996E-4</v>
      </c>
    </row>
    <row r="693" spans="2:8" x14ac:dyDescent="0.25">
      <c r="B693" s="1">
        <v>13.9741</v>
      </c>
      <c r="C693" s="1">
        <v>0.457177</v>
      </c>
      <c r="D693" s="1">
        <v>-0.200715</v>
      </c>
      <c r="E693" s="1">
        <v>-6.2759300000000004E-2</v>
      </c>
      <c r="F693" s="1">
        <v>-0.13660700000000001</v>
      </c>
      <c r="G693" s="1">
        <v>-5.6425200000000002E-2</v>
      </c>
      <c r="H693" s="1">
        <v>6.7113800000000005E-4</v>
      </c>
    </row>
    <row r="694" spans="2:8" x14ac:dyDescent="0.25">
      <c r="B694" s="1">
        <v>14.672000000000001</v>
      </c>
      <c r="C694" s="1">
        <v>0.442637</v>
      </c>
      <c r="D694" s="1">
        <v>-0.19664899999999999</v>
      </c>
      <c r="E694" s="1">
        <v>-6.4187999999999995E-2</v>
      </c>
      <c r="F694" s="1">
        <v>-0.133963</v>
      </c>
      <c r="G694" s="1">
        <v>-4.7159399999999997E-2</v>
      </c>
      <c r="H694" s="1">
        <v>6.7741299999999997E-4</v>
      </c>
    </row>
    <row r="695" spans="2:8" x14ac:dyDescent="0.25">
      <c r="B695" s="1">
        <v>15.389900000000001</v>
      </c>
      <c r="C695" s="1">
        <v>0.42655199999999999</v>
      </c>
      <c r="D695" s="1">
        <v>-0.192241</v>
      </c>
      <c r="E695" s="1">
        <v>-6.5469100000000002E-2</v>
      </c>
      <c r="F695" s="1">
        <v>-0.12930800000000001</v>
      </c>
      <c r="G695" s="1">
        <v>-3.8851200000000002E-2</v>
      </c>
      <c r="H695" s="1">
        <v>6.83605E-4</v>
      </c>
    </row>
    <row r="696" spans="2:8" x14ac:dyDescent="0.25">
      <c r="B696" s="1">
        <v>16.127800000000001</v>
      </c>
      <c r="C696" s="1">
        <v>0.40936600000000001</v>
      </c>
      <c r="D696" s="1">
        <v>-0.18753400000000001</v>
      </c>
      <c r="E696" s="1">
        <v>-6.6606600000000002E-2</v>
      </c>
      <c r="F696" s="1">
        <v>-0.12303500000000001</v>
      </c>
      <c r="G696" s="1">
        <v>-3.1500599999999997E-2</v>
      </c>
      <c r="H696" s="1">
        <v>6.8945400000000004E-4</v>
      </c>
    </row>
    <row r="697" spans="2:8" x14ac:dyDescent="0.25">
      <c r="B697" s="1">
        <v>16.8858</v>
      </c>
      <c r="C697" s="1">
        <v>0.39147500000000002</v>
      </c>
      <c r="D697" s="1">
        <v>-0.18257799999999999</v>
      </c>
      <c r="E697" s="1">
        <v>-6.7606100000000002E-2</v>
      </c>
      <c r="F697" s="1">
        <v>-0.115521</v>
      </c>
      <c r="G697" s="1">
        <v>-2.5075699999999999E-2</v>
      </c>
      <c r="H697" s="1">
        <v>6.9460500000000005E-4</v>
      </c>
    </row>
    <row r="698" spans="2:8" x14ac:dyDescent="0.25">
      <c r="B698" s="1">
        <v>17.664200000000001</v>
      </c>
      <c r="C698" s="1">
        <v>0.373224</v>
      </c>
      <c r="D698" s="1">
        <v>-0.17741799999999999</v>
      </c>
      <c r="E698" s="1">
        <v>-6.8473400000000004E-2</v>
      </c>
      <c r="F698" s="1">
        <v>-0.107112</v>
      </c>
      <c r="G698" s="1">
        <v>-1.9521699999999999E-2</v>
      </c>
      <c r="H698" s="1">
        <v>6.9862099999999996E-4</v>
      </c>
    </row>
    <row r="699" spans="2:8" x14ac:dyDescent="0.25">
      <c r="B699" s="1">
        <v>18.463000000000001</v>
      </c>
      <c r="C699" s="1">
        <v>0.35490100000000002</v>
      </c>
      <c r="D699" s="1">
        <v>-0.172094</v>
      </c>
      <c r="E699" s="1">
        <v>-6.9214600000000001E-2</v>
      </c>
      <c r="F699" s="1">
        <v>-9.8122200000000007E-2</v>
      </c>
      <c r="G699" s="1">
        <v>-1.47689E-2</v>
      </c>
      <c r="H699" s="1">
        <v>7.01543E-4</v>
      </c>
    </row>
    <row r="700" spans="2:8" x14ac:dyDescent="0.25">
      <c r="B700" s="1">
        <v>19.282499999999999</v>
      </c>
      <c r="C700" s="1">
        <v>0.33674700000000002</v>
      </c>
      <c r="D700" s="1">
        <v>-0.16664899999999999</v>
      </c>
      <c r="E700" s="1">
        <v>-6.9835300000000003E-2</v>
      </c>
      <c r="F700" s="1">
        <v>-8.8819400000000007E-2</v>
      </c>
      <c r="G700" s="1">
        <v>-1.07402E-2</v>
      </c>
      <c r="H700" s="1">
        <v>7.0295000000000004E-4</v>
      </c>
    </row>
    <row r="701" spans="2:8" x14ac:dyDescent="0.25">
      <c r="B701" s="1">
        <v>20.122599999999998</v>
      </c>
      <c r="C701" s="1">
        <v>0.31895099999999998</v>
      </c>
      <c r="D701" s="1">
        <v>-0.16111800000000001</v>
      </c>
      <c r="E701" s="1">
        <v>-7.0340799999999995E-2</v>
      </c>
      <c r="F701" s="1">
        <v>-7.9432199999999994E-2</v>
      </c>
      <c r="G701" s="1">
        <v>-7.3574699999999996E-3</v>
      </c>
      <c r="H701" s="1">
        <v>7.0242500000000001E-4</v>
      </c>
    </row>
    <row r="702" spans="2:8" x14ac:dyDescent="0.25">
      <c r="B702" s="1">
        <v>20.983699999999999</v>
      </c>
      <c r="C702" s="1">
        <v>0.30166500000000002</v>
      </c>
      <c r="D702" s="1">
        <v>-0.15553700000000001</v>
      </c>
      <c r="E702" s="1">
        <v>-7.0735400000000004E-2</v>
      </c>
      <c r="F702" s="1">
        <v>-7.0145700000000005E-2</v>
      </c>
      <c r="G702" s="1">
        <v>-4.5457500000000003E-3</v>
      </c>
      <c r="H702" s="1">
        <v>7.0033499999999995E-4</v>
      </c>
    </row>
    <row r="703" spans="2:8" x14ac:dyDescent="0.25">
      <c r="B703" s="1">
        <v>21.865600000000001</v>
      </c>
      <c r="C703" s="1">
        <v>0.28499600000000003</v>
      </c>
      <c r="D703" s="1">
        <v>-0.14993500000000001</v>
      </c>
      <c r="E703" s="1">
        <v>-7.1022299999999997E-2</v>
      </c>
      <c r="F703" s="1">
        <v>-6.1108099999999999E-2</v>
      </c>
      <c r="G703" s="1">
        <v>-2.2333499999999998E-3</v>
      </c>
      <c r="H703" s="1">
        <v>6.9724399999999997E-4</v>
      </c>
    </row>
    <row r="704" spans="2:8" x14ac:dyDescent="0.25">
      <c r="B704" s="1">
        <v>22.768599999999999</v>
      </c>
      <c r="C704" s="1">
        <v>0.26902700000000002</v>
      </c>
      <c r="D704" s="1">
        <v>-0.144342</v>
      </c>
      <c r="E704" s="1">
        <v>-7.1204100000000006E-2</v>
      </c>
      <c r="F704" s="1">
        <v>-5.2437299999999999E-2</v>
      </c>
      <c r="G704" s="1">
        <v>-3.5170299999999998E-4</v>
      </c>
      <c r="H704" s="1">
        <v>6.9261300000000002E-4</v>
      </c>
    </row>
    <row r="705" spans="2:8" x14ac:dyDescent="0.25">
      <c r="B705" s="1">
        <v>23.692599999999999</v>
      </c>
      <c r="C705" s="1">
        <v>0.25380999999999998</v>
      </c>
      <c r="D705" s="1">
        <v>-0.13878299999999999</v>
      </c>
      <c r="E705" s="1">
        <v>-7.1282300000000007E-2</v>
      </c>
      <c r="F705" s="1">
        <v>-4.4223100000000001E-2</v>
      </c>
      <c r="G705" s="1">
        <v>1.16417E-3</v>
      </c>
      <c r="H705" s="1">
        <v>6.8647900000000004E-4</v>
      </c>
    </row>
    <row r="706" spans="2:8" x14ac:dyDescent="0.25">
      <c r="B706" s="1">
        <v>24.637699999999999</v>
      </c>
      <c r="C706" s="1">
        <v>0.23937600000000001</v>
      </c>
      <c r="D706" s="1">
        <v>-0.13328000000000001</v>
      </c>
      <c r="E706" s="1">
        <v>-7.1258100000000005E-2</v>
      </c>
      <c r="F706" s="1">
        <v>-3.6529899999999997E-2</v>
      </c>
      <c r="G706" s="1">
        <v>2.3715199999999998E-3</v>
      </c>
      <c r="H706" s="1">
        <v>6.7946200000000003E-4</v>
      </c>
    </row>
    <row r="707" spans="2:8" x14ac:dyDescent="0.25">
      <c r="B707" s="1">
        <v>25.6038</v>
      </c>
      <c r="C707" s="1">
        <v>0.22573699999999999</v>
      </c>
      <c r="D707" s="1">
        <v>-0.12785299999999999</v>
      </c>
      <c r="E707" s="1">
        <v>-7.1132600000000004E-2</v>
      </c>
      <c r="F707" s="1">
        <v>-2.9397900000000001E-2</v>
      </c>
      <c r="G707" s="1">
        <v>3.31753E-3</v>
      </c>
      <c r="H707" s="1">
        <v>6.7147400000000003E-4</v>
      </c>
    </row>
    <row r="708" spans="2:8" x14ac:dyDescent="0.25">
      <c r="B708" s="1">
        <v>26.591200000000001</v>
      </c>
      <c r="C708" s="1">
        <v>0.212891</v>
      </c>
      <c r="D708" s="1">
        <v>-0.122515</v>
      </c>
      <c r="E708" s="1">
        <v>-7.0907100000000001E-2</v>
      </c>
      <c r="F708" s="1">
        <v>-2.2845299999999999E-2</v>
      </c>
      <c r="G708" s="1">
        <v>4.0404899999999999E-3</v>
      </c>
      <c r="H708" s="1">
        <v>6.6322899999999999E-4</v>
      </c>
    </row>
    <row r="709" spans="2:8" x14ac:dyDescent="0.25">
      <c r="B709" s="1">
        <v>27.599599999999999</v>
      </c>
      <c r="C709" s="1">
        <v>0.200823</v>
      </c>
      <c r="D709" s="1">
        <v>-0.117282</v>
      </c>
      <c r="E709" s="1">
        <v>-7.0583400000000004E-2</v>
      </c>
      <c r="F709" s="1">
        <v>-1.6874799999999999E-2</v>
      </c>
      <c r="G709" s="1">
        <v>4.5731399999999998E-3</v>
      </c>
      <c r="H709" s="1">
        <v>6.5547499999999998E-4</v>
      </c>
    </row>
    <row r="710" spans="2:8" x14ac:dyDescent="0.25">
      <c r="B710" s="1">
        <v>28.629200000000001</v>
      </c>
      <c r="C710" s="1">
        <v>0.18951200000000001</v>
      </c>
      <c r="D710" s="1">
        <v>-0.112166</v>
      </c>
      <c r="E710" s="1">
        <v>-7.0163799999999998E-2</v>
      </c>
      <c r="F710" s="1">
        <v>-1.14783E-2</v>
      </c>
      <c r="G710" s="1">
        <v>4.9441099999999998E-3</v>
      </c>
      <c r="H710" s="1">
        <v>6.4849899999999997E-4</v>
      </c>
    </row>
    <row r="711" spans="2:8" x14ac:dyDescent="0.25">
      <c r="B711" s="1">
        <v>29.6798</v>
      </c>
      <c r="C711" s="1">
        <v>0.17893300000000001</v>
      </c>
      <c r="D711" s="1">
        <v>-0.107178</v>
      </c>
      <c r="E711" s="1">
        <v>-6.9650500000000004E-2</v>
      </c>
      <c r="F711" s="1">
        <v>-6.6396600000000004E-3</v>
      </c>
      <c r="G711" s="1">
        <v>5.1764899999999997E-3</v>
      </c>
      <c r="H711" s="1">
        <v>6.4215300000000002E-4</v>
      </c>
    </row>
    <row r="712" spans="2:8" x14ac:dyDescent="0.25">
      <c r="B712" s="1">
        <v>30.7516</v>
      </c>
      <c r="C712" s="1">
        <v>0.16905600000000001</v>
      </c>
      <c r="D712" s="1">
        <v>-0.102326</v>
      </c>
      <c r="E712" s="1">
        <v>-6.9046200000000002E-2</v>
      </c>
      <c r="F712" s="1">
        <v>-2.3354500000000002E-3</v>
      </c>
      <c r="G712" s="1">
        <v>5.2879600000000004E-3</v>
      </c>
      <c r="H712" s="1">
        <v>6.3625699999999999E-4</v>
      </c>
    </row>
    <row r="713" spans="2:8" x14ac:dyDescent="0.25">
      <c r="B713" s="1">
        <v>31.8443</v>
      </c>
      <c r="C713" s="1">
        <v>0.15984899999999999</v>
      </c>
      <c r="D713" s="1">
        <v>-9.7618700000000003E-2</v>
      </c>
      <c r="E713" s="1">
        <v>-6.8353700000000003E-2</v>
      </c>
      <c r="F713" s="1">
        <v>1.4644899999999999E-3</v>
      </c>
      <c r="G713" s="1">
        <v>5.2896499999999999E-3</v>
      </c>
      <c r="H713" s="1">
        <v>6.3073800000000005E-4</v>
      </c>
    </row>
    <row r="714" spans="2:8" x14ac:dyDescent="0.25">
      <c r="B714" s="1">
        <v>32.957999999999998</v>
      </c>
      <c r="C714" s="1">
        <v>0.15128</v>
      </c>
      <c r="D714" s="1">
        <v>-9.3061000000000005E-2</v>
      </c>
      <c r="E714" s="1">
        <v>-6.7576300000000006E-2</v>
      </c>
      <c r="F714" s="1">
        <v>4.7940200000000004E-3</v>
      </c>
      <c r="G714" s="1">
        <v>5.1879500000000002E-3</v>
      </c>
      <c r="H714" s="1">
        <v>6.2533900000000004E-4</v>
      </c>
    </row>
    <row r="715" spans="2:8" x14ac:dyDescent="0.25">
      <c r="B715" s="1">
        <v>34.092599999999997</v>
      </c>
      <c r="C715" s="1">
        <v>0.14332</v>
      </c>
      <c r="D715" s="1">
        <v>-8.8658399999999998E-2</v>
      </c>
      <c r="E715" s="1">
        <v>-6.6718200000000005E-2</v>
      </c>
      <c r="F715" s="1">
        <v>7.6842000000000004E-3</v>
      </c>
      <c r="G715" s="1">
        <v>4.9922600000000001E-3</v>
      </c>
      <c r="H715" s="1">
        <v>6.1967399999999996E-4</v>
      </c>
    </row>
    <row r="716" spans="2:8" x14ac:dyDescent="0.25">
      <c r="B716" s="1">
        <v>35.247900000000001</v>
      </c>
      <c r="C716" s="1">
        <v>0.135936</v>
      </c>
      <c r="D716" s="1">
        <v>-8.44197E-2</v>
      </c>
      <c r="E716" s="1">
        <v>-6.5784599999999999E-2</v>
      </c>
      <c r="F716" s="1">
        <v>1.01572E-2</v>
      </c>
      <c r="G716" s="1">
        <v>4.7237599999999996E-3</v>
      </c>
      <c r="H716" s="1">
        <v>6.1326399999999997E-4</v>
      </c>
    </row>
    <row r="717" spans="2:8" x14ac:dyDescent="0.25">
      <c r="B717" s="1">
        <v>36.423900000000003</v>
      </c>
      <c r="C717" s="1">
        <v>0.12910199999999999</v>
      </c>
      <c r="D717" s="1">
        <v>-8.0357399999999995E-2</v>
      </c>
      <c r="E717" s="1">
        <v>-6.4781900000000003E-2</v>
      </c>
      <c r="F717" s="1">
        <v>1.2225099999999999E-2</v>
      </c>
      <c r="G717" s="1">
        <v>4.4179900000000001E-3</v>
      </c>
      <c r="H717" s="1">
        <v>6.0576300000000005E-4</v>
      </c>
    </row>
    <row r="718" spans="2:8" x14ac:dyDescent="0.25">
      <c r="B718" s="1">
        <v>37.620399999999997</v>
      </c>
      <c r="C718" s="1">
        <v>0.12278600000000001</v>
      </c>
      <c r="D718" s="1">
        <v>-7.6484099999999999E-2</v>
      </c>
      <c r="E718" s="1">
        <v>-6.3717899999999994E-2</v>
      </c>
      <c r="F718" s="1">
        <v>1.3897100000000001E-2</v>
      </c>
      <c r="G718" s="1">
        <v>4.11671E-3</v>
      </c>
      <c r="H718" s="1">
        <v>5.97111E-4</v>
      </c>
    </row>
    <row r="719" spans="2:8" x14ac:dyDescent="0.25">
      <c r="B719" s="1">
        <v>38.837400000000002</v>
      </c>
      <c r="C719" s="1">
        <v>0.116953</v>
      </c>
      <c r="D719" s="1">
        <v>-7.2807499999999997E-2</v>
      </c>
      <c r="E719" s="1">
        <v>-6.2601100000000007E-2</v>
      </c>
      <c r="F719" s="1">
        <v>1.5192199999999999E-2</v>
      </c>
      <c r="G719" s="1">
        <v>3.8509E-3</v>
      </c>
      <c r="H719" s="1">
        <v>5.8725300000000004E-4</v>
      </c>
    </row>
    <row r="720" spans="2:8" x14ac:dyDescent="0.25">
      <c r="B720" s="1">
        <v>40.0747</v>
      </c>
      <c r="C720" s="1">
        <v>0.111567</v>
      </c>
      <c r="D720" s="1">
        <v>-6.9326899999999997E-2</v>
      </c>
      <c r="E720" s="1">
        <v>-6.1440599999999998E-2</v>
      </c>
      <c r="F720" s="1">
        <v>1.6149E-2</v>
      </c>
      <c r="G720" s="1">
        <v>3.62781E-3</v>
      </c>
      <c r="H720" s="1">
        <v>5.75868E-4</v>
      </c>
    </row>
    <row r="721" spans="2:8" x14ac:dyDescent="0.25">
      <c r="B721" s="1">
        <v>41.3322</v>
      </c>
      <c r="C721" s="1">
        <v>0.106588</v>
      </c>
      <c r="D721" s="1">
        <v>-6.6034499999999996E-2</v>
      </c>
      <c r="E721" s="1">
        <v>-6.0244699999999998E-2</v>
      </c>
      <c r="F721" s="1">
        <v>1.6819400000000002E-2</v>
      </c>
      <c r="G721" s="1">
        <v>3.43517E-3</v>
      </c>
      <c r="H721" s="1">
        <v>5.6281300000000001E-4</v>
      </c>
    </row>
    <row r="722" spans="2:8" x14ac:dyDescent="0.25">
      <c r="B722" s="1">
        <v>42.609699999999997</v>
      </c>
      <c r="C722" s="1">
        <v>0.101977</v>
      </c>
      <c r="D722" s="1">
        <v>-6.2918799999999997E-2</v>
      </c>
      <c r="E722" s="1">
        <v>-5.9021999999999998E-2</v>
      </c>
      <c r="F722" s="1">
        <v>1.7255599999999999E-2</v>
      </c>
      <c r="G722" s="1">
        <v>3.2557599999999999E-3</v>
      </c>
      <c r="H722" s="1">
        <v>5.4824500000000005E-4</v>
      </c>
    </row>
    <row r="723" spans="2:8" x14ac:dyDescent="0.25">
      <c r="B723" s="1">
        <v>43.9069</v>
      </c>
      <c r="C723" s="1">
        <v>9.7702499999999998E-2</v>
      </c>
      <c r="D723" s="1">
        <v>-5.9968E-2</v>
      </c>
      <c r="E723" s="1">
        <v>-5.7781199999999998E-2</v>
      </c>
      <c r="F723" s="1">
        <v>1.75008E-2</v>
      </c>
      <c r="G723" s="1">
        <v>3.0783999999999998E-3</v>
      </c>
      <c r="H723" s="1">
        <v>5.3254699999999997E-4</v>
      </c>
    </row>
    <row r="724" spans="2:8" x14ac:dyDescent="0.25">
      <c r="B724" s="1">
        <v>45.2239</v>
      </c>
      <c r="C724" s="1">
        <v>9.3730400000000005E-2</v>
      </c>
      <c r="D724" s="1">
        <v>-5.7172099999999997E-2</v>
      </c>
      <c r="E724" s="1">
        <v>-5.6530299999999999E-2</v>
      </c>
      <c r="F724" s="1">
        <v>1.7588300000000001E-2</v>
      </c>
      <c r="G724" s="1">
        <v>2.8999099999999999E-3</v>
      </c>
      <c r="H724" s="1">
        <v>5.1614499999999997E-4</v>
      </c>
    </row>
    <row r="725" spans="2:8" x14ac:dyDescent="0.25">
      <c r="B725" s="1">
        <v>46.560299999999998</v>
      </c>
      <c r="C725" s="1">
        <v>9.0032600000000004E-2</v>
      </c>
      <c r="D725" s="1">
        <v>-5.4523299999999997E-2</v>
      </c>
      <c r="E725" s="1">
        <v>-5.5276400000000003E-2</v>
      </c>
      <c r="F725" s="1">
        <v>1.75459E-2</v>
      </c>
      <c r="G725" s="1">
        <v>2.7204199999999999E-3</v>
      </c>
      <c r="H725" s="1">
        <v>4.9926699999999996E-4</v>
      </c>
    </row>
    <row r="726" spans="2:8" x14ac:dyDescent="0.25">
      <c r="B726" s="1">
        <v>47.915999999999997</v>
      </c>
      <c r="C726" s="1">
        <v>8.6583999999999994E-2</v>
      </c>
      <c r="D726" s="1">
        <v>-5.2015499999999999E-2</v>
      </c>
      <c r="E726" s="1">
        <v>-5.4024700000000002E-2</v>
      </c>
      <c r="F726" s="1">
        <v>1.73992E-2</v>
      </c>
      <c r="G726" s="1">
        <v>2.5389499999999999E-3</v>
      </c>
      <c r="H726" s="1">
        <v>4.8199899999999999E-4</v>
      </c>
    </row>
    <row r="727" spans="2:8" x14ac:dyDescent="0.25">
      <c r="B727" s="1">
        <v>49.290900000000001</v>
      </c>
      <c r="C727" s="1">
        <v>8.3363400000000004E-2</v>
      </c>
      <c r="D727" s="1">
        <v>-4.96435E-2</v>
      </c>
      <c r="E727" s="1">
        <v>-5.2777900000000003E-2</v>
      </c>
      <c r="F727" s="1">
        <v>1.7169899999999998E-2</v>
      </c>
      <c r="G727" s="1">
        <v>2.3522899999999999E-3</v>
      </c>
      <c r="H727" s="1">
        <v>4.6411599999999999E-4</v>
      </c>
    </row>
    <row r="728" spans="2:8" x14ac:dyDescent="0.25">
      <c r="B728" s="1">
        <v>50.6845</v>
      </c>
      <c r="C728" s="1">
        <v>8.03537E-2</v>
      </c>
      <c r="D728" s="1">
        <v>-4.7403300000000002E-2</v>
      </c>
      <c r="E728" s="1">
        <v>-5.1536800000000001E-2</v>
      </c>
      <c r="F728" s="1">
        <v>1.6870599999999999E-2</v>
      </c>
      <c r="G728" s="1">
        <v>2.1611299999999998E-3</v>
      </c>
      <c r="H728" s="1">
        <v>4.4538899999999997E-4</v>
      </c>
    </row>
    <row r="729" spans="2:8" x14ac:dyDescent="0.25">
      <c r="B729" s="1">
        <v>52.096899999999998</v>
      </c>
      <c r="C729" s="1">
        <v>7.7541299999999994E-2</v>
      </c>
      <c r="D729" s="1">
        <v>-4.5291999999999999E-2</v>
      </c>
      <c r="E729" s="1">
        <v>-5.0301699999999998E-2</v>
      </c>
      <c r="F729" s="1">
        <v>1.65048E-2</v>
      </c>
      <c r="G729" s="1">
        <v>1.9731800000000002E-3</v>
      </c>
      <c r="H729" s="1">
        <v>4.2568199999999998E-4</v>
      </c>
    </row>
    <row r="730" spans="2:8" x14ac:dyDescent="0.25">
      <c r="B730" s="1">
        <v>53.5276</v>
      </c>
      <c r="C730" s="1">
        <v>7.4914099999999997E-2</v>
      </c>
      <c r="D730" s="1">
        <v>-4.3306799999999999E-2</v>
      </c>
      <c r="E730" s="1">
        <v>-4.9074E-2</v>
      </c>
      <c r="F730" s="1">
        <v>1.6072900000000001E-2</v>
      </c>
      <c r="G730" s="1">
        <v>1.79908E-3</v>
      </c>
      <c r="H730" s="1">
        <v>4.05177E-4</v>
      </c>
    </row>
    <row r="731" spans="2:8" x14ac:dyDescent="0.25">
      <c r="B731" s="1">
        <v>54.976500000000001</v>
      </c>
      <c r="C731" s="1">
        <v>7.2460300000000005E-2</v>
      </c>
      <c r="D731" s="1">
        <v>-4.14437E-2</v>
      </c>
      <c r="E731" s="1">
        <v>-4.7856999999999997E-2</v>
      </c>
      <c r="F731" s="1">
        <v>1.5579600000000001E-2</v>
      </c>
      <c r="G731" s="1">
        <v>1.6452699999999999E-3</v>
      </c>
      <c r="H731" s="1">
        <v>3.84392E-4</v>
      </c>
    </row>
    <row r="732" spans="2:8" x14ac:dyDescent="0.25">
      <c r="B732" s="1">
        <v>56.443399999999997</v>
      </c>
      <c r="C732" s="1">
        <v>7.0167900000000005E-2</v>
      </c>
      <c r="D732" s="1">
        <v>-3.9696599999999999E-2</v>
      </c>
      <c r="E732" s="1">
        <v>-4.6655099999999998E-2</v>
      </c>
      <c r="F732" s="1">
        <v>1.50359E-2</v>
      </c>
      <c r="G732" s="1">
        <v>1.51176E-3</v>
      </c>
      <c r="H732" s="1">
        <v>3.6380000000000001E-4</v>
      </c>
    </row>
    <row r="733" spans="2:8" x14ac:dyDescent="0.25">
      <c r="B733" s="1">
        <v>57.928100000000001</v>
      </c>
      <c r="C733" s="1">
        <v>6.8023700000000006E-2</v>
      </c>
      <c r="D733" s="1">
        <v>-3.8056899999999998E-2</v>
      </c>
      <c r="E733" s="1">
        <v>-4.5473800000000002E-2</v>
      </c>
      <c r="F733" s="1">
        <v>1.44551E-2</v>
      </c>
      <c r="G733" s="1">
        <v>1.3955E-3</v>
      </c>
      <c r="H733" s="1">
        <v>3.4359199999999999E-4</v>
      </c>
    </row>
    <row r="734" spans="2:8" x14ac:dyDescent="0.25">
      <c r="B734" s="1">
        <v>59.430100000000003</v>
      </c>
      <c r="C734" s="1">
        <v>6.6014799999999998E-2</v>
      </c>
      <c r="D734" s="1">
        <v>-3.6515199999999998E-2</v>
      </c>
      <c r="E734" s="1">
        <v>-4.4318000000000003E-2</v>
      </c>
      <c r="F734" s="1">
        <v>1.3850400000000001E-2</v>
      </c>
      <c r="G734" s="1">
        <v>1.2915100000000001E-3</v>
      </c>
      <c r="H734" s="1">
        <v>3.23579E-4</v>
      </c>
    </row>
    <row r="735" spans="2:8" x14ac:dyDescent="0.25">
      <c r="B735" s="1">
        <v>60.949399999999997</v>
      </c>
      <c r="C735" s="1">
        <v>6.4128900000000003E-2</v>
      </c>
      <c r="D735" s="1">
        <v>-3.5062700000000002E-2</v>
      </c>
      <c r="E735" s="1">
        <v>-4.3190399999999997E-2</v>
      </c>
      <c r="F735" s="1">
        <v>1.32336E-2</v>
      </c>
      <c r="G735" s="1">
        <v>1.1943100000000001E-3</v>
      </c>
      <c r="H735" s="1">
        <v>3.03665E-4</v>
      </c>
    </row>
    <row r="736" spans="2:8" x14ac:dyDescent="0.25">
      <c r="B736" s="1">
        <v>62.485799999999998</v>
      </c>
      <c r="C736" s="1">
        <v>6.23552E-2</v>
      </c>
      <c r="D736" s="1">
        <v>-3.36932E-2</v>
      </c>
      <c r="E736" s="1">
        <v>-4.2091200000000002E-2</v>
      </c>
      <c r="F736" s="1">
        <v>1.26105E-2</v>
      </c>
      <c r="G736" s="1">
        <v>1.1031400000000001E-3</v>
      </c>
      <c r="H736" s="1">
        <v>2.8441600000000001E-4</v>
      </c>
    </row>
    <row r="737" spans="2:8" x14ac:dyDescent="0.25">
      <c r="B737" s="1">
        <v>64.038700000000006</v>
      </c>
      <c r="C737" s="1">
        <v>6.0683899999999999E-2</v>
      </c>
      <c r="D737" s="1">
        <v>-3.2401800000000001E-2</v>
      </c>
      <c r="E737" s="1">
        <v>-4.1019699999999999E-2</v>
      </c>
      <c r="F737" s="1">
        <v>1.19842E-2</v>
      </c>
      <c r="G737" s="1">
        <v>1.0198200000000001E-3</v>
      </c>
      <c r="H737" s="1">
        <v>2.6644800000000002E-4</v>
      </c>
    </row>
    <row r="738" spans="2:8" x14ac:dyDescent="0.25">
      <c r="B738" s="1">
        <v>65.608099999999993</v>
      </c>
      <c r="C738" s="1">
        <v>5.91053E-2</v>
      </c>
      <c r="D738" s="1">
        <v>-3.11829E-2</v>
      </c>
      <c r="E738" s="1">
        <v>-3.9976499999999998E-2</v>
      </c>
      <c r="F738" s="1">
        <v>1.1361100000000001E-2</v>
      </c>
      <c r="G738" s="1">
        <v>9.4292400000000004E-4</v>
      </c>
      <c r="H738" s="1">
        <v>2.4988400000000002E-4</v>
      </c>
    </row>
    <row r="739" spans="2:8" x14ac:dyDescent="0.25">
      <c r="B739" s="1">
        <v>67.193600000000004</v>
      </c>
      <c r="C739" s="1">
        <v>5.7610700000000001E-2</v>
      </c>
      <c r="D739" s="1">
        <v>-3.0032E-2</v>
      </c>
      <c r="E739" s="1">
        <v>-3.8962999999999998E-2</v>
      </c>
      <c r="F739" s="1">
        <v>1.0749099999999999E-2</v>
      </c>
      <c r="G739" s="1">
        <v>8.6995499999999995E-4</v>
      </c>
      <c r="H739" s="1">
        <v>2.34727E-4</v>
      </c>
    </row>
    <row r="740" spans="2:8" x14ac:dyDescent="0.25">
      <c r="B740" s="1">
        <v>68.795000000000002</v>
      </c>
      <c r="C740" s="1">
        <v>5.6192899999999997E-2</v>
      </c>
      <c r="D740" s="1">
        <v>-2.8944999999999999E-2</v>
      </c>
      <c r="E740" s="1">
        <v>-3.7979800000000001E-2</v>
      </c>
      <c r="F740" s="1">
        <v>1.01531E-2</v>
      </c>
      <c r="G740" s="1">
        <v>7.9955499999999997E-4</v>
      </c>
      <c r="H740" s="1">
        <v>2.2078399999999999E-4</v>
      </c>
    </row>
    <row r="741" spans="2:8" x14ac:dyDescent="0.25">
      <c r="B741" s="1">
        <v>70.412099999999995</v>
      </c>
      <c r="C741" s="1">
        <v>5.48458E-2</v>
      </c>
      <c r="D741" s="1">
        <v>-2.7917899999999999E-2</v>
      </c>
      <c r="E741" s="1">
        <v>-3.70266E-2</v>
      </c>
      <c r="F741" s="1">
        <v>9.5743300000000007E-3</v>
      </c>
      <c r="G741" s="1">
        <v>7.3185899999999996E-4</v>
      </c>
      <c r="H741" s="1">
        <v>2.0754500000000001E-4</v>
      </c>
    </row>
    <row r="742" spans="2:8" x14ac:dyDescent="0.25">
      <c r="B742" s="1">
        <v>72.044399999999996</v>
      </c>
      <c r="C742" s="1">
        <v>5.3563899999999998E-2</v>
      </c>
      <c r="D742" s="1">
        <v>-2.69473E-2</v>
      </c>
      <c r="E742" s="1">
        <v>-3.6102799999999997E-2</v>
      </c>
      <c r="F742" s="1">
        <v>9.0114400000000008E-3</v>
      </c>
      <c r="G742" s="1">
        <v>6.6899899999999998E-4</v>
      </c>
      <c r="H742" s="1">
        <v>1.9430599999999999E-4</v>
      </c>
    </row>
    <row r="743" spans="2:8" x14ac:dyDescent="0.25">
      <c r="B743" s="1">
        <v>73.691800000000001</v>
      </c>
      <c r="C743" s="1">
        <v>5.2341400000000003E-2</v>
      </c>
      <c r="D743" s="1">
        <v>-2.6030299999999999E-2</v>
      </c>
      <c r="E743" s="1">
        <v>-3.52079E-2</v>
      </c>
      <c r="F743" s="1">
        <v>8.4642599999999995E-3</v>
      </c>
      <c r="G743" s="1">
        <v>6.1305300000000001E-4</v>
      </c>
      <c r="H743" s="1">
        <v>1.8059099999999999E-4</v>
      </c>
    </row>
    <row r="744" spans="2:8" x14ac:dyDescent="0.25">
      <c r="B744" s="1">
        <v>75.353800000000007</v>
      </c>
      <c r="C744" s="1">
        <v>5.1173099999999999E-2</v>
      </c>
      <c r="D744" s="1">
        <v>-2.5165099999999999E-2</v>
      </c>
      <c r="E744" s="1">
        <v>-3.4340599999999999E-2</v>
      </c>
      <c r="F744" s="1">
        <v>7.9351500000000002E-3</v>
      </c>
      <c r="G744" s="1">
        <v>5.6412499999999996E-4</v>
      </c>
      <c r="H744" s="1">
        <v>1.66699E-4</v>
      </c>
    </row>
    <row r="745" spans="2:8" x14ac:dyDescent="0.25">
      <c r="B745" s="1">
        <v>77.030500000000004</v>
      </c>
      <c r="C745" s="1">
        <v>5.00542E-2</v>
      </c>
      <c r="D745" s="1">
        <v>-2.4349699999999998E-2</v>
      </c>
      <c r="E745" s="1">
        <v>-3.3499000000000001E-2</v>
      </c>
      <c r="F745" s="1">
        <v>7.4283200000000004E-3</v>
      </c>
      <c r="G745" s="1">
        <v>5.1948599999999999E-4</v>
      </c>
      <c r="H745" s="1">
        <v>1.5337799999999999E-4</v>
      </c>
    </row>
    <row r="746" spans="2:8" x14ac:dyDescent="0.25">
      <c r="B746" s="1">
        <v>78.721199999999996</v>
      </c>
      <c r="C746" s="1">
        <v>4.8979700000000001E-2</v>
      </c>
      <c r="D746" s="1">
        <v>-2.3580400000000001E-2</v>
      </c>
      <c r="E746" s="1">
        <v>-3.2681599999999998E-2</v>
      </c>
      <c r="F746" s="1">
        <v>6.9484400000000002E-3</v>
      </c>
      <c r="G746" s="1">
        <v>4.7478499999999997E-4</v>
      </c>
      <c r="H746" s="1">
        <v>1.4090700000000001E-4</v>
      </c>
    </row>
    <row r="747" spans="2:8" x14ac:dyDescent="0.25">
      <c r="B747" s="1">
        <v>80.426000000000002</v>
      </c>
      <c r="C747" s="1">
        <v>4.7943699999999999E-2</v>
      </c>
      <c r="D747" s="1">
        <v>-2.28528E-2</v>
      </c>
      <c r="E747" s="1">
        <v>-3.1888E-2</v>
      </c>
      <c r="F747" s="1">
        <v>6.4968400000000003E-3</v>
      </c>
      <c r="G747" s="1">
        <v>4.2981200000000001E-4</v>
      </c>
      <c r="H747" s="1">
        <v>1.2951E-4</v>
      </c>
    </row>
    <row r="748" spans="2:8" x14ac:dyDescent="0.25">
      <c r="B748" s="1">
        <v>82.144199999999998</v>
      </c>
      <c r="C748" s="1">
        <v>4.6940999999999997E-2</v>
      </c>
      <c r="D748" s="1">
        <v>-2.2162299999999999E-2</v>
      </c>
      <c r="E748" s="1">
        <v>-3.11191E-2</v>
      </c>
      <c r="F748" s="1">
        <v>6.0731600000000002E-3</v>
      </c>
      <c r="G748" s="1">
        <v>3.8663100000000002E-4</v>
      </c>
      <c r="H748" s="1">
        <v>1.19531E-4</v>
      </c>
    </row>
    <row r="749" spans="2:8" x14ac:dyDescent="0.25">
      <c r="B749" s="1">
        <v>83.875900000000001</v>
      </c>
      <c r="C749" s="1">
        <v>4.59689E-2</v>
      </c>
      <c r="D749" s="1">
        <v>-2.1504800000000001E-2</v>
      </c>
      <c r="E749" s="1">
        <v>-3.0376E-2</v>
      </c>
      <c r="F749" s="1">
        <v>5.6778599999999999E-3</v>
      </c>
      <c r="G749" s="1">
        <v>3.4481699999999998E-4</v>
      </c>
      <c r="H749" s="1">
        <v>1.10777E-4</v>
      </c>
    </row>
    <row r="750" spans="2:8" x14ac:dyDescent="0.25">
      <c r="B750" s="1">
        <v>85.620199999999997</v>
      </c>
      <c r="C750" s="1">
        <v>4.5027299999999999E-2</v>
      </c>
      <c r="D750" s="1">
        <v>-2.0879100000000001E-2</v>
      </c>
      <c r="E750" s="1">
        <v>-2.9660200000000001E-2</v>
      </c>
      <c r="F750" s="1">
        <v>5.3057599999999996E-3</v>
      </c>
      <c r="G750" s="1">
        <v>3.0955700000000002E-4</v>
      </c>
      <c r="H750" s="1">
        <v>1.03305E-4</v>
      </c>
    </row>
    <row r="751" spans="2:8" x14ac:dyDescent="0.25">
      <c r="B751" s="1">
        <v>87.377899999999997</v>
      </c>
      <c r="C751" s="1">
        <v>4.4116799999999998E-2</v>
      </c>
      <c r="D751" s="1">
        <v>-2.0284900000000002E-2</v>
      </c>
      <c r="E751" s="1">
        <v>-2.8973100000000002E-2</v>
      </c>
      <c r="F751" s="1">
        <v>4.9483799999999996E-3</v>
      </c>
      <c r="G751" s="1">
        <v>2.8999100000000002E-4</v>
      </c>
      <c r="H751" s="1">
        <v>9.7196999999999998E-5</v>
      </c>
    </row>
    <row r="752" spans="2:8" x14ac:dyDescent="0.25">
      <c r="B752" s="1">
        <v>89.147499999999994</v>
      </c>
      <c r="C752" s="1">
        <v>4.3234500000000002E-2</v>
      </c>
      <c r="D752" s="1">
        <v>-1.97197E-2</v>
      </c>
      <c r="E752" s="1">
        <v>-2.8315799999999999E-2</v>
      </c>
      <c r="F752" s="1">
        <v>4.6070199999999999E-3</v>
      </c>
      <c r="G752" s="1">
        <v>2.8603599999999998E-4</v>
      </c>
      <c r="H752" s="1">
        <v>9.2103999999999998E-5</v>
      </c>
    </row>
    <row r="753" spans="2:8" x14ac:dyDescent="0.25">
      <c r="B753" s="1">
        <v>90.9298</v>
      </c>
      <c r="C753" s="1">
        <v>4.2373899999999999E-2</v>
      </c>
      <c r="D753" s="1">
        <v>-1.91792E-2</v>
      </c>
      <c r="E753" s="1">
        <v>-2.7688399999999998E-2</v>
      </c>
      <c r="F753" s="1">
        <v>4.2936199999999997E-3</v>
      </c>
      <c r="G753" s="1">
        <v>2.8754799999999999E-4</v>
      </c>
      <c r="H753" s="1">
        <v>8.7544600000000002E-5</v>
      </c>
    </row>
    <row r="754" spans="2:8" x14ac:dyDescent="0.25">
      <c r="B754" s="1">
        <v>92.723100000000002</v>
      </c>
      <c r="C754" s="1">
        <v>4.1528099999999998E-2</v>
      </c>
      <c r="D754" s="1">
        <v>-1.86594E-2</v>
      </c>
      <c r="E754" s="1">
        <v>-2.7090099999999999E-2</v>
      </c>
      <c r="F754" s="1">
        <v>4.0193700000000004E-3</v>
      </c>
      <c r="G754" s="1">
        <v>2.8508899999999998E-4</v>
      </c>
      <c r="H754" s="1">
        <v>8.3168499999999995E-5</v>
      </c>
    </row>
    <row r="755" spans="2:8" x14ac:dyDescent="0.25">
      <c r="B755" s="1">
        <v>94.528999999999996</v>
      </c>
      <c r="C755" s="1">
        <v>4.06925E-2</v>
      </c>
      <c r="D755" s="1">
        <v>-1.8157800000000002E-2</v>
      </c>
      <c r="E755" s="1">
        <v>-2.6518799999999999E-2</v>
      </c>
      <c r="F755" s="1">
        <v>3.78795E-3</v>
      </c>
      <c r="G755" s="1">
        <v>2.7525100000000001E-4</v>
      </c>
      <c r="H755" s="1">
        <v>7.9106199999999998E-5</v>
      </c>
    </row>
    <row r="756" spans="2:8" x14ac:dyDescent="0.25">
      <c r="B756" s="1">
        <v>96.345200000000006</v>
      </c>
      <c r="C756" s="1">
        <v>3.9865900000000003E-2</v>
      </c>
      <c r="D756" s="1">
        <v>-1.7673500000000002E-2</v>
      </c>
      <c r="E756" s="1">
        <v>-2.59706E-2</v>
      </c>
      <c r="F756" s="1">
        <v>3.5988399999999999E-3</v>
      </c>
      <c r="G756" s="1">
        <v>2.55185E-4</v>
      </c>
      <c r="H756" s="1">
        <v>7.5866500000000003E-5</v>
      </c>
    </row>
    <row r="757" spans="2:8" x14ac:dyDescent="0.25">
      <c r="B757" s="1">
        <v>98.173299999999998</v>
      </c>
      <c r="C757" s="1">
        <v>3.9050099999999997E-2</v>
      </c>
      <c r="D757" s="1">
        <v>-1.7205499999999999E-2</v>
      </c>
      <c r="E757" s="1">
        <v>-2.5441100000000001E-2</v>
      </c>
      <c r="F757" s="1">
        <v>3.4487900000000002E-3</v>
      </c>
      <c r="G757" s="1">
        <v>2.2134699999999999E-4</v>
      </c>
      <c r="H757" s="1">
        <v>7.3650899999999996E-5</v>
      </c>
    </row>
    <row r="758" spans="2:8" x14ac:dyDescent="0.25">
      <c r="B758" s="1">
        <v>100.012</v>
      </c>
      <c r="C758" s="1">
        <v>3.82493E-2</v>
      </c>
      <c r="D758" s="1">
        <v>-1.6755200000000001E-2</v>
      </c>
      <c r="E758" s="1">
        <v>-2.49278E-2</v>
      </c>
      <c r="F758" s="1">
        <v>3.3266400000000001E-3</v>
      </c>
      <c r="G758" s="1">
        <v>1.79583E-4</v>
      </c>
      <c r="H758" s="1">
        <v>7.2512899999999995E-5</v>
      </c>
    </row>
    <row r="759" spans="2:8" x14ac:dyDescent="0.25">
      <c r="B759" s="1">
        <v>101.861</v>
      </c>
      <c r="C759" s="1">
        <v>3.7468300000000003E-2</v>
      </c>
      <c r="D759" s="1">
        <v>-1.6325300000000001E-2</v>
      </c>
      <c r="E759" s="1">
        <v>-2.44306E-2</v>
      </c>
      <c r="F759" s="1">
        <v>3.2173499999999999E-3</v>
      </c>
      <c r="G759" s="1">
        <v>1.4248200000000001E-4</v>
      </c>
      <c r="H759" s="1">
        <v>7.2266000000000002E-5</v>
      </c>
    </row>
    <row r="760" spans="2:8" x14ac:dyDescent="0.25">
      <c r="B760" s="1">
        <v>103.72</v>
      </c>
      <c r="C760" s="1">
        <v>3.6711300000000002E-2</v>
      </c>
      <c r="D760" s="1">
        <v>-1.59165E-2</v>
      </c>
      <c r="E760" s="1">
        <v>-2.3951E-2</v>
      </c>
      <c r="F760" s="1">
        <v>3.1126999999999999E-3</v>
      </c>
      <c r="G760" s="1">
        <v>1.1579299999999999E-4</v>
      </c>
      <c r="H760" s="1">
        <v>7.2294599999999997E-5</v>
      </c>
    </row>
    <row r="761" spans="2:8" x14ac:dyDescent="0.25">
      <c r="B761" s="1">
        <v>105.589</v>
      </c>
      <c r="C761" s="1">
        <v>3.5980699999999997E-2</v>
      </c>
      <c r="D761" s="1">
        <v>-1.5527900000000001E-2</v>
      </c>
      <c r="E761" s="1">
        <v>-2.3490299999999999E-2</v>
      </c>
      <c r="F761" s="1">
        <v>3.0099699999999998E-3</v>
      </c>
      <c r="G761" s="1">
        <v>9.9551700000000004E-5</v>
      </c>
      <c r="H761" s="1">
        <v>7.2029799999999999E-5</v>
      </c>
    </row>
    <row r="762" spans="2:8" x14ac:dyDescent="0.25">
      <c r="B762" s="1">
        <v>107.468</v>
      </c>
      <c r="C762" s="1">
        <v>3.5277099999999999E-2</v>
      </c>
      <c r="D762" s="1">
        <v>-1.5158E-2</v>
      </c>
      <c r="E762" s="1">
        <v>-2.3048699999999998E-2</v>
      </c>
      <c r="F762" s="1">
        <v>2.9054200000000001E-3</v>
      </c>
      <c r="G762" s="1">
        <v>9.5639700000000005E-5</v>
      </c>
      <c r="H762" s="1">
        <v>7.1429799999999998E-5</v>
      </c>
    </row>
    <row r="763" spans="2:8" x14ac:dyDescent="0.25">
      <c r="B763" s="1">
        <v>109.35599999999999</v>
      </c>
      <c r="C763" s="1">
        <v>3.4599299999999999E-2</v>
      </c>
      <c r="D763" s="1">
        <v>-1.4804299999999999E-2</v>
      </c>
      <c r="E763" s="1">
        <v>-2.2624999999999999E-2</v>
      </c>
      <c r="F763" s="1">
        <v>2.7984400000000001E-3</v>
      </c>
      <c r="G763" s="1">
        <v>1.02295E-4</v>
      </c>
      <c r="H763" s="1">
        <v>7.0750199999999999E-5</v>
      </c>
    </row>
    <row r="764" spans="2:8" x14ac:dyDescent="0.25">
      <c r="B764" s="1">
        <v>111.253</v>
      </c>
      <c r="C764" s="1">
        <v>3.3945099999999999E-2</v>
      </c>
      <c r="D764" s="1">
        <v>-1.44633E-2</v>
      </c>
      <c r="E764" s="1">
        <v>-2.22166E-2</v>
      </c>
      <c r="F764" s="1">
        <v>2.69419E-3</v>
      </c>
      <c r="G764" s="1">
        <v>1.10957E-4</v>
      </c>
      <c r="H764" s="1">
        <v>7.0260999999999997E-5</v>
      </c>
    </row>
    <row r="765" spans="2:8" x14ac:dyDescent="0.25">
      <c r="B765" s="1">
        <v>113.16</v>
      </c>
      <c r="C765" s="1">
        <v>3.3312000000000001E-2</v>
      </c>
      <c r="D765" s="1">
        <v>-1.4133E-2</v>
      </c>
      <c r="E765" s="1">
        <v>-2.1820300000000001E-2</v>
      </c>
      <c r="F765" s="1">
        <v>2.5963900000000001E-3</v>
      </c>
      <c r="G765" s="1">
        <v>1.15209E-4</v>
      </c>
      <c r="H765" s="1">
        <v>7.0367699999999994E-5</v>
      </c>
    </row>
    <row r="766" spans="2:8" x14ac:dyDescent="0.25">
      <c r="B766" s="1">
        <v>115.074</v>
      </c>
      <c r="C766" s="1">
        <v>3.2698699999999997E-2</v>
      </c>
      <c r="D766" s="1">
        <v>-1.38116E-2</v>
      </c>
      <c r="E766" s="1">
        <v>-2.1433199999999999E-2</v>
      </c>
      <c r="F766" s="1">
        <v>2.50504E-3</v>
      </c>
      <c r="G766" s="1">
        <v>1.1182E-4</v>
      </c>
      <c r="H766" s="1">
        <v>7.0840700000000001E-5</v>
      </c>
    </row>
    <row r="767" spans="2:8" x14ac:dyDescent="0.25">
      <c r="B767" s="1">
        <v>116.997</v>
      </c>
      <c r="C767" s="1">
        <v>3.21052E-2</v>
      </c>
      <c r="D767" s="1">
        <v>-1.3498599999999999E-2</v>
      </c>
      <c r="E767" s="1">
        <v>-2.1052499999999998E-2</v>
      </c>
      <c r="F767" s="1">
        <v>2.41706E-3</v>
      </c>
      <c r="G767" s="1">
        <v>1.00077E-4</v>
      </c>
      <c r="H767" s="1">
        <v>7.1192400000000006E-5</v>
      </c>
    </row>
    <row r="768" spans="2:8" x14ac:dyDescent="0.25">
      <c r="B768" s="1">
        <v>118.928</v>
      </c>
      <c r="C768" s="1">
        <v>3.1530700000000002E-2</v>
      </c>
      <c r="D768" s="1">
        <v>-1.31942E-2</v>
      </c>
      <c r="E768" s="1">
        <v>-2.0676199999999999E-2</v>
      </c>
      <c r="F768" s="1">
        <v>2.3264700000000002E-3</v>
      </c>
      <c r="G768" s="1">
        <v>8.4485600000000003E-5</v>
      </c>
      <c r="H768" s="1">
        <v>7.1318300000000005E-5</v>
      </c>
    </row>
    <row r="769" spans="2:8" x14ac:dyDescent="0.25">
      <c r="B769" s="1">
        <v>120.86799999999999</v>
      </c>
      <c r="C769" s="1">
        <v>3.0972699999999999E-2</v>
      </c>
      <c r="D769" s="1">
        <v>-1.28991E-2</v>
      </c>
      <c r="E769" s="1">
        <v>-2.0303100000000001E-2</v>
      </c>
      <c r="F769" s="1">
        <v>2.22989E-3</v>
      </c>
      <c r="G769" s="1">
        <v>7.0809999999999995E-5</v>
      </c>
      <c r="H769" s="1">
        <v>7.1274900000000004E-5</v>
      </c>
    </row>
    <row r="770" spans="2:8" x14ac:dyDescent="0.25">
      <c r="B770" s="1">
        <v>122.81399999999999</v>
      </c>
      <c r="C770" s="1">
        <v>3.0426499999999999E-2</v>
      </c>
      <c r="D770" s="1">
        <v>-1.26138E-2</v>
      </c>
      <c r="E770" s="1">
        <v>-1.9932499999999999E-2</v>
      </c>
      <c r="F770" s="1">
        <v>2.1300199999999998E-3</v>
      </c>
      <c r="G770" s="1">
        <v>6.0894699999999998E-5</v>
      </c>
      <c r="H770" s="1">
        <v>7.1080600000000005E-5</v>
      </c>
    </row>
    <row r="771" spans="2:8" x14ac:dyDescent="0.25">
      <c r="B771" s="1">
        <v>124.768</v>
      </c>
      <c r="C771" s="1">
        <v>2.9887899999999998E-2</v>
      </c>
      <c r="D771" s="1">
        <v>-1.2338399999999999E-2</v>
      </c>
      <c r="E771" s="1">
        <v>-1.9564100000000001E-2</v>
      </c>
      <c r="F771" s="1">
        <v>2.03082E-3</v>
      </c>
      <c r="G771" s="1">
        <v>5.4357500000000003E-5</v>
      </c>
      <c r="H771" s="1">
        <v>7.0601799999999999E-5</v>
      </c>
    </row>
    <row r="772" spans="2:8" x14ac:dyDescent="0.25">
      <c r="B772" s="1">
        <v>126.729</v>
      </c>
      <c r="C772" s="1">
        <v>2.9355300000000001E-2</v>
      </c>
      <c r="D772" s="1">
        <v>-1.2073E-2</v>
      </c>
      <c r="E772" s="1">
        <v>-1.9197499999999999E-2</v>
      </c>
      <c r="F772" s="1">
        <v>1.9321900000000001E-3</v>
      </c>
      <c r="G772" s="1">
        <v>5.2510099999999997E-5</v>
      </c>
      <c r="H772" s="1">
        <v>6.9502100000000007E-5</v>
      </c>
    </row>
    <row r="773" spans="2:8" x14ac:dyDescent="0.25">
      <c r="B773" s="1">
        <v>128.697</v>
      </c>
      <c r="C773" s="1">
        <v>2.88297E-2</v>
      </c>
      <c r="D773" s="1">
        <v>-1.18181E-2</v>
      </c>
      <c r="E773" s="1">
        <v>-1.8833300000000001E-2</v>
      </c>
      <c r="F773" s="1">
        <v>1.8319499999999999E-3</v>
      </c>
      <c r="G773" s="1">
        <v>5.7226999999999999E-5</v>
      </c>
      <c r="H773" s="1">
        <v>6.7463600000000002E-5</v>
      </c>
    </row>
    <row r="774" spans="2:8" x14ac:dyDescent="0.25">
      <c r="B774" s="1">
        <v>130.672</v>
      </c>
      <c r="C774" s="1">
        <v>2.8312299999999999E-2</v>
      </c>
      <c r="D774" s="1">
        <v>-1.15735E-2</v>
      </c>
      <c r="E774" s="1">
        <v>-1.84729E-2</v>
      </c>
      <c r="F774" s="1">
        <v>1.7302000000000001E-3</v>
      </c>
      <c r="G774" s="1">
        <v>6.8466099999999998E-5</v>
      </c>
      <c r="H774" s="1">
        <v>6.45946E-5</v>
      </c>
    </row>
    <row r="775" spans="2:8" x14ac:dyDescent="0.25">
      <c r="B775" s="1">
        <v>132.654</v>
      </c>
      <c r="C775" s="1">
        <v>2.7803499999999998E-2</v>
      </c>
      <c r="D775" s="1">
        <v>-1.1338000000000001E-2</v>
      </c>
      <c r="E775" s="1">
        <v>-1.8118200000000001E-2</v>
      </c>
      <c r="F775" s="1">
        <v>1.6310299999999999E-3</v>
      </c>
      <c r="G775" s="1">
        <v>8.3190700000000003E-5</v>
      </c>
      <c r="H775" s="1">
        <v>6.1470000000000006E-5</v>
      </c>
    </row>
    <row r="776" spans="2:8" x14ac:dyDescent="0.25">
      <c r="B776" s="1">
        <v>134.64099999999999</v>
      </c>
      <c r="C776" s="1">
        <v>2.7302699999999999E-2</v>
      </c>
      <c r="D776" s="1">
        <v>-1.11095E-2</v>
      </c>
      <c r="E776" s="1">
        <v>-1.7771100000000001E-2</v>
      </c>
      <c r="F776" s="1">
        <v>1.54141E-3</v>
      </c>
      <c r="G776" s="1">
        <v>9.5106999999999996E-5</v>
      </c>
      <c r="H776" s="1">
        <v>5.8649500000000001E-5</v>
      </c>
    </row>
    <row r="777" spans="2:8" x14ac:dyDescent="0.25">
      <c r="B777" s="1">
        <v>136.63499999999999</v>
      </c>
      <c r="C777" s="1">
        <v>2.681E-2</v>
      </c>
      <c r="D777" s="1">
        <v>-1.08865E-2</v>
      </c>
      <c r="E777" s="1">
        <v>-1.7432E-2</v>
      </c>
      <c r="F777" s="1">
        <v>1.4662799999999999E-3</v>
      </c>
      <c r="G777" s="1">
        <v>9.8766700000000004E-5</v>
      </c>
      <c r="H777" s="1">
        <v>5.6557800000000003E-5</v>
      </c>
    </row>
    <row r="778" spans="2:8" x14ac:dyDescent="0.25">
      <c r="B778" s="1">
        <v>138.63499999999999</v>
      </c>
      <c r="C778" s="1">
        <v>2.63269E-2</v>
      </c>
      <c r="D778" s="1">
        <v>-1.0669700000000001E-2</v>
      </c>
      <c r="E778" s="1">
        <v>-1.7100400000000002E-2</v>
      </c>
      <c r="F778" s="1">
        <v>1.4048800000000001E-3</v>
      </c>
      <c r="G778" s="1">
        <v>9.3704900000000005E-5</v>
      </c>
      <c r="H778" s="1">
        <v>5.5345800000000001E-5</v>
      </c>
    </row>
    <row r="779" spans="2:8" x14ac:dyDescent="0.25">
      <c r="B779" s="1">
        <v>140.63999999999999</v>
      </c>
      <c r="C779" s="1">
        <v>2.5856199999999999E-2</v>
      </c>
      <c r="D779" s="1">
        <v>-1.0460499999999999E-2</v>
      </c>
      <c r="E779" s="1">
        <v>-1.6776099999999999E-2</v>
      </c>
      <c r="F779" s="1">
        <v>1.3512999999999999E-3</v>
      </c>
      <c r="G779" s="1">
        <v>8.4167799999999997E-5</v>
      </c>
      <c r="H779" s="1">
        <v>5.5065699999999997E-5</v>
      </c>
    </row>
    <row r="780" spans="2:8" x14ac:dyDescent="0.25">
      <c r="B780" s="1">
        <v>142.65</v>
      </c>
      <c r="C780" s="1">
        <v>2.5400300000000001E-2</v>
      </c>
      <c r="D780" s="1">
        <v>-1.02589E-2</v>
      </c>
      <c r="E780" s="1">
        <v>-1.6459000000000001E-2</v>
      </c>
      <c r="F780" s="1">
        <v>1.29934E-3</v>
      </c>
      <c r="G780" s="1">
        <v>7.3861499999999997E-5</v>
      </c>
      <c r="H780" s="1">
        <v>5.55679E-5</v>
      </c>
    </row>
    <row r="781" spans="2:8" x14ac:dyDescent="0.25">
      <c r="B781" s="1">
        <v>144.666</v>
      </c>
      <c r="C781" s="1">
        <v>2.4960099999999999E-2</v>
      </c>
      <c r="D781" s="1">
        <v>-1.0064E-2</v>
      </c>
      <c r="E781" s="1">
        <v>-1.61491E-2</v>
      </c>
      <c r="F781" s="1">
        <v>1.2463999999999999E-3</v>
      </c>
      <c r="G781" s="1">
        <v>6.2944899999999994E-5</v>
      </c>
      <c r="H781" s="1">
        <v>5.6355199999999999E-5</v>
      </c>
    </row>
    <row r="782" spans="2:8" x14ac:dyDescent="0.25">
      <c r="B782" s="1">
        <v>146.68600000000001</v>
      </c>
      <c r="C782" s="1">
        <v>2.45347E-2</v>
      </c>
      <c r="D782" s="1">
        <v>-9.8744699999999998E-3</v>
      </c>
      <c r="E782" s="1">
        <v>-1.5846200000000001E-2</v>
      </c>
      <c r="F782" s="1">
        <v>1.1924100000000001E-3</v>
      </c>
      <c r="G782" s="1">
        <v>5.0396099999999997E-5</v>
      </c>
      <c r="H782" s="1">
        <v>5.6832300000000001E-5</v>
      </c>
    </row>
    <row r="783" spans="2:8" x14ac:dyDescent="0.25">
      <c r="B783" s="1">
        <v>148.71299999999999</v>
      </c>
      <c r="C783" s="1">
        <v>2.41222E-2</v>
      </c>
      <c r="D783" s="1">
        <v>-9.6892200000000001E-3</v>
      </c>
      <c r="E783" s="1">
        <v>-1.5550100000000001E-2</v>
      </c>
      <c r="F783" s="1">
        <v>1.1385499999999999E-3</v>
      </c>
      <c r="G783" s="1">
        <v>3.4957299999999998E-5</v>
      </c>
      <c r="H783" s="1">
        <v>5.6426099999999998E-5</v>
      </c>
    </row>
    <row r="784" spans="2:8" x14ac:dyDescent="0.25">
      <c r="B784" s="1">
        <v>150.74299999999999</v>
      </c>
      <c r="C784" s="1">
        <v>2.3721599999999999E-2</v>
      </c>
      <c r="D784" s="1">
        <v>-9.5074400000000007E-3</v>
      </c>
      <c r="E784" s="1">
        <v>-1.52608E-2</v>
      </c>
      <c r="F784" s="1">
        <v>1.0863800000000001E-3</v>
      </c>
      <c r="G784" s="1">
        <v>1.4841000000000001E-5</v>
      </c>
      <c r="H784" s="1">
        <v>5.4644600000000002E-5</v>
      </c>
    </row>
    <row r="785" spans="2:8" x14ac:dyDescent="0.25">
      <c r="B785" s="1">
        <v>152.77799999999999</v>
      </c>
      <c r="C785" s="1">
        <v>2.3333400000000001E-2</v>
      </c>
      <c r="D785" s="1">
        <v>-9.3293600000000001E-3</v>
      </c>
      <c r="E785" s="1">
        <v>-1.49788E-2</v>
      </c>
      <c r="F785" s="1">
        <v>1.0346299999999999E-3</v>
      </c>
      <c r="G785" s="1">
        <v>-8.5096000000000007E-6</v>
      </c>
      <c r="H785" s="1">
        <v>5.1376599999999999E-5</v>
      </c>
    </row>
    <row r="786" spans="2:8" x14ac:dyDescent="0.25">
      <c r="B786" s="1">
        <v>154.81700000000001</v>
      </c>
      <c r="C786" s="1">
        <v>2.2958099999999999E-2</v>
      </c>
      <c r="D786" s="1">
        <v>-9.1561000000000003E-3</v>
      </c>
      <c r="E786" s="1">
        <v>-1.47051E-2</v>
      </c>
      <c r="F786" s="1">
        <v>9.7854699999999997E-4</v>
      </c>
      <c r="G786" s="1">
        <v>-2.8569999999999999E-5</v>
      </c>
      <c r="H786" s="1">
        <v>4.6880299999999999E-5</v>
      </c>
    </row>
    <row r="787" spans="2:8" x14ac:dyDescent="0.25">
      <c r="B787" s="1">
        <v>156.86099999999999</v>
      </c>
      <c r="C787" s="1">
        <v>2.2594800000000002E-2</v>
      </c>
      <c r="D787" s="1">
        <v>-8.9882999999999994E-3</v>
      </c>
      <c r="E787" s="1">
        <v>-1.44414E-2</v>
      </c>
      <c r="F787" s="1">
        <v>9.1502E-4</v>
      </c>
      <c r="G787" s="1">
        <v>-3.8399299999999997E-5</v>
      </c>
      <c r="H787" s="1">
        <v>4.1640300000000002E-5</v>
      </c>
    </row>
    <row r="788" spans="2:8" x14ac:dyDescent="0.25">
      <c r="B788" s="1">
        <v>158.90799999999999</v>
      </c>
      <c r="C788" s="1">
        <v>2.22399E-2</v>
      </c>
      <c r="D788" s="1">
        <v>-8.8253700000000008E-3</v>
      </c>
      <c r="E788" s="1">
        <v>-1.4189200000000001E-2</v>
      </c>
      <c r="F788" s="1">
        <v>8.4701799999999995E-4</v>
      </c>
      <c r="G788" s="1">
        <v>-3.6028400000000002E-5</v>
      </c>
      <c r="H788" s="1">
        <v>3.6294999999999997E-5</v>
      </c>
    </row>
    <row r="789" spans="2:8" x14ac:dyDescent="0.25">
      <c r="B789" s="1">
        <v>160.959</v>
      </c>
      <c r="C789" s="1">
        <v>2.1889800000000001E-2</v>
      </c>
      <c r="D789" s="1">
        <v>-8.6661800000000008E-3</v>
      </c>
      <c r="E789" s="1">
        <v>-1.3949E-2</v>
      </c>
      <c r="F789" s="1">
        <v>7.8098000000000002E-4</v>
      </c>
      <c r="G789" s="1">
        <v>-2.4273900000000001E-5</v>
      </c>
      <c r="H789" s="1">
        <v>3.1318600000000002E-5</v>
      </c>
    </row>
    <row r="790" spans="2:8" x14ac:dyDescent="0.25">
      <c r="B790" s="1">
        <v>163.01499999999999</v>
      </c>
      <c r="C790" s="1">
        <v>2.1542200000000001E-2</v>
      </c>
      <c r="D790" s="1">
        <v>-8.5100899999999997E-3</v>
      </c>
      <c r="E790" s="1">
        <v>-1.372E-2</v>
      </c>
      <c r="F790" s="1">
        <v>7.2117899999999996E-4</v>
      </c>
      <c r="G790" s="1">
        <v>-6.5155499999999998E-6</v>
      </c>
      <c r="H790" s="1">
        <v>2.6843400000000001E-5</v>
      </c>
    </row>
    <row r="791" spans="2:8" x14ac:dyDescent="0.25">
      <c r="B791" s="1">
        <v>165.07400000000001</v>
      </c>
      <c r="C791" s="1">
        <v>2.11965E-2</v>
      </c>
      <c r="D791" s="1">
        <v>-8.3565199999999992E-3</v>
      </c>
      <c r="E791" s="1">
        <v>-1.3500399999999999E-2</v>
      </c>
      <c r="F791" s="1">
        <v>6.6948799999999998E-4</v>
      </c>
      <c r="G791" s="1">
        <v>1.3351500000000001E-5</v>
      </c>
      <c r="H791" s="1">
        <v>2.2464200000000001E-5</v>
      </c>
    </row>
    <row r="792" spans="2:8" x14ac:dyDescent="0.25">
      <c r="B792" s="1">
        <v>167.136</v>
      </c>
      <c r="C792" s="1">
        <v>2.0853E-2</v>
      </c>
      <c r="D792" s="1">
        <v>-8.2047200000000004E-3</v>
      </c>
      <c r="E792" s="1">
        <v>-1.32882E-2</v>
      </c>
      <c r="F792" s="1">
        <v>6.2711600000000004E-4</v>
      </c>
      <c r="G792" s="1">
        <v>3.0608999999999998E-5</v>
      </c>
      <c r="H792" s="1">
        <v>1.7805500000000001E-5</v>
      </c>
    </row>
    <row r="793" spans="2:8" x14ac:dyDescent="0.25">
      <c r="B793" s="1">
        <v>169.20099999999999</v>
      </c>
      <c r="C793" s="1">
        <v>2.0512300000000001E-2</v>
      </c>
      <c r="D793" s="1">
        <v>-8.0542400000000007E-3</v>
      </c>
      <c r="E793" s="1">
        <v>-1.30808E-2</v>
      </c>
      <c r="F793" s="1">
        <v>5.9550399999999996E-4</v>
      </c>
      <c r="G793" s="1">
        <v>4.0138700000000002E-5</v>
      </c>
      <c r="H793" s="1">
        <v>1.28082E-5</v>
      </c>
    </row>
    <row r="794" spans="2:8" x14ac:dyDescent="0.25">
      <c r="B794" s="1">
        <v>171.26900000000001</v>
      </c>
      <c r="C794" s="1">
        <v>2.0175700000000001E-2</v>
      </c>
      <c r="D794" s="1">
        <v>-7.9054599999999996E-3</v>
      </c>
      <c r="E794" s="1">
        <v>-1.2876200000000001E-2</v>
      </c>
      <c r="F794" s="1">
        <v>5.7459199999999996E-4</v>
      </c>
      <c r="G794" s="1">
        <v>3.9074099999999999E-5</v>
      </c>
      <c r="H794" s="1">
        <v>7.6555499999999999E-6</v>
      </c>
    </row>
    <row r="795" spans="2:8" x14ac:dyDescent="0.25">
      <c r="B795" s="1">
        <v>173.34</v>
      </c>
      <c r="C795" s="1">
        <v>1.9845000000000002E-2</v>
      </c>
      <c r="D795" s="1">
        <v>-7.7596000000000002E-3</v>
      </c>
      <c r="E795" s="1">
        <v>-1.2673200000000001E-2</v>
      </c>
      <c r="F795" s="1">
        <v>5.6043900000000003E-4</v>
      </c>
      <c r="G795" s="1">
        <v>3.0148300000000001E-5</v>
      </c>
      <c r="H795" s="1">
        <v>2.7124999999999999E-6</v>
      </c>
    </row>
    <row r="796" spans="2:8" x14ac:dyDescent="0.25">
      <c r="B796" s="1">
        <v>175.41499999999999</v>
      </c>
      <c r="C796" s="1">
        <v>1.9520800000000001E-2</v>
      </c>
      <c r="D796" s="1">
        <v>-7.6175699999999997E-3</v>
      </c>
      <c r="E796" s="1">
        <v>-1.2471599999999999E-2</v>
      </c>
      <c r="F796" s="1">
        <v>5.4801299999999997E-4</v>
      </c>
      <c r="G796" s="1">
        <v>1.8453200000000001E-5</v>
      </c>
      <c r="H796" s="1">
        <v>-1.97225E-6</v>
      </c>
    </row>
    <row r="797" spans="2:8" x14ac:dyDescent="0.25">
      <c r="B797" s="1">
        <v>177.49199999999999</v>
      </c>
      <c r="C797" s="1">
        <v>1.9202299999999999E-2</v>
      </c>
      <c r="D797" s="1">
        <v>-7.4795499999999997E-3</v>
      </c>
      <c r="E797" s="1">
        <v>-1.22717E-2</v>
      </c>
      <c r="F797" s="1">
        <v>5.3409900000000001E-4</v>
      </c>
      <c r="G797" s="1">
        <v>8.2789499999999997E-6</v>
      </c>
      <c r="H797" s="1">
        <v>-6.5485500000000002E-6</v>
      </c>
    </row>
    <row r="798" spans="2:8" x14ac:dyDescent="0.25">
      <c r="B798" s="1">
        <v>179.572</v>
      </c>
      <c r="C798" s="1">
        <v>1.8887500000000002E-2</v>
      </c>
      <c r="D798" s="1">
        <v>-7.3453800000000003E-3</v>
      </c>
      <c r="E798" s="1">
        <v>-1.20733E-2</v>
      </c>
      <c r="F798" s="1">
        <v>5.1833900000000004E-4</v>
      </c>
      <c r="G798" s="1">
        <v>1.7301500000000001E-6</v>
      </c>
      <c r="H798" s="1">
        <v>-1.1069200000000001E-5</v>
      </c>
    </row>
    <row r="799" spans="2:8" x14ac:dyDescent="0.25">
      <c r="B799" s="1">
        <v>181.654</v>
      </c>
      <c r="C799" s="1">
        <v>1.8574799999999999E-2</v>
      </c>
      <c r="D799" s="1">
        <v>-7.2147699999999997E-3</v>
      </c>
      <c r="E799" s="1">
        <v>-1.18765E-2</v>
      </c>
      <c r="F799" s="1">
        <v>5.0328099999999995E-4</v>
      </c>
      <c r="G799" s="1">
        <v>-2.3703E-6</v>
      </c>
      <c r="H799" s="1">
        <v>-1.5599599999999999E-5</v>
      </c>
    </row>
    <row r="800" spans="2:8" x14ac:dyDescent="0.25">
      <c r="B800" s="1">
        <v>183.739</v>
      </c>
      <c r="C800" s="1">
        <v>1.82638E-2</v>
      </c>
      <c r="D800" s="1">
        <v>-7.0878299999999998E-3</v>
      </c>
      <c r="E800" s="1">
        <v>-1.1681800000000001E-2</v>
      </c>
      <c r="F800" s="1">
        <v>4.9106300000000002E-4</v>
      </c>
      <c r="G800" s="1">
        <v>-5.2934500000000001E-6</v>
      </c>
      <c r="H800" s="1">
        <v>-2.00578E-5</v>
      </c>
    </row>
    <row r="801" spans="2:8" x14ac:dyDescent="0.25">
      <c r="B801" s="1">
        <v>185.82499999999999</v>
      </c>
      <c r="C801" s="1">
        <v>1.7954999999999999E-2</v>
      </c>
      <c r="D801" s="1">
        <v>-6.9650399999999996E-3</v>
      </c>
      <c r="E801" s="1">
        <v>-1.14891E-2</v>
      </c>
      <c r="F801" s="1">
        <v>4.8070300000000002E-4</v>
      </c>
      <c r="G801" s="1">
        <v>-5.7056000000000001E-6</v>
      </c>
      <c r="H801" s="1">
        <v>-2.4148E-5</v>
      </c>
    </row>
    <row r="802" spans="2:8" x14ac:dyDescent="0.25">
      <c r="B802" s="1">
        <v>187.91499999999999</v>
      </c>
      <c r="C802" s="1">
        <v>1.7649100000000001E-2</v>
      </c>
      <c r="D802" s="1">
        <v>-6.8461900000000003E-3</v>
      </c>
      <c r="E802" s="1">
        <v>-1.12985E-2</v>
      </c>
      <c r="F802" s="1">
        <v>4.7017499999999998E-4</v>
      </c>
      <c r="G802" s="1">
        <v>-2.1857000000000001E-6</v>
      </c>
      <c r="H802" s="1">
        <v>-2.7563600000000002E-5</v>
      </c>
    </row>
    <row r="803" spans="2:8" x14ac:dyDescent="0.25">
      <c r="B803" s="1">
        <v>190.006</v>
      </c>
      <c r="C803" s="1">
        <v>1.7345699999999999E-2</v>
      </c>
      <c r="D803" s="1">
        <v>-6.72997E-3</v>
      </c>
      <c r="E803" s="1">
        <v>-1.11094E-2</v>
      </c>
      <c r="F803" s="1">
        <v>4.60233E-4</v>
      </c>
      <c r="G803" s="1">
        <v>3.0526499999999999E-6</v>
      </c>
      <c r="H803" s="1">
        <v>-3.0309000000000001E-5</v>
      </c>
    </row>
    <row r="804" spans="2:8" x14ac:dyDescent="0.25">
      <c r="B804" s="1">
        <v>192.1</v>
      </c>
      <c r="C804" s="1">
        <v>1.7044400000000001E-2</v>
      </c>
      <c r="D804" s="1">
        <v>-6.6154200000000003E-3</v>
      </c>
      <c r="E804" s="1">
        <v>-1.09214E-2</v>
      </c>
      <c r="F804" s="1">
        <v>4.5361300000000001E-4</v>
      </c>
      <c r="G804" s="1">
        <v>6.2260000000000002E-6</v>
      </c>
      <c r="H804" s="1">
        <v>-3.2610100000000001E-5</v>
      </c>
    </row>
    <row r="805" spans="2:8" x14ac:dyDescent="0.25">
      <c r="B805" s="1">
        <v>194.19499999999999</v>
      </c>
      <c r="C805" s="1">
        <v>1.67449E-2</v>
      </c>
      <c r="D805" s="1">
        <v>-6.5028500000000001E-3</v>
      </c>
      <c r="E805" s="1">
        <v>-1.0734499999999999E-2</v>
      </c>
      <c r="F805" s="1">
        <v>4.5113899999999998E-4</v>
      </c>
      <c r="G805" s="1">
        <v>6.6861600000000002E-6</v>
      </c>
      <c r="H805" s="1">
        <v>-3.4659800000000003E-5</v>
      </c>
    </row>
    <row r="806" spans="2:8" x14ac:dyDescent="0.25">
      <c r="B806" s="1">
        <v>196.291</v>
      </c>
      <c r="C806" s="1">
        <v>1.6447199999999999E-2</v>
      </c>
      <c r="D806" s="1">
        <v>-6.3929099999999999E-3</v>
      </c>
      <c r="E806" s="1">
        <v>-1.05491E-2</v>
      </c>
      <c r="F806" s="1">
        <v>4.5162199999999999E-4</v>
      </c>
      <c r="G806" s="1">
        <v>6.4537100000000004E-6</v>
      </c>
      <c r="H806" s="1">
        <v>-3.6703599999999999E-5</v>
      </c>
    </row>
    <row r="807" spans="2:8" x14ac:dyDescent="0.25">
      <c r="B807" s="1">
        <v>198.39</v>
      </c>
      <c r="C807" s="1">
        <v>1.61507E-2</v>
      </c>
      <c r="D807" s="1">
        <v>-6.2857900000000003E-3</v>
      </c>
      <c r="E807" s="1">
        <v>-1.0365600000000001E-2</v>
      </c>
      <c r="F807" s="1">
        <v>4.5385100000000002E-4</v>
      </c>
      <c r="G807" s="1">
        <v>8.0745200000000001E-6</v>
      </c>
      <c r="H807" s="1">
        <v>-3.8826199999999998E-5</v>
      </c>
    </row>
    <row r="808" spans="2:8" x14ac:dyDescent="0.25">
      <c r="B808" s="1">
        <v>200.49</v>
      </c>
      <c r="C808" s="1">
        <v>1.5853900000000001E-2</v>
      </c>
      <c r="D808" s="1">
        <v>-6.1813099999999998E-3</v>
      </c>
      <c r="E808" s="1">
        <v>-1.0184500000000001E-2</v>
      </c>
      <c r="F808" s="1">
        <v>4.5744200000000002E-4</v>
      </c>
      <c r="G808" s="1">
        <v>1.3678E-5</v>
      </c>
      <c r="H808" s="1">
        <v>-4.0865599999999997E-5</v>
      </c>
    </row>
    <row r="809" spans="2:8" x14ac:dyDescent="0.25">
      <c r="B809" s="1">
        <v>202.59200000000001</v>
      </c>
      <c r="C809" s="1">
        <v>1.55555E-2</v>
      </c>
      <c r="D809" s="1">
        <v>-6.0789599999999996E-3</v>
      </c>
      <c r="E809" s="1">
        <v>-1.00064E-2</v>
      </c>
      <c r="F809" s="1">
        <v>4.63184E-4</v>
      </c>
      <c r="G809" s="1">
        <v>2.4037300000000001E-5</v>
      </c>
      <c r="H809" s="1">
        <v>-4.2620799999999997E-5</v>
      </c>
    </row>
    <row r="810" spans="2:8" x14ac:dyDescent="0.25">
      <c r="B810" s="1">
        <v>204.69499999999999</v>
      </c>
      <c r="C810" s="1">
        <v>1.52546E-2</v>
      </c>
      <c r="D810" s="1">
        <v>-5.9777099999999998E-3</v>
      </c>
      <c r="E810" s="1">
        <v>-9.8315999999999994E-3</v>
      </c>
      <c r="F810" s="1">
        <v>4.73647E-4</v>
      </c>
      <c r="G810" s="1">
        <v>3.71494E-5</v>
      </c>
      <c r="H810" s="1">
        <v>-4.3982E-5</v>
      </c>
    </row>
    <row r="811" spans="2:8" x14ac:dyDescent="0.25">
      <c r="B811" s="1">
        <v>206.80099999999999</v>
      </c>
      <c r="C811" s="1">
        <v>1.49505E-2</v>
      </c>
      <c r="D811" s="1">
        <v>-5.87647E-3</v>
      </c>
      <c r="E811" s="1">
        <v>-9.6597999999999996E-3</v>
      </c>
      <c r="F811" s="1">
        <v>4.9236400000000002E-4</v>
      </c>
      <c r="G811" s="1">
        <v>4.8479300000000002E-5</v>
      </c>
      <c r="H811" s="1">
        <v>-4.4951399999999998E-5</v>
      </c>
    </row>
    <row r="812" spans="2:8" x14ac:dyDescent="0.25">
      <c r="B812" s="1">
        <v>208.90700000000001</v>
      </c>
      <c r="C812" s="1">
        <v>1.46441E-2</v>
      </c>
      <c r="D812" s="1">
        <v>-5.7748299999999999E-3</v>
      </c>
      <c r="E812" s="1">
        <v>-9.4900899999999996E-3</v>
      </c>
      <c r="F812" s="1">
        <v>5.2104500000000004E-4</v>
      </c>
      <c r="G812" s="1">
        <v>5.4274100000000003E-5</v>
      </c>
      <c r="H812" s="1">
        <v>-4.55208E-5</v>
      </c>
    </row>
    <row r="813" spans="2:8" x14ac:dyDescent="0.25">
      <c r="B813" s="1">
        <v>211.01400000000001</v>
      </c>
      <c r="C813" s="1">
        <v>1.43371E-2</v>
      </c>
      <c r="D813" s="1">
        <v>-5.6734200000000002E-3</v>
      </c>
      <c r="E813" s="1">
        <v>-9.3212199999999999E-3</v>
      </c>
      <c r="F813" s="1">
        <v>5.5813E-4</v>
      </c>
      <c r="G813" s="1">
        <v>5.3742700000000003E-5</v>
      </c>
      <c r="H813" s="1">
        <v>-4.5665399999999998E-5</v>
      </c>
    </row>
    <row r="814" spans="2:8" x14ac:dyDescent="0.25">
      <c r="B814" s="1">
        <v>213.12200000000001</v>
      </c>
      <c r="C814" s="1">
        <v>1.4031699999999999E-2</v>
      </c>
      <c r="D814" s="1">
        <v>-5.5734199999999999E-3</v>
      </c>
      <c r="E814" s="1">
        <v>-9.1519800000000005E-3</v>
      </c>
      <c r="F814" s="1">
        <v>5.9979100000000002E-4</v>
      </c>
      <c r="G814" s="1">
        <v>4.8501600000000003E-5</v>
      </c>
      <c r="H814" s="1">
        <v>-4.5430699999999999E-5</v>
      </c>
    </row>
    <row r="815" spans="2:8" x14ac:dyDescent="0.25">
      <c r="B815" s="1">
        <v>215.232</v>
      </c>
      <c r="C815" s="1">
        <v>1.37295E-2</v>
      </c>
      <c r="D815" s="1">
        <v>-5.4760499999999997E-3</v>
      </c>
      <c r="E815" s="1">
        <v>-8.9815399999999997E-3</v>
      </c>
      <c r="F815" s="1">
        <v>6.4168299999999999E-4</v>
      </c>
      <c r="G815" s="1">
        <v>4.1628600000000003E-5</v>
      </c>
      <c r="H815" s="1">
        <v>-4.4817200000000002E-5</v>
      </c>
    </row>
    <row r="816" spans="2:8" x14ac:dyDescent="0.25">
      <c r="B816" s="1">
        <v>217.34299999999999</v>
      </c>
      <c r="C816" s="1">
        <v>1.3431E-2</v>
      </c>
      <c r="D816" s="1">
        <v>-5.3819799999999998E-3</v>
      </c>
      <c r="E816" s="1">
        <v>-8.8098399999999993E-3</v>
      </c>
      <c r="F816" s="1">
        <v>6.8112200000000004E-4</v>
      </c>
      <c r="G816" s="1">
        <v>3.5945999999999998E-5</v>
      </c>
      <c r="H816" s="1">
        <v>-4.3772100000000001E-5</v>
      </c>
    </row>
    <row r="817" spans="2:8" x14ac:dyDescent="0.25">
      <c r="B817" s="1">
        <v>219.45599999999999</v>
      </c>
      <c r="C817" s="1">
        <v>1.3135600000000001E-2</v>
      </c>
      <c r="D817" s="1">
        <v>-5.2910500000000003E-3</v>
      </c>
      <c r="E817" s="1">
        <v>-8.6376400000000002E-3</v>
      </c>
      <c r="F817" s="1">
        <v>7.1831399999999995E-4</v>
      </c>
      <c r="G817" s="1">
        <v>3.2404899999999999E-5</v>
      </c>
      <c r="H817" s="1">
        <v>-4.2362299999999999E-5</v>
      </c>
    </row>
    <row r="818" spans="2:8" x14ac:dyDescent="0.25">
      <c r="B818" s="1">
        <v>221.56800000000001</v>
      </c>
      <c r="C818" s="1">
        <v>1.2842299999999999E-2</v>
      </c>
      <c r="D818" s="1">
        <v>-5.2025200000000004E-3</v>
      </c>
      <c r="E818" s="1">
        <v>-8.4661900000000002E-3</v>
      </c>
      <c r="F818" s="1">
        <v>7.5533600000000001E-4</v>
      </c>
      <c r="G818" s="1">
        <v>3.0323499999999999E-5</v>
      </c>
      <c r="H818" s="1">
        <v>-4.0812600000000003E-5</v>
      </c>
    </row>
    <row r="819" spans="2:8" x14ac:dyDescent="0.25">
      <c r="B819" s="1">
        <v>223.68199999999999</v>
      </c>
      <c r="C819" s="1">
        <v>1.25503E-2</v>
      </c>
      <c r="D819" s="1">
        <v>-5.1157199999999998E-3</v>
      </c>
      <c r="E819" s="1">
        <v>-8.2966700000000008E-3</v>
      </c>
      <c r="F819" s="1">
        <v>7.9449200000000005E-4</v>
      </c>
      <c r="G819" s="1">
        <v>2.81996E-5</v>
      </c>
      <c r="H819" s="1">
        <v>-3.94266E-5</v>
      </c>
    </row>
    <row r="820" spans="2:8" x14ac:dyDescent="0.25">
      <c r="B820" s="1">
        <v>225.797</v>
      </c>
      <c r="C820" s="1">
        <v>1.22603E-2</v>
      </c>
      <c r="D820" s="1">
        <v>-5.0306600000000002E-3</v>
      </c>
      <c r="E820" s="1">
        <v>-8.1297299999999999E-3</v>
      </c>
      <c r="F820" s="1">
        <v>8.3650100000000002E-4</v>
      </c>
      <c r="G820" s="1">
        <v>2.5213000000000001E-5</v>
      </c>
      <c r="H820" s="1">
        <v>-3.8359799999999998E-5</v>
      </c>
    </row>
    <row r="821" spans="2:8" x14ac:dyDescent="0.25">
      <c r="B821" s="1">
        <v>227.91300000000001</v>
      </c>
      <c r="C821" s="1">
        <v>1.1974E-2</v>
      </c>
      <c r="D821" s="1">
        <v>-4.9479900000000002E-3</v>
      </c>
      <c r="E821" s="1">
        <v>-7.9653599999999995E-3</v>
      </c>
      <c r="F821" s="1">
        <v>8.7957400000000005E-4</v>
      </c>
      <c r="G821" s="1">
        <v>2.2277600000000002E-5</v>
      </c>
      <c r="H821" s="1">
        <v>-3.7493000000000002E-5</v>
      </c>
    </row>
    <row r="822" spans="2:8" x14ac:dyDescent="0.25">
      <c r="B822" s="1">
        <v>230.029</v>
      </c>
      <c r="C822" s="1">
        <v>1.1692900000000001E-2</v>
      </c>
      <c r="D822" s="1">
        <v>-4.8682200000000004E-3</v>
      </c>
      <c r="E822" s="1">
        <v>-7.8031000000000003E-3</v>
      </c>
      <c r="F822" s="1">
        <v>9.2073899999999995E-4</v>
      </c>
      <c r="G822" s="1">
        <v>2.10066E-5</v>
      </c>
      <c r="H822" s="1">
        <v>-3.6643500000000002E-5</v>
      </c>
    </row>
    <row r="823" spans="2:8" x14ac:dyDescent="0.25">
      <c r="B823" s="1">
        <v>232.14599999999999</v>
      </c>
      <c r="C823" s="1">
        <v>1.1417500000000001E-2</v>
      </c>
      <c r="D823" s="1">
        <v>-4.7911899999999999E-3</v>
      </c>
      <c r="E823" s="1">
        <v>-7.6423699999999999E-3</v>
      </c>
      <c r="F823" s="1">
        <v>9.5758400000000004E-4</v>
      </c>
      <c r="G823" s="1">
        <v>2.2748999999999999E-5</v>
      </c>
      <c r="H823" s="1">
        <v>-3.57336E-5</v>
      </c>
    </row>
    <row r="824" spans="2:8" x14ac:dyDescent="0.25">
      <c r="B824" s="1">
        <v>234.26400000000001</v>
      </c>
      <c r="C824" s="1">
        <v>1.11468E-2</v>
      </c>
      <c r="D824" s="1">
        <v>-4.7163300000000003E-3</v>
      </c>
      <c r="E824" s="1">
        <v>-7.4827000000000001E-3</v>
      </c>
      <c r="F824" s="1">
        <v>9.8955500000000004E-4</v>
      </c>
      <c r="G824" s="1">
        <v>2.7985000000000001E-5</v>
      </c>
      <c r="H824" s="1">
        <v>-3.4782300000000001E-5</v>
      </c>
    </row>
    <row r="825" spans="2:8" x14ac:dyDescent="0.25">
      <c r="B825" s="1">
        <v>236.38200000000001</v>
      </c>
      <c r="C825" s="1">
        <v>1.08789E-2</v>
      </c>
      <c r="D825" s="1">
        <v>-4.6429499999999999E-3</v>
      </c>
      <c r="E825" s="1">
        <v>-7.3238399999999999E-3</v>
      </c>
      <c r="F825" s="1">
        <v>1.0187600000000001E-3</v>
      </c>
      <c r="G825" s="1">
        <v>3.5188399999999997E-5</v>
      </c>
      <c r="H825" s="1">
        <v>-3.3922199999999999E-5</v>
      </c>
    </row>
    <row r="826" spans="2:8" x14ac:dyDescent="0.25">
      <c r="B826" s="1">
        <v>238.50200000000001</v>
      </c>
      <c r="C826" s="1">
        <v>1.06128E-2</v>
      </c>
      <c r="D826" s="1">
        <v>-4.5706399999999999E-3</v>
      </c>
      <c r="E826" s="1">
        <v>-7.16564E-3</v>
      </c>
      <c r="F826" s="1">
        <v>1.0483300000000001E-3</v>
      </c>
      <c r="G826" s="1">
        <v>4.1849199999999999E-5</v>
      </c>
      <c r="H826" s="1">
        <v>-3.3373500000000002E-5</v>
      </c>
    </row>
    <row r="827" spans="2:8" x14ac:dyDescent="0.25">
      <c r="B827" s="1">
        <v>240.62100000000001</v>
      </c>
      <c r="C827" s="1">
        <v>1.0347800000000001E-2</v>
      </c>
      <c r="D827" s="1">
        <v>-4.4996000000000003E-3</v>
      </c>
      <c r="E827" s="1">
        <v>-7.0081199999999996E-3</v>
      </c>
      <c r="F827" s="1">
        <v>1.0795500000000001E-3</v>
      </c>
      <c r="G827" s="1">
        <v>4.7144999999999997E-5</v>
      </c>
      <c r="H827" s="1">
        <v>-3.3274200000000001E-5</v>
      </c>
    </row>
    <row r="828" spans="2:8" x14ac:dyDescent="0.25">
      <c r="B828" s="1">
        <v>242.74199999999999</v>
      </c>
      <c r="C828" s="1">
        <v>1.0084299999999999E-2</v>
      </c>
      <c r="D828" s="1">
        <v>-4.4302300000000003E-3</v>
      </c>
      <c r="E828" s="1">
        <v>-6.8513899999999997E-3</v>
      </c>
      <c r="F828" s="1">
        <v>1.1120500000000001E-3</v>
      </c>
      <c r="G828" s="1">
        <v>5.1614299999999998E-5</v>
      </c>
      <c r="H828" s="1">
        <v>-3.3629800000000001E-5</v>
      </c>
    </row>
    <row r="829" spans="2:8" x14ac:dyDescent="0.25">
      <c r="B829" s="1">
        <v>244.863</v>
      </c>
      <c r="C829" s="1">
        <v>9.8230699999999997E-3</v>
      </c>
      <c r="D829" s="1">
        <v>-4.3624400000000004E-3</v>
      </c>
      <c r="E829" s="1">
        <v>-6.6956699999999999E-3</v>
      </c>
      <c r="F829" s="1">
        <v>1.1456700000000001E-3</v>
      </c>
      <c r="G829" s="1">
        <v>5.4976699999999998E-5</v>
      </c>
      <c r="H829" s="1">
        <v>-3.4362800000000002E-5</v>
      </c>
    </row>
    <row r="830" spans="2:8" x14ac:dyDescent="0.25">
      <c r="B830" s="1">
        <v>246.98400000000001</v>
      </c>
      <c r="C830" s="1">
        <v>9.5645499999999998E-3</v>
      </c>
      <c r="D830" s="1">
        <v>-4.2956499999999998E-3</v>
      </c>
      <c r="E830" s="1">
        <v>-6.5411799999999997E-3</v>
      </c>
      <c r="F830" s="1">
        <v>1.18088E-3</v>
      </c>
      <c r="G830" s="1">
        <v>5.6060899999999997E-5</v>
      </c>
      <c r="H830" s="1">
        <v>-3.5342700000000003E-5</v>
      </c>
    </row>
    <row r="831" spans="2:8" x14ac:dyDescent="0.25">
      <c r="B831" s="1">
        <v>249.10599999999999</v>
      </c>
      <c r="C831" s="1">
        <v>9.3090900000000008E-3</v>
      </c>
      <c r="D831" s="1">
        <v>-4.2294300000000002E-3</v>
      </c>
      <c r="E831" s="1">
        <v>-6.3881500000000004E-3</v>
      </c>
      <c r="F831" s="1">
        <v>1.21773E-3</v>
      </c>
      <c r="G831" s="1">
        <v>5.4363800000000003E-5</v>
      </c>
      <c r="H831" s="1">
        <v>-3.6390000000000002E-5</v>
      </c>
    </row>
    <row r="832" spans="2:8" x14ac:dyDescent="0.25">
      <c r="B832" s="1">
        <v>251.22900000000001</v>
      </c>
      <c r="C832" s="1">
        <v>9.05713E-3</v>
      </c>
      <c r="D832" s="1">
        <v>-4.16373E-3</v>
      </c>
      <c r="E832" s="1">
        <v>-6.2367799999999999E-3</v>
      </c>
      <c r="F832" s="1">
        <v>1.25562E-3</v>
      </c>
      <c r="G832" s="1">
        <v>5.0429800000000003E-5</v>
      </c>
      <c r="H832" s="1">
        <v>-3.73255E-5</v>
      </c>
    </row>
    <row r="833" spans="2:8" x14ac:dyDescent="0.25">
      <c r="B833" s="1">
        <v>253.351</v>
      </c>
      <c r="C833" s="1">
        <v>8.8093300000000006E-3</v>
      </c>
      <c r="D833" s="1">
        <v>-4.0988200000000004E-3</v>
      </c>
      <c r="E833" s="1">
        <v>-6.0873100000000003E-3</v>
      </c>
      <c r="F833" s="1">
        <v>1.2935900000000001E-3</v>
      </c>
      <c r="G833" s="1">
        <v>4.5172500000000002E-5</v>
      </c>
      <c r="H833" s="1">
        <v>-3.8035699999999999E-5</v>
      </c>
    </row>
    <row r="834" spans="2:8" x14ac:dyDescent="0.25">
      <c r="B834" s="1">
        <v>255.47499999999999</v>
      </c>
      <c r="C834" s="1">
        <v>8.5666400000000004E-3</v>
      </c>
      <c r="D834" s="1">
        <v>-4.03506E-3</v>
      </c>
      <c r="E834" s="1">
        <v>-5.9400199999999998E-3</v>
      </c>
      <c r="F834" s="1">
        <v>1.3304E-3</v>
      </c>
      <c r="G834" s="1">
        <v>3.9536999999999998E-5</v>
      </c>
      <c r="H834" s="1">
        <v>-3.8495599999999998E-5</v>
      </c>
    </row>
    <row r="835" spans="2:8" x14ac:dyDescent="0.25">
      <c r="B835" s="1">
        <v>257.59800000000001</v>
      </c>
      <c r="C835" s="1">
        <v>8.3299099999999994E-3</v>
      </c>
      <c r="D835" s="1">
        <v>-3.9726600000000003E-3</v>
      </c>
      <c r="E835" s="1">
        <v>-5.7950900000000001E-3</v>
      </c>
      <c r="F835" s="1">
        <v>1.3646800000000001E-3</v>
      </c>
      <c r="G835" s="1">
        <v>3.4347100000000002E-5</v>
      </c>
      <c r="H835" s="1">
        <v>-3.8815E-5</v>
      </c>
    </row>
    <row r="836" spans="2:8" x14ac:dyDescent="0.25">
      <c r="B836" s="1">
        <v>259.72300000000001</v>
      </c>
      <c r="C836" s="1">
        <v>8.0995000000000008E-3</v>
      </c>
      <c r="D836" s="1">
        <v>-3.9116400000000001E-3</v>
      </c>
      <c r="E836" s="1">
        <v>-5.6526199999999997E-3</v>
      </c>
      <c r="F836" s="1">
        <v>1.39551E-3</v>
      </c>
      <c r="G836" s="1">
        <v>3.0059000000000001E-5</v>
      </c>
      <c r="H836" s="1">
        <v>-3.9195800000000002E-5</v>
      </c>
    </row>
    <row r="837" spans="2:8" x14ac:dyDescent="0.25">
      <c r="B837" s="1">
        <v>261.84699999999998</v>
      </c>
      <c r="C837" s="1">
        <v>7.8750799999999996E-3</v>
      </c>
      <c r="D837" s="1">
        <v>-3.8518799999999998E-3</v>
      </c>
      <c r="E837" s="1">
        <v>-5.5124900000000001E-3</v>
      </c>
      <c r="F837" s="1">
        <v>1.42292E-3</v>
      </c>
      <c r="G837" s="1">
        <v>2.65943E-5</v>
      </c>
      <c r="H837" s="1">
        <v>-3.9776900000000002E-5</v>
      </c>
    </row>
    <row r="838" spans="2:8" x14ac:dyDescent="0.25">
      <c r="B838" s="1">
        <v>263.971</v>
      </c>
      <c r="C838" s="1">
        <v>7.65593E-3</v>
      </c>
      <c r="D838" s="1">
        <v>-3.7932399999999998E-3</v>
      </c>
      <c r="E838" s="1">
        <v>-5.3744600000000002E-3</v>
      </c>
      <c r="F838" s="1">
        <v>1.4476199999999999E-3</v>
      </c>
      <c r="G838" s="1">
        <v>2.3634699999999999E-5</v>
      </c>
      <c r="H838" s="1">
        <v>-4.0513399999999997E-5</v>
      </c>
    </row>
    <row r="839" spans="2:8" x14ac:dyDescent="0.25">
      <c r="B839" s="1">
        <v>266.096</v>
      </c>
      <c r="C839" s="1">
        <v>7.4414700000000004E-3</v>
      </c>
      <c r="D839" s="1">
        <v>-3.73581E-3</v>
      </c>
      <c r="E839" s="1">
        <v>-5.23837E-3</v>
      </c>
      <c r="F839" s="1">
        <v>1.47013E-3</v>
      </c>
      <c r="G839" s="1">
        <v>2.1349099999999999E-5</v>
      </c>
      <c r="H839" s="1">
        <v>-4.1225800000000001E-5</v>
      </c>
    </row>
    <row r="840" spans="2:8" x14ac:dyDescent="0.25">
      <c r="B840" s="1">
        <v>268.22199999999998</v>
      </c>
      <c r="C840" s="1">
        <v>7.2314900000000001E-3</v>
      </c>
      <c r="D840" s="1">
        <v>-3.6797800000000001E-3</v>
      </c>
      <c r="E840" s="1">
        <v>-5.1043099999999999E-3</v>
      </c>
      <c r="F840" s="1">
        <v>1.4903900000000001E-3</v>
      </c>
      <c r="G840" s="1">
        <v>2.0474100000000001E-5</v>
      </c>
      <c r="H840" s="1">
        <v>-4.1747199999999999E-5</v>
      </c>
    </row>
    <row r="841" spans="2:8" x14ac:dyDescent="0.25">
      <c r="B841" s="1">
        <v>270.34800000000001</v>
      </c>
      <c r="C841" s="1">
        <v>7.0259600000000004E-3</v>
      </c>
      <c r="D841" s="1">
        <v>-3.6253600000000002E-3</v>
      </c>
      <c r="E841" s="1">
        <v>-4.9725100000000003E-3</v>
      </c>
      <c r="F841" s="1">
        <v>1.5085000000000001E-3</v>
      </c>
      <c r="G841" s="1">
        <v>2.1425199999999999E-5</v>
      </c>
      <c r="H841" s="1">
        <v>-4.1977600000000003E-5</v>
      </c>
    </row>
    <row r="842" spans="2:8" x14ac:dyDescent="0.25">
      <c r="B842" s="1">
        <v>272.47399999999999</v>
      </c>
      <c r="C842" s="1">
        <v>6.8247300000000002E-3</v>
      </c>
      <c r="D842" s="1">
        <v>-3.5726099999999999E-3</v>
      </c>
      <c r="E842" s="1">
        <v>-4.8430699999999997E-3</v>
      </c>
      <c r="F842" s="1">
        <v>1.5254999999999999E-3</v>
      </c>
      <c r="G842" s="1">
        <v>2.35779E-5</v>
      </c>
      <c r="H842" s="1">
        <v>-4.18711E-5</v>
      </c>
    </row>
    <row r="843" spans="2:8" x14ac:dyDescent="0.25">
      <c r="B843" s="1">
        <v>274.60000000000002</v>
      </c>
      <c r="C843" s="1">
        <v>6.6273599999999997E-3</v>
      </c>
      <c r="D843" s="1">
        <v>-3.52155E-3</v>
      </c>
      <c r="E843" s="1">
        <v>-4.7159999999999997E-3</v>
      </c>
      <c r="F843" s="1">
        <v>1.5427800000000001E-3</v>
      </c>
      <c r="G843" s="1">
        <v>2.6023000000000001E-5</v>
      </c>
      <c r="H843" s="1">
        <v>-4.1391699999999999E-5</v>
      </c>
    </row>
    <row r="844" spans="2:8" x14ac:dyDescent="0.25">
      <c r="B844" s="1">
        <v>276.72699999999998</v>
      </c>
      <c r="C844" s="1">
        <v>6.4332199999999999E-3</v>
      </c>
      <c r="D844" s="1">
        <v>-3.4721700000000001E-3</v>
      </c>
      <c r="E844" s="1">
        <v>-4.5912899999999996E-3</v>
      </c>
      <c r="F844" s="1">
        <v>1.56127E-3</v>
      </c>
      <c r="G844" s="1">
        <v>2.8465800000000001E-5</v>
      </c>
      <c r="H844" s="1">
        <v>-4.05146E-5</v>
      </c>
    </row>
    <row r="845" spans="2:8" x14ac:dyDescent="0.25">
      <c r="B845" s="1">
        <v>278.85300000000001</v>
      </c>
      <c r="C845" s="1">
        <v>6.2416099999999999E-3</v>
      </c>
      <c r="D845" s="1">
        <v>-3.4243500000000001E-3</v>
      </c>
      <c r="E845" s="1">
        <v>-4.4689400000000002E-3</v>
      </c>
      <c r="F845" s="1">
        <v>1.5816000000000001E-3</v>
      </c>
      <c r="G845" s="1">
        <v>3.0821999999999997E-5</v>
      </c>
      <c r="H845" s="1">
        <v>-3.92566E-5</v>
      </c>
    </row>
    <row r="846" spans="2:8" x14ac:dyDescent="0.25">
      <c r="B846" s="1">
        <v>280.98099999999999</v>
      </c>
      <c r="C846" s="1">
        <v>6.0518600000000001E-3</v>
      </c>
      <c r="D846" s="1">
        <v>-3.3777600000000001E-3</v>
      </c>
      <c r="E846" s="1">
        <v>-4.3489599999999998E-3</v>
      </c>
      <c r="F846" s="1">
        <v>1.6044900000000001E-3</v>
      </c>
      <c r="G846" s="1">
        <v>3.2707299999999998E-5</v>
      </c>
      <c r="H846" s="1">
        <v>-3.76621E-5</v>
      </c>
    </row>
    <row r="847" spans="2:8" x14ac:dyDescent="0.25">
      <c r="B847" s="1">
        <v>283.108</v>
      </c>
      <c r="C847" s="1">
        <v>5.8633299999999999E-3</v>
      </c>
      <c r="D847" s="1">
        <v>-3.3319500000000002E-3</v>
      </c>
      <c r="E847" s="1">
        <v>-4.2313400000000001E-3</v>
      </c>
      <c r="F847" s="1">
        <v>1.6304500000000001E-3</v>
      </c>
      <c r="G847" s="1">
        <v>3.3730999999999999E-5</v>
      </c>
      <c r="H847" s="1">
        <v>-3.5781899999999997E-5</v>
      </c>
    </row>
    <row r="848" spans="2:8" x14ac:dyDescent="0.25">
      <c r="B848" s="1">
        <v>285.23599999999999</v>
      </c>
      <c r="C848" s="1">
        <v>5.6755800000000004E-3</v>
      </c>
      <c r="D848" s="1">
        <v>-3.2866200000000001E-3</v>
      </c>
      <c r="E848" s="1">
        <v>-4.1159999999999999E-3</v>
      </c>
      <c r="F848" s="1">
        <v>1.65953E-3</v>
      </c>
      <c r="G848" s="1">
        <v>3.3855700000000002E-5</v>
      </c>
      <c r="H848" s="1">
        <v>-3.36633E-5</v>
      </c>
    </row>
    <row r="849" spans="2:8" x14ac:dyDescent="0.25">
      <c r="B849" s="1">
        <v>287.363</v>
      </c>
      <c r="C849" s="1">
        <v>5.4884900000000004E-3</v>
      </c>
      <c r="D849" s="1">
        <v>-3.2416799999999998E-3</v>
      </c>
      <c r="E849" s="1">
        <v>-4.0027300000000004E-3</v>
      </c>
      <c r="F849" s="1">
        <v>1.69155E-3</v>
      </c>
      <c r="G849" s="1">
        <v>3.3018000000000001E-5</v>
      </c>
      <c r="H849" s="1">
        <v>-3.1356499999999997E-5</v>
      </c>
    </row>
    <row r="850" spans="2:8" x14ac:dyDescent="0.25">
      <c r="B850" s="1">
        <v>289.49200000000002</v>
      </c>
      <c r="C850" s="1">
        <v>5.3022E-3</v>
      </c>
      <c r="D850" s="1">
        <v>-3.1972099999999998E-3</v>
      </c>
      <c r="E850" s="1">
        <v>-3.8911499999999999E-3</v>
      </c>
      <c r="F850" s="1">
        <v>1.72634E-3</v>
      </c>
      <c r="G850" s="1">
        <v>3.08912E-5</v>
      </c>
      <c r="H850" s="1">
        <v>-2.8920399999999998E-5</v>
      </c>
    </row>
    <row r="851" spans="2:8" x14ac:dyDescent="0.25">
      <c r="B851" s="1">
        <v>291.62</v>
      </c>
      <c r="C851" s="1">
        <v>5.1169600000000003E-3</v>
      </c>
      <c r="D851" s="1">
        <v>-3.1533899999999998E-3</v>
      </c>
      <c r="E851" s="1">
        <v>-3.7808099999999999E-3</v>
      </c>
      <c r="F851" s="1">
        <v>1.7635999999999999E-3</v>
      </c>
      <c r="G851" s="1">
        <v>2.7183400000000001E-5</v>
      </c>
      <c r="H851" s="1">
        <v>-2.6455300000000001E-5</v>
      </c>
    </row>
    <row r="852" spans="2:8" x14ac:dyDescent="0.25">
      <c r="B852" s="1">
        <v>293.74799999999999</v>
      </c>
      <c r="C852" s="1">
        <v>4.9329999999999999E-3</v>
      </c>
      <c r="D852" s="1">
        <v>-3.1103400000000001E-3</v>
      </c>
      <c r="E852" s="1">
        <v>-3.6713800000000001E-3</v>
      </c>
      <c r="F852" s="1">
        <v>1.80288E-3</v>
      </c>
      <c r="G852" s="1">
        <v>2.16898E-5</v>
      </c>
      <c r="H852" s="1">
        <v>-2.4150799999999999E-5</v>
      </c>
    </row>
    <row r="853" spans="2:8" x14ac:dyDescent="0.25">
      <c r="B853" s="1">
        <v>295.87599999999998</v>
      </c>
      <c r="C853" s="1">
        <v>4.7505000000000004E-3</v>
      </c>
      <c r="D853" s="1">
        <v>-3.0680400000000002E-3</v>
      </c>
      <c r="E853" s="1">
        <v>-3.56274E-3</v>
      </c>
      <c r="F853" s="1">
        <v>1.8436100000000001E-3</v>
      </c>
      <c r="G853" s="1">
        <v>1.4410600000000001E-5</v>
      </c>
      <c r="H853" s="1">
        <v>-2.2262499999999999E-5</v>
      </c>
    </row>
    <row r="854" spans="2:8" x14ac:dyDescent="0.25">
      <c r="B854" s="1">
        <v>298.005</v>
      </c>
      <c r="C854" s="1">
        <v>4.5696699999999996E-3</v>
      </c>
      <c r="D854" s="1">
        <v>-3.02645E-3</v>
      </c>
      <c r="E854" s="1">
        <v>-3.4551299999999998E-3</v>
      </c>
      <c r="F854" s="1">
        <v>1.8848199999999999E-3</v>
      </c>
      <c r="G854" s="1">
        <v>6.0889399999999997E-6</v>
      </c>
      <c r="H854" s="1">
        <v>-2.1007599999999999E-5</v>
      </c>
    </row>
    <row r="855" spans="2:8" x14ac:dyDescent="0.25">
      <c r="B855" s="1">
        <v>300.13400000000001</v>
      </c>
      <c r="C855" s="1">
        <v>4.3908000000000003E-3</v>
      </c>
      <c r="D855" s="1">
        <v>-2.9856499999999998E-3</v>
      </c>
      <c r="E855" s="1">
        <v>-3.3490600000000001E-3</v>
      </c>
      <c r="F855" s="1">
        <v>1.9251299999999999E-3</v>
      </c>
      <c r="G855" s="1">
        <v>-1.6981399999999999E-6</v>
      </c>
      <c r="H855" s="1">
        <v>-2.04938E-5</v>
      </c>
    </row>
    <row r="856" spans="2:8" x14ac:dyDescent="0.25">
      <c r="B856" s="1">
        <v>302.26299999999998</v>
      </c>
      <c r="C856" s="1">
        <v>4.2141699999999997E-3</v>
      </c>
      <c r="D856" s="1">
        <v>-2.9457300000000001E-3</v>
      </c>
      <c r="E856" s="1">
        <v>-3.2452100000000001E-3</v>
      </c>
      <c r="F856" s="1">
        <v>1.9633900000000002E-3</v>
      </c>
      <c r="G856" s="1">
        <v>-7.31134E-6</v>
      </c>
      <c r="H856" s="1">
        <v>-2.06899E-5</v>
      </c>
    </row>
    <row r="857" spans="2:8" x14ac:dyDescent="0.25">
      <c r="B857" s="1">
        <v>304.39299999999997</v>
      </c>
      <c r="C857" s="1">
        <v>4.0399700000000004E-3</v>
      </c>
      <c r="D857" s="1">
        <v>-2.9067199999999998E-3</v>
      </c>
      <c r="E857" s="1">
        <v>-3.14424E-3</v>
      </c>
      <c r="F857" s="1">
        <v>1.99957E-3</v>
      </c>
      <c r="G857" s="1">
        <v>-1.00659E-5</v>
      </c>
      <c r="H857" s="1">
        <v>-2.1486499999999998E-5</v>
      </c>
    </row>
    <row r="858" spans="2:8" x14ac:dyDescent="0.25">
      <c r="B858" s="1">
        <v>306.52199999999999</v>
      </c>
      <c r="C858" s="1">
        <v>3.8682299999999998E-3</v>
      </c>
      <c r="D858" s="1">
        <v>-2.8686599999999999E-3</v>
      </c>
      <c r="E858" s="1">
        <v>-3.0467100000000002E-3</v>
      </c>
      <c r="F858" s="1">
        <v>2.0346299999999999E-3</v>
      </c>
      <c r="G858" s="1">
        <v>-1.02398E-5</v>
      </c>
      <c r="H858" s="1">
        <v>-2.27437E-5</v>
      </c>
    </row>
    <row r="859" spans="2:8" x14ac:dyDescent="0.25">
      <c r="B859" s="1">
        <v>308.65100000000001</v>
      </c>
      <c r="C859" s="1">
        <v>3.6989499999999999E-3</v>
      </c>
      <c r="D859" s="1">
        <v>-2.8317899999999998E-3</v>
      </c>
      <c r="E859" s="1">
        <v>-2.9529700000000001E-3</v>
      </c>
      <c r="F859" s="1">
        <v>2.0696999999999998E-3</v>
      </c>
      <c r="G859" s="1">
        <v>-8.1840600000000007E-6</v>
      </c>
      <c r="H859" s="1">
        <v>-2.4313900000000001E-5</v>
      </c>
    </row>
    <row r="860" spans="2:8" x14ac:dyDescent="0.25">
      <c r="B860" s="1">
        <v>310.78100000000001</v>
      </c>
      <c r="C860" s="1">
        <v>3.5320999999999998E-3</v>
      </c>
      <c r="D860" s="1">
        <v>-2.79634E-3</v>
      </c>
      <c r="E860" s="1">
        <v>-2.8633399999999998E-3</v>
      </c>
      <c r="F860" s="1">
        <v>2.1053700000000001E-3</v>
      </c>
      <c r="G860" s="1">
        <v>-3.8793500000000004E-6</v>
      </c>
      <c r="H860" s="1">
        <v>-2.60871E-5</v>
      </c>
    </row>
    <row r="861" spans="2:8" x14ac:dyDescent="0.25">
      <c r="B861" s="1">
        <v>312.911</v>
      </c>
      <c r="C861" s="1">
        <v>3.3677400000000001E-3</v>
      </c>
      <c r="D861" s="1">
        <v>-2.7622499999999999E-3</v>
      </c>
      <c r="E861" s="1">
        <v>-2.7781099999999999E-3</v>
      </c>
      <c r="F861" s="1">
        <v>2.14204E-3</v>
      </c>
      <c r="G861" s="1">
        <v>2.5535300000000002E-6</v>
      </c>
      <c r="H861" s="1">
        <v>-2.8030599999999999E-5</v>
      </c>
    </row>
    <row r="862" spans="2:8" x14ac:dyDescent="0.25">
      <c r="B862" s="1">
        <v>315.04199999999997</v>
      </c>
      <c r="C862" s="1">
        <v>3.2058899999999999E-3</v>
      </c>
      <c r="D862" s="1">
        <v>-2.7290600000000002E-3</v>
      </c>
      <c r="E862" s="1">
        <v>-2.6974400000000002E-3</v>
      </c>
      <c r="F862" s="1">
        <v>2.18059E-3</v>
      </c>
      <c r="G862" s="1">
        <v>9.8026399999999994E-6</v>
      </c>
      <c r="H862" s="1">
        <v>-3.0213999999999999E-5</v>
      </c>
    </row>
    <row r="863" spans="2:8" x14ac:dyDescent="0.25">
      <c r="B863" s="1">
        <v>317.17200000000003</v>
      </c>
      <c r="C863" s="1">
        <v>3.0465900000000001E-3</v>
      </c>
      <c r="D863" s="1">
        <v>-2.6963899999999999E-3</v>
      </c>
      <c r="E863" s="1">
        <v>-2.6211799999999999E-3</v>
      </c>
      <c r="F863" s="1">
        <v>2.2222000000000001E-3</v>
      </c>
      <c r="G863" s="1">
        <v>1.6083399999999999E-5</v>
      </c>
      <c r="H863" s="1">
        <v>-3.2702400000000001E-5</v>
      </c>
    </row>
    <row r="864" spans="2:8" x14ac:dyDescent="0.25">
      <c r="B864" s="1">
        <v>319.30200000000002</v>
      </c>
      <c r="C864" s="1">
        <v>2.88997E-3</v>
      </c>
      <c r="D864" s="1">
        <v>-2.6644799999999999E-3</v>
      </c>
      <c r="E864" s="1">
        <v>-2.5488899999999998E-3</v>
      </c>
      <c r="F864" s="1">
        <v>2.2669600000000002E-3</v>
      </c>
      <c r="G864" s="1">
        <v>2.10131E-5</v>
      </c>
      <c r="H864" s="1">
        <v>-3.5426100000000003E-5</v>
      </c>
    </row>
    <row r="865" spans="2:8" x14ac:dyDescent="0.25">
      <c r="B865" s="1">
        <v>321.43299999999999</v>
      </c>
      <c r="C865" s="1">
        <v>2.7362799999999998E-3</v>
      </c>
      <c r="D865" s="1">
        <v>-2.63386E-3</v>
      </c>
      <c r="E865" s="1">
        <v>-2.4800500000000001E-3</v>
      </c>
      <c r="F865" s="1">
        <v>2.3140399999999998E-3</v>
      </c>
      <c r="G865" s="1">
        <v>2.5290500000000001E-5</v>
      </c>
      <c r="H865" s="1">
        <v>-3.82926E-5</v>
      </c>
    </row>
    <row r="866" spans="2:8" x14ac:dyDescent="0.25">
      <c r="B866" s="1">
        <v>323.56299999999999</v>
      </c>
      <c r="C866" s="1">
        <v>2.5857900000000001E-3</v>
      </c>
      <c r="D866" s="1">
        <v>-2.6049200000000002E-3</v>
      </c>
      <c r="E866" s="1">
        <v>-2.4141900000000001E-3</v>
      </c>
      <c r="F866" s="1">
        <v>2.3624599999999998E-3</v>
      </c>
      <c r="G866" s="1">
        <v>2.9616800000000001E-5</v>
      </c>
      <c r="H866" s="1">
        <v>-4.1244500000000001E-5</v>
      </c>
    </row>
    <row r="867" spans="2:8" x14ac:dyDescent="0.25">
      <c r="B867" s="1">
        <v>325.69400000000002</v>
      </c>
      <c r="C867" s="1">
        <v>2.4386099999999999E-3</v>
      </c>
      <c r="D867" s="1">
        <v>-2.5779100000000001E-3</v>
      </c>
      <c r="E867" s="1">
        <v>-2.3509099999999999E-3</v>
      </c>
      <c r="F867" s="1">
        <v>2.4112999999999999E-3</v>
      </c>
      <c r="G867" s="1">
        <v>3.4731399999999998E-5</v>
      </c>
      <c r="H867" s="1">
        <v>-4.41921E-5</v>
      </c>
    </row>
    <row r="868" spans="2:8" x14ac:dyDescent="0.25">
      <c r="B868" s="1">
        <v>327.82600000000002</v>
      </c>
      <c r="C868" s="1">
        <v>2.29474E-3</v>
      </c>
      <c r="D868" s="1">
        <v>-2.5528500000000002E-3</v>
      </c>
      <c r="E868" s="1">
        <v>-2.28991E-3</v>
      </c>
      <c r="F868" s="1">
        <v>2.45977E-3</v>
      </c>
      <c r="G868" s="1">
        <v>4.1260200000000002E-5</v>
      </c>
      <c r="H868" s="1">
        <v>-4.7007199999999999E-5</v>
      </c>
    </row>
    <row r="869" spans="2:8" x14ac:dyDescent="0.25">
      <c r="B869" s="1">
        <v>329.95600000000002</v>
      </c>
      <c r="C869" s="1">
        <v>2.1540700000000001E-3</v>
      </c>
      <c r="D869" s="1">
        <v>-2.52937E-3</v>
      </c>
      <c r="E869" s="1">
        <v>-2.23092E-3</v>
      </c>
      <c r="F869" s="1">
        <v>2.50761E-3</v>
      </c>
      <c r="G869" s="1">
        <v>4.90225E-5</v>
      </c>
      <c r="H869" s="1">
        <v>-4.9578900000000001E-5</v>
      </c>
    </row>
    <row r="870" spans="2:8" x14ac:dyDescent="0.25">
      <c r="B870" s="1">
        <v>332.08800000000002</v>
      </c>
      <c r="C870" s="1">
        <v>2.0165500000000002E-3</v>
      </c>
      <c r="D870" s="1">
        <v>-2.5067800000000001E-3</v>
      </c>
      <c r="E870" s="1">
        <v>-2.1736699999999999E-3</v>
      </c>
      <c r="F870" s="1">
        <v>2.5551699999999998E-3</v>
      </c>
      <c r="G870" s="1">
        <v>5.6901899999999998E-5</v>
      </c>
      <c r="H870" s="1">
        <v>-5.1833099999999997E-5</v>
      </c>
    </row>
    <row r="871" spans="2:8" x14ac:dyDescent="0.25">
      <c r="B871" s="1">
        <v>334.21899999999999</v>
      </c>
      <c r="C871" s="1">
        <v>1.88232E-3</v>
      </c>
      <c r="D871" s="1">
        <v>-2.4844699999999999E-3</v>
      </c>
      <c r="E871" s="1">
        <v>-2.1179599999999999E-3</v>
      </c>
      <c r="F871" s="1">
        <v>2.6029600000000001E-3</v>
      </c>
      <c r="G871" s="1">
        <v>6.3390499999999996E-5</v>
      </c>
      <c r="H871" s="1">
        <v>-5.37567E-5</v>
      </c>
    </row>
    <row r="872" spans="2:8" x14ac:dyDescent="0.25">
      <c r="B872" s="1">
        <v>336.35</v>
      </c>
      <c r="C872" s="1">
        <v>1.75173E-3</v>
      </c>
      <c r="D872" s="1">
        <v>-2.46211E-3</v>
      </c>
      <c r="E872" s="1">
        <v>-2.06361E-3</v>
      </c>
      <c r="F872" s="1">
        <v>2.6511500000000001E-3</v>
      </c>
      <c r="G872" s="1">
        <v>6.7440000000000005E-5</v>
      </c>
      <c r="H872" s="1">
        <v>-5.5399799999999998E-5</v>
      </c>
    </row>
    <row r="873" spans="2:8" x14ac:dyDescent="0.25">
      <c r="B873" s="1">
        <v>338.48200000000003</v>
      </c>
      <c r="C873" s="1">
        <v>1.6252700000000001E-3</v>
      </c>
      <c r="D873" s="1">
        <v>-2.4397500000000001E-3</v>
      </c>
      <c r="E873" s="1">
        <v>-2.0105499999999998E-3</v>
      </c>
      <c r="F873" s="1">
        <v>2.6991099999999998E-3</v>
      </c>
      <c r="G873" s="1">
        <v>6.9096200000000004E-5</v>
      </c>
      <c r="H873" s="1">
        <v>-5.6821799999999999E-5</v>
      </c>
    </row>
    <row r="874" spans="2:8" x14ac:dyDescent="0.25">
      <c r="B874" s="1">
        <v>340.61399999999998</v>
      </c>
      <c r="C874" s="1">
        <v>1.5033100000000001E-3</v>
      </c>
      <c r="D874" s="1">
        <v>-2.4176499999999999E-3</v>
      </c>
      <c r="E874" s="1">
        <v>-1.95874E-3</v>
      </c>
      <c r="F874" s="1">
        <v>2.74559E-3</v>
      </c>
      <c r="G874" s="1">
        <v>6.9415199999999999E-5</v>
      </c>
      <c r="H874" s="1">
        <v>-5.80802E-5</v>
      </c>
    </row>
    <row r="875" spans="2:8" x14ac:dyDescent="0.25">
      <c r="B875" s="1">
        <v>342.745</v>
      </c>
      <c r="C875" s="1">
        <v>1.38608E-3</v>
      </c>
      <c r="D875" s="1">
        <v>-2.3961500000000001E-3</v>
      </c>
      <c r="E875" s="1">
        <v>-1.90817E-3</v>
      </c>
      <c r="F875" s="1">
        <v>2.7892799999999999E-3</v>
      </c>
      <c r="G875" s="1">
        <v>6.9736500000000006E-5</v>
      </c>
      <c r="H875" s="1">
        <v>-5.9222299999999997E-5</v>
      </c>
    </row>
    <row r="876" spans="2:8" x14ac:dyDescent="0.25">
      <c r="B876" s="1">
        <v>344.87799999999999</v>
      </c>
      <c r="C876" s="1">
        <v>1.2736399999999999E-3</v>
      </c>
      <c r="D876" s="1">
        <v>-2.3754499999999999E-3</v>
      </c>
      <c r="E876" s="1">
        <v>-1.8587600000000001E-3</v>
      </c>
      <c r="F876" s="1">
        <v>2.82935E-3</v>
      </c>
      <c r="G876" s="1">
        <v>7.0930200000000001E-5</v>
      </c>
      <c r="H876" s="1">
        <v>-6.0282799999999998E-5</v>
      </c>
    </row>
    <row r="877" spans="2:8" x14ac:dyDescent="0.25">
      <c r="B877" s="1">
        <v>347.01</v>
      </c>
      <c r="C877" s="1">
        <v>1.1660100000000001E-3</v>
      </c>
      <c r="D877" s="1">
        <v>-2.3556100000000002E-3</v>
      </c>
      <c r="E877" s="1">
        <v>-1.81039E-3</v>
      </c>
      <c r="F877" s="1">
        <v>2.86542E-3</v>
      </c>
      <c r="G877" s="1">
        <v>7.3264399999999996E-5</v>
      </c>
      <c r="H877" s="1">
        <v>-6.13035E-5</v>
      </c>
    </row>
    <row r="878" spans="2:8" x14ac:dyDescent="0.25">
      <c r="B878" s="1">
        <v>349.142</v>
      </c>
      <c r="C878" s="1">
        <v>1.0631799999999999E-3</v>
      </c>
      <c r="D878" s="1">
        <v>-2.3365199999999999E-3</v>
      </c>
      <c r="E878" s="1">
        <v>-1.76293E-3</v>
      </c>
      <c r="F878" s="1">
        <v>2.89741E-3</v>
      </c>
      <c r="G878" s="1">
        <v>7.6521999999999997E-5</v>
      </c>
      <c r="H878" s="1">
        <v>-6.2333699999999996E-5</v>
      </c>
    </row>
    <row r="879" spans="2:8" x14ac:dyDescent="0.25">
      <c r="B879" s="1">
        <v>351.274</v>
      </c>
      <c r="C879" s="1">
        <v>9.6521699999999998E-4</v>
      </c>
      <c r="D879" s="1">
        <v>-2.31795E-3</v>
      </c>
      <c r="E879" s="1">
        <v>-1.7163300000000001E-3</v>
      </c>
      <c r="F879" s="1">
        <v>2.9256799999999999E-3</v>
      </c>
      <c r="G879" s="1">
        <v>7.9984300000000006E-5</v>
      </c>
      <c r="H879" s="1">
        <v>-6.3391299999999997E-5</v>
      </c>
    </row>
    <row r="880" spans="2:8" x14ac:dyDescent="0.25">
      <c r="B880" s="1">
        <v>353.40600000000001</v>
      </c>
      <c r="C880" s="1">
        <v>8.7218899999999999E-4</v>
      </c>
      <c r="D880" s="1">
        <v>-2.2996700000000002E-3</v>
      </c>
      <c r="E880" s="1">
        <v>-1.67052E-3</v>
      </c>
      <c r="F880" s="1">
        <v>2.9508199999999998E-3</v>
      </c>
      <c r="G880" s="1">
        <v>8.2764700000000004E-5</v>
      </c>
      <c r="H880" s="1">
        <v>-6.4413199999999995E-5</v>
      </c>
    </row>
    <row r="881" spans="2:8" x14ac:dyDescent="0.25">
      <c r="B881" s="1">
        <v>355.53899999999999</v>
      </c>
      <c r="C881" s="1">
        <v>7.8416399999999995E-4</v>
      </c>
      <c r="D881" s="1">
        <v>-2.2815999999999999E-3</v>
      </c>
      <c r="E881" s="1">
        <v>-1.6255099999999999E-3</v>
      </c>
      <c r="F881" s="1">
        <v>2.9732600000000001E-3</v>
      </c>
      <c r="G881" s="1">
        <v>8.4409399999999999E-5</v>
      </c>
      <c r="H881" s="1">
        <v>-6.5263600000000003E-5</v>
      </c>
    </row>
    <row r="882" spans="2:8" x14ac:dyDescent="0.25">
      <c r="B882" s="1">
        <v>357.67099999999999</v>
      </c>
      <c r="C882" s="1">
        <v>7.01192E-4</v>
      </c>
      <c r="D882" s="1">
        <v>-2.2638100000000002E-3</v>
      </c>
      <c r="E882" s="1">
        <v>-1.58132E-3</v>
      </c>
      <c r="F882" s="1">
        <v>2.9930199999999999E-3</v>
      </c>
      <c r="G882" s="1">
        <v>8.5116699999999998E-5</v>
      </c>
      <c r="H882" s="1">
        <v>-6.5798900000000005E-5</v>
      </c>
    </row>
    <row r="883" spans="2:8" x14ac:dyDescent="0.25">
      <c r="B883" s="1">
        <v>359.80399999999997</v>
      </c>
      <c r="C883" s="1">
        <v>6.2329799999999999E-4</v>
      </c>
      <c r="D883" s="1">
        <v>-2.2465200000000001E-3</v>
      </c>
      <c r="E883" s="1">
        <v>-1.53802E-3</v>
      </c>
      <c r="F883" s="1">
        <v>3.0098999999999998E-3</v>
      </c>
      <c r="G883" s="1">
        <v>8.5420000000000005E-5</v>
      </c>
      <c r="H883" s="1">
        <v>-6.5924899999999996E-5</v>
      </c>
    </row>
    <row r="884" spans="2:8" x14ac:dyDescent="0.25">
      <c r="B884" s="1">
        <v>361.93700000000001</v>
      </c>
      <c r="C884" s="1">
        <v>5.50487E-4</v>
      </c>
      <c r="D884" s="1">
        <v>-2.2299799999999999E-3</v>
      </c>
      <c r="E884" s="1">
        <v>-1.4957600000000001E-3</v>
      </c>
      <c r="F884" s="1">
        <v>3.0239400000000001E-3</v>
      </c>
      <c r="G884" s="1">
        <v>8.5721899999999997E-5</v>
      </c>
      <c r="H884" s="1">
        <v>-6.5590600000000002E-5</v>
      </c>
    </row>
    <row r="885" spans="2:8" x14ac:dyDescent="0.25">
      <c r="B885" s="1">
        <v>364.06900000000002</v>
      </c>
      <c r="C885" s="1">
        <v>4.8276299999999999E-4</v>
      </c>
      <c r="D885" s="1">
        <v>-2.2143900000000001E-3</v>
      </c>
      <c r="E885" s="1">
        <v>-1.4547200000000001E-3</v>
      </c>
      <c r="F885" s="1">
        <v>3.0355299999999998E-3</v>
      </c>
      <c r="G885" s="1">
        <v>8.6041700000000007E-5</v>
      </c>
      <c r="H885" s="1">
        <v>-6.4781299999999996E-5</v>
      </c>
    </row>
    <row r="886" spans="2:8" x14ac:dyDescent="0.25">
      <c r="B886" s="1">
        <v>366.202</v>
      </c>
      <c r="C886" s="1">
        <v>4.2012499999999998E-4</v>
      </c>
      <c r="D886" s="1">
        <v>-2.1999799999999998E-3</v>
      </c>
      <c r="E886" s="1">
        <v>-1.4150499999999999E-3</v>
      </c>
      <c r="F886" s="1">
        <v>3.0452000000000001E-3</v>
      </c>
      <c r="G886" s="1">
        <v>8.6163199999999995E-5</v>
      </c>
      <c r="H886" s="1">
        <v>-6.3545499999999997E-5</v>
      </c>
    </row>
    <row r="887" spans="2:8" x14ac:dyDescent="0.25">
      <c r="B887" s="1">
        <v>368.33499999999998</v>
      </c>
      <c r="C887" s="1">
        <v>3.6255800000000002E-4</v>
      </c>
      <c r="D887" s="1">
        <v>-2.1869400000000001E-3</v>
      </c>
      <c r="E887" s="1">
        <v>-1.3769400000000001E-3</v>
      </c>
      <c r="F887" s="1">
        <v>3.05339E-3</v>
      </c>
      <c r="G887" s="1">
        <v>8.5954300000000005E-5</v>
      </c>
      <c r="H887" s="1">
        <v>-6.1974400000000001E-5</v>
      </c>
    </row>
    <row r="888" spans="2:8" x14ac:dyDescent="0.25">
      <c r="B888" s="1">
        <v>370.46800000000002</v>
      </c>
      <c r="C888" s="1">
        <v>3.1000199999999998E-4</v>
      </c>
      <c r="D888" s="1">
        <v>-2.1753699999999998E-3</v>
      </c>
      <c r="E888" s="1">
        <v>-1.3406E-3</v>
      </c>
      <c r="F888" s="1">
        <v>3.0603900000000001E-3</v>
      </c>
      <c r="G888" s="1">
        <v>8.5388899999999998E-5</v>
      </c>
      <c r="H888" s="1">
        <v>-6.0188500000000001E-5</v>
      </c>
    </row>
    <row r="889" spans="2:8" x14ac:dyDescent="0.25">
      <c r="B889" s="1">
        <v>372.601</v>
      </c>
      <c r="C889" s="1">
        <v>2.6233099999999998E-4</v>
      </c>
      <c r="D889" s="1">
        <v>-2.1653200000000001E-3</v>
      </c>
      <c r="E889" s="1">
        <v>-1.30634E-3</v>
      </c>
      <c r="F889" s="1">
        <v>3.06654E-3</v>
      </c>
      <c r="G889" s="1">
        <v>8.4445300000000003E-5</v>
      </c>
      <c r="H889" s="1">
        <v>-5.8330199999999999E-5</v>
      </c>
    </row>
    <row r="890" spans="2:8" x14ac:dyDescent="0.25">
      <c r="B890" s="1">
        <v>374.73399999999998</v>
      </c>
      <c r="C890" s="1">
        <v>2.19371E-4</v>
      </c>
      <c r="D890" s="1">
        <v>-2.1567600000000002E-3</v>
      </c>
      <c r="E890" s="1">
        <v>-1.2744799999999999E-3</v>
      </c>
      <c r="F890" s="1">
        <v>3.0721699999999999E-3</v>
      </c>
      <c r="G890" s="1">
        <v>8.3224099999999995E-5</v>
      </c>
      <c r="H890" s="1">
        <v>-5.6494299999999999E-5</v>
      </c>
    </row>
    <row r="891" spans="2:8" x14ac:dyDescent="0.25">
      <c r="B891" s="1">
        <v>376.86700000000002</v>
      </c>
      <c r="C891" s="1">
        <v>1.80922E-4</v>
      </c>
      <c r="D891" s="1">
        <v>-2.1497500000000002E-3</v>
      </c>
      <c r="E891" s="1">
        <v>-1.24533E-3</v>
      </c>
      <c r="F891" s="1">
        <v>3.0773100000000002E-3</v>
      </c>
      <c r="G891" s="1">
        <v>8.2146500000000004E-5</v>
      </c>
      <c r="H891" s="1">
        <v>-5.4701699999999998E-5</v>
      </c>
    </row>
    <row r="892" spans="2:8" x14ac:dyDescent="0.25">
      <c r="B892" s="1">
        <v>379</v>
      </c>
      <c r="C892" s="1">
        <v>1.46794E-4</v>
      </c>
      <c r="D892" s="1">
        <v>-2.1442200000000001E-3</v>
      </c>
      <c r="E892" s="1">
        <v>-1.21911E-3</v>
      </c>
      <c r="F892" s="1">
        <v>3.0817100000000001E-3</v>
      </c>
      <c r="G892" s="1">
        <v>8.1878699999999999E-5</v>
      </c>
      <c r="H892" s="1">
        <v>-5.2945000000000002E-5</v>
      </c>
    </row>
    <row r="893" spans="2:8" x14ac:dyDescent="0.25">
      <c r="B893" s="1">
        <v>381.13400000000001</v>
      </c>
      <c r="C893" s="1">
        <v>1.1683099999999999E-4</v>
      </c>
      <c r="D893" s="1">
        <v>-2.1400899999999999E-3</v>
      </c>
      <c r="E893" s="1">
        <v>-1.19597E-3</v>
      </c>
      <c r="F893" s="1">
        <v>3.08509E-3</v>
      </c>
      <c r="G893" s="1">
        <v>8.2938199999999998E-5</v>
      </c>
      <c r="H893" s="1">
        <v>-5.1199300000000003E-5</v>
      </c>
    </row>
    <row r="894" spans="2:8" x14ac:dyDescent="0.25">
      <c r="B894" s="1">
        <v>383.267</v>
      </c>
      <c r="C894" s="1">
        <v>9.0947799999999997E-5</v>
      </c>
      <c r="D894" s="1">
        <v>-2.1371900000000002E-3</v>
      </c>
      <c r="E894" s="1">
        <v>-1.1760200000000001E-3</v>
      </c>
      <c r="F894" s="1">
        <v>3.0873699999999999E-3</v>
      </c>
      <c r="G894" s="1">
        <v>8.5409900000000004E-5</v>
      </c>
      <c r="H894" s="1">
        <v>-4.9474800000000003E-5</v>
      </c>
    </row>
    <row r="895" spans="2:8" x14ac:dyDescent="0.25">
      <c r="B895" s="1">
        <v>385.4</v>
      </c>
      <c r="C895" s="1">
        <v>6.9142100000000003E-5</v>
      </c>
      <c r="D895" s="1">
        <v>-2.1353000000000001E-3</v>
      </c>
      <c r="E895" s="1">
        <v>-1.1593199999999999E-3</v>
      </c>
      <c r="F895" s="1">
        <v>3.0887200000000001E-3</v>
      </c>
      <c r="G895" s="1">
        <v>8.8923699999999997E-5</v>
      </c>
      <c r="H895" s="1">
        <v>-4.78265E-5</v>
      </c>
    </row>
    <row r="896" spans="2:8" x14ac:dyDescent="0.25">
      <c r="B896" s="1">
        <v>387.53399999999999</v>
      </c>
      <c r="C896" s="1">
        <v>5.1480899999999997E-5</v>
      </c>
      <c r="D896" s="1">
        <v>-2.1341699999999999E-3</v>
      </c>
      <c r="E896" s="1">
        <v>-1.1459199999999999E-3</v>
      </c>
      <c r="F896" s="1">
        <v>3.0895100000000002E-3</v>
      </c>
      <c r="G896" s="1">
        <v>9.2762200000000004E-5</v>
      </c>
      <c r="H896" s="1">
        <v>-4.6341400000000003E-5</v>
      </c>
    </row>
    <row r="897" spans="1:8" x14ac:dyDescent="0.25">
      <c r="B897" s="1">
        <v>389.66699999999997</v>
      </c>
      <c r="C897" s="1">
        <v>3.8074799999999997E-5</v>
      </c>
      <c r="D897" s="1">
        <v>-2.1335500000000001E-3</v>
      </c>
      <c r="E897" s="1">
        <v>-1.13586E-3</v>
      </c>
      <c r="F897" s="1">
        <v>3.09005E-3</v>
      </c>
      <c r="G897" s="1">
        <v>9.6148400000000003E-5</v>
      </c>
      <c r="H897" s="1">
        <v>-4.5127399999999998E-5</v>
      </c>
    </row>
    <row r="898" spans="1:8" x14ac:dyDescent="0.25">
      <c r="B898" s="1">
        <v>391.8</v>
      </c>
      <c r="C898" s="1">
        <v>2.9046600000000001E-5</v>
      </c>
      <c r="D898" s="1">
        <v>-2.1332199999999999E-3</v>
      </c>
      <c r="E898" s="1">
        <v>-1.1291300000000001E-3</v>
      </c>
      <c r="F898" s="1">
        <v>3.0904600000000002E-3</v>
      </c>
      <c r="G898" s="1">
        <v>9.8565000000000002E-5</v>
      </c>
      <c r="H898" s="1">
        <v>-4.4271699999999998E-5</v>
      </c>
    </row>
    <row r="899" spans="1:8" x14ac:dyDescent="0.25">
      <c r="B899" s="1">
        <v>393.93299999999999</v>
      </c>
      <c r="C899" s="1">
        <v>2.45019E-5</v>
      </c>
      <c r="D899" s="1">
        <v>-2.13306E-3</v>
      </c>
      <c r="E899" s="1">
        <v>-1.12576E-3</v>
      </c>
      <c r="F899" s="1">
        <v>3.0906900000000001E-3</v>
      </c>
      <c r="G899" s="1">
        <v>9.9800899999999995E-5</v>
      </c>
      <c r="H899" s="1">
        <v>-4.3831600000000002E-5</v>
      </c>
    </row>
    <row r="902" spans="1:8" x14ac:dyDescent="0.25">
      <c r="A902" t="s">
        <v>398</v>
      </c>
      <c r="B902" t="s">
        <v>36</v>
      </c>
      <c r="C902" t="s">
        <v>395</v>
      </c>
      <c r="D902" t="s">
        <v>117</v>
      </c>
    </row>
    <row r="903" spans="1:8" x14ac:dyDescent="0.25">
      <c r="B903" t="s">
        <v>392</v>
      </c>
      <c r="C903" t="s">
        <v>399</v>
      </c>
      <c r="D903" t="s">
        <v>400</v>
      </c>
      <c r="E903" t="s">
        <v>401</v>
      </c>
      <c r="F903" t="s">
        <v>402</v>
      </c>
      <c r="G903" t="s">
        <v>403</v>
      </c>
      <c r="H903" t="s">
        <v>404</v>
      </c>
    </row>
    <row r="904" spans="1:8" x14ac:dyDescent="0.25">
      <c r="B904" s="1">
        <v>0.22119800000000001</v>
      </c>
      <c r="C904" s="1">
        <v>0</v>
      </c>
      <c r="D904" s="1">
        <v>-5.55799E-5</v>
      </c>
      <c r="E904" s="1">
        <v>-2.2404200000000001E-5</v>
      </c>
      <c r="F904" s="1">
        <v>-4.1545500000000003E-9</v>
      </c>
      <c r="G904" s="1">
        <v>7.9478299999999994E-5</v>
      </c>
      <c r="H904" s="1">
        <v>1.49015E-6</v>
      </c>
    </row>
    <row r="905" spans="1:8" x14ac:dyDescent="0.25">
      <c r="B905" s="1">
        <v>0.44998500000000002</v>
      </c>
      <c r="C905" s="1">
        <v>0</v>
      </c>
      <c r="D905" s="1">
        <v>-1.77255E-4</v>
      </c>
      <c r="E905" s="1">
        <v>-7.8766500000000006E-5</v>
      </c>
      <c r="F905" s="1">
        <v>-6.0495100000000005E-8</v>
      </c>
      <c r="G905" s="1">
        <v>2.5880500000000003E-4</v>
      </c>
      <c r="H905" s="1">
        <v>2.7232099999999999E-6</v>
      </c>
    </row>
    <row r="906" spans="1:8" x14ac:dyDescent="0.25">
      <c r="B906" s="1">
        <v>0.68679900000000005</v>
      </c>
      <c r="C906" s="1">
        <v>0</v>
      </c>
      <c r="D906" s="1">
        <v>-3.61641E-4</v>
      </c>
      <c r="E906" s="1">
        <v>-1.5656399999999999E-4</v>
      </c>
      <c r="F906" s="1">
        <v>-3.4817900000000001E-7</v>
      </c>
      <c r="G906" s="1">
        <v>5.2234000000000004E-4</v>
      </c>
      <c r="H906" s="1">
        <v>3.7867000000000001E-6</v>
      </c>
    </row>
    <row r="907" spans="1:8" x14ac:dyDescent="0.25">
      <c r="B907" s="1">
        <v>0.93208199999999997</v>
      </c>
      <c r="C907" s="1">
        <v>0</v>
      </c>
      <c r="D907" s="1">
        <v>-5.9512400000000004E-4</v>
      </c>
      <c r="E907" s="1">
        <v>-2.44002E-4</v>
      </c>
      <c r="F907" s="1">
        <v>-1.23246E-6</v>
      </c>
      <c r="G907" s="1">
        <v>8.4506000000000002E-4</v>
      </c>
      <c r="H907" s="1">
        <v>4.7024400000000003E-6</v>
      </c>
    </row>
    <row r="908" spans="1:8" x14ac:dyDescent="0.25">
      <c r="B908" s="1">
        <v>1.18628</v>
      </c>
      <c r="C908" s="1">
        <v>0</v>
      </c>
      <c r="D908" s="1">
        <v>-8.6565800000000005E-4</v>
      </c>
      <c r="E908" s="1">
        <v>-3.3007099999999998E-4</v>
      </c>
      <c r="F908" s="1">
        <v>-3.2518100000000002E-6</v>
      </c>
      <c r="G908" s="1">
        <v>1.2045000000000001E-3</v>
      </c>
      <c r="H908" s="1">
        <v>5.5224099999999997E-6</v>
      </c>
    </row>
    <row r="909" spans="1:8" x14ac:dyDescent="0.25">
      <c r="B909" s="1">
        <v>1.4498200000000001</v>
      </c>
      <c r="C909" s="1">
        <v>0</v>
      </c>
      <c r="D909" s="1">
        <v>-1.1627899999999999E-3</v>
      </c>
      <c r="E909" s="1">
        <v>-4.0472000000000001E-4</v>
      </c>
      <c r="F909" s="1">
        <v>-7.0380100000000001E-6</v>
      </c>
      <c r="G909" s="1">
        <v>1.58085E-3</v>
      </c>
      <c r="H909" s="1">
        <v>6.3100700000000004E-6</v>
      </c>
    </row>
    <row r="910" spans="1:8" x14ac:dyDescent="0.25">
      <c r="B910" s="1">
        <v>1.72316</v>
      </c>
      <c r="C910" s="1">
        <v>0</v>
      </c>
      <c r="D910" s="1">
        <v>-1.47766E-3</v>
      </c>
      <c r="E910" s="1">
        <v>-4.5904099999999998E-4</v>
      </c>
      <c r="F910" s="1">
        <v>-1.31728E-5</v>
      </c>
      <c r="G910" s="1">
        <v>1.9570099999999999E-3</v>
      </c>
      <c r="H910" s="1">
        <v>7.1401200000000002E-6</v>
      </c>
    </row>
    <row r="911" spans="1:8" x14ac:dyDescent="0.25">
      <c r="B911" s="1">
        <v>2.0067499999999998</v>
      </c>
      <c r="C911" s="1">
        <v>0</v>
      </c>
      <c r="D911" s="1">
        <v>-1.8030500000000001E-3</v>
      </c>
      <c r="E911" s="1">
        <v>-4.8546700000000001E-4</v>
      </c>
      <c r="F911" s="1">
        <v>-2.1988999999999999E-5</v>
      </c>
      <c r="G911" s="1">
        <v>2.3186000000000001E-3</v>
      </c>
      <c r="H911" s="1">
        <v>8.0963400000000001E-6</v>
      </c>
    </row>
    <row r="912" spans="1:8" x14ac:dyDescent="0.25">
      <c r="B912" s="1">
        <v>2.3010199999999998</v>
      </c>
      <c r="C912" s="1">
        <v>0</v>
      </c>
      <c r="D912" s="1">
        <v>-2.13343E-3</v>
      </c>
      <c r="E912" s="1">
        <v>-4.7796900000000002E-4</v>
      </c>
      <c r="F912" s="1">
        <v>-3.3333700000000002E-5</v>
      </c>
      <c r="G912" s="1">
        <v>2.6540000000000001E-3</v>
      </c>
      <c r="H912" s="1">
        <v>9.2681099999999993E-6</v>
      </c>
    </row>
    <row r="913" spans="2:8" x14ac:dyDescent="0.25">
      <c r="B913" s="1">
        <v>2.6063999999999998</v>
      </c>
      <c r="C913" s="1">
        <v>0</v>
      </c>
      <c r="D913" s="1">
        <v>-2.46489E-3</v>
      </c>
      <c r="E913" s="1">
        <v>-4.3223300000000002E-4</v>
      </c>
      <c r="F913" s="1">
        <v>-4.6316500000000003E-5</v>
      </c>
      <c r="G913" s="1">
        <v>2.9541799999999998E-3</v>
      </c>
      <c r="H913" s="1">
        <v>1.0747800000000001E-5</v>
      </c>
    </row>
    <row r="914" spans="2:8" x14ac:dyDescent="0.25">
      <c r="B914" s="1">
        <v>2.92334</v>
      </c>
      <c r="C914" s="1">
        <v>0</v>
      </c>
      <c r="D914" s="1">
        <v>-2.7951600000000001E-3</v>
      </c>
      <c r="E914" s="1">
        <v>-3.4579199999999999E-4</v>
      </c>
      <c r="F914" s="1">
        <v>-5.9076899999999997E-5</v>
      </c>
      <c r="G914" s="1">
        <v>3.21266E-3</v>
      </c>
      <c r="H914" s="1">
        <v>1.26294E-5</v>
      </c>
    </row>
    <row r="915" spans="2:8" x14ac:dyDescent="0.25">
      <c r="B915" s="1">
        <v>3.2522700000000002</v>
      </c>
      <c r="C915" s="1">
        <v>0</v>
      </c>
      <c r="D915" s="1">
        <v>-3.1235199999999999E-3</v>
      </c>
      <c r="E915" s="1">
        <v>-2.18104E-4</v>
      </c>
      <c r="F915" s="1">
        <v>-6.8602000000000005E-5</v>
      </c>
      <c r="G915" s="1">
        <v>3.42523E-3</v>
      </c>
      <c r="H915" s="1">
        <v>1.5000999999999999E-5</v>
      </c>
    </row>
    <row r="916" spans="2:8" x14ac:dyDescent="0.25">
      <c r="B916" s="1">
        <v>3.5936300000000001</v>
      </c>
      <c r="C916" s="1">
        <v>0</v>
      </c>
      <c r="D916" s="1">
        <v>-3.4506799999999998E-3</v>
      </c>
      <c r="E916" s="1">
        <v>-5.0547300000000003E-5</v>
      </c>
      <c r="F916" s="1">
        <v>-7.0625799999999997E-5</v>
      </c>
      <c r="G916" s="1">
        <v>3.5898000000000002E-3</v>
      </c>
      <c r="H916" s="1">
        <v>1.7946000000000001E-5</v>
      </c>
    </row>
    <row r="917" spans="2:8" x14ac:dyDescent="0.25">
      <c r="B917" s="1">
        <v>3.9478300000000002</v>
      </c>
      <c r="C917" s="1">
        <v>0</v>
      </c>
      <c r="D917" s="1">
        <v>-3.77861E-3</v>
      </c>
      <c r="E917" s="1">
        <v>1.5368700000000001E-4</v>
      </c>
      <c r="F917" s="1">
        <v>-5.9638400000000001E-5</v>
      </c>
      <c r="G917" s="1">
        <v>3.7060999999999999E-3</v>
      </c>
      <c r="H917" s="1">
        <v>2.1534200000000001E-5</v>
      </c>
    </row>
    <row r="918" spans="2:8" x14ac:dyDescent="0.25">
      <c r="B918" s="1">
        <v>4.3152999999999997</v>
      </c>
      <c r="C918" s="1">
        <v>0</v>
      </c>
      <c r="D918" s="1">
        <v>-4.1103199999999998E-3</v>
      </c>
      <c r="E918" s="1">
        <v>3.8979599999999998E-4</v>
      </c>
      <c r="F918" s="1">
        <v>-2.9020899999999999E-5</v>
      </c>
      <c r="G918" s="1">
        <v>3.7753700000000001E-3</v>
      </c>
      <c r="H918" s="1">
        <v>2.5822299999999998E-5</v>
      </c>
    </row>
    <row r="919" spans="2:8" x14ac:dyDescent="0.25">
      <c r="B919" s="1">
        <v>4.6964399999999999</v>
      </c>
      <c r="C919" s="1">
        <v>0</v>
      </c>
      <c r="D919" s="1">
        <v>-4.44956E-3</v>
      </c>
      <c r="E919" s="1">
        <v>6.5169999999999996E-4</v>
      </c>
      <c r="F919" s="1">
        <v>2.8679499999999999E-5</v>
      </c>
      <c r="G919" s="1">
        <v>3.8000299999999998E-3</v>
      </c>
      <c r="H919" s="1">
        <v>3.08478E-5</v>
      </c>
    </row>
    <row r="920" spans="2:8" x14ac:dyDescent="0.25">
      <c r="B920" s="1">
        <v>5.0916699999999997</v>
      </c>
      <c r="C920" s="1">
        <v>0</v>
      </c>
      <c r="D920" s="1">
        <v>-4.8005499999999998E-3</v>
      </c>
      <c r="E920" s="1">
        <v>9.3248199999999999E-4</v>
      </c>
      <c r="F920" s="1">
        <v>1.21333E-4</v>
      </c>
      <c r="G920" s="1">
        <v>3.7833599999999999E-3</v>
      </c>
      <c r="H920" s="1">
        <v>3.66267E-5</v>
      </c>
    </row>
    <row r="921" spans="2:8" x14ac:dyDescent="0.25">
      <c r="B921" s="1">
        <v>5.5013899999999998</v>
      </c>
      <c r="C921" s="1">
        <v>0</v>
      </c>
      <c r="D921" s="1">
        <v>-5.1676400000000003E-3</v>
      </c>
      <c r="E921" s="1">
        <v>1.22495E-3</v>
      </c>
      <c r="F921" s="1">
        <v>2.5667799999999998E-4</v>
      </c>
      <c r="G921" s="1">
        <v>3.72916E-3</v>
      </c>
      <c r="H921" s="1">
        <v>4.3151700000000002E-5</v>
      </c>
    </row>
    <row r="922" spans="2:8" x14ac:dyDescent="0.25">
      <c r="B922" s="1">
        <v>5.9259899999999996</v>
      </c>
      <c r="C922" s="1">
        <v>0</v>
      </c>
      <c r="D922" s="1">
        <v>-5.55501E-3</v>
      </c>
      <c r="E922" s="1">
        <v>1.5222600000000001E-3</v>
      </c>
      <c r="F922" s="1">
        <v>4.4165799999999999E-4</v>
      </c>
      <c r="G922" s="1">
        <v>3.6414799999999999E-3</v>
      </c>
      <c r="H922" s="1">
        <v>5.0389899999999997E-5</v>
      </c>
    </row>
    <row r="923" spans="2:8" x14ac:dyDescent="0.25">
      <c r="B923" s="1">
        <v>6.3658599999999996</v>
      </c>
      <c r="C923" s="1">
        <v>0</v>
      </c>
      <c r="D923" s="1">
        <v>-5.9663800000000003E-3</v>
      </c>
      <c r="E923" s="1">
        <v>1.81865E-3</v>
      </c>
      <c r="F923" s="1">
        <v>6.8168500000000002E-4</v>
      </c>
      <c r="G923" s="1">
        <v>3.52433E-3</v>
      </c>
      <c r="H923" s="1">
        <v>5.8283799999999999E-5</v>
      </c>
    </row>
    <row r="924" spans="2:8" x14ac:dyDescent="0.25">
      <c r="B924" s="1">
        <v>6.8213600000000003</v>
      </c>
      <c r="C924" s="1">
        <v>0</v>
      </c>
      <c r="D924" s="1">
        <v>-6.4047899999999996E-3</v>
      </c>
      <c r="E924" s="1">
        <v>2.11013E-3</v>
      </c>
      <c r="F924" s="1">
        <v>9.79885E-4</v>
      </c>
      <c r="G924" s="1">
        <v>3.3815300000000002E-3</v>
      </c>
      <c r="H924" s="1">
        <v>6.6751399999999999E-5</v>
      </c>
    </row>
    <row r="925" spans="2:8" x14ac:dyDescent="0.25">
      <c r="B925" s="1">
        <v>7.2928800000000003</v>
      </c>
      <c r="C925" s="1">
        <v>0</v>
      </c>
      <c r="D925" s="1">
        <v>-6.87237E-3</v>
      </c>
      <c r="E925" s="1">
        <v>2.39508E-3</v>
      </c>
      <c r="F925" s="1">
        <v>1.3364E-3</v>
      </c>
      <c r="G925" s="1">
        <v>3.2165800000000001E-3</v>
      </c>
      <c r="H925" s="1">
        <v>7.5689800000000002E-5</v>
      </c>
    </row>
    <row r="926" spans="2:8" x14ac:dyDescent="0.25">
      <c r="B926" s="1">
        <v>7.7807500000000003</v>
      </c>
      <c r="C926" s="1">
        <v>0</v>
      </c>
      <c r="D926" s="1">
        <v>-7.3702500000000001E-3</v>
      </c>
      <c r="E926" s="1">
        <v>2.6747799999999999E-3</v>
      </c>
      <c r="F926" s="1">
        <v>1.7478000000000001E-3</v>
      </c>
      <c r="G926" s="1">
        <v>3.03266E-3</v>
      </c>
      <c r="H926" s="1">
        <v>8.4979000000000001E-5</v>
      </c>
    </row>
    <row r="927" spans="2:8" x14ac:dyDescent="0.25">
      <c r="B927" s="1">
        <v>8.2853600000000007</v>
      </c>
      <c r="C927" s="1">
        <v>0</v>
      </c>
      <c r="D927" s="1">
        <v>-7.8985300000000008E-3</v>
      </c>
      <c r="E927" s="1">
        <v>2.9536800000000002E-3</v>
      </c>
      <c r="F927" s="1">
        <v>2.2067699999999998E-3</v>
      </c>
      <c r="G927" s="1">
        <v>2.8325899999999998E-3</v>
      </c>
      <c r="H927" s="1">
        <v>9.4488799999999996E-5</v>
      </c>
    </row>
    <row r="928" spans="2:8" x14ac:dyDescent="0.25">
      <c r="B928" s="1">
        <v>8.8070000000000004</v>
      </c>
      <c r="C928" s="1">
        <v>0</v>
      </c>
      <c r="D928" s="1">
        <v>-8.45628E-3</v>
      </c>
      <c r="E928" s="1">
        <v>3.2394300000000002E-3</v>
      </c>
      <c r="F928" s="1">
        <v>2.7019800000000001E-3</v>
      </c>
      <c r="G928" s="1">
        <v>2.61897E-3</v>
      </c>
      <c r="H928" s="1">
        <v>1.04083E-4</v>
      </c>
    </row>
    <row r="929" spans="2:8" x14ac:dyDescent="0.25">
      <c r="B929" s="1">
        <v>9.3459400000000006</v>
      </c>
      <c r="C929" s="1">
        <v>0</v>
      </c>
      <c r="D929" s="1">
        <v>-9.0415700000000005E-3</v>
      </c>
      <c r="E929" s="1">
        <v>3.5425700000000001E-3</v>
      </c>
      <c r="F929" s="1">
        <v>3.2183799999999999E-3</v>
      </c>
      <c r="G929" s="1">
        <v>2.3942299999999998E-3</v>
      </c>
      <c r="H929" s="1">
        <v>1.1361700000000001E-4</v>
      </c>
    </row>
    <row r="930" spans="2:8" x14ac:dyDescent="0.25">
      <c r="B930" s="1">
        <v>9.9026499999999995</v>
      </c>
      <c r="C930" s="1">
        <v>0</v>
      </c>
      <c r="D930" s="1">
        <v>-9.6515799999999999E-3</v>
      </c>
      <c r="E930" s="1">
        <v>3.8760399999999999E-3</v>
      </c>
      <c r="F930" s="1">
        <v>3.7377600000000001E-3</v>
      </c>
      <c r="G930" s="1">
        <v>2.1607499999999999E-3</v>
      </c>
      <c r="H930" s="1">
        <v>1.2296299999999999E-4</v>
      </c>
    </row>
    <row r="931" spans="2:8" x14ac:dyDescent="0.25">
      <c r="B931" s="1">
        <v>10.4773</v>
      </c>
      <c r="C931" s="1">
        <v>0</v>
      </c>
      <c r="D931" s="1">
        <v>-1.02828E-2</v>
      </c>
      <c r="E931" s="1">
        <v>4.2543399999999997E-3</v>
      </c>
      <c r="F931" s="1">
        <v>4.2395599999999999E-3</v>
      </c>
      <c r="G931" s="1">
        <v>1.92089E-3</v>
      </c>
      <c r="H931" s="1">
        <v>1.3198499999999999E-4</v>
      </c>
    </row>
    <row r="932" spans="2:8" x14ac:dyDescent="0.25">
      <c r="B932" s="1">
        <v>11.0702</v>
      </c>
      <c r="C932" s="1">
        <v>0</v>
      </c>
      <c r="D932" s="1">
        <v>-1.0931099999999999E-2</v>
      </c>
      <c r="E932" s="1">
        <v>4.6926099999999998E-3</v>
      </c>
      <c r="F932" s="1">
        <v>4.7019899999999996E-3</v>
      </c>
      <c r="G932" s="1">
        <v>1.6770299999999999E-3</v>
      </c>
      <c r="H932" s="1">
        <v>1.4057800000000001E-4</v>
      </c>
    </row>
    <row r="933" spans="2:8" x14ac:dyDescent="0.25">
      <c r="B933" s="1">
        <v>11.681699999999999</v>
      </c>
      <c r="C933" s="1">
        <v>0</v>
      </c>
      <c r="D933" s="1">
        <v>-1.15917E-2</v>
      </c>
      <c r="E933" s="1">
        <v>5.2055900000000004E-3</v>
      </c>
      <c r="F933" s="1">
        <v>5.1031499999999999E-3</v>
      </c>
      <c r="G933" s="1">
        <v>1.4316000000000001E-3</v>
      </c>
      <c r="H933" s="1">
        <v>1.48632E-4</v>
      </c>
    </row>
    <row r="934" spans="2:8" x14ac:dyDescent="0.25">
      <c r="B934" s="1">
        <v>12.311999999999999</v>
      </c>
      <c r="C934" s="1">
        <v>0</v>
      </c>
      <c r="D934" s="1">
        <v>-1.22598E-2</v>
      </c>
      <c r="E934" s="1">
        <v>5.8065599999999997E-3</v>
      </c>
      <c r="F934" s="1">
        <v>5.4222799999999998E-3</v>
      </c>
      <c r="G934" s="1">
        <v>1.1870400000000001E-3</v>
      </c>
      <c r="H934" s="1">
        <v>1.5606300000000001E-4</v>
      </c>
    </row>
    <row r="935" spans="2:8" x14ac:dyDescent="0.25">
      <c r="B935" s="1">
        <v>12.961399999999999</v>
      </c>
      <c r="C935" s="1">
        <v>0</v>
      </c>
      <c r="D935" s="1">
        <v>-1.29303E-2</v>
      </c>
      <c r="E935" s="1">
        <v>6.5064199999999997E-3</v>
      </c>
      <c r="F935" s="1">
        <v>5.6408300000000003E-3</v>
      </c>
      <c r="G935" s="1">
        <v>9.4581600000000004E-4</v>
      </c>
      <c r="H935" s="1">
        <v>1.62802E-4</v>
      </c>
    </row>
    <row r="936" spans="2:8" x14ac:dyDescent="0.25">
      <c r="B936" s="1">
        <v>13.629899999999999</v>
      </c>
      <c r="C936" s="1">
        <v>0</v>
      </c>
      <c r="D936" s="1">
        <v>-1.35979E-2</v>
      </c>
      <c r="E936" s="1">
        <v>7.3128799999999999E-3</v>
      </c>
      <c r="F936" s="1">
        <v>5.7434399999999998E-3</v>
      </c>
      <c r="G936" s="1">
        <v>7.1036899999999997E-4</v>
      </c>
      <c r="H936" s="1">
        <v>1.6878300000000001E-4</v>
      </c>
    </row>
    <row r="937" spans="2:8" x14ac:dyDescent="0.25">
      <c r="B937" s="1">
        <v>14.318099999999999</v>
      </c>
      <c r="C937" s="1">
        <v>0</v>
      </c>
      <c r="D937" s="1">
        <v>-1.42577E-2</v>
      </c>
      <c r="E937" s="1">
        <v>8.2298800000000002E-3</v>
      </c>
      <c r="F937" s="1">
        <v>5.7186299999999997E-3</v>
      </c>
      <c r="G937" s="1">
        <v>4.8311699999999998E-4</v>
      </c>
      <c r="H937" s="1">
        <v>1.7397699999999999E-4</v>
      </c>
    </row>
    <row r="938" spans="2:8" x14ac:dyDescent="0.25">
      <c r="B938" s="1">
        <v>15.026</v>
      </c>
      <c r="C938" s="1">
        <v>0</v>
      </c>
      <c r="D938" s="1">
        <v>-1.49046E-2</v>
      </c>
      <c r="E938" s="1">
        <v>9.2572000000000002E-3</v>
      </c>
      <c r="F938" s="1">
        <v>5.5593999999999999E-3</v>
      </c>
      <c r="G938" s="1">
        <v>2.6638200000000001E-4</v>
      </c>
      <c r="H938" s="1">
        <v>1.78364E-4</v>
      </c>
    </row>
    <row r="939" spans="2:8" x14ac:dyDescent="0.25">
      <c r="B939" s="1">
        <v>15.7538</v>
      </c>
      <c r="C939" s="1">
        <v>0</v>
      </c>
      <c r="D939" s="1">
        <v>-1.55342E-2</v>
      </c>
      <c r="E939" s="1">
        <v>1.03903E-2</v>
      </c>
      <c r="F939" s="1">
        <v>5.2635099999999999E-3</v>
      </c>
      <c r="G939" s="1">
        <v>6.2308200000000001E-5</v>
      </c>
      <c r="H939" s="1">
        <v>1.81929E-4</v>
      </c>
    </row>
    <row r="940" spans="2:8" x14ac:dyDescent="0.25">
      <c r="B940" s="1">
        <v>16.5017</v>
      </c>
      <c r="C940" s="1">
        <v>0</v>
      </c>
      <c r="D940" s="1">
        <v>-1.61421E-2</v>
      </c>
      <c r="E940" s="1">
        <v>1.1620399999999999E-2</v>
      </c>
      <c r="F940" s="1">
        <v>4.8336300000000002E-3</v>
      </c>
      <c r="G940" s="1">
        <v>-1.2720200000000001E-4</v>
      </c>
      <c r="H940" s="1">
        <v>1.8468799999999999E-4</v>
      </c>
    </row>
    <row r="941" spans="2:8" x14ac:dyDescent="0.25">
      <c r="B941" s="1">
        <v>17.2699</v>
      </c>
      <c r="C941" s="1">
        <v>0</v>
      </c>
      <c r="D941" s="1">
        <v>-1.67245E-2</v>
      </c>
      <c r="E941" s="1">
        <v>1.29347E-2</v>
      </c>
      <c r="F941" s="1">
        <v>4.2770500000000001E-3</v>
      </c>
      <c r="G941" s="1">
        <v>-3.0062200000000001E-4</v>
      </c>
      <c r="H941" s="1">
        <v>1.86653E-4</v>
      </c>
    </row>
    <row r="942" spans="2:8" x14ac:dyDescent="0.25">
      <c r="B942" s="1">
        <v>18.058499999999999</v>
      </c>
      <c r="C942" s="1">
        <v>0</v>
      </c>
      <c r="D942" s="1">
        <v>-1.7277799999999999E-2</v>
      </c>
      <c r="E942" s="1">
        <v>1.43172E-2</v>
      </c>
      <c r="F942" s="1">
        <v>3.6052800000000002E-3</v>
      </c>
      <c r="G942" s="1">
        <v>-4.56825E-4</v>
      </c>
      <c r="H942" s="1">
        <v>1.87839E-4</v>
      </c>
    </row>
    <row r="943" spans="2:8" x14ac:dyDescent="0.25">
      <c r="B943" s="1">
        <v>18.867599999999999</v>
      </c>
      <c r="C943" s="1">
        <v>0</v>
      </c>
      <c r="D943" s="1">
        <v>-1.7799100000000002E-2</v>
      </c>
      <c r="E943" s="1">
        <v>1.5749200000000001E-2</v>
      </c>
      <c r="F943" s="1">
        <v>2.8332399999999999E-3</v>
      </c>
      <c r="G943" s="1">
        <v>-5.9505199999999999E-4</v>
      </c>
      <c r="H943" s="1">
        <v>1.883E-4</v>
      </c>
    </row>
    <row r="944" spans="2:8" x14ac:dyDescent="0.25">
      <c r="B944" s="1">
        <v>19.697399999999998</v>
      </c>
      <c r="C944" s="1">
        <v>0</v>
      </c>
      <c r="D944" s="1">
        <v>-1.8285599999999999E-2</v>
      </c>
      <c r="E944" s="1">
        <v>1.7210400000000001E-2</v>
      </c>
      <c r="F944" s="1">
        <v>1.9783299999999999E-3</v>
      </c>
      <c r="G944" s="1">
        <v>-7.1510400000000004E-4</v>
      </c>
      <c r="H944" s="1">
        <v>1.88018E-4</v>
      </c>
    </row>
    <row r="945" spans="2:8" x14ac:dyDescent="0.25">
      <c r="B945" s="1">
        <v>20.547999999999998</v>
      </c>
      <c r="C945" s="1">
        <v>0</v>
      </c>
      <c r="D945" s="1">
        <v>-1.87353E-2</v>
      </c>
      <c r="E945" s="1">
        <v>1.86798E-2</v>
      </c>
      <c r="F945" s="1">
        <v>1.0596E-3</v>
      </c>
      <c r="G945" s="1">
        <v>-8.1711100000000003E-4</v>
      </c>
      <c r="H945" s="1">
        <v>1.87071E-4</v>
      </c>
    </row>
    <row r="946" spans="2:8" x14ac:dyDescent="0.25">
      <c r="B946" s="1">
        <v>21.4194</v>
      </c>
      <c r="C946" s="1">
        <v>0</v>
      </c>
      <c r="D946" s="1">
        <v>-1.9146300000000002E-2</v>
      </c>
      <c r="E946" s="1">
        <v>2.0136500000000002E-2</v>
      </c>
      <c r="F946" s="1">
        <v>9.6999500000000005E-5</v>
      </c>
      <c r="G946" s="1">
        <v>-9.01654E-4</v>
      </c>
      <c r="H946" s="1">
        <v>1.8552799999999999E-4</v>
      </c>
    </row>
    <row r="947" spans="2:8" x14ac:dyDescent="0.25">
      <c r="B947" s="1">
        <v>22.311800000000002</v>
      </c>
      <c r="C947" s="1">
        <v>0</v>
      </c>
      <c r="D947" s="1">
        <v>-1.95175E-2</v>
      </c>
      <c r="E947" s="1">
        <v>2.1559999999999999E-2</v>
      </c>
      <c r="F947" s="1">
        <v>-8.8929099999999995E-4</v>
      </c>
      <c r="G947" s="1">
        <v>-9.6972699999999998E-4</v>
      </c>
      <c r="H947" s="1">
        <v>1.8346700000000001E-4</v>
      </c>
    </row>
    <row r="948" spans="2:8" x14ac:dyDescent="0.25">
      <c r="B948" s="1">
        <v>23.225300000000001</v>
      </c>
      <c r="C948" s="1">
        <v>0</v>
      </c>
      <c r="D948" s="1">
        <v>-1.9847799999999999E-2</v>
      </c>
      <c r="E948" s="1">
        <v>2.2931300000000002E-2</v>
      </c>
      <c r="F948" s="1">
        <v>-1.87933E-3</v>
      </c>
      <c r="G948" s="1">
        <v>-1.0231000000000001E-3</v>
      </c>
      <c r="H948" s="1">
        <v>1.80984E-4</v>
      </c>
    </row>
    <row r="949" spans="2:8" x14ac:dyDescent="0.25">
      <c r="B949" s="1">
        <v>24.159800000000001</v>
      </c>
      <c r="C949" s="1">
        <v>0</v>
      </c>
      <c r="D949" s="1">
        <v>-2.0136899999999999E-2</v>
      </c>
      <c r="E949" s="1">
        <v>2.4232299999999998E-2</v>
      </c>
      <c r="F949" s="1">
        <v>-2.8540800000000002E-3</v>
      </c>
      <c r="G949" s="1">
        <v>-1.06321E-3</v>
      </c>
      <c r="H949" s="1">
        <v>1.78109E-4</v>
      </c>
    </row>
    <row r="950" spans="2:8" x14ac:dyDescent="0.25">
      <c r="B950" s="1">
        <v>25.115400000000001</v>
      </c>
      <c r="C950" s="1">
        <v>0</v>
      </c>
      <c r="D950" s="1">
        <v>-2.0384599999999999E-2</v>
      </c>
      <c r="E950" s="1">
        <v>2.54472E-2</v>
      </c>
      <c r="F950" s="1">
        <v>-3.7959299999999999E-3</v>
      </c>
      <c r="G950" s="1">
        <v>-1.0917800000000001E-3</v>
      </c>
      <c r="H950" s="1">
        <v>1.7491499999999999E-4</v>
      </c>
    </row>
    <row r="951" spans="2:8" x14ac:dyDescent="0.25">
      <c r="B951" s="1">
        <v>26.092199999999998</v>
      </c>
      <c r="C951" s="1">
        <v>0</v>
      </c>
      <c r="D951" s="1">
        <v>-2.0591499999999999E-2</v>
      </c>
      <c r="E951" s="1">
        <v>2.6562499999999999E-2</v>
      </c>
      <c r="F951" s="1">
        <v>-4.6893400000000002E-3</v>
      </c>
      <c r="G951" s="1">
        <v>-1.1102E-3</v>
      </c>
      <c r="H951" s="1">
        <v>1.7151699999999999E-4</v>
      </c>
    </row>
    <row r="952" spans="2:8" x14ac:dyDescent="0.25">
      <c r="B952" s="1">
        <v>27.09</v>
      </c>
      <c r="C952" s="1">
        <v>0</v>
      </c>
      <c r="D952" s="1">
        <v>-2.0758499999999999E-2</v>
      </c>
      <c r="E952" s="1">
        <v>2.7566899999999998E-2</v>
      </c>
      <c r="F952" s="1">
        <v>-5.5213199999999997E-3</v>
      </c>
      <c r="G952" s="1">
        <v>-1.1192299999999999E-3</v>
      </c>
      <c r="H952" s="1">
        <v>1.6787900000000001E-4</v>
      </c>
    </row>
    <row r="953" spans="2:8" x14ac:dyDescent="0.25">
      <c r="B953" s="1">
        <v>28.109100000000002</v>
      </c>
      <c r="C953" s="1">
        <v>0</v>
      </c>
      <c r="D953" s="1">
        <v>-2.0886700000000001E-2</v>
      </c>
      <c r="E953" s="1">
        <v>2.8451799999999999E-2</v>
      </c>
      <c r="F953" s="1">
        <v>-6.28132E-3</v>
      </c>
      <c r="G953" s="1">
        <v>-1.1195999999999999E-3</v>
      </c>
      <c r="H953" s="1">
        <v>1.64084E-4</v>
      </c>
    </row>
    <row r="954" spans="2:8" x14ac:dyDescent="0.25">
      <c r="B954" s="1">
        <v>29.1493</v>
      </c>
      <c r="C954" s="1">
        <v>0</v>
      </c>
      <c r="D954" s="1">
        <v>-2.0978E-2</v>
      </c>
      <c r="E954" s="1">
        <v>2.9211299999999999E-2</v>
      </c>
      <c r="F954" s="1">
        <v>-6.9614400000000002E-3</v>
      </c>
      <c r="G954" s="1">
        <v>-1.1117799999999999E-3</v>
      </c>
      <c r="H954" s="1">
        <v>1.6011899999999999E-4</v>
      </c>
    </row>
    <row r="955" spans="2:8" x14ac:dyDescent="0.25">
      <c r="B955" s="1">
        <v>30.2105</v>
      </c>
      <c r="C955" s="1">
        <v>0</v>
      </c>
      <c r="D955" s="1">
        <v>-2.1033799999999998E-2</v>
      </c>
      <c r="E955" s="1">
        <v>2.9842500000000001E-2</v>
      </c>
      <c r="F955" s="1">
        <v>-7.5562900000000002E-3</v>
      </c>
      <c r="G955" s="1">
        <v>-1.0963800000000001E-3</v>
      </c>
      <c r="H955" s="1">
        <v>1.5613700000000001E-4</v>
      </c>
    </row>
    <row r="956" spans="2:8" x14ac:dyDescent="0.25">
      <c r="B956" s="1">
        <v>31.2927</v>
      </c>
      <c r="C956" s="1">
        <v>0</v>
      </c>
      <c r="D956" s="1">
        <v>-2.1055899999999999E-2</v>
      </c>
      <c r="E956" s="1">
        <v>3.0345199999999999E-2</v>
      </c>
      <c r="F956" s="1">
        <v>-8.0635700000000008E-3</v>
      </c>
      <c r="G956" s="1">
        <v>-1.07365E-3</v>
      </c>
      <c r="H956" s="1">
        <v>1.5206700000000001E-4</v>
      </c>
    </row>
    <row r="957" spans="2:8" x14ac:dyDescent="0.25">
      <c r="B957" s="1">
        <v>32.395899999999997</v>
      </c>
      <c r="C957" s="1">
        <v>0</v>
      </c>
      <c r="D957" s="1">
        <v>-2.1046200000000001E-2</v>
      </c>
      <c r="E957" s="1">
        <v>3.07219E-2</v>
      </c>
      <c r="F957" s="1">
        <v>-8.4836700000000004E-3</v>
      </c>
      <c r="G957" s="1">
        <v>-1.0439900000000001E-3</v>
      </c>
      <c r="H957" s="1">
        <v>1.4797899999999999E-4</v>
      </c>
    </row>
    <row r="958" spans="2:8" x14ac:dyDescent="0.25">
      <c r="B958" s="1">
        <v>33.520099999999999</v>
      </c>
      <c r="C958" s="1">
        <v>0</v>
      </c>
      <c r="D958" s="1">
        <v>-2.1006500000000001E-2</v>
      </c>
      <c r="E958" s="1">
        <v>3.0977399999999999E-2</v>
      </c>
      <c r="F958" s="1">
        <v>-8.8189400000000008E-3</v>
      </c>
      <c r="G958" s="1">
        <v>-1.00796E-3</v>
      </c>
      <c r="H958" s="1">
        <v>1.43931E-4</v>
      </c>
    </row>
    <row r="959" spans="2:8" x14ac:dyDescent="0.25">
      <c r="B959" s="1">
        <v>34.664999999999999</v>
      </c>
      <c r="C959" s="1">
        <v>0</v>
      </c>
      <c r="D959" s="1">
        <v>-2.0938600000000002E-2</v>
      </c>
      <c r="E959" s="1">
        <v>3.11179E-2</v>
      </c>
      <c r="F959" s="1">
        <v>-9.0727099999999995E-3</v>
      </c>
      <c r="G959" s="1">
        <v>-9.6660699999999997E-4</v>
      </c>
      <c r="H959" s="1">
        <v>1.3996700000000001E-4</v>
      </c>
    </row>
    <row r="960" spans="2:8" x14ac:dyDescent="0.25">
      <c r="B960" s="1">
        <v>35.830800000000004</v>
      </c>
      <c r="C960" s="1">
        <v>0</v>
      </c>
      <c r="D960" s="1">
        <v>-2.0844100000000001E-2</v>
      </c>
      <c r="E960" s="1">
        <v>3.1149900000000001E-2</v>
      </c>
      <c r="F960" s="1">
        <v>-9.2484100000000003E-3</v>
      </c>
      <c r="G960" s="1">
        <v>-9.2134200000000002E-4</v>
      </c>
      <c r="H960" s="1">
        <v>1.36114E-4</v>
      </c>
    </row>
    <row r="961" spans="2:8" x14ac:dyDescent="0.25">
      <c r="B961" s="1">
        <v>37.017000000000003</v>
      </c>
      <c r="C961" s="1">
        <v>0</v>
      </c>
      <c r="D961" s="1">
        <v>-2.0724599999999999E-2</v>
      </c>
      <c r="E961" s="1">
        <v>3.108E-2</v>
      </c>
      <c r="F961" s="1">
        <v>-9.3492000000000002E-3</v>
      </c>
      <c r="G961" s="1">
        <v>-8.7376399999999996E-4</v>
      </c>
      <c r="H961" s="1">
        <v>1.3233799999999999E-4</v>
      </c>
    </row>
    <row r="962" spans="2:8" x14ac:dyDescent="0.25">
      <c r="B962" s="1">
        <v>38.223799999999997</v>
      </c>
      <c r="C962" s="1">
        <v>0</v>
      </c>
      <c r="D962" s="1">
        <v>-2.0582E-2</v>
      </c>
      <c r="E962" s="1">
        <v>3.0914299999999999E-2</v>
      </c>
      <c r="F962" s="1">
        <v>-9.3781899999999998E-3</v>
      </c>
      <c r="G962" s="1">
        <v>-8.2545000000000003E-4</v>
      </c>
      <c r="H962" s="1">
        <v>1.2866099999999999E-4</v>
      </c>
    </row>
    <row r="963" spans="2:8" x14ac:dyDescent="0.25">
      <c r="B963" s="1">
        <v>39.451000000000001</v>
      </c>
      <c r="C963" s="1">
        <v>0</v>
      </c>
      <c r="D963" s="1">
        <v>-2.0418100000000002E-2</v>
      </c>
      <c r="E963" s="1">
        <v>3.0659700000000002E-2</v>
      </c>
      <c r="F963" s="1">
        <v>-9.3389700000000003E-3</v>
      </c>
      <c r="G963" s="1">
        <v>-7.7761799999999999E-4</v>
      </c>
      <c r="H963" s="1">
        <v>1.25024E-4</v>
      </c>
    </row>
    <row r="964" spans="2:8" x14ac:dyDescent="0.25">
      <c r="B964" s="1">
        <v>40.698399999999999</v>
      </c>
      <c r="C964" s="1">
        <v>0</v>
      </c>
      <c r="D964" s="1">
        <v>-2.0234599999999998E-2</v>
      </c>
      <c r="E964" s="1">
        <v>3.0322700000000001E-2</v>
      </c>
      <c r="F964" s="1">
        <v>-9.2352500000000004E-3</v>
      </c>
      <c r="G964" s="1">
        <v>-7.3135599999999995E-4</v>
      </c>
      <c r="H964" s="1">
        <v>1.21439E-4</v>
      </c>
    </row>
    <row r="965" spans="2:8" x14ac:dyDescent="0.25">
      <c r="B965" s="1">
        <v>41.966000000000001</v>
      </c>
      <c r="C965" s="1">
        <v>0</v>
      </c>
      <c r="D965" s="1">
        <v>-2.0033599999999999E-2</v>
      </c>
      <c r="E965" s="1">
        <v>2.9909499999999999E-2</v>
      </c>
      <c r="F965" s="1">
        <v>-9.0705600000000001E-3</v>
      </c>
      <c r="G965" s="1">
        <v>-6.8747600000000002E-4</v>
      </c>
      <c r="H965" s="1">
        <v>1.17824E-4</v>
      </c>
    </row>
    <row r="966" spans="2:8" x14ac:dyDescent="0.25">
      <c r="B966" s="1">
        <v>43.253399999999999</v>
      </c>
      <c r="C966" s="1">
        <v>0</v>
      </c>
      <c r="D966" s="1">
        <v>-1.9817100000000001E-2</v>
      </c>
      <c r="E966" s="1">
        <v>2.9425799999999998E-2</v>
      </c>
      <c r="F966" s="1">
        <v>-8.8484600000000007E-3</v>
      </c>
      <c r="G966" s="1">
        <v>-6.4620200000000002E-4</v>
      </c>
      <c r="H966" s="1">
        <v>1.1406E-4</v>
      </c>
    </row>
    <row r="967" spans="2:8" x14ac:dyDescent="0.25">
      <c r="B967" s="1">
        <v>44.560600000000001</v>
      </c>
      <c r="C967" s="1">
        <v>0</v>
      </c>
      <c r="D967" s="1">
        <v>-1.9586900000000001E-2</v>
      </c>
      <c r="E967" s="1">
        <v>2.8877900000000001E-2</v>
      </c>
      <c r="F967" s="1">
        <v>-8.5736000000000007E-3</v>
      </c>
      <c r="G967" s="1">
        <v>-6.0723600000000004E-4</v>
      </c>
      <c r="H967" s="1">
        <v>1.10147E-4</v>
      </c>
    </row>
    <row r="968" spans="2:8" x14ac:dyDescent="0.25">
      <c r="B968" s="1">
        <v>45.887300000000003</v>
      </c>
      <c r="C968" s="1">
        <v>0</v>
      </c>
      <c r="D968" s="1">
        <v>-1.93452E-2</v>
      </c>
      <c r="E968" s="1">
        <v>2.82746E-2</v>
      </c>
      <c r="F968" s="1">
        <v>-8.2536299999999996E-3</v>
      </c>
      <c r="G968" s="1">
        <v>-5.6977999999999998E-4</v>
      </c>
      <c r="H968" s="1">
        <v>1.05944E-4</v>
      </c>
    </row>
    <row r="969" spans="2:8" x14ac:dyDescent="0.25">
      <c r="B969" s="1">
        <v>47.233400000000003</v>
      </c>
      <c r="C969" s="1">
        <v>0</v>
      </c>
      <c r="D969" s="1">
        <v>-1.9093700000000002E-2</v>
      </c>
      <c r="E969" s="1">
        <v>2.7627599999999999E-2</v>
      </c>
      <c r="F969" s="1">
        <v>-7.8990899999999992E-3</v>
      </c>
      <c r="G969" s="1">
        <v>-5.3325499999999995E-4</v>
      </c>
      <c r="H969" s="1">
        <v>1.01561E-4</v>
      </c>
    </row>
    <row r="970" spans="2:8" x14ac:dyDescent="0.25">
      <c r="B970" s="1">
        <v>48.598700000000001</v>
      </c>
      <c r="C970" s="1">
        <v>0</v>
      </c>
      <c r="D970" s="1">
        <v>-1.8834099999999999E-2</v>
      </c>
      <c r="E970" s="1">
        <v>2.6950600000000002E-2</v>
      </c>
      <c r="F970" s="1">
        <v>-7.5218899999999998E-3</v>
      </c>
      <c r="G970" s="1">
        <v>-4.9748200000000005E-4</v>
      </c>
      <c r="H970" s="1">
        <v>9.7112400000000002E-5</v>
      </c>
    </row>
    <row r="971" spans="2:8" x14ac:dyDescent="0.25">
      <c r="B971" s="1">
        <v>49.982999999999997</v>
      </c>
      <c r="C971" s="1">
        <v>0</v>
      </c>
      <c r="D971" s="1">
        <v>-1.8567799999999999E-2</v>
      </c>
      <c r="E971" s="1">
        <v>2.62563E-2</v>
      </c>
      <c r="F971" s="1">
        <v>-7.1328299999999997E-3</v>
      </c>
      <c r="G971" s="1">
        <v>-4.6289699999999998E-4</v>
      </c>
      <c r="H971" s="1">
        <v>9.2718600000000004E-5</v>
      </c>
    </row>
    <row r="972" spans="2:8" x14ac:dyDescent="0.25">
      <c r="B972" s="1">
        <v>51.386000000000003</v>
      </c>
      <c r="C972" s="1">
        <v>0</v>
      </c>
      <c r="D972" s="1">
        <v>-1.82966E-2</v>
      </c>
      <c r="E972" s="1">
        <v>2.5555000000000001E-2</v>
      </c>
      <c r="F972" s="1">
        <v>-6.7399699999999996E-3</v>
      </c>
      <c r="G972" s="1">
        <v>-4.3002999999999997E-4</v>
      </c>
      <c r="H972" s="1">
        <v>8.8432199999999997E-5</v>
      </c>
    </row>
    <row r="973" spans="2:8" x14ac:dyDescent="0.25">
      <c r="B973" s="1">
        <v>52.807600000000001</v>
      </c>
      <c r="C973" s="1">
        <v>0</v>
      </c>
      <c r="D973" s="1">
        <v>-1.80214E-2</v>
      </c>
      <c r="E973" s="1">
        <v>2.4852900000000001E-2</v>
      </c>
      <c r="F973" s="1">
        <v>-6.3481600000000003E-3</v>
      </c>
      <c r="G973" s="1">
        <v>-3.99031E-4</v>
      </c>
      <c r="H973" s="1">
        <v>8.4371399999999997E-5</v>
      </c>
    </row>
    <row r="974" spans="2:8" x14ac:dyDescent="0.25">
      <c r="B974" s="1">
        <v>54.247599999999998</v>
      </c>
      <c r="C974" s="1">
        <v>0</v>
      </c>
      <c r="D974" s="1">
        <v>-1.7743399999999999E-2</v>
      </c>
      <c r="E974" s="1">
        <v>2.4153399999999998E-2</v>
      </c>
      <c r="F974" s="1">
        <v>-5.9597299999999999E-3</v>
      </c>
      <c r="G974" s="1">
        <v>-3.6976700000000001E-4</v>
      </c>
      <c r="H974" s="1">
        <v>8.0538999999999996E-5</v>
      </c>
    </row>
    <row r="975" spans="2:8" x14ac:dyDescent="0.25">
      <c r="B975" s="1">
        <v>55.705500000000001</v>
      </c>
      <c r="C975" s="1">
        <v>0</v>
      </c>
      <c r="D975" s="1">
        <v>-1.7463699999999999E-2</v>
      </c>
      <c r="E975" s="1">
        <v>2.3458E-2</v>
      </c>
      <c r="F975" s="1">
        <v>-5.5751000000000004E-3</v>
      </c>
      <c r="G975" s="1">
        <v>-3.42281E-4</v>
      </c>
      <c r="H975" s="1">
        <v>7.6954399999999996E-5</v>
      </c>
    </row>
    <row r="976" spans="2:8" x14ac:dyDescent="0.25">
      <c r="B976" s="1">
        <v>57.1813</v>
      </c>
      <c r="C976" s="1">
        <v>0</v>
      </c>
      <c r="D976" s="1">
        <v>-1.7183E-2</v>
      </c>
      <c r="E976" s="1">
        <v>2.27669E-2</v>
      </c>
      <c r="F976" s="1">
        <v>-5.1936700000000001E-3</v>
      </c>
      <c r="G976" s="1">
        <v>-3.1682800000000001E-4</v>
      </c>
      <c r="H976" s="1">
        <v>7.3507299999999993E-5</v>
      </c>
    </row>
    <row r="977" spans="2:8" x14ac:dyDescent="0.25">
      <c r="B977" s="1">
        <v>58.674799999999998</v>
      </c>
      <c r="C977" s="1">
        <v>0</v>
      </c>
      <c r="D977" s="1">
        <v>-1.6901900000000001E-2</v>
      </c>
      <c r="E977" s="1">
        <v>2.20804E-2</v>
      </c>
      <c r="F977" s="1">
        <v>-4.8145599999999998E-3</v>
      </c>
      <c r="G977" s="1">
        <v>-2.9367599999999998E-4</v>
      </c>
      <c r="H977" s="1">
        <v>7.0239000000000003E-5</v>
      </c>
    </row>
    <row r="978" spans="2:8" x14ac:dyDescent="0.25">
      <c r="B978" s="1">
        <v>60.185499999999998</v>
      </c>
      <c r="C978" s="1">
        <v>0</v>
      </c>
      <c r="D978" s="1">
        <v>-1.6621299999999999E-2</v>
      </c>
      <c r="E978" s="1">
        <v>2.1399000000000001E-2</v>
      </c>
      <c r="F978" s="1">
        <v>-4.4380899999999996E-3</v>
      </c>
      <c r="G978" s="1">
        <v>-2.7254699999999999E-4</v>
      </c>
      <c r="H978" s="1">
        <v>6.6981200000000002E-5</v>
      </c>
    </row>
    <row r="979" spans="2:8" x14ac:dyDescent="0.25">
      <c r="B979" s="1">
        <v>61.7134</v>
      </c>
      <c r="C979" s="1">
        <v>0</v>
      </c>
      <c r="D979" s="1">
        <v>-1.63418E-2</v>
      </c>
      <c r="E979" s="1">
        <v>2.07244E-2</v>
      </c>
      <c r="F979" s="1">
        <v>-4.06603E-3</v>
      </c>
      <c r="G979" s="1">
        <v>-2.5294100000000002E-4</v>
      </c>
      <c r="H979" s="1">
        <v>6.3711699999999995E-5</v>
      </c>
    </row>
    <row r="980" spans="2:8" x14ac:dyDescent="0.25">
      <c r="B980" s="1">
        <v>63.258099999999999</v>
      </c>
      <c r="C980" s="1">
        <v>0</v>
      </c>
      <c r="D980" s="1">
        <v>-1.60638E-2</v>
      </c>
      <c r="E980" s="1">
        <v>2.0059400000000002E-2</v>
      </c>
      <c r="F980" s="1">
        <v>-3.7009500000000002E-3</v>
      </c>
      <c r="G980" s="1">
        <v>-2.34276E-4</v>
      </c>
      <c r="H980" s="1">
        <v>6.0473799999999997E-5</v>
      </c>
    </row>
    <row r="981" spans="2:8" x14ac:dyDescent="0.25">
      <c r="B981" s="1">
        <v>64.819299999999998</v>
      </c>
      <c r="C981" s="1">
        <v>0</v>
      </c>
      <c r="D981" s="1">
        <v>-1.5787800000000001E-2</v>
      </c>
      <c r="E981" s="1">
        <v>1.9406199999999998E-2</v>
      </c>
      <c r="F981" s="1">
        <v>-3.3449399999999998E-3</v>
      </c>
      <c r="G981" s="1">
        <v>-2.1619400000000001E-4</v>
      </c>
      <c r="H981" s="1">
        <v>5.72862E-5</v>
      </c>
    </row>
    <row r="982" spans="2:8" x14ac:dyDescent="0.25">
      <c r="B982" s="1">
        <v>66.396799999999999</v>
      </c>
      <c r="C982" s="1">
        <v>0</v>
      </c>
      <c r="D982" s="1">
        <v>-1.5514099999999999E-2</v>
      </c>
      <c r="E982" s="1">
        <v>1.87663E-2</v>
      </c>
      <c r="F982" s="1">
        <v>-2.9993200000000002E-3</v>
      </c>
      <c r="G982" s="1">
        <v>-1.9878300000000001E-4</v>
      </c>
      <c r="H982" s="1">
        <v>5.41371E-5</v>
      </c>
    </row>
    <row r="983" spans="2:8" x14ac:dyDescent="0.25">
      <c r="B983" s="1">
        <v>67.990399999999994</v>
      </c>
      <c r="C983" s="1">
        <v>0</v>
      </c>
      <c r="D983" s="1">
        <v>-1.52429E-2</v>
      </c>
      <c r="E983" s="1">
        <v>1.81418E-2</v>
      </c>
      <c r="F983" s="1">
        <v>-2.6656900000000001E-3</v>
      </c>
      <c r="G983" s="1">
        <v>-1.8216700000000001E-4</v>
      </c>
      <c r="H983" s="1">
        <v>5.1034600000000001E-5</v>
      </c>
    </row>
    <row r="984" spans="2:8" x14ac:dyDescent="0.25">
      <c r="B984" s="1">
        <v>69.599599999999995</v>
      </c>
      <c r="C984" s="1">
        <v>0</v>
      </c>
      <c r="D984" s="1">
        <v>-1.4974700000000001E-2</v>
      </c>
      <c r="E984" s="1">
        <v>1.7535499999999999E-2</v>
      </c>
      <c r="F984" s="1">
        <v>-2.3464100000000002E-3</v>
      </c>
      <c r="G984" s="1">
        <v>-1.66358E-4</v>
      </c>
      <c r="H984" s="1">
        <v>4.8019599999999997E-5</v>
      </c>
    </row>
    <row r="985" spans="2:8" x14ac:dyDescent="0.25">
      <c r="B985" s="1">
        <v>71.224400000000003</v>
      </c>
      <c r="C985" s="1">
        <v>0</v>
      </c>
      <c r="D985" s="1">
        <v>-1.4709699999999999E-2</v>
      </c>
      <c r="E985" s="1">
        <v>1.6950400000000001E-2</v>
      </c>
      <c r="F985" s="1">
        <v>-2.0440699999999998E-3</v>
      </c>
      <c r="G985" s="1">
        <v>-1.5143700000000001E-4</v>
      </c>
      <c r="H985" s="1">
        <v>4.5204899999999998E-5</v>
      </c>
    </row>
    <row r="986" spans="2:8" x14ac:dyDescent="0.25">
      <c r="B986" s="1">
        <v>72.8643</v>
      </c>
      <c r="C986" s="1">
        <v>0</v>
      </c>
      <c r="D986" s="1">
        <v>-1.44481E-2</v>
      </c>
      <c r="E986" s="1">
        <v>1.6389299999999999E-2</v>
      </c>
      <c r="F986" s="1">
        <v>-1.76111E-3</v>
      </c>
      <c r="G986" s="1">
        <v>-1.3744699999999999E-4</v>
      </c>
      <c r="H986" s="1">
        <v>4.2606299999999999E-5</v>
      </c>
    </row>
    <row r="987" spans="2:8" x14ac:dyDescent="0.25">
      <c r="B987" s="1">
        <v>74.519099999999995</v>
      </c>
      <c r="C987" s="1">
        <v>0</v>
      </c>
      <c r="D987" s="1">
        <v>-1.41902E-2</v>
      </c>
      <c r="E987" s="1">
        <v>1.5854400000000001E-2</v>
      </c>
      <c r="F987" s="1">
        <v>-1.4992600000000001E-3</v>
      </c>
      <c r="G987" s="1">
        <v>-1.24688E-4</v>
      </c>
      <c r="H987" s="1">
        <v>4.02428E-5</v>
      </c>
    </row>
    <row r="988" spans="2:8" x14ac:dyDescent="0.25">
      <c r="B988" s="1">
        <v>76.188500000000005</v>
      </c>
      <c r="C988" s="1">
        <v>0</v>
      </c>
      <c r="D988" s="1">
        <v>-1.39361E-2</v>
      </c>
      <c r="E988" s="1">
        <v>1.5347100000000001E-2</v>
      </c>
      <c r="F988" s="1">
        <v>-1.2595799999999999E-3</v>
      </c>
      <c r="G988" s="1">
        <v>-1.13361E-4</v>
      </c>
      <c r="H988" s="1">
        <v>3.8074999999999997E-5</v>
      </c>
    </row>
    <row r="989" spans="2:8" x14ac:dyDescent="0.25">
      <c r="B989" s="1">
        <v>77.872399999999999</v>
      </c>
      <c r="C989" s="1">
        <v>0</v>
      </c>
      <c r="D989" s="1">
        <v>-1.36858E-2</v>
      </c>
      <c r="E989" s="1">
        <v>1.48678E-2</v>
      </c>
      <c r="F989" s="1">
        <v>-1.04268E-3</v>
      </c>
      <c r="G989" s="1">
        <v>-1.03362E-4</v>
      </c>
      <c r="H989" s="1">
        <v>3.6031500000000002E-5</v>
      </c>
    </row>
    <row r="990" spans="2:8" x14ac:dyDescent="0.25">
      <c r="B990" s="1">
        <v>79.570400000000006</v>
      </c>
      <c r="C990" s="1">
        <v>0</v>
      </c>
      <c r="D990" s="1">
        <v>-1.3439400000000001E-2</v>
      </c>
      <c r="E990" s="1">
        <v>1.4416699999999999E-2</v>
      </c>
      <c r="F990" s="1">
        <v>-8.48908E-4</v>
      </c>
      <c r="G990" s="1">
        <v>-9.4339399999999993E-5</v>
      </c>
      <c r="H990" s="1">
        <v>3.4067699999999999E-5</v>
      </c>
    </row>
    <row r="991" spans="2:8" x14ac:dyDescent="0.25">
      <c r="B991" s="1">
        <v>81.281499999999994</v>
      </c>
      <c r="C991" s="1">
        <v>0</v>
      </c>
      <c r="D991" s="1">
        <v>-1.3197199999999999E-2</v>
      </c>
      <c r="E991" s="1">
        <v>1.3993500000000001E-2</v>
      </c>
      <c r="F991" s="1">
        <v>-6.7817699999999997E-4</v>
      </c>
      <c r="G991" s="1">
        <v>-8.5948599999999999E-5</v>
      </c>
      <c r="H991" s="1">
        <v>3.22325E-5</v>
      </c>
    </row>
    <row r="992" spans="2:8" x14ac:dyDescent="0.25">
      <c r="B992" s="1">
        <v>83.006900000000002</v>
      </c>
      <c r="C992" s="1">
        <v>0</v>
      </c>
      <c r="D992" s="1">
        <v>-1.2959099999999999E-2</v>
      </c>
      <c r="E992" s="1">
        <v>1.3597E-2</v>
      </c>
      <c r="F992" s="1">
        <v>-5.2932499999999998E-4</v>
      </c>
      <c r="G992" s="1">
        <v>-7.8008000000000003E-5</v>
      </c>
      <c r="H992" s="1">
        <v>3.05854E-5</v>
      </c>
    </row>
    <row r="993" spans="2:8" x14ac:dyDescent="0.25">
      <c r="B993" s="1">
        <v>84.744900000000001</v>
      </c>
      <c r="C993" s="1">
        <v>0</v>
      </c>
      <c r="D993" s="1">
        <v>-1.27253E-2</v>
      </c>
      <c r="E993" s="1">
        <v>1.32246E-2</v>
      </c>
      <c r="F993" s="1">
        <v>-3.9935099999999999E-4</v>
      </c>
      <c r="G993" s="1">
        <v>-7.0730300000000003E-5</v>
      </c>
      <c r="H993" s="1">
        <v>2.9130599999999999E-5</v>
      </c>
    </row>
    <row r="994" spans="2:8" x14ac:dyDescent="0.25">
      <c r="B994" s="1">
        <v>86.495500000000007</v>
      </c>
      <c r="C994" s="1">
        <v>0</v>
      </c>
      <c r="D994" s="1">
        <v>-1.24961E-2</v>
      </c>
      <c r="E994" s="1">
        <v>1.2872700000000001E-2</v>
      </c>
      <c r="F994" s="1">
        <v>-2.8436100000000001E-4</v>
      </c>
      <c r="G994" s="1">
        <v>-6.4434499999999994E-5</v>
      </c>
      <c r="H994" s="1">
        <v>2.77561E-5</v>
      </c>
    </row>
    <row r="995" spans="2:8" x14ac:dyDescent="0.25">
      <c r="B995" s="1">
        <v>88.259600000000006</v>
      </c>
      <c r="C995" s="1">
        <v>0</v>
      </c>
      <c r="D995" s="1">
        <v>-1.2271600000000001E-2</v>
      </c>
      <c r="E995" s="1">
        <v>1.2538499999999999E-2</v>
      </c>
      <c r="F995" s="1">
        <v>-1.8156699999999999E-4</v>
      </c>
      <c r="G995" s="1">
        <v>-5.8959799999999997E-5</v>
      </c>
      <c r="H995" s="1">
        <v>2.6375300000000001E-5</v>
      </c>
    </row>
    <row r="996" spans="2:8" x14ac:dyDescent="0.25">
      <c r="B996" s="1">
        <v>90.035499999999999</v>
      </c>
      <c r="C996" s="1">
        <v>0</v>
      </c>
      <c r="D996" s="1">
        <v>-1.2052200000000001E-2</v>
      </c>
      <c r="E996" s="1">
        <v>1.22209E-2</v>
      </c>
      <c r="F996" s="1">
        <v>-9.0069999999999997E-5</v>
      </c>
      <c r="G996" s="1">
        <v>-5.3612000000000001E-5</v>
      </c>
      <c r="H996" s="1">
        <v>2.4969300000000002E-5</v>
      </c>
    </row>
    <row r="997" spans="2:8" x14ac:dyDescent="0.25">
      <c r="B997" s="1">
        <v>91.823300000000003</v>
      </c>
      <c r="C997" s="1">
        <v>0</v>
      </c>
      <c r="D997" s="1">
        <v>-1.1838E-2</v>
      </c>
      <c r="E997" s="1">
        <v>1.19192E-2</v>
      </c>
      <c r="F997" s="1">
        <v>-9.8570000000000007E-6</v>
      </c>
      <c r="G997" s="1">
        <v>-4.7852400000000003E-5</v>
      </c>
      <c r="H997" s="1">
        <v>2.3509599999999999E-5</v>
      </c>
    </row>
    <row r="998" spans="2:8" x14ac:dyDescent="0.25">
      <c r="B998" s="1">
        <v>93.622900000000001</v>
      </c>
      <c r="C998" s="1">
        <v>0</v>
      </c>
      <c r="D998" s="1">
        <v>-1.16287E-2</v>
      </c>
      <c r="E998" s="1">
        <v>1.1633299999999999E-2</v>
      </c>
      <c r="F998" s="1">
        <v>5.9004900000000002E-5</v>
      </c>
      <c r="G998" s="1">
        <v>-4.1641899999999999E-5</v>
      </c>
      <c r="H998" s="1">
        <v>2.2013499999999999E-5</v>
      </c>
    </row>
    <row r="999" spans="2:8" x14ac:dyDescent="0.25">
      <c r="B999" s="1">
        <v>95.434399999999997</v>
      </c>
      <c r="C999" s="1">
        <v>0</v>
      </c>
      <c r="D999" s="1">
        <v>-1.1423900000000001E-2</v>
      </c>
      <c r="E999" s="1">
        <v>1.13635E-2</v>
      </c>
      <c r="F999" s="1">
        <v>1.16221E-4</v>
      </c>
      <c r="G999" s="1">
        <v>-3.5363700000000002E-5</v>
      </c>
      <c r="H999" s="1">
        <v>2.0502000000000001E-5</v>
      </c>
    </row>
    <row r="1000" spans="2:8" x14ac:dyDescent="0.25">
      <c r="B1000" s="1">
        <v>97.256900000000002</v>
      </c>
      <c r="C1000" s="1">
        <v>0</v>
      </c>
      <c r="D1000" s="1">
        <v>-1.1223199999999999E-2</v>
      </c>
      <c r="E1000" s="1">
        <v>1.11106E-2</v>
      </c>
      <c r="F1000" s="1">
        <v>1.61223E-4</v>
      </c>
      <c r="G1000" s="1">
        <v>-2.9677100000000001E-5</v>
      </c>
      <c r="H1000" s="1">
        <v>1.8985900000000001E-5</v>
      </c>
    </row>
    <row r="1001" spans="2:8" x14ac:dyDescent="0.25">
      <c r="B1001" s="1">
        <v>99.089699999999993</v>
      </c>
      <c r="C1001" s="1">
        <v>0</v>
      </c>
      <c r="D1001" s="1">
        <v>-1.10262E-2</v>
      </c>
      <c r="E1001" s="1">
        <v>1.08751E-2</v>
      </c>
      <c r="F1001" s="1">
        <v>1.93685E-4</v>
      </c>
      <c r="G1001" s="1">
        <v>-2.5049600000000002E-5</v>
      </c>
      <c r="H1001" s="1">
        <v>1.75132E-5</v>
      </c>
    </row>
    <row r="1002" spans="2:8" x14ac:dyDescent="0.25">
      <c r="B1002" s="1">
        <v>100.934</v>
      </c>
      <c r="C1002" s="1">
        <v>0</v>
      </c>
      <c r="D1002" s="1">
        <v>-1.0832700000000001E-2</v>
      </c>
      <c r="E1002" s="1">
        <v>1.0655899999999999E-2</v>
      </c>
      <c r="F1002" s="1">
        <v>2.14556E-4</v>
      </c>
      <c r="G1002" s="1">
        <v>-2.1628300000000001E-5</v>
      </c>
      <c r="H1002" s="1">
        <v>1.6115899999999999E-5</v>
      </c>
    </row>
    <row r="1003" spans="2:8" x14ac:dyDescent="0.25">
      <c r="B1003" s="1">
        <v>102.788</v>
      </c>
      <c r="C1003" s="1">
        <v>0</v>
      </c>
      <c r="D1003" s="1">
        <v>-1.06426E-2</v>
      </c>
      <c r="E1003" s="1">
        <v>1.04502E-2</v>
      </c>
      <c r="F1003" s="1">
        <v>2.2646999999999999E-4</v>
      </c>
      <c r="G1003" s="1">
        <v>-1.9208999999999999E-5</v>
      </c>
      <c r="H1003" s="1">
        <v>1.48243E-5</v>
      </c>
    </row>
    <row r="1004" spans="2:8" x14ac:dyDescent="0.25">
      <c r="B1004" s="1">
        <v>104.652</v>
      </c>
      <c r="C1004" s="1">
        <v>0</v>
      </c>
      <c r="D1004" s="1">
        <v>-1.0455799999999999E-2</v>
      </c>
      <c r="E1004" s="1">
        <v>1.02541E-2</v>
      </c>
      <c r="F1004" s="1">
        <v>2.32783E-4</v>
      </c>
      <c r="G1004" s="1">
        <v>-1.74001E-5</v>
      </c>
      <c r="H1004" s="1">
        <v>1.36363E-5</v>
      </c>
    </row>
    <row r="1005" spans="2:8" x14ac:dyDescent="0.25">
      <c r="B1005" s="1">
        <v>106.526</v>
      </c>
      <c r="C1005" s="1">
        <v>0</v>
      </c>
      <c r="D1005" s="1">
        <v>-1.0272399999999999E-2</v>
      </c>
      <c r="E1005" s="1">
        <v>1.0064099999999999E-2</v>
      </c>
      <c r="F1005" s="1">
        <v>2.36729E-4</v>
      </c>
      <c r="G1005" s="1">
        <v>-1.5905699999999999E-5</v>
      </c>
      <c r="H1005" s="1">
        <v>1.2575700000000001E-5</v>
      </c>
    </row>
    <row r="1006" spans="2:8" x14ac:dyDescent="0.25">
      <c r="B1006" s="1">
        <v>108.40900000000001</v>
      </c>
      <c r="C1006" s="1">
        <v>0</v>
      </c>
      <c r="D1006" s="1">
        <v>-1.00923E-2</v>
      </c>
      <c r="E1006" s="1">
        <v>9.8775500000000006E-3</v>
      </c>
      <c r="F1006" s="1">
        <v>2.4090400000000001E-4</v>
      </c>
      <c r="G1006" s="1">
        <v>-1.4559099999999999E-5</v>
      </c>
      <c r="H1006" s="1">
        <v>1.1614700000000001E-5</v>
      </c>
    </row>
    <row r="1007" spans="2:8" x14ac:dyDescent="0.25">
      <c r="B1007" s="1">
        <v>110.30200000000001</v>
      </c>
      <c r="C1007" s="1">
        <v>0</v>
      </c>
      <c r="D1007" s="1">
        <v>-9.9155700000000003E-3</v>
      </c>
      <c r="E1007" s="1">
        <v>9.6927899999999997E-3</v>
      </c>
      <c r="F1007" s="1">
        <v>2.4679999999999998E-4</v>
      </c>
      <c r="G1007" s="1">
        <v>-1.3302800000000001E-5</v>
      </c>
      <c r="H1007" s="1">
        <v>1.07128E-5</v>
      </c>
    </row>
    <row r="1008" spans="2:8" x14ac:dyDescent="0.25">
      <c r="B1008" s="1">
        <v>112.20399999999999</v>
      </c>
      <c r="C1008" s="1">
        <v>0</v>
      </c>
      <c r="D1008" s="1">
        <v>-9.7421899999999995E-3</v>
      </c>
      <c r="E1008" s="1">
        <v>9.5096699999999996E-3</v>
      </c>
      <c r="F1008" s="1">
        <v>2.5463299999999999E-4</v>
      </c>
      <c r="G1008" s="1">
        <v>-1.2277500000000001E-5</v>
      </c>
      <c r="H1008" s="1">
        <v>9.8385400000000002E-6</v>
      </c>
    </row>
    <row r="1009" spans="2:8" x14ac:dyDescent="0.25">
      <c r="B1009" s="1">
        <v>114.11499999999999</v>
      </c>
      <c r="C1009" s="1">
        <v>0</v>
      </c>
      <c r="D1009" s="1">
        <v>-9.5720400000000004E-3</v>
      </c>
      <c r="E1009" s="1">
        <v>9.3292700000000006E-3</v>
      </c>
      <c r="F1009" s="1">
        <v>2.6342E-4</v>
      </c>
      <c r="G1009" s="1">
        <v>-1.1693599999999999E-5</v>
      </c>
      <c r="H1009" s="1">
        <v>8.9562799999999996E-6</v>
      </c>
    </row>
    <row r="1010" spans="2:8" x14ac:dyDescent="0.25">
      <c r="B1010" s="1">
        <v>116.03400000000001</v>
      </c>
      <c r="C1010" s="1">
        <v>0</v>
      </c>
      <c r="D1010" s="1">
        <v>-9.4050000000000002E-3</v>
      </c>
      <c r="E1010" s="1">
        <v>9.1530699999999993E-3</v>
      </c>
      <c r="F1010" s="1">
        <v>2.71718E-4</v>
      </c>
      <c r="G1010" s="1">
        <v>-1.17258E-5</v>
      </c>
      <c r="H1010" s="1">
        <v>8.0539499999999994E-6</v>
      </c>
    </row>
    <row r="1011" spans="2:8" x14ac:dyDescent="0.25">
      <c r="B1011" s="1">
        <v>117.96</v>
      </c>
      <c r="C1011" s="1">
        <v>0</v>
      </c>
      <c r="D1011" s="1">
        <v>-9.2409899999999993E-3</v>
      </c>
      <c r="E1011" s="1">
        <v>8.9818599999999995E-3</v>
      </c>
      <c r="F1011" s="1">
        <v>2.7868800000000003E-4</v>
      </c>
      <c r="G1011" s="1">
        <v>-1.2482200000000001E-5</v>
      </c>
      <c r="H1011" s="1">
        <v>7.0728399999999997E-6</v>
      </c>
    </row>
    <row r="1012" spans="2:8" x14ac:dyDescent="0.25">
      <c r="B1012" s="1">
        <v>119.896</v>
      </c>
      <c r="C1012" s="1">
        <v>0</v>
      </c>
      <c r="D1012" s="1">
        <v>-9.0800099999999995E-3</v>
      </c>
      <c r="E1012" s="1">
        <v>8.8155100000000004E-3</v>
      </c>
      <c r="F1012" s="1">
        <v>2.8418600000000002E-4</v>
      </c>
      <c r="G1012" s="1">
        <v>-1.37667E-5</v>
      </c>
      <c r="H1012" s="1">
        <v>5.9244999999999998E-6</v>
      </c>
    </row>
    <row r="1013" spans="2:8" x14ac:dyDescent="0.25">
      <c r="B1013" s="1">
        <v>121.839</v>
      </c>
      <c r="C1013" s="1">
        <v>0</v>
      </c>
      <c r="D1013" s="1">
        <v>-8.9220800000000006E-3</v>
      </c>
      <c r="E1013" s="1">
        <v>8.6535299999999996E-3</v>
      </c>
      <c r="F1013" s="1">
        <v>2.88199E-4</v>
      </c>
      <c r="G1013" s="1">
        <v>-1.50972E-5</v>
      </c>
      <c r="H1013" s="1">
        <v>4.5548900000000004E-6</v>
      </c>
    </row>
    <row r="1014" spans="2:8" x14ac:dyDescent="0.25">
      <c r="B1014" s="1">
        <v>123.789</v>
      </c>
      <c r="C1014" s="1">
        <v>0</v>
      </c>
      <c r="D1014" s="1">
        <v>-8.7672500000000007E-3</v>
      </c>
      <c r="E1014" s="1">
        <v>8.4956600000000004E-3</v>
      </c>
      <c r="F1014" s="1">
        <v>2.9048399999999998E-4</v>
      </c>
      <c r="G1014" s="1">
        <v>-1.5945300000000001E-5</v>
      </c>
      <c r="H1014" s="1">
        <v>2.9466100000000002E-6</v>
      </c>
    </row>
    <row r="1015" spans="2:8" x14ac:dyDescent="0.25">
      <c r="B1015" s="1">
        <v>125.747</v>
      </c>
      <c r="C1015" s="1">
        <v>0</v>
      </c>
      <c r="D1015" s="1">
        <v>-8.6155099999999998E-3</v>
      </c>
      <c r="E1015" s="1">
        <v>8.3421599999999995E-3</v>
      </c>
      <c r="F1015" s="1">
        <v>2.9049700000000002E-4</v>
      </c>
      <c r="G1015" s="1">
        <v>-1.6008999999999999E-5</v>
      </c>
      <c r="H1015" s="1">
        <v>1.1365499999999999E-6</v>
      </c>
    </row>
    <row r="1016" spans="2:8" x14ac:dyDescent="0.25">
      <c r="B1016" s="1">
        <v>127.711</v>
      </c>
      <c r="C1016" s="1">
        <v>0</v>
      </c>
      <c r="D1016" s="1">
        <v>-8.4668199999999999E-3</v>
      </c>
      <c r="E1016" s="1">
        <v>8.1937499999999996E-3</v>
      </c>
      <c r="F1016" s="1">
        <v>2.876E-4</v>
      </c>
      <c r="G1016" s="1">
        <v>-1.5319400000000001E-5</v>
      </c>
      <c r="H1016" s="1">
        <v>-7.8842499999999999E-7</v>
      </c>
    </row>
    <row r="1017" spans="2:8" x14ac:dyDescent="0.25">
      <c r="B1017" s="1">
        <v>129.68299999999999</v>
      </c>
      <c r="C1017" s="1">
        <v>0</v>
      </c>
      <c r="D1017" s="1">
        <v>-8.3210200000000002E-3</v>
      </c>
      <c r="E1017" s="1">
        <v>8.0509499999999994E-3</v>
      </c>
      <c r="F1017" s="1">
        <v>2.8148600000000001E-4</v>
      </c>
      <c r="G1017" s="1">
        <v>-1.41947E-5</v>
      </c>
      <c r="H1017" s="1">
        <v>-2.7792099999999999E-6</v>
      </c>
    </row>
    <row r="1018" spans="2:8" x14ac:dyDescent="0.25">
      <c r="B1018" s="1">
        <v>131.661</v>
      </c>
      <c r="C1018" s="1">
        <v>0</v>
      </c>
      <c r="D1018" s="1">
        <v>-8.1779899999999996E-3</v>
      </c>
      <c r="E1018" s="1">
        <v>7.9140900000000004E-3</v>
      </c>
      <c r="F1018" s="1">
        <v>2.71966E-4</v>
      </c>
      <c r="G1018" s="1">
        <v>-1.2885500000000001E-5</v>
      </c>
      <c r="H1018" s="1">
        <v>-4.8303199999999999E-6</v>
      </c>
    </row>
    <row r="1019" spans="2:8" x14ac:dyDescent="0.25">
      <c r="B1019" s="1">
        <v>133.64599999999999</v>
      </c>
      <c r="C1019" s="1">
        <v>0</v>
      </c>
      <c r="D1019" s="1">
        <v>-8.0376700000000002E-3</v>
      </c>
      <c r="E1019" s="1">
        <v>7.7837999999999996E-3</v>
      </c>
      <c r="F1019" s="1">
        <v>2.5817800000000002E-4</v>
      </c>
      <c r="G1019" s="1">
        <v>-1.12219E-5</v>
      </c>
      <c r="H1019" s="1">
        <v>-6.9102700000000002E-6</v>
      </c>
    </row>
    <row r="1020" spans="2:8" x14ac:dyDescent="0.25">
      <c r="B1020" s="1">
        <v>135.637</v>
      </c>
      <c r="C1020" s="1">
        <v>0</v>
      </c>
      <c r="D1020" s="1">
        <v>-7.8999699999999992E-3</v>
      </c>
      <c r="E1020" s="1">
        <v>7.6609099999999999E-3</v>
      </c>
      <c r="F1020" s="1">
        <v>2.3894199999999999E-4</v>
      </c>
      <c r="G1020" s="1">
        <v>-8.8519200000000005E-6</v>
      </c>
      <c r="H1020" s="1">
        <v>-8.9690699999999998E-6</v>
      </c>
    </row>
    <row r="1021" spans="2:8" x14ac:dyDescent="0.25">
      <c r="B1021" s="1">
        <v>137.63300000000001</v>
      </c>
      <c r="C1021" s="1">
        <v>0</v>
      </c>
      <c r="D1021" s="1">
        <v>-7.7647599999999999E-3</v>
      </c>
      <c r="E1021" s="1">
        <v>7.5455399999999999E-3</v>
      </c>
      <c r="F1021" s="1">
        <v>2.1398899999999999E-4</v>
      </c>
      <c r="G1021" s="1">
        <v>-5.7521999999999997E-6</v>
      </c>
      <c r="H1021" s="1">
        <v>-1.0980499999999999E-5</v>
      </c>
    </row>
    <row r="1022" spans="2:8" x14ac:dyDescent="0.25">
      <c r="B1022" s="1">
        <v>139.636</v>
      </c>
      <c r="C1022" s="1">
        <v>0</v>
      </c>
      <c r="D1022" s="1">
        <v>-7.63184E-3</v>
      </c>
      <c r="E1022" s="1">
        <v>7.4365000000000004E-3</v>
      </c>
      <c r="F1022" s="1">
        <v>1.84785E-4</v>
      </c>
      <c r="G1022" s="1">
        <v>-2.3746000000000001E-6</v>
      </c>
      <c r="H1022" s="1">
        <v>-1.29325E-5</v>
      </c>
    </row>
    <row r="1023" spans="2:8" x14ac:dyDescent="0.25">
      <c r="B1023" s="1">
        <v>141.64400000000001</v>
      </c>
      <c r="C1023" s="1">
        <v>0</v>
      </c>
      <c r="D1023" s="1">
        <v>-7.5010700000000003E-3</v>
      </c>
      <c r="E1023" s="1">
        <v>7.3311000000000001E-3</v>
      </c>
      <c r="F1023" s="1">
        <v>1.54518E-4</v>
      </c>
      <c r="G1023" s="1">
        <v>6.3045000000000004E-7</v>
      </c>
      <c r="H1023" s="1">
        <v>-1.4827100000000001E-5</v>
      </c>
    </row>
    <row r="1024" spans="2:8" x14ac:dyDescent="0.25">
      <c r="B1024" s="1">
        <v>143.65700000000001</v>
      </c>
      <c r="C1024" s="1">
        <v>0</v>
      </c>
      <c r="D1024" s="1">
        <v>-7.3724200000000002E-3</v>
      </c>
      <c r="E1024" s="1">
        <v>7.2259100000000003E-3</v>
      </c>
      <c r="F1024" s="1">
        <v>1.2703000000000001E-4</v>
      </c>
      <c r="G1024" s="1">
        <v>2.8138500000000002E-6</v>
      </c>
      <c r="H1024" s="1">
        <v>-1.6670499999999999E-5</v>
      </c>
    </row>
    <row r="1025" spans="2:8" x14ac:dyDescent="0.25">
      <c r="B1025" s="1">
        <v>145.67500000000001</v>
      </c>
      <c r="C1025" s="1">
        <v>0</v>
      </c>
      <c r="D1025" s="1">
        <v>-7.2459100000000004E-3</v>
      </c>
      <c r="E1025" s="1">
        <v>7.1182299999999997E-3</v>
      </c>
      <c r="F1025" s="1">
        <v>1.05111E-4</v>
      </c>
      <c r="G1025" s="1">
        <v>4.1397100000000002E-6</v>
      </c>
      <c r="H1025" s="1">
        <v>-1.8423800000000001E-5</v>
      </c>
    </row>
    <row r="1026" spans="2:8" x14ac:dyDescent="0.25">
      <c r="B1026" s="1">
        <v>147.69800000000001</v>
      </c>
      <c r="C1026" s="1">
        <v>0</v>
      </c>
      <c r="D1026" s="1">
        <v>-7.1215599999999999E-3</v>
      </c>
      <c r="E1026" s="1">
        <v>7.0070999999999996E-3</v>
      </c>
      <c r="F1026" s="1">
        <v>8.9675500000000006E-5</v>
      </c>
      <c r="G1026" s="1">
        <v>4.8234500000000004E-6</v>
      </c>
      <c r="H1026" s="1">
        <v>-1.9969000000000001E-5</v>
      </c>
    </row>
    <row r="1027" spans="2:8" x14ac:dyDescent="0.25">
      <c r="B1027" s="1">
        <v>149.726</v>
      </c>
      <c r="C1027" s="1">
        <v>0</v>
      </c>
      <c r="D1027" s="1">
        <v>-6.9993800000000004E-3</v>
      </c>
      <c r="E1027" s="1">
        <v>6.8928799999999997E-3</v>
      </c>
      <c r="F1027" s="1">
        <v>8.01547E-5</v>
      </c>
      <c r="G1027" s="1">
        <v>5.1225399999999999E-6</v>
      </c>
      <c r="H1027" s="1">
        <v>-2.12184E-5</v>
      </c>
    </row>
    <row r="1028" spans="2:8" x14ac:dyDescent="0.25">
      <c r="B1028" s="1">
        <v>151.75899999999999</v>
      </c>
      <c r="C1028" s="1">
        <v>0</v>
      </c>
      <c r="D1028" s="1">
        <v>-6.87938E-3</v>
      </c>
      <c r="E1028" s="1">
        <v>6.7767399999999998E-3</v>
      </c>
      <c r="F1028" s="1">
        <v>7.5346199999999994E-5</v>
      </c>
      <c r="G1028" s="1">
        <v>5.1821800000000004E-6</v>
      </c>
      <c r="H1028" s="1">
        <v>-2.2113300000000001E-5</v>
      </c>
    </row>
    <row r="1029" spans="2:8" x14ac:dyDescent="0.25">
      <c r="B1029" s="1">
        <v>153.79599999999999</v>
      </c>
      <c r="C1029" s="1">
        <v>0</v>
      </c>
      <c r="D1029" s="1">
        <v>-6.7615699999999997E-3</v>
      </c>
      <c r="E1029" s="1">
        <v>6.66002E-3</v>
      </c>
      <c r="F1029" s="1">
        <v>7.3865700000000007E-5</v>
      </c>
      <c r="G1029" s="1">
        <v>5.0073100000000002E-6</v>
      </c>
      <c r="H1029" s="1">
        <v>-2.2680400000000001E-5</v>
      </c>
    </row>
    <row r="1030" spans="2:8" x14ac:dyDescent="0.25">
      <c r="B1030" s="1">
        <v>155.83799999999999</v>
      </c>
      <c r="C1030" s="1">
        <v>0</v>
      </c>
      <c r="D1030" s="1">
        <v>-6.6459700000000002E-3</v>
      </c>
      <c r="E1030" s="1">
        <v>6.5439699999999996E-3</v>
      </c>
      <c r="F1030" s="1">
        <v>7.4461000000000004E-5</v>
      </c>
      <c r="G1030" s="1">
        <v>4.5532800000000004E-6</v>
      </c>
      <c r="H1030" s="1">
        <v>-2.2991300000000001E-5</v>
      </c>
    </row>
    <row r="1031" spans="2:8" x14ac:dyDescent="0.25">
      <c r="B1031" s="1">
        <v>157.88399999999999</v>
      </c>
      <c r="C1031" s="1">
        <v>0</v>
      </c>
      <c r="D1031" s="1">
        <v>-6.5326400000000001E-3</v>
      </c>
      <c r="E1031" s="1">
        <v>6.4292300000000002E-3</v>
      </c>
      <c r="F1031" s="1">
        <v>7.6330999999999998E-5</v>
      </c>
      <c r="G1031" s="1">
        <v>3.9242599999999996E-6</v>
      </c>
      <c r="H1031" s="1">
        <v>-2.31514E-5</v>
      </c>
    </row>
    <row r="1032" spans="2:8" x14ac:dyDescent="0.25">
      <c r="B1032" s="1">
        <v>159.93299999999999</v>
      </c>
      <c r="C1032" s="1">
        <v>0</v>
      </c>
      <c r="D1032" s="1">
        <v>-6.4216100000000003E-3</v>
      </c>
      <c r="E1032" s="1">
        <v>6.3155299999999998E-3</v>
      </c>
      <c r="F1032" s="1">
        <v>7.9500500000000002E-5</v>
      </c>
      <c r="G1032" s="1">
        <v>3.3038200000000002E-6</v>
      </c>
      <c r="H1032" s="1">
        <v>-2.32766E-5</v>
      </c>
    </row>
    <row r="1033" spans="2:8" x14ac:dyDescent="0.25">
      <c r="B1033" s="1">
        <v>161.98599999999999</v>
      </c>
      <c r="C1033" s="1">
        <v>0</v>
      </c>
      <c r="D1033" s="1">
        <v>-6.3129800000000002E-3</v>
      </c>
      <c r="E1033" s="1">
        <v>6.20201E-3</v>
      </c>
      <c r="F1033" s="1">
        <v>8.4727499999999998E-5</v>
      </c>
      <c r="G1033" s="1">
        <v>2.7379800000000002E-6</v>
      </c>
      <c r="H1033" s="1">
        <v>-2.35007E-5</v>
      </c>
    </row>
    <row r="1034" spans="2:8" x14ac:dyDescent="0.25">
      <c r="B1034" s="1">
        <v>164.04300000000001</v>
      </c>
      <c r="C1034" s="1">
        <v>0</v>
      </c>
      <c r="D1034" s="1">
        <v>-6.2068000000000002E-3</v>
      </c>
      <c r="E1034" s="1">
        <v>6.0879899999999997E-3</v>
      </c>
      <c r="F1034" s="1">
        <v>9.2627999999999995E-5</v>
      </c>
      <c r="G1034" s="1">
        <v>2.2730199999999998E-6</v>
      </c>
      <c r="H1034" s="1">
        <v>-2.39008E-5</v>
      </c>
    </row>
    <row r="1035" spans="2:8" x14ac:dyDescent="0.25">
      <c r="B1035" s="1">
        <v>166.10400000000001</v>
      </c>
      <c r="C1035" s="1">
        <v>0</v>
      </c>
      <c r="D1035" s="1">
        <v>-6.1030900000000003E-3</v>
      </c>
      <c r="E1035" s="1">
        <v>5.9734799999999998E-3</v>
      </c>
      <c r="F1035" s="1">
        <v>1.03046E-4</v>
      </c>
      <c r="G1035" s="1">
        <v>2.0830300000000002E-6</v>
      </c>
      <c r="H1035" s="1">
        <v>-2.4482599999999998E-5</v>
      </c>
    </row>
    <row r="1036" spans="2:8" x14ac:dyDescent="0.25">
      <c r="B1036" s="1">
        <v>168.167</v>
      </c>
      <c r="C1036" s="1">
        <v>0</v>
      </c>
      <c r="D1036" s="1">
        <v>-6.0018399999999996E-3</v>
      </c>
      <c r="E1036" s="1">
        <v>5.8590300000000003E-3</v>
      </c>
      <c r="F1036" s="1">
        <v>1.15322E-4</v>
      </c>
      <c r="G1036" s="1">
        <v>2.2650400000000002E-6</v>
      </c>
      <c r="H1036" s="1">
        <v>-2.5231500000000001E-5</v>
      </c>
    </row>
    <row r="1037" spans="2:8" x14ac:dyDescent="0.25">
      <c r="B1037" s="1">
        <v>170.23400000000001</v>
      </c>
      <c r="C1037" s="1">
        <v>0</v>
      </c>
      <c r="D1037" s="1">
        <v>-5.9029199999999999E-3</v>
      </c>
      <c r="E1037" s="1">
        <v>5.7451799999999999E-3</v>
      </c>
      <c r="F1037" s="1">
        <v>1.2888E-4</v>
      </c>
      <c r="G1037" s="1">
        <v>2.7318499999999999E-6</v>
      </c>
      <c r="H1037" s="1">
        <v>-2.6123E-5</v>
      </c>
    </row>
    <row r="1038" spans="2:8" x14ac:dyDescent="0.25">
      <c r="B1038" s="1">
        <v>172.304</v>
      </c>
      <c r="C1038" s="1">
        <v>0</v>
      </c>
      <c r="D1038" s="1">
        <v>-5.8061600000000003E-3</v>
      </c>
      <c r="E1038" s="1">
        <v>5.6320299999999997E-3</v>
      </c>
      <c r="F1038" s="1">
        <v>1.43719E-4</v>
      </c>
      <c r="G1038" s="1">
        <v>3.2576899999999999E-6</v>
      </c>
      <c r="H1038" s="1">
        <v>-2.7150700000000001E-5</v>
      </c>
    </row>
    <row r="1039" spans="2:8" x14ac:dyDescent="0.25">
      <c r="B1039" s="1">
        <v>174.37700000000001</v>
      </c>
      <c r="C1039" s="1">
        <v>0</v>
      </c>
      <c r="D1039" s="1">
        <v>-5.71143E-3</v>
      </c>
      <c r="E1039" s="1">
        <v>5.5190600000000001E-3</v>
      </c>
      <c r="F1039" s="1">
        <v>1.6042500000000001E-4</v>
      </c>
      <c r="G1039" s="1">
        <v>3.6381200000000001E-6</v>
      </c>
      <c r="H1039" s="1">
        <v>-2.8302599999999999E-5</v>
      </c>
    </row>
    <row r="1040" spans="2:8" x14ac:dyDescent="0.25">
      <c r="B1040" s="1">
        <v>176.453</v>
      </c>
      <c r="C1040" s="1">
        <v>0</v>
      </c>
      <c r="D1040" s="1">
        <v>-5.6186400000000003E-3</v>
      </c>
      <c r="E1040" s="1">
        <v>5.4058099999999996E-3</v>
      </c>
      <c r="F1040" s="1">
        <v>1.7946499999999999E-4</v>
      </c>
      <c r="G1040" s="1">
        <v>3.8178799999999998E-6</v>
      </c>
      <c r="H1040" s="1">
        <v>-2.9544999999999999E-5</v>
      </c>
    </row>
    <row r="1041" spans="2:8" x14ac:dyDescent="0.25">
      <c r="B1041" s="1">
        <v>178.53100000000001</v>
      </c>
      <c r="C1041" s="1">
        <v>0</v>
      </c>
      <c r="D1041" s="1">
        <v>-5.5277099999999999E-3</v>
      </c>
      <c r="E1041" s="1">
        <v>5.2924000000000001E-3</v>
      </c>
      <c r="F1041" s="1">
        <v>2.00631E-4</v>
      </c>
      <c r="G1041" s="1">
        <v>3.8648300000000002E-6</v>
      </c>
      <c r="H1041" s="1">
        <v>-3.08171E-5</v>
      </c>
    </row>
    <row r="1042" spans="2:8" x14ac:dyDescent="0.25">
      <c r="B1042" s="1">
        <v>180.61199999999999</v>
      </c>
      <c r="C1042" s="1">
        <v>0</v>
      </c>
      <c r="D1042" s="1">
        <v>-5.43861E-3</v>
      </c>
      <c r="E1042" s="1">
        <v>5.1795399999999998E-3</v>
      </c>
      <c r="F1042" s="1">
        <v>2.2310099999999999E-4</v>
      </c>
      <c r="G1042" s="1">
        <v>3.8989699999999999E-6</v>
      </c>
      <c r="H1042" s="1">
        <v>-3.2066700000000003E-5</v>
      </c>
    </row>
    <row r="1043" spans="2:8" x14ac:dyDescent="0.25">
      <c r="B1043" s="1">
        <v>182.69499999999999</v>
      </c>
      <c r="C1043" s="1">
        <v>0</v>
      </c>
      <c r="D1043" s="1">
        <v>-5.3512500000000001E-3</v>
      </c>
      <c r="E1043" s="1">
        <v>5.0680899999999999E-3</v>
      </c>
      <c r="F1043" s="1">
        <v>2.4584699999999999E-4</v>
      </c>
      <c r="G1043" s="1">
        <v>4.0316499999999998E-6</v>
      </c>
      <c r="H1043" s="1">
        <v>-3.3283500000000001E-5</v>
      </c>
    </row>
    <row r="1044" spans="2:8" x14ac:dyDescent="0.25">
      <c r="B1044" s="1">
        <v>184.78200000000001</v>
      </c>
      <c r="C1044" s="1">
        <v>0</v>
      </c>
      <c r="D1044" s="1">
        <v>-5.2655599999999999E-3</v>
      </c>
      <c r="E1044" s="1">
        <v>4.9588699999999998E-3</v>
      </c>
      <c r="F1044" s="1">
        <v>2.6797600000000001E-4</v>
      </c>
      <c r="G1044" s="1">
        <v>4.2153699999999999E-6</v>
      </c>
      <c r="H1044" s="1">
        <v>-3.44945E-5</v>
      </c>
    </row>
    <row r="1045" spans="2:8" x14ac:dyDescent="0.25">
      <c r="B1045" s="1">
        <v>186.87</v>
      </c>
      <c r="C1045" s="1">
        <v>0</v>
      </c>
      <c r="D1045" s="1">
        <v>-5.1815200000000002E-3</v>
      </c>
      <c r="E1045" s="1">
        <v>4.8528900000000003E-3</v>
      </c>
      <c r="F1045" s="1">
        <v>2.88533E-4</v>
      </c>
      <c r="G1045" s="1">
        <v>4.3507200000000002E-6</v>
      </c>
      <c r="H1045" s="1">
        <v>-3.57462E-5</v>
      </c>
    </row>
    <row r="1046" spans="2:8" x14ac:dyDescent="0.25">
      <c r="B1046" s="1">
        <v>188.96</v>
      </c>
      <c r="C1046" s="1">
        <v>0</v>
      </c>
      <c r="D1046" s="1">
        <v>-5.0991200000000004E-3</v>
      </c>
      <c r="E1046" s="1">
        <v>4.7512500000000003E-3</v>
      </c>
      <c r="F1046" s="1">
        <v>3.0631300000000001E-4</v>
      </c>
      <c r="G1046" s="1">
        <v>4.5514899999999997E-6</v>
      </c>
      <c r="H1046" s="1">
        <v>-3.7014000000000002E-5</v>
      </c>
    </row>
    <row r="1047" spans="2:8" x14ac:dyDescent="0.25">
      <c r="B1047" s="1">
        <v>191.05199999999999</v>
      </c>
      <c r="C1047" s="1">
        <v>0</v>
      </c>
      <c r="D1047" s="1">
        <v>-5.0183700000000003E-3</v>
      </c>
      <c r="E1047" s="1">
        <v>4.6547400000000001E-3</v>
      </c>
      <c r="F1047" s="1">
        <v>3.2031799999999999E-4</v>
      </c>
      <c r="G1047" s="1">
        <v>5.0659799999999997E-6</v>
      </c>
      <c r="H1047" s="1">
        <v>-3.8247700000000003E-5</v>
      </c>
    </row>
    <row r="1048" spans="2:8" x14ac:dyDescent="0.25">
      <c r="B1048" s="1">
        <v>193.14599999999999</v>
      </c>
      <c r="C1048" s="1">
        <v>0</v>
      </c>
      <c r="D1048" s="1">
        <v>-4.9391399999999998E-3</v>
      </c>
      <c r="E1048" s="1">
        <v>4.5634100000000004E-3</v>
      </c>
      <c r="F1048" s="1">
        <v>3.3041100000000002E-4</v>
      </c>
      <c r="G1048" s="1">
        <v>5.8902500000000001E-6</v>
      </c>
      <c r="H1048" s="1">
        <v>-3.9421000000000001E-5</v>
      </c>
    </row>
    <row r="1049" spans="2:8" x14ac:dyDescent="0.25">
      <c r="B1049" s="1">
        <v>195.24199999999999</v>
      </c>
      <c r="C1049" s="1">
        <v>0</v>
      </c>
      <c r="D1049" s="1">
        <v>-4.8612500000000001E-3</v>
      </c>
      <c r="E1049" s="1">
        <v>4.4766199999999997E-3</v>
      </c>
      <c r="F1049" s="1">
        <v>3.37313E-4</v>
      </c>
      <c r="G1049" s="1">
        <v>6.7827299999999999E-6</v>
      </c>
      <c r="H1049" s="1">
        <v>-4.0529499999999999E-5</v>
      </c>
    </row>
    <row r="1050" spans="2:8" x14ac:dyDescent="0.25">
      <c r="B1050" s="1">
        <v>197.34</v>
      </c>
      <c r="C1050" s="1">
        <v>0</v>
      </c>
      <c r="D1050" s="1">
        <v>-4.7845500000000003E-3</v>
      </c>
      <c r="E1050" s="1">
        <v>4.39332E-3</v>
      </c>
      <c r="F1050" s="1">
        <v>3.42219E-4</v>
      </c>
      <c r="G1050" s="1">
        <v>7.4176199999999996E-6</v>
      </c>
      <c r="H1050" s="1">
        <v>-4.1596900000000001E-5</v>
      </c>
    </row>
    <row r="1051" spans="2:8" x14ac:dyDescent="0.25">
      <c r="B1051" s="1">
        <v>199.43899999999999</v>
      </c>
      <c r="C1051" s="1">
        <v>0</v>
      </c>
      <c r="D1051" s="1">
        <v>-4.7089499999999999E-3</v>
      </c>
      <c r="E1051" s="1">
        <v>4.3123299999999996E-3</v>
      </c>
      <c r="F1051" s="1">
        <v>3.4644100000000001E-4</v>
      </c>
      <c r="G1051" s="1">
        <v>7.5194999999999997E-6</v>
      </c>
      <c r="H1051" s="1">
        <v>-4.2656900000000002E-5</v>
      </c>
    </row>
    <row r="1052" spans="2:8" x14ac:dyDescent="0.25">
      <c r="B1052" s="1">
        <v>201.541</v>
      </c>
      <c r="C1052" s="1">
        <v>0</v>
      </c>
      <c r="D1052" s="1">
        <v>-4.6344100000000003E-3</v>
      </c>
      <c r="E1052" s="1">
        <v>4.2327299999999997E-3</v>
      </c>
      <c r="F1052" s="1">
        <v>3.5088200000000001E-4</v>
      </c>
      <c r="G1052" s="1">
        <v>7.0529699999999997E-6</v>
      </c>
      <c r="H1052" s="1">
        <v>-4.37469E-5</v>
      </c>
    </row>
    <row r="1053" spans="2:8" x14ac:dyDescent="0.25">
      <c r="B1053" s="1">
        <v>203.64400000000001</v>
      </c>
      <c r="C1053" s="1">
        <v>0</v>
      </c>
      <c r="D1053" s="1">
        <v>-4.56099E-3</v>
      </c>
      <c r="E1053" s="1">
        <v>4.1539100000000002E-3</v>
      </c>
      <c r="F1053" s="1">
        <v>3.55874E-4</v>
      </c>
      <c r="G1053" s="1">
        <v>6.3324300000000001E-6</v>
      </c>
      <c r="H1053" s="1">
        <v>-4.48691E-5</v>
      </c>
    </row>
    <row r="1054" spans="2:8" x14ac:dyDescent="0.25">
      <c r="B1054" s="1">
        <v>205.74799999999999</v>
      </c>
      <c r="C1054" s="1">
        <v>0</v>
      </c>
      <c r="D1054" s="1">
        <v>-4.4887599999999996E-3</v>
      </c>
      <c r="E1054" s="1">
        <v>4.0752100000000001E-3</v>
      </c>
      <c r="F1054" s="1">
        <v>3.6171E-4</v>
      </c>
      <c r="G1054" s="1">
        <v>5.8486299999999998E-6</v>
      </c>
      <c r="H1054" s="1">
        <v>-4.5988800000000003E-5</v>
      </c>
    </row>
    <row r="1055" spans="2:8" x14ac:dyDescent="0.25">
      <c r="B1055" s="1">
        <v>207.85300000000001</v>
      </c>
      <c r="C1055" s="1">
        <v>0</v>
      </c>
      <c r="D1055" s="1">
        <v>-4.4177900000000004E-3</v>
      </c>
      <c r="E1055" s="1">
        <v>3.9956699999999998E-3</v>
      </c>
      <c r="F1055" s="1">
        <v>3.69164E-4</v>
      </c>
      <c r="G1055" s="1">
        <v>5.8765999999999998E-6</v>
      </c>
      <c r="H1055" s="1">
        <v>-4.7077199999999997E-5</v>
      </c>
    </row>
    <row r="1056" spans="2:8" x14ac:dyDescent="0.25">
      <c r="B1056" s="1">
        <v>209.96</v>
      </c>
      <c r="C1056" s="1">
        <v>0</v>
      </c>
      <c r="D1056" s="1">
        <v>-4.3480899999999998E-3</v>
      </c>
      <c r="E1056" s="1">
        <v>3.9142300000000003E-3</v>
      </c>
      <c r="F1056" s="1">
        <v>3.7939899999999999E-4</v>
      </c>
      <c r="G1056" s="1">
        <v>6.3613499999999997E-6</v>
      </c>
      <c r="H1056" s="1">
        <v>-4.8106099999999997E-5</v>
      </c>
    </row>
    <row r="1057" spans="2:8" x14ac:dyDescent="0.25">
      <c r="B1057" s="1">
        <v>212.06800000000001</v>
      </c>
      <c r="C1057" s="1">
        <v>0</v>
      </c>
      <c r="D1057" s="1">
        <v>-4.2796900000000001E-3</v>
      </c>
      <c r="E1057" s="1">
        <v>3.8301699999999999E-3</v>
      </c>
      <c r="F1057" s="1">
        <v>3.9338300000000002E-4</v>
      </c>
      <c r="G1057" s="1">
        <v>7.0693199999999999E-6</v>
      </c>
      <c r="H1057" s="1">
        <v>-4.9060800000000003E-5</v>
      </c>
    </row>
    <row r="1058" spans="2:8" x14ac:dyDescent="0.25">
      <c r="B1058" s="1">
        <v>214.17699999999999</v>
      </c>
      <c r="C1058" s="1">
        <v>0</v>
      </c>
      <c r="D1058" s="1">
        <v>-4.2125499999999998E-3</v>
      </c>
      <c r="E1058" s="1">
        <v>3.7433800000000001E-3</v>
      </c>
      <c r="F1058" s="1">
        <v>4.1144400000000001E-4</v>
      </c>
      <c r="G1058" s="1">
        <v>7.79E-6</v>
      </c>
      <c r="H1058" s="1">
        <v>-4.9935400000000003E-5</v>
      </c>
    </row>
    <row r="1059" spans="2:8" x14ac:dyDescent="0.25">
      <c r="B1059" s="1">
        <v>216.28800000000001</v>
      </c>
      <c r="C1059" s="1">
        <v>0</v>
      </c>
      <c r="D1059" s="1">
        <v>-4.14664E-3</v>
      </c>
      <c r="E1059" s="1">
        <v>3.65424E-3</v>
      </c>
      <c r="F1059" s="1">
        <v>4.3327699999999998E-4</v>
      </c>
      <c r="G1059" s="1">
        <v>8.3854600000000002E-6</v>
      </c>
      <c r="H1059" s="1">
        <v>-5.0738800000000003E-5</v>
      </c>
    </row>
    <row r="1060" spans="2:8" x14ac:dyDescent="0.25">
      <c r="B1060" s="1">
        <v>218.399</v>
      </c>
      <c r="C1060" s="1">
        <v>0</v>
      </c>
      <c r="D1060" s="1">
        <v>-4.0819100000000002E-3</v>
      </c>
      <c r="E1060" s="1">
        <v>3.56332E-3</v>
      </c>
      <c r="F1060" s="1">
        <v>4.58305E-4</v>
      </c>
      <c r="G1060" s="1">
        <v>8.7931599999999997E-6</v>
      </c>
      <c r="H1060" s="1">
        <v>-5.1491299999999999E-5</v>
      </c>
    </row>
    <row r="1061" spans="2:8" x14ac:dyDescent="0.25">
      <c r="B1061" s="1">
        <v>220.512</v>
      </c>
      <c r="C1061" s="1">
        <v>0</v>
      </c>
      <c r="D1061" s="1">
        <v>-4.0182899999999999E-3</v>
      </c>
      <c r="E1061" s="1">
        <v>3.4709300000000001E-3</v>
      </c>
      <c r="F1061" s="1">
        <v>4.8611500000000002E-4</v>
      </c>
      <c r="G1061" s="1">
        <v>9.0473200000000003E-6</v>
      </c>
      <c r="H1061" s="1">
        <v>-5.2193E-5</v>
      </c>
    </row>
    <row r="1062" spans="2:8" x14ac:dyDescent="0.25">
      <c r="B1062" s="1">
        <v>222.625</v>
      </c>
      <c r="C1062" s="1">
        <v>0</v>
      </c>
      <c r="D1062" s="1">
        <v>-3.9557899999999998E-3</v>
      </c>
      <c r="E1062" s="1">
        <v>3.3770599999999999E-3</v>
      </c>
      <c r="F1062" s="1">
        <v>5.1661000000000003E-4</v>
      </c>
      <c r="G1062" s="1">
        <v>9.2788199999999997E-6</v>
      </c>
      <c r="H1062" s="1">
        <v>-5.2834799999999998E-5</v>
      </c>
    </row>
    <row r="1063" spans="2:8" x14ac:dyDescent="0.25">
      <c r="B1063" s="1">
        <v>224.739</v>
      </c>
      <c r="C1063" s="1">
        <v>0</v>
      </c>
      <c r="D1063" s="1">
        <v>-3.8944299999999999E-3</v>
      </c>
      <c r="E1063" s="1">
        <v>3.2814900000000002E-3</v>
      </c>
      <c r="F1063" s="1">
        <v>5.4995100000000002E-4</v>
      </c>
      <c r="G1063" s="1">
        <v>9.5882200000000005E-6</v>
      </c>
      <c r="H1063" s="1">
        <v>-5.3393200000000002E-5</v>
      </c>
    </row>
    <row r="1064" spans="2:8" x14ac:dyDescent="0.25">
      <c r="B1064" s="1">
        <v>226.85499999999999</v>
      </c>
      <c r="C1064" s="1">
        <v>0</v>
      </c>
      <c r="D1064" s="1">
        <v>-3.8342200000000002E-3</v>
      </c>
      <c r="E1064" s="1">
        <v>3.1841399999999998E-3</v>
      </c>
      <c r="F1064" s="1">
        <v>5.8630900000000003E-4</v>
      </c>
      <c r="G1064" s="1">
        <v>9.9290900000000005E-6</v>
      </c>
      <c r="H1064" s="1">
        <v>-5.3843600000000001E-5</v>
      </c>
    </row>
    <row r="1065" spans="2:8" x14ac:dyDescent="0.25">
      <c r="B1065" s="1">
        <v>228.97</v>
      </c>
      <c r="C1065" s="1">
        <v>0</v>
      </c>
      <c r="D1065" s="1">
        <v>-3.77517E-3</v>
      </c>
      <c r="E1065" s="1">
        <v>3.0853500000000002E-3</v>
      </c>
      <c r="F1065" s="1">
        <v>6.2551999999999996E-4</v>
      </c>
      <c r="G1065" s="1">
        <v>1.01156E-5</v>
      </c>
      <c r="H1065" s="1">
        <v>-5.4181999999999997E-5</v>
      </c>
    </row>
    <row r="1066" spans="2:8" x14ac:dyDescent="0.25">
      <c r="B1066" s="1">
        <v>231.08699999999999</v>
      </c>
      <c r="C1066" s="1">
        <v>0</v>
      </c>
      <c r="D1066" s="1">
        <v>-3.7172300000000002E-3</v>
      </c>
      <c r="E1066" s="1">
        <v>2.98585E-3</v>
      </c>
      <c r="F1066" s="1">
        <v>6.6695800000000005E-4</v>
      </c>
      <c r="G1066" s="1">
        <v>1.0026299999999999E-5</v>
      </c>
      <c r="H1066" s="1">
        <v>-5.43995E-5</v>
      </c>
    </row>
    <row r="1067" spans="2:8" x14ac:dyDescent="0.25">
      <c r="B1067" s="1">
        <v>233.20500000000001</v>
      </c>
      <c r="C1067" s="1">
        <v>0</v>
      </c>
      <c r="D1067" s="1">
        <v>-3.6603899999999999E-3</v>
      </c>
      <c r="E1067" s="1">
        <v>2.8865399999999999E-3</v>
      </c>
      <c r="F1067" s="1">
        <v>7.0965999999999998E-4</v>
      </c>
      <c r="G1067" s="1">
        <v>9.6974999999999999E-6</v>
      </c>
      <c r="H1067" s="1">
        <v>-5.4493999999999997E-5</v>
      </c>
    </row>
    <row r="1068" spans="2:8" x14ac:dyDescent="0.25">
      <c r="B1068" s="1">
        <v>235.32300000000001</v>
      </c>
      <c r="C1068" s="1">
        <v>0</v>
      </c>
      <c r="D1068" s="1">
        <v>-3.6046300000000002E-3</v>
      </c>
      <c r="E1068" s="1">
        <v>2.78824E-3</v>
      </c>
      <c r="F1068" s="1">
        <v>7.5265100000000001E-4</v>
      </c>
      <c r="G1068" s="1">
        <v>9.2885299999999996E-6</v>
      </c>
      <c r="H1068" s="1">
        <v>-5.4444899999999998E-5</v>
      </c>
    </row>
    <row r="1069" spans="2:8" x14ac:dyDescent="0.25">
      <c r="B1069" s="1">
        <v>237.44200000000001</v>
      </c>
      <c r="C1069" s="1">
        <v>0</v>
      </c>
      <c r="D1069" s="1">
        <v>-3.5499699999999999E-3</v>
      </c>
      <c r="E1069" s="1">
        <v>2.6915699999999999E-3</v>
      </c>
      <c r="F1069" s="1">
        <v>7.9517900000000002E-4</v>
      </c>
      <c r="G1069" s="1">
        <v>8.9865799999999999E-6</v>
      </c>
      <c r="H1069" s="1">
        <v>-5.4237000000000003E-5</v>
      </c>
    </row>
    <row r="1070" spans="2:8" x14ac:dyDescent="0.25">
      <c r="B1070" s="1">
        <v>239.56100000000001</v>
      </c>
      <c r="C1070" s="1">
        <v>0</v>
      </c>
      <c r="D1070" s="1">
        <v>-3.4964699999999998E-3</v>
      </c>
      <c r="E1070" s="1">
        <v>2.5969299999999999E-3</v>
      </c>
      <c r="F1070" s="1">
        <v>8.3675700000000004E-4</v>
      </c>
      <c r="G1070" s="1">
        <v>8.9217899999999992E-6</v>
      </c>
      <c r="H1070" s="1">
        <v>-5.38588E-5</v>
      </c>
    </row>
    <row r="1071" spans="2:8" x14ac:dyDescent="0.25">
      <c r="B1071" s="1">
        <v>241.68199999999999</v>
      </c>
      <c r="C1071" s="1">
        <v>0</v>
      </c>
      <c r="D1071" s="1">
        <v>-3.4441300000000001E-3</v>
      </c>
      <c r="E1071" s="1">
        <v>2.5046399999999998E-3</v>
      </c>
      <c r="F1071" s="1">
        <v>8.7700799999999998E-4</v>
      </c>
      <c r="G1071" s="1">
        <v>9.1909200000000001E-6</v>
      </c>
      <c r="H1071" s="1">
        <v>-5.3290500000000001E-5</v>
      </c>
    </row>
    <row r="1072" spans="2:8" x14ac:dyDescent="0.25">
      <c r="B1072" s="1">
        <v>243.80199999999999</v>
      </c>
      <c r="C1072" s="1">
        <v>0</v>
      </c>
      <c r="D1072" s="1">
        <v>-3.3929300000000002E-3</v>
      </c>
      <c r="E1072" s="1">
        <v>2.41501E-3</v>
      </c>
      <c r="F1072" s="1">
        <v>9.15536E-4</v>
      </c>
      <c r="G1072" s="1">
        <v>9.8588999999999997E-6</v>
      </c>
      <c r="H1072" s="1">
        <v>-5.2533300000000001E-5</v>
      </c>
    </row>
    <row r="1073" spans="2:8" x14ac:dyDescent="0.25">
      <c r="B1073" s="1">
        <v>245.923</v>
      </c>
      <c r="C1073" s="1">
        <v>0</v>
      </c>
      <c r="D1073" s="1">
        <v>-3.34287E-3</v>
      </c>
      <c r="E1073" s="1">
        <v>2.3282400000000001E-3</v>
      </c>
      <c r="F1073" s="1">
        <v>9.5211099999999995E-4</v>
      </c>
      <c r="G1073" s="1">
        <v>1.09229E-5</v>
      </c>
      <c r="H1073" s="1">
        <v>-5.1595999999999999E-5</v>
      </c>
    </row>
    <row r="1074" spans="2:8" x14ac:dyDescent="0.25">
      <c r="B1074" s="1">
        <v>248.04499999999999</v>
      </c>
      <c r="C1074" s="1">
        <v>0</v>
      </c>
      <c r="D1074" s="1">
        <v>-3.2938799999999999E-3</v>
      </c>
      <c r="E1074" s="1">
        <v>2.24427E-3</v>
      </c>
      <c r="F1074" s="1">
        <v>9.868539999999999E-4</v>
      </c>
      <c r="G1074" s="1">
        <v>1.22386E-5</v>
      </c>
      <c r="H1074" s="1">
        <v>-5.0512500000000001E-5</v>
      </c>
    </row>
    <row r="1075" spans="2:8" x14ac:dyDescent="0.25">
      <c r="B1075" s="1">
        <v>250.167</v>
      </c>
      <c r="C1075" s="1">
        <v>0</v>
      </c>
      <c r="D1075" s="1">
        <v>-3.2459099999999999E-3</v>
      </c>
      <c r="E1075" s="1">
        <v>2.1628300000000001E-3</v>
      </c>
      <c r="F1075" s="1">
        <v>1.02019E-3</v>
      </c>
      <c r="G1075" s="1">
        <v>1.3556900000000001E-5</v>
      </c>
      <c r="H1075" s="1">
        <v>-4.9325800000000001E-5</v>
      </c>
    </row>
    <row r="1076" spans="2:8" x14ac:dyDescent="0.25">
      <c r="B1076" s="1">
        <v>252.29</v>
      </c>
      <c r="C1076" s="1">
        <v>0</v>
      </c>
      <c r="D1076" s="1">
        <v>-3.1988899999999998E-3</v>
      </c>
      <c r="E1076" s="1">
        <v>2.0836100000000001E-3</v>
      </c>
      <c r="F1076" s="1">
        <v>1.05255E-3</v>
      </c>
      <c r="G1076" s="1">
        <v>1.4657299999999999E-5</v>
      </c>
      <c r="H1076" s="1">
        <v>-4.8077200000000001E-5</v>
      </c>
    </row>
    <row r="1077" spans="2:8" x14ac:dyDescent="0.25">
      <c r="B1077" s="1">
        <v>254.41300000000001</v>
      </c>
      <c r="C1077" s="1">
        <v>0</v>
      </c>
      <c r="D1077" s="1">
        <v>-3.1527899999999999E-3</v>
      </c>
      <c r="E1077" s="1">
        <v>2.0064000000000002E-3</v>
      </c>
      <c r="F1077" s="1">
        <v>1.0842E-3</v>
      </c>
      <c r="G1077" s="1">
        <v>1.5410999999999999E-5</v>
      </c>
      <c r="H1077" s="1">
        <v>-4.6775199999999999E-5</v>
      </c>
    </row>
    <row r="1078" spans="2:8" x14ac:dyDescent="0.25">
      <c r="B1078" s="1">
        <v>256.53699999999998</v>
      </c>
      <c r="C1078" s="1">
        <v>0</v>
      </c>
      <c r="D1078" s="1">
        <v>-3.10757E-3</v>
      </c>
      <c r="E1078" s="1">
        <v>1.9311599999999999E-3</v>
      </c>
      <c r="F1078" s="1">
        <v>1.1152499999999999E-3</v>
      </c>
      <c r="G1078" s="1">
        <v>1.5727999999999999E-5</v>
      </c>
      <c r="H1078" s="1">
        <v>-4.5433699999999998E-5</v>
      </c>
    </row>
    <row r="1079" spans="2:8" x14ac:dyDescent="0.25">
      <c r="B1079" s="1">
        <v>258.66000000000003</v>
      </c>
      <c r="C1079" s="1">
        <v>0</v>
      </c>
      <c r="D1079" s="1">
        <v>-3.0631899999999999E-3</v>
      </c>
      <c r="E1079" s="1">
        <v>1.85805E-3</v>
      </c>
      <c r="F1079" s="1">
        <v>1.1455E-3</v>
      </c>
      <c r="G1079" s="1">
        <v>1.5586600000000001E-5</v>
      </c>
      <c r="H1079" s="1">
        <v>-4.4057000000000002E-5</v>
      </c>
    </row>
    <row r="1080" spans="2:8" x14ac:dyDescent="0.25">
      <c r="B1080" s="1">
        <v>260.78500000000003</v>
      </c>
      <c r="C1080" s="1">
        <v>0</v>
      </c>
      <c r="D1080" s="1">
        <v>-3.01966E-3</v>
      </c>
      <c r="E1080" s="1">
        <v>1.7874099999999999E-3</v>
      </c>
      <c r="F1080" s="1">
        <v>1.1745600000000001E-3</v>
      </c>
      <c r="G1080" s="1">
        <v>1.50624E-5</v>
      </c>
      <c r="H1080" s="1">
        <v>-4.2631900000000001E-5</v>
      </c>
    </row>
    <row r="1081" spans="2:8" x14ac:dyDescent="0.25">
      <c r="B1081" s="1">
        <v>262.90899999999999</v>
      </c>
      <c r="C1081" s="1">
        <v>0</v>
      </c>
      <c r="D1081" s="1">
        <v>-2.97694E-3</v>
      </c>
      <c r="E1081" s="1">
        <v>1.71959E-3</v>
      </c>
      <c r="F1081" s="1">
        <v>1.20191E-3</v>
      </c>
      <c r="G1081" s="1">
        <v>1.4282400000000001E-5</v>
      </c>
      <c r="H1081" s="1">
        <v>-4.1154600000000001E-5</v>
      </c>
    </row>
    <row r="1082" spans="2:8" x14ac:dyDescent="0.25">
      <c r="B1082" s="1">
        <v>265.03399999999999</v>
      </c>
      <c r="C1082" s="1">
        <v>0</v>
      </c>
      <c r="D1082" s="1">
        <v>-2.93502E-3</v>
      </c>
      <c r="E1082" s="1">
        <v>1.6547300000000001E-3</v>
      </c>
      <c r="F1082" s="1">
        <v>1.2273099999999999E-3</v>
      </c>
      <c r="G1082" s="1">
        <v>1.3347699999999999E-5</v>
      </c>
      <c r="H1082" s="1">
        <v>-3.9632100000000003E-5</v>
      </c>
    </row>
    <row r="1083" spans="2:8" x14ac:dyDescent="0.25">
      <c r="B1083" s="1">
        <v>267.15899999999999</v>
      </c>
      <c r="C1083" s="1">
        <v>0</v>
      </c>
      <c r="D1083" s="1">
        <v>-2.8939199999999999E-3</v>
      </c>
      <c r="E1083" s="1">
        <v>1.5926899999999999E-3</v>
      </c>
      <c r="F1083" s="1">
        <v>1.25084E-3</v>
      </c>
      <c r="G1083" s="1">
        <v>1.22913E-5</v>
      </c>
      <c r="H1083" s="1">
        <v>-3.8094599999999999E-5</v>
      </c>
    </row>
    <row r="1084" spans="2:8" x14ac:dyDescent="0.25">
      <c r="B1084" s="1">
        <v>269.28500000000003</v>
      </c>
      <c r="C1084" s="1">
        <v>0</v>
      </c>
      <c r="D1084" s="1">
        <v>-2.8536600000000001E-3</v>
      </c>
      <c r="E1084" s="1">
        <v>1.5331399999999999E-3</v>
      </c>
      <c r="F1084" s="1">
        <v>1.27283E-3</v>
      </c>
      <c r="G1084" s="1">
        <v>1.1100199999999999E-5</v>
      </c>
      <c r="H1084" s="1">
        <v>-3.6585699999999998E-5</v>
      </c>
    </row>
    <row r="1085" spans="2:8" x14ac:dyDescent="0.25">
      <c r="B1085" s="1">
        <v>271.411</v>
      </c>
      <c r="C1085" s="1">
        <v>0</v>
      </c>
      <c r="D1085" s="1">
        <v>-2.8142800000000002E-3</v>
      </c>
      <c r="E1085" s="1">
        <v>1.47576E-3</v>
      </c>
      <c r="F1085" s="1">
        <v>1.2936099999999999E-3</v>
      </c>
      <c r="G1085" s="1">
        <v>9.7537199999999992E-6</v>
      </c>
      <c r="H1085" s="1">
        <v>-3.5159300000000001E-5</v>
      </c>
    </row>
    <row r="1086" spans="2:8" x14ac:dyDescent="0.25">
      <c r="B1086" s="1">
        <v>273.53699999999998</v>
      </c>
      <c r="C1086" s="1">
        <v>0</v>
      </c>
      <c r="D1086" s="1">
        <v>-2.7758399999999999E-3</v>
      </c>
      <c r="E1086" s="1">
        <v>1.42037E-3</v>
      </c>
      <c r="F1086" s="1">
        <v>1.3133699999999999E-3</v>
      </c>
      <c r="G1086" s="1">
        <v>8.2477599999999998E-6</v>
      </c>
      <c r="H1086" s="1">
        <v>-3.3852900000000002E-5</v>
      </c>
    </row>
    <row r="1087" spans="2:8" x14ac:dyDescent="0.25">
      <c r="B1087" s="1">
        <v>275.66300000000001</v>
      </c>
      <c r="C1087" s="1">
        <v>0</v>
      </c>
      <c r="D1087" s="1">
        <v>-2.73837E-3</v>
      </c>
      <c r="E1087" s="1">
        <v>1.3668899999999999E-3</v>
      </c>
      <c r="F1087" s="1">
        <v>1.3321800000000001E-3</v>
      </c>
      <c r="G1087" s="1">
        <v>6.6002400000000002E-6</v>
      </c>
      <c r="H1087" s="1">
        <v>-3.2700300000000003E-5</v>
      </c>
    </row>
    <row r="1088" spans="2:8" x14ac:dyDescent="0.25">
      <c r="B1088" s="1">
        <v>277.79000000000002</v>
      </c>
      <c r="C1088" s="1">
        <v>0</v>
      </c>
      <c r="D1088" s="1">
        <v>-2.7018799999999998E-3</v>
      </c>
      <c r="E1088" s="1">
        <v>1.3153800000000001E-3</v>
      </c>
      <c r="F1088" s="1">
        <v>1.3498900000000001E-3</v>
      </c>
      <c r="G1088" s="1">
        <v>4.9036099999999998E-6</v>
      </c>
      <c r="H1088" s="1">
        <v>-3.1712499999999998E-5</v>
      </c>
    </row>
    <row r="1089" spans="2:8" x14ac:dyDescent="0.25">
      <c r="B1089" s="1">
        <v>279.91699999999997</v>
      </c>
      <c r="C1089" s="1">
        <v>0</v>
      </c>
      <c r="D1089" s="1">
        <v>-2.6663500000000001E-3</v>
      </c>
      <c r="E1089" s="1">
        <v>1.2659399999999999E-3</v>
      </c>
      <c r="F1089" s="1">
        <v>1.36619E-3</v>
      </c>
      <c r="G1089" s="1">
        <v>3.3310700000000002E-6</v>
      </c>
      <c r="H1089" s="1">
        <v>-3.0895200000000002E-5</v>
      </c>
    </row>
    <row r="1090" spans="2:8" x14ac:dyDescent="0.25">
      <c r="B1090" s="1">
        <v>282.04399999999998</v>
      </c>
      <c r="C1090" s="1">
        <v>0</v>
      </c>
      <c r="D1090" s="1">
        <v>-2.6317599999999999E-3</v>
      </c>
      <c r="E1090" s="1">
        <v>1.21861E-3</v>
      </c>
      <c r="F1090" s="1">
        <v>1.3808200000000001E-3</v>
      </c>
      <c r="G1090" s="1">
        <v>2.0880499999999999E-6</v>
      </c>
      <c r="H1090" s="1">
        <v>-3.0240299999999999E-5</v>
      </c>
    </row>
    <row r="1091" spans="2:8" x14ac:dyDescent="0.25">
      <c r="B1091" s="1">
        <v>284.17200000000003</v>
      </c>
      <c r="C1091" s="1">
        <v>0</v>
      </c>
      <c r="D1091" s="1">
        <v>-2.5980500000000002E-3</v>
      </c>
      <c r="E1091" s="1">
        <v>1.1734E-3</v>
      </c>
      <c r="F1091" s="1">
        <v>1.39357E-3</v>
      </c>
      <c r="G1091" s="1">
        <v>1.3602999999999999E-6</v>
      </c>
      <c r="H1091" s="1">
        <v>-2.97293E-5</v>
      </c>
    </row>
    <row r="1092" spans="2:8" x14ac:dyDescent="0.25">
      <c r="B1092" s="1">
        <v>286.29899999999998</v>
      </c>
      <c r="C1092" s="1">
        <v>0</v>
      </c>
      <c r="D1092" s="1">
        <v>-2.5651699999999999E-3</v>
      </c>
      <c r="E1092" s="1">
        <v>1.1302599999999999E-3</v>
      </c>
      <c r="F1092" s="1">
        <v>1.4042799999999999E-3</v>
      </c>
      <c r="G1092" s="1">
        <v>1.29855E-6</v>
      </c>
      <c r="H1092" s="1">
        <v>-2.9336299999999999E-5</v>
      </c>
    </row>
    <row r="1093" spans="2:8" x14ac:dyDescent="0.25">
      <c r="B1093" s="1">
        <v>288.42700000000002</v>
      </c>
      <c r="C1093" s="1">
        <v>0</v>
      </c>
      <c r="D1093" s="1">
        <v>-2.53309E-3</v>
      </c>
      <c r="E1093" s="1">
        <v>1.0891399999999999E-3</v>
      </c>
      <c r="F1093" s="1">
        <v>1.41292E-3</v>
      </c>
      <c r="G1093" s="1">
        <v>1.97702E-6</v>
      </c>
      <c r="H1093" s="1">
        <v>-2.9045500000000002E-5</v>
      </c>
    </row>
    <row r="1094" spans="2:8" x14ac:dyDescent="0.25">
      <c r="B1094" s="1">
        <v>290.55599999999998</v>
      </c>
      <c r="C1094" s="1">
        <v>0</v>
      </c>
      <c r="D1094" s="1">
        <v>-2.5017300000000002E-3</v>
      </c>
      <c r="E1094" s="1">
        <v>1.04991E-3</v>
      </c>
      <c r="F1094" s="1">
        <v>1.4196199999999999E-3</v>
      </c>
      <c r="G1094" s="1">
        <v>3.36009E-6</v>
      </c>
      <c r="H1094" s="1">
        <v>-2.8844699999999998E-5</v>
      </c>
    </row>
    <row r="1095" spans="2:8" x14ac:dyDescent="0.25">
      <c r="B1095" s="1">
        <v>292.68400000000003</v>
      </c>
      <c r="C1095" s="1">
        <v>0</v>
      </c>
      <c r="D1095" s="1">
        <v>-2.4710499999999998E-3</v>
      </c>
      <c r="E1095" s="1">
        <v>1.0122499999999999E-3</v>
      </c>
      <c r="F1095" s="1">
        <v>1.4247299999999999E-3</v>
      </c>
      <c r="G1095" s="1">
        <v>5.3230499999999998E-6</v>
      </c>
      <c r="H1095" s="1">
        <v>-2.8739999999999999E-5</v>
      </c>
    </row>
    <row r="1096" spans="2:8" x14ac:dyDescent="0.25">
      <c r="B1096" s="1">
        <v>294.81200000000001</v>
      </c>
      <c r="C1096" s="1">
        <v>0</v>
      </c>
      <c r="D1096" s="1">
        <v>-2.4409900000000001E-3</v>
      </c>
      <c r="E1096" s="1">
        <v>9.7587100000000001E-4</v>
      </c>
      <c r="F1096" s="1">
        <v>1.4286800000000001E-3</v>
      </c>
      <c r="G1096" s="1">
        <v>7.7139099999999998E-6</v>
      </c>
      <c r="H1096" s="1">
        <v>-2.87234E-5</v>
      </c>
    </row>
    <row r="1097" spans="2:8" x14ac:dyDescent="0.25">
      <c r="B1097" s="1">
        <v>296.94</v>
      </c>
      <c r="C1097" s="1">
        <v>0</v>
      </c>
      <c r="D1097" s="1">
        <v>-2.4115199999999999E-3</v>
      </c>
      <c r="E1097" s="1">
        <v>9.4042599999999996E-4</v>
      </c>
      <c r="F1097" s="1">
        <v>1.4319199999999999E-3</v>
      </c>
      <c r="G1097" s="1">
        <v>1.0376200000000001E-5</v>
      </c>
      <c r="H1097" s="1">
        <v>-2.8798399999999999E-5</v>
      </c>
    </row>
    <row r="1098" spans="2:8" x14ac:dyDescent="0.25">
      <c r="B1098" s="1">
        <v>299.07</v>
      </c>
      <c r="C1098" s="1">
        <v>0</v>
      </c>
      <c r="D1098" s="1">
        <v>-2.3826099999999998E-3</v>
      </c>
      <c r="E1098" s="1">
        <v>9.056E-4</v>
      </c>
      <c r="F1098" s="1">
        <v>1.4348900000000001E-3</v>
      </c>
      <c r="G1098" s="1">
        <v>1.31511E-5</v>
      </c>
      <c r="H1098" s="1">
        <v>-2.8957100000000001E-5</v>
      </c>
    </row>
    <row r="1099" spans="2:8" x14ac:dyDescent="0.25">
      <c r="B1099" s="1">
        <v>301.19900000000001</v>
      </c>
      <c r="C1099" s="1">
        <v>0</v>
      </c>
      <c r="D1099" s="1">
        <v>-2.3542599999999999E-3</v>
      </c>
      <c r="E1099" s="1">
        <v>8.7109999999999998E-4</v>
      </c>
      <c r="F1099" s="1">
        <v>1.43811E-3</v>
      </c>
      <c r="G1099" s="1">
        <v>1.5865299999999999E-5</v>
      </c>
      <c r="H1099" s="1">
        <v>-2.9178000000000001E-5</v>
      </c>
    </row>
    <row r="1100" spans="2:8" x14ac:dyDescent="0.25">
      <c r="B1100" s="1">
        <v>303.32799999999997</v>
      </c>
      <c r="C1100" s="1">
        <v>0</v>
      </c>
      <c r="D1100" s="1">
        <v>-2.3264800000000001E-3</v>
      </c>
      <c r="E1100" s="1">
        <v>8.3676200000000001E-4</v>
      </c>
      <c r="F1100" s="1">
        <v>1.44192E-3</v>
      </c>
      <c r="G1100" s="1">
        <v>1.8342099999999998E-5</v>
      </c>
      <c r="H1100" s="1">
        <v>-2.9453000000000001E-5</v>
      </c>
    </row>
    <row r="1101" spans="2:8" x14ac:dyDescent="0.25">
      <c r="B1101" s="1">
        <v>305.45699999999999</v>
      </c>
      <c r="C1101" s="1">
        <v>0</v>
      </c>
      <c r="D1101" s="1">
        <v>-2.2992799999999999E-3</v>
      </c>
      <c r="E1101" s="1">
        <v>8.0260800000000001E-4</v>
      </c>
      <c r="F1101" s="1">
        <v>1.44647E-3</v>
      </c>
      <c r="G1101" s="1">
        <v>2.0432799999999999E-5</v>
      </c>
      <c r="H1101" s="1">
        <v>-2.9760400000000001E-5</v>
      </c>
    </row>
    <row r="1102" spans="2:8" x14ac:dyDescent="0.25">
      <c r="B1102" s="1">
        <v>307.58600000000001</v>
      </c>
      <c r="C1102" s="1">
        <v>0</v>
      </c>
      <c r="D1102" s="1">
        <v>-2.2726600000000001E-3</v>
      </c>
      <c r="E1102" s="1">
        <v>7.6880500000000001E-4</v>
      </c>
      <c r="F1102" s="1">
        <v>1.45178E-3</v>
      </c>
      <c r="G1102" s="1">
        <v>2.20033E-5</v>
      </c>
      <c r="H1102" s="1">
        <v>-3.0065499999999999E-5</v>
      </c>
    </row>
    <row r="1103" spans="2:8" x14ac:dyDescent="0.25">
      <c r="B1103" s="1">
        <v>309.71600000000001</v>
      </c>
      <c r="C1103" s="1">
        <v>0</v>
      </c>
      <c r="D1103" s="1">
        <v>-2.24662E-3</v>
      </c>
      <c r="E1103" s="1">
        <v>7.3549399999999995E-4</v>
      </c>
      <c r="F1103" s="1">
        <v>1.4578600000000001E-3</v>
      </c>
      <c r="G1103" s="1">
        <v>2.29337E-5</v>
      </c>
      <c r="H1103" s="1">
        <v>-3.0337799999999999E-5</v>
      </c>
    </row>
    <row r="1104" spans="2:8" x14ac:dyDescent="0.25">
      <c r="B1104" s="1">
        <v>311.846</v>
      </c>
      <c r="C1104" s="1">
        <v>0</v>
      </c>
      <c r="D1104" s="1">
        <v>-2.2211700000000002E-3</v>
      </c>
      <c r="E1104" s="1">
        <v>7.0265400000000004E-4</v>
      </c>
      <c r="F1104" s="1">
        <v>1.4647799999999999E-3</v>
      </c>
      <c r="G1104" s="1">
        <v>2.3173899999999998E-5</v>
      </c>
      <c r="H1104" s="1">
        <v>-3.0564000000000001E-5</v>
      </c>
    </row>
    <row r="1105" spans="2:8" x14ac:dyDescent="0.25">
      <c r="B1105" s="1">
        <v>313.976</v>
      </c>
      <c r="C1105" s="1">
        <v>0</v>
      </c>
      <c r="D1105" s="1">
        <v>-2.1963299999999998E-3</v>
      </c>
      <c r="E1105" s="1">
        <v>6.70088E-4</v>
      </c>
      <c r="F1105" s="1">
        <v>1.4727500000000001E-3</v>
      </c>
      <c r="G1105" s="1">
        <v>2.2803399999999999E-5</v>
      </c>
      <c r="H1105" s="1">
        <v>-3.0696199999999999E-5</v>
      </c>
    </row>
    <row r="1106" spans="2:8" x14ac:dyDescent="0.25">
      <c r="B1106" s="1">
        <v>316.10700000000003</v>
      </c>
      <c r="C1106" s="1">
        <v>0</v>
      </c>
      <c r="D1106" s="1">
        <v>-2.1721399999999999E-3</v>
      </c>
      <c r="E1106" s="1">
        <v>6.37635E-4</v>
      </c>
      <c r="F1106" s="1">
        <v>1.48182E-3</v>
      </c>
      <c r="G1106" s="1">
        <v>2.1970599999999999E-5</v>
      </c>
      <c r="H1106" s="1">
        <v>-3.0721600000000001E-5</v>
      </c>
    </row>
    <row r="1107" spans="2:8" x14ac:dyDescent="0.25">
      <c r="B1107" s="1">
        <v>318.23700000000002</v>
      </c>
      <c r="C1107" s="1">
        <v>0</v>
      </c>
      <c r="D1107" s="1">
        <v>-2.14862E-3</v>
      </c>
      <c r="E1107" s="1">
        <v>6.0529599999999996E-4</v>
      </c>
      <c r="F1107" s="1">
        <v>1.4918900000000001E-3</v>
      </c>
      <c r="G1107" s="1">
        <v>2.08107E-5</v>
      </c>
      <c r="H1107" s="1">
        <v>-3.06253E-5</v>
      </c>
    </row>
    <row r="1108" spans="2:8" x14ac:dyDescent="0.25">
      <c r="B1108" s="1">
        <v>320.36700000000002</v>
      </c>
      <c r="C1108" s="1">
        <v>0</v>
      </c>
      <c r="D1108" s="1">
        <v>-2.1257799999999999E-3</v>
      </c>
      <c r="E1108" s="1">
        <v>5.73279E-4</v>
      </c>
      <c r="F1108" s="1">
        <v>1.5027E-3</v>
      </c>
      <c r="G1108" s="1">
        <v>1.9405499999999999E-5</v>
      </c>
      <c r="H1108" s="1">
        <v>-3.0397000000000001E-5</v>
      </c>
    </row>
    <row r="1109" spans="2:8" x14ac:dyDescent="0.25">
      <c r="B1109" s="1">
        <v>322.49799999999999</v>
      </c>
      <c r="C1109" s="1">
        <v>0</v>
      </c>
      <c r="D1109" s="1">
        <v>-2.1036000000000002E-3</v>
      </c>
      <c r="E1109" s="1">
        <v>5.4202199999999997E-4</v>
      </c>
      <c r="F1109" s="1">
        <v>1.51373E-3</v>
      </c>
      <c r="G1109" s="1">
        <v>1.7816600000000002E-5</v>
      </c>
      <c r="H1109" s="1">
        <v>-3.0034200000000001E-5</v>
      </c>
    </row>
    <row r="1110" spans="2:8" x14ac:dyDescent="0.25">
      <c r="B1110" s="1">
        <v>324.62900000000002</v>
      </c>
      <c r="C1110" s="1">
        <v>0</v>
      </c>
      <c r="D1110" s="1">
        <v>-2.0820700000000001E-3</v>
      </c>
      <c r="E1110" s="1">
        <v>5.1211699999999998E-4</v>
      </c>
      <c r="F1110" s="1">
        <v>1.52429E-3</v>
      </c>
      <c r="G1110" s="1">
        <v>1.6116900000000001E-5</v>
      </c>
      <c r="H1110" s="1">
        <v>-2.9535699999999999E-5</v>
      </c>
    </row>
    <row r="1111" spans="2:8" x14ac:dyDescent="0.25">
      <c r="B1111" s="1">
        <v>326.76</v>
      </c>
      <c r="C1111" s="1">
        <v>0</v>
      </c>
      <c r="D1111" s="1">
        <v>-2.06113E-3</v>
      </c>
      <c r="E1111" s="1">
        <v>4.8410400000000001E-4</v>
      </c>
      <c r="F1111" s="1">
        <v>1.5337199999999999E-3</v>
      </c>
      <c r="G1111" s="1">
        <v>1.43917E-5</v>
      </c>
      <c r="H1111" s="1">
        <v>-2.8921400000000001E-5</v>
      </c>
    </row>
    <row r="1112" spans="2:8" x14ac:dyDescent="0.25">
      <c r="B1112" s="1">
        <v>328.89</v>
      </c>
      <c r="C1112" s="1">
        <v>0</v>
      </c>
      <c r="D1112" s="1">
        <v>-2.0407699999999999E-3</v>
      </c>
      <c r="E1112" s="1">
        <v>4.5832499999999999E-4</v>
      </c>
      <c r="F1112" s="1">
        <v>1.54149E-3</v>
      </c>
      <c r="G1112" s="1">
        <v>1.2734900000000001E-5</v>
      </c>
      <c r="H1112" s="1">
        <v>-2.8220499999999999E-5</v>
      </c>
    </row>
    <row r="1113" spans="2:8" x14ac:dyDescent="0.25">
      <c r="B1113" s="1">
        <v>331.02199999999999</v>
      </c>
      <c r="C1113" s="1">
        <v>0</v>
      </c>
      <c r="D1113" s="1">
        <v>-2.0209500000000001E-3</v>
      </c>
      <c r="E1113" s="1">
        <v>4.3490899999999998E-4</v>
      </c>
      <c r="F1113" s="1">
        <v>1.5473399999999999E-3</v>
      </c>
      <c r="G1113" s="1">
        <v>1.1252300000000001E-5</v>
      </c>
      <c r="H1113" s="1">
        <v>-2.7455899999999999E-5</v>
      </c>
    </row>
    <row r="1114" spans="2:8" x14ac:dyDescent="0.25">
      <c r="B1114" s="1">
        <v>333.15300000000002</v>
      </c>
      <c r="C1114" s="1">
        <v>0</v>
      </c>
      <c r="D1114" s="1">
        <v>-2.0016499999999998E-3</v>
      </c>
      <c r="E1114" s="1">
        <v>4.13853E-4</v>
      </c>
      <c r="F1114" s="1">
        <v>1.5510999999999999E-3</v>
      </c>
      <c r="G1114" s="1">
        <v>1.0040100000000001E-5</v>
      </c>
      <c r="H1114" s="1">
        <v>-2.6670200000000001E-5</v>
      </c>
    </row>
    <row r="1115" spans="2:8" x14ac:dyDescent="0.25">
      <c r="B1115" s="1">
        <v>335.28500000000003</v>
      </c>
      <c r="C1115" s="1">
        <v>0</v>
      </c>
      <c r="D1115" s="1">
        <v>-1.9828799999999998E-3</v>
      </c>
      <c r="E1115" s="1">
        <v>3.9507700000000003E-4</v>
      </c>
      <c r="F1115" s="1">
        <v>1.5527399999999999E-3</v>
      </c>
      <c r="G1115" s="1">
        <v>9.1713399999999992E-6</v>
      </c>
      <c r="H1115" s="1">
        <v>-2.5888799999999999E-5</v>
      </c>
    </row>
    <row r="1116" spans="2:8" x14ac:dyDescent="0.25">
      <c r="B1116" s="1">
        <v>337.416</v>
      </c>
      <c r="C1116" s="1">
        <v>0</v>
      </c>
      <c r="D1116" s="1">
        <v>-1.9646199999999998E-3</v>
      </c>
      <c r="E1116" s="1">
        <v>3.7840600000000002E-4</v>
      </c>
      <c r="F1116" s="1">
        <v>1.5524099999999999E-3</v>
      </c>
      <c r="G1116" s="1">
        <v>8.6749900000000001E-6</v>
      </c>
      <c r="H1116" s="1">
        <v>-2.5128100000000001E-5</v>
      </c>
    </row>
    <row r="1117" spans="2:8" x14ac:dyDescent="0.25">
      <c r="B1117" s="1">
        <v>339.548</v>
      </c>
      <c r="C1117" s="1">
        <v>0</v>
      </c>
      <c r="D1117" s="1">
        <v>-1.9468899999999999E-3</v>
      </c>
      <c r="E1117" s="1">
        <v>3.6355900000000001E-4</v>
      </c>
      <c r="F1117" s="1">
        <v>1.55039E-3</v>
      </c>
      <c r="G1117" s="1">
        <v>8.5312000000000006E-6</v>
      </c>
      <c r="H1117" s="1">
        <v>-2.4412700000000001E-5</v>
      </c>
    </row>
    <row r="1118" spans="2:8" x14ac:dyDescent="0.25">
      <c r="B1118" s="1">
        <v>341.68</v>
      </c>
      <c r="C1118" s="1">
        <v>0</v>
      </c>
      <c r="D1118" s="1">
        <v>-1.92968E-3</v>
      </c>
      <c r="E1118" s="1">
        <v>3.5012599999999997E-4</v>
      </c>
      <c r="F1118" s="1">
        <v>1.5471199999999999E-3</v>
      </c>
      <c r="G1118" s="1">
        <v>8.7033899999999997E-6</v>
      </c>
      <c r="H1118" s="1">
        <v>-2.3740999999999999E-5</v>
      </c>
    </row>
    <row r="1119" spans="2:8" x14ac:dyDescent="0.25">
      <c r="B1119" s="1">
        <v>343.81099999999998</v>
      </c>
      <c r="C1119" s="1">
        <v>0</v>
      </c>
      <c r="D1119" s="1">
        <v>-1.91304E-3</v>
      </c>
      <c r="E1119" s="1">
        <v>3.3760499999999999E-4</v>
      </c>
      <c r="F1119" s="1">
        <v>1.5431799999999999E-3</v>
      </c>
      <c r="G1119" s="1">
        <v>9.1320500000000001E-6</v>
      </c>
      <c r="H1119" s="1">
        <v>-2.3119400000000001E-5</v>
      </c>
    </row>
    <row r="1120" spans="2:8" x14ac:dyDescent="0.25">
      <c r="B1120" s="1">
        <v>345.94299999999998</v>
      </c>
      <c r="C1120" s="1">
        <v>0</v>
      </c>
      <c r="D1120" s="1">
        <v>-1.8969900000000001E-3</v>
      </c>
      <c r="E1120" s="1">
        <v>3.2543900000000001E-4</v>
      </c>
      <c r="F1120" s="1">
        <v>1.5392699999999999E-3</v>
      </c>
      <c r="G1120" s="1">
        <v>9.7325799999999992E-6</v>
      </c>
      <c r="H1120" s="1">
        <v>-2.25563E-5</v>
      </c>
    </row>
    <row r="1121" spans="2:8" x14ac:dyDescent="0.25">
      <c r="B1121" s="1">
        <v>348.07600000000002</v>
      </c>
      <c r="C1121" s="1">
        <v>0</v>
      </c>
      <c r="D1121" s="1">
        <v>-1.88159E-3</v>
      </c>
      <c r="E1121" s="1">
        <v>3.1310799999999998E-4</v>
      </c>
      <c r="F1121" s="1">
        <v>1.53601E-3</v>
      </c>
      <c r="G1121" s="1">
        <v>1.0415600000000001E-5</v>
      </c>
      <c r="H1121" s="1">
        <v>-2.2053500000000002E-5</v>
      </c>
    </row>
    <row r="1122" spans="2:8" x14ac:dyDescent="0.25">
      <c r="B1122" s="1">
        <v>350.20800000000003</v>
      </c>
      <c r="C1122" s="1">
        <v>0</v>
      </c>
      <c r="D1122" s="1">
        <v>-1.86684E-3</v>
      </c>
      <c r="E1122" s="1">
        <v>3.0022799999999999E-4</v>
      </c>
      <c r="F1122" s="1">
        <v>1.53389E-3</v>
      </c>
      <c r="G1122" s="1">
        <v>1.1100999999999999E-5</v>
      </c>
      <c r="H1122" s="1">
        <v>-2.1620600000000001E-5</v>
      </c>
    </row>
    <row r="1123" spans="2:8" x14ac:dyDescent="0.25">
      <c r="B1123" s="1">
        <v>352.34</v>
      </c>
      <c r="C1123" s="1">
        <v>0</v>
      </c>
      <c r="D1123" s="1">
        <v>-1.8527800000000001E-3</v>
      </c>
      <c r="E1123" s="1">
        <v>2.8659099999999999E-4</v>
      </c>
      <c r="F1123" s="1">
        <v>1.53319E-3</v>
      </c>
      <c r="G1123" s="1">
        <v>1.1727400000000001E-5</v>
      </c>
      <c r="H1123" s="1">
        <v>-2.1272199999999999E-5</v>
      </c>
    </row>
    <row r="1124" spans="2:8" x14ac:dyDescent="0.25">
      <c r="B1124" s="1">
        <v>354.47199999999998</v>
      </c>
      <c r="C1124" s="1">
        <v>0</v>
      </c>
      <c r="D1124" s="1">
        <v>-1.8394100000000001E-3</v>
      </c>
      <c r="E1124" s="1">
        <v>2.72172E-4</v>
      </c>
      <c r="F1124" s="1">
        <v>1.5339500000000001E-3</v>
      </c>
      <c r="G1124" s="1">
        <v>1.2277699999999999E-5</v>
      </c>
      <c r="H1124" s="1">
        <v>-2.1013600000000002E-5</v>
      </c>
    </row>
    <row r="1125" spans="2:8" x14ac:dyDescent="0.25">
      <c r="B1125" s="1">
        <v>356.60500000000002</v>
      </c>
      <c r="C1125" s="1">
        <v>0</v>
      </c>
      <c r="D1125" s="1">
        <v>-1.8267400000000001E-3</v>
      </c>
      <c r="E1125" s="1">
        <v>2.5708699999999997E-4</v>
      </c>
      <c r="F1125" s="1">
        <v>1.5360199999999999E-3</v>
      </c>
      <c r="G1125" s="1">
        <v>1.27888E-5</v>
      </c>
      <c r="H1125" s="1">
        <v>-2.0844900000000001E-5</v>
      </c>
    </row>
    <row r="1126" spans="2:8" x14ac:dyDescent="0.25">
      <c r="B1126" s="1">
        <v>358.73700000000002</v>
      </c>
      <c r="C1126" s="1">
        <v>0</v>
      </c>
      <c r="D1126" s="1">
        <v>-1.8147700000000001E-3</v>
      </c>
      <c r="E1126" s="1">
        <v>2.4149800000000001E-4</v>
      </c>
      <c r="F1126" s="1">
        <v>1.53918E-3</v>
      </c>
      <c r="G1126" s="1">
        <v>1.33226E-5</v>
      </c>
      <c r="H1126" s="1">
        <v>-2.0764E-5</v>
      </c>
    </row>
    <row r="1127" spans="2:8" x14ac:dyDescent="0.25">
      <c r="B1127" s="1">
        <v>360.87</v>
      </c>
      <c r="C1127" s="1">
        <v>0</v>
      </c>
      <c r="D1127" s="1">
        <v>-1.8035E-3</v>
      </c>
      <c r="E1127" s="1">
        <v>2.2555900000000001E-4</v>
      </c>
      <c r="F1127" s="1">
        <v>1.5432499999999999E-3</v>
      </c>
      <c r="G1127" s="1">
        <v>1.3926300000000001E-5</v>
      </c>
      <c r="H1127" s="1">
        <v>-2.07593E-5</v>
      </c>
    </row>
    <row r="1128" spans="2:8" x14ac:dyDescent="0.25">
      <c r="B1128" s="1">
        <v>363.00299999999999</v>
      </c>
      <c r="C1128" s="1">
        <v>0</v>
      </c>
      <c r="D1128" s="1">
        <v>-1.7929199999999999E-3</v>
      </c>
      <c r="E1128" s="1">
        <v>2.09438E-4</v>
      </c>
      <c r="F1128" s="1">
        <v>1.5480400000000001E-3</v>
      </c>
      <c r="G1128" s="1">
        <v>1.4606999999999999E-5</v>
      </c>
      <c r="H1128" s="1">
        <v>-2.0829999999999999E-5</v>
      </c>
    </row>
    <row r="1129" spans="2:8" x14ac:dyDescent="0.25">
      <c r="B1129" s="1">
        <v>365.13600000000002</v>
      </c>
      <c r="C1129" s="1">
        <v>0</v>
      </c>
      <c r="D1129" s="1">
        <v>-1.7830000000000001E-3</v>
      </c>
      <c r="E1129" s="1">
        <v>1.9338100000000001E-4</v>
      </c>
      <c r="F1129" s="1">
        <v>1.55331E-3</v>
      </c>
      <c r="G1129" s="1">
        <v>1.5337900000000001E-5</v>
      </c>
      <c r="H1129" s="1">
        <v>-2.0975099999999998E-5</v>
      </c>
    </row>
    <row r="1130" spans="2:8" x14ac:dyDescent="0.25">
      <c r="B1130" s="1">
        <v>367.26900000000001</v>
      </c>
      <c r="C1130" s="1">
        <v>0</v>
      </c>
      <c r="D1130" s="1">
        <v>-1.77374E-3</v>
      </c>
      <c r="E1130" s="1">
        <v>1.7772600000000001E-4</v>
      </c>
      <c r="F1130" s="1">
        <v>1.55876E-3</v>
      </c>
      <c r="G1130" s="1">
        <v>1.6076899999999998E-5</v>
      </c>
      <c r="H1130" s="1">
        <v>-2.1175E-5</v>
      </c>
    </row>
    <row r="1131" spans="2:8" x14ac:dyDescent="0.25">
      <c r="B1131" s="1">
        <v>369.40199999999999</v>
      </c>
      <c r="C1131" s="1">
        <v>0</v>
      </c>
      <c r="D1131" s="1">
        <v>-1.7651399999999999E-3</v>
      </c>
      <c r="E1131" s="1">
        <v>1.62869E-4</v>
      </c>
      <c r="F1131" s="1">
        <v>1.5640599999999999E-3</v>
      </c>
      <c r="G1131" s="1">
        <v>1.67853E-5</v>
      </c>
      <c r="H1131" s="1">
        <v>-2.14269E-5</v>
      </c>
    </row>
    <row r="1132" spans="2:8" x14ac:dyDescent="0.25">
      <c r="B1132" s="1">
        <v>371.53500000000003</v>
      </c>
      <c r="C1132" s="1">
        <v>0</v>
      </c>
      <c r="D1132" s="1">
        <v>-1.7572200000000001E-3</v>
      </c>
      <c r="E1132" s="1">
        <v>1.4915800000000001E-4</v>
      </c>
      <c r="F1132" s="1">
        <v>1.5688900000000001E-3</v>
      </c>
      <c r="G1132" s="1">
        <v>1.74543E-5</v>
      </c>
      <c r="H1132" s="1">
        <v>-2.1716899999999999E-5</v>
      </c>
    </row>
    <row r="1133" spans="2:8" x14ac:dyDescent="0.25">
      <c r="B1133" s="1">
        <v>373.66800000000001</v>
      </c>
      <c r="C1133" s="1">
        <v>0</v>
      </c>
      <c r="D1133" s="1">
        <v>-1.75E-3</v>
      </c>
      <c r="E1133" s="1">
        <v>1.3679799999999999E-4</v>
      </c>
      <c r="F1133" s="1">
        <v>1.5730900000000001E-3</v>
      </c>
      <c r="G1133" s="1">
        <v>1.80973E-5</v>
      </c>
      <c r="H1133" s="1">
        <v>-2.2015299999999999E-5</v>
      </c>
    </row>
    <row r="1134" spans="2:8" x14ac:dyDescent="0.25">
      <c r="B1134" s="1">
        <v>375.80099999999999</v>
      </c>
      <c r="C1134" s="1">
        <v>0</v>
      </c>
      <c r="D1134" s="1">
        <v>-1.74351E-3</v>
      </c>
      <c r="E1134" s="1">
        <v>1.2586800000000001E-4</v>
      </c>
      <c r="F1134" s="1">
        <v>1.5766E-3</v>
      </c>
      <c r="G1134" s="1">
        <v>1.8726999999999999E-5</v>
      </c>
      <c r="H1134" s="1">
        <v>-2.23171E-5</v>
      </c>
    </row>
    <row r="1135" spans="2:8" x14ac:dyDescent="0.25">
      <c r="B1135" s="1">
        <v>377.93400000000003</v>
      </c>
      <c r="C1135" s="1">
        <v>0</v>
      </c>
      <c r="D1135" s="1">
        <v>-1.73773E-3</v>
      </c>
      <c r="E1135" s="1">
        <v>1.1637399999999999E-4</v>
      </c>
      <c r="F1135" s="1">
        <v>1.57938E-3</v>
      </c>
      <c r="G1135" s="1">
        <v>1.93672E-5</v>
      </c>
      <c r="H1135" s="1">
        <v>-2.2605399999999999E-5</v>
      </c>
    </row>
    <row r="1136" spans="2:8" x14ac:dyDescent="0.25">
      <c r="B1136" s="1">
        <v>380.06700000000001</v>
      </c>
      <c r="C1136" s="1">
        <v>0</v>
      </c>
      <c r="D1136" s="1">
        <v>-1.73266E-3</v>
      </c>
      <c r="E1136" s="1">
        <v>1.08323E-4</v>
      </c>
      <c r="F1136" s="1">
        <v>1.58143E-3</v>
      </c>
      <c r="G1136" s="1">
        <v>2.0051099999999998E-5</v>
      </c>
      <c r="H1136" s="1">
        <v>-2.28503E-5</v>
      </c>
    </row>
    <row r="1137" spans="1:8" x14ac:dyDescent="0.25">
      <c r="B1137" s="1">
        <v>382.2</v>
      </c>
      <c r="C1137" s="1">
        <v>0</v>
      </c>
      <c r="D1137" s="1">
        <v>-1.72828E-3</v>
      </c>
      <c r="E1137" s="1">
        <v>1.01722E-4</v>
      </c>
      <c r="F1137" s="1">
        <v>1.5827199999999999E-3</v>
      </c>
      <c r="G1137" s="1">
        <v>2.0786899999999999E-5</v>
      </c>
      <c r="H1137" s="1">
        <v>-2.3056100000000001E-5</v>
      </c>
    </row>
    <row r="1138" spans="1:8" x14ac:dyDescent="0.25">
      <c r="B1138" s="1">
        <v>384.33300000000003</v>
      </c>
      <c r="C1138" s="1">
        <v>0</v>
      </c>
      <c r="D1138" s="1">
        <v>-1.7245800000000001E-3</v>
      </c>
      <c r="E1138" s="1">
        <v>9.6521799999999995E-5</v>
      </c>
      <c r="F1138" s="1">
        <v>1.5833100000000001E-3</v>
      </c>
      <c r="G1138" s="1">
        <v>2.15566E-5</v>
      </c>
      <c r="H1138" s="1">
        <v>-2.3203000000000001E-5</v>
      </c>
    </row>
    <row r="1139" spans="1:8" x14ac:dyDescent="0.25">
      <c r="B1139" s="1">
        <v>386.46600000000001</v>
      </c>
      <c r="C1139" s="1">
        <v>0</v>
      </c>
      <c r="D1139" s="1">
        <v>-1.72157E-3</v>
      </c>
      <c r="E1139" s="1">
        <v>9.2623199999999998E-5</v>
      </c>
      <c r="F1139" s="1">
        <v>1.58332E-3</v>
      </c>
      <c r="G1139" s="1">
        <v>2.2318900000000001E-5</v>
      </c>
      <c r="H1139" s="1">
        <v>-2.33059E-5</v>
      </c>
    </row>
    <row r="1140" spans="1:8" x14ac:dyDescent="0.25">
      <c r="B1140" s="1">
        <v>388.6</v>
      </c>
      <c r="C1140" s="1">
        <v>0</v>
      </c>
      <c r="D1140" s="1">
        <v>-1.7192399999999999E-3</v>
      </c>
      <c r="E1140" s="1">
        <v>8.9891199999999997E-5</v>
      </c>
      <c r="F1140" s="1">
        <v>1.5829399999999999E-3</v>
      </c>
      <c r="G1140" s="1">
        <v>2.3036599999999999E-5</v>
      </c>
      <c r="H1140" s="1">
        <v>-2.3363899999999998E-5</v>
      </c>
    </row>
    <row r="1141" spans="1:8" x14ac:dyDescent="0.25">
      <c r="B1141" s="1">
        <v>390.733</v>
      </c>
      <c r="C1141" s="1">
        <v>0</v>
      </c>
      <c r="D1141" s="1">
        <v>-1.71759E-3</v>
      </c>
      <c r="E1141" s="1">
        <v>8.8162800000000002E-5</v>
      </c>
      <c r="F1141" s="1">
        <v>1.58237E-3</v>
      </c>
      <c r="G1141" s="1">
        <v>2.3655600000000001E-5</v>
      </c>
      <c r="H1141" s="1">
        <v>-2.33908E-5</v>
      </c>
    </row>
    <row r="1142" spans="1:8" x14ac:dyDescent="0.25">
      <c r="B1142" s="1">
        <v>392.86700000000002</v>
      </c>
      <c r="C1142" s="1">
        <v>0</v>
      </c>
      <c r="D1142" s="1">
        <v>-1.7166E-3</v>
      </c>
      <c r="E1142" s="1">
        <v>8.7246300000000005E-5</v>
      </c>
      <c r="F1142" s="1">
        <v>1.58187E-3</v>
      </c>
      <c r="G1142" s="1">
        <v>2.4090599999999999E-5</v>
      </c>
      <c r="H1142" s="1">
        <v>-2.33987E-5</v>
      </c>
    </row>
    <row r="1143" spans="1:8" x14ac:dyDescent="0.25">
      <c r="B1143" s="1">
        <v>395</v>
      </c>
      <c r="C1143" s="1">
        <v>0</v>
      </c>
      <c r="D1143" s="1">
        <v>-1.7162799999999999E-3</v>
      </c>
      <c r="E1143" s="1">
        <v>8.69657E-5</v>
      </c>
      <c r="F1143" s="1">
        <v>1.5816700000000001E-3</v>
      </c>
      <c r="G1143" s="1">
        <v>2.4249200000000002E-5</v>
      </c>
      <c r="H1143" s="1">
        <v>-2.3399200000000001E-5</v>
      </c>
    </row>
    <row r="1146" spans="1:8" x14ac:dyDescent="0.25">
      <c r="A1146" t="s">
        <v>398</v>
      </c>
      <c r="B1146" t="s">
        <v>36</v>
      </c>
      <c r="C1146" t="s">
        <v>394</v>
      </c>
      <c r="D1146" t="s">
        <v>117</v>
      </c>
    </row>
    <row r="1147" spans="1:8" x14ac:dyDescent="0.25">
      <c r="B1147" t="s">
        <v>392</v>
      </c>
      <c r="C1147" t="s">
        <v>399</v>
      </c>
      <c r="D1147" t="s">
        <v>400</v>
      </c>
      <c r="E1147" t="s">
        <v>401</v>
      </c>
      <c r="F1147" t="s">
        <v>402</v>
      </c>
      <c r="G1147" t="s">
        <v>403</v>
      </c>
      <c r="H1147" t="s">
        <v>404</v>
      </c>
    </row>
    <row r="1148" spans="1:8" x14ac:dyDescent="0.25">
      <c r="B1148" s="1">
        <v>0.110599</v>
      </c>
      <c r="C1148" s="1">
        <v>0</v>
      </c>
      <c r="D1148" s="1">
        <v>-0.117844</v>
      </c>
      <c r="E1148" s="1">
        <v>3.3919499999999999E-3</v>
      </c>
      <c r="F1148" s="1">
        <v>-7.71713E-7</v>
      </c>
      <c r="G1148" s="1">
        <v>0.113839</v>
      </c>
      <c r="H1148" s="1">
        <v>-6.1389799999999998E-4</v>
      </c>
    </row>
    <row r="1149" spans="1:8" x14ac:dyDescent="0.25">
      <c r="B1149" s="1">
        <v>0.33559099999999997</v>
      </c>
      <c r="C1149" s="1">
        <v>0</v>
      </c>
      <c r="D1149" s="1">
        <v>-0.10485899999999999</v>
      </c>
      <c r="E1149" s="1">
        <v>9.2929899999999992E-3</v>
      </c>
      <c r="F1149" s="1">
        <v>-1.05383E-5</v>
      </c>
      <c r="G1149" s="1">
        <v>9.54628E-2</v>
      </c>
      <c r="H1149" s="1">
        <v>-1.1409900000000001E-4</v>
      </c>
    </row>
    <row r="1150" spans="1:8" x14ac:dyDescent="0.25">
      <c r="B1150" s="1">
        <v>0.56839200000000001</v>
      </c>
      <c r="C1150" s="1">
        <v>0</v>
      </c>
      <c r="D1150" s="1">
        <v>-9.4203099999999998E-2</v>
      </c>
      <c r="E1150" s="1">
        <v>1.4578000000000001E-2</v>
      </c>
      <c r="F1150" s="1">
        <v>-4.5732300000000003E-5</v>
      </c>
      <c r="G1150" s="1">
        <v>7.9556399999999999E-2</v>
      </c>
      <c r="H1150" s="1">
        <v>-1.14529E-4</v>
      </c>
    </row>
    <row r="1151" spans="1:8" x14ac:dyDescent="0.25">
      <c r="B1151" s="1">
        <v>0.80944199999999999</v>
      </c>
      <c r="C1151" s="1">
        <v>0</v>
      </c>
      <c r="D1151" s="1">
        <v>-8.4593799999999997E-2</v>
      </c>
      <c r="E1151" s="1">
        <v>1.9292199999999999E-2</v>
      </c>
      <c r="F1151" s="1">
        <v>-1.2516900000000001E-4</v>
      </c>
      <c r="G1151" s="1">
        <v>6.5313899999999994E-2</v>
      </c>
      <c r="H1151" s="1">
        <v>-1.12903E-4</v>
      </c>
    </row>
    <row r="1152" spans="1:8" x14ac:dyDescent="0.25">
      <c r="B1152" s="1">
        <v>1.05918</v>
      </c>
      <c r="C1152" s="1">
        <v>0</v>
      </c>
      <c r="D1152" s="1">
        <v>-7.59301E-2</v>
      </c>
      <c r="E1152" s="1">
        <v>2.3483799999999999E-2</v>
      </c>
      <c r="F1152" s="1">
        <v>-2.6734000000000003E-4</v>
      </c>
      <c r="G1152" s="1">
        <v>5.26043E-2</v>
      </c>
      <c r="H1152" s="1">
        <v>-1.0940799999999999E-4</v>
      </c>
    </row>
    <row r="1153" spans="2:8" x14ac:dyDescent="0.25">
      <c r="B1153" s="1">
        <v>1.3180499999999999</v>
      </c>
      <c r="C1153" s="1">
        <v>0</v>
      </c>
      <c r="D1153" s="1">
        <v>-6.8144099999999999E-2</v>
      </c>
      <c r="E1153" s="1">
        <v>2.72032E-2</v>
      </c>
      <c r="F1153" s="1">
        <v>-4.8831999999999999E-4</v>
      </c>
      <c r="G1153" s="1">
        <v>4.1325000000000001E-2</v>
      </c>
      <c r="H1153" s="1">
        <v>-1.04218E-4</v>
      </c>
    </row>
    <row r="1154" spans="2:8" x14ac:dyDescent="0.25">
      <c r="B1154" s="1">
        <v>1.58649</v>
      </c>
      <c r="C1154" s="1">
        <v>0</v>
      </c>
      <c r="D1154" s="1">
        <v>-6.1193499999999998E-2</v>
      </c>
      <c r="E1154" s="1">
        <v>3.0501899999999998E-2</v>
      </c>
      <c r="F1154" s="1">
        <v>-8.0015100000000003E-4</v>
      </c>
      <c r="G1154" s="1">
        <v>3.1394199999999997E-2</v>
      </c>
      <c r="H1154" s="1">
        <v>-9.7549199999999998E-5</v>
      </c>
    </row>
    <row r="1155" spans="2:8" x14ac:dyDescent="0.25">
      <c r="B1155" s="1">
        <v>1.86496</v>
      </c>
      <c r="C1155" s="1">
        <v>0</v>
      </c>
      <c r="D1155" s="1">
        <v>-5.5053900000000003E-2</v>
      </c>
      <c r="E1155" s="1">
        <v>3.3431799999999998E-2</v>
      </c>
      <c r="F1155" s="1">
        <v>-1.20977E-3</v>
      </c>
      <c r="G1155" s="1">
        <v>2.27423E-2</v>
      </c>
      <c r="H1155" s="1">
        <v>-8.9596200000000001E-5</v>
      </c>
    </row>
    <row r="1156" spans="2:8" x14ac:dyDescent="0.25">
      <c r="B1156" s="1">
        <v>2.15388</v>
      </c>
      <c r="C1156" s="1">
        <v>0</v>
      </c>
      <c r="D1156" s="1">
        <v>-4.97118E-2</v>
      </c>
      <c r="E1156" s="1">
        <v>3.6043600000000002E-2</v>
      </c>
      <c r="F1156" s="1">
        <v>-1.7183700000000001E-3</v>
      </c>
      <c r="G1156" s="1">
        <v>1.53061E-2</v>
      </c>
      <c r="H1156" s="1">
        <v>-8.0558199999999997E-5</v>
      </c>
    </row>
    <row r="1157" spans="2:8" x14ac:dyDescent="0.25">
      <c r="B1157" s="1">
        <v>2.4537100000000001</v>
      </c>
      <c r="C1157" s="1">
        <v>0</v>
      </c>
      <c r="D1157" s="1">
        <v>-4.5157200000000002E-2</v>
      </c>
      <c r="E1157" s="1">
        <v>3.8385900000000001E-2</v>
      </c>
      <c r="F1157" s="1">
        <v>-2.32131E-3</v>
      </c>
      <c r="G1157" s="1">
        <v>9.0219700000000007E-3</v>
      </c>
      <c r="H1157" s="1">
        <v>-7.0659299999999996E-5</v>
      </c>
    </row>
    <row r="1158" spans="2:8" x14ac:dyDescent="0.25">
      <c r="B1158" s="1">
        <v>2.7648700000000002</v>
      </c>
      <c r="C1158" s="1">
        <v>0</v>
      </c>
      <c r="D1158" s="1">
        <v>-4.1377799999999999E-2</v>
      </c>
      <c r="E1158" s="1">
        <v>4.0504100000000001E-2</v>
      </c>
      <c r="F1158" s="1">
        <v>-3.00819E-3</v>
      </c>
      <c r="G1158" s="1">
        <v>3.82183E-3</v>
      </c>
      <c r="H1158" s="1">
        <v>-6.01042E-5</v>
      </c>
    </row>
    <row r="1159" spans="2:8" x14ac:dyDescent="0.25">
      <c r="B1159" s="1">
        <v>3.0878100000000002</v>
      </c>
      <c r="C1159" s="1">
        <v>0</v>
      </c>
      <c r="D1159" s="1">
        <v>-3.8353699999999998E-2</v>
      </c>
      <c r="E1159" s="1">
        <v>4.2438799999999999E-2</v>
      </c>
      <c r="F1159" s="1">
        <v>-3.7633699999999998E-3</v>
      </c>
      <c r="G1159" s="1">
        <v>-3.7076500000000001E-4</v>
      </c>
      <c r="H1159" s="1">
        <v>-4.9125600000000003E-5</v>
      </c>
    </row>
    <row r="1160" spans="2:8" x14ac:dyDescent="0.25">
      <c r="B1160" s="1">
        <v>3.4229500000000002</v>
      </c>
      <c r="C1160" s="1">
        <v>0</v>
      </c>
      <c r="D1160" s="1">
        <v>-3.6054299999999997E-2</v>
      </c>
      <c r="E1160" s="1">
        <v>4.4225100000000003E-2</v>
      </c>
      <c r="F1160" s="1">
        <v>-4.5667299999999997E-3</v>
      </c>
      <c r="G1160" s="1">
        <v>-3.6419899999999999E-3</v>
      </c>
      <c r="H1160" s="1">
        <v>-3.7969799999999997E-5</v>
      </c>
    </row>
    <row r="1161" spans="2:8" x14ac:dyDescent="0.25">
      <c r="B1161" s="1">
        <v>3.7707299999999999</v>
      </c>
      <c r="C1161" s="1">
        <v>0</v>
      </c>
      <c r="D1161" s="1">
        <v>-3.4436399999999999E-2</v>
      </c>
      <c r="E1161" s="1">
        <v>4.5891899999999999E-2</v>
      </c>
      <c r="F1161" s="1">
        <v>-5.3945299999999998E-3</v>
      </c>
      <c r="G1161" s="1">
        <v>-6.0878399999999997E-3</v>
      </c>
      <c r="H1161" s="1">
        <v>-2.6875800000000001E-5</v>
      </c>
    </row>
    <row r="1162" spans="2:8" x14ac:dyDescent="0.25">
      <c r="B1162" s="1">
        <v>4.1315600000000003</v>
      </c>
      <c r="C1162" s="1">
        <v>0</v>
      </c>
      <c r="D1162" s="1">
        <v>-3.3443899999999999E-2</v>
      </c>
      <c r="E1162" s="1">
        <v>4.7461000000000003E-2</v>
      </c>
      <c r="F1162" s="1">
        <v>-6.2205799999999999E-3</v>
      </c>
      <c r="G1162" s="1">
        <v>-7.8125699999999996E-3</v>
      </c>
      <c r="H1162" s="1">
        <v>-1.60915E-5</v>
      </c>
    </row>
    <row r="1163" spans="2:8" x14ac:dyDescent="0.25">
      <c r="B1163" s="1">
        <v>4.5058699999999998</v>
      </c>
      <c r="C1163" s="1">
        <v>0</v>
      </c>
      <c r="D1163" s="1">
        <v>-3.3009799999999999E-2</v>
      </c>
      <c r="E1163" s="1">
        <v>4.8947299999999999E-2</v>
      </c>
      <c r="F1163" s="1">
        <v>-7.0175100000000002E-3</v>
      </c>
      <c r="G1163" s="1">
        <v>-8.9257999999999994E-3</v>
      </c>
      <c r="H1163" s="1">
        <v>-5.8544000000000002E-6</v>
      </c>
    </row>
    <row r="1164" spans="2:8" x14ac:dyDescent="0.25">
      <c r="B1164" s="1">
        <v>4.8940599999999996</v>
      </c>
      <c r="C1164" s="1">
        <v>0</v>
      </c>
      <c r="D1164" s="1">
        <v>-3.3057900000000001E-2</v>
      </c>
      <c r="E1164" s="1">
        <v>5.03585E-2</v>
      </c>
      <c r="F1164" s="1">
        <v>-7.7582199999999997E-3</v>
      </c>
      <c r="G1164" s="1">
        <v>-9.5386900000000007E-3</v>
      </c>
      <c r="H1164" s="1">
        <v>3.6264000000000001E-6</v>
      </c>
    </row>
    <row r="1165" spans="2:8" x14ac:dyDescent="0.25">
      <c r="B1165" s="1">
        <v>5.2965299999999997</v>
      </c>
      <c r="C1165" s="1">
        <v>0</v>
      </c>
      <c r="D1165" s="1">
        <v>-3.35067E-2</v>
      </c>
      <c r="E1165" s="1">
        <v>5.1695900000000003E-2</v>
      </c>
      <c r="F1165" s="1">
        <v>-8.4173200000000007E-3</v>
      </c>
      <c r="G1165" s="1">
        <v>-9.7596599999999999E-3</v>
      </c>
      <c r="H1165" s="1">
        <v>1.2191199999999999E-5</v>
      </c>
    </row>
    <row r="1166" spans="2:8" x14ac:dyDescent="0.25">
      <c r="B1166" s="1">
        <v>5.7136899999999997</v>
      </c>
      <c r="C1166" s="1">
        <v>0</v>
      </c>
      <c r="D1166" s="1">
        <v>-3.4272499999999997E-2</v>
      </c>
      <c r="E1166" s="1">
        <v>5.2954800000000003E-2</v>
      </c>
      <c r="F1166" s="1">
        <v>-8.9725099999999995E-3</v>
      </c>
      <c r="G1166" s="1">
        <v>-9.6901000000000001E-3</v>
      </c>
      <c r="H1166" s="1">
        <v>1.9726300000000001E-5</v>
      </c>
    </row>
    <row r="1167" spans="2:8" x14ac:dyDescent="0.25">
      <c r="B1167" s="1">
        <v>6.1459200000000003</v>
      </c>
      <c r="C1167" s="1">
        <v>0</v>
      </c>
      <c r="D1167" s="1">
        <v>-3.5273199999999998E-2</v>
      </c>
      <c r="E1167" s="1">
        <v>5.4125899999999998E-2</v>
      </c>
      <c r="F1167" s="1">
        <v>-9.4057600000000009E-3</v>
      </c>
      <c r="G1167" s="1">
        <v>-9.4207600000000002E-3</v>
      </c>
      <c r="H1167" s="1">
        <v>2.61706E-5</v>
      </c>
    </row>
    <row r="1168" spans="2:8" x14ac:dyDescent="0.25">
      <c r="B1168" s="1">
        <v>6.59361</v>
      </c>
      <c r="C1168" s="1">
        <v>0</v>
      </c>
      <c r="D1168" s="1">
        <v>-3.64313E-2</v>
      </c>
      <c r="E1168" s="1">
        <v>5.5196099999999998E-2</v>
      </c>
      <c r="F1168" s="1">
        <v>-9.7041599999999999E-3</v>
      </c>
      <c r="G1168" s="1">
        <v>-9.0290500000000003E-3</v>
      </c>
      <c r="H1168" s="1">
        <v>3.15341E-5</v>
      </c>
    </row>
    <row r="1169" spans="2:8" x14ac:dyDescent="0.25">
      <c r="B1169" s="1">
        <v>7.0571200000000003</v>
      </c>
      <c r="C1169" s="1">
        <v>0</v>
      </c>
      <c r="D1169" s="1">
        <v>-3.7676300000000003E-2</v>
      </c>
      <c r="E1169" s="1">
        <v>5.6150100000000001E-2</v>
      </c>
      <c r="F1169" s="1">
        <v>-9.8603500000000004E-3</v>
      </c>
      <c r="G1169" s="1">
        <v>-8.5775799999999996E-3</v>
      </c>
      <c r="H1169" s="1">
        <v>3.5872499999999999E-5</v>
      </c>
    </row>
    <row r="1170" spans="2:8" x14ac:dyDescent="0.25">
      <c r="B1170" s="1">
        <v>7.53681</v>
      </c>
      <c r="C1170" s="1">
        <v>0</v>
      </c>
      <c r="D1170" s="1">
        <v>-3.8946099999999997E-2</v>
      </c>
      <c r="E1170" s="1">
        <v>5.69717E-2</v>
      </c>
      <c r="F1170" s="1">
        <v>-9.8724099999999999E-3</v>
      </c>
      <c r="G1170" s="1">
        <v>-8.1138600000000005E-3</v>
      </c>
      <c r="H1170" s="1">
        <v>3.9271099999999997E-5</v>
      </c>
    </row>
    <row r="1171" spans="2:8" x14ac:dyDescent="0.25">
      <c r="B1171" s="1">
        <v>8.0330399999999997</v>
      </c>
      <c r="C1171" s="1">
        <v>0</v>
      </c>
      <c r="D1171" s="1">
        <v>-4.0188599999999998E-2</v>
      </c>
      <c r="E1171" s="1">
        <v>5.7645500000000002E-2</v>
      </c>
      <c r="F1171" s="1">
        <v>-9.7438799999999999E-3</v>
      </c>
      <c r="G1171" s="1">
        <v>-7.6712000000000004E-3</v>
      </c>
      <c r="H1171" s="1">
        <v>4.18311E-5</v>
      </c>
    </row>
    <row r="1172" spans="2:8" x14ac:dyDescent="0.25">
      <c r="B1172" s="1">
        <v>8.5461399999999994</v>
      </c>
      <c r="C1172" s="1">
        <v>0</v>
      </c>
      <c r="D1172" s="1">
        <v>-4.13614E-2</v>
      </c>
      <c r="E1172" s="1">
        <v>5.8158000000000001E-2</v>
      </c>
      <c r="F1172" s="1">
        <v>-9.4827000000000002E-3</v>
      </c>
      <c r="G1172" s="1">
        <v>-7.2701700000000003E-3</v>
      </c>
      <c r="H1172" s="1">
        <v>4.3644199999999998E-5</v>
      </c>
    </row>
    <row r="1173" spans="2:8" x14ac:dyDescent="0.25">
      <c r="B1173" s="1">
        <v>9.0764700000000005</v>
      </c>
      <c r="C1173" s="1">
        <v>0</v>
      </c>
      <c r="D1173" s="1">
        <v>-4.2432299999999999E-2</v>
      </c>
      <c r="E1173" s="1">
        <v>5.8498500000000002E-2</v>
      </c>
      <c r="F1173" s="1">
        <v>-9.1009400000000001E-3</v>
      </c>
      <c r="G1173" s="1">
        <v>-6.92057E-3</v>
      </c>
      <c r="H1173" s="1">
        <v>4.4753699999999998E-5</v>
      </c>
    </row>
    <row r="1174" spans="2:8" x14ac:dyDescent="0.25">
      <c r="B1174" s="1">
        <v>9.6243300000000005</v>
      </c>
      <c r="C1174" s="1">
        <v>0</v>
      </c>
      <c r="D1174" s="1">
        <v>-4.3378E-2</v>
      </c>
      <c r="E1174" s="1">
        <v>5.8660700000000003E-2</v>
      </c>
      <c r="F1174" s="1">
        <v>-8.6139400000000005E-3</v>
      </c>
      <c r="G1174" s="1">
        <v>-6.6235799999999996E-3</v>
      </c>
      <c r="H1174" s="1">
        <v>4.5177299999999999E-5</v>
      </c>
    </row>
    <row r="1175" spans="2:8" x14ac:dyDescent="0.25">
      <c r="B1175" s="1">
        <v>10.19</v>
      </c>
      <c r="C1175" s="1">
        <v>0</v>
      </c>
      <c r="D1175" s="1">
        <v>-4.4184099999999997E-2</v>
      </c>
      <c r="E1175" s="1">
        <v>5.8642300000000001E-2</v>
      </c>
      <c r="F1175" s="1">
        <v>-8.0395799999999993E-3</v>
      </c>
      <c r="G1175" s="1">
        <v>-6.3738199999999997E-3</v>
      </c>
      <c r="H1175" s="1">
        <v>4.4897900000000003E-5</v>
      </c>
    </row>
    <row r="1176" spans="2:8" x14ac:dyDescent="0.25">
      <c r="B1176" s="1">
        <v>10.7738</v>
      </c>
      <c r="C1176" s="1">
        <v>0</v>
      </c>
      <c r="D1176" s="1">
        <v>-4.4843399999999999E-2</v>
      </c>
      <c r="E1176" s="1">
        <v>5.84463E-2</v>
      </c>
      <c r="F1176" s="1">
        <v>-7.3975899999999999E-3</v>
      </c>
      <c r="G1176" s="1">
        <v>-6.1615100000000003E-3</v>
      </c>
      <c r="H1176" s="1">
        <v>4.3869399999999997E-5</v>
      </c>
    </row>
    <row r="1177" spans="2:8" x14ac:dyDescent="0.25">
      <c r="B1177" s="1">
        <v>11.375999999999999</v>
      </c>
      <c r="C1177" s="1">
        <v>0</v>
      </c>
      <c r="D1177" s="1">
        <v>-4.5354899999999997E-2</v>
      </c>
      <c r="E1177" s="1">
        <v>5.8080100000000003E-2</v>
      </c>
      <c r="F1177" s="1">
        <v>-6.7085299999999999E-3</v>
      </c>
      <c r="G1177" s="1">
        <v>-5.9746E-3</v>
      </c>
      <c r="H1177" s="1">
        <v>4.2039500000000003E-5</v>
      </c>
    </row>
    <row r="1178" spans="2:8" x14ac:dyDescent="0.25">
      <c r="B1178" s="1">
        <v>11.9969</v>
      </c>
      <c r="C1178" s="1">
        <v>0</v>
      </c>
      <c r="D1178" s="1">
        <v>-4.5722199999999998E-2</v>
      </c>
      <c r="E1178" s="1">
        <v>5.7555200000000001E-2</v>
      </c>
      <c r="F1178" s="1">
        <v>-5.9928500000000001E-3</v>
      </c>
      <c r="G1178" s="1">
        <v>-5.8008000000000001E-3</v>
      </c>
      <c r="H1178" s="1">
        <v>3.9347800000000003E-5</v>
      </c>
    </row>
    <row r="1179" spans="2:8" x14ac:dyDescent="0.25">
      <c r="B1179" s="1">
        <v>12.636699999999999</v>
      </c>
      <c r="C1179" s="1">
        <v>0</v>
      </c>
      <c r="D1179" s="1">
        <v>-4.59525E-2</v>
      </c>
      <c r="E1179" s="1">
        <v>5.6887399999999998E-2</v>
      </c>
      <c r="F1179" s="1">
        <v>-5.2698700000000003E-3</v>
      </c>
      <c r="G1179" s="1">
        <v>-5.6293200000000002E-3</v>
      </c>
      <c r="H1179" s="1">
        <v>3.5754499999999998E-5</v>
      </c>
    </row>
    <row r="1180" spans="2:8" x14ac:dyDescent="0.25">
      <c r="B1180" s="1">
        <v>13.2956</v>
      </c>
      <c r="C1180" s="1">
        <v>0</v>
      </c>
      <c r="D1180" s="1">
        <v>-4.6054600000000001E-2</v>
      </c>
      <c r="E1180" s="1">
        <v>5.6094699999999997E-2</v>
      </c>
      <c r="F1180" s="1">
        <v>-4.55704E-3</v>
      </c>
      <c r="G1180" s="1">
        <v>-5.4518800000000001E-3</v>
      </c>
      <c r="H1180" s="1">
        <v>3.1235500000000003E-5</v>
      </c>
    </row>
    <row r="1181" spans="2:8" x14ac:dyDescent="0.25">
      <c r="B1181" s="1">
        <v>13.9741</v>
      </c>
      <c r="C1181" s="1">
        <v>0</v>
      </c>
      <c r="D1181" s="1">
        <v>-4.6039200000000002E-2</v>
      </c>
      <c r="E1181" s="1">
        <v>5.5197499999999997E-2</v>
      </c>
      <c r="F1181" s="1">
        <v>-3.8696400000000001E-3</v>
      </c>
      <c r="G1181" s="1">
        <v>-5.2629E-3</v>
      </c>
      <c r="H1181" s="1">
        <v>2.58075E-5</v>
      </c>
    </row>
    <row r="1182" spans="2:8" x14ac:dyDescent="0.25">
      <c r="B1182" s="1">
        <v>14.672000000000001</v>
      </c>
      <c r="C1182" s="1">
        <v>0</v>
      </c>
      <c r="D1182" s="1">
        <v>-4.59175E-2</v>
      </c>
      <c r="E1182" s="1">
        <v>5.4216800000000002E-2</v>
      </c>
      <c r="F1182" s="1">
        <v>-3.22076E-3</v>
      </c>
      <c r="G1182" s="1">
        <v>-5.0590399999999999E-3</v>
      </c>
      <c r="H1182" s="1">
        <v>1.9541100000000002E-5</v>
      </c>
    </row>
    <row r="1183" spans="2:8" x14ac:dyDescent="0.25">
      <c r="B1183" s="1">
        <v>15.389900000000001</v>
      </c>
      <c r="C1183" s="1">
        <v>0</v>
      </c>
      <c r="D1183" s="1">
        <v>-4.5701499999999999E-2</v>
      </c>
      <c r="E1183" s="1">
        <v>5.3174100000000002E-2</v>
      </c>
      <c r="F1183" s="1">
        <v>-2.62138E-3</v>
      </c>
      <c r="G1183" s="1">
        <v>-4.8386899999999997E-3</v>
      </c>
      <c r="H1183" s="1">
        <v>1.25494E-5</v>
      </c>
    </row>
    <row r="1184" spans="2:8" x14ac:dyDescent="0.25">
      <c r="B1184" s="1">
        <v>16.127800000000001</v>
      </c>
      <c r="C1184" s="1">
        <v>0</v>
      </c>
      <c r="D1184" s="1">
        <v>-4.5403199999999998E-2</v>
      </c>
      <c r="E1184" s="1">
        <v>5.20901E-2</v>
      </c>
      <c r="F1184" s="1">
        <v>-2.0802099999999999E-3</v>
      </c>
      <c r="G1184" s="1">
        <v>-4.6017000000000002E-3</v>
      </c>
      <c r="H1184" s="1">
        <v>4.9891000000000002E-6</v>
      </c>
    </row>
    <row r="1185" spans="2:8" x14ac:dyDescent="0.25">
      <c r="B1185" s="1">
        <v>16.8858</v>
      </c>
      <c r="C1185" s="1">
        <v>0</v>
      </c>
      <c r="D1185" s="1">
        <v>-4.5033999999999998E-2</v>
      </c>
      <c r="E1185" s="1">
        <v>5.0984000000000002E-2</v>
      </c>
      <c r="F1185" s="1">
        <v>-1.60351E-3</v>
      </c>
      <c r="G1185" s="1">
        <v>-4.3495000000000001E-3</v>
      </c>
      <c r="H1185" s="1">
        <v>-2.9668999999999999E-6</v>
      </c>
    </row>
    <row r="1186" spans="2:8" x14ac:dyDescent="0.25">
      <c r="B1186" s="1">
        <v>17.664200000000001</v>
      </c>
      <c r="C1186" s="1">
        <v>0</v>
      </c>
      <c r="D1186" s="1">
        <v>-4.4604499999999998E-2</v>
      </c>
      <c r="E1186" s="1">
        <v>4.9873399999999998E-2</v>
      </c>
      <c r="F1186" s="1">
        <v>-1.1949599999999999E-3</v>
      </c>
      <c r="G1186" s="1">
        <v>-4.0850799999999996E-3</v>
      </c>
      <c r="H1186" s="1">
        <v>-1.1144100000000001E-5</v>
      </c>
    </row>
    <row r="1187" spans="2:8" x14ac:dyDescent="0.25">
      <c r="B1187" s="1">
        <v>18.463000000000001</v>
      </c>
      <c r="C1187" s="1">
        <v>0</v>
      </c>
      <c r="D1187" s="1">
        <v>-4.4124200000000002E-2</v>
      </c>
      <c r="E1187" s="1">
        <v>4.8773299999999999E-2</v>
      </c>
      <c r="F1187" s="1">
        <v>-8.5588500000000002E-4</v>
      </c>
      <c r="G1187" s="1">
        <v>-3.81256E-3</v>
      </c>
      <c r="H1187" s="1">
        <v>-1.9335599999999998E-5</v>
      </c>
    </row>
    <row r="1188" spans="2:8" x14ac:dyDescent="0.25">
      <c r="B1188" s="1">
        <v>19.282499999999999</v>
      </c>
      <c r="C1188" s="1">
        <v>0</v>
      </c>
      <c r="D1188" s="1">
        <v>-4.36012E-2</v>
      </c>
      <c r="E1188" s="1">
        <v>4.7696299999999997E-2</v>
      </c>
      <c r="F1188" s="1">
        <v>-5.8555599999999999E-4</v>
      </c>
      <c r="G1188" s="1">
        <v>-3.5368499999999998E-3</v>
      </c>
      <c r="H1188" s="1">
        <v>-2.7308400000000001E-5</v>
      </c>
    </row>
    <row r="1189" spans="2:8" x14ac:dyDescent="0.25">
      <c r="B1189" s="1">
        <v>20.122599999999998</v>
      </c>
      <c r="C1189" s="1">
        <v>0</v>
      </c>
      <c r="D1189" s="1">
        <v>-4.3042200000000003E-2</v>
      </c>
      <c r="E1189" s="1">
        <v>4.6652100000000002E-2</v>
      </c>
      <c r="F1189" s="1">
        <v>-3.8145300000000002E-4</v>
      </c>
      <c r="G1189" s="1">
        <v>-3.2632099999999999E-3</v>
      </c>
      <c r="H1189" s="1">
        <v>-3.4804100000000001E-5</v>
      </c>
    </row>
    <row r="1190" spans="2:8" x14ac:dyDescent="0.25">
      <c r="B1190" s="1">
        <v>20.983699999999999</v>
      </c>
      <c r="C1190" s="1">
        <v>0</v>
      </c>
      <c r="D1190" s="1">
        <v>-4.2453100000000001E-2</v>
      </c>
      <c r="E1190" s="1">
        <v>4.5647699999999999E-2</v>
      </c>
      <c r="F1190" s="1">
        <v>-2.3992999999999999E-4</v>
      </c>
      <c r="G1190" s="1">
        <v>-2.9961699999999998E-3</v>
      </c>
      <c r="H1190" s="1">
        <v>-4.1556700000000001E-5</v>
      </c>
    </row>
    <row r="1191" spans="2:8" x14ac:dyDescent="0.25">
      <c r="B1191" s="1">
        <v>21.865600000000001</v>
      </c>
      <c r="C1191" s="1">
        <v>0</v>
      </c>
      <c r="D1191" s="1">
        <v>-4.1839599999999998E-2</v>
      </c>
      <c r="E1191" s="1">
        <v>4.4687600000000001E-2</v>
      </c>
      <c r="F1191" s="1">
        <v>-1.57004E-4</v>
      </c>
      <c r="G1191" s="1">
        <v>-2.7382499999999998E-3</v>
      </c>
      <c r="H1191" s="1">
        <v>-4.7293000000000003E-5</v>
      </c>
    </row>
    <row r="1192" spans="2:8" x14ac:dyDescent="0.25">
      <c r="B1192" s="1">
        <v>22.768599999999999</v>
      </c>
      <c r="C1192" s="1">
        <v>0</v>
      </c>
      <c r="D1192" s="1">
        <v>-4.1206699999999999E-2</v>
      </c>
      <c r="E1192" s="1">
        <v>4.37735E-2</v>
      </c>
      <c r="F1192" s="1">
        <v>-1.27892E-4</v>
      </c>
      <c r="G1192" s="1">
        <v>-2.49073E-3</v>
      </c>
      <c r="H1192" s="1">
        <v>-5.1807900000000002E-5</v>
      </c>
    </row>
    <row r="1193" spans="2:8" x14ac:dyDescent="0.25">
      <c r="B1193" s="1">
        <v>23.692599999999999</v>
      </c>
      <c r="C1193" s="1">
        <v>0</v>
      </c>
      <c r="D1193" s="1">
        <v>-4.0558700000000003E-2</v>
      </c>
      <c r="E1193" s="1">
        <v>4.29053E-2</v>
      </c>
      <c r="F1193" s="1">
        <v>-1.45914E-4</v>
      </c>
      <c r="G1193" s="1">
        <v>-2.2556099999999999E-3</v>
      </c>
      <c r="H1193" s="1">
        <v>-5.5003600000000003E-5</v>
      </c>
    </row>
    <row r="1194" spans="2:8" x14ac:dyDescent="0.25">
      <c r="B1194" s="1">
        <v>24.637699999999999</v>
      </c>
      <c r="C1194" s="1">
        <v>0</v>
      </c>
      <c r="D1194" s="1">
        <v>-3.9898299999999998E-2</v>
      </c>
      <c r="E1194" s="1">
        <v>4.2080199999999998E-2</v>
      </c>
      <c r="F1194" s="1">
        <v>-2.0271199999999999E-4</v>
      </c>
      <c r="G1194" s="1">
        <v>-2.0360399999999998E-3</v>
      </c>
      <c r="H1194" s="1">
        <v>-5.6935999999999998E-5</v>
      </c>
    </row>
    <row r="1195" spans="2:8" x14ac:dyDescent="0.25">
      <c r="B1195" s="1">
        <v>25.6038</v>
      </c>
      <c r="C1195" s="1">
        <v>0</v>
      </c>
      <c r="D1195" s="1">
        <v>-3.9227699999999997E-2</v>
      </c>
      <c r="E1195" s="1">
        <v>4.1294400000000002E-2</v>
      </c>
      <c r="F1195" s="1">
        <v>-2.9025699999999998E-4</v>
      </c>
      <c r="G1195" s="1">
        <v>-1.83406E-3</v>
      </c>
      <c r="H1195" s="1">
        <v>-5.7683199999999997E-5</v>
      </c>
    </row>
    <row r="1196" spans="2:8" x14ac:dyDescent="0.25">
      <c r="B1196" s="1">
        <v>26.591200000000001</v>
      </c>
      <c r="C1196" s="1">
        <v>0</v>
      </c>
      <c r="D1196" s="1">
        <v>-3.8548899999999997E-2</v>
      </c>
      <c r="E1196" s="1">
        <v>4.0543200000000001E-2</v>
      </c>
      <c r="F1196" s="1">
        <v>-4.0231400000000002E-4</v>
      </c>
      <c r="G1196" s="1">
        <v>-1.6492200000000001E-3</v>
      </c>
      <c r="H1196" s="1">
        <v>-5.7228300000000002E-5</v>
      </c>
    </row>
    <row r="1197" spans="2:8" x14ac:dyDescent="0.25">
      <c r="B1197" s="1">
        <v>27.599599999999999</v>
      </c>
      <c r="C1197" s="1">
        <v>0</v>
      </c>
      <c r="D1197" s="1">
        <v>-3.7863500000000001E-2</v>
      </c>
      <c r="E1197" s="1">
        <v>3.9821700000000002E-2</v>
      </c>
      <c r="F1197" s="1">
        <v>-5.3345699999999999E-4</v>
      </c>
      <c r="G1197" s="1">
        <v>-1.4803800000000001E-3</v>
      </c>
      <c r="H1197" s="1">
        <v>-5.5572899999999998E-5</v>
      </c>
    </row>
    <row r="1198" spans="2:8" x14ac:dyDescent="0.25">
      <c r="B1198" s="1">
        <v>28.629200000000001</v>
      </c>
      <c r="C1198" s="1">
        <v>0</v>
      </c>
      <c r="D1198" s="1">
        <v>-3.71726E-2</v>
      </c>
      <c r="E1198" s="1">
        <v>3.9124699999999998E-2</v>
      </c>
      <c r="F1198" s="1">
        <v>-6.7798200000000004E-4</v>
      </c>
      <c r="G1198" s="1">
        <v>-1.32698E-3</v>
      </c>
      <c r="H1198" s="1">
        <v>-5.2800000000000003E-5</v>
      </c>
    </row>
    <row r="1199" spans="2:8" x14ac:dyDescent="0.25">
      <c r="B1199" s="1">
        <v>29.6798</v>
      </c>
      <c r="C1199" s="1">
        <v>0</v>
      </c>
      <c r="D1199" s="1">
        <v>-3.6477500000000003E-2</v>
      </c>
      <c r="E1199" s="1">
        <v>3.8447099999999998E-2</v>
      </c>
      <c r="F1199" s="1">
        <v>-8.29917E-4</v>
      </c>
      <c r="G1199" s="1">
        <v>-1.1887899999999999E-3</v>
      </c>
      <c r="H1199" s="1">
        <v>-4.90964E-5</v>
      </c>
    </row>
    <row r="1200" spans="2:8" x14ac:dyDescent="0.25">
      <c r="B1200" s="1">
        <v>30.7516</v>
      </c>
      <c r="C1200" s="1">
        <v>0</v>
      </c>
      <c r="D1200" s="1">
        <v>-3.57798E-2</v>
      </c>
      <c r="E1200" s="1">
        <v>3.7783900000000002E-2</v>
      </c>
      <c r="F1200" s="1">
        <v>-9.8308800000000002E-4</v>
      </c>
      <c r="G1200" s="1">
        <v>-1.0657500000000001E-3</v>
      </c>
      <c r="H1200" s="1">
        <v>-4.47917E-5</v>
      </c>
    </row>
    <row r="1201" spans="2:8" x14ac:dyDescent="0.25">
      <c r="B1201" s="1">
        <v>31.8443</v>
      </c>
      <c r="C1201" s="1">
        <v>0</v>
      </c>
      <c r="D1201" s="1">
        <v>-3.5081899999999999E-2</v>
      </c>
      <c r="E1201" s="1">
        <v>3.7130700000000003E-2</v>
      </c>
      <c r="F1201" s="1">
        <v>-1.13115E-3</v>
      </c>
      <c r="G1201" s="1">
        <v>-9.57926E-4</v>
      </c>
      <c r="H1201" s="1">
        <v>-4.0318200000000003E-5</v>
      </c>
    </row>
    <row r="1202" spans="2:8" x14ac:dyDescent="0.25">
      <c r="B1202" s="1">
        <v>32.957999999999998</v>
      </c>
      <c r="C1202" s="1">
        <v>0</v>
      </c>
      <c r="D1202" s="1">
        <v>-3.4386E-2</v>
      </c>
      <c r="E1202" s="1">
        <v>3.6483300000000003E-2</v>
      </c>
      <c r="F1202" s="1">
        <v>-1.2677700000000001E-3</v>
      </c>
      <c r="G1202" s="1">
        <v>-8.6557400000000003E-4</v>
      </c>
      <c r="H1202" s="1">
        <v>-3.6017499999999999E-5</v>
      </c>
    </row>
    <row r="1203" spans="2:8" x14ac:dyDescent="0.25">
      <c r="B1203" s="1">
        <v>34.092599999999997</v>
      </c>
      <c r="C1203" s="1">
        <v>0</v>
      </c>
      <c r="D1203" s="1">
        <v>-3.36937E-2</v>
      </c>
      <c r="E1203" s="1">
        <v>3.5838000000000002E-2</v>
      </c>
      <c r="F1203" s="1">
        <v>-1.38682E-3</v>
      </c>
      <c r="G1203" s="1">
        <v>-7.8952799999999995E-4</v>
      </c>
      <c r="H1203" s="1">
        <v>-3.2045499999999997E-5</v>
      </c>
    </row>
    <row r="1204" spans="2:8" x14ac:dyDescent="0.25">
      <c r="B1204" s="1">
        <v>35.247900000000001</v>
      </c>
      <c r="C1204" s="1">
        <v>0</v>
      </c>
      <c r="D1204" s="1">
        <v>-3.3005899999999998E-2</v>
      </c>
      <c r="E1204" s="1">
        <v>3.5191300000000002E-2</v>
      </c>
      <c r="F1204" s="1">
        <v>-1.48438E-3</v>
      </c>
      <c r="G1204" s="1">
        <v>-7.29465E-4</v>
      </c>
      <c r="H1204" s="1">
        <v>-2.84839E-5</v>
      </c>
    </row>
    <row r="1205" spans="2:8" x14ac:dyDescent="0.25">
      <c r="B1205" s="1">
        <v>36.423900000000003</v>
      </c>
      <c r="C1205" s="1">
        <v>0</v>
      </c>
      <c r="D1205" s="1">
        <v>-3.2323699999999997E-2</v>
      </c>
      <c r="E1205" s="1">
        <v>3.45402E-2</v>
      </c>
      <c r="F1205" s="1">
        <v>-1.5611799999999999E-3</v>
      </c>
      <c r="G1205" s="1">
        <v>-6.8069699999999996E-4</v>
      </c>
      <c r="H1205" s="1">
        <v>-2.54384E-5</v>
      </c>
    </row>
    <row r="1206" spans="2:8" x14ac:dyDescent="0.25">
      <c r="B1206" s="1">
        <v>37.620399999999997</v>
      </c>
      <c r="C1206" s="1">
        <v>0</v>
      </c>
      <c r="D1206" s="1">
        <v>-3.1648900000000001E-2</v>
      </c>
      <c r="E1206" s="1">
        <v>3.38824E-2</v>
      </c>
      <c r="F1206" s="1">
        <v>-1.6213E-3</v>
      </c>
      <c r="G1206" s="1">
        <v>-6.3522600000000002E-4</v>
      </c>
      <c r="H1206" s="1">
        <v>-2.3064399999999999E-5</v>
      </c>
    </row>
    <row r="1207" spans="2:8" x14ac:dyDescent="0.25">
      <c r="B1207" s="1">
        <v>38.837400000000002</v>
      </c>
      <c r="C1207" s="1">
        <v>0</v>
      </c>
      <c r="D1207" s="1">
        <v>-3.0983E-2</v>
      </c>
      <c r="E1207" s="1">
        <v>3.3216700000000002E-2</v>
      </c>
      <c r="F1207" s="1">
        <v>-1.66821E-3</v>
      </c>
      <c r="G1207" s="1">
        <v>-5.8700099999999997E-4</v>
      </c>
      <c r="H1207" s="1">
        <v>-2.1516099999999999E-5</v>
      </c>
    </row>
    <row r="1208" spans="2:8" x14ac:dyDescent="0.25">
      <c r="B1208" s="1">
        <v>40.0747</v>
      </c>
      <c r="C1208" s="1">
        <v>0</v>
      </c>
      <c r="D1208" s="1">
        <v>-3.0326200000000001E-2</v>
      </c>
      <c r="E1208" s="1">
        <v>3.2543099999999998E-2</v>
      </c>
      <c r="F1208" s="1">
        <v>-1.7021600000000001E-3</v>
      </c>
      <c r="G1208" s="1">
        <v>-5.3563299999999999E-4</v>
      </c>
      <c r="H1208" s="1">
        <v>-2.0817799999999999E-5</v>
      </c>
    </row>
    <row r="1209" spans="2:8" x14ac:dyDescent="0.25">
      <c r="B1209" s="1">
        <v>41.3322</v>
      </c>
      <c r="C1209" s="1">
        <v>0</v>
      </c>
      <c r="D1209" s="1">
        <v>-2.9677700000000001E-2</v>
      </c>
      <c r="E1209" s="1">
        <v>3.1863000000000002E-2</v>
      </c>
      <c r="F1209" s="1">
        <v>-1.7211800000000001E-3</v>
      </c>
      <c r="G1209" s="1">
        <v>-4.84981E-4</v>
      </c>
      <c r="H1209" s="1">
        <v>-2.0846E-5</v>
      </c>
    </row>
    <row r="1210" spans="2:8" x14ac:dyDescent="0.25">
      <c r="B1210" s="1">
        <v>42.609699999999997</v>
      </c>
      <c r="C1210" s="1">
        <v>0</v>
      </c>
      <c r="D1210" s="1">
        <v>-2.90371E-2</v>
      </c>
      <c r="E1210" s="1">
        <v>3.11781E-2</v>
      </c>
      <c r="F1210" s="1">
        <v>-1.7247499999999999E-3</v>
      </c>
      <c r="G1210" s="1">
        <v>-4.3762E-4</v>
      </c>
      <c r="H1210" s="1">
        <v>-2.1376899999999999E-5</v>
      </c>
    </row>
    <row r="1211" spans="2:8" x14ac:dyDescent="0.25">
      <c r="B1211" s="1">
        <v>43.9069</v>
      </c>
      <c r="C1211" s="1">
        <v>0</v>
      </c>
      <c r="D1211" s="1">
        <v>-2.8405400000000001E-2</v>
      </c>
      <c r="E1211" s="1">
        <v>3.04905E-2</v>
      </c>
      <c r="F1211" s="1">
        <v>-1.7148899999999999E-3</v>
      </c>
      <c r="G1211" s="1">
        <v>-3.9248000000000001E-4</v>
      </c>
      <c r="H1211" s="1">
        <v>-2.2301900000000001E-5</v>
      </c>
    </row>
    <row r="1212" spans="2:8" x14ac:dyDescent="0.25">
      <c r="B1212" s="1">
        <v>45.2239</v>
      </c>
      <c r="C1212" s="1">
        <v>0</v>
      </c>
      <c r="D1212" s="1">
        <v>-2.77845E-2</v>
      </c>
      <c r="E1212" s="1">
        <v>2.9801999999999999E-2</v>
      </c>
      <c r="F1212" s="1">
        <v>-1.6940600000000001E-3</v>
      </c>
      <c r="G1212" s="1">
        <v>-3.4704700000000001E-4</v>
      </c>
      <c r="H1212" s="1">
        <v>-2.3594299999999999E-5</v>
      </c>
    </row>
    <row r="1213" spans="2:8" x14ac:dyDescent="0.25">
      <c r="B1213" s="1">
        <v>46.560299999999998</v>
      </c>
      <c r="C1213" s="1">
        <v>0</v>
      </c>
      <c r="D1213" s="1">
        <v>-2.71769E-2</v>
      </c>
      <c r="E1213" s="1">
        <v>2.91153E-2</v>
      </c>
      <c r="F1213" s="1">
        <v>-1.66406E-3</v>
      </c>
      <c r="G1213" s="1">
        <v>-2.9940099999999997E-4</v>
      </c>
      <c r="H1213" s="1">
        <v>-2.5060400000000002E-5</v>
      </c>
    </row>
    <row r="1214" spans="2:8" x14ac:dyDescent="0.25">
      <c r="B1214" s="1">
        <v>47.915999999999997</v>
      </c>
      <c r="C1214" s="1">
        <v>0</v>
      </c>
      <c r="D1214" s="1">
        <v>-2.65845E-2</v>
      </c>
      <c r="E1214" s="1">
        <v>2.8433199999999999E-2</v>
      </c>
      <c r="F1214" s="1">
        <v>-1.6264599999999999E-3</v>
      </c>
      <c r="G1214" s="1">
        <v>-2.4864700000000001E-4</v>
      </c>
      <c r="H1214" s="1">
        <v>-2.6398799999999999E-5</v>
      </c>
    </row>
    <row r="1215" spans="2:8" x14ac:dyDescent="0.25">
      <c r="B1215" s="1">
        <v>49.290900000000001</v>
      </c>
      <c r="C1215" s="1">
        <v>0</v>
      </c>
      <c r="D1215" s="1">
        <v>-2.6007800000000001E-2</v>
      </c>
      <c r="E1215" s="1">
        <v>2.77583E-2</v>
      </c>
      <c r="F1215" s="1">
        <v>-1.5822E-3</v>
      </c>
      <c r="G1215" s="1">
        <v>-1.95613E-4</v>
      </c>
      <c r="H1215" s="1">
        <v>-2.72617E-5</v>
      </c>
    </row>
    <row r="1216" spans="2:8" x14ac:dyDescent="0.25">
      <c r="B1216" s="1">
        <v>50.6845</v>
      </c>
      <c r="C1216" s="1">
        <v>0</v>
      </c>
      <c r="D1216" s="1">
        <v>-2.54454E-2</v>
      </c>
      <c r="E1216" s="1">
        <v>2.7092499999999999E-2</v>
      </c>
      <c r="F1216" s="1">
        <v>-1.5300699999999999E-3</v>
      </c>
      <c r="G1216" s="1">
        <v>-1.4463099999999999E-4</v>
      </c>
      <c r="H1216" s="1">
        <v>-2.7635299999999999E-5</v>
      </c>
    </row>
    <row r="1217" spans="2:8" x14ac:dyDescent="0.25">
      <c r="B1217" s="1">
        <v>52.096899999999998</v>
      </c>
      <c r="C1217" s="1">
        <v>0</v>
      </c>
      <c r="D1217" s="1">
        <v>-2.4894900000000001E-2</v>
      </c>
      <c r="E1217" s="1">
        <v>2.6436899999999999E-2</v>
      </c>
      <c r="F1217" s="1">
        <v>-1.4678200000000001E-3</v>
      </c>
      <c r="G1217" s="1">
        <v>-1.02128E-4</v>
      </c>
      <c r="H1217" s="1">
        <v>-2.7972099999999999E-5</v>
      </c>
    </row>
    <row r="1218" spans="2:8" x14ac:dyDescent="0.25">
      <c r="B1218" s="1">
        <v>53.5276</v>
      </c>
      <c r="C1218" s="1">
        <v>0</v>
      </c>
      <c r="D1218" s="1">
        <v>-2.4354000000000001E-2</v>
      </c>
      <c r="E1218" s="1">
        <v>2.5792699999999998E-2</v>
      </c>
      <c r="F1218" s="1">
        <v>-1.3952400000000001E-3</v>
      </c>
      <c r="G1218" s="1">
        <v>-7.2412700000000006E-5</v>
      </c>
      <c r="H1218" s="1">
        <v>-2.89302E-5</v>
      </c>
    </row>
    <row r="1219" spans="2:8" x14ac:dyDescent="0.25">
      <c r="B1219" s="1">
        <v>54.976500000000001</v>
      </c>
      <c r="C1219" s="1">
        <v>0</v>
      </c>
      <c r="D1219" s="1">
        <v>-2.3821999999999999E-2</v>
      </c>
      <c r="E1219" s="1">
        <v>2.5161800000000002E-2</v>
      </c>
      <c r="F1219" s="1">
        <v>-1.3160800000000001E-3</v>
      </c>
      <c r="G1219" s="1">
        <v>-5.4393900000000001E-5</v>
      </c>
      <c r="H1219" s="1">
        <v>-3.0740500000000002E-5</v>
      </c>
    </row>
    <row r="1220" spans="2:8" x14ac:dyDescent="0.25">
      <c r="B1220" s="1">
        <v>56.443399999999997</v>
      </c>
      <c r="C1220" s="1">
        <v>0</v>
      </c>
      <c r="D1220" s="1">
        <v>-2.3299899999999998E-2</v>
      </c>
      <c r="E1220" s="1">
        <v>2.45463E-2</v>
      </c>
      <c r="F1220" s="1">
        <v>-1.2357900000000001E-3</v>
      </c>
      <c r="G1220" s="1">
        <v>-4.3667400000000001E-5</v>
      </c>
      <c r="H1220" s="1">
        <v>-3.3091800000000001E-5</v>
      </c>
    </row>
    <row r="1221" spans="2:8" x14ac:dyDescent="0.25">
      <c r="B1221" s="1">
        <v>57.928100000000001</v>
      </c>
      <c r="C1221" s="1">
        <v>0</v>
      </c>
      <c r="D1221" s="1">
        <v>-2.2788300000000001E-2</v>
      </c>
      <c r="E1221" s="1">
        <v>2.3947900000000001E-2</v>
      </c>
      <c r="F1221" s="1">
        <v>-1.1584799999999999E-3</v>
      </c>
      <c r="G1221" s="1">
        <v>-3.6729400000000001E-5</v>
      </c>
      <c r="H1221" s="1">
        <v>-3.5602100000000003E-5</v>
      </c>
    </row>
    <row r="1222" spans="2:8" x14ac:dyDescent="0.25">
      <c r="B1222" s="1">
        <v>59.430100000000003</v>
      </c>
      <c r="C1222" s="1">
        <v>0</v>
      </c>
      <c r="D1222" s="1">
        <v>-2.22878E-2</v>
      </c>
      <c r="E1222" s="1">
        <v>2.3367099999999998E-2</v>
      </c>
      <c r="F1222" s="1">
        <v>-1.08807E-3</v>
      </c>
      <c r="G1222" s="1">
        <v>-2.9054400000000001E-5</v>
      </c>
      <c r="H1222" s="1">
        <v>-3.7817600000000002E-5</v>
      </c>
    </row>
    <row r="1223" spans="2:8" x14ac:dyDescent="0.25">
      <c r="B1223" s="1">
        <v>60.949399999999997</v>
      </c>
      <c r="C1223" s="1">
        <v>0</v>
      </c>
      <c r="D1223" s="1">
        <v>-2.17989E-2</v>
      </c>
      <c r="E1223" s="1">
        <v>2.2802599999999999E-2</v>
      </c>
      <c r="F1223" s="1">
        <v>-1.02761E-3</v>
      </c>
      <c r="G1223" s="1">
        <v>-1.51974E-5</v>
      </c>
      <c r="H1223" s="1">
        <v>-3.9130900000000002E-5</v>
      </c>
    </row>
    <row r="1224" spans="2:8" x14ac:dyDescent="0.25">
      <c r="B1224" s="1">
        <v>62.485799999999998</v>
      </c>
      <c r="C1224" s="1">
        <v>0</v>
      </c>
      <c r="D1224" s="1">
        <v>-2.1321199999999998E-2</v>
      </c>
      <c r="E1224" s="1">
        <v>2.2252000000000001E-2</v>
      </c>
      <c r="F1224" s="1">
        <v>-9.7407799999999997E-4</v>
      </c>
      <c r="G1224" s="1">
        <v>3.9688500000000001E-6</v>
      </c>
      <c r="H1224" s="1">
        <v>-3.9242400000000002E-5</v>
      </c>
    </row>
    <row r="1225" spans="2:8" x14ac:dyDescent="0.25">
      <c r="B1225" s="1">
        <v>64.038700000000006</v>
      </c>
      <c r="C1225" s="1">
        <v>0</v>
      </c>
      <c r="D1225" s="1">
        <v>-2.0852800000000001E-2</v>
      </c>
      <c r="E1225" s="1">
        <v>2.1712800000000001E-2</v>
      </c>
      <c r="F1225" s="1">
        <v>-9.1978000000000003E-4</v>
      </c>
      <c r="G1225" s="1">
        <v>2.1333100000000001E-5</v>
      </c>
      <c r="H1225" s="1">
        <v>-3.83699E-5</v>
      </c>
    </row>
    <row r="1226" spans="2:8" x14ac:dyDescent="0.25">
      <c r="B1226" s="1">
        <v>65.608099999999993</v>
      </c>
      <c r="C1226" s="1">
        <v>0</v>
      </c>
      <c r="D1226" s="1">
        <v>-2.03926E-2</v>
      </c>
      <c r="E1226" s="1">
        <v>2.1183799999999999E-2</v>
      </c>
      <c r="F1226" s="1">
        <v>-8.59099E-4</v>
      </c>
      <c r="G1226" s="1">
        <v>3.10673E-5</v>
      </c>
      <c r="H1226" s="1">
        <v>-3.6860999999999998E-5</v>
      </c>
    </row>
    <row r="1227" spans="2:8" x14ac:dyDescent="0.25">
      <c r="B1227" s="1">
        <v>67.193600000000004</v>
      </c>
      <c r="C1227" s="1">
        <v>0</v>
      </c>
      <c r="D1227" s="1">
        <v>-1.99405E-2</v>
      </c>
      <c r="E1227" s="1">
        <v>2.06649E-2</v>
      </c>
      <c r="F1227" s="1">
        <v>-7.9052099999999998E-4</v>
      </c>
      <c r="G1227" s="1">
        <v>3.1189499999999997E-5</v>
      </c>
      <c r="H1227" s="1">
        <v>-3.5003399999999998E-5</v>
      </c>
    </row>
    <row r="1228" spans="2:8" x14ac:dyDescent="0.25">
      <c r="B1228" s="1">
        <v>68.795000000000002</v>
      </c>
      <c r="C1228" s="1">
        <v>0</v>
      </c>
      <c r="D1228" s="1">
        <v>-1.9496800000000002E-2</v>
      </c>
      <c r="E1228" s="1">
        <v>2.01566E-2</v>
      </c>
      <c r="F1228" s="1">
        <v>-7.1567799999999997E-4</v>
      </c>
      <c r="G1228" s="1">
        <v>2.2769199999999999E-5</v>
      </c>
      <c r="H1228" s="1">
        <v>-3.3089800000000003E-5</v>
      </c>
    </row>
    <row r="1229" spans="2:8" x14ac:dyDescent="0.25">
      <c r="B1229" s="1">
        <v>70.412099999999995</v>
      </c>
      <c r="C1229" s="1">
        <v>0</v>
      </c>
      <c r="D1229" s="1">
        <v>-1.9061700000000001E-2</v>
      </c>
      <c r="E1229" s="1">
        <v>1.96594E-2</v>
      </c>
      <c r="F1229" s="1">
        <v>-6.3761299999999998E-4</v>
      </c>
      <c r="G1229" s="1">
        <v>8.4996299999999995E-6</v>
      </c>
      <c r="H1229" s="1">
        <v>-3.1371799999999997E-5</v>
      </c>
    </row>
    <row r="1230" spans="2:8" x14ac:dyDescent="0.25">
      <c r="B1230" s="1">
        <v>72.044399999999996</v>
      </c>
      <c r="C1230" s="1">
        <v>0</v>
      </c>
      <c r="D1230" s="1">
        <v>-1.8636300000000001E-2</v>
      </c>
      <c r="E1230" s="1">
        <v>1.9173900000000001E-2</v>
      </c>
      <c r="F1230" s="1">
        <v>-5.5926800000000003E-4</v>
      </c>
      <c r="G1230" s="1">
        <v>-8.2333100000000003E-6</v>
      </c>
      <c r="H1230" s="1">
        <v>-2.9955500000000001E-5</v>
      </c>
    </row>
    <row r="1231" spans="2:8" x14ac:dyDescent="0.25">
      <c r="B1231" s="1">
        <v>73.691800000000001</v>
      </c>
      <c r="C1231" s="1">
        <v>0</v>
      </c>
      <c r="D1231" s="1">
        <v>-1.82229E-2</v>
      </c>
      <c r="E1231" s="1">
        <v>1.8700700000000001E-2</v>
      </c>
      <c r="F1231" s="1">
        <v>-4.8412200000000002E-4</v>
      </c>
      <c r="G1231" s="1">
        <v>-2.2334300000000001E-5</v>
      </c>
      <c r="H1231" s="1">
        <v>-2.87126E-5</v>
      </c>
    </row>
    <row r="1232" spans="2:8" x14ac:dyDescent="0.25">
      <c r="B1232" s="1">
        <v>75.353800000000007</v>
      </c>
      <c r="C1232" s="1">
        <v>0</v>
      </c>
      <c r="D1232" s="1">
        <v>-1.7824E-2</v>
      </c>
      <c r="E1232" s="1">
        <v>1.8240599999999999E-2</v>
      </c>
      <c r="F1232" s="1">
        <v>-4.1566800000000001E-4</v>
      </c>
      <c r="G1232" s="1">
        <v>-2.83323E-5</v>
      </c>
      <c r="H1232" s="1">
        <v>-2.7394199999999999E-5</v>
      </c>
    </row>
    <row r="1233" spans="2:8" x14ac:dyDescent="0.25">
      <c r="B1233" s="1">
        <v>77.030500000000004</v>
      </c>
      <c r="C1233" s="1">
        <v>0</v>
      </c>
      <c r="D1233" s="1">
        <v>-1.7440400000000002E-2</v>
      </c>
      <c r="E1233" s="1">
        <v>1.77942E-2</v>
      </c>
      <c r="F1233" s="1">
        <v>-3.5534199999999997E-4</v>
      </c>
      <c r="G1233" s="1">
        <v>-2.43011E-5</v>
      </c>
      <c r="H1233" s="1">
        <v>-2.5924000000000001E-5</v>
      </c>
    </row>
    <row r="1234" spans="2:8" x14ac:dyDescent="0.25">
      <c r="B1234" s="1">
        <v>78.721199999999996</v>
      </c>
      <c r="C1234" s="1">
        <v>0</v>
      </c>
      <c r="D1234" s="1">
        <v>-1.7071099999999999E-2</v>
      </c>
      <c r="E1234" s="1">
        <v>1.7361700000000001E-2</v>
      </c>
      <c r="F1234" s="1">
        <v>-3.0333299999999998E-4</v>
      </c>
      <c r="G1234" s="1">
        <v>-1.17567E-5</v>
      </c>
      <c r="H1234" s="1">
        <v>-2.44942E-5</v>
      </c>
    </row>
    <row r="1235" spans="2:8" x14ac:dyDescent="0.25">
      <c r="B1235" s="1">
        <v>80.426000000000002</v>
      </c>
      <c r="C1235" s="1">
        <v>0</v>
      </c>
      <c r="D1235" s="1">
        <v>-1.6713499999999999E-2</v>
      </c>
      <c r="E1235" s="1">
        <v>1.69436E-2</v>
      </c>
      <c r="F1235" s="1">
        <v>-2.58989E-4</v>
      </c>
      <c r="G1235" s="1">
        <v>5.5872999999999999E-6</v>
      </c>
      <c r="H1235" s="1">
        <v>-2.32363E-5</v>
      </c>
    </row>
    <row r="1236" spans="2:8" x14ac:dyDescent="0.25">
      <c r="B1236" s="1">
        <v>82.144199999999998</v>
      </c>
      <c r="C1236" s="1">
        <v>0</v>
      </c>
      <c r="D1236" s="1">
        <v>-1.6364400000000001E-2</v>
      </c>
      <c r="E1236" s="1">
        <v>1.6540099999999999E-2</v>
      </c>
      <c r="F1236" s="1">
        <v>-2.1906700000000001E-4</v>
      </c>
      <c r="G1236" s="1">
        <v>2.1033500000000001E-5</v>
      </c>
      <c r="H1236" s="1">
        <v>-2.23617E-5</v>
      </c>
    </row>
    <row r="1237" spans="2:8" x14ac:dyDescent="0.25">
      <c r="B1237" s="1">
        <v>83.875900000000001</v>
      </c>
      <c r="C1237" s="1">
        <v>0</v>
      </c>
      <c r="D1237" s="1">
        <v>-1.60222E-2</v>
      </c>
      <c r="E1237" s="1">
        <v>1.61508E-2</v>
      </c>
      <c r="F1237" s="1">
        <v>-1.8030300000000001E-4</v>
      </c>
      <c r="G1237" s="1">
        <v>2.97415E-5</v>
      </c>
      <c r="H1237" s="1">
        <v>-2.20852E-5</v>
      </c>
    </row>
    <row r="1238" spans="2:8" x14ac:dyDescent="0.25">
      <c r="B1238" s="1">
        <v>85.620199999999997</v>
      </c>
      <c r="C1238" s="1">
        <v>0</v>
      </c>
      <c r="D1238" s="1">
        <v>-1.5688000000000001E-2</v>
      </c>
      <c r="E1238" s="1">
        <v>1.57745E-2</v>
      </c>
      <c r="F1238" s="1">
        <v>-1.41803E-4</v>
      </c>
      <c r="G1238" s="1">
        <v>3.3119700000000001E-5</v>
      </c>
      <c r="H1238" s="1">
        <v>-2.22398E-5</v>
      </c>
    </row>
    <row r="1239" spans="2:8" x14ac:dyDescent="0.25">
      <c r="B1239" s="1">
        <v>87.377899999999997</v>
      </c>
      <c r="C1239" s="1">
        <v>0</v>
      </c>
      <c r="D1239" s="1">
        <v>-1.53632E-2</v>
      </c>
      <c r="E1239" s="1">
        <v>1.54092E-2</v>
      </c>
      <c r="F1239" s="1">
        <v>-1.0166999999999999E-4</v>
      </c>
      <c r="G1239" s="1">
        <v>3.3093799999999998E-5</v>
      </c>
      <c r="H1239" s="1">
        <v>-2.2662599999999999E-5</v>
      </c>
    </row>
    <row r="1240" spans="2:8" x14ac:dyDescent="0.25">
      <c r="B1240" s="1">
        <v>89.147499999999994</v>
      </c>
      <c r="C1240" s="1">
        <v>0</v>
      </c>
      <c r="D1240" s="1">
        <v>-1.50478E-2</v>
      </c>
      <c r="E1240" s="1">
        <v>1.50525E-2</v>
      </c>
      <c r="F1240" s="1">
        <v>-5.6470800000000001E-5</v>
      </c>
      <c r="G1240" s="1">
        <v>2.83664E-5</v>
      </c>
      <c r="H1240" s="1">
        <v>-2.33677E-5</v>
      </c>
    </row>
    <row r="1241" spans="2:8" x14ac:dyDescent="0.25">
      <c r="B1241" s="1">
        <v>90.9298</v>
      </c>
      <c r="C1241" s="1">
        <v>0</v>
      </c>
      <c r="D1241" s="1">
        <v>-1.47405E-2</v>
      </c>
      <c r="E1241" s="1">
        <v>1.47031E-2</v>
      </c>
      <c r="F1241" s="1">
        <v>-4.3213200000000002E-6</v>
      </c>
      <c r="G1241" s="1">
        <v>1.7215300000000001E-5</v>
      </c>
      <c r="H1241" s="1">
        <v>-2.4498099999999998E-5</v>
      </c>
    </row>
    <row r="1242" spans="2:8" x14ac:dyDescent="0.25">
      <c r="B1242" s="1">
        <v>92.723100000000002</v>
      </c>
      <c r="C1242" s="1">
        <v>0</v>
      </c>
      <c r="D1242" s="1">
        <v>-1.4440700000000001E-2</v>
      </c>
      <c r="E1242" s="1">
        <v>1.4360899999999999E-2</v>
      </c>
      <c r="F1242" s="1">
        <v>5.3755999999999998E-5</v>
      </c>
      <c r="G1242" s="1">
        <v>-3.4709999999999998E-7</v>
      </c>
      <c r="H1242" s="1">
        <v>-2.6327500000000002E-5</v>
      </c>
    </row>
    <row r="1243" spans="2:8" x14ac:dyDescent="0.25">
      <c r="B1243" s="1">
        <v>94.528999999999996</v>
      </c>
      <c r="C1243" s="1">
        <v>0</v>
      </c>
      <c r="D1243" s="1">
        <v>-1.4148300000000001E-2</v>
      </c>
      <c r="E1243" s="1">
        <v>1.40272E-2</v>
      </c>
      <c r="F1243" s="1">
        <v>1.14403E-4</v>
      </c>
      <c r="G1243" s="1">
        <v>-2.2371700000000001E-5</v>
      </c>
      <c r="H1243" s="1">
        <v>-2.9090599999999999E-5</v>
      </c>
    </row>
    <row r="1244" spans="2:8" x14ac:dyDescent="0.25">
      <c r="B1244" s="1">
        <v>96.345200000000006</v>
      </c>
      <c r="C1244" s="1">
        <v>0</v>
      </c>
      <c r="D1244" s="1">
        <v>-1.3864100000000001E-2</v>
      </c>
      <c r="E1244" s="1">
        <v>1.37035E-2</v>
      </c>
      <c r="F1244" s="1">
        <v>1.7214199999999999E-4</v>
      </c>
      <c r="G1244" s="1">
        <v>-4.4203999999999999E-5</v>
      </c>
      <c r="H1244" s="1">
        <v>-3.2662300000000001E-5</v>
      </c>
    </row>
    <row r="1245" spans="2:8" x14ac:dyDescent="0.25">
      <c r="B1245" s="1">
        <v>98.173299999999998</v>
      </c>
      <c r="C1245" s="1">
        <v>0</v>
      </c>
      <c r="D1245" s="1">
        <v>-1.35894E-2</v>
      </c>
      <c r="E1245" s="1">
        <v>1.3391999999999999E-2</v>
      </c>
      <c r="F1245" s="1">
        <v>2.2003499999999999E-4</v>
      </c>
      <c r="G1245" s="1">
        <v>-5.9097400000000001E-5</v>
      </c>
      <c r="H1245" s="1">
        <v>-3.6511099999999997E-5</v>
      </c>
    </row>
    <row r="1246" spans="2:8" x14ac:dyDescent="0.25">
      <c r="B1246" s="1">
        <v>100.012</v>
      </c>
      <c r="C1246" s="1">
        <v>0</v>
      </c>
      <c r="D1246" s="1">
        <v>-1.3325200000000001E-2</v>
      </c>
      <c r="E1246" s="1">
        <v>1.3094700000000001E-2</v>
      </c>
      <c r="F1246" s="1">
        <v>2.5275999999999999E-4</v>
      </c>
      <c r="G1246" s="1">
        <v>-6.2452800000000006E-5</v>
      </c>
      <c r="H1246" s="1">
        <v>-4.0234300000000002E-5</v>
      </c>
    </row>
    <row r="1247" spans="2:8" x14ac:dyDescent="0.25">
      <c r="B1247" s="1">
        <v>101.861</v>
      </c>
      <c r="C1247" s="1">
        <v>0</v>
      </c>
      <c r="D1247" s="1">
        <v>-1.30714E-2</v>
      </c>
      <c r="E1247" s="1">
        <v>1.28133E-2</v>
      </c>
      <c r="F1247" s="1">
        <v>2.6876500000000002E-4</v>
      </c>
      <c r="G1247" s="1">
        <v>-5.4473299999999999E-5</v>
      </c>
      <c r="H1247" s="1">
        <v>-4.38462E-5</v>
      </c>
    </row>
    <row r="1248" spans="2:8" x14ac:dyDescent="0.25">
      <c r="B1248" s="1">
        <v>103.72</v>
      </c>
      <c r="C1248" s="1">
        <v>0</v>
      </c>
      <c r="D1248" s="1">
        <v>-1.28264E-2</v>
      </c>
      <c r="E1248" s="1">
        <v>1.25481E-2</v>
      </c>
      <c r="F1248" s="1">
        <v>2.7003299999999998E-4</v>
      </c>
      <c r="G1248" s="1">
        <v>-3.93155E-5</v>
      </c>
      <c r="H1248" s="1">
        <v>-4.7564400000000002E-5</v>
      </c>
    </row>
    <row r="1249" spans="2:8" x14ac:dyDescent="0.25">
      <c r="B1249" s="1">
        <v>105.589</v>
      </c>
      <c r="C1249" s="1">
        <v>0</v>
      </c>
      <c r="D1249" s="1">
        <v>-1.2587900000000001E-2</v>
      </c>
      <c r="E1249" s="1">
        <v>1.22986E-2</v>
      </c>
      <c r="F1249" s="1">
        <v>2.6111999999999999E-4</v>
      </c>
      <c r="G1249" s="1">
        <v>-2.3272400000000001E-5</v>
      </c>
      <c r="H1249" s="1">
        <v>-5.1493899999999998E-5</v>
      </c>
    </row>
    <row r="1250" spans="2:8" x14ac:dyDescent="0.25">
      <c r="B1250" s="1">
        <v>107.468</v>
      </c>
      <c r="C1250" s="1">
        <v>0</v>
      </c>
      <c r="D1250" s="1">
        <v>-1.2353599999999999E-2</v>
      </c>
      <c r="E1250" s="1">
        <v>1.20628E-2</v>
      </c>
      <c r="F1250" s="1">
        <v>2.46994E-4</v>
      </c>
      <c r="G1250" s="1">
        <v>-1.1780099999999999E-5</v>
      </c>
      <c r="H1250" s="1">
        <v>-5.5617E-5</v>
      </c>
    </row>
    <row r="1251" spans="2:8" x14ac:dyDescent="0.25">
      <c r="B1251" s="1">
        <v>109.35599999999999</v>
      </c>
      <c r="C1251" s="1">
        <v>0</v>
      </c>
      <c r="D1251" s="1">
        <v>-1.2121699999999999E-2</v>
      </c>
      <c r="E1251" s="1">
        <v>1.18374E-2</v>
      </c>
      <c r="F1251" s="1">
        <v>2.30879E-4</v>
      </c>
      <c r="G1251" s="1">
        <v>-6.4653499999999999E-6</v>
      </c>
      <c r="H1251" s="1">
        <v>-5.9856799999999999E-5</v>
      </c>
    </row>
    <row r="1252" spans="2:8" x14ac:dyDescent="0.25">
      <c r="B1252" s="1">
        <v>111.253</v>
      </c>
      <c r="C1252" s="1">
        <v>0</v>
      </c>
      <c r="D1252" s="1">
        <v>-1.1891799999999999E-2</v>
      </c>
      <c r="E1252" s="1">
        <v>1.1618699999999999E-2</v>
      </c>
      <c r="F1252" s="1">
        <v>2.13904E-4</v>
      </c>
      <c r="G1252" s="1">
        <v>-4.9212999999999998E-6</v>
      </c>
      <c r="H1252" s="1">
        <v>-6.4029599999999994E-5</v>
      </c>
    </row>
    <row r="1253" spans="2:8" x14ac:dyDescent="0.25">
      <c r="B1253" s="1">
        <v>113.16</v>
      </c>
      <c r="C1253" s="1">
        <v>0</v>
      </c>
      <c r="D1253" s="1">
        <v>-1.16644E-2</v>
      </c>
      <c r="E1253" s="1">
        <v>1.14036E-2</v>
      </c>
      <c r="F1253" s="1">
        <v>1.96097E-4</v>
      </c>
      <c r="G1253" s="1">
        <v>-3.2826000000000001E-6</v>
      </c>
      <c r="H1253" s="1">
        <v>-6.7971699999999998E-5</v>
      </c>
    </row>
    <row r="1254" spans="2:8" x14ac:dyDescent="0.25">
      <c r="B1254" s="1">
        <v>115.074</v>
      </c>
      <c r="C1254" s="1">
        <v>0</v>
      </c>
      <c r="D1254" s="1">
        <v>-1.14407E-2</v>
      </c>
      <c r="E1254" s="1">
        <v>1.11901E-2</v>
      </c>
      <c r="F1254" s="1">
        <v>1.78059E-4</v>
      </c>
      <c r="G1254" s="1">
        <v>7.2615000000000003E-7</v>
      </c>
      <c r="H1254" s="1">
        <v>-7.1826800000000002E-5</v>
      </c>
    </row>
    <row r="1255" spans="2:8" x14ac:dyDescent="0.25">
      <c r="B1255" s="1">
        <v>116.997</v>
      </c>
      <c r="C1255" s="1">
        <v>0</v>
      </c>
      <c r="D1255" s="1">
        <v>-1.12221E-2</v>
      </c>
      <c r="E1255" s="1">
        <v>1.09771E-2</v>
      </c>
      <c r="F1255" s="1">
        <v>1.6058500000000001E-4</v>
      </c>
      <c r="G1255" s="1">
        <v>8.9379999999999998E-6</v>
      </c>
      <c r="H1255" s="1">
        <v>-7.5523600000000003E-5</v>
      </c>
    </row>
    <row r="1256" spans="2:8" x14ac:dyDescent="0.25">
      <c r="B1256" s="1">
        <v>118.928</v>
      </c>
      <c r="C1256" s="1">
        <v>0</v>
      </c>
      <c r="D1256" s="1">
        <v>-1.10093E-2</v>
      </c>
      <c r="E1256" s="1">
        <v>1.07639E-2</v>
      </c>
      <c r="F1256" s="1">
        <v>1.4554499999999999E-4</v>
      </c>
      <c r="G1256" s="1">
        <v>2.1208599999999999E-5</v>
      </c>
      <c r="H1256" s="1">
        <v>-7.8683999999999994E-5</v>
      </c>
    </row>
    <row r="1257" spans="2:8" x14ac:dyDescent="0.25">
      <c r="B1257" s="1">
        <v>120.86799999999999</v>
      </c>
      <c r="C1257" s="1">
        <v>0</v>
      </c>
      <c r="D1257" s="1">
        <v>-1.0801699999999999E-2</v>
      </c>
      <c r="E1257" s="1">
        <v>1.05509E-2</v>
      </c>
      <c r="F1257" s="1">
        <v>1.3702399999999999E-4</v>
      </c>
      <c r="G1257" s="1">
        <v>3.2931800000000002E-5</v>
      </c>
      <c r="H1257" s="1">
        <v>-8.0852099999999998E-5</v>
      </c>
    </row>
    <row r="1258" spans="2:8" x14ac:dyDescent="0.25">
      <c r="B1258" s="1">
        <v>122.81399999999999</v>
      </c>
      <c r="C1258" s="1">
        <v>0</v>
      </c>
      <c r="D1258" s="1">
        <v>-1.05982E-2</v>
      </c>
      <c r="E1258" s="1">
        <v>1.03389E-2</v>
      </c>
      <c r="F1258" s="1">
        <v>1.38345E-4</v>
      </c>
      <c r="G1258" s="1">
        <v>3.93833E-5</v>
      </c>
      <c r="H1258" s="1">
        <v>-8.1634900000000007E-5</v>
      </c>
    </row>
    <row r="1259" spans="2:8" x14ac:dyDescent="0.25">
      <c r="B1259" s="1">
        <v>124.768</v>
      </c>
      <c r="C1259" s="1">
        <v>0</v>
      </c>
      <c r="D1259" s="1">
        <v>-1.0399200000000001E-2</v>
      </c>
      <c r="E1259" s="1">
        <v>1.01286E-2</v>
      </c>
      <c r="F1259" s="1">
        <v>1.4819799999999999E-4</v>
      </c>
      <c r="G1259" s="1">
        <v>4.1378200000000003E-5</v>
      </c>
      <c r="H1259" s="1">
        <v>-8.0974499999999995E-5</v>
      </c>
    </row>
    <row r="1260" spans="2:8" x14ac:dyDescent="0.25">
      <c r="B1260" s="1">
        <v>126.729</v>
      </c>
      <c r="C1260" s="1">
        <v>0</v>
      </c>
      <c r="D1260" s="1">
        <v>-1.0204899999999999E-2</v>
      </c>
      <c r="E1260" s="1">
        <v>9.9203E-3</v>
      </c>
      <c r="F1260" s="1">
        <v>1.6205000000000001E-4</v>
      </c>
      <c r="G1260" s="1">
        <v>4.3290100000000001E-5</v>
      </c>
      <c r="H1260" s="1">
        <v>-7.9270400000000006E-5</v>
      </c>
    </row>
    <row r="1261" spans="2:8" x14ac:dyDescent="0.25">
      <c r="B1261" s="1">
        <v>128.697</v>
      </c>
      <c r="C1261" s="1">
        <v>0</v>
      </c>
      <c r="D1261" s="1">
        <v>-1.0015100000000001E-2</v>
      </c>
      <c r="E1261" s="1">
        <v>9.7140600000000001E-3</v>
      </c>
      <c r="F1261" s="1">
        <v>1.7738199999999999E-4</v>
      </c>
      <c r="G1261" s="1">
        <v>4.65035E-5</v>
      </c>
      <c r="H1261" s="1">
        <v>-7.7158500000000003E-5</v>
      </c>
    </row>
    <row r="1262" spans="2:8" x14ac:dyDescent="0.25">
      <c r="B1262" s="1">
        <v>130.672</v>
      </c>
      <c r="C1262" s="1">
        <v>0</v>
      </c>
      <c r="D1262" s="1">
        <v>-9.8289699999999994E-3</v>
      </c>
      <c r="E1262" s="1">
        <v>9.5103099999999993E-3</v>
      </c>
      <c r="F1262" s="1">
        <v>1.9507500000000001E-4</v>
      </c>
      <c r="G1262" s="1">
        <v>4.8439300000000002E-5</v>
      </c>
      <c r="H1262" s="1">
        <v>-7.5136500000000001E-5</v>
      </c>
    </row>
    <row r="1263" spans="2:8" x14ac:dyDescent="0.25">
      <c r="B1263" s="1">
        <v>132.654</v>
      </c>
      <c r="C1263" s="1">
        <v>0</v>
      </c>
      <c r="D1263" s="1">
        <v>-9.6460799999999996E-3</v>
      </c>
      <c r="E1263" s="1">
        <v>9.3097100000000006E-3</v>
      </c>
      <c r="F1263" s="1">
        <v>2.1679199999999999E-4</v>
      </c>
      <c r="G1263" s="1">
        <v>4.6093800000000002E-5</v>
      </c>
      <c r="H1263" s="1">
        <v>-7.3477299999999995E-5</v>
      </c>
    </row>
    <row r="1264" spans="2:8" x14ac:dyDescent="0.25">
      <c r="B1264" s="1">
        <v>134.64099999999999</v>
      </c>
      <c r="C1264" s="1">
        <v>0</v>
      </c>
      <c r="D1264" s="1">
        <v>-9.4665700000000005E-3</v>
      </c>
      <c r="E1264" s="1">
        <v>9.1132899999999996E-3</v>
      </c>
      <c r="F1264" s="1">
        <v>2.42735E-4</v>
      </c>
      <c r="G1264" s="1">
        <v>3.8203400000000001E-5</v>
      </c>
      <c r="H1264" s="1">
        <v>-7.2337799999999997E-5</v>
      </c>
    </row>
    <row r="1265" spans="2:8" x14ac:dyDescent="0.25">
      <c r="B1265" s="1">
        <v>136.63499999999999</v>
      </c>
      <c r="C1265" s="1">
        <v>0</v>
      </c>
      <c r="D1265" s="1">
        <v>-9.2911199999999999E-3</v>
      </c>
      <c r="E1265" s="1">
        <v>8.9225499999999996E-3</v>
      </c>
      <c r="F1265" s="1">
        <v>2.6999100000000002E-4</v>
      </c>
      <c r="G1265" s="1">
        <v>2.68938E-5</v>
      </c>
      <c r="H1265" s="1">
        <v>-7.1685099999999996E-5</v>
      </c>
    </row>
    <row r="1266" spans="2:8" x14ac:dyDescent="0.25">
      <c r="B1266" s="1">
        <v>138.63499999999999</v>
      </c>
      <c r="C1266" s="1">
        <v>0</v>
      </c>
      <c r="D1266" s="1">
        <v>-9.1208599999999997E-3</v>
      </c>
      <c r="E1266" s="1">
        <v>8.7390100000000002E-3</v>
      </c>
      <c r="F1266" s="1">
        <v>2.9360299999999997E-4</v>
      </c>
      <c r="G1266" s="1">
        <v>1.6812200000000001E-5</v>
      </c>
      <c r="H1266" s="1">
        <v>-7.1429399999999997E-5</v>
      </c>
    </row>
    <row r="1267" spans="2:8" x14ac:dyDescent="0.25">
      <c r="B1267" s="1">
        <v>140.63999999999999</v>
      </c>
      <c r="C1267" s="1">
        <v>0</v>
      </c>
      <c r="D1267" s="1">
        <v>-8.9565300000000007E-3</v>
      </c>
      <c r="E1267" s="1">
        <v>8.5633900000000006E-3</v>
      </c>
      <c r="F1267" s="1">
        <v>3.1000199999999998E-4</v>
      </c>
      <c r="G1267" s="1">
        <v>1.1573799999999999E-5</v>
      </c>
      <c r="H1267" s="1">
        <v>-7.1570399999999995E-5</v>
      </c>
    </row>
    <row r="1268" spans="2:8" x14ac:dyDescent="0.25">
      <c r="B1268" s="1">
        <v>142.65</v>
      </c>
      <c r="C1268" s="1">
        <v>0</v>
      </c>
      <c r="D1268" s="1">
        <v>-8.7976200000000008E-3</v>
      </c>
      <c r="E1268" s="1">
        <v>8.3951800000000004E-3</v>
      </c>
      <c r="F1268" s="1">
        <v>3.1904699999999998E-4</v>
      </c>
      <c r="G1268" s="1">
        <v>1.11591E-5</v>
      </c>
      <c r="H1268" s="1">
        <v>-7.2231199999999994E-5</v>
      </c>
    </row>
    <row r="1269" spans="2:8" x14ac:dyDescent="0.25">
      <c r="B1269" s="1">
        <v>144.666</v>
      </c>
      <c r="C1269" s="1">
        <v>0</v>
      </c>
      <c r="D1269" s="1">
        <v>-8.6425600000000005E-3</v>
      </c>
      <c r="E1269" s="1">
        <v>8.2332299999999994E-3</v>
      </c>
      <c r="F1269" s="1">
        <v>3.23758E-4</v>
      </c>
      <c r="G1269" s="1">
        <v>1.2006300000000001E-5</v>
      </c>
      <c r="H1269" s="1">
        <v>-7.3571899999999999E-5</v>
      </c>
    </row>
    <row r="1270" spans="2:8" x14ac:dyDescent="0.25">
      <c r="B1270" s="1">
        <v>146.68600000000001</v>
      </c>
      <c r="C1270" s="1">
        <v>0</v>
      </c>
      <c r="D1270" s="1">
        <v>-8.4903500000000007E-3</v>
      </c>
      <c r="E1270" s="1">
        <v>8.0766399999999995E-3</v>
      </c>
      <c r="F1270" s="1">
        <v>3.2776300000000001E-4</v>
      </c>
      <c r="G1270" s="1">
        <v>1.0401099999999999E-5</v>
      </c>
      <c r="H1270" s="1">
        <v>-7.5544399999999995E-5</v>
      </c>
    </row>
    <row r="1271" spans="2:8" x14ac:dyDescent="0.25">
      <c r="B1271" s="1">
        <v>148.71299999999999</v>
      </c>
      <c r="C1271" s="1">
        <v>0</v>
      </c>
      <c r="D1271" s="1">
        <v>-8.3411700000000002E-3</v>
      </c>
      <c r="E1271" s="1">
        <v>7.9252799999999998E-3</v>
      </c>
      <c r="F1271" s="1">
        <v>3.3250700000000001E-4</v>
      </c>
      <c r="G1271" s="1">
        <v>5.6010000000000002E-6</v>
      </c>
      <c r="H1271" s="1">
        <v>-7.7777700000000006E-5</v>
      </c>
    </row>
    <row r="1272" spans="2:8" x14ac:dyDescent="0.25">
      <c r="B1272" s="1">
        <v>150.74299999999999</v>
      </c>
      <c r="C1272" s="1">
        <v>0</v>
      </c>
      <c r="D1272" s="1">
        <v>-8.1953200000000007E-3</v>
      </c>
      <c r="E1272" s="1">
        <v>7.77935E-3</v>
      </c>
      <c r="F1272" s="1">
        <v>3.3730300000000001E-4</v>
      </c>
      <c r="G1272" s="1">
        <v>-1.1463999999999999E-6</v>
      </c>
      <c r="H1272" s="1">
        <v>-7.9816300000000004E-5</v>
      </c>
    </row>
    <row r="1273" spans="2:8" x14ac:dyDescent="0.25">
      <c r="B1273" s="1">
        <v>152.77799999999999</v>
      </c>
      <c r="C1273" s="1">
        <v>0</v>
      </c>
      <c r="D1273" s="1">
        <v>-8.0527900000000006E-3</v>
      </c>
      <c r="E1273" s="1">
        <v>7.6389099999999996E-3</v>
      </c>
      <c r="F1273" s="1">
        <v>3.4051099999999999E-4</v>
      </c>
      <c r="G1273" s="1">
        <v>-7.8894999999999996E-6</v>
      </c>
      <c r="H1273" s="1">
        <v>-8.1252699999999995E-5</v>
      </c>
    </row>
    <row r="1274" spans="2:8" x14ac:dyDescent="0.25">
      <c r="B1274" s="1">
        <v>154.81700000000001</v>
      </c>
      <c r="C1274" s="1">
        <v>0</v>
      </c>
      <c r="D1274" s="1">
        <v>-7.9136499999999995E-3</v>
      </c>
      <c r="E1274" s="1">
        <v>7.5035500000000003E-3</v>
      </c>
      <c r="F1274" s="1">
        <v>3.4007599999999997E-4</v>
      </c>
      <c r="G1274" s="1">
        <v>-1.1764500000000001E-5</v>
      </c>
      <c r="H1274" s="1">
        <v>-8.1794900000000005E-5</v>
      </c>
    </row>
    <row r="1275" spans="2:8" x14ac:dyDescent="0.25">
      <c r="B1275" s="1">
        <v>156.86099999999999</v>
      </c>
      <c r="C1275" s="1">
        <v>0</v>
      </c>
      <c r="D1275" s="1">
        <v>-7.77817E-3</v>
      </c>
      <c r="E1275" s="1">
        <v>7.3723299999999999E-3</v>
      </c>
      <c r="F1275" s="1">
        <v>3.34431E-4</v>
      </c>
      <c r="G1275" s="1">
        <v>-9.9453699999999993E-6</v>
      </c>
      <c r="H1275" s="1">
        <v>-8.1354300000000001E-5</v>
      </c>
    </row>
    <row r="1276" spans="2:8" x14ac:dyDescent="0.25">
      <c r="B1276" s="1">
        <v>158.90799999999999</v>
      </c>
      <c r="C1276" s="1">
        <v>0</v>
      </c>
      <c r="D1276" s="1">
        <v>-7.6462199999999996E-3</v>
      </c>
      <c r="E1276" s="1">
        <v>7.2441399999999996E-3</v>
      </c>
      <c r="F1276" s="1">
        <v>3.2446900000000003E-4</v>
      </c>
      <c r="G1276" s="1">
        <v>-2.4256999999999999E-6</v>
      </c>
      <c r="H1276" s="1">
        <v>-8.0040699999999994E-5</v>
      </c>
    </row>
    <row r="1277" spans="2:8" x14ac:dyDescent="0.25">
      <c r="B1277" s="1">
        <v>160.959</v>
      </c>
      <c r="C1277" s="1">
        <v>0</v>
      </c>
      <c r="D1277" s="1">
        <v>-7.5170999999999997E-3</v>
      </c>
      <c r="E1277" s="1">
        <v>7.11774E-3</v>
      </c>
      <c r="F1277" s="1">
        <v>3.1397599999999999E-4</v>
      </c>
      <c r="G1277" s="1">
        <v>7.31209E-6</v>
      </c>
      <c r="H1277" s="1">
        <v>-7.8078900000000002E-5</v>
      </c>
    </row>
    <row r="1278" spans="2:8" x14ac:dyDescent="0.25">
      <c r="B1278" s="1">
        <v>163.01499999999999</v>
      </c>
      <c r="C1278" s="1">
        <v>0</v>
      </c>
      <c r="D1278" s="1">
        <v>-7.3899100000000004E-3</v>
      </c>
      <c r="E1278" s="1">
        <v>6.9922300000000003E-3</v>
      </c>
      <c r="F1278" s="1">
        <v>3.0708800000000001E-4</v>
      </c>
      <c r="G1278" s="1">
        <v>1.4946800000000001E-5</v>
      </c>
      <c r="H1278" s="1">
        <v>-7.5645899999999993E-5</v>
      </c>
    </row>
    <row r="1279" spans="2:8" x14ac:dyDescent="0.25">
      <c r="B1279" s="1">
        <v>165.07400000000001</v>
      </c>
      <c r="C1279" s="1">
        <v>0</v>
      </c>
      <c r="D1279" s="1">
        <v>-7.2635E-3</v>
      </c>
      <c r="E1279" s="1">
        <v>6.8672500000000001E-3</v>
      </c>
      <c r="F1279" s="1">
        <v>3.0597900000000001E-4</v>
      </c>
      <c r="G1279" s="1">
        <v>1.7214099999999998E-5</v>
      </c>
      <c r="H1279" s="1">
        <v>-7.3060700000000003E-5</v>
      </c>
    </row>
    <row r="1280" spans="2:8" x14ac:dyDescent="0.25">
      <c r="B1280" s="1">
        <v>167.136</v>
      </c>
      <c r="C1280" s="1">
        <v>0</v>
      </c>
      <c r="D1280" s="1">
        <v>-7.1371799999999999E-3</v>
      </c>
      <c r="E1280" s="1">
        <v>6.7428599999999998E-3</v>
      </c>
      <c r="F1280" s="1">
        <v>3.0936899999999999E-4</v>
      </c>
      <c r="G1280" s="1">
        <v>1.4215200000000001E-5</v>
      </c>
      <c r="H1280" s="1">
        <v>-7.0746200000000004E-5</v>
      </c>
    </row>
    <row r="1281" spans="2:8" x14ac:dyDescent="0.25">
      <c r="B1281" s="1">
        <v>169.20099999999999</v>
      </c>
      <c r="C1281" s="1">
        <v>0</v>
      </c>
      <c r="D1281" s="1">
        <v>-7.0113900000000002E-3</v>
      </c>
      <c r="E1281" s="1">
        <v>6.6194000000000001E-3</v>
      </c>
      <c r="F1281" s="1">
        <v>3.1320000000000002E-4</v>
      </c>
      <c r="G1281" s="1">
        <v>9.8827600000000002E-6</v>
      </c>
      <c r="H1281" s="1">
        <v>-6.8906500000000002E-5</v>
      </c>
    </row>
    <row r="1282" spans="2:8" x14ac:dyDescent="0.25">
      <c r="B1282" s="1">
        <v>171.26900000000001</v>
      </c>
      <c r="C1282" s="1">
        <v>0</v>
      </c>
      <c r="D1282" s="1">
        <v>-6.8868999999999996E-3</v>
      </c>
      <c r="E1282" s="1">
        <v>6.4973100000000001E-3</v>
      </c>
      <c r="F1282" s="1">
        <v>3.1450100000000002E-4</v>
      </c>
      <c r="G1282" s="1">
        <v>7.5495000000000003E-6</v>
      </c>
      <c r="H1282" s="1">
        <v>-6.7541100000000003E-5</v>
      </c>
    </row>
    <row r="1283" spans="2:8" x14ac:dyDescent="0.25">
      <c r="B1283" s="1">
        <v>173.34</v>
      </c>
      <c r="C1283" s="1">
        <v>0</v>
      </c>
      <c r="D1283" s="1">
        <v>-6.7640699999999996E-3</v>
      </c>
      <c r="E1283" s="1">
        <v>6.3770099999999998E-3</v>
      </c>
      <c r="F1283" s="1">
        <v>3.13519E-4</v>
      </c>
      <c r="G1283" s="1">
        <v>7.0190000000000001E-6</v>
      </c>
      <c r="H1283" s="1">
        <v>-6.6515999999999998E-5</v>
      </c>
    </row>
    <row r="1284" spans="2:8" x14ac:dyDescent="0.25">
      <c r="B1284" s="1">
        <v>175.41499999999999</v>
      </c>
      <c r="C1284" s="1">
        <v>0</v>
      </c>
      <c r="D1284" s="1">
        <v>-6.6430300000000003E-3</v>
      </c>
      <c r="E1284" s="1">
        <v>6.2588799999999997E-3</v>
      </c>
      <c r="F1284" s="1">
        <v>3.1221599999999998E-4</v>
      </c>
      <c r="G1284" s="1">
        <v>6.3094000000000001E-6</v>
      </c>
      <c r="H1284" s="1">
        <v>-6.5629299999999999E-5</v>
      </c>
    </row>
    <row r="1285" spans="2:8" x14ac:dyDescent="0.25">
      <c r="B1285" s="1">
        <v>177.49199999999999</v>
      </c>
      <c r="C1285" s="1">
        <v>0</v>
      </c>
      <c r="D1285" s="1">
        <v>-6.5243300000000001E-3</v>
      </c>
      <c r="E1285" s="1">
        <v>6.1431599999999999E-3</v>
      </c>
      <c r="F1285" s="1">
        <v>3.1184600000000001E-4</v>
      </c>
      <c r="G1285" s="1">
        <v>4.6302000000000002E-6</v>
      </c>
      <c r="H1285" s="1">
        <v>-6.4698900000000005E-5</v>
      </c>
    </row>
    <row r="1286" spans="2:8" x14ac:dyDescent="0.25">
      <c r="B1286" s="1">
        <v>179.572</v>
      </c>
      <c r="C1286" s="1">
        <v>0</v>
      </c>
      <c r="D1286" s="1">
        <v>-6.4087900000000001E-3</v>
      </c>
      <c r="E1286" s="1">
        <v>6.0299899999999998E-3</v>
      </c>
      <c r="F1286" s="1">
        <v>3.1198100000000002E-4</v>
      </c>
      <c r="G1286" s="1">
        <v>3.2573000000000001E-6</v>
      </c>
      <c r="H1286" s="1">
        <v>-6.35626E-5</v>
      </c>
    </row>
    <row r="1287" spans="2:8" x14ac:dyDescent="0.25">
      <c r="B1287" s="1">
        <v>181.654</v>
      </c>
      <c r="C1287" s="1">
        <v>0</v>
      </c>
      <c r="D1287" s="1">
        <v>-6.2969699999999998E-3</v>
      </c>
      <c r="E1287" s="1">
        <v>5.9193700000000002E-3</v>
      </c>
      <c r="F1287" s="1">
        <v>3.1141300000000002E-4</v>
      </c>
      <c r="G1287" s="1">
        <v>4.04565E-6</v>
      </c>
      <c r="H1287" s="1">
        <v>-6.2133199999999997E-5</v>
      </c>
    </row>
    <row r="1288" spans="2:8" x14ac:dyDescent="0.25">
      <c r="B1288" s="1">
        <v>183.739</v>
      </c>
      <c r="C1288" s="1">
        <v>0</v>
      </c>
      <c r="D1288" s="1">
        <v>-6.1889199999999997E-3</v>
      </c>
      <c r="E1288" s="1">
        <v>5.8113399999999999E-3</v>
      </c>
      <c r="F1288" s="1">
        <v>3.0896299999999999E-4</v>
      </c>
      <c r="G1288" s="1">
        <v>8.2681999999999999E-6</v>
      </c>
      <c r="H1288" s="1">
        <v>-6.03483E-5</v>
      </c>
    </row>
    <row r="1289" spans="2:8" x14ac:dyDescent="0.25">
      <c r="B1289" s="1">
        <v>185.82499999999999</v>
      </c>
      <c r="C1289" s="1">
        <v>0</v>
      </c>
      <c r="D1289" s="1">
        <v>-6.0841599999999999E-3</v>
      </c>
      <c r="E1289" s="1">
        <v>5.7061000000000004E-3</v>
      </c>
      <c r="F1289" s="1">
        <v>3.0414599999999998E-4</v>
      </c>
      <c r="G1289" s="1">
        <v>1.57363E-5</v>
      </c>
      <c r="H1289" s="1">
        <v>-5.8177500000000003E-5</v>
      </c>
    </row>
    <row r="1290" spans="2:8" x14ac:dyDescent="0.25">
      <c r="B1290" s="1">
        <v>187.91499999999999</v>
      </c>
      <c r="C1290" s="1">
        <v>0</v>
      </c>
      <c r="D1290" s="1">
        <v>-5.9816100000000001E-3</v>
      </c>
      <c r="E1290" s="1">
        <v>5.6038800000000003E-3</v>
      </c>
      <c r="F1290" s="1">
        <v>2.9842300000000003E-4</v>
      </c>
      <c r="G1290" s="1">
        <v>2.3455399999999999E-5</v>
      </c>
      <c r="H1290" s="1">
        <v>-5.5851299999999998E-5</v>
      </c>
    </row>
    <row r="1291" spans="2:8" x14ac:dyDescent="0.25">
      <c r="B1291" s="1">
        <v>190.006</v>
      </c>
      <c r="C1291" s="1">
        <v>0</v>
      </c>
      <c r="D1291" s="1">
        <v>-5.8801699999999997E-3</v>
      </c>
      <c r="E1291" s="1">
        <v>5.5046599999999998E-3</v>
      </c>
      <c r="F1291" s="1">
        <v>2.9432500000000001E-4</v>
      </c>
      <c r="G1291" s="1">
        <v>2.74547E-5</v>
      </c>
      <c r="H1291" s="1">
        <v>-5.3735700000000001E-5</v>
      </c>
    </row>
    <row r="1292" spans="2:8" x14ac:dyDescent="0.25">
      <c r="B1292" s="1">
        <v>192.1</v>
      </c>
      <c r="C1292" s="1">
        <v>0</v>
      </c>
      <c r="D1292" s="1">
        <v>-5.7795099999999999E-3</v>
      </c>
      <c r="E1292" s="1">
        <v>5.4081499999999996E-3</v>
      </c>
      <c r="F1292" s="1">
        <v>2.9318399999999999E-4</v>
      </c>
      <c r="G1292" s="1">
        <v>2.6142000000000001E-5</v>
      </c>
      <c r="H1292" s="1">
        <v>-5.2024200000000002E-5</v>
      </c>
    </row>
    <row r="1293" spans="2:8" x14ac:dyDescent="0.25">
      <c r="B1293" s="1">
        <v>194.19499999999999</v>
      </c>
      <c r="C1293" s="1">
        <v>0</v>
      </c>
      <c r="D1293" s="1">
        <v>-5.6799399999999996E-3</v>
      </c>
      <c r="E1293" s="1">
        <v>5.3138200000000003E-3</v>
      </c>
      <c r="F1293" s="1">
        <v>2.9479199999999999E-4</v>
      </c>
      <c r="G1293" s="1">
        <v>2.0551500000000001E-5</v>
      </c>
      <c r="H1293" s="1">
        <v>-5.07778E-5</v>
      </c>
    </row>
    <row r="1294" spans="2:8" x14ac:dyDescent="0.25">
      <c r="B1294" s="1">
        <v>196.291</v>
      </c>
      <c r="C1294" s="1">
        <v>0</v>
      </c>
      <c r="D1294" s="1">
        <v>-5.5819099999999998E-3</v>
      </c>
      <c r="E1294" s="1">
        <v>5.2208899999999997E-3</v>
      </c>
      <c r="F1294" s="1">
        <v>2.9808299999999999E-4</v>
      </c>
      <c r="G1294" s="1">
        <v>1.2952099999999999E-5</v>
      </c>
      <c r="H1294" s="1">
        <v>-4.9989199999999999E-5</v>
      </c>
    </row>
    <row r="1295" spans="2:8" x14ac:dyDescent="0.25">
      <c r="B1295" s="1">
        <v>198.39</v>
      </c>
      <c r="C1295" s="1">
        <v>0</v>
      </c>
      <c r="D1295" s="1">
        <v>-5.4855399999999997E-3</v>
      </c>
      <c r="E1295" s="1">
        <v>5.1287099999999999E-3</v>
      </c>
      <c r="F1295" s="1">
        <v>3.0185999999999999E-4</v>
      </c>
      <c r="G1295" s="1">
        <v>5.3467E-6</v>
      </c>
      <c r="H1295" s="1">
        <v>-4.9614100000000003E-5</v>
      </c>
    </row>
    <row r="1296" spans="2:8" x14ac:dyDescent="0.25">
      <c r="B1296" s="1">
        <v>200.49</v>
      </c>
      <c r="C1296" s="1">
        <v>0</v>
      </c>
      <c r="D1296" s="1">
        <v>-5.3906600000000002E-3</v>
      </c>
      <c r="E1296" s="1">
        <v>5.03696E-3</v>
      </c>
      <c r="F1296" s="1">
        <v>3.0519299999999999E-4</v>
      </c>
      <c r="G1296" s="1">
        <v>-9.9570000000000006E-7</v>
      </c>
      <c r="H1296" s="1">
        <v>-4.9502600000000003E-5</v>
      </c>
    </row>
    <row r="1297" spans="2:8" x14ac:dyDescent="0.25">
      <c r="B1297" s="1">
        <v>202.59200000000001</v>
      </c>
      <c r="C1297" s="1">
        <v>0</v>
      </c>
      <c r="D1297" s="1">
        <v>-5.2972100000000001E-3</v>
      </c>
      <c r="E1297" s="1">
        <v>4.9455899999999997E-3</v>
      </c>
      <c r="F1297" s="1">
        <v>3.0746099999999998E-4</v>
      </c>
      <c r="G1297" s="1">
        <v>-5.25084E-6</v>
      </c>
      <c r="H1297" s="1">
        <v>-4.9416599999999997E-5</v>
      </c>
    </row>
    <row r="1298" spans="2:8" x14ac:dyDescent="0.25">
      <c r="B1298" s="1">
        <v>204.69499999999999</v>
      </c>
      <c r="C1298" s="1">
        <v>0</v>
      </c>
      <c r="D1298" s="1">
        <v>-5.2053400000000001E-3</v>
      </c>
      <c r="E1298" s="1">
        <v>4.8547199999999999E-3</v>
      </c>
      <c r="F1298" s="1">
        <v>3.08323E-4</v>
      </c>
      <c r="G1298" s="1">
        <v>-6.9346100000000003E-6</v>
      </c>
      <c r="H1298" s="1">
        <v>-4.9233300000000002E-5</v>
      </c>
    </row>
    <row r="1299" spans="2:8" x14ac:dyDescent="0.25">
      <c r="B1299" s="1">
        <v>206.80099999999999</v>
      </c>
      <c r="C1299" s="1">
        <v>0</v>
      </c>
      <c r="D1299" s="1">
        <v>-5.1155200000000001E-3</v>
      </c>
      <c r="E1299" s="1">
        <v>4.7645700000000001E-3</v>
      </c>
      <c r="F1299" s="1">
        <v>3.0738E-4</v>
      </c>
      <c r="G1299" s="1">
        <v>-5.4141999999999998E-6</v>
      </c>
      <c r="H1299" s="1">
        <v>-4.8980500000000003E-5</v>
      </c>
    </row>
    <row r="1300" spans="2:8" x14ac:dyDescent="0.25">
      <c r="B1300" s="1">
        <v>208.90700000000001</v>
      </c>
      <c r="C1300" s="1">
        <v>0</v>
      </c>
      <c r="D1300" s="1">
        <v>-5.0282199999999999E-3</v>
      </c>
      <c r="E1300" s="1">
        <v>4.6753300000000001E-3</v>
      </c>
      <c r="F1300" s="1">
        <v>3.04529E-4</v>
      </c>
      <c r="G1300" s="1">
        <v>-3.552E-7</v>
      </c>
      <c r="H1300" s="1">
        <v>-4.8710700000000001E-5</v>
      </c>
    </row>
    <row r="1301" spans="2:8" x14ac:dyDescent="0.25">
      <c r="B1301" s="1">
        <v>211.01400000000001</v>
      </c>
      <c r="C1301" s="1">
        <v>0</v>
      </c>
      <c r="D1301" s="1">
        <v>-4.9434099999999996E-3</v>
      </c>
      <c r="E1301" s="1">
        <v>4.5871200000000001E-3</v>
      </c>
      <c r="F1301" s="1">
        <v>3.0104099999999999E-4</v>
      </c>
      <c r="G1301" s="1">
        <v>6.7749000000000001E-6</v>
      </c>
      <c r="H1301" s="1">
        <v>-4.8465199999999998E-5</v>
      </c>
    </row>
    <row r="1302" spans="2:8" x14ac:dyDescent="0.25">
      <c r="B1302" s="1">
        <v>213.12200000000001</v>
      </c>
      <c r="C1302" s="1">
        <v>0</v>
      </c>
      <c r="D1302" s="1">
        <v>-4.8607199999999998E-3</v>
      </c>
      <c r="E1302" s="1">
        <v>4.5000300000000003E-3</v>
      </c>
      <c r="F1302" s="1">
        <v>2.98945E-4</v>
      </c>
      <c r="G1302" s="1">
        <v>1.34815E-5</v>
      </c>
      <c r="H1302" s="1">
        <v>-4.8265600000000001E-5</v>
      </c>
    </row>
    <row r="1303" spans="2:8" x14ac:dyDescent="0.25">
      <c r="B1303" s="1">
        <v>215.232</v>
      </c>
      <c r="C1303" s="1">
        <v>0</v>
      </c>
      <c r="D1303" s="1">
        <v>-4.7800999999999998E-3</v>
      </c>
      <c r="E1303" s="1">
        <v>4.4142900000000004E-3</v>
      </c>
      <c r="F1303" s="1">
        <v>2.9920000000000001E-4</v>
      </c>
      <c r="G1303" s="1">
        <v>1.8558000000000001E-5</v>
      </c>
      <c r="H1303" s="1">
        <v>-4.8055800000000002E-5</v>
      </c>
    </row>
    <row r="1304" spans="2:8" x14ac:dyDescent="0.25">
      <c r="B1304" s="1">
        <v>217.34299999999999</v>
      </c>
      <c r="C1304" s="1">
        <v>0</v>
      </c>
      <c r="D1304" s="1">
        <v>-4.7017999999999999E-3</v>
      </c>
      <c r="E1304" s="1">
        <v>4.3305000000000001E-3</v>
      </c>
      <c r="F1304" s="1">
        <v>3.0130800000000002E-4</v>
      </c>
      <c r="G1304" s="1">
        <v>2.2218600000000001E-5</v>
      </c>
      <c r="H1304" s="1">
        <v>-4.7777E-5</v>
      </c>
    </row>
    <row r="1305" spans="2:8" x14ac:dyDescent="0.25">
      <c r="B1305" s="1">
        <v>219.45599999999999</v>
      </c>
      <c r="C1305" s="1">
        <v>0</v>
      </c>
      <c r="D1305" s="1">
        <v>-4.6258699999999998E-3</v>
      </c>
      <c r="E1305" s="1">
        <v>4.2494200000000003E-3</v>
      </c>
      <c r="F1305" s="1">
        <v>3.04233E-4</v>
      </c>
      <c r="G1305" s="1">
        <v>2.4767099999999999E-5</v>
      </c>
      <c r="H1305" s="1">
        <v>-4.7448799999999999E-5</v>
      </c>
    </row>
    <row r="1306" spans="2:8" x14ac:dyDescent="0.25">
      <c r="B1306" s="1">
        <v>221.56800000000001</v>
      </c>
      <c r="C1306" s="1">
        <v>0</v>
      </c>
      <c r="D1306" s="1">
        <v>-4.5520400000000003E-3</v>
      </c>
      <c r="E1306" s="1">
        <v>4.1715700000000003E-3</v>
      </c>
      <c r="F1306" s="1">
        <v>3.0711999999999997E-4</v>
      </c>
      <c r="G1306" s="1">
        <v>2.62945E-5</v>
      </c>
      <c r="H1306" s="1">
        <v>-4.70569E-5</v>
      </c>
    </row>
    <row r="1307" spans="2:8" x14ac:dyDescent="0.25">
      <c r="B1307" s="1">
        <v>223.68199999999999</v>
      </c>
      <c r="C1307" s="1">
        <v>0</v>
      </c>
      <c r="D1307" s="1">
        <v>-4.4798800000000003E-3</v>
      </c>
      <c r="E1307" s="1">
        <v>4.0968699999999999E-3</v>
      </c>
      <c r="F1307" s="1">
        <v>3.0967499999999998E-4</v>
      </c>
      <c r="G1307" s="1">
        <v>2.68427E-5</v>
      </c>
      <c r="H1307" s="1">
        <v>-4.6496099999999997E-5</v>
      </c>
    </row>
    <row r="1308" spans="2:8" x14ac:dyDescent="0.25">
      <c r="B1308" s="1">
        <v>225.797</v>
      </c>
      <c r="C1308" s="1">
        <v>0</v>
      </c>
      <c r="D1308" s="1">
        <v>-4.40895E-3</v>
      </c>
      <c r="E1308" s="1">
        <v>4.0246400000000003E-3</v>
      </c>
      <c r="F1308" s="1">
        <v>3.1207700000000001E-4</v>
      </c>
      <c r="G1308" s="1">
        <v>2.65865E-5</v>
      </c>
      <c r="H1308" s="1">
        <v>-4.5648200000000001E-5</v>
      </c>
    </row>
    <row r="1309" spans="2:8" x14ac:dyDescent="0.25">
      <c r="B1309" s="1">
        <v>227.91300000000001</v>
      </c>
      <c r="C1309" s="1">
        <v>0</v>
      </c>
      <c r="D1309" s="1">
        <v>-4.3388999999999997E-3</v>
      </c>
      <c r="E1309" s="1">
        <v>3.9538999999999998E-3</v>
      </c>
      <c r="F1309" s="1">
        <v>3.1472899999999997E-4</v>
      </c>
      <c r="G1309" s="1">
        <v>2.5851699999999998E-5</v>
      </c>
      <c r="H1309" s="1">
        <v>-4.4412200000000001E-5</v>
      </c>
    </row>
    <row r="1310" spans="2:8" x14ac:dyDescent="0.25">
      <c r="B1310" s="1">
        <v>230.029</v>
      </c>
      <c r="C1310" s="1">
        <v>0</v>
      </c>
      <c r="D1310" s="1">
        <v>-4.2693999999999996E-3</v>
      </c>
      <c r="E1310" s="1">
        <v>3.88368E-3</v>
      </c>
      <c r="F1310" s="1">
        <v>3.18294E-4</v>
      </c>
      <c r="G1310" s="1">
        <v>2.4655699999999998E-5</v>
      </c>
      <c r="H1310" s="1">
        <v>-4.2772299999999997E-5</v>
      </c>
    </row>
    <row r="1311" spans="2:8" x14ac:dyDescent="0.25">
      <c r="B1311" s="1">
        <v>232.14599999999999</v>
      </c>
      <c r="C1311" s="1">
        <v>0</v>
      </c>
      <c r="D1311" s="1">
        <v>-4.2003800000000001E-3</v>
      </c>
      <c r="E1311" s="1">
        <v>3.8131900000000002E-3</v>
      </c>
      <c r="F1311" s="1">
        <v>3.2334300000000002E-4</v>
      </c>
      <c r="G1311" s="1">
        <v>2.3073000000000001E-5</v>
      </c>
      <c r="H1311" s="1">
        <v>-4.0769500000000003E-5</v>
      </c>
    </row>
    <row r="1312" spans="2:8" x14ac:dyDescent="0.25">
      <c r="B1312" s="1">
        <v>234.26400000000001</v>
      </c>
      <c r="C1312" s="1">
        <v>0</v>
      </c>
      <c r="D1312" s="1">
        <v>-4.1320799999999998E-3</v>
      </c>
      <c r="E1312" s="1">
        <v>3.7419599999999999E-3</v>
      </c>
      <c r="F1312" s="1">
        <v>3.2980999999999999E-4</v>
      </c>
      <c r="G1312" s="1">
        <v>2.1852400000000001E-5</v>
      </c>
      <c r="H1312" s="1">
        <v>-3.8456900000000001E-5</v>
      </c>
    </row>
    <row r="1313" spans="2:8" x14ac:dyDescent="0.25">
      <c r="B1313" s="1">
        <v>236.38200000000001</v>
      </c>
      <c r="C1313" s="1">
        <v>0</v>
      </c>
      <c r="D1313" s="1">
        <v>-4.0647799999999996E-3</v>
      </c>
      <c r="E1313" s="1">
        <v>3.66979E-3</v>
      </c>
      <c r="F1313" s="1">
        <v>3.3721800000000002E-4</v>
      </c>
      <c r="G1313" s="1">
        <v>2.1858999999999999E-5</v>
      </c>
      <c r="H1313" s="1">
        <v>-3.5914100000000002E-5</v>
      </c>
    </row>
    <row r="1314" spans="2:8" x14ac:dyDescent="0.25">
      <c r="B1314" s="1">
        <v>238.50200000000001</v>
      </c>
      <c r="C1314" s="1">
        <v>0</v>
      </c>
      <c r="D1314" s="1">
        <v>-3.9982200000000002E-3</v>
      </c>
      <c r="E1314" s="1">
        <v>3.5965699999999999E-3</v>
      </c>
      <c r="F1314" s="1">
        <v>3.4590499999999998E-4</v>
      </c>
      <c r="G1314" s="1">
        <v>2.2382999999999999E-5</v>
      </c>
      <c r="H1314" s="1">
        <v>-3.3356599999999998E-5</v>
      </c>
    </row>
    <row r="1315" spans="2:8" x14ac:dyDescent="0.25">
      <c r="B1315" s="1">
        <v>240.62100000000001</v>
      </c>
      <c r="C1315" s="1">
        <v>0</v>
      </c>
      <c r="D1315" s="1">
        <v>-3.9319200000000002E-3</v>
      </c>
      <c r="E1315" s="1">
        <v>3.5223099999999999E-3</v>
      </c>
      <c r="F1315" s="1">
        <v>3.5719300000000001E-4</v>
      </c>
      <c r="G1315" s="1">
        <v>2.1302500000000001E-5</v>
      </c>
      <c r="H1315" s="1">
        <v>-3.11135E-5</v>
      </c>
    </row>
    <row r="1316" spans="2:8" x14ac:dyDescent="0.25">
      <c r="B1316" s="1">
        <v>242.74199999999999</v>
      </c>
      <c r="C1316" s="1">
        <v>0</v>
      </c>
      <c r="D1316" s="1">
        <v>-3.8657800000000001E-3</v>
      </c>
      <c r="E1316" s="1">
        <v>3.4469700000000002E-3</v>
      </c>
      <c r="F1316" s="1">
        <v>3.7179299999999998E-4</v>
      </c>
      <c r="G1316" s="1">
        <v>1.75611E-5</v>
      </c>
      <c r="H1316" s="1">
        <v>-2.9456400000000001E-5</v>
      </c>
    </row>
    <row r="1317" spans="2:8" x14ac:dyDescent="0.25">
      <c r="B1317" s="1">
        <v>244.863</v>
      </c>
      <c r="C1317" s="1">
        <v>0</v>
      </c>
      <c r="D1317" s="1">
        <v>-3.8002499999999998E-3</v>
      </c>
      <c r="E1317" s="1">
        <v>3.3705599999999999E-3</v>
      </c>
      <c r="F1317" s="1">
        <v>3.8894999999999999E-4</v>
      </c>
      <c r="G1317" s="1">
        <v>1.22054E-5</v>
      </c>
      <c r="H1317" s="1">
        <v>-2.8535599999999998E-5</v>
      </c>
    </row>
    <row r="1318" spans="2:8" x14ac:dyDescent="0.25">
      <c r="B1318" s="1">
        <v>246.98400000000001</v>
      </c>
      <c r="C1318" s="1">
        <v>0</v>
      </c>
      <c r="D1318" s="1">
        <v>-3.7360200000000001E-3</v>
      </c>
      <c r="E1318" s="1">
        <v>3.2931800000000002E-3</v>
      </c>
      <c r="F1318" s="1">
        <v>4.0712799999999998E-4</v>
      </c>
      <c r="G1318" s="1">
        <v>7.4003000000000001E-6</v>
      </c>
      <c r="H1318" s="1">
        <v>-2.8306800000000001E-5</v>
      </c>
    </row>
    <row r="1319" spans="2:8" x14ac:dyDescent="0.25">
      <c r="B1319" s="1">
        <v>249.10599999999999</v>
      </c>
      <c r="C1319" s="1">
        <v>0</v>
      </c>
      <c r="D1319" s="1">
        <v>-3.6736300000000002E-3</v>
      </c>
      <c r="E1319" s="1">
        <v>3.2150500000000001E-3</v>
      </c>
      <c r="F1319" s="1">
        <v>4.2503899999999999E-4</v>
      </c>
      <c r="G1319" s="1">
        <v>4.9784999999999999E-6</v>
      </c>
      <c r="H1319" s="1">
        <v>-2.8566400000000001E-5</v>
      </c>
    </row>
    <row r="1320" spans="2:8" x14ac:dyDescent="0.25">
      <c r="B1320" s="1">
        <v>251.22900000000001</v>
      </c>
      <c r="C1320" s="1">
        <v>0</v>
      </c>
      <c r="D1320" s="1">
        <v>-3.61327E-3</v>
      </c>
      <c r="E1320" s="1">
        <v>3.1364299999999999E-3</v>
      </c>
      <c r="F1320" s="1">
        <v>4.4207900000000001E-4</v>
      </c>
      <c r="G1320" s="1">
        <v>5.6489000000000002E-6</v>
      </c>
      <c r="H1320" s="1">
        <v>-2.91157E-5</v>
      </c>
    </row>
    <row r="1321" spans="2:8" x14ac:dyDescent="0.25">
      <c r="B1321" s="1">
        <v>253.351</v>
      </c>
      <c r="C1321" s="1">
        <v>0</v>
      </c>
      <c r="D1321" s="1">
        <v>-3.5547500000000002E-3</v>
      </c>
      <c r="E1321" s="1">
        <v>3.0576700000000002E-3</v>
      </c>
      <c r="F1321" s="1">
        <v>4.58219E-4</v>
      </c>
      <c r="G1321" s="1">
        <v>9.0442000000000006E-6</v>
      </c>
      <c r="H1321" s="1">
        <v>-2.9818000000000001E-5</v>
      </c>
    </row>
    <row r="1322" spans="2:8" x14ac:dyDescent="0.25">
      <c r="B1322" s="1">
        <v>255.47499999999999</v>
      </c>
      <c r="C1322" s="1">
        <v>0</v>
      </c>
      <c r="D1322" s="1">
        <v>-3.49761E-3</v>
      </c>
      <c r="E1322" s="1">
        <v>2.9792999999999998E-3</v>
      </c>
      <c r="F1322" s="1">
        <v>4.7413899999999999E-4</v>
      </c>
      <c r="G1322" s="1">
        <v>1.35589E-5</v>
      </c>
      <c r="H1322" s="1">
        <v>-3.0610600000000001E-5</v>
      </c>
    </row>
    <row r="1323" spans="2:8" x14ac:dyDescent="0.25">
      <c r="B1323" s="1">
        <v>257.59800000000001</v>
      </c>
      <c r="C1323" s="1">
        <v>0</v>
      </c>
      <c r="D1323" s="1">
        <v>-3.4413099999999999E-3</v>
      </c>
      <c r="E1323" s="1">
        <v>2.9019499999999999E-3</v>
      </c>
      <c r="F1323" s="1">
        <v>4.9097400000000003E-4</v>
      </c>
      <c r="G1323" s="1">
        <v>1.6895899999999999E-5</v>
      </c>
      <c r="H1323" s="1">
        <v>-3.1486999999999999E-5</v>
      </c>
    </row>
    <row r="1324" spans="2:8" x14ac:dyDescent="0.25">
      <c r="B1324" s="1">
        <v>259.72300000000001</v>
      </c>
      <c r="C1324" s="1">
        <v>0</v>
      </c>
      <c r="D1324" s="1">
        <v>-3.3856899999999998E-3</v>
      </c>
      <c r="E1324" s="1">
        <v>2.82613E-3</v>
      </c>
      <c r="F1324" s="1">
        <v>5.09247E-4</v>
      </c>
      <c r="G1324" s="1">
        <v>1.78561E-5</v>
      </c>
      <c r="H1324" s="1">
        <v>-3.2455200000000001E-5</v>
      </c>
    </row>
    <row r="1325" spans="2:8" x14ac:dyDescent="0.25">
      <c r="B1325" s="1">
        <v>261.84699999999998</v>
      </c>
      <c r="C1325" s="1">
        <v>0</v>
      </c>
      <c r="D1325" s="1">
        <v>-3.3310900000000001E-3</v>
      </c>
      <c r="E1325" s="1">
        <v>2.75202E-3</v>
      </c>
      <c r="F1325" s="1">
        <v>5.2820700000000005E-4</v>
      </c>
      <c r="G1325" s="1">
        <v>1.73416E-5</v>
      </c>
      <c r="H1325" s="1">
        <v>-3.3522799999999997E-5</v>
      </c>
    </row>
    <row r="1326" spans="2:8" x14ac:dyDescent="0.25">
      <c r="B1326" s="1">
        <v>263.971</v>
      </c>
      <c r="C1326" s="1">
        <v>0</v>
      </c>
      <c r="D1326" s="1">
        <v>-3.2778899999999999E-3</v>
      </c>
      <c r="E1326" s="1">
        <v>2.6794499999999999E-3</v>
      </c>
      <c r="F1326" s="1">
        <v>5.4666299999999997E-4</v>
      </c>
      <c r="G1326" s="1">
        <v>1.7056799999999999E-5</v>
      </c>
      <c r="H1326" s="1">
        <v>-3.4717800000000002E-5</v>
      </c>
    </row>
    <row r="1327" spans="2:8" x14ac:dyDescent="0.25">
      <c r="B1327" s="1">
        <v>266.096</v>
      </c>
      <c r="C1327" s="1">
        <v>0</v>
      </c>
      <c r="D1327" s="1">
        <v>-3.2260499999999998E-3</v>
      </c>
      <c r="E1327" s="1">
        <v>2.6080700000000001E-3</v>
      </c>
      <c r="F1327" s="1">
        <v>5.6409699999999995E-4</v>
      </c>
      <c r="G1327" s="1">
        <v>1.78346E-5</v>
      </c>
      <c r="H1327" s="1">
        <v>-3.6047000000000002E-5</v>
      </c>
    </row>
    <row r="1328" spans="2:8" x14ac:dyDescent="0.25">
      <c r="B1328" s="1">
        <v>268.22199999999998</v>
      </c>
      <c r="C1328" s="1">
        <v>0</v>
      </c>
      <c r="D1328" s="1">
        <v>-3.1752400000000002E-3</v>
      </c>
      <c r="E1328" s="1">
        <v>2.5375200000000001E-3</v>
      </c>
      <c r="F1328" s="1">
        <v>5.8075200000000003E-4</v>
      </c>
      <c r="G1328" s="1">
        <v>1.9486900000000001E-5</v>
      </c>
      <c r="H1328" s="1">
        <v>-3.7471500000000002E-5</v>
      </c>
    </row>
    <row r="1329" spans="2:8" x14ac:dyDescent="0.25">
      <c r="B1329" s="1">
        <v>270.34800000000001</v>
      </c>
      <c r="C1329" s="1">
        <v>0</v>
      </c>
      <c r="D1329" s="1">
        <v>-3.1251500000000002E-3</v>
      </c>
      <c r="E1329" s="1">
        <v>2.4675999999999999E-3</v>
      </c>
      <c r="F1329" s="1">
        <v>5.9702900000000001E-4</v>
      </c>
      <c r="G1329" s="1">
        <v>2.1569500000000001E-5</v>
      </c>
      <c r="H1329" s="1">
        <v>-3.8948600000000002E-5</v>
      </c>
    </row>
    <row r="1330" spans="2:8" x14ac:dyDescent="0.25">
      <c r="B1330" s="1">
        <v>272.47399999999999</v>
      </c>
      <c r="C1330" s="1">
        <v>0</v>
      </c>
      <c r="D1330" s="1">
        <v>-3.0757100000000002E-3</v>
      </c>
      <c r="E1330" s="1">
        <v>2.3983099999999999E-3</v>
      </c>
      <c r="F1330" s="1">
        <v>6.1317900000000005E-4</v>
      </c>
      <c r="G1330" s="1">
        <v>2.37477E-5</v>
      </c>
      <c r="H1330" s="1">
        <v>-4.0471700000000001E-5</v>
      </c>
    </row>
    <row r="1331" spans="2:8" x14ac:dyDescent="0.25">
      <c r="B1331" s="1">
        <v>274.60000000000002</v>
      </c>
      <c r="C1331" s="1">
        <v>0</v>
      </c>
      <c r="D1331" s="1">
        <v>-3.0269799999999999E-3</v>
      </c>
      <c r="E1331" s="1">
        <v>2.3298799999999999E-3</v>
      </c>
      <c r="F1331" s="1">
        <v>6.2938399999999998E-4</v>
      </c>
      <c r="G1331" s="1">
        <v>2.5653400000000001E-5</v>
      </c>
      <c r="H1331" s="1">
        <v>-4.2058399999999997E-5</v>
      </c>
    </row>
    <row r="1332" spans="2:8" x14ac:dyDescent="0.25">
      <c r="B1332" s="1">
        <v>276.72699999999998</v>
      </c>
      <c r="C1332" s="1">
        <v>0</v>
      </c>
      <c r="D1332" s="1">
        <v>-2.9791000000000002E-3</v>
      </c>
      <c r="E1332" s="1">
        <v>2.2627300000000001E-3</v>
      </c>
      <c r="F1332" s="1">
        <v>6.4568399999999999E-4</v>
      </c>
      <c r="G1332" s="1">
        <v>2.69895E-5</v>
      </c>
      <c r="H1332" s="1">
        <v>-4.3693299999999997E-5</v>
      </c>
    </row>
    <row r="1333" spans="2:8" x14ac:dyDescent="0.25">
      <c r="B1333" s="1">
        <v>278.85300000000001</v>
      </c>
      <c r="C1333" s="1">
        <v>0</v>
      </c>
      <c r="D1333" s="1">
        <v>-2.9322300000000001E-3</v>
      </c>
      <c r="E1333" s="1">
        <v>2.1973499999999998E-3</v>
      </c>
      <c r="F1333" s="1">
        <v>6.6190599999999997E-4</v>
      </c>
      <c r="G1333" s="1">
        <v>2.76261E-5</v>
      </c>
      <c r="H1333" s="1">
        <v>-4.5350299999999998E-5</v>
      </c>
    </row>
    <row r="1334" spans="2:8" x14ac:dyDescent="0.25">
      <c r="B1334" s="1">
        <v>280.98099999999999</v>
      </c>
      <c r="C1334" s="1">
        <v>0</v>
      </c>
      <c r="D1334" s="1">
        <v>-2.8865000000000002E-3</v>
      </c>
      <c r="E1334" s="1">
        <v>2.1341899999999998E-3</v>
      </c>
      <c r="F1334" s="1">
        <v>6.7761700000000004E-4</v>
      </c>
      <c r="G1334" s="1">
        <v>2.7651E-5</v>
      </c>
      <c r="H1334" s="1">
        <v>-4.7037599999999998E-5</v>
      </c>
    </row>
    <row r="1335" spans="2:8" x14ac:dyDescent="0.25">
      <c r="B1335" s="1">
        <v>283.108</v>
      </c>
      <c r="C1335" s="1">
        <v>0</v>
      </c>
      <c r="D1335" s="1">
        <v>-2.8419999999999999E-3</v>
      </c>
      <c r="E1335" s="1">
        <v>2.07361E-3</v>
      </c>
      <c r="F1335" s="1">
        <v>6.9214600000000004E-4</v>
      </c>
      <c r="G1335" s="1">
        <v>2.7467800000000002E-5</v>
      </c>
      <c r="H1335" s="1">
        <v>-4.8778E-5</v>
      </c>
    </row>
    <row r="1336" spans="2:8" x14ac:dyDescent="0.25">
      <c r="B1336" s="1">
        <v>285.23599999999999</v>
      </c>
      <c r="C1336" s="1">
        <v>0</v>
      </c>
      <c r="D1336" s="1">
        <v>-2.79883E-3</v>
      </c>
      <c r="E1336" s="1">
        <v>2.0157999999999999E-3</v>
      </c>
      <c r="F1336" s="1">
        <v>7.04924E-4</v>
      </c>
      <c r="G1336" s="1">
        <v>2.7515400000000001E-5</v>
      </c>
      <c r="H1336" s="1">
        <v>-5.0588099999999998E-5</v>
      </c>
    </row>
    <row r="1337" spans="2:8" x14ac:dyDescent="0.25">
      <c r="B1337" s="1">
        <v>287.363</v>
      </c>
      <c r="C1337" s="1">
        <v>0</v>
      </c>
      <c r="D1337" s="1">
        <v>-2.7569299999999999E-3</v>
      </c>
      <c r="E1337" s="1">
        <v>1.9607600000000002E-3</v>
      </c>
      <c r="F1337" s="1">
        <v>7.1584299999999997E-4</v>
      </c>
      <c r="G1337" s="1">
        <v>2.7858E-5</v>
      </c>
      <c r="H1337" s="1">
        <v>-5.2474800000000001E-5</v>
      </c>
    </row>
    <row r="1338" spans="2:8" x14ac:dyDescent="0.25">
      <c r="B1338" s="1">
        <v>289.49200000000002</v>
      </c>
      <c r="C1338" s="1">
        <v>0</v>
      </c>
      <c r="D1338" s="1">
        <v>-2.7162000000000002E-3</v>
      </c>
      <c r="E1338" s="1">
        <v>1.9083399999999999E-3</v>
      </c>
      <c r="F1338" s="1">
        <v>7.2517299999999996E-4</v>
      </c>
      <c r="G1338" s="1">
        <v>2.8276199999999999E-5</v>
      </c>
      <c r="H1338" s="1">
        <v>-5.4406800000000002E-5</v>
      </c>
    </row>
    <row r="1339" spans="2:8" x14ac:dyDescent="0.25">
      <c r="B1339" s="1">
        <v>291.62</v>
      </c>
      <c r="C1339" s="1">
        <v>0</v>
      </c>
      <c r="D1339" s="1">
        <v>-2.6763899999999998E-3</v>
      </c>
      <c r="E1339" s="1">
        <v>1.8582799999999999E-3</v>
      </c>
      <c r="F1339" s="1">
        <v>7.3333600000000001E-4</v>
      </c>
      <c r="G1339" s="1">
        <v>2.8468800000000001E-5</v>
      </c>
      <c r="H1339" s="1">
        <v>-5.6304799999999997E-5</v>
      </c>
    </row>
    <row r="1340" spans="2:8" x14ac:dyDescent="0.25">
      <c r="B1340" s="1">
        <v>293.74799999999999</v>
      </c>
      <c r="C1340" s="1">
        <v>0</v>
      </c>
      <c r="D1340" s="1">
        <v>-2.6372000000000001E-3</v>
      </c>
      <c r="E1340" s="1">
        <v>1.8102400000000001E-3</v>
      </c>
      <c r="F1340" s="1">
        <v>7.4078000000000002E-4</v>
      </c>
      <c r="G1340" s="1">
        <v>2.8102700000000001E-5</v>
      </c>
      <c r="H1340" s="1">
        <v>-5.8078100000000002E-5</v>
      </c>
    </row>
    <row r="1341" spans="2:8" x14ac:dyDescent="0.25">
      <c r="B1341" s="1">
        <v>295.87599999999998</v>
      </c>
      <c r="C1341" s="1">
        <v>0</v>
      </c>
      <c r="D1341" s="1">
        <v>-2.5983299999999998E-3</v>
      </c>
      <c r="E1341" s="1">
        <v>1.7638199999999999E-3</v>
      </c>
      <c r="F1341" s="1">
        <v>7.4774599999999998E-4</v>
      </c>
      <c r="G1341" s="1">
        <v>2.7132300000000001E-5</v>
      </c>
      <c r="H1341" s="1">
        <v>-5.9624099999999997E-5</v>
      </c>
    </row>
    <row r="1342" spans="2:8" x14ac:dyDescent="0.25">
      <c r="B1342" s="1">
        <v>298.005</v>
      </c>
      <c r="C1342" s="1">
        <v>0</v>
      </c>
      <c r="D1342" s="1">
        <v>-2.5596199999999999E-3</v>
      </c>
      <c r="E1342" s="1">
        <v>1.7186899999999999E-3</v>
      </c>
      <c r="F1342" s="1">
        <v>7.5423799999999996E-4</v>
      </c>
      <c r="G1342" s="1">
        <v>2.5887599999999999E-5</v>
      </c>
      <c r="H1342" s="1">
        <v>-6.0801899999999998E-5</v>
      </c>
    </row>
    <row r="1343" spans="2:8" x14ac:dyDescent="0.25">
      <c r="B1343" s="1">
        <v>300.13400000000001</v>
      </c>
      <c r="C1343" s="1">
        <v>0</v>
      </c>
      <c r="D1343" s="1">
        <v>-2.5210200000000001E-3</v>
      </c>
      <c r="E1343" s="1">
        <v>1.6746899999999999E-3</v>
      </c>
      <c r="F1343" s="1">
        <v>7.6051000000000005E-4</v>
      </c>
      <c r="G1343" s="1">
        <v>2.4379199999999999E-5</v>
      </c>
      <c r="H1343" s="1">
        <v>-6.1440399999999995E-5</v>
      </c>
    </row>
    <row r="1344" spans="2:8" x14ac:dyDescent="0.25">
      <c r="B1344" s="1">
        <v>302.26299999999998</v>
      </c>
      <c r="C1344" s="1">
        <v>0</v>
      </c>
      <c r="D1344" s="1">
        <v>-2.4824500000000002E-3</v>
      </c>
      <c r="E1344" s="1">
        <v>1.6318699999999999E-3</v>
      </c>
      <c r="F1344" s="1">
        <v>7.6711499999999996E-4</v>
      </c>
      <c r="G1344" s="1">
        <v>2.2103099999999998E-5</v>
      </c>
      <c r="H1344" s="1">
        <v>-6.1367199999999998E-5</v>
      </c>
    </row>
    <row r="1345" spans="2:8" x14ac:dyDescent="0.25">
      <c r="B1345" s="1">
        <v>304.39299999999997</v>
      </c>
      <c r="C1345" s="1">
        <v>0</v>
      </c>
      <c r="D1345" s="1">
        <v>-2.4440299999999998E-3</v>
      </c>
      <c r="E1345" s="1">
        <v>1.5904599999999999E-3</v>
      </c>
      <c r="F1345" s="1">
        <v>7.7405200000000001E-4</v>
      </c>
      <c r="G1345" s="1">
        <v>1.9089600000000001E-5</v>
      </c>
      <c r="H1345" s="1">
        <v>-6.0426300000000001E-5</v>
      </c>
    </row>
    <row r="1346" spans="2:8" x14ac:dyDescent="0.25">
      <c r="B1346" s="1">
        <v>306.52199999999999</v>
      </c>
      <c r="C1346" s="1">
        <v>0</v>
      </c>
      <c r="D1346" s="1">
        <v>-2.40603E-3</v>
      </c>
      <c r="E1346" s="1">
        <v>1.55072E-3</v>
      </c>
      <c r="F1346" s="1">
        <v>7.8052099999999995E-4</v>
      </c>
      <c r="G1346" s="1">
        <v>1.62243E-5</v>
      </c>
      <c r="H1346" s="1">
        <v>-5.8561899999999999E-5</v>
      </c>
    </row>
    <row r="1347" spans="2:8" x14ac:dyDescent="0.25">
      <c r="B1347" s="1">
        <v>308.65100000000001</v>
      </c>
      <c r="C1347" s="1">
        <v>0</v>
      </c>
      <c r="D1347" s="1">
        <v>-2.3687600000000001E-3</v>
      </c>
      <c r="E1347" s="1">
        <v>1.5128299999999999E-3</v>
      </c>
      <c r="F1347" s="1">
        <v>7.8580399999999997E-4</v>
      </c>
      <c r="G1347" s="1">
        <v>1.42017E-5</v>
      </c>
      <c r="H1347" s="1">
        <v>-5.59231E-5</v>
      </c>
    </row>
    <row r="1348" spans="2:8" x14ac:dyDescent="0.25">
      <c r="B1348" s="1">
        <v>310.78100000000001</v>
      </c>
      <c r="C1348" s="1">
        <v>0</v>
      </c>
      <c r="D1348" s="1">
        <v>-2.33241E-3</v>
      </c>
      <c r="E1348" s="1">
        <v>1.4767599999999999E-3</v>
      </c>
      <c r="F1348" s="1">
        <v>7.8993399999999995E-4</v>
      </c>
      <c r="G1348" s="1">
        <v>1.28644E-5</v>
      </c>
      <c r="H1348" s="1">
        <v>-5.2852899999999997E-5</v>
      </c>
    </row>
    <row r="1349" spans="2:8" x14ac:dyDescent="0.25">
      <c r="B1349" s="1">
        <v>312.911</v>
      </c>
      <c r="C1349" s="1">
        <v>0</v>
      </c>
      <c r="D1349" s="1">
        <v>-2.2970400000000002E-3</v>
      </c>
      <c r="E1349" s="1">
        <v>1.4422E-3</v>
      </c>
      <c r="F1349" s="1">
        <v>7.9348099999999996E-4</v>
      </c>
      <c r="G1349" s="1">
        <v>1.15635E-5</v>
      </c>
      <c r="H1349" s="1">
        <v>-4.9788299999999999E-5</v>
      </c>
    </row>
    <row r="1350" spans="2:8" x14ac:dyDescent="0.25">
      <c r="B1350" s="1">
        <v>315.04199999999997</v>
      </c>
      <c r="C1350" s="1">
        <v>0</v>
      </c>
      <c r="D1350" s="1">
        <v>-2.2626E-3</v>
      </c>
      <c r="E1350" s="1">
        <v>1.4085899999999999E-3</v>
      </c>
      <c r="F1350" s="1">
        <v>7.9704199999999998E-4</v>
      </c>
      <c r="G1350" s="1">
        <v>9.8383000000000003E-6</v>
      </c>
      <c r="H1350" s="1">
        <v>-4.7121499999999999E-5</v>
      </c>
    </row>
    <row r="1351" spans="2:8" x14ac:dyDescent="0.25">
      <c r="B1351" s="1">
        <v>317.17200000000003</v>
      </c>
      <c r="C1351" s="1">
        <v>0</v>
      </c>
      <c r="D1351" s="1">
        <v>-2.22909E-3</v>
      </c>
      <c r="E1351" s="1">
        <v>1.37528E-3</v>
      </c>
      <c r="F1351" s="1">
        <v>8.0100099999999997E-4</v>
      </c>
      <c r="G1351" s="1">
        <v>7.7088499999999999E-6</v>
      </c>
      <c r="H1351" s="1">
        <v>-4.5109399999999999E-5</v>
      </c>
    </row>
    <row r="1352" spans="2:8" x14ac:dyDescent="0.25">
      <c r="B1352" s="1">
        <v>319.30200000000002</v>
      </c>
      <c r="C1352" s="1">
        <v>0</v>
      </c>
      <c r="D1352" s="1">
        <v>-2.1966400000000001E-3</v>
      </c>
      <c r="E1352" s="1">
        <v>1.34169E-3</v>
      </c>
      <c r="F1352" s="1">
        <v>8.0551899999999998E-4</v>
      </c>
      <c r="G1352" s="1">
        <v>5.5768700000000004E-6</v>
      </c>
      <c r="H1352" s="1">
        <v>-4.3854599999999999E-5</v>
      </c>
    </row>
    <row r="1353" spans="2:8" x14ac:dyDescent="0.25">
      <c r="B1353" s="1">
        <v>321.43299999999999</v>
      </c>
      <c r="C1353" s="1">
        <v>0</v>
      </c>
      <c r="D1353" s="1">
        <v>-2.1654999999999999E-3</v>
      </c>
      <c r="E1353" s="1">
        <v>1.30759E-3</v>
      </c>
      <c r="F1353" s="1">
        <v>8.1055500000000002E-4</v>
      </c>
      <c r="G1353" s="1">
        <v>3.9964899999999999E-6</v>
      </c>
      <c r="H1353" s="1">
        <v>-4.33548E-5</v>
      </c>
    </row>
    <row r="1354" spans="2:8" x14ac:dyDescent="0.25">
      <c r="B1354" s="1">
        <v>323.56299999999999</v>
      </c>
      <c r="C1354" s="1">
        <v>0</v>
      </c>
      <c r="D1354" s="1">
        <v>-2.1359500000000002E-3</v>
      </c>
      <c r="E1354" s="1">
        <v>1.2730199999999999E-3</v>
      </c>
      <c r="F1354" s="1">
        <v>8.1589800000000001E-4</v>
      </c>
      <c r="G1354" s="1">
        <v>3.4894500000000001E-6</v>
      </c>
      <c r="H1354" s="1">
        <v>-4.3538500000000003E-5</v>
      </c>
    </row>
    <row r="1355" spans="2:8" x14ac:dyDescent="0.25">
      <c r="B1355" s="1">
        <v>325.69400000000002</v>
      </c>
      <c r="C1355" s="1">
        <v>0</v>
      </c>
      <c r="D1355" s="1">
        <v>-2.1081300000000002E-3</v>
      </c>
      <c r="E1355" s="1">
        <v>1.23825E-3</v>
      </c>
      <c r="F1355" s="1">
        <v>8.2131399999999996E-4</v>
      </c>
      <c r="G1355" s="1">
        <v>4.28825E-6</v>
      </c>
      <c r="H1355" s="1">
        <v>-4.42819E-5</v>
      </c>
    </row>
    <row r="1356" spans="2:8" x14ac:dyDescent="0.25">
      <c r="B1356" s="1">
        <v>327.82600000000002</v>
      </c>
      <c r="C1356" s="1">
        <v>0</v>
      </c>
      <c r="D1356" s="1">
        <v>-2.0819300000000001E-3</v>
      </c>
      <c r="E1356" s="1">
        <v>1.2036E-3</v>
      </c>
      <c r="F1356" s="1">
        <v>8.2659599999999997E-4</v>
      </c>
      <c r="G1356" s="1">
        <v>6.3230000000000003E-6</v>
      </c>
      <c r="H1356" s="1">
        <v>-4.5412299999999999E-5</v>
      </c>
    </row>
    <row r="1357" spans="2:8" x14ac:dyDescent="0.25">
      <c r="B1357" s="1">
        <v>329.95600000000002</v>
      </c>
      <c r="C1357" s="1">
        <v>0</v>
      </c>
      <c r="D1357" s="1">
        <v>-2.0569999999999998E-3</v>
      </c>
      <c r="E1357" s="1">
        <v>1.1693599999999999E-3</v>
      </c>
      <c r="F1357" s="1">
        <v>8.3151899999999996E-4</v>
      </c>
      <c r="G1357" s="1">
        <v>9.4122499999999995E-6</v>
      </c>
      <c r="H1357" s="1">
        <v>-4.6702800000000003E-5</v>
      </c>
    </row>
    <row r="1358" spans="2:8" x14ac:dyDescent="0.25">
      <c r="B1358" s="1">
        <v>332.08800000000002</v>
      </c>
      <c r="C1358" s="1">
        <v>0</v>
      </c>
      <c r="D1358" s="1">
        <v>-2.0329100000000002E-3</v>
      </c>
      <c r="E1358" s="1">
        <v>1.1358099999999999E-3</v>
      </c>
      <c r="F1358" s="1">
        <v>8.36183E-4</v>
      </c>
      <c r="G1358" s="1">
        <v>1.30088E-5</v>
      </c>
      <c r="H1358" s="1">
        <v>-4.79066E-5</v>
      </c>
    </row>
    <row r="1359" spans="2:8" x14ac:dyDescent="0.25">
      <c r="B1359" s="1">
        <v>334.21899999999999</v>
      </c>
      <c r="C1359" s="1">
        <v>0</v>
      </c>
      <c r="D1359" s="1">
        <v>-2.0092700000000001E-3</v>
      </c>
      <c r="E1359" s="1">
        <v>1.1032100000000001E-3</v>
      </c>
      <c r="F1359" s="1">
        <v>8.4111899999999998E-4</v>
      </c>
      <c r="G1359" s="1">
        <v>1.61394E-5</v>
      </c>
      <c r="H1359" s="1">
        <v>-4.8808599999999999E-5</v>
      </c>
    </row>
    <row r="1360" spans="2:8" x14ac:dyDescent="0.25">
      <c r="B1360" s="1">
        <v>336.35</v>
      </c>
      <c r="C1360" s="1">
        <v>0</v>
      </c>
      <c r="D1360" s="1">
        <v>-1.9859700000000001E-3</v>
      </c>
      <c r="E1360" s="1">
        <v>1.0718699999999999E-3</v>
      </c>
      <c r="F1360" s="1">
        <v>8.4671200000000001E-4</v>
      </c>
      <c r="G1360" s="1">
        <v>1.8113200000000001E-5</v>
      </c>
      <c r="H1360" s="1">
        <v>-4.9267400000000002E-5</v>
      </c>
    </row>
    <row r="1361" spans="2:8" x14ac:dyDescent="0.25">
      <c r="B1361" s="1">
        <v>338.48200000000003</v>
      </c>
      <c r="C1361" s="1">
        <v>0</v>
      </c>
      <c r="D1361" s="1">
        <v>-1.96313E-3</v>
      </c>
      <c r="E1361" s="1">
        <v>1.04211E-3</v>
      </c>
      <c r="F1361" s="1">
        <v>8.5267899999999996E-4</v>
      </c>
      <c r="G1361" s="1">
        <v>1.91061E-5</v>
      </c>
      <c r="H1361" s="1">
        <v>-4.9229900000000001E-5</v>
      </c>
    </row>
    <row r="1362" spans="2:8" x14ac:dyDescent="0.25">
      <c r="B1362" s="1">
        <v>340.61399999999998</v>
      </c>
      <c r="C1362" s="1">
        <v>0</v>
      </c>
      <c r="D1362" s="1">
        <v>-1.94104E-3</v>
      </c>
      <c r="E1362" s="1">
        <v>1.01417E-3</v>
      </c>
      <c r="F1362" s="1">
        <v>8.5833299999999997E-4</v>
      </c>
      <c r="G1362" s="1">
        <v>1.9803E-5</v>
      </c>
      <c r="H1362" s="1">
        <v>-4.87256E-5</v>
      </c>
    </row>
    <row r="1363" spans="2:8" x14ac:dyDescent="0.25">
      <c r="B1363" s="1">
        <v>342.745</v>
      </c>
      <c r="C1363" s="1">
        <v>0</v>
      </c>
      <c r="D1363" s="1">
        <v>-1.91993E-3</v>
      </c>
      <c r="E1363" s="1">
        <v>9.8826100000000004E-4</v>
      </c>
      <c r="F1363" s="1">
        <v>8.6326700000000003E-4</v>
      </c>
      <c r="G1363" s="1">
        <v>2.0564299999999999E-5</v>
      </c>
      <c r="H1363" s="1">
        <v>-4.78358E-5</v>
      </c>
    </row>
    <row r="1364" spans="2:8" x14ac:dyDescent="0.25">
      <c r="B1364" s="1">
        <v>344.87799999999999</v>
      </c>
      <c r="C1364" s="1">
        <v>0</v>
      </c>
      <c r="D1364" s="1">
        <v>-1.89992E-3</v>
      </c>
      <c r="E1364" s="1">
        <v>9.6449600000000002E-4</v>
      </c>
      <c r="F1364" s="1">
        <v>8.6749799999999997E-4</v>
      </c>
      <c r="G1364" s="1">
        <v>2.12942E-5</v>
      </c>
      <c r="H1364" s="1">
        <v>-4.6627900000000001E-5</v>
      </c>
    </row>
    <row r="1365" spans="2:8" x14ac:dyDescent="0.25">
      <c r="B1365" s="1">
        <v>347.01</v>
      </c>
      <c r="C1365" s="1">
        <v>0</v>
      </c>
      <c r="D1365" s="1">
        <v>-1.8810599999999999E-3</v>
      </c>
      <c r="E1365" s="1">
        <v>9.4289199999999997E-4</v>
      </c>
      <c r="F1365" s="1">
        <v>8.7105099999999997E-4</v>
      </c>
      <c r="G1365" s="1">
        <v>2.1979400000000002E-5</v>
      </c>
      <c r="H1365" s="1">
        <v>-4.5135300000000001E-5</v>
      </c>
    </row>
    <row r="1366" spans="2:8" x14ac:dyDescent="0.25">
      <c r="B1366" s="1">
        <v>349.142</v>
      </c>
      <c r="C1366" s="1">
        <v>0</v>
      </c>
      <c r="D1366" s="1">
        <v>-1.8633600000000001E-3</v>
      </c>
      <c r="E1366" s="1">
        <v>9.2326400000000003E-4</v>
      </c>
      <c r="F1366" s="1">
        <v>8.7375300000000001E-4</v>
      </c>
      <c r="G1366" s="1">
        <v>2.29458E-5</v>
      </c>
      <c r="H1366" s="1">
        <v>-4.3393000000000003E-5</v>
      </c>
    </row>
    <row r="1367" spans="2:8" x14ac:dyDescent="0.25">
      <c r="B1367" s="1">
        <v>351.274</v>
      </c>
      <c r="C1367" s="1">
        <v>0</v>
      </c>
      <c r="D1367" s="1">
        <v>-1.8468E-3</v>
      </c>
      <c r="E1367" s="1">
        <v>9.0531499999999996E-4</v>
      </c>
      <c r="F1367" s="1">
        <v>8.7538199999999996E-4</v>
      </c>
      <c r="G1367" s="1">
        <v>2.4658500000000001E-5</v>
      </c>
      <c r="H1367" s="1">
        <v>-4.1438900000000001E-5</v>
      </c>
    </row>
    <row r="1368" spans="2:8" x14ac:dyDescent="0.25">
      <c r="B1368" s="1">
        <v>353.40600000000001</v>
      </c>
      <c r="C1368" s="1">
        <v>0</v>
      </c>
      <c r="D1368" s="1">
        <v>-1.8313100000000001E-3</v>
      </c>
      <c r="E1368" s="1">
        <v>8.8871800000000004E-4</v>
      </c>
      <c r="F1368" s="1">
        <v>8.7605199999999999E-4</v>
      </c>
      <c r="G1368" s="1">
        <v>2.7232900000000001E-5</v>
      </c>
      <c r="H1368" s="1">
        <v>-3.93061E-5</v>
      </c>
    </row>
    <row r="1369" spans="2:8" x14ac:dyDescent="0.25">
      <c r="B1369" s="1">
        <v>355.53899999999999</v>
      </c>
      <c r="C1369" s="1">
        <v>0</v>
      </c>
      <c r="D1369" s="1">
        <v>-1.81678E-3</v>
      </c>
      <c r="E1369" s="1">
        <v>8.7316800000000001E-4</v>
      </c>
      <c r="F1369" s="1">
        <v>8.7646899999999995E-4</v>
      </c>
      <c r="G1369" s="1">
        <v>3.01017E-5</v>
      </c>
      <c r="H1369" s="1">
        <v>-3.7041500000000001E-5</v>
      </c>
    </row>
    <row r="1370" spans="2:8" x14ac:dyDescent="0.25">
      <c r="B1370" s="1">
        <v>357.67099999999999</v>
      </c>
      <c r="C1370" s="1">
        <v>0</v>
      </c>
      <c r="D1370" s="1">
        <v>-1.80309E-3</v>
      </c>
      <c r="E1370" s="1">
        <v>8.5836599999999995E-4</v>
      </c>
      <c r="F1370" s="1">
        <v>8.7762500000000004E-4</v>
      </c>
      <c r="G1370" s="1">
        <v>3.2385499999999997E-5</v>
      </c>
      <c r="H1370" s="1">
        <v>-3.4715599999999997E-5</v>
      </c>
    </row>
    <row r="1371" spans="2:8" x14ac:dyDescent="0.25">
      <c r="B1371" s="1">
        <v>359.80399999999997</v>
      </c>
      <c r="C1371" s="1">
        <v>0</v>
      </c>
      <c r="D1371" s="1">
        <v>-1.7901600000000001E-3</v>
      </c>
      <c r="E1371" s="1">
        <v>8.4401400000000003E-4</v>
      </c>
      <c r="F1371" s="1">
        <v>8.8018700000000005E-4</v>
      </c>
      <c r="G1371" s="1">
        <v>3.3539900000000001E-5</v>
      </c>
      <c r="H1371" s="1">
        <v>-3.24177E-5</v>
      </c>
    </row>
    <row r="1372" spans="2:8" x14ac:dyDescent="0.25">
      <c r="B1372" s="1">
        <v>361.93700000000001</v>
      </c>
      <c r="C1372" s="1">
        <v>0</v>
      </c>
      <c r="D1372" s="1">
        <v>-1.7779200000000001E-3</v>
      </c>
      <c r="E1372" s="1">
        <v>8.2984300000000003E-4</v>
      </c>
      <c r="F1372" s="1">
        <v>8.8422999999999996E-4</v>
      </c>
      <c r="G1372" s="1">
        <v>3.3596999999999997E-5</v>
      </c>
      <c r="H1372" s="1">
        <v>-3.0243299999999999E-5</v>
      </c>
    </row>
    <row r="1373" spans="2:8" x14ac:dyDescent="0.25">
      <c r="B1373" s="1">
        <v>364.06900000000002</v>
      </c>
      <c r="C1373" s="1">
        <v>0</v>
      </c>
      <c r="D1373" s="1">
        <v>-1.76636E-3</v>
      </c>
      <c r="E1373" s="1">
        <v>8.1565299999999995E-4</v>
      </c>
      <c r="F1373" s="1">
        <v>8.89294E-4</v>
      </c>
      <c r="G1373" s="1">
        <v>3.3145899999999997E-5</v>
      </c>
      <c r="H1373" s="1">
        <v>-2.8267199999999999E-5</v>
      </c>
    </row>
    <row r="1374" spans="2:8" x14ac:dyDescent="0.25">
      <c r="B1374" s="1">
        <v>366.202</v>
      </c>
      <c r="C1374" s="1">
        <v>0</v>
      </c>
      <c r="D1374" s="1">
        <v>-1.7556500000000001E-3</v>
      </c>
      <c r="E1374" s="1">
        <v>8.0134499999999997E-4</v>
      </c>
      <c r="F1374" s="1">
        <v>8.9464099999999995E-4</v>
      </c>
      <c r="G1374" s="1">
        <v>3.3144700000000001E-5</v>
      </c>
      <c r="H1374" s="1">
        <v>-2.6514999999999999E-5</v>
      </c>
    </row>
    <row r="1375" spans="2:8" x14ac:dyDescent="0.25">
      <c r="B1375" s="1">
        <v>368.33499999999998</v>
      </c>
      <c r="C1375" s="1">
        <v>0</v>
      </c>
      <c r="D1375" s="1">
        <v>-1.7458899999999999E-3</v>
      </c>
      <c r="E1375" s="1">
        <v>7.8692400000000004E-4</v>
      </c>
      <c r="F1375" s="1">
        <v>8.9976499999999996E-4</v>
      </c>
      <c r="G1375" s="1">
        <v>3.4233400000000003E-5</v>
      </c>
      <c r="H1375" s="1">
        <v>-2.4967899999999999E-5</v>
      </c>
    </row>
    <row r="1376" spans="2:8" x14ac:dyDescent="0.25">
      <c r="B1376" s="1">
        <v>370.46800000000002</v>
      </c>
      <c r="C1376" s="1">
        <v>0</v>
      </c>
      <c r="D1376" s="1">
        <v>-1.7370199999999999E-3</v>
      </c>
      <c r="E1376" s="1">
        <v>7.7248699999999998E-4</v>
      </c>
      <c r="F1376" s="1">
        <v>9.0471099999999999E-4</v>
      </c>
      <c r="G1376" s="1">
        <v>3.6230899999999999E-5</v>
      </c>
      <c r="H1376" s="1">
        <v>-2.3592100000000001E-5</v>
      </c>
    </row>
    <row r="1377" spans="1:8" x14ac:dyDescent="0.25">
      <c r="B1377" s="1">
        <v>372.601</v>
      </c>
      <c r="C1377" s="1">
        <v>0</v>
      </c>
      <c r="D1377" s="1">
        <v>-1.7288500000000001E-3</v>
      </c>
      <c r="E1377" s="1">
        <v>7.5817500000000004E-4</v>
      </c>
      <c r="F1377" s="1">
        <v>9.0978399999999996E-4</v>
      </c>
      <c r="G1377" s="1">
        <v>3.8550600000000003E-5</v>
      </c>
      <c r="H1377" s="1">
        <v>-2.2343600000000001E-5</v>
      </c>
    </row>
    <row r="1378" spans="1:8" x14ac:dyDescent="0.25">
      <c r="B1378" s="1">
        <v>374.73399999999998</v>
      </c>
      <c r="C1378" s="1">
        <v>0</v>
      </c>
      <c r="D1378" s="1">
        <v>-1.7212799999999999E-3</v>
      </c>
      <c r="E1378" s="1">
        <v>7.4413300000000001E-4</v>
      </c>
      <c r="F1378" s="1">
        <v>9.1522900000000004E-4</v>
      </c>
      <c r="G1378" s="1">
        <v>4.0753000000000001E-5</v>
      </c>
      <c r="H1378" s="1">
        <v>-2.1165399999999999E-5</v>
      </c>
    </row>
    <row r="1379" spans="1:8" x14ac:dyDescent="0.25">
      <c r="B1379" s="1">
        <v>376.86700000000002</v>
      </c>
      <c r="C1379" s="1">
        <v>0</v>
      </c>
      <c r="D1379" s="1">
        <v>-1.7143E-3</v>
      </c>
      <c r="E1379" s="1">
        <v>7.3050899999999995E-4</v>
      </c>
      <c r="F1379" s="1">
        <v>9.2117700000000002E-4</v>
      </c>
      <c r="G1379" s="1">
        <v>4.2596299999999997E-5</v>
      </c>
      <c r="H1379" s="1">
        <v>-2.00164E-5</v>
      </c>
    </row>
    <row r="1380" spans="1:8" x14ac:dyDescent="0.25">
      <c r="B1380" s="1">
        <v>379</v>
      </c>
      <c r="C1380" s="1">
        <v>0</v>
      </c>
      <c r="D1380" s="1">
        <v>-1.7079599999999999E-3</v>
      </c>
      <c r="E1380" s="1">
        <v>7.1748600000000004E-4</v>
      </c>
      <c r="F1380" s="1">
        <v>9.2762300000000003E-4</v>
      </c>
      <c r="G1380" s="1">
        <v>4.3940299999999997E-5</v>
      </c>
      <c r="H1380" s="1">
        <v>-1.89082E-5</v>
      </c>
    </row>
    <row r="1381" spans="1:8" x14ac:dyDescent="0.25">
      <c r="B1381" s="1">
        <v>381.13400000000001</v>
      </c>
      <c r="C1381" s="1">
        <v>0</v>
      </c>
      <c r="D1381" s="1">
        <v>-1.7023699999999999E-3</v>
      </c>
      <c r="E1381" s="1">
        <v>7.0532199999999998E-4</v>
      </c>
      <c r="F1381" s="1">
        <v>9.34273E-4</v>
      </c>
      <c r="G1381" s="1">
        <v>4.4884800000000001E-5</v>
      </c>
      <c r="H1381" s="1">
        <v>-1.7887300000000001E-5</v>
      </c>
    </row>
    <row r="1382" spans="1:8" x14ac:dyDescent="0.25">
      <c r="B1382" s="1">
        <v>383.267</v>
      </c>
      <c r="C1382" s="1">
        <v>0</v>
      </c>
      <c r="D1382" s="1">
        <v>-1.6976700000000001E-3</v>
      </c>
      <c r="E1382" s="1">
        <v>6.9432300000000005E-4</v>
      </c>
      <c r="F1382" s="1">
        <v>9.4053500000000005E-4</v>
      </c>
      <c r="G1382" s="1">
        <v>4.5792399999999999E-5</v>
      </c>
      <c r="H1382" s="1">
        <v>-1.70126E-5</v>
      </c>
    </row>
    <row r="1383" spans="1:8" x14ac:dyDescent="0.25">
      <c r="B1383" s="1">
        <v>385.4</v>
      </c>
      <c r="C1383" s="1">
        <v>0</v>
      </c>
      <c r="D1383" s="1">
        <v>-1.69389E-3</v>
      </c>
      <c r="E1383" s="1">
        <v>6.8479800000000003E-4</v>
      </c>
      <c r="F1383" s="1">
        <v>9.4592299999999999E-4</v>
      </c>
      <c r="G1383" s="1">
        <v>4.6822400000000001E-5</v>
      </c>
      <c r="H1383" s="1">
        <v>-1.63434E-5</v>
      </c>
    </row>
    <row r="1384" spans="1:8" x14ac:dyDescent="0.25">
      <c r="B1384" s="1">
        <v>387.53399999999999</v>
      </c>
      <c r="C1384" s="1">
        <v>0</v>
      </c>
      <c r="D1384" s="1">
        <v>-1.6909099999999999E-3</v>
      </c>
      <c r="E1384" s="1">
        <v>6.7700200000000001E-4</v>
      </c>
      <c r="F1384" s="1">
        <v>9.5040700000000001E-4</v>
      </c>
      <c r="G1384" s="1">
        <v>4.7583899999999997E-5</v>
      </c>
      <c r="H1384" s="1">
        <v>-1.5920400000000001E-5</v>
      </c>
    </row>
    <row r="1385" spans="1:8" x14ac:dyDescent="0.25">
      <c r="B1385" s="1">
        <v>389.66699999999997</v>
      </c>
      <c r="C1385" s="1">
        <v>0</v>
      </c>
      <c r="D1385" s="1">
        <v>-1.6885699999999999E-3</v>
      </c>
      <c r="E1385" s="1">
        <v>6.7110200000000003E-4</v>
      </c>
      <c r="F1385" s="1">
        <v>9.5419199999999997E-4</v>
      </c>
      <c r="G1385" s="1">
        <v>4.7537999999999998E-5</v>
      </c>
      <c r="H1385" s="1">
        <v>-1.5735699999999999E-5</v>
      </c>
    </row>
    <row r="1386" spans="1:8" x14ac:dyDescent="0.25">
      <c r="B1386" s="1">
        <v>391.8</v>
      </c>
      <c r="C1386" s="1">
        <v>0</v>
      </c>
      <c r="D1386" s="1">
        <v>-1.6868300000000001E-3</v>
      </c>
      <c r="E1386" s="1">
        <v>6.6717000000000002E-4</v>
      </c>
      <c r="F1386" s="1">
        <v>9.5721499999999998E-4</v>
      </c>
      <c r="G1386" s="1">
        <v>4.6734199999999997E-5</v>
      </c>
      <c r="H1386" s="1">
        <v>-1.5712599999999999E-5</v>
      </c>
    </row>
    <row r="1387" spans="1:8" x14ac:dyDescent="0.25">
      <c r="B1387" s="1">
        <v>393.93299999999999</v>
      </c>
      <c r="C1387" s="1">
        <v>0</v>
      </c>
      <c r="D1387" s="1">
        <v>-1.6858800000000001E-3</v>
      </c>
      <c r="E1387" s="1">
        <v>6.6521099999999997E-4</v>
      </c>
      <c r="F1387" s="1">
        <v>9.5897899999999999E-4</v>
      </c>
      <c r="G1387" s="1">
        <v>4.5945400000000002E-5</v>
      </c>
      <c r="H1387" s="1">
        <v>-1.5740499999999999E-5</v>
      </c>
    </row>
    <row r="1390" spans="1:8" x14ac:dyDescent="0.25">
      <c r="A1390" t="s">
        <v>398</v>
      </c>
      <c r="B1390" t="s">
        <v>36</v>
      </c>
      <c r="C1390" t="s">
        <v>396</v>
      </c>
      <c r="D1390" t="s">
        <v>117</v>
      </c>
    </row>
    <row r="1391" spans="1:8" x14ac:dyDescent="0.25">
      <c r="B1391" t="s">
        <v>392</v>
      </c>
      <c r="C1391" t="s">
        <v>399</v>
      </c>
      <c r="D1391" t="s">
        <v>400</v>
      </c>
      <c r="E1391" t="s">
        <v>401</v>
      </c>
      <c r="F1391" t="s">
        <v>402</v>
      </c>
      <c r="G1391" t="s">
        <v>403</v>
      </c>
      <c r="H1391" t="s">
        <v>404</v>
      </c>
    </row>
    <row r="1392" spans="1:8" x14ac:dyDescent="0.25">
      <c r="B1392" s="1">
        <v>0.110599</v>
      </c>
      <c r="C1392" s="1">
        <v>-7.8824000000000005E-8</v>
      </c>
      <c r="D1392" s="1">
        <v>4.6559699999999999E-4</v>
      </c>
      <c r="E1392" s="1">
        <v>1.11498E-4</v>
      </c>
      <c r="F1392" s="1">
        <v>-1.04288E-7</v>
      </c>
      <c r="G1392" s="1">
        <v>-6.9342099999999995E-4</v>
      </c>
      <c r="H1392" s="1">
        <v>-1.1650900000000001E-4</v>
      </c>
    </row>
    <row r="1393" spans="2:8" x14ac:dyDescent="0.25">
      <c r="B1393" s="1">
        <v>0.33559099999999997</v>
      </c>
      <c r="C1393" s="1">
        <v>-1.8980300000000001E-6</v>
      </c>
      <c r="D1393" s="1">
        <v>1.4345499999999999E-3</v>
      </c>
      <c r="E1393" s="1">
        <v>6.8971699999999996E-4</v>
      </c>
      <c r="F1393" s="1">
        <v>-3.03085E-6</v>
      </c>
      <c r="G1393" s="1">
        <v>-2.1277700000000002E-3</v>
      </c>
      <c r="H1393" s="1">
        <v>-8.4294400000000004E-6</v>
      </c>
    </row>
    <row r="1394" spans="2:8" x14ac:dyDescent="0.25">
      <c r="B1394" s="1">
        <v>0.56839200000000001</v>
      </c>
      <c r="C1394" s="1">
        <v>-1.258E-5</v>
      </c>
      <c r="D1394" s="1">
        <v>2.4847099999999998E-3</v>
      </c>
      <c r="E1394" s="1">
        <v>1.20659E-3</v>
      </c>
      <c r="F1394" s="1">
        <v>-2.0013500000000001E-5</v>
      </c>
      <c r="G1394" s="1">
        <v>-3.6672300000000001E-3</v>
      </c>
      <c r="H1394" s="1">
        <v>-8.5313499999999992E-6</v>
      </c>
    </row>
    <row r="1395" spans="2:8" x14ac:dyDescent="0.25">
      <c r="B1395" s="1">
        <v>0.80944199999999999</v>
      </c>
      <c r="C1395" s="1">
        <v>-4.6078600000000003E-5</v>
      </c>
      <c r="D1395" s="1">
        <v>3.6154799999999999E-3</v>
      </c>
      <c r="E1395" s="1">
        <v>1.7915699999999999E-3</v>
      </c>
      <c r="F1395" s="1">
        <v>-7.2418100000000004E-5</v>
      </c>
      <c r="G1395" s="1">
        <v>-5.2973899999999999E-3</v>
      </c>
      <c r="H1395" s="1">
        <v>-8.8472599999999997E-6</v>
      </c>
    </row>
    <row r="1396" spans="2:8" x14ac:dyDescent="0.25">
      <c r="B1396" s="1">
        <v>1.05918</v>
      </c>
      <c r="C1396" s="1">
        <v>-1.2317200000000001E-4</v>
      </c>
      <c r="D1396" s="1">
        <v>4.8106800000000003E-3</v>
      </c>
      <c r="E1396" s="1">
        <v>2.4738300000000002E-3</v>
      </c>
      <c r="F1396" s="1">
        <v>-1.90516E-4</v>
      </c>
      <c r="G1396" s="1">
        <v>-6.9803E-3</v>
      </c>
      <c r="H1396" s="1">
        <v>-9.4807200000000003E-6</v>
      </c>
    </row>
    <row r="1397" spans="2:8" x14ac:dyDescent="0.25">
      <c r="B1397" s="1">
        <v>1.3180499999999999</v>
      </c>
      <c r="C1397" s="1">
        <v>-2.7124700000000001E-4</v>
      </c>
      <c r="D1397" s="1">
        <v>6.04691E-3</v>
      </c>
      <c r="E1397" s="1">
        <v>3.2887699999999999E-3</v>
      </c>
      <c r="F1397" s="1">
        <v>-4.1124E-4</v>
      </c>
      <c r="G1397" s="1">
        <v>-8.6640899999999993E-3</v>
      </c>
      <c r="H1397" s="1">
        <v>-1.0886800000000001E-5</v>
      </c>
    </row>
    <row r="1398" spans="2:8" x14ac:dyDescent="0.25">
      <c r="B1398" s="1">
        <v>1.58649</v>
      </c>
      <c r="C1398" s="1">
        <v>-5.2386100000000003E-4</v>
      </c>
      <c r="D1398" s="1">
        <v>7.2941899999999999E-3</v>
      </c>
      <c r="E1398" s="1">
        <v>4.2759299999999998E-3</v>
      </c>
      <c r="F1398" s="1">
        <v>-7.7475299999999999E-4</v>
      </c>
      <c r="G1398" s="1">
        <v>-1.02849E-2</v>
      </c>
      <c r="H1398" s="1">
        <v>-1.3321499999999999E-5</v>
      </c>
    </row>
    <row r="1399" spans="2:8" x14ac:dyDescent="0.25">
      <c r="B1399" s="1">
        <v>1.86496</v>
      </c>
      <c r="C1399" s="1">
        <v>-9.2003600000000005E-4</v>
      </c>
      <c r="D1399" s="1">
        <v>8.5170999999999997E-3</v>
      </c>
      <c r="E1399" s="1">
        <v>5.4761799999999998E-3</v>
      </c>
      <c r="F1399" s="1">
        <v>-1.3198000000000001E-3</v>
      </c>
      <c r="G1399" s="1">
        <v>-1.1770600000000001E-2</v>
      </c>
      <c r="H1399" s="1">
        <v>-1.7127599999999998E-5</v>
      </c>
    </row>
    <row r="1400" spans="2:8" x14ac:dyDescent="0.25">
      <c r="B1400" s="1">
        <v>2.15388</v>
      </c>
      <c r="C1400" s="1">
        <v>-1.50319E-3</v>
      </c>
      <c r="D1400" s="1">
        <v>9.6767299999999997E-3</v>
      </c>
      <c r="E1400" s="1">
        <v>6.9285299999999996E-3</v>
      </c>
      <c r="F1400" s="1">
        <v>-2.0781200000000001E-3</v>
      </c>
      <c r="G1400" s="1">
        <v>-1.30467E-2</v>
      </c>
      <c r="H1400" s="1">
        <v>-2.2736899999999999E-5</v>
      </c>
    </row>
    <row r="1401" spans="2:8" x14ac:dyDescent="0.25">
      <c r="B1401" s="1">
        <v>2.4537100000000001</v>
      </c>
      <c r="C1401" s="1">
        <v>-2.3196900000000001E-3</v>
      </c>
      <c r="D1401" s="1">
        <v>1.0732999999999999E-2</v>
      </c>
      <c r="E1401" s="1">
        <v>8.6666099999999999E-3</v>
      </c>
      <c r="F1401" s="1">
        <v>-3.0685500000000002E-3</v>
      </c>
      <c r="G1401" s="1">
        <v>-1.4041400000000001E-2</v>
      </c>
      <c r="H1401" s="1">
        <v>-3.0008399999999999E-5</v>
      </c>
    </row>
    <row r="1402" spans="2:8" x14ac:dyDescent="0.25">
      <c r="B1402" s="1">
        <v>2.7648700000000002</v>
      </c>
      <c r="C1402" s="1">
        <v>-3.4169700000000001E-3</v>
      </c>
      <c r="D1402" s="1">
        <v>1.1647599999999999E-2</v>
      </c>
      <c r="E1402" s="1">
        <v>1.0715300000000001E-2</v>
      </c>
      <c r="F1402" s="1">
        <v>-4.2915899999999996E-3</v>
      </c>
      <c r="G1402" s="1">
        <v>-1.4693899999999999E-2</v>
      </c>
      <c r="H1402" s="1">
        <v>-3.9609600000000001E-5</v>
      </c>
    </row>
    <row r="1403" spans="2:8" x14ac:dyDescent="0.25">
      <c r="B1403" s="1">
        <v>3.0878100000000002</v>
      </c>
      <c r="C1403" s="1">
        <v>-4.8412999999999998E-3</v>
      </c>
      <c r="D1403" s="1">
        <v>1.23862E-2</v>
      </c>
      <c r="E1403" s="1">
        <v>1.30879E-2</v>
      </c>
      <c r="F1403" s="1">
        <v>-5.7253299999999998E-3</v>
      </c>
      <c r="G1403" s="1">
        <v>-1.4958900000000001E-2</v>
      </c>
      <c r="H1403" s="1">
        <v>-5.14083E-5</v>
      </c>
    </row>
    <row r="1404" spans="2:8" x14ac:dyDescent="0.25">
      <c r="B1404" s="1">
        <v>3.4229500000000002</v>
      </c>
      <c r="C1404" s="1">
        <v>-6.6351600000000002E-3</v>
      </c>
      <c r="D1404" s="1">
        <v>1.29219E-2</v>
      </c>
      <c r="E1404" s="1">
        <v>1.5783700000000001E-2</v>
      </c>
      <c r="F1404" s="1">
        <v>-7.3235899999999996E-3</v>
      </c>
      <c r="G1404" s="1">
        <v>-1.48121E-2</v>
      </c>
      <c r="H1404" s="1">
        <v>-6.5308900000000001E-5</v>
      </c>
    </row>
    <row r="1405" spans="2:8" x14ac:dyDescent="0.25">
      <c r="B1405" s="1">
        <v>3.7707299999999999</v>
      </c>
      <c r="C1405" s="1">
        <v>-8.8345100000000003E-3</v>
      </c>
      <c r="D1405" s="1">
        <v>1.3236299999999999E-2</v>
      </c>
      <c r="E1405" s="1">
        <v>1.8787000000000002E-2</v>
      </c>
      <c r="F1405" s="1">
        <v>-9.0167300000000006E-3</v>
      </c>
      <c r="G1405" s="1">
        <v>-1.4253999999999999E-2</v>
      </c>
      <c r="H1405" s="1">
        <v>-8.1890299999999998E-5</v>
      </c>
    </row>
    <row r="1406" spans="2:8" x14ac:dyDescent="0.25">
      <c r="B1406" s="1">
        <v>4.1315600000000003</v>
      </c>
      <c r="C1406" s="1">
        <v>-1.14661E-2</v>
      </c>
      <c r="D1406" s="1">
        <v>1.3321599999999999E-2</v>
      </c>
      <c r="E1406" s="1">
        <v>2.20669E-2</v>
      </c>
      <c r="F1406" s="1">
        <v>-1.0715300000000001E-2</v>
      </c>
      <c r="G1406" s="1">
        <v>-1.3308E-2</v>
      </c>
      <c r="H1406" s="1">
        <v>-1.00697E-4</v>
      </c>
    </row>
    <row r="1407" spans="2:8" x14ac:dyDescent="0.25">
      <c r="B1407" s="1">
        <v>4.5058699999999998</v>
      </c>
      <c r="C1407" s="1">
        <v>-1.45446E-2</v>
      </c>
      <c r="D1407" s="1">
        <v>1.3180300000000001E-2</v>
      </c>
      <c r="E1407" s="1">
        <v>2.5578500000000001E-2</v>
      </c>
      <c r="F1407" s="1">
        <v>-1.2316000000000001E-2</v>
      </c>
      <c r="G1407" s="1">
        <v>-1.2020400000000001E-2</v>
      </c>
      <c r="H1407" s="1">
        <v>-1.2207E-4</v>
      </c>
    </row>
    <row r="1408" spans="2:8" x14ac:dyDescent="0.25">
      <c r="B1408" s="1">
        <v>4.8940599999999996</v>
      </c>
      <c r="C1408" s="1">
        <v>-1.8070900000000001E-2</v>
      </c>
      <c r="D1408" s="1">
        <v>1.28249E-2</v>
      </c>
      <c r="E1408" s="1">
        <v>2.9265200000000002E-2</v>
      </c>
      <c r="F1408" s="1">
        <v>-1.3709900000000001E-2</v>
      </c>
      <c r="G1408" s="1">
        <v>-1.04552E-2</v>
      </c>
      <c r="H1408" s="1">
        <v>-1.4586499999999999E-4</v>
      </c>
    </row>
    <row r="1409" spans="2:8" x14ac:dyDescent="0.25">
      <c r="B1409" s="1">
        <v>5.2965299999999997</v>
      </c>
      <c r="C1409" s="1">
        <v>-2.2030500000000001E-2</v>
      </c>
      <c r="D1409" s="1">
        <v>1.22773E-2</v>
      </c>
      <c r="E1409" s="1">
        <v>3.3061500000000001E-2</v>
      </c>
      <c r="F1409" s="1">
        <v>-1.4791199999999999E-2</v>
      </c>
      <c r="G1409" s="1">
        <v>-8.6895500000000007E-3</v>
      </c>
      <c r="H1409" s="1">
        <v>-1.7250100000000001E-4</v>
      </c>
    </row>
    <row r="1410" spans="2:8" x14ac:dyDescent="0.25">
      <c r="B1410" s="1">
        <v>5.7136899999999997</v>
      </c>
      <c r="C1410" s="1">
        <v>-2.63929E-2</v>
      </c>
      <c r="D1410" s="1">
        <v>1.1566E-2</v>
      </c>
      <c r="E1410" s="1">
        <v>3.6897100000000002E-2</v>
      </c>
      <c r="F1410" s="1">
        <v>-1.5466000000000001E-2</v>
      </c>
      <c r="G1410" s="1">
        <v>-6.8055399999999997E-3</v>
      </c>
      <c r="H1410" s="1">
        <v>-2.0138900000000001E-4</v>
      </c>
    </row>
    <row r="1411" spans="2:8" x14ac:dyDescent="0.25">
      <c r="B1411" s="1">
        <v>6.1459200000000003</v>
      </c>
      <c r="C1411" s="1">
        <v>-3.11121E-2</v>
      </c>
      <c r="D1411" s="1">
        <v>1.07247E-2</v>
      </c>
      <c r="E1411" s="1">
        <v>4.0700800000000002E-2</v>
      </c>
      <c r="F1411" s="1">
        <v>-1.5659900000000001E-2</v>
      </c>
      <c r="G1411" s="1">
        <v>-4.8863700000000001E-3</v>
      </c>
      <c r="H1411" s="1">
        <v>-2.32888E-4</v>
      </c>
    </row>
    <row r="1412" spans="2:8" x14ac:dyDescent="0.25">
      <c r="B1412" s="1">
        <v>6.59361</v>
      </c>
      <c r="C1412" s="1">
        <v>-3.6127699999999999E-2</v>
      </c>
      <c r="D1412" s="1">
        <v>9.7896400000000005E-3</v>
      </c>
      <c r="E1412" s="1">
        <v>4.4404100000000002E-2</v>
      </c>
      <c r="F1412" s="1">
        <v>-1.53239E-2</v>
      </c>
      <c r="G1412" s="1">
        <v>-3.0091100000000002E-3</v>
      </c>
      <c r="H1412" s="1">
        <v>-2.6684799999999998E-4</v>
      </c>
    </row>
    <row r="1413" spans="2:8" x14ac:dyDescent="0.25">
      <c r="B1413" s="1">
        <v>7.0571200000000003</v>
      </c>
      <c r="C1413" s="1">
        <v>-4.13672E-2</v>
      </c>
      <c r="D1413" s="1">
        <v>8.7973800000000005E-3</v>
      </c>
      <c r="E1413" s="1">
        <v>4.7945099999999997E-2</v>
      </c>
      <c r="F1413" s="1">
        <v>-1.44376E-2</v>
      </c>
      <c r="G1413" s="1">
        <v>-1.24084E-3</v>
      </c>
      <c r="H1413" s="1">
        <v>-3.0319599999999999E-4</v>
      </c>
    </row>
    <row r="1414" spans="2:8" x14ac:dyDescent="0.25">
      <c r="B1414" s="1">
        <v>7.53681</v>
      </c>
      <c r="C1414" s="1">
        <v>-4.6749199999999998E-2</v>
      </c>
      <c r="D1414" s="1">
        <v>7.7828200000000002E-3</v>
      </c>
      <c r="E1414" s="1">
        <v>5.12706E-2</v>
      </c>
      <c r="F1414" s="1">
        <v>-1.3010600000000001E-2</v>
      </c>
      <c r="G1414" s="1">
        <v>3.6467999999999998E-4</v>
      </c>
      <c r="H1414" s="1">
        <v>-3.4173599999999998E-4</v>
      </c>
    </row>
    <row r="1415" spans="2:8" x14ac:dyDescent="0.25">
      <c r="B1415" s="1">
        <v>8.0330399999999997</v>
      </c>
      <c r="C1415" s="1">
        <v>-5.2186400000000001E-2</v>
      </c>
      <c r="D1415" s="1">
        <v>6.7775700000000001E-3</v>
      </c>
      <c r="E1415" s="1">
        <v>5.4338200000000003E-2</v>
      </c>
      <c r="F1415" s="1">
        <v>-1.1080100000000001E-2</v>
      </c>
      <c r="G1415" s="1">
        <v>1.76811E-3</v>
      </c>
      <c r="H1415" s="1">
        <v>-3.8261700000000003E-4</v>
      </c>
    </row>
    <row r="1416" spans="2:8" x14ac:dyDescent="0.25">
      <c r="B1416" s="1">
        <v>8.5461399999999994</v>
      </c>
      <c r="C1416" s="1">
        <v>-5.7589399999999999E-2</v>
      </c>
      <c r="D1416" s="1">
        <v>5.8087299999999998E-3</v>
      </c>
      <c r="E1416" s="1">
        <v>5.71172E-2</v>
      </c>
      <c r="F1416" s="1">
        <v>-8.7078599999999996E-3</v>
      </c>
      <c r="G1416" s="1">
        <v>2.9457699999999999E-3</v>
      </c>
      <c r="H1416" s="1">
        <v>-4.2549900000000003E-4</v>
      </c>
    </row>
    <row r="1417" spans="2:8" x14ac:dyDescent="0.25">
      <c r="B1417" s="1">
        <v>9.0764700000000005</v>
      </c>
      <c r="C1417" s="1">
        <v>-6.2870400000000007E-2</v>
      </c>
      <c r="D1417" s="1">
        <v>4.8982299999999999E-3</v>
      </c>
      <c r="E1417" s="1">
        <v>5.9588700000000001E-2</v>
      </c>
      <c r="F1417" s="1">
        <v>-5.9747999999999997E-3</v>
      </c>
      <c r="G1417" s="1">
        <v>3.8883799999999999E-3</v>
      </c>
      <c r="H1417" s="1">
        <v>-4.6991300000000003E-4</v>
      </c>
    </row>
    <row r="1418" spans="2:8" x14ac:dyDescent="0.25">
      <c r="B1418" s="1">
        <v>9.6243300000000005</v>
      </c>
      <c r="C1418" s="1">
        <v>-6.7946500000000007E-2</v>
      </c>
      <c r="D1418" s="1">
        <v>4.06252E-3</v>
      </c>
      <c r="E1418" s="1">
        <v>6.1744E-2</v>
      </c>
      <c r="F1418" s="1">
        <v>-2.9746999999999998E-3</v>
      </c>
      <c r="G1418" s="1">
        <v>4.5983700000000001E-3</v>
      </c>
      <c r="H1418" s="1">
        <v>-5.1627300000000004E-4</v>
      </c>
    </row>
    <row r="1419" spans="2:8" x14ac:dyDescent="0.25">
      <c r="B1419" s="1">
        <v>10.19</v>
      </c>
      <c r="C1419" s="1">
        <v>-7.2742500000000002E-2</v>
      </c>
      <c r="D1419" s="1">
        <v>3.3127500000000002E-3</v>
      </c>
      <c r="E1419" s="1">
        <v>6.3584199999999994E-2</v>
      </c>
      <c r="F1419" s="1">
        <v>1.9210000000000001E-4</v>
      </c>
      <c r="G1419" s="1">
        <v>5.0897599999999996E-3</v>
      </c>
      <c r="H1419" s="1">
        <v>-5.6366100000000002E-4</v>
      </c>
    </row>
    <row r="1420" spans="2:8" x14ac:dyDescent="0.25">
      <c r="B1420" s="1">
        <v>10.7738</v>
      </c>
      <c r="C1420" s="1">
        <v>-7.7193100000000001E-2</v>
      </c>
      <c r="D1420" s="1">
        <v>2.6551399999999998E-3</v>
      </c>
      <c r="E1420" s="1">
        <v>6.5117900000000006E-2</v>
      </c>
      <c r="F1420" s="1">
        <v>3.42487E-3</v>
      </c>
      <c r="G1420" s="1">
        <v>5.3828799999999996E-3</v>
      </c>
      <c r="H1420" s="1">
        <v>-6.1245899999999999E-4</v>
      </c>
    </row>
    <row r="1421" spans="2:8" x14ac:dyDescent="0.25">
      <c r="B1421" s="1">
        <v>11.375999999999999</v>
      </c>
      <c r="C1421" s="1">
        <v>-8.1244999999999998E-2</v>
      </c>
      <c r="D1421" s="1">
        <v>2.09172E-3</v>
      </c>
      <c r="E1421" s="1">
        <v>6.6359399999999999E-2</v>
      </c>
      <c r="F1421" s="1">
        <v>6.6278800000000001E-3</v>
      </c>
      <c r="G1421" s="1">
        <v>5.50419E-3</v>
      </c>
      <c r="H1421" s="1">
        <v>-6.6186100000000002E-4</v>
      </c>
    </row>
    <row r="1422" spans="2:8" x14ac:dyDescent="0.25">
      <c r="B1422" s="1">
        <v>11.9969</v>
      </c>
      <c r="C1422" s="1">
        <v>-8.4856799999999996E-2</v>
      </c>
      <c r="D1422" s="1">
        <v>1.6210199999999999E-3</v>
      </c>
      <c r="E1422" s="1">
        <v>6.7327300000000007E-2</v>
      </c>
      <c r="F1422" s="1">
        <v>9.7147499999999994E-3</v>
      </c>
      <c r="G1422" s="1">
        <v>5.4818200000000001E-3</v>
      </c>
      <c r="H1422" s="1">
        <v>-7.1185900000000002E-4</v>
      </c>
    </row>
    <row r="1423" spans="2:8" x14ac:dyDescent="0.25">
      <c r="B1423" s="1">
        <v>12.636699999999999</v>
      </c>
      <c r="C1423" s="1">
        <v>-8.79997E-2</v>
      </c>
      <c r="D1423" s="1">
        <v>1.23897E-3</v>
      </c>
      <c r="E1423" s="1">
        <v>6.8042800000000001E-2</v>
      </c>
      <c r="F1423" s="1">
        <v>1.26114E-2</v>
      </c>
      <c r="G1423" s="1">
        <v>5.3445400000000001E-3</v>
      </c>
      <c r="H1423" s="1">
        <v>-7.6213699999999997E-4</v>
      </c>
    </row>
    <row r="1424" spans="2:8" x14ac:dyDescent="0.25">
      <c r="B1424" s="1">
        <v>13.2956</v>
      </c>
      <c r="C1424" s="1">
        <v>-9.0657699999999994E-2</v>
      </c>
      <c r="D1424" s="1">
        <v>9.3962699999999995E-4</v>
      </c>
      <c r="E1424" s="1">
        <v>6.8528099999999995E-2</v>
      </c>
      <c r="F1424" s="1">
        <v>1.52578E-2</v>
      </c>
      <c r="G1424" s="1">
        <v>5.1200500000000001E-3</v>
      </c>
      <c r="H1424" s="1">
        <v>-8.1214000000000004E-4</v>
      </c>
    </row>
    <row r="1425" spans="2:8" x14ac:dyDescent="0.25">
      <c r="B1425" s="1">
        <v>13.9741</v>
      </c>
      <c r="C1425" s="1">
        <v>-9.2825400000000002E-2</v>
      </c>
      <c r="D1425" s="1">
        <v>7.1587199999999999E-4</v>
      </c>
      <c r="E1425" s="1">
        <v>6.8805900000000003E-2</v>
      </c>
      <c r="F1425" s="1">
        <v>1.7608800000000001E-2</v>
      </c>
      <c r="G1425" s="1">
        <v>4.8329699999999998E-3</v>
      </c>
      <c r="H1425" s="1">
        <v>-8.6189800000000005E-4</v>
      </c>
    </row>
    <row r="1426" spans="2:8" x14ac:dyDescent="0.25">
      <c r="B1426" s="1">
        <v>14.672000000000001</v>
      </c>
      <c r="C1426" s="1">
        <v>-9.4508099999999998E-2</v>
      </c>
      <c r="D1426" s="1">
        <v>5.6000500000000003E-4</v>
      </c>
      <c r="E1426" s="1">
        <v>6.8898299999999996E-2</v>
      </c>
      <c r="F1426" s="1">
        <v>1.9633600000000001E-2</v>
      </c>
      <c r="G1426" s="1">
        <v>4.5052499999999997E-3</v>
      </c>
      <c r="H1426" s="1">
        <v>-9.1095599999999998E-4</v>
      </c>
    </row>
    <row r="1427" spans="2:8" x14ac:dyDescent="0.25">
      <c r="B1427" s="1">
        <v>15.389900000000001</v>
      </c>
      <c r="C1427" s="1">
        <v>-9.5719600000000002E-2</v>
      </c>
      <c r="D1427" s="1">
        <v>4.64189E-4</v>
      </c>
      <c r="E1427" s="1">
        <v>6.8826700000000005E-2</v>
      </c>
      <c r="F1427" s="1">
        <v>2.13146E-2</v>
      </c>
      <c r="G1427" s="1">
        <v>4.1552200000000003E-3</v>
      </c>
      <c r="H1427" s="1">
        <v>-9.5890299999999999E-4</v>
      </c>
    </row>
    <row r="1428" spans="2:8" x14ac:dyDescent="0.25">
      <c r="B1428" s="1">
        <v>16.127800000000001</v>
      </c>
      <c r="C1428" s="1">
        <v>-9.6480899999999994E-2</v>
      </c>
      <c r="D1428" s="1">
        <v>4.2077E-4</v>
      </c>
      <c r="E1428" s="1">
        <v>6.8611099999999994E-2</v>
      </c>
      <c r="F1428" s="1">
        <v>2.2645999999999999E-2</v>
      </c>
      <c r="G1428" s="1">
        <v>3.7973400000000002E-3</v>
      </c>
      <c r="H1428" s="1">
        <v>-1.0057600000000001E-3</v>
      </c>
    </row>
    <row r="1429" spans="2:8" x14ac:dyDescent="0.25">
      <c r="B1429" s="1">
        <v>16.8858</v>
      </c>
      <c r="C1429" s="1">
        <v>-9.6818699999999994E-2</v>
      </c>
      <c r="D1429" s="1">
        <v>4.2249200000000001E-4</v>
      </c>
      <c r="E1429" s="1">
        <v>6.8269999999999997E-2</v>
      </c>
      <c r="F1429" s="1">
        <v>2.3631900000000001E-2</v>
      </c>
      <c r="G1429" s="1">
        <v>3.4432600000000001E-3</v>
      </c>
      <c r="H1429" s="1">
        <v>-1.0511100000000001E-3</v>
      </c>
    </row>
    <row r="1430" spans="2:8" x14ac:dyDescent="0.25">
      <c r="B1430" s="1">
        <v>17.664200000000001</v>
      </c>
      <c r="C1430" s="1">
        <v>-9.6763699999999994E-2</v>
      </c>
      <c r="D1430" s="1">
        <v>4.6260700000000002E-4</v>
      </c>
      <c r="E1430" s="1">
        <v>6.78203E-2</v>
      </c>
      <c r="F1430" s="1">
        <v>2.4284500000000001E-2</v>
      </c>
      <c r="G1430" s="1">
        <v>3.10144E-3</v>
      </c>
      <c r="H1430" s="1">
        <v>-1.0948900000000001E-3</v>
      </c>
    </row>
    <row r="1431" spans="2:8" x14ac:dyDescent="0.25">
      <c r="B1431" s="1">
        <v>18.463000000000001</v>
      </c>
      <c r="C1431" s="1">
        <v>-9.6349699999999996E-2</v>
      </c>
      <c r="D1431" s="1">
        <v>5.3491599999999997E-4</v>
      </c>
      <c r="E1431" s="1">
        <v>6.7277100000000006E-2</v>
      </c>
      <c r="F1431" s="1">
        <v>2.46228E-2</v>
      </c>
      <c r="G1431" s="1">
        <v>2.77765E-3</v>
      </c>
      <c r="H1431" s="1">
        <v>-1.13729E-3</v>
      </c>
    </row>
    <row r="1432" spans="2:8" x14ac:dyDescent="0.25">
      <c r="B1432" s="1">
        <v>19.282499999999999</v>
      </c>
      <c r="C1432" s="1">
        <v>-9.56119E-2</v>
      </c>
      <c r="D1432" s="1">
        <v>6.3376999999999997E-4</v>
      </c>
      <c r="E1432" s="1">
        <v>6.6653199999999996E-2</v>
      </c>
      <c r="F1432" s="1">
        <v>2.4670999999999998E-2</v>
      </c>
      <c r="G1432" s="1">
        <v>2.4768699999999999E-3</v>
      </c>
      <c r="H1432" s="1">
        <v>-1.17706E-3</v>
      </c>
    </row>
    <row r="1433" spans="2:8" x14ac:dyDescent="0.25">
      <c r="B1433" s="1">
        <v>20.122599999999998</v>
      </c>
      <c r="C1433" s="1">
        <v>-9.4586299999999998E-2</v>
      </c>
      <c r="D1433" s="1">
        <v>7.5406699999999998E-4</v>
      </c>
      <c r="E1433" s="1">
        <v>6.5959900000000002E-2</v>
      </c>
      <c r="F1433" s="1">
        <v>2.4457099999999999E-2</v>
      </c>
      <c r="G1433" s="1">
        <v>2.2004400000000001E-3</v>
      </c>
      <c r="H1433" s="1">
        <v>-1.2147799999999999E-3</v>
      </c>
    </row>
    <row r="1434" spans="2:8" x14ac:dyDescent="0.25">
      <c r="B1434" s="1">
        <v>20.983699999999999</v>
      </c>
      <c r="C1434" s="1">
        <v>-9.3308699999999994E-2</v>
      </c>
      <c r="D1434" s="1">
        <v>8.9127800000000001E-4</v>
      </c>
      <c r="E1434" s="1">
        <v>6.5206799999999995E-2</v>
      </c>
      <c r="F1434" s="1">
        <v>2.40112E-2</v>
      </c>
      <c r="G1434" s="1">
        <v>1.9489500000000001E-3</v>
      </c>
      <c r="H1434" s="1">
        <v>-1.2505000000000001E-3</v>
      </c>
    </row>
    <row r="1435" spans="2:8" x14ac:dyDescent="0.25">
      <c r="B1435" s="1">
        <v>21.865600000000001</v>
      </c>
      <c r="C1435" s="1">
        <v>-9.1814599999999996E-2</v>
      </c>
      <c r="D1435" s="1">
        <v>1.04141E-3</v>
      </c>
      <c r="E1435" s="1">
        <v>6.4403100000000005E-2</v>
      </c>
      <c r="F1435" s="1">
        <v>2.33639E-2</v>
      </c>
      <c r="G1435" s="1">
        <v>1.72171E-3</v>
      </c>
      <c r="H1435" s="1">
        <v>-1.2844600000000001E-3</v>
      </c>
    </row>
    <row r="1436" spans="2:8" x14ac:dyDescent="0.25">
      <c r="B1436" s="1">
        <v>22.768599999999999</v>
      </c>
      <c r="C1436" s="1">
        <v>-9.0137800000000004E-2</v>
      </c>
      <c r="D1436" s="1">
        <v>1.20094E-3</v>
      </c>
      <c r="E1436" s="1">
        <v>6.35574E-2</v>
      </c>
      <c r="F1436" s="1">
        <v>2.2545699999999998E-2</v>
      </c>
      <c r="G1436" s="1">
        <v>1.5192599999999999E-3</v>
      </c>
      <c r="H1436" s="1">
        <v>-1.31459E-3</v>
      </c>
    </row>
    <row r="1437" spans="2:8" x14ac:dyDescent="0.25">
      <c r="B1437" s="1">
        <v>23.692599999999999</v>
      </c>
      <c r="C1437" s="1">
        <v>-8.8310600000000003E-2</v>
      </c>
      <c r="D1437" s="1">
        <v>1.36669E-3</v>
      </c>
      <c r="E1437" s="1">
        <v>6.2677999999999998E-2</v>
      </c>
      <c r="F1437" s="1">
        <v>2.1585300000000002E-2</v>
      </c>
      <c r="G1437" s="1">
        <v>1.3373899999999999E-3</v>
      </c>
      <c r="H1437" s="1">
        <v>-1.34337E-3</v>
      </c>
    </row>
    <row r="1438" spans="2:8" x14ac:dyDescent="0.25">
      <c r="B1438" s="1">
        <v>24.637699999999999</v>
      </c>
      <c r="C1438" s="1">
        <v>-8.6362999999999995E-2</v>
      </c>
      <c r="D1438" s="1">
        <v>1.5357700000000001E-3</v>
      </c>
      <c r="E1438" s="1">
        <v>6.1771699999999999E-2</v>
      </c>
      <c r="F1438" s="1">
        <v>2.05106E-2</v>
      </c>
      <c r="G1438" s="1">
        <v>1.1759100000000001E-3</v>
      </c>
      <c r="H1438" s="1">
        <v>-1.36907E-3</v>
      </c>
    </row>
    <row r="1439" spans="2:8" x14ac:dyDescent="0.25">
      <c r="B1439" s="1">
        <v>25.6038</v>
      </c>
      <c r="C1439" s="1">
        <v>-8.4322300000000003E-2</v>
      </c>
      <c r="D1439" s="1">
        <v>1.70543E-3</v>
      </c>
      <c r="E1439" s="1">
        <v>6.0843300000000003E-2</v>
      </c>
      <c r="F1439" s="1">
        <v>1.9349000000000002E-2</v>
      </c>
      <c r="G1439" s="1">
        <v>1.0328900000000001E-3</v>
      </c>
      <c r="H1439" s="1">
        <v>-1.3916499999999999E-3</v>
      </c>
    </row>
    <row r="1440" spans="2:8" x14ac:dyDescent="0.25">
      <c r="B1440" s="1">
        <v>26.591200000000001</v>
      </c>
      <c r="C1440" s="1">
        <v>-8.2212499999999994E-2</v>
      </c>
      <c r="D1440" s="1">
        <v>1.87316E-3</v>
      </c>
      <c r="E1440" s="1">
        <v>5.9895299999999999E-2</v>
      </c>
      <c r="F1440" s="1">
        <v>1.8126E-2</v>
      </c>
      <c r="G1440" s="1">
        <v>9.0609399999999997E-4</v>
      </c>
      <c r="H1440" s="1">
        <v>-1.41204E-3</v>
      </c>
    </row>
    <row r="1441" spans="2:8" x14ac:dyDescent="0.25">
      <c r="B1441" s="1">
        <v>27.599599999999999</v>
      </c>
      <c r="C1441" s="1">
        <v>-8.0055699999999994E-2</v>
      </c>
      <c r="D1441" s="1">
        <v>2.0367900000000001E-3</v>
      </c>
      <c r="E1441" s="1">
        <v>5.8929799999999997E-2</v>
      </c>
      <c r="F1441" s="1">
        <v>1.68646E-2</v>
      </c>
      <c r="G1441" s="1">
        <v>7.9528499999999996E-4</v>
      </c>
      <c r="H1441" s="1">
        <v>-1.42924E-3</v>
      </c>
    </row>
    <row r="1442" spans="2:8" x14ac:dyDescent="0.25">
      <c r="B1442" s="1">
        <v>28.629200000000001</v>
      </c>
      <c r="C1442" s="1">
        <v>-7.7871300000000004E-2</v>
      </c>
      <c r="D1442" s="1">
        <v>2.1946100000000001E-3</v>
      </c>
      <c r="E1442" s="1">
        <v>5.7950300000000003E-2</v>
      </c>
      <c r="F1442" s="1">
        <v>1.55841E-2</v>
      </c>
      <c r="G1442" s="1">
        <v>6.9862199999999998E-4</v>
      </c>
      <c r="H1442" s="1">
        <v>-1.44371E-3</v>
      </c>
    </row>
    <row r="1443" spans="2:8" x14ac:dyDescent="0.25">
      <c r="B1443" s="1">
        <v>29.6798</v>
      </c>
      <c r="C1443" s="1">
        <v>-7.56772E-2</v>
      </c>
      <c r="D1443" s="1">
        <v>2.3452600000000001E-3</v>
      </c>
      <c r="E1443" s="1">
        <v>5.6961699999999997E-2</v>
      </c>
      <c r="F1443" s="1">
        <v>1.4300500000000001E-2</v>
      </c>
      <c r="G1443" s="1">
        <v>6.1481899999999996E-4</v>
      </c>
      <c r="H1443" s="1">
        <v>-1.45505E-3</v>
      </c>
    </row>
    <row r="1444" spans="2:8" x14ac:dyDescent="0.25">
      <c r="B1444" s="1">
        <v>30.7516</v>
      </c>
      <c r="C1444" s="1">
        <v>-7.3489499999999999E-2</v>
      </c>
      <c r="D1444" s="1">
        <v>2.4874599999999999E-3</v>
      </c>
      <c r="E1444" s="1">
        <v>5.5969499999999998E-2</v>
      </c>
      <c r="F1444" s="1">
        <v>1.3026899999999999E-2</v>
      </c>
      <c r="G1444" s="1">
        <v>5.4142700000000003E-4</v>
      </c>
      <c r="H1444" s="1">
        <v>-1.4642699999999999E-3</v>
      </c>
    </row>
    <row r="1445" spans="2:8" x14ac:dyDescent="0.25">
      <c r="B1445" s="1">
        <v>31.8443</v>
      </c>
      <c r="C1445" s="1">
        <v>-7.13226E-2</v>
      </c>
      <c r="D1445" s="1">
        <v>2.6199999999999999E-3</v>
      </c>
      <c r="E1445" s="1">
        <v>5.4978300000000001E-2</v>
      </c>
      <c r="F1445" s="1">
        <v>1.17755E-2</v>
      </c>
      <c r="G1445" s="1">
        <v>4.7775399999999999E-4</v>
      </c>
      <c r="H1445" s="1">
        <v>-1.4711100000000001E-3</v>
      </c>
    </row>
    <row r="1446" spans="2:8" x14ac:dyDescent="0.25">
      <c r="B1446" s="1">
        <v>32.957999999999998</v>
      </c>
      <c r="C1446" s="1">
        <v>-6.9189899999999999E-2</v>
      </c>
      <c r="D1446" s="1">
        <v>2.7418799999999999E-3</v>
      </c>
      <c r="E1446" s="1">
        <v>5.3991600000000001E-2</v>
      </c>
      <c r="F1446" s="1">
        <v>1.05579E-2</v>
      </c>
      <c r="G1446" s="1">
        <v>4.22829E-4</v>
      </c>
      <c r="H1446" s="1">
        <v>-1.47573E-3</v>
      </c>
    </row>
    <row r="1447" spans="2:8" x14ac:dyDescent="0.25">
      <c r="B1447" s="1">
        <v>34.092599999999997</v>
      </c>
      <c r="C1447" s="1">
        <v>-6.7103700000000002E-2</v>
      </c>
      <c r="D1447" s="1">
        <v>2.85265E-3</v>
      </c>
      <c r="E1447" s="1">
        <v>5.3012400000000001E-2</v>
      </c>
      <c r="F1447" s="1">
        <v>9.3849699999999994E-3</v>
      </c>
      <c r="G1447" s="1">
        <v>3.7547299999999997E-4</v>
      </c>
      <c r="H1447" s="1">
        <v>-1.47817E-3</v>
      </c>
    </row>
    <row r="1448" spans="2:8" x14ac:dyDescent="0.25">
      <c r="B1448" s="1">
        <v>35.247900000000001</v>
      </c>
      <c r="C1448" s="1">
        <v>-6.5075900000000006E-2</v>
      </c>
      <c r="D1448" s="1">
        <v>2.9525200000000001E-3</v>
      </c>
      <c r="E1448" s="1">
        <v>5.2044899999999998E-2</v>
      </c>
      <c r="F1448" s="1">
        <v>8.2656599999999993E-3</v>
      </c>
      <c r="G1448" s="1">
        <v>3.34166E-4</v>
      </c>
      <c r="H1448" s="1">
        <v>-1.4785899999999999E-3</v>
      </c>
    </row>
    <row r="1449" spans="2:8" x14ac:dyDescent="0.25">
      <c r="B1449" s="1">
        <v>36.423900000000003</v>
      </c>
      <c r="C1449" s="1">
        <v>-6.3117000000000006E-2</v>
      </c>
      <c r="D1449" s="1">
        <v>3.04215E-3</v>
      </c>
      <c r="E1449" s="1">
        <v>5.1093199999999998E-2</v>
      </c>
      <c r="F1449" s="1">
        <v>7.2074299999999999E-3</v>
      </c>
      <c r="G1449" s="1">
        <v>2.9696699999999998E-4</v>
      </c>
      <c r="H1449" s="1">
        <v>-1.47725E-3</v>
      </c>
    </row>
    <row r="1450" spans="2:8" x14ac:dyDescent="0.25">
      <c r="B1450" s="1">
        <v>37.620399999999997</v>
      </c>
      <c r="C1450" s="1">
        <v>-6.1235400000000002E-2</v>
      </c>
      <c r="D1450" s="1">
        <v>3.12218E-3</v>
      </c>
      <c r="E1450" s="1">
        <v>5.0160000000000003E-2</v>
      </c>
      <c r="F1450" s="1">
        <v>6.2169E-3</v>
      </c>
      <c r="G1450" s="1">
        <v>2.6212300000000001E-4</v>
      </c>
      <c r="H1450" s="1">
        <v>-1.47422E-3</v>
      </c>
    </row>
    <row r="1451" spans="2:8" x14ac:dyDescent="0.25">
      <c r="B1451" s="1">
        <v>38.837400000000002</v>
      </c>
      <c r="C1451" s="1">
        <v>-5.9435599999999998E-2</v>
      </c>
      <c r="D1451" s="1">
        <v>3.1926400000000001E-3</v>
      </c>
      <c r="E1451" s="1">
        <v>4.9245400000000002E-2</v>
      </c>
      <c r="F1451" s="1">
        <v>5.29913E-3</v>
      </c>
      <c r="G1451" s="1">
        <v>2.29001E-4</v>
      </c>
      <c r="H1451" s="1">
        <v>-1.46941E-3</v>
      </c>
    </row>
    <row r="1452" spans="2:8" x14ac:dyDescent="0.25">
      <c r="B1452" s="1">
        <v>40.0747</v>
      </c>
      <c r="C1452" s="1">
        <v>-5.7717499999999998E-2</v>
      </c>
      <c r="D1452" s="1">
        <v>3.2530800000000002E-3</v>
      </c>
      <c r="E1452" s="1">
        <v>4.8348200000000001E-2</v>
      </c>
      <c r="F1452" s="1">
        <v>4.4554099999999999E-3</v>
      </c>
      <c r="G1452" s="1">
        <v>1.9863899999999999E-4</v>
      </c>
      <c r="H1452" s="1">
        <v>-1.4622299999999999E-3</v>
      </c>
    </row>
    <row r="1453" spans="2:8" x14ac:dyDescent="0.25">
      <c r="B1453" s="1">
        <v>41.3322</v>
      </c>
      <c r="C1453" s="1">
        <v>-5.60784E-2</v>
      </c>
      <c r="D1453" s="1">
        <v>3.3032399999999998E-3</v>
      </c>
      <c r="E1453" s="1">
        <v>4.7468900000000001E-2</v>
      </c>
      <c r="F1453" s="1">
        <v>3.6818100000000002E-3</v>
      </c>
      <c r="G1453" s="1">
        <v>1.7194500000000001E-4</v>
      </c>
      <c r="H1453" s="1">
        <v>-1.4525199999999999E-3</v>
      </c>
    </row>
    <row r="1454" spans="2:8" x14ac:dyDescent="0.25">
      <c r="B1454" s="1">
        <v>42.609699999999997</v>
      </c>
      <c r="C1454" s="1">
        <v>-5.4513899999999997E-2</v>
      </c>
      <c r="D1454" s="1">
        <v>3.3434200000000002E-3</v>
      </c>
      <c r="E1454" s="1">
        <v>4.6608299999999998E-2</v>
      </c>
      <c r="F1454" s="1">
        <v>2.9726399999999999E-3</v>
      </c>
      <c r="G1454" s="1">
        <v>1.4902200000000001E-4</v>
      </c>
      <c r="H1454" s="1">
        <v>-1.4405399999999999E-3</v>
      </c>
    </row>
    <row r="1455" spans="2:8" x14ac:dyDescent="0.25">
      <c r="B1455" s="1">
        <v>43.9069</v>
      </c>
      <c r="C1455" s="1">
        <v>-5.3019299999999998E-2</v>
      </c>
      <c r="D1455" s="1">
        <v>3.37419E-3</v>
      </c>
      <c r="E1455" s="1">
        <v>4.5764100000000002E-2</v>
      </c>
      <c r="F1455" s="1">
        <v>2.3250599999999999E-3</v>
      </c>
      <c r="G1455" s="1">
        <v>1.2948699999999999E-4</v>
      </c>
      <c r="H1455" s="1">
        <v>-1.4264499999999999E-3</v>
      </c>
    </row>
    <row r="1456" spans="2:8" x14ac:dyDescent="0.25">
      <c r="B1456" s="1">
        <v>45.2239</v>
      </c>
      <c r="C1456" s="1">
        <v>-5.1589599999999999E-2</v>
      </c>
      <c r="D1456" s="1">
        <v>3.3960499999999999E-3</v>
      </c>
      <c r="E1456" s="1">
        <v>4.4930200000000003E-2</v>
      </c>
      <c r="F1456" s="1">
        <v>1.74015E-3</v>
      </c>
      <c r="G1456" s="1">
        <v>1.12648E-4</v>
      </c>
      <c r="H1456" s="1">
        <v>-1.4105999999999999E-3</v>
      </c>
    </row>
    <row r="1457" spans="2:8" x14ac:dyDescent="0.25">
      <c r="B1457" s="1">
        <v>46.560299999999998</v>
      </c>
      <c r="C1457" s="1">
        <v>-5.0219899999999998E-2</v>
      </c>
      <c r="D1457" s="1">
        <v>3.4094500000000001E-3</v>
      </c>
      <c r="E1457" s="1">
        <v>4.40983E-2</v>
      </c>
      <c r="F1457" s="1">
        <v>1.2208399999999999E-3</v>
      </c>
      <c r="G1457" s="1">
        <v>9.8465099999999993E-5</v>
      </c>
      <c r="H1457" s="1">
        <v>-1.3928899999999999E-3</v>
      </c>
    </row>
    <row r="1458" spans="2:8" x14ac:dyDescent="0.25">
      <c r="B1458" s="1">
        <v>47.915999999999997</v>
      </c>
      <c r="C1458" s="1">
        <v>-4.8905999999999998E-2</v>
      </c>
      <c r="D1458" s="1">
        <v>3.4149599999999999E-3</v>
      </c>
      <c r="E1458" s="1">
        <v>4.3261599999999997E-2</v>
      </c>
      <c r="F1458" s="1">
        <v>7.6917200000000004E-4</v>
      </c>
      <c r="G1458" s="1">
        <v>8.6850799999999999E-5</v>
      </c>
      <c r="H1458" s="1">
        <v>-1.3734299999999999E-3</v>
      </c>
    </row>
    <row r="1459" spans="2:8" x14ac:dyDescent="0.25">
      <c r="B1459" s="1">
        <v>49.290900000000001</v>
      </c>
      <c r="C1459" s="1">
        <v>-4.7645E-2</v>
      </c>
      <c r="D1459" s="1">
        <v>3.4133900000000001E-3</v>
      </c>
      <c r="E1459" s="1">
        <v>4.2417900000000001E-2</v>
      </c>
      <c r="F1459" s="1">
        <v>3.8404599999999998E-4</v>
      </c>
      <c r="G1459" s="1">
        <v>7.7556200000000001E-5</v>
      </c>
      <c r="H1459" s="1">
        <v>-1.35205E-3</v>
      </c>
    </row>
    <row r="1460" spans="2:8" x14ac:dyDescent="0.25">
      <c r="B1460" s="1">
        <v>50.6845</v>
      </c>
      <c r="C1460" s="1">
        <v>-4.6435700000000003E-2</v>
      </c>
      <c r="D1460" s="1">
        <v>3.4056999999999998E-3</v>
      </c>
      <c r="E1460" s="1">
        <v>4.1571999999999998E-2</v>
      </c>
      <c r="F1460" s="1">
        <v>5.9437500000000001E-5</v>
      </c>
      <c r="G1460" s="1">
        <v>6.9920500000000003E-5</v>
      </c>
      <c r="H1460" s="1">
        <v>-1.32876E-3</v>
      </c>
    </row>
    <row r="1461" spans="2:8" x14ac:dyDescent="0.25">
      <c r="B1461" s="1">
        <v>52.096899999999998</v>
      </c>
      <c r="C1461" s="1">
        <v>-4.52783E-2</v>
      </c>
      <c r="D1461" s="1">
        <v>3.3928399999999998E-3</v>
      </c>
      <c r="E1461" s="1">
        <v>4.0733900000000003E-2</v>
      </c>
      <c r="F1461" s="1">
        <v>-2.1556200000000001E-4</v>
      </c>
      <c r="G1461" s="1">
        <v>6.3262099999999999E-5</v>
      </c>
      <c r="H1461" s="1">
        <v>-1.3038800000000001E-3</v>
      </c>
    </row>
    <row r="1462" spans="2:8" x14ac:dyDescent="0.25">
      <c r="B1462" s="1">
        <v>53.5276</v>
      </c>
      <c r="C1462" s="1">
        <v>-4.4172799999999998E-2</v>
      </c>
      <c r="D1462" s="1">
        <v>3.37557E-3</v>
      </c>
      <c r="E1462" s="1">
        <v>3.9916399999999998E-2</v>
      </c>
      <c r="F1462" s="1">
        <v>-4.5446199999999999E-4</v>
      </c>
      <c r="G1462" s="1">
        <v>5.7154799999999997E-5</v>
      </c>
      <c r="H1462" s="1">
        <v>-1.27812E-3</v>
      </c>
    </row>
    <row r="1463" spans="2:8" x14ac:dyDescent="0.25">
      <c r="B1463" s="1">
        <v>54.976500000000001</v>
      </c>
      <c r="C1463" s="1">
        <v>-4.3118999999999998E-2</v>
      </c>
      <c r="D1463" s="1">
        <v>3.3544400000000002E-3</v>
      </c>
      <c r="E1463" s="1">
        <v>3.9130699999999997E-2</v>
      </c>
      <c r="F1463" s="1">
        <v>-6.6951399999999996E-4</v>
      </c>
      <c r="G1463" s="1">
        <v>5.1388299999999997E-5</v>
      </c>
      <c r="H1463" s="1">
        <v>-1.25194E-3</v>
      </c>
    </row>
    <row r="1464" spans="2:8" x14ac:dyDescent="0.25">
      <c r="B1464" s="1">
        <v>56.443399999999997</v>
      </c>
      <c r="C1464" s="1">
        <v>-4.2115600000000003E-2</v>
      </c>
      <c r="D1464" s="1">
        <v>3.3297800000000001E-3</v>
      </c>
      <c r="E1464" s="1">
        <v>3.83837E-2</v>
      </c>
      <c r="F1464" s="1">
        <v>-8.6927800000000002E-4</v>
      </c>
      <c r="G1464" s="1">
        <v>4.5910900000000001E-5</v>
      </c>
      <c r="H1464" s="1">
        <v>-1.22547E-3</v>
      </c>
    </row>
    <row r="1465" spans="2:8" x14ac:dyDescent="0.25">
      <c r="B1465" s="1">
        <v>57.928100000000001</v>
      </c>
      <c r="C1465" s="1">
        <v>-4.1160000000000002E-2</v>
      </c>
      <c r="D1465" s="1">
        <v>3.30167E-3</v>
      </c>
      <c r="E1465" s="1">
        <v>3.7677099999999998E-2</v>
      </c>
      <c r="F1465" s="1">
        <v>-1.05838E-3</v>
      </c>
      <c r="G1465" s="1">
        <v>4.0856299999999997E-5</v>
      </c>
      <c r="H1465" s="1">
        <v>-1.1987600000000001E-3</v>
      </c>
    </row>
    <row r="1466" spans="2:8" x14ac:dyDescent="0.25">
      <c r="B1466" s="1">
        <v>59.430100000000003</v>
      </c>
      <c r="C1466" s="1">
        <v>-4.0249E-2</v>
      </c>
      <c r="D1466" s="1">
        <v>3.2701200000000001E-3</v>
      </c>
      <c r="E1466" s="1">
        <v>3.7007600000000002E-2</v>
      </c>
      <c r="F1466" s="1">
        <v>-1.23715E-3</v>
      </c>
      <c r="G1466" s="1">
        <v>3.6358700000000001E-5</v>
      </c>
      <c r="H1466" s="1">
        <v>-1.1720999999999999E-3</v>
      </c>
    </row>
    <row r="1467" spans="2:8" x14ac:dyDescent="0.25">
      <c r="B1467" s="1">
        <v>60.949399999999997</v>
      </c>
      <c r="C1467" s="1">
        <v>-3.9379200000000003E-2</v>
      </c>
      <c r="D1467" s="1">
        <v>3.2352499999999998E-3</v>
      </c>
      <c r="E1467" s="1">
        <v>3.63676E-2</v>
      </c>
      <c r="F1467" s="1">
        <v>-1.4016499999999999E-3</v>
      </c>
      <c r="G1467" s="1">
        <v>3.2534999999999999E-5</v>
      </c>
      <c r="H1467" s="1">
        <v>-1.1454E-3</v>
      </c>
    </row>
    <row r="1468" spans="2:8" x14ac:dyDescent="0.25">
      <c r="B1468" s="1">
        <v>62.485799999999998</v>
      </c>
      <c r="C1468" s="1">
        <v>-3.8547600000000001E-2</v>
      </c>
      <c r="D1468" s="1">
        <v>3.1973700000000002E-3</v>
      </c>
      <c r="E1468" s="1">
        <v>3.5749200000000002E-2</v>
      </c>
      <c r="F1468" s="1">
        <v>-1.5466E-3</v>
      </c>
      <c r="G1468" s="1">
        <v>2.89844E-5</v>
      </c>
      <c r="H1468" s="1">
        <v>-1.1186600000000001E-3</v>
      </c>
    </row>
    <row r="1469" spans="2:8" x14ac:dyDescent="0.25">
      <c r="B1469" s="1">
        <v>64.038700000000006</v>
      </c>
      <c r="C1469" s="1">
        <v>-3.77515E-2</v>
      </c>
      <c r="D1469" s="1">
        <v>3.1568999999999998E-3</v>
      </c>
      <c r="E1469" s="1">
        <v>3.5146400000000001E-2</v>
      </c>
      <c r="F1469" s="1">
        <v>-1.66902E-3</v>
      </c>
      <c r="G1469" s="1">
        <v>2.54106E-5</v>
      </c>
      <c r="H1469" s="1">
        <v>-1.0918600000000001E-3</v>
      </c>
    </row>
    <row r="1470" spans="2:8" x14ac:dyDescent="0.25">
      <c r="B1470" s="1">
        <v>65.608099999999993</v>
      </c>
      <c r="C1470" s="1">
        <v>-3.6988E-2</v>
      </c>
      <c r="D1470" s="1">
        <v>3.1142600000000002E-3</v>
      </c>
      <c r="E1470" s="1">
        <v>3.4556400000000001E-2</v>
      </c>
      <c r="F1470" s="1">
        <v>-1.7698499999999999E-3</v>
      </c>
      <c r="G1470" s="1">
        <v>2.2125900000000001E-5</v>
      </c>
      <c r="H1470" s="1">
        <v>-1.0650600000000001E-3</v>
      </c>
    </row>
    <row r="1471" spans="2:8" x14ac:dyDescent="0.25">
      <c r="B1471" s="1">
        <v>67.193600000000004</v>
      </c>
      <c r="C1471" s="1">
        <v>-3.6254399999999999E-2</v>
      </c>
      <c r="D1471" s="1">
        <v>3.0699899999999999E-3</v>
      </c>
      <c r="E1471" s="1">
        <v>3.3979099999999998E-2</v>
      </c>
      <c r="F1471" s="1">
        <v>-1.85265E-3</v>
      </c>
      <c r="G1471" s="1">
        <v>1.9473100000000002E-5</v>
      </c>
      <c r="H1471" s="1">
        <v>-1.03849E-3</v>
      </c>
    </row>
    <row r="1472" spans="2:8" x14ac:dyDescent="0.25">
      <c r="B1472" s="1">
        <v>68.795000000000002</v>
      </c>
      <c r="C1472" s="1">
        <v>-3.5548499999999997E-2</v>
      </c>
      <c r="D1472" s="1">
        <v>3.0245699999999999E-3</v>
      </c>
      <c r="E1472" s="1">
        <v>3.3415300000000002E-2</v>
      </c>
      <c r="F1472" s="1">
        <v>-1.9212299999999999E-3</v>
      </c>
      <c r="G1472" s="1">
        <v>1.74344E-5</v>
      </c>
      <c r="H1472" s="1">
        <v>-1.01238E-3</v>
      </c>
    </row>
    <row r="1473" spans="2:8" x14ac:dyDescent="0.25">
      <c r="B1473" s="1">
        <v>70.412099999999995</v>
      </c>
      <c r="C1473" s="1">
        <v>-3.4868900000000001E-2</v>
      </c>
      <c r="D1473" s="1">
        <v>2.9783800000000001E-3</v>
      </c>
      <c r="E1473" s="1">
        <v>3.2866800000000002E-2</v>
      </c>
      <c r="F1473" s="1">
        <v>-1.97869E-3</v>
      </c>
      <c r="G1473" s="1">
        <v>1.5606800000000001E-5</v>
      </c>
      <c r="H1473" s="1">
        <v>-9.8682999999999996E-4</v>
      </c>
    </row>
    <row r="1474" spans="2:8" x14ac:dyDescent="0.25">
      <c r="B1474" s="1">
        <v>72.044399999999996</v>
      </c>
      <c r="C1474" s="1">
        <v>-3.4213800000000003E-2</v>
      </c>
      <c r="D1474" s="1">
        <v>2.93158E-3</v>
      </c>
      <c r="E1474" s="1">
        <v>3.23337E-2</v>
      </c>
      <c r="F1474" s="1">
        <v>-2.0269900000000002E-3</v>
      </c>
      <c r="G1474" s="1">
        <v>1.37314E-5</v>
      </c>
      <c r="H1474" s="1">
        <v>-9.6173500000000002E-4</v>
      </c>
    </row>
    <row r="1475" spans="2:8" x14ac:dyDescent="0.25">
      <c r="B1475" s="1">
        <v>73.691800000000001</v>
      </c>
      <c r="C1475" s="1">
        <v>-3.3581100000000003E-2</v>
      </c>
      <c r="D1475" s="1">
        <v>2.8841499999999998E-3</v>
      </c>
      <c r="E1475" s="1">
        <v>3.18149E-2</v>
      </c>
      <c r="F1475" s="1">
        <v>-2.06668E-3</v>
      </c>
      <c r="G1475" s="1">
        <v>1.21158E-5</v>
      </c>
      <c r="H1475" s="1">
        <v>-9.3664599999999996E-4</v>
      </c>
    </row>
    <row r="1476" spans="2:8" x14ac:dyDescent="0.25">
      <c r="B1476" s="1">
        <v>75.353800000000007</v>
      </c>
      <c r="C1476" s="1">
        <v>-3.2968999999999998E-2</v>
      </c>
      <c r="D1476" s="1">
        <v>2.8360899999999999E-3</v>
      </c>
      <c r="E1476" s="1">
        <v>3.13084E-2</v>
      </c>
      <c r="F1476" s="1">
        <v>-2.0975899999999999E-3</v>
      </c>
      <c r="G1476" s="1">
        <v>1.076E-5</v>
      </c>
      <c r="H1476" s="1">
        <v>-9.1133399999999997E-4</v>
      </c>
    </row>
    <row r="1477" spans="2:8" x14ac:dyDescent="0.25">
      <c r="B1477" s="1">
        <v>77.030500000000004</v>
      </c>
      <c r="C1477" s="1">
        <v>-3.23757E-2</v>
      </c>
      <c r="D1477" s="1">
        <v>2.7875299999999999E-3</v>
      </c>
      <c r="E1477" s="1">
        <v>3.08124E-2</v>
      </c>
      <c r="F1477" s="1">
        <v>-2.11918E-3</v>
      </c>
      <c r="G1477" s="1">
        <v>9.2513799999999995E-6</v>
      </c>
      <c r="H1477" s="1">
        <v>-8.8573700000000005E-4</v>
      </c>
    </row>
    <row r="1478" spans="2:8" x14ac:dyDescent="0.25">
      <c r="B1478" s="1">
        <v>78.721199999999996</v>
      </c>
      <c r="C1478" s="1">
        <v>-3.1799300000000003E-2</v>
      </c>
      <c r="D1478" s="1">
        <v>2.73865E-3</v>
      </c>
      <c r="E1478" s="1">
        <v>3.03246E-2</v>
      </c>
      <c r="F1478" s="1">
        <v>-2.1313500000000002E-3</v>
      </c>
      <c r="G1478" s="1">
        <v>7.6362300000000002E-6</v>
      </c>
      <c r="H1478" s="1">
        <v>-8.5981999999999996E-4</v>
      </c>
    </row>
    <row r="1479" spans="2:8" x14ac:dyDescent="0.25">
      <c r="B1479" s="1">
        <v>80.426000000000002</v>
      </c>
      <c r="C1479" s="1">
        <v>-3.1236799999999999E-2</v>
      </c>
      <c r="D1479" s="1">
        <v>2.6896200000000002E-3</v>
      </c>
      <c r="E1479" s="1">
        <v>2.98421E-2</v>
      </c>
      <c r="F1479" s="1">
        <v>-2.1348199999999999E-3</v>
      </c>
      <c r="G1479" s="1">
        <v>6.2676099999999998E-6</v>
      </c>
      <c r="H1479" s="1">
        <v>-8.3373900000000001E-4</v>
      </c>
    </row>
    <row r="1480" spans="2:8" x14ac:dyDescent="0.25">
      <c r="B1480" s="1">
        <v>82.144199999999998</v>
      </c>
      <c r="C1480" s="1">
        <v>-3.0685899999999999E-2</v>
      </c>
      <c r="D1480" s="1">
        <v>2.64051E-3</v>
      </c>
      <c r="E1480" s="1">
        <v>2.9362099999999999E-2</v>
      </c>
      <c r="F1480" s="1">
        <v>-2.1300099999999999E-3</v>
      </c>
      <c r="G1480" s="1">
        <v>5.5072800000000001E-6</v>
      </c>
      <c r="H1480" s="1">
        <v>-8.07744E-4</v>
      </c>
    </row>
    <row r="1481" spans="2:8" x14ac:dyDescent="0.25">
      <c r="B1481" s="1">
        <v>83.875900000000001</v>
      </c>
      <c r="C1481" s="1">
        <v>-3.0145600000000002E-2</v>
      </c>
      <c r="D1481" s="1">
        <v>2.5914499999999999E-3</v>
      </c>
      <c r="E1481" s="1">
        <v>2.8882499999999998E-2</v>
      </c>
      <c r="F1481" s="1">
        <v>-2.1158499999999998E-3</v>
      </c>
      <c r="G1481" s="1">
        <v>5.6296799999999999E-6</v>
      </c>
      <c r="H1481" s="1">
        <v>-7.8186800000000002E-4</v>
      </c>
    </row>
    <row r="1482" spans="2:8" x14ac:dyDescent="0.25">
      <c r="B1482" s="1">
        <v>85.620199999999997</v>
      </c>
      <c r="C1482" s="1">
        <v>-2.9617000000000001E-2</v>
      </c>
      <c r="D1482" s="1">
        <v>2.5428E-3</v>
      </c>
      <c r="E1482" s="1">
        <v>2.8401200000000001E-2</v>
      </c>
      <c r="F1482" s="1">
        <v>-2.08931E-3</v>
      </c>
      <c r="G1482" s="1">
        <v>5.9164900000000002E-6</v>
      </c>
      <c r="H1482" s="1">
        <v>-7.5637100000000004E-4</v>
      </c>
    </row>
    <row r="1483" spans="2:8" x14ac:dyDescent="0.25">
      <c r="B1483" s="1">
        <v>87.377899999999997</v>
      </c>
      <c r="C1483" s="1">
        <v>-2.9101399999999999E-2</v>
      </c>
      <c r="D1483" s="1">
        <v>2.4949600000000001E-3</v>
      </c>
      <c r="E1483" s="1">
        <v>2.7915300000000001E-2</v>
      </c>
      <c r="F1483" s="1">
        <v>-2.0455899999999999E-3</v>
      </c>
      <c r="G1483" s="1">
        <v>5.2078600000000003E-6</v>
      </c>
      <c r="H1483" s="1">
        <v>-7.3157199999999999E-4</v>
      </c>
    </row>
    <row r="1484" spans="2:8" x14ac:dyDescent="0.25">
      <c r="B1484" s="1">
        <v>89.147499999999994</v>
      </c>
      <c r="C1484" s="1">
        <v>-2.85978E-2</v>
      </c>
      <c r="D1484" s="1">
        <v>2.4479800000000002E-3</v>
      </c>
      <c r="E1484" s="1">
        <v>2.7419700000000002E-2</v>
      </c>
      <c r="F1484" s="1">
        <v>-1.9806799999999999E-3</v>
      </c>
      <c r="G1484" s="1">
        <v>3.5533400000000002E-6</v>
      </c>
      <c r="H1484" s="1">
        <v>-7.0723499999999996E-4</v>
      </c>
    </row>
    <row r="1485" spans="2:8" x14ac:dyDescent="0.25">
      <c r="B1485" s="1">
        <v>90.9298</v>
      </c>
      <c r="C1485" s="1">
        <v>-2.81023E-2</v>
      </c>
      <c r="D1485" s="1">
        <v>2.4014399999999999E-3</v>
      </c>
      <c r="E1485" s="1">
        <v>2.6910300000000002E-2</v>
      </c>
      <c r="F1485" s="1">
        <v>-1.89427E-3</v>
      </c>
      <c r="G1485" s="1">
        <v>1.9706199999999999E-6</v>
      </c>
      <c r="H1485" s="1">
        <v>-6.8285299999999998E-4</v>
      </c>
    </row>
    <row r="1486" spans="2:8" x14ac:dyDescent="0.25">
      <c r="B1486" s="1">
        <v>92.723100000000002</v>
      </c>
      <c r="C1486" s="1">
        <v>-2.76105E-2</v>
      </c>
      <c r="D1486" s="1">
        <v>2.3548900000000001E-3</v>
      </c>
      <c r="E1486" s="1">
        <v>2.6387299999999999E-2</v>
      </c>
      <c r="F1486" s="1">
        <v>-1.7911100000000001E-3</v>
      </c>
      <c r="G1486" s="1">
        <v>1.0559900000000001E-6</v>
      </c>
      <c r="H1486" s="1">
        <v>-6.5847799999999999E-4</v>
      </c>
    </row>
    <row r="1487" spans="2:8" x14ac:dyDescent="0.25">
      <c r="B1487" s="1">
        <v>94.528999999999996</v>
      </c>
      <c r="C1487" s="1">
        <v>-2.7120200000000001E-2</v>
      </c>
      <c r="D1487" s="1">
        <v>2.3081099999999999E-3</v>
      </c>
      <c r="E1487" s="1">
        <v>2.5857100000000001E-2</v>
      </c>
      <c r="F1487" s="1">
        <v>-1.68048E-3</v>
      </c>
      <c r="G1487" s="1">
        <v>7.5420000000000002E-7</v>
      </c>
      <c r="H1487" s="1">
        <v>-6.34722E-4</v>
      </c>
    </row>
    <row r="1488" spans="2:8" x14ac:dyDescent="0.25">
      <c r="B1488" s="1">
        <v>96.345200000000006</v>
      </c>
      <c r="C1488" s="1">
        <v>-2.6631200000000001E-2</v>
      </c>
      <c r="D1488" s="1">
        <v>2.26114E-3</v>
      </c>
      <c r="E1488" s="1">
        <v>2.5329299999999999E-2</v>
      </c>
      <c r="F1488" s="1">
        <v>-1.57215E-3</v>
      </c>
      <c r="G1488" s="1">
        <v>9.3816800000000004E-7</v>
      </c>
      <c r="H1488" s="1">
        <v>-6.1200499999999999E-4</v>
      </c>
    </row>
    <row r="1489" spans="2:8" x14ac:dyDescent="0.25">
      <c r="B1489" s="1">
        <v>98.173299999999998</v>
      </c>
      <c r="C1489" s="1">
        <v>-2.6145399999999999E-2</v>
      </c>
      <c r="D1489" s="1">
        <v>2.2140800000000002E-3</v>
      </c>
      <c r="E1489" s="1">
        <v>2.48115E-2</v>
      </c>
      <c r="F1489" s="1">
        <v>-1.4721300000000001E-3</v>
      </c>
      <c r="G1489" s="1">
        <v>1.6151899999999999E-6</v>
      </c>
      <c r="H1489" s="1">
        <v>-5.9029999999999998E-4</v>
      </c>
    </row>
    <row r="1490" spans="2:8" x14ac:dyDescent="0.25">
      <c r="B1490" s="1">
        <v>100.012</v>
      </c>
      <c r="C1490" s="1">
        <v>-2.5666100000000001E-2</v>
      </c>
      <c r="D1490" s="1">
        <v>2.1671400000000001E-3</v>
      </c>
      <c r="E1490" s="1">
        <v>2.4309999999999998E-2</v>
      </c>
      <c r="F1490" s="1">
        <v>-1.38334E-3</v>
      </c>
      <c r="G1490" s="1">
        <v>2.5118900000000002E-6</v>
      </c>
      <c r="H1490" s="1">
        <v>-5.6975999999999999E-4</v>
      </c>
    </row>
    <row r="1491" spans="2:8" x14ac:dyDescent="0.25">
      <c r="B1491" s="1">
        <v>101.861</v>
      </c>
      <c r="C1491" s="1">
        <v>-2.5197299999999999E-2</v>
      </c>
      <c r="D1491" s="1">
        <v>2.12065E-3</v>
      </c>
      <c r="E1491" s="1">
        <v>2.3829900000000001E-2</v>
      </c>
      <c r="F1491" s="1">
        <v>-1.3072100000000001E-3</v>
      </c>
      <c r="G1491" s="1">
        <v>3.14086E-6</v>
      </c>
      <c r="H1491" s="1">
        <v>-5.5074099999999999E-4</v>
      </c>
    </row>
    <row r="1492" spans="2:8" x14ac:dyDescent="0.25">
      <c r="B1492" s="1">
        <v>103.72</v>
      </c>
      <c r="C1492" s="1">
        <v>-2.4741900000000001E-2</v>
      </c>
      <c r="D1492" s="1">
        <v>2.0749700000000002E-3</v>
      </c>
      <c r="E1492" s="1">
        <v>2.33738E-2</v>
      </c>
      <c r="F1492" s="1">
        <v>-1.2434799999999999E-3</v>
      </c>
      <c r="G1492" s="1">
        <v>3.3812100000000002E-6</v>
      </c>
      <c r="H1492" s="1">
        <v>-5.3323699999999999E-4</v>
      </c>
    </row>
    <row r="1493" spans="2:8" x14ac:dyDescent="0.25">
      <c r="B1493" s="1">
        <v>105.589</v>
      </c>
      <c r="C1493" s="1">
        <v>-2.4302000000000001E-2</v>
      </c>
      <c r="D1493" s="1">
        <v>2.0304699999999999E-3</v>
      </c>
      <c r="E1493" s="1">
        <v>2.29415E-2</v>
      </c>
      <c r="F1493" s="1">
        <v>-1.1902499999999999E-3</v>
      </c>
      <c r="G1493" s="1">
        <v>3.3549700000000001E-6</v>
      </c>
      <c r="H1493" s="1">
        <v>-5.1696800000000003E-4</v>
      </c>
    </row>
    <row r="1494" spans="2:8" x14ac:dyDescent="0.25">
      <c r="B1494" s="1">
        <v>107.468</v>
      </c>
      <c r="C1494" s="1">
        <v>-2.3878300000000002E-2</v>
      </c>
      <c r="D1494" s="1">
        <v>1.98738E-3</v>
      </c>
      <c r="E1494" s="1">
        <v>2.25303E-2</v>
      </c>
      <c r="F1494" s="1">
        <v>-1.14427E-3</v>
      </c>
      <c r="G1494" s="1">
        <v>3.0384200000000001E-6</v>
      </c>
      <c r="H1494" s="1">
        <v>-5.0176599999999995E-4</v>
      </c>
    </row>
    <row r="1495" spans="2:8" x14ac:dyDescent="0.25">
      <c r="B1495" s="1">
        <v>109.35599999999999</v>
      </c>
      <c r="C1495" s="1">
        <v>-2.3470399999999999E-2</v>
      </c>
      <c r="D1495" s="1">
        <v>1.9456300000000001E-3</v>
      </c>
      <c r="E1495" s="1">
        <v>2.2135200000000001E-2</v>
      </c>
      <c r="F1495" s="1">
        <v>-1.10053E-3</v>
      </c>
      <c r="G1495" s="1">
        <v>2.4948199999999999E-6</v>
      </c>
      <c r="H1495" s="1">
        <v>-4.8754199999999999E-4</v>
      </c>
    </row>
    <row r="1496" spans="2:8" x14ac:dyDescent="0.25">
      <c r="B1496" s="1">
        <v>111.253</v>
      </c>
      <c r="C1496" s="1">
        <v>-2.30771E-2</v>
      </c>
      <c r="D1496" s="1">
        <v>1.9049200000000001E-3</v>
      </c>
      <c r="E1496" s="1">
        <v>2.17497E-2</v>
      </c>
      <c r="F1496" s="1">
        <v>-1.05353E-3</v>
      </c>
      <c r="G1496" s="1">
        <v>1.9153999999999999E-6</v>
      </c>
      <c r="H1496" s="1">
        <v>-4.7406999999999999E-4</v>
      </c>
    </row>
    <row r="1497" spans="2:8" x14ac:dyDescent="0.25">
      <c r="B1497" s="1">
        <v>113.16</v>
      </c>
      <c r="C1497" s="1">
        <v>-2.2696999999999998E-2</v>
      </c>
      <c r="D1497" s="1">
        <v>1.8650299999999999E-3</v>
      </c>
      <c r="E1497" s="1">
        <v>2.13694E-2</v>
      </c>
      <c r="F1497" s="1">
        <v>-1.0001999999999999E-3</v>
      </c>
      <c r="G1497" s="1">
        <v>1.4383399999999999E-6</v>
      </c>
      <c r="H1497" s="1">
        <v>-4.6133200000000001E-4</v>
      </c>
    </row>
    <row r="1498" spans="2:8" x14ac:dyDescent="0.25">
      <c r="B1498" s="1">
        <v>115.074</v>
      </c>
      <c r="C1498" s="1">
        <v>-2.2329100000000001E-2</v>
      </c>
      <c r="D1498" s="1">
        <v>1.82602E-3</v>
      </c>
      <c r="E1498" s="1">
        <v>2.0993100000000001E-2</v>
      </c>
      <c r="F1498" s="1">
        <v>-9.4062099999999999E-4</v>
      </c>
      <c r="G1498" s="1">
        <v>1.25898E-6</v>
      </c>
      <c r="H1498" s="1">
        <v>-4.4934100000000002E-4</v>
      </c>
    </row>
    <row r="1499" spans="2:8" x14ac:dyDescent="0.25">
      <c r="B1499" s="1">
        <v>116.997</v>
      </c>
      <c r="C1499" s="1">
        <v>-2.1972999999999999E-2</v>
      </c>
      <c r="D1499" s="1">
        <v>1.7881399999999999E-3</v>
      </c>
      <c r="E1499" s="1">
        <v>2.0622600000000001E-2</v>
      </c>
      <c r="F1499" s="1">
        <v>-8.7685400000000004E-4</v>
      </c>
      <c r="G1499" s="1">
        <v>1.1266900000000001E-6</v>
      </c>
      <c r="H1499" s="1">
        <v>-4.37978E-4</v>
      </c>
    </row>
    <row r="1500" spans="2:8" x14ac:dyDescent="0.25">
      <c r="B1500" s="1">
        <v>118.928</v>
      </c>
      <c r="C1500" s="1">
        <v>-2.1627899999999999E-2</v>
      </c>
      <c r="D1500" s="1">
        <v>1.75154E-3</v>
      </c>
      <c r="E1500" s="1">
        <v>2.0262200000000001E-2</v>
      </c>
      <c r="F1500" s="1">
        <v>-8.1358000000000005E-4</v>
      </c>
      <c r="G1500" s="1">
        <v>4.4833300000000002E-7</v>
      </c>
      <c r="H1500" s="1">
        <v>-4.2729900000000002E-4</v>
      </c>
    </row>
    <row r="1501" spans="2:8" x14ac:dyDescent="0.25">
      <c r="B1501" s="1">
        <v>120.86799999999999</v>
      </c>
      <c r="C1501" s="1">
        <v>-2.12917E-2</v>
      </c>
      <c r="D1501" s="1">
        <v>1.71608E-3</v>
      </c>
      <c r="E1501" s="1">
        <v>1.9917000000000001E-2</v>
      </c>
      <c r="F1501" s="1">
        <v>-7.5804900000000001E-4</v>
      </c>
      <c r="G1501" s="1">
        <v>-7.1619499999999999E-7</v>
      </c>
      <c r="H1501" s="1">
        <v>-4.1734500000000001E-4</v>
      </c>
    </row>
    <row r="1502" spans="2:8" x14ac:dyDescent="0.25">
      <c r="B1502" s="1">
        <v>122.81399999999999</v>
      </c>
      <c r="C1502" s="1">
        <v>-2.0960699999999999E-2</v>
      </c>
      <c r="D1502" s="1">
        <v>1.6814E-3</v>
      </c>
      <c r="E1502" s="1">
        <v>1.9590099999999999E-2</v>
      </c>
      <c r="F1502" s="1">
        <v>-7.16995E-4</v>
      </c>
      <c r="G1502" s="1">
        <v>-1.65255E-6</v>
      </c>
      <c r="H1502" s="1">
        <v>-4.07835E-4</v>
      </c>
    </row>
    <row r="1503" spans="2:8" x14ac:dyDescent="0.25">
      <c r="B1503" s="1">
        <v>124.768</v>
      </c>
      <c r="C1503" s="1">
        <v>-2.0631900000000002E-2</v>
      </c>
      <c r="D1503" s="1">
        <v>1.64726E-3</v>
      </c>
      <c r="E1503" s="1">
        <v>1.92815E-2</v>
      </c>
      <c r="F1503" s="1">
        <v>-6.9351000000000005E-4</v>
      </c>
      <c r="G1503" s="1">
        <v>-1.87888E-6</v>
      </c>
      <c r="H1503" s="1">
        <v>-3.9848500000000002E-4</v>
      </c>
    </row>
    <row r="1504" spans="2:8" x14ac:dyDescent="0.25">
      <c r="B1504" s="1">
        <v>126.729</v>
      </c>
      <c r="C1504" s="1">
        <v>-2.0304200000000001E-2</v>
      </c>
      <c r="D1504" s="1">
        <v>1.6136900000000001E-3</v>
      </c>
      <c r="E1504" s="1">
        <v>1.89894E-2</v>
      </c>
      <c r="F1504" s="1">
        <v>-6.86628E-4</v>
      </c>
      <c r="G1504" s="1">
        <v>-1.57408E-6</v>
      </c>
      <c r="H1504" s="1">
        <v>-3.8932000000000002E-4</v>
      </c>
    </row>
    <row r="1505" spans="2:8" x14ac:dyDescent="0.25">
      <c r="B1505" s="1">
        <v>128.697</v>
      </c>
      <c r="C1505" s="1">
        <v>-1.99785E-2</v>
      </c>
      <c r="D1505" s="1">
        <v>1.5809299999999999E-3</v>
      </c>
      <c r="E1505" s="1">
        <v>1.87113E-2</v>
      </c>
      <c r="F1505" s="1">
        <v>-6.9295200000000004E-4</v>
      </c>
      <c r="G1505" s="1">
        <v>-1.2256200000000001E-6</v>
      </c>
      <c r="H1505" s="1">
        <v>-3.8043199999999999E-4</v>
      </c>
    </row>
    <row r="1506" spans="2:8" x14ac:dyDescent="0.25">
      <c r="B1506" s="1">
        <v>130.672</v>
      </c>
      <c r="C1506" s="1">
        <v>-1.9655800000000001E-2</v>
      </c>
      <c r="D1506" s="1">
        <v>1.5492500000000001E-3</v>
      </c>
      <c r="E1506" s="1">
        <v>1.8444100000000001E-2</v>
      </c>
      <c r="F1506" s="1">
        <v>-7.0839799999999995E-4</v>
      </c>
      <c r="G1506" s="1">
        <v>-1.17244E-6</v>
      </c>
      <c r="H1506" s="1">
        <v>-3.7195199999999999E-4</v>
      </c>
    </row>
    <row r="1507" spans="2:8" x14ac:dyDescent="0.25">
      <c r="B1507" s="1">
        <v>132.654</v>
      </c>
      <c r="C1507" s="1">
        <v>-1.93364E-2</v>
      </c>
      <c r="D1507" s="1">
        <v>1.51873E-3</v>
      </c>
      <c r="E1507" s="1">
        <v>1.8183000000000001E-2</v>
      </c>
      <c r="F1507" s="1">
        <v>-7.2809700000000003E-4</v>
      </c>
      <c r="G1507" s="1">
        <v>-1.3282799999999999E-6</v>
      </c>
      <c r="H1507" s="1">
        <v>-3.6401800000000002E-4</v>
      </c>
    </row>
    <row r="1508" spans="2:8" x14ac:dyDescent="0.25">
      <c r="B1508" s="1">
        <v>134.64099999999999</v>
      </c>
      <c r="C1508" s="1">
        <v>-1.9020200000000001E-2</v>
      </c>
      <c r="D1508" s="1">
        <v>1.4892799999999999E-3</v>
      </c>
      <c r="E1508" s="1">
        <v>1.7921400000000001E-2</v>
      </c>
      <c r="F1508" s="1">
        <v>-7.4563699999999995E-4</v>
      </c>
      <c r="G1508" s="1">
        <v>-1.31195E-6</v>
      </c>
      <c r="H1508" s="1">
        <v>-3.5648899999999998E-4</v>
      </c>
    </row>
    <row r="1509" spans="2:8" x14ac:dyDescent="0.25">
      <c r="B1509" s="1">
        <v>136.63499999999999</v>
      </c>
      <c r="C1509" s="1">
        <v>-1.8707499999999998E-2</v>
      </c>
      <c r="D1509" s="1">
        <v>1.46082E-3</v>
      </c>
      <c r="E1509" s="1">
        <v>1.76539E-2</v>
      </c>
      <c r="F1509" s="1">
        <v>-7.5531700000000003E-4</v>
      </c>
      <c r="G1509" s="1">
        <v>-9.4315800000000003E-7</v>
      </c>
      <c r="H1509" s="1">
        <v>-3.4914599999999999E-4</v>
      </c>
    </row>
    <row r="1510" spans="2:8" x14ac:dyDescent="0.25">
      <c r="B1510" s="1">
        <v>138.63499999999999</v>
      </c>
      <c r="C1510" s="1">
        <v>-1.83999E-2</v>
      </c>
      <c r="D1510" s="1">
        <v>1.43334E-3</v>
      </c>
      <c r="E1510" s="1">
        <v>1.738E-2</v>
      </c>
      <c r="F1510" s="1">
        <v>-7.5529600000000003E-4</v>
      </c>
      <c r="G1510" s="1">
        <v>-2.8305199999999999E-7</v>
      </c>
      <c r="H1510" s="1">
        <v>-3.4208900000000001E-4</v>
      </c>
    </row>
    <row r="1511" spans="2:8" x14ac:dyDescent="0.25">
      <c r="B1511" s="1">
        <v>140.63999999999999</v>
      </c>
      <c r="C1511" s="1">
        <v>-1.80997E-2</v>
      </c>
      <c r="D1511" s="1">
        <v>1.407E-3</v>
      </c>
      <c r="E1511" s="1">
        <v>1.7102900000000001E-2</v>
      </c>
      <c r="F1511" s="1">
        <v>-7.4627199999999997E-4</v>
      </c>
      <c r="G1511" s="1">
        <v>3.6288300000000001E-7</v>
      </c>
      <c r="H1511" s="1">
        <v>-3.3570300000000002E-4</v>
      </c>
    </row>
    <row r="1512" spans="2:8" x14ac:dyDescent="0.25">
      <c r="B1512" s="1">
        <v>142.65</v>
      </c>
      <c r="C1512" s="1">
        <v>-1.78094E-2</v>
      </c>
      <c r="D1512" s="1">
        <v>1.38182E-3</v>
      </c>
      <c r="E1512" s="1">
        <v>1.6825099999999999E-2</v>
      </c>
      <c r="F1512" s="1">
        <v>-7.2821699999999997E-4</v>
      </c>
      <c r="G1512" s="1">
        <v>6.4343300000000002E-7</v>
      </c>
      <c r="H1512" s="1">
        <v>-3.3012800000000001E-4</v>
      </c>
    </row>
    <row r="1513" spans="2:8" x14ac:dyDescent="0.25">
      <c r="B1513" s="1">
        <v>144.666</v>
      </c>
      <c r="C1513" s="1">
        <v>-1.75301E-2</v>
      </c>
      <c r="D1513" s="1">
        <v>1.3576E-3</v>
      </c>
      <c r="E1513" s="1">
        <v>1.65474E-2</v>
      </c>
      <c r="F1513" s="1">
        <v>-7.0063899999999997E-4</v>
      </c>
      <c r="G1513" s="1">
        <v>5.3400500000000002E-7</v>
      </c>
      <c r="H1513" s="1">
        <v>-3.2518599999999999E-4</v>
      </c>
    </row>
    <row r="1514" spans="2:8" x14ac:dyDescent="0.25">
      <c r="B1514" s="1">
        <v>146.68600000000001</v>
      </c>
      <c r="C1514" s="1">
        <v>-1.7260999999999999E-2</v>
      </c>
      <c r="D1514" s="1">
        <v>1.33387E-3</v>
      </c>
      <c r="E1514" s="1">
        <v>1.62712E-2</v>
      </c>
      <c r="F1514" s="1">
        <v>-6.6491200000000003E-4</v>
      </c>
      <c r="G1514" s="1">
        <v>2.7890100000000002E-7</v>
      </c>
      <c r="H1514" s="1">
        <v>-3.2065499999999999E-4</v>
      </c>
    </row>
    <row r="1515" spans="2:8" x14ac:dyDescent="0.25">
      <c r="B1515" s="1">
        <v>148.71299999999999</v>
      </c>
      <c r="C1515" s="1">
        <v>-1.7001100000000002E-2</v>
      </c>
      <c r="D1515" s="1">
        <v>1.31021E-3</v>
      </c>
      <c r="E1515" s="1">
        <v>1.5998800000000001E-2</v>
      </c>
      <c r="F1515" s="1">
        <v>-6.2453699999999999E-4</v>
      </c>
      <c r="G1515" s="1">
        <v>2.3844499999999999E-7</v>
      </c>
      <c r="H1515" s="1">
        <v>-3.1641500000000001E-4</v>
      </c>
    </row>
    <row r="1516" spans="2:8" x14ac:dyDescent="0.25">
      <c r="B1516" s="1">
        <v>150.74299999999999</v>
      </c>
      <c r="C1516" s="1">
        <v>-1.6749699999999999E-2</v>
      </c>
      <c r="D1516" s="1">
        <v>1.2864199999999999E-3</v>
      </c>
      <c r="E1516" s="1">
        <v>1.5733500000000001E-2</v>
      </c>
      <c r="F1516" s="1">
        <v>-5.8312900000000005E-4</v>
      </c>
      <c r="G1516" s="1">
        <v>5.9404999999999995E-7</v>
      </c>
      <c r="H1516" s="1">
        <v>-3.1233699999999999E-4</v>
      </c>
    </row>
    <row r="1517" spans="2:8" x14ac:dyDescent="0.25">
      <c r="B1517" s="1">
        <v>152.77799999999999</v>
      </c>
      <c r="C1517" s="1">
        <v>-1.6506900000000001E-2</v>
      </c>
      <c r="D1517" s="1">
        <v>1.26274E-3</v>
      </c>
      <c r="E1517" s="1">
        <v>1.5478199999999999E-2</v>
      </c>
      <c r="F1517" s="1">
        <v>-5.4341299999999997E-4</v>
      </c>
      <c r="G1517" s="1">
        <v>1.04023E-6</v>
      </c>
      <c r="H1517" s="1">
        <v>-3.0839799999999998E-4</v>
      </c>
    </row>
    <row r="1518" spans="2:8" x14ac:dyDescent="0.25">
      <c r="B1518" s="1">
        <v>154.81700000000001</v>
      </c>
      <c r="C1518" s="1">
        <v>-1.62734E-2</v>
      </c>
      <c r="D1518" s="1">
        <v>1.23963E-3</v>
      </c>
      <c r="E1518" s="1">
        <v>1.52356E-2</v>
      </c>
      <c r="F1518" s="1">
        <v>-5.0773799999999998E-4</v>
      </c>
      <c r="G1518" s="1">
        <v>1.0435099999999999E-6</v>
      </c>
      <c r="H1518" s="1">
        <v>-3.04839E-4</v>
      </c>
    </row>
    <row r="1519" spans="2:8" x14ac:dyDescent="0.25">
      <c r="B1519" s="1">
        <v>156.86099999999999</v>
      </c>
      <c r="C1519" s="1">
        <v>-1.6048400000000001E-2</v>
      </c>
      <c r="D1519" s="1">
        <v>1.2173900000000001E-3</v>
      </c>
      <c r="E1519" s="1">
        <v>1.50069E-2</v>
      </c>
      <c r="F1519" s="1">
        <v>-4.78216E-4</v>
      </c>
      <c r="G1519" s="1">
        <v>4.2412299999999999E-7</v>
      </c>
      <c r="H1519" s="1">
        <v>-3.0190700000000002E-4</v>
      </c>
    </row>
    <row r="1520" spans="2:8" x14ac:dyDescent="0.25">
      <c r="B1520" s="1">
        <v>158.90799999999999</v>
      </c>
      <c r="C1520" s="1">
        <v>-1.5829699999999999E-2</v>
      </c>
      <c r="D1520" s="1">
        <v>1.1959500000000001E-3</v>
      </c>
      <c r="E1520" s="1">
        <v>1.4791199999999999E-2</v>
      </c>
      <c r="F1520" s="1">
        <v>-4.5667100000000002E-4</v>
      </c>
      <c r="G1520" s="1">
        <v>-3.2812099999999998E-7</v>
      </c>
      <c r="H1520" s="1">
        <v>-2.9956699999999999E-4</v>
      </c>
    </row>
    <row r="1521" spans="2:8" x14ac:dyDescent="0.25">
      <c r="B1521" s="1">
        <v>160.959</v>
      </c>
      <c r="C1521" s="1">
        <v>-1.5614299999999999E-2</v>
      </c>
      <c r="D1521" s="1">
        <v>1.1751400000000001E-3</v>
      </c>
      <c r="E1521" s="1">
        <v>1.4585600000000001E-2</v>
      </c>
      <c r="F1521" s="1">
        <v>-4.43363E-4</v>
      </c>
      <c r="G1521" s="1">
        <v>-6.8815499999999996E-7</v>
      </c>
      <c r="H1521" s="1">
        <v>-2.97619E-4</v>
      </c>
    </row>
    <row r="1522" spans="2:8" x14ac:dyDescent="0.25">
      <c r="B1522" s="1">
        <v>163.01499999999999</v>
      </c>
      <c r="C1522" s="1">
        <v>-1.54007E-2</v>
      </c>
      <c r="D1522" s="1">
        <v>1.1549100000000001E-3</v>
      </c>
      <c r="E1522" s="1">
        <v>1.4385E-2</v>
      </c>
      <c r="F1522" s="1">
        <v>-4.3419200000000002E-4</v>
      </c>
      <c r="G1522" s="1">
        <v>-7.0856800000000005E-7</v>
      </c>
      <c r="H1522" s="1">
        <v>-2.9570399999999999E-4</v>
      </c>
    </row>
    <row r="1523" spans="2:8" x14ac:dyDescent="0.25">
      <c r="B1523" s="1">
        <v>165.07400000000001</v>
      </c>
      <c r="C1523" s="1">
        <v>-1.5188500000000001E-2</v>
      </c>
      <c r="D1523" s="1">
        <v>1.13525E-3</v>
      </c>
      <c r="E1523" s="1">
        <v>1.4182E-2</v>
      </c>
      <c r="F1523" s="1">
        <v>-4.2151800000000001E-4</v>
      </c>
      <c r="G1523" s="1">
        <v>-6.0256999999999998E-7</v>
      </c>
      <c r="H1523" s="1">
        <v>-2.9335E-4</v>
      </c>
    </row>
    <row r="1524" spans="2:8" x14ac:dyDescent="0.25">
      <c r="B1524" s="1">
        <v>167.136</v>
      </c>
      <c r="C1524" s="1">
        <v>-1.4977799999999999E-2</v>
      </c>
      <c r="D1524" s="1">
        <v>1.1160600000000001E-3</v>
      </c>
      <c r="E1524" s="1">
        <v>1.39708E-2</v>
      </c>
      <c r="F1524" s="1">
        <v>-3.9901299999999998E-4</v>
      </c>
      <c r="G1524" s="1">
        <v>-4.4400899999999999E-7</v>
      </c>
      <c r="H1524" s="1">
        <v>-2.9042299999999999E-4</v>
      </c>
    </row>
    <row r="1525" spans="2:8" x14ac:dyDescent="0.25">
      <c r="B1525" s="1">
        <v>169.20099999999999</v>
      </c>
      <c r="C1525" s="1">
        <v>-1.47692E-2</v>
      </c>
      <c r="D1525" s="1">
        <v>1.0972499999999999E-3</v>
      </c>
      <c r="E1525" s="1">
        <v>1.37495E-2</v>
      </c>
      <c r="F1525" s="1">
        <v>-3.6452000000000001E-4</v>
      </c>
      <c r="G1525" s="1">
        <v>-1.39084E-7</v>
      </c>
      <c r="H1525" s="1">
        <v>-2.8706199999999998E-4</v>
      </c>
    </row>
    <row r="1526" spans="2:8" x14ac:dyDescent="0.25">
      <c r="B1526" s="1">
        <v>171.26900000000001</v>
      </c>
      <c r="C1526" s="1">
        <v>-1.4563700000000001E-2</v>
      </c>
      <c r="D1526" s="1">
        <v>1.07895E-3</v>
      </c>
      <c r="E1526" s="1">
        <v>1.35205E-2</v>
      </c>
      <c r="F1526" s="1">
        <v>-3.1940099999999997E-4</v>
      </c>
      <c r="G1526" s="1">
        <v>2.5673E-7</v>
      </c>
      <c r="H1526" s="1">
        <v>-2.8342299999999999E-4</v>
      </c>
    </row>
    <row r="1527" spans="2:8" x14ac:dyDescent="0.25">
      <c r="B1527" s="1">
        <v>173.34</v>
      </c>
      <c r="C1527" s="1">
        <v>-1.43626E-2</v>
      </c>
      <c r="D1527" s="1">
        <v>1.0613700000000001E-3</v>
      </c>
      <c r="E1527" s="1">
        <v>1.3288599999999999E-2</v>
      </c>
      <c r="F1527" s="1">
        <v>-2.6748499999999998E-4</v>
      </c>
      <c r="G1527" s="1">
        <v>4.3462600000000002E-7</v>
      </c>
      <c r="H1527" s="1">
        <v>-2.7971099999999998E-4</v>
      </c>
    </row>
    <row r="1528" spans="2:8" x14ac:dyDescent="0.25">
      <c r="B1528" s="1">
        <v>175.41499999999999</v>
      </c>
      <c r="C1528" s="1">
        <v>-1.41663E-2</v>
      </c>
      <c r="D1528" s="1">
        <v>1.04465E-3</v>
      </c>
      <c r="E1528" s="1">
        <v>1.30595E-2</v>
      </c>
      <c r="F1528" s="1">
        <v>-2.1421600000000001E-4</v>
      </c>
      <c r="G1528" s="1">
        <v>2.3985200000000002E-7</v>
      </c>
      <c r="H1528" s="1">
        <v>-2.7611399999999999E-4</v>
      </c>
    </row>
    <row r="1529" spans="2:8" x14ac:dyDescent="0.25">
      <c r="B1529" s="1">
        <v>177.49199999999999</v>
      </c>
      <c r="C1529" s="1">
        <v>-1.3974E-2</v>
      </c>
      <c r="D1529" s="1">
        <v>1.0286900000000001E-3</v>
      </c>
      <c r="E1529" s="1">
        <v>1.2838E-2</v>
      </c>
      <c r="F1529" s="1">
        <v>-1.6525399999999999E-4</v>
      </c>
      <c r="G1529" s="1">
        <v>-1.9232199999999999E-7</v>
      </c>
      <c r="H1529" s="1">
        <v>-2.7272E-4</v>
      </c>
    </row>
    <row r="1530" spans="2:8" x14ac:dyDescent="0.25">
      <c r="B1530" s="1">
        <v>179.572</v>
      </c>
      <c r="C1530" s="1">
        <v>-1.3784100000000001E-2</v>
      </c>
      <c r="D1530" s="1">
        <v>1.01325E-3</v>
      </c>
      <c r="E1530" s="1">
        <v>1.26269E-2</v>
      </c>
      <c r="F1530" s="1">
        <v>-1.2504500000000001E-4</v>
      </c>
      <c r="G1530" s="1">
        <v>-5.94562E-7</v>
      </c>
      <c r="H1530" s="1">
        <v>-2.6954099999999999E-4</v>
      </c>
    </row>
    <row r="1531" spans="2:8" x14ac:dyDescent="0.25">
      <c r="B1531" s="1">
        <v>181.654</v>
      </c>
      <c r="C1531" s="1">
        <v>-1.3595299999999999E-2</v>
      </c>
      <c r="D1531" s="1">
        <v>9.9808300000000009E-4</v>
      </c>
      <c r="E1531" s="1">
        <v>1.24271E-2</v>
      </c>
      <c r="F1531" s="1">
        <v>-9.5706500000000003E-5</v>
      </c>
      <c r="G1531" s="1">
        <v>-6.74352E-7</v>
      </c>
      <c r="H1531" s="1">
        <v>-2.6654100000000002E-4</v>
      </c>
    </row>
    <row r="1532" spans="2:8" x14ac:dyDescent="0.25">
      <c r="B1532" s="1">
        <v>183.739</v>
      </c>
      <c r="C1532" s="1">
        <v>-1.34074E-2</v>
      </c>
      <c r="D1532" s="1">
        <v>9.831009999999999E-4</v>
      </c>
      <c r="E1532" s="1">
        <v>1.2237400000000001E-2</v>
      </c>
      <c r="F1532" s="1">
        <v>-7.6349999999999999E-5</v>
      </c>
      <c r="G1532" s="1">
        <v>-4.5109299999999997E-7</v>
      </c>
      <c r="H1532" s="1">
        <v>-2.63692E-4</v>
      </c>
    </row>
    <row r="1533" spans="2:8" x14ac:dyDescent="0.25">
      <c r="B1533" s="1">
        <v>185.82499999999999</v>
      </c>
      <c r="C1533" s="1">
        <v>-1.3220900000000001E-2</v>
      </c>
      <c r="D1533" s="1">
        <v>9.68344E-4</v>
      </c>
      <c r="E1533" s="1">
        <v>1.20555E-2</v>
      </c>
      <c r="F1533" s="1">
        <v>-6.3610500000000004E-5</v>
      </c>
      <c r="G1533" s="1">
        <v>-2.9046900000000001E-7</v>
      </c>
      <c r="H1533" s="1">
        <v>-2.60969E-4</v>
      </c>
    </row>
    <row r="1534" spans="2:8" x14ac:dyDescent="0.25">
      <c r="B1534" s="1">
        <v>187.91499999999999</v>
      </c>
      <c r="C1534" s="1">
        <v>-1.30361E-2</v>
      </c>
      <c r="D1534" s="1">
        <v>9.5375799999999997E-4</v>
      </c>
      <c r="E1534" s="1">
        <v>1.18783E-2</v>
      </c>
      <c r="F1534" s="1">
        <v>-5.3795999999999998E-5</v>
      </c>
      <c r="G1534" s="1">
        <v>-4.15303E-7</v>
      </c>
      <c r="H1534" s="1">
        <v>-2.58352E-4</v>
      </c>
    </row>
    <row r="1535" spans="2:8" x14ac:dyDescent="0.25">
      <c r="B1535" s="1">
        <v>190.006</v>
      </c>
      <c r="C1535" s="1">
        <v>-1.2853E-2</v>
      </c>
      <c r="D1535" s="1">
        <v>9.3916599999999996E-4</v>
      </c>
      <c r="E1535" s="1">
        <v>1.17033E-2</v>
      </c>
      <c r="F1535" s="1">
        <v>-4.4694000000000003E-5</v>
      </c>
      <c r="G1535" s="1">
        <v>-5.7800100000000004E-7</v>
      </c>
      <c r="H1535" s="1">
        <v>-2.5579500000000001E-4</v>
      </c>
    </row>
    <row r="1536" spans="2:8" x14ac:dyDescent="0.25">
      <c r="B1536" s="1">
        <v>192.1</v>
      </c>
      <c r="C1536" s="1">
        <v>-1.2670900000000001E-2</v>
      </c>
      <c r="D1536" s="1">
        <v>9.2447899999999997E-4</v>
      </c>
      <c r="E1536" s="1">
        <v>1.1528999999999999E-2</v>
      </c>
      <c r="F1536" s="1">
        <v>-3.5314000000000001E-5</v>
      </c>
      <c r="G1536" s="1">
        <v>-5.6743300000000002E-7</v>
      </c>
      <c r="H1536" s="1">
        <v>-2.5326500000000002E-4</v>
      </c>
    </row>
    <row r="1537" spans="2:8" x14ac:dyDescent="0.25">
      <c r="B1537" s="1">
        <v>194.19499999999999</v>
      </c>
      <c r="C1537" s="1">
        <v>-1.2489999999999999E-2</v>
      </c>
      <c r="D1537" s="1">
        <v>9.0979299999999999E-4</v>
      </c>
      <c r="E1537" s="1">
        <v>1.13553E-2</v>
      </c>
      <c r="F1537" s="1">
        <v>-2.5250500000000002E-5</v>
      </c>
      <c r="G1537" s="1">
        <v>-5.8723000000000005E-7</v>
      </c>
      <c r="H1537" s="1">
        <v>-2.50719E-4</v>
      </c>
    </row>
    <row r="1538" spans="2:8" x14ac:dyDescent="0.25">
      <c r="B1538" s="1">
        <v>196.291</v>
      </c>
      <c r="C1538" s="1">
        <v>-1.2310099999999999E-2</v>
      </c>
      <c r="D1538" s="1">
        <v>8.9521299999999995E-4</v>
      </c>
      <c r="E1538" s="1">
        <v>1.11831E-2</v>
      </c>
      <c r="F1538" s="1">
        <v>-1.5486500000000002E-5</v>
      </c>
      <c r="G1538" s="1">
        <v>-8.1935700000000002E-7</v>
      </c>
      <c r="H1538" s="1">
        <v>-2.4811100000000002E-4</v>
      </c>
    </row>
    <row r="1539" spans="2:8" x14ac:dyDescent="0.25">
      <c r="B1539" s="1">
        <v>198.39</v>
      </c>
      <c r="C1539" s="1">
        <v>-1.2130699999999999E-2</v>
      </c>
      <c r="D1539" s="1">
        <v>8.8069699999999995E-4</v>
      </c>
      <c r="E1539" s="1">
        <v>1.10148E-2</v>
      </c>
      <c r="F1539" s="1">
        <v>-9.0720000000000006E-6</v>
      </c>
      <c r="G1539" s="1">
        <v>-1.19102E-6</v>
      </c>
      <c r="H1539" s="1">
        <v>-2.4548199999999999E-4</v>
      </c>
    </row>
    <row r="1540" spans="2:8" x14ac:dyDescent="0.25">
      <c r="B1540" s="1">
        <v>200.49</v>
      </c>
      <c r="C1540" s="1">
        <v>-1.19509E-2</v>
      </c>
      <c r="D1540" s="1">
        <v>8.6611100000000003E-4</v>
      </c>
      <c r="E1540" s="1">
        <v>1.08532E-2</v>
      </c>
      <c r="F1540" s="1">
        <v>-9.7680000000000003E-6</v>
      </c>
      <c r="G1540" s="1">
        <v>-1.59837E-6</v>
      </c>
      <c r="H1540" s="1">
        <v>-2.42995E-4</v>
      </c>
    </row>
    <row r="1541" spans="2:8" x14ac:dyDescent="0.25">
      <c r="B1541" s="1">
        <v>202.59200000000001</v>
      </c>
      <c r="C1541" s="1">
        <v>-1.17695E-2</v>
      </c>
      <c r="D1541" s="1">
        <v>8.5132399999999998E-4</v>
      </c>
      <c r="E1541" s="1">
        <v>1.06987E-2</v>
      </c>
      <c r="F1541" s="1">
        <v>-1.93765E-5</v>
      </c>
      <c r="G1541" s="1">
        <v>-1.9377300000000001E-6</v>
      </c>
      <c r="H1541" s="1">
        <v>-2.4080999999999999E-4</v>
      </c>
    </row>
    <row r="1542" spans="2:8" x14ac:dyDescent="0.25">
      <c r="B1542" s="1">
        <v>204.69499999999999</v>
      </c>
      <c r="C1542" s="1">
        <v>-1.1585399999999999E-2</v>
      </c>
      <c r="D1542" s="1">
        <v>8.36238E-4</v>
      </c>
      <c r="E1542" s="1">
        <v>1.0548699999999999E-2</v>
      </c>
      <c r="F1542" s="1">
        <v>-3.6286199999999998E-5</v>
      </c>
      <c r="G1542" s="1">
        <v>-2.0557800000000002E-6</v>
      </c>
      <c r="H1542" s="1">
        <v>-2.3884199999999999E-4</v>
      </c>
    </row>
    <row r="1543" spans="2:8" x14ac:dyDescent="0.25">
      <c r="B1543" s="1">
        <v>206.80099999999999</v>
      </c>
      <c r="C1543" s="1">
        <v>-1.13984E-2</v>
      </c>
      <c r="D1543" s="1">
        <v>8.20841E-4</v>
      </c>
      <c r="E1543" s="1">
        <v>1.03994E-2</v>
      </c>
      <c r="F1543" s="1">
        <v>-5.6877699999999999E-5</v>
      </c>
      <c r="G1543" s="1">
        <v>-1.83987E-6</v>
      </c>
      <c r="H1543" s="1">
        <v>-2.3683600000000001E-4</v>
      </c>
    </row>
    <row r="1544" spans="2:8" x14ac:dyDescent="0.25">
      <c r="B1544" s="1">
        <v>208.90700000000001</v>
      </c>
      <c r="C1544" s="1">
        <v>-1.12087E-2</v>
      </c>
      <c r="D1544" s="1">
        <v>8.0525400000000004E-4</v>
      </c>
      <c r="E1544" s="1">
        <v>1.02483E-2</v>
      </c>
      <c r="F1544" s="1">
        <v>-7.8187800000000004E-5</v>
      </c>
      <c r="G1544" s="1">
        <v>-1.28872E-6</v>
      </c>
      <c r="H1544" s="1">
        <v>-2.3465500000000001E-4</v>
      </c>
    </row>
    <row r="1545" spans="2:8" x14ac:dyDescent="0.25">
      <c r="B1545" s="1">
        <v>211.01400000000001</v>
      </c>
      <c r="C1545" s="1">
        <v>-1.1018E-2</v>
      </c>
      <c r="D1545" s="1">
        <v>7.8969000000000001E-4</v>
      </c>
      <c r="E1545" s="1">
        <v>1.00956E-2</v>
      </c>
      <c r="F1545" s="1">
        <v>-9.9124999999999997E-5</v>
      </c>
      <c r="G1545" s="1">
        <v>-5.6699299999999995E-7</v>
      </c>
      <c r="H1545" s="1">
        <v>-2.3236E-4</v>
      </c>
    </row>
    <row r="1546" spans="2:8" x14ac:dyDescent="0.25">
      <c r="B1546" s="1">
        <v>213.12200000000001</v>
      </c>
      <c r="C1546" s="1">
        <v>-1.08279E-2</v>
      </c>
      <c r="D1546" s="1">
        <v>7.7433700000000005E-4</v>
      </c>
      <c r="E1546" s="1">
        <v>9.9435300000000008E-3</v>
      </c>
      <c r="F1546" s="1">
        <v>-1.2014E-4</v>
      </c>
      <c r="G1546" s="1">
        <v>6.9704500000000001E-8</v>
      </c>
      <c r="H1546" s="1">
        <v>-2.30094E-4</v>
      </c>
    </row>
    <row r="1547" spans="2:8" x14ac:dyDescent="0.25">
      <c r="B1547" s="1">
        <v>215.232</v>
      </c>
      <c r="C1547" s="1">
        <v>-1.0639900000000001E-2</v>
      </c>
      <c r="D1547" s="1">
        <v>7.5927799999999995E-4</v>
      </c>
      <c r="E1547" s="1">
        <v>9.7948500000000008E-3</v>
      </c>
      <c r="F1547" s="1">
        <v>-1.42581E-4</v>
      </c>
      <c r="G1547" s="1">
        <v>3.98242E-7</v>
      </c>
      <c r="H1547" s="1">
        <v>-2.27958E-4</v>
      </c>
    </row>
    <row r="1548" spans="2:8" x14ac:dyDescent="0.25">
      <c r="B1548" s="1">
        <v>217.34299999999999</v>
      </c>
      <c r="C1548" s="1">
        <v>-1.04546E-2</v>
      </c>
      <c r="D1548" s="1">
        <v>7.4448199999999998E-4</v>
      </c>
      <c r="E1548" s="1">
        <v>9.6520400000000006E-3</v>
      </c>
      <c r="F1548" s="1">
        <v>-1.6835E-4</v>
      </c>
      <c r="G1548" s="1">
        <v>3.8894700000000002E-7</v>
      </c>
      <c r="H1548" s="1">
        <v>-2.2604499999999999E-4</v>
      </c>
    </row>
    <row r="1549" spans="2:8" x14ac:dyDescent="0.25">
      <c r="B1549" s="1">
        <v>219.45599999999999</v>
      </c>
      <c r="C1549" s="1">
        <v>-1.0271600000000001E-2</v>
      </c>
      <c r="D1549" s="1">
        <v>7.2984999999999999E-4</v>
      </c>
      <c r="E1549" s="1">
        <v>9.5166000000000001E-3</v>
      </c>
      <c r="F1549" s="1">
        <v>-1.99509E-4</v>
      </c>
      <c r="G1549" s="1">
        <v>2.0628199999999999E-7</v>
      </c>
      <c r="H1549" s="1">
        <v>-2.2448600000000001E-4</v>
      </c>
    </row>
    <row r="1550" spans="2:8" x14ac:dyDescent="0.25">
      <c r="B1550" s="1">
        <v>221.56800000000001</v>
      </c>
      <c r="C1550" s="1">
        <v>-1.0090200000000001E-2</v>
      </c>
      <c r="D1550" s="1">
        <v>7.1525899999999999E-4</v>
      </c>
      <c r="E1550" s="1">
        <v>9.38867E-3</v>
      </c>
      <c r="F1550" s="1">
        <v>-2.37271E-4</v>
      </c>
      <c r="G1550" s="1">
        <v>1.2793799999999999E-7</v>
      </c>
      <c r="H1550" s="1">
        <v>-2.2337E-4</v>
      </c>
    </row>
    <row r="1551" spans="2:8" x14ac:dyDescent="0.25">
      <c r="B1551" s="1">
        <v>223.68199999999999</v>
      </c>
      <c r="C1551" s="1">
        <v>-9.9096800000000006E-3</v>
      </c>
      <c r="D1551" s="1">
        <v>7.0064699999999999E-4</v>
      </c>
      <c r="E1551" s="1">
        <v>9.2668400000000001E-3</v>
      </c>
      <c r="F1551" s="1">
        <v>-2.80852E-4</v>
      </c>
      <c r="G1551" s="1">
        <v>4.1133400000000002E-7</v>
      </c>
      <c r="H1551" s="1">
        <v>-2.22644E-4</v>
      </c>
    </row>
    <row r="1552" spans="2:8" x14ac:dyDescent="0.25">
      <c r="B1552" s="1">
        <v>225.797</v>
      </c>
      <c r="C1552" s="1">
        <v>-9.7306400000000005E-3</v>
      </c>
      <c r="D1552" s="1">
        <v>6.8608099999999995E-4</v>
      </c>
      <c r="E1552" s="1">
        <v>9.1490500000000006E-3</v>
      </c>
      <c r="F1552" s="1">
        <v>-3.2771599999999998E-4</v>
      </c>
      <c r="G1552" s="1">
        <v>1.02663E-6</v>
      </c>
      <c r="H1552" s="1">
        <v>-2.22177E-4</v>
      </c>
    </row>
    <row r="1553" spans="2:8" x14ac:dyDescent="0.25">
      <c r="B1553" s="1">
        <v>227.91300000000001</v>
      </c>
      <c r="C1553" s="1">
        <v>-9.5541500000000008E-3</v>
      </c>
      <c r="D1553" s="1">
        <v>6.7176400000000004E-4</v>
      </c>
      <c r="E1553" s="1">
        <v>9.0340400000000001E-3</v>
      </c>
      <c r="F1553" s="1">
        <v>-3.7523E-4</v>
      </c>
      <c r="G1553" s="1">
        <v>1.6259599999999999E-6</v>
      </c>
      <c r="H1553" s="1">
        <v>-2.2194900000000001E-4</v>
      </c>
    </row>
    <row r="1554" spans="2:8" x14ac:dyDescent="0.25">
      <c r="B1554" s="1">
        <v>230.029</v>
      </c>
      <c r="C1554" s="1">
        <v>-9.3814399999999996E-3</v>
      </c>
      <c r="D1554" s="1">
        <v>6.5790499999999997E-4</v>
      </c>
      <c r="E1554" s="1">
        <v>8.9215600000000003E-3</v>
      </c>
      <c r="F1554" s="1">
        <v>-4.2188700000000002E-4</v>
      </c>
      <c r="G1554" s="1">
        <v>1.8579100000000001E-6</v>
      </c>
      <c r="H1554" s="1">
        <v>-2.2200200000000001E-4</v>
      </c>
    </row>
    <row r="1555" spans="2:8" x14ac:dyDescent="0.25">
      <c r="B1555" s="1">
        <v>232.14599999999999</v>
      </c>
      <c r="C1555" s="1">
        <v>-9.2127700000000003E-3</v>
      </c>
      <c r="D1555" s="1">
        <v>6.44583E-4</v>
      </c>
      <c r="E1555" s="1">
        <v>8.8116900000000005E-3</v>
      </c>
      <c r="F1555" s="1">
        <v>-4.6746800000000002E-4</v>
      </c>
      <c r="G1555" s="1">
        <v>1.6064899999999999E-6</v>
      </c>
      <c r="H1555" s="1">
        <v>-2.2235700000000001E-4</v>
      </c>
    </row>
    <row r="1556" spans="2:8" x14ac:dyDescent="0.25">
      <c r="B1556" s="1">
        <v>234.26400000000001</v>
      </c>
      <c r="C1556" s="1">
        <v>-9.0473399999999992E-3</v>
      </c>
      <c r="D1556" s="1">
        <v>6.31706E-4</v>
      </c>
      <c r="E1556" s="1">
        <v>8.7042700000000001E-3</v>
      </c>
      <c r="F1556" s="1">
        <v>-5.1270099999999996E-4</v>
      </c>
      <c r="G1556" s="1">
        <v>1.06121E-6</v>
      </c>
      <c r="H1556" s="1">
        <v>-2.23E-4</v>
      </c>
    </row>
    <row r="1557" spans="2:8" x14ac:dyDescent="0.25">
      <c r="B1557" s="1">
        <v>236.38200000000001</v>
      </c>
      <c r="C1557" s="1">
        <v>-8.8837299999999994E-3</v>
      </c>
      <c r="D1557" s="1">
        <v>6.1910600000000002E-4</v>
      </c>
      <c r="E1557" s="1">
        <v>8.5986499999999993E-3</v>
      </c>
      <c r="F1557" s="1">
        <v>-5.5848599999999997E-4</v>
      </c>
      <c r="G1557" s="1">
        <v>5.9165900000000002E-7</v>
      </c>
      <c r="H1557" s="1">
        <v>-2.2385800000000001E-4</v>
      </c>
    </row>
    <row r="1558" spans="2:8" x14ac:dyDescent="0.25">
      <c r="B1558" s="1">
        <v>238.50200000000001</v>
      </c>
      <c r="C1558" s="1">
        <v>-8.7207900000000008E-3</v>
      </c>
      <c r="D1558" s="1">
        <v>6.0669399999999996E-4</v>
      </c>
      <c r="E1558" s="1">
        <v>8.4940099999999998E-3</v>
      </c>
      <c r="F1558" s="1">
        <v>-6.0524099999999996E-4</v>
      </c>
      <c r="G1558" s="1">
        <v>4.1954400000000001E-7</v>
      </c>
      <c r="H1558" s="1">
        <v>-2.24906E-4</v>
      </c>
    </row>
    <row r="1559" spans="2:8" x14ac:dyDescent="0.25">
      <c r="B1559" s="1">
        <v>240.62100000000001</v>
      </c>
      <c r="C1559" s="1">
        <v>-8.5581400000000005E-3</v>
      </c>
      <c r="D1559" s="1">
        <v>5.9449800000000005E-4</v>
      </c>
      <c r="E1559" s="1">
        <v>8.3896700000000001E-3</v>
      </c>
      <c r="F1559" s="1">
        <v>-6.5270300000000003E-4</v>
      </c>
      <c r="G1559" s="1">
        <v>4.6559799999999998E-7</v>
      </c>
      <c r="H1559" s="1">
        <v>-2.26219E-4</v>
      </c>
    </row>
    <row r="1560" spans="2:8" x14ac:dyDescent="0.25">
      <c r="B1560" s="1">
        <v>242.74199999999999</v>
      </c>
      <c r="C1560" s="1">
        <v>-8.3960500000000004E-3</v>
      </c>
      <c r="D1560" s="1">
        <v>5.8257600000000001E-4</v>
      </c>
      <c r="E1560" s="1">
        <v>8.2847800000000003E-3</v>
      </c>
      <c r="F1560" s="1">
        <v>-6.9969800000000001E-4</v>
      </c>
      <c r="G1560" s="1">
        <v>5.39474E-7</v>
      </c>
      <c r="H1560" s="1">
        <v>-2.2785599999999999E-4</v>
      </c>
    </row>
    <row r="1561" spans="2:8" x14ac:dyDescent="0.25">
      <c r="B1561" s="1">
        <v>244.863</v>
      </c>
      <c r="C1561" s="1">
        <v>-8.2349399999999996E-3</v>
      </c>
      <c r="D1561" s="1">
        <v>5.7092500000000001E-4</v>
      </c>
      <c r="E1561" s="1">
        <v>8.1780199999999994E-3</v>
      </c>
      <c r="F1561" s="1">
        <v>-7.4430899999999996E-4</v>
      </c>
      <c r="G1561" s="1">
        <v>5.3359299999999998E-7</v>
      </c>
      <c r="H1561" s="1">
        <v>-2.2977699999999999E-4</v>
      </c>
    </row>
    <row r="1562" spans="2:8" x14ac:dyDescent="0.25">
      <c r="B1562" s="1">
        <v>246.98400000000001</v>
      </c>
      <c r="C1562" s="1">
        <v>-8.0751999999999994E-3</v>
      </c>
      <c r="D1562" s="1">
        <v>5.5949299999999999E-4</v>
      </c>
      <c r="E1562" s="1">
        <v>8.0681199999999998E-3</v>
      </c>
      <c r="F1562" s="1">
        <v>-7.8478100000000002E-4</v>
      </c>
      <c r="G1562" s="1">
        <v>4.6076499999999998E-7</v>
      </c>
      <c r="H1562" s="1">
        <v>-2.3191299999999999E-4</v>
      </c>
    </row>
    <row r="1563" spans="2:8" x14ac:dyDescent="0.25">
      <c r="B1563" s="1">
        <v>249.10599999999999</v>
      </c>
      <c r="C1563" s="1">
        <v>-7.91708E-3</v>
      </c>
      <c r="D1563" s="1">
        <v>5.4823299999999997E-4</v>
      </c>
      <c r="E1563" s="1">
        <v>7.9546500000000006E-3</v>
      </c>
      <c r="F1563" s="1">
        <v>-8.2046400000000002E-4</v>
      </c>
      <c r="G1563" s="1">
        <v>4.0781499999999998E-7</v>
      </c>
      <c r="H1563" s="1">
        <v>-2.3425299999999999E-4</v>
      </c>
    </row>
    <row r="1564" spans="2:8" x14ac:dyDescent="0.25">
      <c r="B1564" s="1">
        <v>251.22900000000001</v>
      </c>
      <c r="C1564" s="1">
        <v>-7.7609599999999999E-3</v>
      </c>
      <c r="D1564" s="1">
        <v>5.37121E-4</v>
      </c>
      <c r="E1564" s="1">
        <v>7.8383900000000006E-3</v>
      </c>
      <c r="F1564" s="1">
        <v>-8.5188600000000005E-4</v>
      </c>
      <c r="G1564" s="1">
        <v>4.7618000000000002E-7</v>
      </c>
      <c r="H1564" s="1">
        <v>-2.36853E-4</v>
      </c>
    </row>
    <row r="1565" spans="2:8" x14ac:dyDescent="0.25">
      <c r="B1565" s="1">
        <v>253.351</v>
      </c>
      <c r="C1565" s="1">
        <v>-7.6074799999999998E-3</v>
      </c>
      <c r="D1565" s="1">
        <v>5.26166E-4</v>
      </c>
      <c r="E1565" s="1">
        <v>7.72093E-3</v>
      </c>
      <c r="F1565" s="1">
        <v>-8.8004499999999998E-4</v>
      </c>
      <c r="G1565" s="1">
        <v>7.07895E-7</v>
      </c>
      <c r="H1565" s="1">
        <v>-2.3972699999999999E-4</v>
      </c>
    </row>
    <row r="1566" spans="2:8" x14ac:dyDescent="0.25">
      <c r="B1566" s="1">
        <v>255.47499999999999</v>
      </c>
      <c r="C1566" s="1">
        <v>-7.4576199999999999E-3</v>
      </c>
      <c r="D1566" s="1">
        <v>5.1542799999999996E-4</v>
      </c>
      <c r="E1566" s="1">
        <v>7.6041299999999997E-3</v>
      </c>
      <c r="F1566" s="1">
        <v>-9.0572999999999999E-4</v>
      </c>
      <c r="G1566" s="1">
        <v>9.5102E-7</v>
      </c>
      <c r="H1566" s="1">
        <v>-2.4284E-4</v>
      </c>
    </row>
    <row r="1567" spans="2:8" x14ac:dyDescent="0.25">
      <c r="B1567" s="1">
        <v>257.59800000000001</v>
      </c>
      <c r="C1567" s="1">
        <v>-7.3122600000000001E-3</v>
      </c>
      <c r="D1567" s="1">
        <v>5.0497900000000002E-4</v>
      </c>
      <c r="E1567" s="1">
        <v>7.4896199999999998E-3</v>
      </c>
      <c r="F1567" s="1">
        <v>-9.2945300000000001E-4</v>
      </c>
      <c r="G1567" s="1">
        <v>9.9781000000000007E-7</v>
      </c>
      <c r="H1567" s="1">
        <v>-2.4611400000000002E-4</v>
      </c>
    </row>
    <row r="1568" spans="2:8" x14ac:dyDescent="0.25">
      <c r="B1568" s="1">
        <v>259.72300000000001</v>
      </c>
      <c r="C1568" s="1">
        <v>-7.1718099999999998E-3</v>
      </c>
      <c r="D1568" s="1">
        <v>4.9485999999999996E-4</v>
      </c>
      <c r="E1568" s="1">
        <v>7.3783900000000003E-3</v>
      </c>
      <c r="F1568" s="1">
        <v>-9.5161400000000004E-4</v>
      </c>
      <c r="G1568" s="1">
        <v>7.7538E-7</v>
      </c>
      <c r="H1568" s="1">
        <v>-2.4940200000000002E-4</v>
      </c>
    </row>
    <row r="1569" spans="2:8" x14ac:dyDescent="0.25">
      <c r="B1569" s="1">
        <v>261.84699999999998</v>
      </c>
      <c r="C1569" s="1">
        <v>-7.0359899999999998E-3</v>
      </c>
      <c r="D1569" s="1">
        <v>4.85043E-4</v>
      </c>
      <c r="E1569" s="1">
        <v>7.2707800000000001E-3</v>
      </c>
      <c r="F1569" s="1">
        <v>-9.7276700000000003E-4</v>
      </c>
      <c r="G1569" s="1">
        <v>4.1473000000000001E-7</v>
      </c>
      <c r="H1569" s="1">
        <v>-2.5252800000000002E-4</v>
      </c>
    </row>
    <row r="1570" spans="2:8" x14ac:dyDescent="0.25">
      <c r="B1570" s="1">
        <v>263.971</v>
      </c>
      <c r="C1570" s="1">
        <v>-6.9040999999999998E-3</v>
      </c>
      <c r="D1570" s="1">
        <v>4.75458E-4</v>
      </c>
      <c r="E1570" s="1">
        <v>7.1668900000000004E-3</v>
      </c>
      <c r="F1570" s="1">
        <v>-9.9375900000000009E-4</v>
      </c>
      <c r="G1570" s="1">
        <v>1.61375E-7</v>
      </c>
      <c r="H1570" s="1">
        <v>-2.5535599999999999E-4</v>
      </c>
    </row>
    <row r="1571" spans="2:8" x14ac:dyDescent="0.25">
      <c r="B1571" s="1">
        <v>266.096</v>
      </c>
      <c r="C1571" s="1">
        <v>-6.7754900000000003E-3</v>
      </c>
      <c r="D1571" s="1">
        <v>4.6604600000000002E-4</v>
      </c>
      <c r="E1571" s="1">
        <v>7.06691E-3</v>
      </c>
      <c r="F1571" s="1">
        <v>-1.0154700000000001E-3</v>
      </c>
      <c r="G1571" s="1">
        <v>1.41835E-7</v>
      </c>
      <c r="H1571" s="1">
        <v>-2.5785499999999998E-4</v>
      </c>
    </row>
    <row r="1572" spans="2:8" x14ac:dyDescent="0.25">
      <c r="B1572" s="1">
        <v>268.22199999999998</v>
      </c>
      <c r="C1572" s="1">
        <v>-6.6498599999999996E-3</v>
      </c>
      <c r="D1572" s="1">
        <v>4.56797E-4</v>
      </c>
      <c r="E1572" s="1">
        <v>6.9711599999999997E-3</v>
      </c>
      <c r="F1572" s="1">
        <v>-1.03841E-3</v>
      </c>
      <c r="G1572" s="1">
        <v>2.64996E-7</v>
      </c>
      <c r="H1572" s="1">
        <v>-2.6004400000000002E-4</v>
      </c>
    </row>
    <row r="1573" spans="2:8" x14ac:dyDescent="0.25">
      <c r="B1573" s="1">
        <v>270.34800000000001</v>
      </c>
      <c r="C1573" s="1">
        <v>-6.5271499999999998E-3</v>
      </c>
      <c r="D1573" s="1">
        <v>4.4772600000000002E-4</v>
      </c>
      <c r="E1573" s="1">
        <v>6.87968E-3</v>
      </c>
      <c r="F1573" s="1">
        <v>-1.0625299999999999E-3</v>
      </c>
      <c r="G1573" s="1">
        <v>3.5040000000000001E-7</v>
      </c>
      <c r="H1573" s="1">
        <v>-2.6192899999999999E-4</v>
      </c>
    </row>
    <row r="1574" spans="2:8" x14ac:dyDescent="0.25">
      <c r="B1574" s="1">
        <v>272.47399999999999</v>
      </c>
      <c r="C1574" s="1">
        <v>-6.4072199999999999E-3</v>
      </c>
      <c r="D1574" s="1">
        <v>4.3882900000000001E-4</v>
      </c>
      <c r="E1574" s="1">
        <v>6.7920699999999999E-3</v>
      </c>
      <c r="F1574" s="1">
        <v>-1.0874400000000001E-3</v>
      </c>
      <c r="G1574" s="1">
        <v>3.1671999999999999E-7</v>
      </c>
      <c r="H1574" s="1">
        <v>-2.6345900000000001E-4</v>
      </c>
    </row>
    <row r="1575" spans="2:8" x14ac:dyDescent="0.25">
      <c r="B1575" s="1">
        <v>274.60000000000002</v>
      </c>
      <c r="C1575" s="1">
        <v>-6.2896699999999998E-3</v>
      </c>
      <c r="D1575" s="1">
        <v>4.30066E-4</v>
      </c>
      <c r="E1575" s="1">
        <v>6.70764E-3</v>
      </c>
      <c r="F1575" s="1">
        <v>-1.1127999999999999E-3</v>
      </c>
      <c r="G1575" s="1">
        <v>1.7730300000000001E-7</v>
      </c>
      <c r="H1575" s="1">
        <v>-2.6458299999999998E-4</v>
      </c>
    </row>
    <row r="1576" spans="2:8" x14ac:dyDescent="0.25">
      <c r="B1576" s="1">
        <v>276.72699999999998</v>
      </c>
      <c r="C1576" s="1">
        <v>-6.1738699999999997E-3</v>
      </c>
      <c r="D1576" s="1">
        <v>4.21397E-4</v>
      </c>
      <c r="E1576" s="1">
        <v>6.6253900000000001E-3</v>
      </c>
      <c r="F1576" s="1">
        <v>-1.13817E-3</v>
      </c>
      <c r="G1576" s="1">
        <v>-4.8236000000000003E-8</v>
      </c>
      <c r="H1576" s="1">
        <v>-2.65297E-4</v>
      </c>
    </row>
    <row r="1577" spans="2:8" x14ac:dyDescent="0.25">
      <c r="B1577" s="1">
        <v>278.85300000000001</v>
      </c>
      <c r="C1577" s="1">
        <v>-6.0590899999999996E-3</v>
      </c>
      <c r="D1577" s="1">
        <v>4.1278799999999998E-4</v>
      </c>
      <c r="E1577" s="1">
        <v>6.5437100000000003E-3</v>
      </c>
      <c r="F1577" s="1">
        <v>-1.1626399999999999E-3</v>
      </c>
      <c r="G1577" s="1">
        <v>-3.5322900000000002E-7</v>
      </c>
      <c r="H1577" s="1">
        <v>-2.6558899999999999E-4</v>
      </c>
    </row>
    <row r="1578" spans="2:8" x14ac:dyDescent="0.25">
      <c r="B1578" s="1">
        <v>280.98099999999999</v>
      </c>
      <c r="C1578" s="1">
        <v>-5.9445699999999997E-3</v>
      </c>
      <c r="D1578" s="1">
        <v>4.04199E-4</v>
      </c>
      <c r="E1578" s="1">
        <v>6.4604500000000004E-3</v>
      </c>
      <c r="F1578" s="1">
        <v>-1.1848E-3</v>
      </c>
      <c r="G1578" s="1">
        <v>-6.7481899999999998E-7</v>
      </c>
      <c r="H1578" s="1">
        <v>-2.6539800000000002E-4</v>
      </c>
    </row>
    <row r="1579" spans="2:8" x14ac:dyDescent="0.25">
      <c r="B1579" s="1">
        <v>283.108</v>
      </c>
      <c r="C1579" s="1">
        <v>-5.8295600000000001E-3</v>
      </c>
      <c r="D1579" s="1">
        <v>3.95595E-4</v>
      </c>
      <c r="E1579" s="1">
        <v>6.37362E-3</v>
      </c>
      <c r="F1579" s="1">
        <v>-1.2033899999999999E-3</v>
      </c>
      <c r="G1579" s="1">
        <v>-9.1917300000000002E-7</v>
      </c>
      <c r="H1579" s="1">
        <v>-2.6466100000000002E-4</v>
      </c>
    </row>
    <row r="1580" spans="2:8" x14ac:dyDescent="0.25">
      <c r="B1580" s="1">
        <v>285.23599999999999</v>
      </c>
      <c r="C1580" s="1">
        <v>-5.7135199999999997E-3</v>
      </c>
      <c r="D1580" s="1">
        <v>3.8696999999999999E-4</v>
      </c>
      <c r="E1580" s="1">
        <v>6.2818400000000003E-3</v>
      </c>
      <c r="F1580" s="1">
        <v>-1.2176000000000001E-3</v>
      </c>
      <c r="G1580" s="1">
        <v>-1.02939E-6</v>
      </c>
      <c r="H1580" s="1">
        <v>-2.6334399999999999E-4</v>
      </c>
    </row>
    <row r="1581" spans="2:8" x14ac:dyDescent="0.25">
      <c r="B1581" s="1">
        <v>287.363</v>
      </c>
      <c r="C1581" s="1">
        <v>-5.5962299999999998E-3</v>
      </c>
      <c r="D1581" s="1">
        <v>3.78353E-4</v>
      </c>
      <c r="E1581" s="1">
        <v>6.18448E-3</v>
      </c>
      <c r="F1581" s="1">
        <v>-1.22707E-3</v>
      </c>
      <c r="G1581" s="1">
        <v>-1.01265E-6</v>
      </c>
      <c r="H1581" s="1">
        <v>-2.6147600000000002E-4</v>
      </c>
    </row>
    <row r="1582" spans="2:8" x14ac:dyDescent="0.25">
      <c r="B1582" s="1">
        <v>289.49200000000002</v>
      </c>
      <c r="C1582" s="1">
        <v>-5.4777799999999998E-3</v>
      </c>
      <c r="D1582" s="1">
        <v>3.6980299999999998E-4</v>
      </c>
      <c r="E1582" s="1">
        <v>6.0815699999999997E-3</v>
      </c>
      <c r="F1582" s="1">
        <v>-1.2318100000000001E-3</v>
      </c>
      <c r="G1582" s="1">
        <v>-9.4117599999999996E-7</v>
      </c>
      <c r="H1582" s="1">
        <v>-2.59151E-4</v>
      </c>
    </row>
    <row r="1583" spans="2:8" x14ac:dyDescent="0.25">
      <c r="B1583" s="1">
        <v>291.62</v>
      </c>
      <c r="C1583" s="1">
        <v>-5.3584499999999998E-3</v>
      </c>
      <c r="D1583" s="1">
        <v>3.6139700000000001E-4</v>
      </c>
      <c r="E1583" s="1">
        <v>5.9737699999999998E-3</v>
      </c>
      <c r="F1583" s="1">
        <v>-1.23234E-3</v>
      </c>
      <c r="G1583" s="1">
        <v>-9.0821999999999996E-7</v>
      </c>
      <c r="H1583" s="1">
        <v>-2.5652200000000002E-4</v>
      </c>
    </row>
    <row r="1584" spans="2:8" x14ac:dyDescent="0.25">
      <c r="B1584" s="1">
        <v>293.74799999999999</v>
      </c>
      <c r="C1584" s="1">
        <v>-5.23851E-3</v>
      </c>
      <c r="D1584" s="1">
        <v>3.5319099999999999E-4</v>
      </c>
      <c r="E1584" s="1">
        <v>5.8621699999999999E-3</v>
      </c>
      <c r="F1584" s="1">
        <v>-1.22967E-3</v>
      </c>
      <c r="G1584" s="1">
        <v>-9.3976499999999997E-7</v>
      </c>
      <c r="H1584" s="1">
        <v>-2.53749E-4</v>
      </c>
    </row>
    <row r="1585" spans="2:8" x14ac:dyDescent="0.25">
      <c r="B1585" s="1">
        <v>295.87599999999998</v>
      </c>
      <c r="C1585" s="1">
        <v>-5.1181200000000003E-3</v>
      </c>
      <c r="D1585" s="1">
        <v>3.4519900000000003E-4</v>
      </c>
      <c r="E1585" s="1">
        <v>5.7479899999999997E-3</v>
      </c>
      <c r="F1585" s="1">
        <v>-1.22503E-3</v>
      </c>
      <c r="G1585" s="1">
        <v>-9.895419999999999E-7</v>
      </c>
      <c r="H1585" s="1">
        <v>-2.5094499999999998E-4</v>
      </c>
    </row>
    <row r="1586" spans="2:8" x14ac:dyDescent="0.25">
      <c r="B1586" s="1">
        <v>298.005</v>
      </c>
      <c r="C1586" s="1">
        <v>-4.9974399999999997E-3</v>
      </c>
      <c r="D1586" s="1">
        <v>3.37399E-4</v>
      </c>
      <c r="E1586" s="1">
        <v>5.6323399999999996E-3</v>
      </c>
      <c r="F1586" s="1">
        <v>-1.21948E-3</v>
      </c>
      <c r="G1586" s="1">
        <v>-9.9794800000000006E-7</v>
      </c>
      <c r="H1586" s="1">
        <v>-2.48175E-4</v>
      </c>
    </row>
    <row r="1587" spans="2:8" x14ac:dyDescent="0.25">
      <c r="B1587" s="1">
        <v>300.13400000000001</v>
      </c>
      <c r="C1587" s="1">
        <v>-4.8766900000000004E-3</v>
      </c>
      <c r="D1587" s="1">
        <v>3.2976300000000001E-4</v>
      </c>
      <c r="E1587" s="1">
        <v>5.51601E-3</v>
      </c>
      <c r="F1587" s="1">
        <v>-1.21357E-3</v>
      </c>
      <c r="G1587" s="1">
        <v>-9.8868599999999999E-7</v>
      </c>
      <c r="H1587" s="1">
        <v>-2.4547399999999997E-4</v>
      </c>
    </row>
    <row r="1588" spans="2:8" x14ac:dyDescent="0.25">
      <c r="B1588" s="1">
        <v>302.26299999999998</v>
      </c>
      <c r="C1588" s="1">
        <v>-4.7560900000000001E-3</v>
      </c>
      <c r="D1588" s="1">
        <v>3.2223899999999999E-4</v>
      </c>
      <c r="E1588" s="1">
        <v>5.3995800000000002E-3</v>
      </c>
      <c r="F1588" s="1">
        <v>-1.20757E-3</v>
      </c>
      <c r="G1588" s="1">
        <v>-1.0234E-6</v>
      </c>
      <c r="H1588" s="1">
        <v>-2.42871E-4</v>
      </c>
    </row>
    <row r="1589" spans="2:8" x14ac:dyDescent="0.25">
      <c r="B1589" s="1">
        <v>304.39299999999997</v>
      </c>
      <c r="C1589" s="1">
        <v>-4.6357899999999999E-3</v>
      </c>
      <c r="D1589" s="1">
        <v>3.1474900000000002E-4</v>
      </c>
      <c r="E1589" s="1">
        <v>5.2833799999999998E-3</v>
      </c>
      <c r="F1589" s="1">
        <v>-1.2015999999999999E-3</v>
      </c>
      <c r="G1589" s="1">
        <v>-1.08068E-6</v>
      </c>
      <c r="H1589" s="1">
        <v>-2.4034600000000001E-4</v>
      </c>
    </row>
    <row r="1590" spans="2:8" x14ac:dyDescent="0.25">
      <c r="B1590" s="1">
        <v>306.52199999999999</v>
      </c>
      <c r="C1590" s="1">
        <v>-4.5158100000000003E-3</v>
      </c>
      <c r="D1590" s="1">
        <v>3.0720500000000001E-4</v>
      </c>
      <c r="E1590" s="1">
        <v>5.1674099999999999E-3</v>
      </c>
      <c r="F1590" s="1">
        <v>-1.19552E-3</v>
      </c>
      <c r="G1590" s="1">
        <v>-1.10724E-6</v>
      </c>
      <c r="H1590" s="1">
        <v>-2.37829E-4</v>
      </c>
    </row>
    <row r="1591" spans="2:8" x14ac:dyDescent="0.25">
      <c r="B1591" s="1">
        <v>308.65100000000001</v>
      </c>
      <c r="C1591" s="1">
        <v>-4.3961299999999998E-3</v>
      </c>
      <c r="D1591" s="1">
        <v>2.9954800000000001E-4</v>
      </c>
      <c r="E1591" s="1">
        <v>5.0514499999999999E-3</v>
      </c>
      <c r="F1591" s="1">
        <v>-1.18899E-3</v>
      </c>
      <c r="G1591" s="1">
        <v>-1.0929500000000001E-6</v>
      </c>
      <c r="H1591" s="1">
        <v>-2.3522699999999999E-4</v>
      </c>
    </row>
    <row r="1592" spans="2:8" x14ac:dyDescent="0.25">
      <c r="B1592" s="1">
        <v>310.78100000000001</v>
      </c>
      <c r="C1592" s="1">
        <v>-4.2767600000000001E-3</v>
      </c>
      <c r="D1592" s="1">
        <v>2.9176400000000002E-4</v>
      </c>
      <c r="E1592" s="1">
        <v>4.9350599999999998E-3</v>
      </c>
      <c r="F1592" s="1">
        <v>-1.1814900000000001E-3</v>
      </c>
      <c r="G1592" s="1">
        <v>-1.05529E-6</v>
      </c>
      <c r="H1592" s="1">
        <v>-2.3248299999999999E-4</v>
      </c>
    </row>
    <row r="1593" spans="2:8" x14ac:dyDescent="0.25">
      <c r="B1593" s="1">
        <v>312.911</v>
      </c>
      <c r="C1593" s="1">
        <v>-4.1576699999999996E-3</v>
      </c>
      <c r="D1593" s="1">
        <v>2.8387300000000002E-4</v>
      </c>
      <c r="E1593" s="1">
        <v>4.8176399999999998E-3</v>
      </c>
      <c r="F1593" s="1">
        <v>-1.17235E-3</v>
      </c>
      <c r="G1593" s="1">
        <v>-1.02327E-6</v>
      </c>
      <c r="H1593" s="1">
        <v>-2.29531E-4</v>
      </c>
    </row>
    <row r="1594" spans="2:8" x14ac:dyDescent="0.25">
      <c r="B1594" s="1">
        <v>315.04199999999997</v>
      </c>
      <c r="C1594" s="1">
        <v>-4.0387499999999998E-3</v>
      </c>
      <c r="D1594" s="1">
        <v>2.7590200000000002E-4</v>
      </c>
      <c r="E1594" s="1">
        <v>4.6984899999999996E-3</v>
      </c>
      <c r="F1594" s="1">
        <v>-1.1609400000000001E-3</v>
      </c>
      <c r="G1594" s="1">
        <v>-1.0194299999999999E-6</v>
      </c>
      <c r="H1594" s="1">
        <v>-2.2631600000000001E-4</v>
      </c>
    </row>
    <row r="1595" spans="2:8" x14ac:dyDescent="0.25">
      <c r="B1595" s="1">
        <v>317.17200000000003</v>
      </c>
      <c r="C1595" s="1">
        <v>-3.9198799999999997E-3</v>
      </c>
      <c r="D1595" s="1">
        <v>2.6786099999999999E-4</v>
      </c>
      <c r="E1595" s="1">
        <v>4.57706E-3</v>
      </c>
      <c r="F1595" s="1">
        <v>-1.14685E-3</v>
      </c>
      <c r="G1595" s="1">
        <v>-9.6885800000000006E-7</v>
      </c>
      <c r="H1595" s="1">
        <v>-2.2277399999999999E-4</v>
      </c>
    </row>
    <row r="1596" spans="2:8" x14ac:dyDescent="0.25">
      <c r="B1596" s="1">
        <v>319.30200000000002</v>
      </c>
      <c r="C1596" s="1">
        <v>-3.8010299999999999E-3</v>
      </c>
      <c r="D1596" s="1">
        <v>2.5976299999999999E-4</v>
      </c>
      <c r="E1596" s="1">
        <v>4.4531700000000002E-3</v>
      </c>
      <c r="F1596" s="1">
        <v>-1.1299000000000001E-3</v>
      </c>
      <c r="G1596" s="1">
        <v>-8.2659100000000002E-7</v>
      </c>
      <c r="H1596" s="1">
        <v>-2.1882E-4</v>
      </c>
    </row>
    <row r="1597" spans="2:8" x14ac:dyDescent="0.25">
      <c r="B1597" s="1">
        <v>321.43299999999999</v>
      </c>
      <c r="C1597" s="1">
        <v>-3.6823799999999999E-3</v>
      </c>
      <c r="D1597" s="1">
        <v>2.5165099999999998E-4</v>
      </c>
      <c r="E1597" s="1">
        <v>4.3269500000000004E-3</v>
      </c>
      <c r="F1597" s="1">
        <v>-1.1099700000000001E-3</v>
      </c>
      <c r="G1597" s="1">
        <v>-6.5982099999999996E-7</v>
      </c>
      <c r="H1597" s="1">
        <v>-2.14408E-4</v>
      </c>
    </row>
    <row r="1598" spans="2:8" x14ac:dyDescent="0.25">
      <c r="B1598" s="1">
        <v>323.56299999999999</v>
      </c>
      <c r="C1598" s="1">
        <v>-3.56413E-3</v>
      </c>
      <c r="D1598" s="1">
        <v>2.4356599999999999E-4</v>
      </c>
      <c r="E1598" s="1">
        <v>4.1990100000000004E-3</v>
      </c>
      <c r="F1598" s="1">
        <v>-1.0874299999999999E-3</v>
      </c>
      <c r="G1598" s="1">
        <v>-5.5684799999999996E-7</v>
      </c>
      <c r="H1598" s="1">
        <v>-2.09533E-4</v>
      </c>
    </row>
    <row r="1599" spans="2:8" x14ac:dyDescent="0.25">
      <c r="B1599" s="1">
        <v>325.69400000000002</v>
      </c>
      <c r="C1599" s="1">
        <v>-3.4462999999999998E-3</v>
      </c>
      <c r="D1599" s="1">
        <v>2.3551999999999999E-4</v>
      </c>
      <c r="E1599" s="1">
        <v>4.0704000000000001E-3</v>
      </c>
      <c r="F1599" s="1">
        <v>-1.0633000000000001E-3</v>
      </c>
      <c r="G1599" s="1">
        <v>-5.5432099999999998E-7</v>
      </c>
      <c r="H1599" s="1">
        <v>-2.0423199999999999E-4</v>
      </c>
    </row>
    <row r="1600" spans="2:8" x14ac:dyDescent="0.25">
      <c r="B1600" s="1">
        <v>327.82600000000002</v>
      </c>
      <c r="C1600" s="1">
        <v>-3.3287099999999999E-3</v>
      </c>
      <c r="D1600" s="1">
        <v>2.27486E-4</v>
      </c>
      <c r="E1600" s="1">
        <v>3.9422199999999998E-3</v>
      </c>
      <c r="F1600" s="1">
        <v>-1.03893E-3</v>
      </c>
      <c r="G1600" s="1">
        <v>-6.5171E-7</v>
      </c>
      <c r="H1600" s="1">
        <v>-1.9858500000000001E-4</v>
      </c>
    </row>
    <row r="1601" spans="2:8" x14ac:dyDescent="0.25">
      <c r="B1601" s="1">
        <v>329.95600000000002</v>
      </c>
      <c r="C1601" s="1">
        <v>-3.2109500000000002E-3</v>
      </c>
      <c r="D1601" s="1">
        <v>2.1940600000000001E-4</v>
      </c>
      <c r="E1601" s="1">
        <v>3.8151999999999999E-3</v>
      </c>
      <c r="F1601" s="1">
        <v>-1.0155100000000001E-3</v>
      </c>
      <c r="G1601" s="1">
        <v>-7.8785400000000001E-7</v>
      </c>
      <c r="H1601" s="1">
        <v>-1.92642E-4</v>
      </c>
    </row>
    <row r="1602" spans="2:8" x14ac:dyDescent="0.25">
      <c r="B1602" s="1">
        <v>332.08800000000002</v>
      </c>
      <c r="C1602" s="1">
        <v>-3.0925599999999998E-3</v>
      </c>
      <c r="D1602" s="1">
        <v>2.1121000000000001E-4</v>
      </c>
      <c r="E1602" s="1">
        <v>3.68952E-3</v>
      </c>
      <c r="F1602" s="1">
        <v>-9.9377499999999991E-4</v>
      </c>
      <c r="G1602" s="1">
        <v>-8.25666E-7</v>
      </c>
      <c r="H1602" s="1">
        <v>-1.8642600000000001E-4</v>
      </c>
    </row>
    <row r="1603" spans="2:8" x14ac:dyDescent="0.25">
      <c r="B1603" s="1">
        <v>334.21899999999999</v>
      </c>
      <c r="C1603" s="1">
        <v>-2.9733200000000002E-3</v>
      </c>
      <c r="D1603" s="1">
        <v>2.0288399999999999E-4</v>
      </c>
      <c r="E1603" s="1">
        <v>3.5651799999999998E-3</v>
      </c>
      <c r="F1603" s="1">
        <v>-9.7403400000000003E-4</v>
      </c>
      <c r="G1603" s="1">
        <v>-6.7009100000000001E-7</v>
      </c>
      <c r="H1603" s="1">
        <v>-1.7995700000000001E-4</v>
      </c>
    </row>
    <row r="1604" spans="2:8" x14ac:dyDescent="0.25">
      <c r="B1604" s="1">
        <v>336.35</v>
      </c>
      <c r="C1604" s="1">
        <v>-2.8534300000000001E-3</v>
      </c>
      <c r="D1604" s="1">
        <v>1.94494E-4</v>
      </c>
      <c r="E1604" s="1">
        <v>3.4422900000000002E-3</v>
      </c>
      <c r="F1604" s="1">
        <v>-9.5625599999999995E-4</v>
      </c>
      <c r="G1604" s="1">
        <v>-3.7359E-7</v>
      </c>
      <c r="H1604" s="1">
        <v>-1.73275E-4</v>
      </c>
    </row>
    <row r="1605" spans="2:8" x14ac:dyDescent="0.25">
      <c r="B1605" s="1">
        <v>338.48200000000003</v>
      </c>
      <c r="C1605" s="1">
        <v>-2.7333800000000001E-3</v>
      </c>
      <c r="D1605" s="1">
        <v>1.8615799999999999E-4</v>
      </c>
      <c r="E1605" s="1">
        <v>3.3211E-3</v>
      </c>
      <c r="F1605" s="1">
        <v>-9.4025900000000004E-4</v>
      </c>
      <c r="G1605" s="1">
        <v>-8.2299000000000001E-8</v>
      </c>
      <c r="H1605" s="1">
        <v>-1.6647299999999999E-4</v>
      </c>
    </row>
    <row r="1606" spans="2:8" x14ac:dyDescent="0.25">
      <c r="B1606" s="1">
        <v>340.61399999999998</v>
      </c>
      <c r="C1606" s="1">
        <v>-2.6137600000000001E-3</v>
      </c>
      <c r="D1606" s="1">
        <v>1.7796500000000001E-4</v>
      </c>
      <c r="E1606" s="1">
        <v>3.2017500000000002E-3</v>
      </c>
      <c r="F1606" s="1">
        <v>-9.25693E-4</v>
      </c>
      <c r="G1606" s="1">
        <v>9.9250000000000005E-8</v>
      </c>
      <c r="H1606" s="1">
        <v>-1.5964000000000001E-4</v>
      </c>
    </row>
    <row r="1607" spans="2:8" x14ac:dyDescent="0.25">
      <c r="B1607" s="1">
        <v>342.745</v>
      </c>
      <c r="C1607" s="1">
        <v>-2.4949299999999998E-3</v>
      </c>
      <c r="D1607" s="1">
        <v>1.6993100000000001E-4</v>
      </c>
      <c r="E1607" s="1">
        <v>3.0840500000000001E-3</v>
      </c>
      <c r="F1607" s="1">
        <v>-9.1203300000000003E-4</v>
      </c>
      <c r="G1607" s="1">
        <v>1.6635999999999999E-7</v>
      </c>
      <c r="H1607" s="1">
        <v>-1.5281999999999999E-4</v>
      </c>
    </row>
    <row r="1608" spans="2:8" x14ac:dyDescent="0.25">
      <c r="B1608" s="1">
        <v>344.87799999999999</v>
      </c>
      <c r="C1608" s="1">
        <v>-2.37711E-3</v>
      </c>
      <c r="D1608" s="1">
        <v>1.6201099999999999E-4</v>
      </c>
      <c r="E1608" s="1">
        <v>2.9674100000000002E-3</v>
      </c>
      <c r="F1608" s="1">
        <v>-8.9851799999999995E-4</v>
      </c>
      <c r="G1608" s="1">
        <v>1.9017499999999999E-7</v>
      </c>
      <c r="H1608" s="1">
        <v>-1.46021E-4</v>
      </c>
    </row>
    <row r="1609" spans="2:8" x14ac:dyDescent="0.25">
      <c r="B1609" s="1">
        <v>347.01</v>
      </c>
      <c r="C1609" s="1">
        <v>-2.2604000000000001E-3</v>
      </c>
      <c r="D1609" s="1">
        <v>1.54148E-4</v>
      </c>
      <c r="E1609" s="1">
        <v>2.85097E-3</v>
      </c>
      <c r="F1609" s="1">
        <v>-8.8421500000000004E-4</v>
      </c>
      <c r="G1609" s="1">
        <v>2.4907500000000003E-7</v>
      </c>
      <c r="H1609" s="1">
        <v>-1.39252E-4</v>
      </c>
    </row>
    <row r="1610" spans="2:8" x14ac:dyDescent="0.25">
      <c r="B1610" s="1">
        <v>349.142</v>
      </c>
      <c r="C1610" s="1">
        <v>-2.1449400000000001E-3</v>
      </c>
      <c r="D1610" s="1">
        <v>1.4631600000000001E-4</v>
      </c>
      <c r="E1610" s="1">
        <v>2.7336999999999999E-3</v>
      </c>
      <c r="F1610" s="1">
        <v>-8.6798799999999998E-4</v>
      </c>
      <c r="G1610" s="1">
        <v>3.7816500000000002E-7</v>
      </c>
      <c r="H1610" s="1">
        <v>-1.32531E-4</v>
      </c>
    </row>
    <row r="1611" spans="2:8" x14ac:dyDescent="0.25">
      <c r="B1611" s="1">
        <v>351.274</v>
      </c>
      <c r="C1611" s="1">
        <v>-2.0309400000000002E-3</v>
      </c>
      <c r="D1611" s="1">
        <v>1.38529E-4</v>
      </c>
      <c r="E1611" s="1">
        <v>2.6145700000000001E-3</v>
      </c>
      <c r="F1611" s="1">
        <v>-8.4860299999999997E-4</v>
      </c>
      <c r="G1611" s="1">
        <v>5.5776199999999999E-7</v>
      </c>
      <c r="H1611" s="1">
        <v>-1.2588599999999999E-4</v>
      </c>
    </row>
    <row r="1612" spans="2:8" x14ac:dyDescent="0.25">
      <c r="B1612" s="1">
        <v>353.40600000000001</v>
      </c>
      <c r="C1612" s="1">
        <v>-1.91862E-3</v>
      </c>
      <c r="D1612" s="1">
        <v>1.30822E-4</v>
      </c>
      <c r="E1612" s="1">
        <v>2.4928300000000001E-3</v>
      </c>
      <c r="F1612" s="1">
        <v>-8.2510000000000005E-4</v>
      </c>
      <c r="G1612" s="1">
        <v>7.36866E-7</v>
      </c>
      <c r="H1612" s="1">
        <v>-1.19327E-4</v>
      </c>
    </row>
    <row r="1613" spans="2:8" x14ac:dyDescent="0.25">
      <c r="B1613" s="1">
        <v>355.53899999999999</v>
      </c>
      <c r="C1613" s="1">
        <v>-1.8081499999999999E-3</v>
      </c>
      <c r="D1613" s="1">
        <v>1.2323299999999999E-4</v>
      </c>
      <c r="E1613" s="1">
        <v>2.3683699999999999E-3</v>
      </c>
      <c r="F1613" s="1">
        <v>-7.9719299999999997E-4</v>
      </c>
      <c r="G1613" s="1">
        <v>8.6562099999999997E-7</v>
      </c>
      <c r="H1613" s="1">
        <v>-1.1287500000000001E-4</v>
      </c>
    </row>
    <row r="1614" spans="2:8" x14ac:dyDescent="0.25">
      <c r="B1614" s="1">
        <v>357.67099999999999</v>
      </c>
      <c r="C1614" s="1">
        <v>-1.69959E-3</v>
      </c>
      <c r="D1614" s="1">
        <v>1.1578000000000001E-4</v>
      </c>
      <c r="E1614" s="1">
        <v>2.2417100000000001E-3</v>
      </c>
      <c r="F1614" s="1">
        <v>-7.65382E-4</v>
      </c>
      <c r="G1614" s="1">
        <v>9.2097399999999997E-7</v>
      </c>
      <c r="H1614" s="1">
        <v>-1.06556E-4</v>
      </c>
    </row>
    <row r="1615" spans="2:8" x14ac:dyDescent="0.25">
      <c r="B1615" s="1">
        <v>359.80399999999997</v>
      </c>
      <c r="C1615" s="1">
        <v>-1.5928699999999999E-3</v>
      </c>
      <c r="D1615" s="1">
        <v>1.08447E-4</v>
      </c>
      <c r="E1615" s="1">
        <v>2.1138200000000002E-3</v>
      </c>
      <c r="F1615" s="1">
        <v>-7.3072199999999995E-4</v>
      </c>
      <c r="G1615" s="1">
        <v>9.4072300000000005E-7</v>
      </c>
      <c r="H1615" s="1">
        <v>-1.00385E-4</v>
      </c>
    </row>
    <row r="1616" spans="2:8" x14ac:dyDescent="0.25">
      <c r="B1616" s="1">
        <v>361.93700000000001</v>
      </c>
      <c r="C1616" s="1">
        <v>-1.4879100000000001E-3</v>
      </c>
      <c r="D1616" s="1">
        <v>1.0119399999999999E-4</v>
      </c>
      <c r="E1616" s="1">
        <v>1.9857E-3</v>
      </c>
      <c r="F1616" s="1">
        <v>-6.9435799999999995E-4</v>
      </c>
      <c r="G1616" s="1">
        <v>9.8415199999999998E-7</v>
      </c>
      <c r="H1616" s="1">
        <v>-9.4382299999999999E-5</v>
      </c>
    </row>
    <row r="1617" spans="2:8" x14ac:dyDescent="0.25">
      <c r="B1617" s="1">
        <v>364.06900000000002</v>
      </c>
      <c r="C1617" s="1">
        <v>-1.3846500000000001E-3</v>
      </c>
      <c r="D1617" s="1">
        <v>9.399E-5</v>
      </c>
      <c r="E1617" s="1">
        <v>1.85808E-3</v>
      </c>
      <c r="F1617" s="1">
        <v>-6.5705099999999997E-4</v>
      </c>
      <c r="G1617" s="1">
        <v>1.08744E-6</v>
      </c>
      <c r="H1617" s="1">
        <v>-8.8538899999999994E-5</v>
      </c>
    </row>
    <row r="1618" spans="2:8" x14ac:dyDescent="0.25">
      <c r="B1618" s="1">
        <v>366.202</v>
      </c>
      <c r="C1618" s="1">
        <v>-1.2831699999999999E-3</v>
      </c>
      <c r="D1618" s="1">
        <v>8.6839099999999993E-5</v>
      </c>
      <c r="E1618" s="1">
        <v>1.73124E-3</v>
      </c>
      <c r="F1618" s="1">
        <v>-6.1894599999999999E-4</v>
      </c>
      <c r="G1618" s="1">
        <v>1.22405E-6</v>
      </c>
      <c r="H1618" s="1">
        <v>-8.2807799999999997E-5</v>
      </c>
    </row>
    <row r="1619" spans="2:8" x14ac:dyDescent="0.25">
      <c r="B1619" s="1">
        <v>368.33499999999998</v>
      </c>
      <c r="C1619" s="1">
        <v>-1.1835700000000001E-3</v>
      </c>
      <c r="D1619" s="1">
        <v>7.9781800000000002E-5</v>
      </c>
      <c r="E1619" s="1">
        <v>1.6050700000000001E-3</v>
      </c>
      <c r="F1619" s="1">
        <v>-5.7971900000000002E-4</v>
      </c>
      <c r="G1619" s="1">
        <v>1.3003799999999999E-6</v>
      </c>
      <c r="H1619" s="1">
        <v>-7.7142899999999996E-5</v>
      </c>
    </row>
    <row r="1620" spans="2:8" x14ac:dyDescent="0.25">
      <c r="B1620" s="1">
        <v>370.46800000000002</v>
      </c>
      <c r="C1620" s="1">
        <v>-1.0858899999999999E-3</v>
      </c>
      <c r="D1620" s="1">
        <v>7.2868300000000002E-5</v>
      </c>
      <c r="E1620" s="1">
        <v>1.47923E-3</v>
      </c>
      <c r="F1620" s="1">
        <v>-5.3894800000000003E-4</v>
      </c>
      <c r="G1620" s="1">
        <v>1.2502699999999999E-6</v>
      </c>
      <c r="H1620" s="1">
        <v>-7.1488600000000005E-5</v>
      </c>
    </row>
    <row r="1621" spans="2:8" x14ac:dyDescent="0.25">
      <c r="B1621" s="1">
        <v>372.601</v>
      </c>
      <c r="C1621" s="1">
        <v>-9.9000499999999996E-4</v>
      </c>
      <c r="D1621" s="1">
        <v>6.6132799999999998E-5</v>
      </c>
      <c r="E1621" s="1">
        <v>1.3534E-3</v>
      </c>
      <c r="F1621" s="1">
        <v>-4.9638999999999998E-4</v>
      </c>
      <c r="G1621" s="1">
        <v>1.0858400000000001E-6</v>
      </c>
      <c r="H1621" s="1">
        <v>-6.57785E-5</v>
      </c>
    </row>
    <row r="1622" spans="2:8" x14ac:dyDescent="0.25">
      <c r="B1622" s="1">
        <v>374.73399999999998</v>
      </c>
      <c r="C1622" s="1">
        <v>-8.95622E-4</v>
      </c>
      <c r="D1622" s="1">
        <v>5.9589800000000003E-5</v>
      </c>
      <c r="E1622" s="1">
        <v>1.22729E-3</v>
      </c>
      <c r="F1622" s="1">
        <v>-4.52077E-4</v>
      </c>
      <c r="G1622" s="1">
        <v>8.3969400000000003E-7</v>
      </c>
      <c r="H1622" s="1">
        <v>-5.9977399999999999E-5</v>
      </c>
    </row>
    <row r="1623" spans="2:8" x14ac:dyDescent="0.25">
      <c r="B1623" s="1">
        <v>376.86700000000002</v>
      </c>
      <c r="C1623" s="1">
        <v>-8.0230199999999996E-4</v>
      </c>
      <c r="D1623" s="1">
        <v>5.3226899999999997E-5</v>
      </c>
      <c r="E1623" s="1">
        <v>1.10074E-3</v>
      </c>
      <c r="F1623" s="1">
        <v>-4.0627099999999999E-4</v>
      </c>
      <c r="G1623" s="1">
        <v>5.3826799999999996E-7</v>
      </c>
      <c r="H1623" s="1">
        <v>-5.4068199999999998E-5</v>
      </c>
    </row>
    <row r="1624" spans="2:8" x14ac:dyDescent="0.25">
      <c r="B1624" s="1">
        <v>379</v>
      </c>
      <c r="C1624" s="1">
        <v>-7.0950500000000003E-4</v>
      </c>
      <c r="D1624" s="1">
        <v>4.6991499999999999E-5</v>
      </c>
      <c r="E1624" s="1">
        <v>9.7365600000000004E-4</v>
      </c>
      <c r="F1624" s="1">
        <v>-3.5940899999999999E-4</v>
      </c>
      <c r="G1624" s="1">
        <v>2.27576E-7</v>
      </c>
      <c r="H1624" s="1">
        <v>-4.8041599999999998E-5</v>
      </c>
    </row>
    <row r="1625" spans="2:8" x14ac:dyDescent="0.25">
      <c r="B1625" s="1">
        <v>381.13400000000001</v>
      </c>
      <c r="C1625" s="1">
        <v>-6.1666100000000001E-4</v>
      </c>
      <c r="D1625" s="1">
        <v>4.0799300000000001E-5</v>
      </c>
      <c r="E1625" s="1">
        <v>8.4597600000000002E-4</v>
      </c>
      <c r="F1625" s="1">
        <v>-3.1198899999999998E-4</v>
      </c>
      <c r="G1625" s="1">
        <v>-2.54286E-8</v>
      </c>
      <c r="H1625" s="1">
        <v>-4.1900500000000003E-5</v>
      </c>
    </row>
    <row r="1626" spans="2:8" x14ac:dyDescent="0.25">
      <c r="B1626" s="1">
        <v>383.267</v>
      </c>
      <c r="C1626" s="1">
        <v>-5.2331399999999998E-4</v>
      </c>
      <c r="D1626" s="1">
        <v>3.4575500000000001E-5</v>
      </c>
      <c r="E1626" s="1">
        <v>7.1762200000000001E-4</v>
      </c>
      <c r="F1626" s="1">
        <v>-2.6436500000000002E-4</v>
      </c>
      <c r="G1626" s="1">
        <v>-1.5783100000000001E-7</v>
      </c>
      <c r="H1626" s="1">
        <v>-3.5639000000000002E-5</v>
      </c>
    </row>
    <row r="1627" spans="2:8" x14ac:dyDescent="0.25">
      <c r="B1627" s="1">
        <v>385.4</v>
      </c>
      <c r="C1627" s="1">
        <v>-4.2924599999999999E-4</v>
      </c>
      <c r="D1627" s="1">
        <v>2.8291599999999999E-5</v>
      </c>
      <c r="E1627" s="1">
        <v>5.8850999999999999E-4</v>
      </c>
      <c r="F1627" s="1">
        <v>-2.16648E-4</v>
      </c>
      <c r="G1627" s="1">
        <v>-1.8078699999999999E-7</v>
      </c>
      <c r="H1627" s="1">
        <v>-2.9272799999999999E-5</v>
      </c>
    </row>
    <row r="1628" spans="2:8" x14ac:dyDescent="0.25">
      <c r="B1628" s="1">
        <v>387.53399999999999</v>
      </c>
      <c r="C1628" s="1">
        <v>-3.3447799999999998E-4</v>
      </c>
      <c r="D1628" s="1">
        <v>2.1968200000000001E-5</v>
      </c>
      <c r="E1628" s="1">
        <v>4.5862499999999999E-4</v>
      </c>
      <c r="F1628" s="1">
        <v>-1.6880700000000001E-4</v>
      </c>
      <c r="G1628" s="1">
        <v>-1.2895500000000001E-7</v>
      </c>
      <c r="H1628" s="1">
        <v>-2.2821400000000001E-5</v>
      </c>
    </row>
    <row r="1629" spans="2:8" x14ac:dyDescent="0.25">
      <c r="B1629" s="1">
        <v>389.66699999999997</v>
      </c>
      <c r="C1629" s="1">
        <v>-2.3919300000000001E-4</v>
      </c>
      <c r="D1629" s="1">
        <v>1.5648E-5</v>
      </c>
      <c r="E1629" s="1">
        <v>3.2807499999999999E-4</v>
      </c>
      <c r="F1629" s="1">
        <v>-1.2079E-4</v>
      </c>
      <c r="G1629" s="1">
        <v>-6.1233500000000004E-8</v>
      </c>
      <c r="H1629" s="1">
        <v>-1.6320800000000001E-5</v>
      </c>
    </row>
    <row r="1630" spans="2:8" x14ac:dyDescent="0.25">
      <c r="B1630" s="1">
        <v>391.8</v>
      </c>
      <c r="C1630" s="1">
        <v>-1.43604E-4</v>
      </c>
      <c r="D1630" s="1">
        <v>9.3631000000000002E-6</v>
      </c>
      <c r="E1630" s="1">
        <v>1.97035E-4</v>
      </c>
      <c r="F1630" s="1">
        <v>-7.2577900000000002E-5</v>
      </c>
      <c r="G1630" s="1">
        <v>-1.5098000000000001E-8</v>
      </c>
      <c r="H1630" s="1">
        <v>-9.7992400000000004E-6</v>
      </c>
    </row>
    <row r="1631" spans="2:8" x14ac:dyDescent="0.25">
      <c r="B1631" s="1">
        <v>393.93299999999999</v>
      </c>
      <c r="C1631" s="1">
        <v>-4.7879500000000001E-5</v>
      </c>
      <c r="D1631" s="1">
        <v>3.11588E-6</v>
      </c>
      <c r="E1631" s="1">
        <v>6.5708499999999996E-5</v>
      </c>
      <c r="F1631" s="1">
        <v>-2.4212499999999999E-5</v>
      </c>
      <c r="G1631" s="1">
        <v>5.4999999999999997E-11</v>
      </c>
      <c r="H1631" s="1">
        <v>-3.2679000000000001E-6</v>
      </c>
    </row>
    <row r="1634" spans="1:8" x14ac:dyDescent="0.25">
      <c r="A1634" t="s">
        <v>398</v>
      </c>
      <c r="B1634" t="s">
        <v>36</v>
      </c>
      <c r="C1634" t="s">
        <v>15</v>
      </c>
      <c r="D1634" t="s">
        <v>117</v>
      </c>
    </row>
    <row r="1635" spans="1:8" x14ac:dyDescent="0.25">
      <c r="B1635" t="s">
        <v>392</v>
      </c>
      <c r="C1635" t="s">
        <v>399</v>
      </c>
      <c r="D1635" t="s">
        <v>400</v>
      </c>
      <c r="E1635" t="s">
        <v>401</v>
      </c>
      <c r="F1635" t="s">
        <v>402</v>
      </c>
      <c r="G1635" t="s">
        <v>403</v>
      </c>
      <c r="H1635" t="s">
        <v>404</v>
      </c>
    </row>
    <row r="1636" spans="1:8" x14ac:dyDescent="0.25">
      <c r="B1636" s="1">
        <v>0.110599</v>
      </c>
      <c r="C1636" s="1">
        <v>2.74313E-6</v>
      </c>
      <c r="D1636" s="1">
        <v>-0.220577</v>
      </c>
      <c r="E1636" s="1">
        <v>2.0239500000000001E-3</v>
      </c>
      <c r="F1636" s="1">
        <v>4.31783E-6</v>
      </c>
      <c r="G1636" s="1">
        <v>0.21818199999999999</v>
      </c>
      <c r="H1636" s="1">
        <v>-3.6343600000000002E-4</v>
      </c>
    </row>
    <row r="1637" spans="1:8" x14ac:dyDescent="0.25">
      <c r="B1637" s="1">
        <v>0.33559099999999997</v>
      </c>
      <c r="C1637" s="1">
        <v>4.3853799999999997E-5</v>
      </c>
      <c r="D1637" s="1">
        <v>-0.213197</v>
      </c>
      <c r="E1637" s="1">
        <v>5.3952799999999997E-3</v>
      </c>
      <c r="F1637" s="1">
        <v>6.7854600000000006E-5</v>
      </c>
      <c r="G1637" s="1">
        <v>0.20763400000000001</v>
      </c>
      <c r="H1637" s="1">
        <v>-5.6113100000000003E-5</v>
      </c>
    </row>
    <row r="1638" spans="1:8" x14ac:dyDescent="0.25">
      <c r="B1638" s="1">
        <v>0.56839200000000001</v>
      </c>
      <c r="C1638" s="1">
        <v>2.0200599999999999E-4</v>
      </c>
      <c r="D1638" s="1">
        <v>-0.207454</v>
      </c>
      <c r="E1638" s="1">
        <v>8.2652899999999998E-3</v>
      </c>
      <c r="F1638" s="1">
        <v>3.0885500000000002E-4</v>
      </c>
      <c r="G1638" s="1">
        <v>0.198628</v>
      </c>
      <c r="H1638" s="1">
        <v>-4.9024399999999998E-5</v>
      </c>
    </row>
    <row r="1639" spans="1:8" x14ac:dyDescent="0.25">
      <c r="B1639" s="1">
        <v>0.80944199999999999</v>
      </c>
      <c r="C1639" s="1">
        <v>5.7889400000000004E-4</v>
      </c>
      <c r="D1639" s="1">
        <v>-0.202458</v>
      </c>
      <c r="E1639" s="1">
        <v>1.06666E-2</v>
      </c>
      <c r="F1639" s="1">
        <v>8.7228299999999996E-4</v>
      </c>
      <c r="G1639" s="1">
        <v>0.1903</v>
      </c>
      <c r="H1639" s="1">
        <v>-4.1337100000000001E-5</v>
      </c>
    </row>
    <row r="1640" spans="1:8" x14ac:dyDescent="0.25">
      <c r="B1640" s="1">
        <v>1.05918</v>
      </c>
      <c r="C1640" s="1">
        <v>1.2986899999999999E-3</v>
      </c>
      <c r="D1640" s="1">
        <v>-0.198016</v>
      </c>
      <c r="E1640" s="1">
        <v>1.2634100000000001E-2</v>
      </c>
      <c r="F1640" s="1">
        <v>1.9203E-3</v>
      </c>
      <c r="G1640" s="1">
        <v>0.18212900000000001</v>
      </c>
      <c r="H1640" s="1">
        <v>-3.3563999999999999E-5</v>
      </c>
    </row>
    <row r="1641" spans="1:8" x14ac:dyDescent="0.25">
      <c r="B1641" s="1">
        <v>1.3180499999999999</v>
      </c>
      <c r="C1641" s="1">
        <v>2.5086100000000001E-3</v>
      </c>
      <c r="D1641" s="1">
        <v>-0.193937</v>
      </c>
      <c r="E1641" s="1">
        <v>1.42046E-2</v>
      </c>
      <c r="F1641" s="1">
        <v>3.61839E-3</v>
      </c>
      <c r="G1641" s="1">
        <v>0.17357900000000001</v>
      </c>
      <c r="H1641" s="1">
        <v>-2.6347200000000001E-5</v>
      </c>
    </row>
    <row r="1642" spans="1:8" x14ac:dyDescent="0.25">
      <c r="B1642" s="1">
        <v>1.58649</v>
      </c>
      <c r="C1642" s="1">
        <v>4.3774900000000004E-3</v>
      </c>
      <c r="D1642" s="1">
        <v>-0.19004799999999999</v>
      </c>
      <c r="E1642" s="1">
        <v>1.54161E-2</v>
      </c>
      <c r="F1642" s="1">
        <v>6.1130999999999998E-3</v>
      </c>
      <c r="G1642" s="1">
        <v>0.16412099999999999</v>
      </c>
      <c r="H1642" s="1">
        <v>-2.0384899999999999E-5</v>
      </c>
    </row>
    <row r="1643" spans="1:8" x14ac:dyDescent="0.25">
      <c r="B1643" s="1">
        <v>1.86496</v>
      </c>
      <c r="C1643" s="1">
        <v>7.0917000000000003E-3</v>
      </c>
      <c r="D1643" s="1">
        <v>-0.18618999999999999</v>
      </c>
      <c r="E1643" s="1">
        <v>1.63068E-2</v>
      </c>
      <c r="F1643" s="1">
        <v>9.50318E-3</v>
      </c>
      <c r="G1643" s="1">
        <v>0.15327199999999999</v>
      </c>
      <c r="H1643" s="1">
        <v>-1.6235500000000001E-5</v>
      </c>
    </row>
    <row r="1644" spans="1:8" x14ac:dyDescent="0.25">
      <c r="B1644" s="1">
        <v>2.15388</v>
      </c>
      <c r="C1644" s="1">
        <v>1.0847900000000001E-2</v>
      </c>
      <c r="D1644" s="1">
        <v>-0.182231</v>
      </c>
      <c r="E1644" s="1">
        <v>1.6914700000000001E-2</v>
      </c>
      <c r="F1644" s="1">
        <v>1.38084E-2</v>
      </c>
      <c r="G1644" s="1">
        <v>0.14064599999999999</v>
      </c>
      <c r="H1644" s="1">
        <v>-1.41695E-5</v>
      </c>
    </row>
    <row r="1645" spans="1:8" x14ac:dyDescent="0.25">
      <c r="B1645" s="1">
        <v>2.4537100000000001</v>
      </c>
      <c r="C1645" s="1">
        <v>1.58424E-2</v>
      </c>
      <c r="D1645" s="1">
        <v>-0.17807899999999999</v>
      </c>
      <c r="E1645" s="1">
        <v>1.72766E-2</v>
      </c>
      <c r="F1645" s="1">
        <v>1.89421E-2</v>
      </c>
      <c r="G1645" s="1">
        <v>0.126004</v>
      </c>
      <c r="H1645" s="1">
        <v>-1.3985099999999999E-5</v>
      </c>
    </row>
    <row r="1646" spans="1:8" x14ac:dyDescent="0.25">
      <c r="B1646" s="1">
        <v>2.7648700000000002</v>
      </c>
      <c r="C1646" s="1">
        <v>2.2257099999999998E-2</v>
      </c>
      <c r="D1646" s="1">
        <v>-0.17369100000000001</v>
      </c>
      <c r="E1646" s="1">
        <v>1.7427399999999999E-2</v>
      </c>
      <c r="F1646" s="1">
        <v>2.4694199999999999E-2</v>
      </c>
      <c r="G1646" s="1">
        <v>0.10929700000000001</v>
      </c>
      <c r="H1646" s="1">
        <v>-1.49155E-5</v>
      </c>
    </row>
    <row r="1647" spans="1:8" x14ac:dyDescent="0.25">
      <c r="B1647" s="1">
        <v>3.0878100000000002</v>
      </c>
      <c r="C1647" s="1">
        <v>3.0243099999999998E-2</v>
      </c>
      <c r="D1647" s="1">
        <v>-0.16908000000000001</v>
      </c>
      <c r="E1647" s="1">
        <v>1.7399399999999999E-2</v>
      </c>
      <c r="F1647" s="1">
        <v>3.0730199999999999E-2</v>
      </c>
      <c r="G1647" s="1">
        <v>9.0691599999999997E-2</v>
      </c>
      <c r="H1647" s="1">
        <v>-1.5712499999999999E-5</v>
      </c>
    </row>
    <row r="1648" spans="1:8" x14ac:dyDescent="0.25">
      <c r="B1648" s="1">
        <v>3.4229500000000002</v>
      </c>
      <c r="C1648" s="1">
        <v>3.9902699999999999E-2</v>
      </c>
      <c r="D1648" s="1">
        <v>-0.16431299999999999</v>
      </c>
      <c r="E1648" s="1">
        <v>1.72216E-2</v>
      </c>
      <c r="F1648" s="1">
        <v>3.6609799999999998E-2</v>
      </c>
      <c r="G1648" s="1">
        <v>7.0563899999999999E-2</v>
      </c>
      <c r="H1648" s="1">
        <v>-1.46867E-5</v>
      </c>
    </row>
    <row r="1649" spans="2:8" x14ac:dyDescent="0.25">
      <c r="B1649" s="1">
        <v>3.7707299999999999</v>
      </c>
      <c r="C1649" s="1">
        <v>5.12723E-2</v>
      </c>
      <c r="D1649" s="1">
        <v>-0.15950400000000001</v>
      </c>
      <c r="E1649" s="1">
        <v>1.6919500000000001E-2</v>
      </c>
      <c r="F1649" s="1">
        <v>4.1823899999999997E-2</v>
      </c>
      <c r="G1649" s="1">
        <v>4.9478300000000003E-2</v>
      </c>
      <c r="H1649" s="1">
        <v>-1.004E-5</v>
      </c>
    </row>
    <row r="1650" spans="2:8" x14ac:dyDescent="0.25">
      <c r="B1650" s="1">
        <v>4.1315600000000003</v>
      </c>
      <c r="C1650" s="1">
        <v>6.4307799999999998E-2</v>
      </c>
      <c r="D1650" s="1">
        <v>-0.15480099999999999</v>
      </c>
      <c r="E1650" s="1">
        <v>1.6514299999999999E-2</v>
      </c>
      <c r="F1650" s="1">
        <v>4.58463E-2</v>
      </c>
      <c r="G1650" s="1">
        <v>2.8132299999999999E-2</v>
      </c>
      <c r="H1650" s="1">
        <v>-1.744E-7</v>
      </c>
    </row>
    <row r="1651" spans="2:8" x14ac:dyDescent="0.25">
      <c r="B1651" s="1">
        <v>4.5058699999999998</v>
      </c>
      <c r="C1651" s="1">
        <v>7.8874600000000003E-2</v>
      </c>
      <c r="D1651" s="1">
        <v>-0.150363</v>
      </c>
      <c r="E1651" s="1">
        <v>1.60229E-2</v>
      </c>
      <c r="F1651" s="1">
        <v>4.81923E-2</v>
      </c>
      <c r="G1651" s="1">
        <v>7.28905E-3</v>
      </c>
      <c r="H1651" s="1">
        <v>1.60778E-5</v>
      </c>
    </row>
    <row r="1652" spans="2:8" x14ac:dyDescent="0.25">
      <c r="B1652" s="1">
        <v>4.8940599999999996</v>
      </c>
      <c r="C1652" s="1">
        <v>9.4744800000000004E-2</v>
      </c>
      <c r="D1652" s="1">
        <v>-0.146342</v>
      </c>
      <c r="E1652" s="1">
        <v>1.5458400000000001E-2</v>
      </c>
      <c r="F1652" s="1">
        <v>4.8475900000000002E-2</v>
      </c>
      <c r="G1652" s="1">
        <v>-1.2298E-2</v>
      </c>
      <c r="H1652" s="1">
        <v>3.9163199999999998E-5</v>
      </c>
    </row>
    <row r="1653" spans="2:8" x14ac:dyDescent="0.25">
      <c r="B1653" s="1">
        <v>5.2965299999999997</v>
      </c>
      <c r="C1653" s="1">
        <v>0.11160100000000001</v>
      </c>
      <c r="D1653" s="1">
        <v>-0.14286299999999999</v>
      </c>
      <c r="E1653" s="1">
        <v>1.48299E-2</v>
      </c>
      <c r="F1653" s="1">
        <v>4.6455900000000001E-2</v>
      </c>
      <c r="G1653" s="1">
        <v>-2.99554E-2</v>
      </c>
      <c r="H1653" s="1">
        <v>6.8748800000000002E-5</v>
      </c>
    </row>
    <row r="1654" spans="2:8" x14ac:dyDescent="0.25">
      <c r="B1654" s="1">
        <v>5.7136899999999997</v>
      </c>
      <c r="C1654" s="1">
        <v>0.129054</v>
      </c>
      <c r="D1654" s="1">
        <v>-0.14001</v>
      </c>
      <c r="E1654" s="1">
        <v>1.41434E-2</v>
      </c>
      <c r="F1654" s="1">
        <v>4.2064299999999999E-2</v>
      </c>
      <c r="G1654" s="1">
        <v>-4.5147199999999998E-2</v>
      </c>
      <c r="H1654" s="1">
        <v>1.03754E-4</v>
      </c>
    </row>
    <row r="1655" spans="2:8" x14ac:dyDescent="0.25">
      <c r="B1655" s="1">
        <v>6.1459200000000003</v>
      </c>
      <c r="C1655" s="1">
        <v>0.14665400000000001</v>
      </c>
      <c r="D1655" s="1">
        <v>-0.137818</v>
      </c>
      <c r="E1655" s="1">
        <v>1.34021E-2</v>
      </c>
      <c r="F1655" s="1">
        <v>3.5414599999999997E-2</v>
      </c>
      <c r="G1655" s="1">
        <v>-5.7511100000000002E-2</v>
      </c>
      <c r="H1655" s="1">
        <v>1.4254400000000001E-4</v>
      </c>
    </row>
    <row r="1656" spans="2:8" x14ac:dyDescent="0.25">
      <c r="B1656" s="1">
        <v>6.59361</v>
      </c>
      <c r="C1656" s="1">
        <v>0.16392799999999999</v>
      </c>
      <c r="D1656" s="1">
        <v>-0.136269</v>
      </c>
      <c r="E1656" s="1">
        <v>1.26082E-2</v>
      </c>
      <c r="F1656" s="1">
        <v>2.6788300000000001E-2</v>
      </c>
      <c r="G1656" s="1">
        <v>-6.6873799999999997E-2</v>
      </c>
      <c r="H1656" s="1">
        <v>1.8314399999999999E-4</v>
      </c>
    </row>
    <row r="1657" spans="2:8" x14ac:dyDescent="0.25">
      <c r="B1657" s="1">
        <v>7.0571200000000003</v>
      </c>
      <c r="C1657" s="1">
        <v>0.1804</v>
      </c>
      <c r="D1657" s="1">
        <v>-0.135299</v>
      </c>
      <c r="E1657" s="1">
        <v>1.17629E-2</v>
      </c>
      <c r="F1657" s="1">
        <v>1.66036E-2</v>
      </c>
      <c r="G1657" s="1">
        <v>-7.3243799999999998E-2</v>
      </c>
      <c r="H1657" s="1">
        <v>2.2353999999999999E-4</v>
      </c>
    </row>
    <row r="1658" spans="2:8" x14ac:dyDescent="0.25">
      <c r="B1658" s="1">
        <v>7.53681</v>
      </c>
      <c r="C1658" s="1">
        <v>0.19562299999999999</v>
      </c>
      <c r="D1658" s="1">
        <v>-0.13481299999999999</v>
      </c>
      <c r="E1658" s="1">
        <v>1.0867999999999999E-2</v>
      </c>
      <c r="F1658" s="1">
        <v>5.37201E-3</v>
      </c>
      <c r="G1658" s="1">
        <v>-7.6788599999999999E-2</v>
      </c>
      <c r="H1658" s="1">
        <v>2.6190399999999998E-4</v>
      </c>
    </row>
    <row r="1659" spans="2:8" x14ac:dyDescent="0.25">
      <c r="B1659" s="1">
        <v>8.0330399999999997</v>
      </c>
      <c r="C1659" s="1">
        <v>0.209205</v>
      </c>
      <c r="D1659" s="1">
        <v>-0.134686</v>
      </c>
      <c r="E1659" s="1">
        <v>9.9266200000000006E-3</v>
      </c>
      <c r="F1659" s="1">
        <v>-6.3505300000000001E-3</v>
      </c>
      <c r="G1659" s="1">
        <v>-7.7798800000000001E-2</v>
      </c>
      <c r="H1659" s="1">
        <v>2.9683200000000002E-4</v>
      </c>
    </row>
    <row r="1660" spans="2:8" x14ac:dyDescent="0.25">
      <c r="B1660" s="1">
        <v>8.5461399999999994</v>
      </c>
      <c r="C1660" s="1">
        <v>0.220832</v>
      </c>
      <c r="D1660" s="1">
        <v>-0.13478799999999999</v>
      </c>
      <c r="E1660" s="1">
        <v>8.9438199999999999E-3</v>
      </c>
      <c r="F1660" s="1">
        <v>-1.80121E-2</v>
      </c>
      <c r="G1660" s="1">
        <v>-7.6648900000000006E-2</v>
      </c>
      <c r="H1660" s="1">
        <v>3.2744000000000002E-4</v>
      </c>
    </row>
    <row r="1661" spans="2:8" x14ac:dyDescent="0.25">
      <c r="B1661" s="1">
        <v>9.0764700000000005</v>
      </c>
      <c r="C1661" s="1">
        <v>0.23027700000000001</v>
      </c>
      <c r="D1661" s="1">
        <v>-0.134988</v>
      </c>
      <c r="E1661" s="1">
        <v>7.9268900000000007E-3</v>
      </c>
      <c r="F1661" s="1">
        <v>-2.9106799999999999E-2</v>
      </c>
      <c r="G1661" s="1">
        <v>-7.3756299999999997E-2</v>
      </c>
      <c r="H1661" s="1">
        <v>3.5324599999999999E-4</v>
      </c>
    </row>
    <row r="1662" spans="2:8" x14ac:dyDescent="0.25">
      <c r="B1662" s="1">
        <v>9.6243300000000005</v>
      </c>
      <c r="C1662" s="1">
        <v>0.23740900000000001</v>
      </c>
      <c r="D1662" s="1">
        <v>-0.13516800000000001</v>
      </c>
      <c r="E1662" s="1">
        <v>6.8856999999999998E-3</v>
      </c>
      <c r="F1662" s="1">
        <v>-3.9207699999999998E-2</v>
      </c>
      <c r="G1662" s="1">
        <v>-6.9545200000000001E-2</v>
      </c>
      <c r="H1662" s="1">
        <v>3.7430699999999999E-4</v>
      </c>
    </row>
    <row r="1663" spans="2:8" x14ac:dyDescent="0.25">
      <c r="B1663" s="1">
        <v>10.19</v>
      </c>
      <c r="C1663" s="1">
        <v>0.24219199999999999</v>
      </c>
      <c r="D1663" s="1">
        <v>-0.13522899999999999</v>
      </c>
      <c r="E1663" s="1">
        <v>5.8324400000000004E-3</v>
      </c>
      <c r="F1663" s="1">
        <v>-4.7986800000000003E-2</v>
      </c>
      <c r="G1663" s="1">
        <v>-6.4417799999999997E-2</v>
      </c>
      <c r="H1663" s="1">
        <v>3.9099000000000002E-4</v>
      </c>
    </row>
    <row r="1664" spans="2:8" x14ac:dyDescent="0.25">
      <c r="B1664" s="1">
        <v>10.7738</v>
      </c>
      <c r="C1664" s="1">
        <v>0.244675</v>
      </c>
      <c r="D1664" s="1">
        <v>-0.13509399999999999</v>
      </c>
      <c r="E1664" s="1">
        <v>4.7812699999999998E-3</v>
      </c>
      <c r="F1664" s="1">
        <v>-5.5224799999999998E-2</v>
      </c>
      <c r="G1664" s="1">
        <v>-5.8733199999999999E-2</v>
      </c>
      <c r="H1664" s="1">
        <v>4.0389199999999999E-4</v>
      </c>
    </row>
    <row r="1665" spans="2:8" x14ac:dyDescent="0.25">
      <c r="B1665" s="1">
        <v>11.375999999999999</v>
      </c>
      <c r="C1665" s="1">
        <v>0.244981</v>
      </c>
      <c r="D1665" s="1">
        <v>-0.134711</v>
      </c>
      <c r="E1665" s="1">
        <v>3.7476699999999998E-3</v>
      </c>
      <c r="F1665" s="1">
        <v>-6.0808599999999997E-2</v>
      </c>
      <c r="G1665" s="1">
        <v>-5.2795300000000003E-2</v>
      </c>
      <c r="H1665" s="1">
        <v>4.1372700000000002E-4</v>
      </c>
    </row>
    <row r="1666" spans="2:8" x14ac:dyDescent="0.25">
      <c r="B1666" s="1">
        <v>11.9969</v>
      </c>
      <c r="C1666" s="1">
        <v>0.24329200000000001</v>
      </c>
      <c r="D1666" s="1">
        <v>-0.134049</v>
      </c>
      <c r="E1666" s="1">
        <v>2.7478099999999998E-3</v>
      </c>
      <c r="F1666" s="1">
        <v>-6.4722000000000002E-2</v>
      </c>
      <c r="G1666" s="1">
        <v>-4.6848000000000001E-2</v>
      </c>
      <c r="H1666" s="1">
        <v>4.2112399999999999E-4</v>
      </c>
    </row>
    <row r="1667" spans="2:8" x14ac:dyDescent="0.25">
      <c r="B1667" s="1">
        <v>12.636699999999999</v>
      </c>
      <c r="C1667" s="1">
        <v>0.23983099999999999</v>
      </c>
      <c r="D1667" s="1">
        <v>-0.13309699999999999</v>
      </c>
      <c r="E1667" s="1">
        <v>1.7976699999999999E-3</v>
      </c>
      <c r="F1667" s="1">
        <v>-6.7029099999999994E-2</v>
      </c>
      <c r="G1667" s="1">
        <v>-4.1076700000000001E-2</v>
      </c>
      <c r="H1667" s="1">
        <v>4.26733E-4</v>
      </c>
    </row>
    <row r="1668" spans="2:8" x14ac:dyDescent="0.25">
      <c r="B1668" s="1">
        <v>13.2956</v>
      </c>
      <c r="C1668" s="1">
        <v>0.234844</v>
      </c>
      <c r="D1668" s="1">
        <v>-0.131855</v>
      </c>
      <c r="E1668" s="1">
        <v>9.1222700000000005E-4</v>
      </c>
      <c r="F1668" s="1">
        <v>-6.7856299999999994E-2</v>
      </c>
      <c r="G1668" s="1">
        <v>-3.5613699999999998E-2</v>
      </c>
      <c r="H1668" s="1">
        <v>4.3097099999999999E-4</v>
      </c>
    </row>
    <row r="1669" spans="2:8" x14ac:dyDescent="0.25">
      <c r="B1669" s="1">
        <v>13.9741</v>
      </c>
      <c r="C1669" s="1">
        <v>0.22858899999999999</v>
      </c>
      <c r="D1669" s="1">
        <v>-0.13034000000000001</v>
      </c>
      <c r="E1669" s="1">
        <v>1.04763E-4</v>
      </c>
      <c r="F1669" s="1">
        <v>-6.7372699999999994E-2</v>
      </c>
      <c r="G1669" s="1">
        <v>-3.0545599999999999E-2</v>
      </c>
      <c r="H1669" s="1">
        <v>4.34163E-4</v>
      </c>
    </row>
    <row r="1670" spans="2:8" x14ac:dyDescent="0.25">
      <c r="B1670" s="1">
        <v>14.672000000000001</v>
      </c>
      <c r="C1670" s="1">
        <v>0.22131799999999999</v>
      </c>
      <c r="D1670" s="1">
        <v>-0.12857399999999999</v>
      </c>
      <c r="E1670" s="1">
        <v>-6.1384799999999995E-4</v>
      </c>
      <c r="F1670" s="1">
        <v>-6.5772200000000003E-2</v>
      </c>
      <c r="G1670" s="1">
        <v>-2.5921900000000001E-2</v>
      </c>
      <c r="H1670" s="1">
        <v>4.3656199999999999E-4</v>
      </c>
    </row>
    <row r="1671" spans="2:8" x14ac:dyDescent="0.25">
      <c r="B1671" s="1">
        <v>15.389900000000001</v>
      </c>
      <c r="C1671" s="1">
        <v>0.21327599999999999</v>
      </c>
      <c r="D1671" s="1">
        <v>-0.12658</v>
      </c>
      <c r="E1671" s="1">
        <v>-1.23559E-3</v>
      </c>
      <c r="F1671" s="1">
        <v>-6.3258800000000004E-2</v>
      </c>
      <c r="G1671" s="1">
        <v>-2.1762699999999999E-2</v>
      </c>
      <c r="H1671" s="1">
        <v>4.3815E-4</v>
      </c>
    </row>
    <row r="1672" spans="2:8" x14ac:dyDescent="0.25">
      <c r="B1672" s="1">
        <v>16.127800000000001</v>
      </c>
      <c r="C1672" s="1">
        <v>0.204683</v>
      </c>
      <c r="D1672" s="1">
        <v>-0.124388</v>
      </c>
      <c r="E1672" s="1">
        <v>-1.7556E-3</v>
      </c>
      <c r="F1672" s="1">
        <v>-6.0033200000000002E-2</v>
      </c>
      <c r="G1672" s="1">
        <v>-1.8067400000000001E-2</v>
      </c>
      <c r="H1672" s="1">
        <v>4.3887599999999999E-4</v>
      </c>
    </row>
    <row r="1673" spans="2:8" x14ac:dyDescent="0.25">
      <c r="B1673" s="1">
        <v>16.8858</v>
      </c>
      <c r="C1673" s="1">
        <v>0.195738</v>
      </c>
      <c r="D1673" s="1">
        <v>-0.12202300000000001</v>
      </c>
      <c r="E1673" s="1">
        <v>-2.17227E-3</v>
      </c>
      <c r="F1673" s="1">
        <v>-5.6284399999999998E-2</v>
      </c>
      <c r="G1673" s="1">
        <v>-1.48196E-2</v>
      </c>
      <c r="H1673" s="1">
        <v>4.3865400000000002E-4</v>
      </c>
    </row>
    <row r="1674" spans="2:8" x14ac:dyDescent="0.25">
      <c r="B1674" s="1">
        <v>17.664200000000001</v>
      </c>
      <c r="C1674" s="1">
        <v>0.186612</v>
      </c>
      <c r="D1674" s="1">
        <v>-0.11951100000000001</v>
      </c>
      <c r="E1674" s="1">
        <v>-2.4870199999999999E-3</v>
      </c>
      <c r="F1674" s="1">
        <v>-5.2183300000000002E-2</v>
      </c>
      <c r="G1674" s="1">
        <v>-1.19927E-2</v>
      </c>
      <c r="H1674" s="1">
        <v>4.37362E-4</v>
      </c>
    </row>
    <row r="1675" spans="2:8" x14ac:dyDescent="0.25">
      <c r="B1675" s="1">
        <v>18.463000000000001</v>
      </c>
      <c r="C1675" s="1">
        <v>0.177451</v>
      </c>
      <c r="D1675" s="1">
        <v>-0.116878</v>
      </c>
      <c r="E1675" s="1">
        <v>-2.7040300000000001E-3</v>
      </c>
      <c r="F1675" s="1">
        <v>-4.7879400000000003E-2</v>
      </c>
      <c r="G1675" s="1">
        <v>-9.5536900000000001E-3</v>
      </c>
      <c r="H1675" s="1">
        <v>4.3513800000000001E-4</v>
      </c>
    </row>
    <row r="1676" spans="2:8" x14ac:dyDescent="0.25">
      <c r="B1676" s="1">
        <v>19.282499999999999</v>
      </c>
      <c r="C1676" s="1">
        <v>0.168374</v>
      </c>
      <c r="D1676" s="1">
        <v>-0.114146</v>
      </c>
      <c r="E1676" s="1">
        <v>-2.8296300000000001E-3</v>
      </c>
      <c r="F1676" s="1">
        <v>-4.3499599999999999E-2</v>
      </c>
      <c r="G1676" s="1">
        <v>-7.4660500000000001E-3</v>
      </c>
      <c r="H1676" s="1">
        <v>4.3189999999999998E-4</v>
      </c>
    </row>
    <row r="1677" spans="2:8" x14ac:dyDescent="0.25">
      <c r="B1677" s="1">
        <v>20.122599999999998</v>
      </c>
      <c r="C1677" s="1">
        <v>0.15947600000000001</v>
      </c>
      <c r="D1677" s="1">
        <v>-0.111336</v>
      </c>
      <c r="E1677" s="1">
        <v>-2.8718300000000001E-3</v>
      </c>
      <c r="F1677" s="1">
        <v>-3.9147300000000003E-2</v>
      </c>
      <c r="G1677" s="1">
        <v>-5.6934000000000004E-3</v>
      </c>
      <c r="H1677" s="1">
        <v>4.2758299999999999E-4</v>
      </c>
    </row>
    <row r="1678" spans="2:8" x14ac:dyDescent="0.25">
      <c r="B1678" s="1">
        <v>20.983699999999999</v>
      </c>
      <c r="C1678" s="1">
        <v>0.15083199999999999</v>
      </c>
      <c r="D1678" s="1">
        <v>-0.10846500000000001</v>
      </c>
      <c r="E1678" s="1">
        <v>-2.8397700000000001E-3</v>
      </c>
      <c r="F1678" s="1">
        <v>-3.4903700000000003E-2</v>
      </c>
      <c r="G1678" s="1">
        <v>-4.2006500000000002E-3</v>
      </c>
      <c r="H1678" s="1">
        <v>4.2253899999999999E-4</v>
      </c>
    </row>
    <row r="1679" spans="2:8" x14ac:dyDescent="0.25">
      <c r="B1679" s="1">
        <v>21.865600000000001</v>
      </c>
      <c r="C1679" s="1">
        <v>0.14249800000000001</v>
      </c>
      <c r="D1679" s="1">
        <v>-0.10555299999999999</v>
      </c>
      <c r="E1679" s="1">
        <v>-2.7432799999999999E-3</v>
      </c>
      <c r="F1679" s="1">
        <v>-3.0830699999999999E-2</v>
      </c>
      <c r="G1679" s="1">
        <v>-2.9536499999999999E-3</v>
      </c>
      <c r="H1679" s="1">
        <v>4.17224E-4</v>
      </c>
    </row>
    <row r="1680" spans="2:8" x14ac:dyDescent="0.25">
      <c r="B1680" s="1">
        <v>22.768599999999999</v>
      </c>
      <c r="C1680" s="1">
        <v>0.13451399999999999</v>
      </c>
      <c r="D1680" s="1">
        <v>-0.102615</v>
      </c>
      <c r="E1680" s="1">
        <v>-2.5924799999999999E-3</v>
      </c>
      <c r="F1680" s="1">
        <v>-2.69748E-2</v>
      </c>
      <c r="G1680" s="1">
        <v>-1.91942E-3</v>
      </c>
      <c r="H1680" s="1">
        <v>4.1151600000000001E-4</v>
      </c>
    </row>
    <row r="1681" spans="2:8" x14ac:dyDescent="0.25">
      <c r="B1681" s="1">
        <v>23.692599999999999</v>
      </c>
      <c r="C1681" s="1">
        <v>0.12690499999999999</v>
      </c>
      <c r="D1681" s="1">
        <v>-9.9667199999999997E-2</v>
      </c>
      <c r="E1681" s="1">
        <v>-2.3976700000000002E-3</v>
      </c>
      <c r="F1681" s="1">
        <v>-2.33679E-2</v>
      </c>
      <c r="G1681" s="1">
        <v>-1.0673E-3</v>
      </c>
      <c r="H1681" s="1">
        <v>4.05511E-4</v>
      </c>
    </row>
    <row r="1682" spans="2:8" x14ac:dyDescent="0.25">
      <c r="B1682" s="1">
        <v>24.637699999999999</v>
      </c>
      <c r="C1682" s="1">
        <v>0.119688</v>
      </c>
      <c r="D1682" s="1">
        <v>-9.6719799999999995E-2</v>
      </c>
      <c r="E1682" s="1">
        <v>-2.1691200000000001E-3</v>
      </c>
      <c r="F1682" s="1">
        <v>-2.0028799999999999E-2</v>
      </c>
      <c r="G1682" s="1">
        <v>-3.71002E-4</v>
      </c>
      <c r="H1682" s="1">
        <v>3.9951899999999998E-4</v>
      </c>
    </row>
    <row r="1683" spans="2:8" x14ac:dyDescent="0.25">
      <c r="B1683" s="1">
        <v>25.6038</v>
      </c>
      <c r="C1683" s="1">
        <v>0.112869</v>
      </c>
      <c r="D1683" s="1">
        <v>-9.3784400000000004E-2</v>
      </c>
      <c r="E1683" s="1">
        <v>-1.9166599999999999E-3</v>
      </c>
      <c r="F1683" s="1">
        <v>-1.6965399999999999E-2</v>
      </c>
      <c r="G1683" s="1">
        <v>1.9123999999999999E-4</v>
      </c>
      <c r="H1683" s="1">
        <v>3.9350399999999998E-4</v>
      </c>
    </row>
    <row r="1684" spans="2:8" x14ac:dyDescent="0.25">
      <c r="B1684" s="1">
        <v>26.591200000000001</v>
      </c>
      <c r="C1684" s="1">
        <v>0.106445</v>
      </c>
      <c r="D1684" s="1">
        <v>-9.0869599999999995E-2</v>
      </c>
      <c r="E1684" s="1">
        <v>-1.6495699999999999E-3</v>
      </c>
      <c r="F1684" s="1">
        <v>-1.41765E-2</v>
      </c>
      <c r="G1684" s="1">
        <v>6.3827700000000003E-4</v>
      </c>
      <c r="H1684" s="1">
        <v>3.8785000000000002E-4</v>
      </c>
    </row>
    <row r="1685" spans="2:8" x14ac:dyDescent="0.25">
      <c r="B1685" s="1">
        <v>27.599599999999999</v>
      </c>
      <c r="C1685" s="1">
        <v>0.100411</v>
      </c>
      <c r="D1685" s="1">
        <v>-8.7984000000000007E-2</v>
      </c>
      <c r="E1685" s="1">
        <v>-1.3761999999999999E-3</v>
      </c>
      <c r="F1685" s="1">
        <v>-1.16548E-2</v>
      </c>
      <c r="G1685" s="1">
        <v>9.8667599999999992E-4</v>
      </c>
      <c r="H1685" s="1">
        <v>3.8294199999999999E-4</v>
      </c>
    </row>
    <row r="1686" spans="2:8" x14ac:dyDescent="0.25">
      <c r="B1686" s="1">
        <v>28.629200000000001</v>
      </c>
      <c r="C1686" s="1">
        <v>9.4756099999999996E-2</v>
      </c>
      <c r="D1686" s="1">
        <v>-8.5135299999999997E-2</v>
      </c>
      <c r="E1686" s="1">
        <v>-1.1037899999999999E-3</v>
      </c>
      <c r="F1686" s="1">
        <v>-9.3888099999999992E-3</v>
      </c>
      <c r="G1686" s="1">
        <v>1.25073E-3</v>
      </c>
      <c r="H1686" s="1">
        <v>3.7889999999999999E-4</v>
      </c>
    </row>
    <row r="1687" spans="2:8" x14ac:dyDescent="0.25">
      <c r="B1687" s="1">
        <v>29.6798</v>
      </c>
      <c r="C1687" s="1">
        <v>8.9466500000000004E-2</v>
      </c>
      <c r="D1687" s="1">
        <v>-8.2330200000000006E-2</v>
      </c>
      <c r="E1687" s="1">
        <v>-8.3828099999999997E-4</v>
      </c>
      <c r="F1687" s="1">
        <v>-7.3642200000000003E-3</v>
      </c>
      <c r="G1687" s="1">
        <v>1.4418199999999999E-3</v>
      </c>
      <c r="H1687" s="1">
        <v>3.75592E-4</v>
      </c>
    </row>
    <row r="1688" spans="2:8" x14ac:dyDescent="0.25">
      <c r="B1688" s="1">
        <v>30.7516</v>
      </c>
      <c r="C1688" s="1">
        <v>8.4527900000000003E-2</v>
      </c>
      <c r="D1688" s="1">
        <v>-7.9575199999999999E-2</v>
      </c>
      <c r="E1688" s="1">
        <v>-5.8422900000000002E-4</v>
      </c>
      <c r="F1688" s="1">
        <v>-5.5642299999999999E-3</v>
      </c>
      <c r="G1688" s="1">
        <v>1.5686000000000001E-3</v>
      </c>
      <c r="H1688" s="1">
        <v>3.7278300000000001E-4</v>
      </c>
    </row>
    <row r="1689" spans="2:8" x14ac:dyDescent="0.25">
      <c r="B1689" s="1">
        <v>31.8443</v>
      </c>
      <c r="C1689" s="1">
        <v>7.9924499999999996E-2</v>
      </c>
      <c r="D1689" s="1">
        <v>-7.6875799999999994E-2</v>
      </c>
      <c r="E1689" s="1">
        <v>-3.4474899999999999E-4</v>
      </c>
      <c r="F1689" s="1">
        <v>-3.9701399999999996E-3</v>
      </c>
      <c r="G1689" s="1">
        <v>1.63645E-3</v>
      </c>
      <c r="H1689" s="1">
        <v>3.70221E-4</v>
      </c>
    </row>
    <row r="1690" spans="2:8" x14ac:dyDescent="0.25">
      <c r="B1690" s="1">
        <v>32.957999999999998</v>
      </c>
      <c r="C1690" s="1">
        <v>7.5640399999999997E-2</v>
      </c>
      <c r="D1690" s="1">
        <v>-7.4236700000000003E-2</v>
      </c>
      <c r="E1690" s="1">
        <v>-1.2171E-4</v>
      </c>
      <c r="F1690" s="1">
        <v>-2.5625299999999999E-3</v>
      </c>
      <c r="G1690" s="1">
        <v>1.6482000000000001E-3</v>
      </c>
      <c r="H1690" s="1">
        <v>3.6763799999999999E-4</v>
      </c>
    </row>
    <row r="1691" spans="2:8" x14ac:dyDescent="0.25">
      <c r="B1691" s="1">
        <v>34.092599999999997</v>
      </c>
      <c r="C1691" s="1">
        <v>7.1660000000000001E-2</v>
      </c>
      <c r="D1691" s="1">
        <v>-7.1662299999999998E-2</v>
      </c>
      <c r="E1691" s="1">
        <v>8.3687299999999994E-5</v>
      </c>
      <c r="F1691" s="1">
        <v>-1.3242200000000001E-3</v>
      </c>
      <c r="G1691" s="1">
        <v>1.6077299999999999E-3</v>
      </c>
      <c r="H1691" s="1">
        <v>3.6478900000000002E-4</v>
      </c>
    </row>
    <row r="1692" spans="2:8" x14ac:dyDescent="0.25">
      <c r="B1692" s="1">
        <v>35.247900000000001</v>
      </c>
      <c r="C1692" s="1">
        <v>6.7968299999999995E-2</v>
      </c>
      <c r="D1692" s="1">
        <v>-6.9158499999999998E-2</v>
      </c>
      <c r="E1692" s="1">
        <v>2.7029199999999999E-4</v>
      </c>
      <c r="F1692" s="1">
        <v>-2.43871E-4</v>
      </c>
      <c r="G1692" s="1">
        <v>1.52516E-3</v>
      </c>
      <c r="H1692" s="1">
        <v>3.6141E-4</v>
      </c>
    </row>
    <row r="1693" spans="2:8" x14ac:dyDescent="0.25">
      <c r="B1693" s="1">
        <v>36.423900000000003</v>
      </c>
      <c r="C1693" s="1">
        <v>6.4550999999999997E-2</v>
      </c>
      <c r="D1693" s="1">
        <v>-6.6732700000000006E-2</v>
      </c>
      <c r="E1693" s="1">
        <v>4.3659699999999999E-4</v>
      </c>
      <c r="F1693" s="1">
        <v>6.8256999999999996E-4</v>
      </c>
      <c r="G1693" s="1">
        <v>1.4198699999999999E-3</v>
      </c>
      <c r="H1693" s="1">
        <v>3.57275E-4</v>
      </c>
    </row>
    <row r="1694" spans="2:8" x14ac:dyDescent="0.25">
      <c r="B1694" s="1">
        <v>37.620399999999997</v>
      </c>
      <c r="C1694" s="1">
        <v>6.1392599999999999E-2</v>
      </c>
      <c r="D1694" s="1">
        <v>-6.4393199999999998E-2</v>
      </c>
      <c r="E1694" s="1">
        <v>5.8080899999999995E-4</v>
      </c>
      <c r="F1694" s="1">
        <v>1.4560199999999999E-3</v>
      </c>
      <c r="G1694" s="1">
        <v>1.31594E-3</v>
      </c>
      <c r="H1694" s="1">
        <v>3.5227400000000002E-4</v>
      </c>
    </row>
    <row r="1695" spans="2:8" x14ac:dyDescent="0.25">
      <c r="B1695" s="1">
        <v>38.837400000000002</v>
      </c>
      <c r="C1695" s="1">
        <v>5.8476399999999998E-2</v>
      </c>
      <c r="D1695" s="1">
        <v>-6.2145300000000001E-2</v>
      </c>
      <c r="E1695" s="1">
        <v>7.0126300000000004E-4</v>
      </c>
      <c r="F1695" s="1">
        <v>2.0826999999999998E-3</v>
      </c>
      <c r="G1695" s="1">
        <v>1.2311799999999999E-3</v>
      </c>
      <c r="H1695" s="1">
        <v>3.4629000000000002E-4</v>
      </c>
    </row>
    <row r="1696" spans="2:8" x14ac:dyDescent="0.25">
      <c r="B1696" s="1">
        <v>40.0747</v>
      </c>
      <c r="C1696" s="1">
        <v>5.5783300000000001E-2</v>
      </c>
      <c r="D1696" s="1">
        <v>-5.99897E-2</v>
      </c>
      <c r="E1696" s="1">
        <v>7.9687400000000004E-4</v>
      </c>
      <c r="F1696" s="1">
        <v>2.57983E-3</v>
      </c>
      <c r="G1696" s="1">
        <v>1.1688499999999999E-3</v>
      </c>
      <c r="H1696" s="1">
        <v>3.39141E-4</v>
      </c>
    </row>
    <row r="1697" spans="2:8" x14ac:dyDescent="0.25">
      <c r="B1697" s="1">
        <v>41.3322</v>
      </c>
      <c r="C1697" s="1">
        <v>5.3293800000000002E-2</v>
      </c>
      <c r="D1697" s="1">
        <v>-5.7923099999999998E-2</v>
      </c>
      <c r="E1697" s="1">
        <v>8.6717499999999998E-4</v>
      </c>
      <c r="F1697" s="1">
        <v>2.97263E-3</v>
      </c>
      <c r="G1697" s="1">
        <v>1.12039E-3</v>
      </c>
      <c r="H1697" s="1">
        <v>3.30799E-4</v>
      </c>
    </row>
    <row r="1698" spans="2:8" x14ac:dyDescent="0.25">
      <c r="B1698" s="1">
        <v>42.609699999999997</v>
      </c>
      <c r="C1698" s="1">
        <v>5.0988800000000001E-2</v>
      </c>
      <c r="D1698" s="1">
        <v>-5.59406E-2</v>
      </c>
      <c r="E1698" s="1">
        <v>9.1182700000000004E-4</v>
      </c>
      <c r="F1698" s="1">
        <v>3.2856700000000001E-3</v>
      </c>
      <c r="G1698" s="1">
        <v>1.07565E-3</v>
      </c>
      <c r="H1698" s="1">
        <v>3.2140499999999998E-4</v>
      </c>
    </row>
    <row r="1699" spans="2:8" x14ac:dyDescent="0.25">
      <c r="B1699" s="1">
        <v>43.9069</v>
      </c>
      <c r="C1699" s="1">
        <v>4.88513E-2</v>
      </c>
      <c r="D1699" s="1">
        <v>-5.4037700000000001E-2</v>
      </c>
      <c r="E1699" s="1">
        <v>9.3051799999999997E-4</v>
      </c>
      <c r="F1699" s="1">
        <v>3.5374500000000001E-3</v>
      </c>
      <c r="G1699" s="1">
        <v>1.0296000000000001E-3</v>
      </c>
      <c r="H1699" s="1">
        <v>3.11174E-4</v>
      </c>
    </row>
    <row r="1700" spans="2:8" x14ac:dyDescent="0.25">
      <c r="B1700" s="1">
        <v>45.2239</v>
      </c>
      <c r="C1700" s="1">
        <v>4.6865200000000003E-2</v>
      </c>
      <c r="D1700" s="1">
        <v>-5.2211300000000002E-2</v>
      </c>
      <c r="E1700" s="1">
        <v>9.2394700000000005E-4</v>
      </c>
      <c r="F1700" s="1">
        <v>3.7402999999999998E-3</v>
      </c>
      <c r="G1700" s="1">
        <v>9.8217300000000003E-4</v>
      </c>
      <c r="H1700" s="1">
        <v>3.00298E-4</v>
      </c>
    </row>
    <row r="1701" spans="2:8" x14ac:dyDescent="0.25">
      <c r="B1701" s="1">
        <v>46.560299999999998</v>
      </c>
      <c r="C1701" s="1">
        <v>4.5016300000000002E-2</v>
      </c>
      <c r="D1701" s="1">
        <v>-5.0459799999999999E-2</v>
      </c>
      <c r="E1701" s="1">
        <v>8.9498900000000001E-4</v>
      </c>
      <c r="F1701" s="1">
        <v>3.9027599999999999E-3</v>
      </c>
      <c r="G1701" s="1">
        <v>9.3475100000000005E-4</v>
      </c>
      <c r="H1701" s="1">
        <v>2.8897900000000003E-4</v>
      </c>
    </row>
    <row r="1702" spans="2:8" x14ac:dyDescent="0.25">
      <c r="B1702" s="1">
        <v>47.915999999999997</v>
      </c>
      <c r="C1702" s="1">
        <v>4.3291999999999997E-2</v>
      </c>
      <c r="D1702" s="1">
        <v>-4.8781999999999999E-2</v>
      </c>
      <c r="E1702" s="1">
        <v>8.4880399999999999E-4</v>
      </c>
      <c r="F1702" s="1">
        <v>4.0311399999999999E-3</v>
      </c>
      <c r="G1702" s="1">
        <v>8.8746599999999995E-4</v>
      </c>
      <c r="H1702" s="1">
        <v>2.7746900000000002E-4</v>
      </c>
    </row>
    <row r="1703" spans="2:8" x14ac:dyDescent="0.25">
      <c r="B1703" s="1">
        <v>49.290900000000001</v>
      </c>
      <c r="C1703" s="1">
        <v>4.1681700000000002E-2</v>
      </c>
      <c r="D1703" s="1">
        <v>-4.7176200000000001E-2</v>
      </c>
      <c r="E1703" s="1">
        <v>7.9191699999999995E-4</v>
      </c>
      <c r="F1703" s="1">
        <v>4.13015E-3</v>
      </c>
      <c r="G1703" s="1">
        <v>8.38242E-4</v>
      </c>
      <c r="H1703" s="1">
        <v>2.6588600000000001E-4</v>
      </c>
    </row>
    <row r="1704" spans="2:8" x14ac:dyDescent="0.25">
      <c r="B1704" s="1">
        <v>50.6845</v>
      </c>
      <c r="C1704" s="1">
        <v>4.0176900000000002E-2</v>
      </c>
      <c r="D1704" s="1">
        <v>-4.5640399999999998E-2</v>
      </c>
      <c r="E1704" s="1">
        <v>7.3066099999999996E-4</v>
      </c>
      <c r="F1704" s="1">
        <v>4.2020699999999996E-3</v>
      </c>
      <c r="G1704" s="1">
        <v>7.8501799999999996E-4</v>
      </c>
      <c r="H1704" s="1">
        <v>2.5416499999999999E-4</v>
      </c>
    </row>
    <row r="1705" spans="2:8" x14ac:dyDescent="0.25">
      <c r="B1705" s="1">
        <v>52.096899999999998</v>
      </c>
      <c r="C1705" s="1">
        <v>3.8770600000000002E-2</v>
      </c>
      <c r="D1705" s="1">
        <v>-4.4172900000000001E-2</v>
      </c>
      <c r="E1705" s="1">
        <v>6.6957300000000002E-4</v>
      </c>
      <c r="F1705" s="1">
        <v>4.2464699999999996E-3</v>
      </c>
      <c r="G1705" s="1">
        <v>7.2826E-4</v>
      </c>
      <c r="H1705" s="1">
        <v>2.4205599999999999E-4</v>
      </c>
    </row>
    <row r="1706" spans="2:8" x14ac:dyDescent="0.25">
      <c r="B1706" s="1">
        <v>53.5276</v>
      </c>
      <c r="C1706" s="1">
        <v>3.7456999999999997E-2</v>
      </c>
      <c r="D1706" s="1">
        <v>-4.2771499999999997E-2</v>
      </c>
      <c r="E1706" s="1">
        <v>6.1091900000000002E-4</v>
      </c>
      <c r="F1706" s="1">
        <v>4.2618200000000004E-3</v>
      </c>
      <c r="G1706" s="1">
        <v>6.7113199999999996E-4</v>
      </c>
      <c r="H1706" s="1">
        <v>2.2935100000000001E-4</v>
      </c>
    </row>
    <row r="1707" spans="2:8" x14ac:dyDescent="0.25">
      <c r="B1707" s="1">
        <v>54.976500000000001</v>
      </c>
      <c r="C1707" s="1">
        <v>3.6230199999999997E-2</v>
      </c>
      <c r="D1707" s="1">
        <v>-4.1434600000000002E-2</v>
      </c>
      <c r="E1707" s="1">
        <v>5.5524700000000003E-4</v>
      </c>
      <c r="F1707" s="1">
        <v>4.2480199999999999E-3</v>
      </c>
      <c r="G1707" s="1">
        <v>6.1742600000000002E-4</v>
      </c>
      <c r="H1707" s="1">
        <v>2.1619900000000001E-4</v>
      </c>
    </row>
    <row r="1708" spans="2:8" x14ac:dyDescent="0.25">
      <c r="B1708" s="1">
        <v>56.443399999999997</v>
      </c>
      <c r="C1708" s="1">
        <v>3.5083900000000001E-2</v>
      </c>
      <c r="D1708" s="1">
        <v>-4.0159899999999998E-2</v>
      </c>
      <c r="E1708" s="1">
        <v>5.0182000000000004E-4</v>
      </c>
      <c r="F1708" s="1">
        <v>4.20785E-3</v>
      </c>
      <c r="G1708" s="1">
        <v>5.6926899999999996E-4</v>
      </c>
      <c r="H1708" s="1">
        <v>2.02969E-4</v>
      </c>
    </row>
    <row r="1709" spans="2:8" x14ac:dyDescent="0.25">
      <c r="B1709" s="1">
        <v>57.928100000000001</v>
      </c>
      <c r="C1709" s="1">
        <v>3.4011899999999998E-2</v>
      </c>
      <c r="D1709" s="1">
        <v>-3.8943800000000001E-2</v>
      </c>
      <c r="E1709" s="1">
        <v>4.4889099999999998E-4</v>
      </c>
      <c r="F1709" s="1">
        <v>4.1462199999999999E-3</v>
      </c>
      <c r="G1709" s="1">
        <v>5.26758E-4</v>
      </c>
      <c r="H1709" s="1">
        <v>1.89932E-4</v>
      </c>
    </row>
    <row r="1710" spans="2:8" x14ac:dyDescent="0.25">
      <c r="B1710" s="1">
        <v>59.430100000000003</v>
      </c>
      <c r="C1710" s="1">
        <v>3.3007399999999999E-2</v>
      </c>
      <c r="D1710" s="1">
        <v>-3.7782200000000002E-2</v>
      </c>
      <c r="E1710" s="1">
        <v>3.9436700000000001E-4</v>
      </c>
      <c r="F1710" s="1">
        <v>4.0680100000000004E-3</v>
      </c>
      <c r="G1710" s="1">
        <v>4.8966999999999999E-4</v>
      </c>
      <c r="H1710" s="1">
        <v>1.7718599999999999E-4</v>
      </c>
    </row>
    <row r="1711" spans="2:8" x14ac:dyDescent="0.25">
      <c r="B1711" s="1">
        <v>60.949399999999997</v>
      </c>
      <c r="C1711" s="1">
        <v>3.20644E-2</v>
      </c>
      <c r="D1711" s="1">
        <v>-3.6671599999999999E-2</v>
      </c>
      <c r="E1711" s="1">
        <v>3.3691199999999998E-4</v>
      </c>
      <c r="F1711" s="1">
        <v>3.9769699999999998E-3</v>
      </c>
      <c r="G1711" s="1">
        <v>4.5818200000000001E-4</v>
      </c>
      <c r="H1711" s="1">
        <v>1.6494E-4</v>
      </c>
    </row>
    <row r="1712" spans="2:8" x14ac:dyDescent="0.25">
      <c r="B1712" s="1">
        <v>62.485799999999998</v>
      </c>
      <c r="C1712" s="1">
        <v>3.11776E-2</v>
      </c>
      <c r="D1712" s="1">
        <v>-3.5608599999999997E-2</v>
      </c>
      <c r="E1712" s="1">
        <v>2.7637099999999997E-4</v>
      </c>
      <c r="F1712" s="1">
        <v>3.8764699999999999E-3</v>
      </c>
      <c r="G1712" s="1">
        <v>4.3175E-4</v>
      </c>
      <c r="H1712" s="1">
        <v>1.53633E-4</v>
      </c>
    </row>
    <row r="1713" spans="2:8" x14ac:dyDescent="0.25">
      <c r="B1713" s="1">
        <v>64.038700000000006</v>
      </c>
      <c r="C1713" s="1">
        <v>3.0342000000000001E-2</v>
      </c>
      <c r="D1713" s="1">
        <v>-3.4590099999999999E-2</v>
      </c>
      <c r="E1713" s="1">
        <v>2.12952E-4</v>
      </c>
      <c r="F1713" s="1">
        <v>3.7707399999999999E-3</v>
      </c>
      <c r="G1713" s="1">
        <v>4.0795799999999999E-4</v>
      </c>
      <c r="H1713" s="1">
        <v>1.4347900000000001E-4</v>
      </c>
    </row>
    <row r="1714" spans="2:8" x14ac:dyDescent="0.25">
      <c r="B1714" s="1">
        <v>65.608099999999993</v>
      </c>
      <c r="C1714" s="1">
        <v>2.9552700000000001E-2</v>
      </c>
      <c r="D1714" s="1">
        <v>-3.3613200000000003E-2</v>
      </c>
      <c r="E1714" s="1">
        <v>1.46713E-4</v>
      </c>
      <c r="F1714" s="1">
        <v>3.6649299999999998E-3</v>
      </c>
      <c r="G1714" s="1">
        <v>3.83252E-4</v>
      </c>
      <c r="H1714" s="1">
        <v>1.34368E-4</v>
      </c>
    </row>
    <row r="1715" spans="2:8" x14ac:dyDescent="0.25">
      <c r="B1715" s="1">
        <v>67.193600000000004</v>
      </c>
      <c r="C1715" s="1">
        <v>2.8805399999999998E-2</v>
      </c>
      <c r="D1715" s="1">
        <v>-3.2675500000000003E-2</v>
      </c>
      <c r="E1715" s="1">
        <v>7.7955999999999997E-5</v>
      </c>
      <c r="F1715" s="1">
        <v>3.5629899999999998E-3</v>
      </c>
      <c r="G1715" s="1">
        <v>3.5533500000000003E-4</v>
      </c>
      <c r="H1715" s="1">
        <v>1.26155E-4</v>
      </c>
    </row>
    <row r="1716" spans="2:8" x14ac:dyDescent="0.25">
      <c r="B1716" s="1">
        <v>68.795000000000002</v>
      </c>
      <c r="C1716" s="1">
        <v>2.80965E-2</v>
      </c>
      <c r="D1716" s="1">
        <v>-3.1775299999999999E-2</v>
      </c>
      <c r="E1716" s="1">
        <v>7.7370000000000006E-6</v>
      </c>
      <c r="F1716" s="1">
        <v>3.4656600000000002E-3</v>
      </c>
      <c r="G1716" s="1">
        <v>3.2403100000000002E-4</v>
      </c>
      <c r="H1716" s="1">
        <v>1.1861E-4</v>
      </c>
    </row>
    <row r="1717" spans="2:8" x14ac:dyDescent="0.25">
      <c r="B1717" s="1">
        <v>70.412099999999995</v>
      </c>
      <c r="C1717" s="1">
        <v>2.7422999999999999E-2</v>
      </c>
      <c r="D1717" s="1">
        <v>-3.0910900000000002E-2</v>
      </c>
      <c r="E1717" s="1">
        <v>-6.2110499999999994E-5</v>
      </c>
      <c r="F1717" s="1">
        <v>3.3707199999999998E-3</v>
      </c>
      <c r="G1717" s="1">
        <v>2.9073100000000002E-4</v>
      </c>
      <c r="H1717" s="1">
        <v>1.11393E-4</v>
      </c>
    </row>
    <row r="1718" spans="2:8" x14ac:dyDescent="0.25">
      <c r="B1718" s="1">
        <v>72.044399999999996</v>
      </c>
      <c r="C1718" s="1">
        <v>2.6782E-2</v>
      </c>
      <c r="D1718" s="1">
        <v>-3.0081299999999998E-2</v>
      </c>
      <c r="E1718" s="1">
        <v>-1.2954500000000001E-4</v>
      </c>
      <c r="F1718" s="1">
        <v>3.2747900000000001E-3</v>
      </c>
      <c r="G1718" s="1">
        <v>2.5816100000000002E-4</v>
      </c>
      <c r="H1718" s="1">
        <v>1.04128E-4</v>
      </c>
    </row>
    <row r="1719" spans="2:8" x14ac:dyDescent="0.25">
      <c r="B1719" s="1">
        <v>73.691800000000001</v>
      </c>
      <c r="C1719" s="1">
        <v>2.6170700000000002E-2</v>
      </c>
      <c r="D1719" s="1">
        <v>-2.9286199999999998E-2</v>
      </c>
      <c r="E1719" s="1">
        <v>-1.9268000000000001E-4</v>
      </c>
      <c r="F1719" s="1">
        <v>3.1749899999999999E-3</v>
      </c>
      <c r="G1719" s="1">
        <v>2.29826E-4</v>
      </c>
      <c r="H1719" s="1">
        <v>9.66511E-5</v>
      </c>
    </row>
    <row r="1720" spans="2:8" x14ac:dyDescent="0.25">
      <c r="B1720" s="1">
        <v>75.353800000000007</v>
      </c>
      <c r="C1720" s="1">
        <v>2.5586500000000002E-2</v>
      </c>
      <c r="D1720" s="1">
        <v>-2.8526099999999999E-2</v>
      </c>
      <c r="E1720" s="1">
        <v>-2.4962999999999998E-4</v>
      </c>
      <c r="F1720" s="1">
        <v>3.07004E-3</v>
      </c>
      <c r="G1720" s="1">
        <v>2.0838399999999999E-4</v>
      </c>
      <c r="H1720" s="1">
        <v>8.9231400000000001E-5</v>
      </c>
    </row>
    <row r="1721" spans="2:8" x14ac:dyDescent="0.25">
      <c r="B1721" s="1">
        <v>77.030500000000004</v>
      </c>
      <c r="C1721" s="1">
        <v>2.50271E-2</v>
      </c>
      <c r="D1721" s="1">
        <v>-2.7800499999999999E-2</v>
      </c>
      <c r="E1721" s="1">
        <v>-2.9869299999999999E-4</v>
      </c>
      <c r="F1721" s="1">
        <v>2.9609300000000001E-3</v>
      </c>
      <c r="G1721" s="1">
        <v>1.9341200000000001E-4</v>
      </c>
      <c r="H1721" s="1">
        <v>8.2253800000000002E-5</v>
      </c>
    </row>
    <row r="1722" spans="2:8" x14ac:dyDescent="0.25">
      <c r="B1722" s="1">
        <v>78.721199999999996</v>
      </c>
      <c r="C1722" s="1">
        <v>2.4489899999999998E-2</v>
      </c>
      <c r="D1722" s="1">
        <v>-2.7106999999999999E-2</v>
      </c>
      <c r="E1722" s="1">
        <v>-3.3879800000000002E-4</v>
      </c>
      <c r="F1722" s="1">
        <v>2.84966E-3</v>
      </c>
      <c r="G1722" s="1">
        <v>1.82089E-4</v>
      </c>
      <c r="H1722" s="1">
        <v>7.5730900000000004E-5</v>
      </c>
    </row>
    <row r="1723" spans="2:8" x14ac:dyDescent="0.25">
      <c r="B1723" s="1">
        <v>80.426000000000002</v>
      </c>
      <c r="C1723" s="1">
        <v>2.3971900000000001E-2</v>
      </c>
      <c r="D1723" s="1">
        <v>-2.6442299999999998E-2</v>
      </c>
      <c r="E1723" s="1">
        <v>-3.6964099999999998E-4</v>
      </c>
      <c r="F1723" s="1">
        <v>2.7371600000000002E-3</v>
      </c>
      <c r="G1723" s="1">
        <v>1.72628E-4</v>
      </c>
      <c r="H1723" s="1">
        <v>6.9711900000000006E-5</v>
      </c>
    </row>
    <row r="1724" spans="2:8" x14ac:dyDescent="0.25">
      <c r="B1724" s="1">
        <v>82.144199999999998</v>
      </c>
      <c r="C1724" s="1">
        <v>2.3470499999999998E-2</v>
      </c>
      <c r="D1724" s="1">
        <v>-2.58024E-2</v>
      </c>
      <c r="E1724" s="1">
        <v>-3.9186199999999998E-4</v>
      </c>
      <c r="F1724" s="1">
        <v>2.62517E-3</v>
      </c>
      <c r="G1724" s="1">
        <v>1.62843E-4</v>
      </c>
      <c r="H1724" s="1">
        <v>6.4288999999999994E-5</v>
      </c>
    </row>
    <row r="1725" spans="2:8" x14ac:dyDescent="0.25">
      <c r="B1725" s="1">
        <v>83.875900000000001</v>
      </c>
      <c r="C1725" s="1">
        <v>2.2984500000000001E-2</v>
      </c>
      <c r="D1725" s="1">
        <v>-2.5184600000000001E-2</v>
      </c>
      <c r="E1725" s="1">
        <v>-4.0724400000000002E-4</v>
      </c>
      <c r="F1725" s="1">
        <v>2.5166099999999999E-3</v>
      </c>
      <c r="G1725" s="1">
        <v>1.50094E-4</v>
      </c>
      <c r="H1725" s="1">
        <v>5.9274799999999997E-5</v>
      </c>
    </row>
    <row r="1726" spans="2:8" x14ac:dyDescent="0.25">
      <c r="B1726" s="1">
        <v>85.620199999999997</v>
      </c>
      <c r="C1726" s="1">
        <v>2.2513700000000001E-2</v>
      </c>
      <c r="D1726" s="1">
        <v>-2.45889E-2</v>
      </c>
      <c r="E1726" s="1">
        <v>-4.1860200000000001E-4</v>
      </c>
      <c r="F1726" s="1">
        <v>2.4110500000000001E-3</v>
      </c>
      <c r="G1726" s="1">
        <v>1.3754800000000001E-4</v>
      </c>
      <c r="H1726" s="1">
        <v>5.4754399999999999E-5</v>
      </c>
    </row>
    <row r="1727" spans="2:8" x14ac:dyDescent="0.25">
      <c r="B1727" s="1">
        <v>87.377899999999997</v>
      </c>
      <c r="C1727" s="1">
        <v>2.2058399999999999E-2</v>
      </c>
      <c r="D1727" s="1">
        <v>-2.4015999999999999E-2</v>
      </c>
      <c r="E1727" s="1">
        <v>-4.29219E-4</v>
      </c>
      <c r="F1727" s="1">
        <v>2.3068699999999999E-3</v>
      </c>
      <c r="G1727" s="1">
        <v>1.3069399999999999E-4</v>
      </c>
      <c r="H1727" s="1">
        <v>5.0800000000000002E-5</v>
      </c>
    </row>
    <row r="1728" spans="2:8" x14ac:dyDescent="0.25">
      <c r="B1728" s="1">
        <v>89.147499999999994</v>
      </c>
      <c r="C1728" s="1">
        <v>2.1617299999999999E-2</v>
      </c>
      <c r="D1728" s="1">
        <v>-2.3464700000000002E-2</v>
      </c>
      <c r="E1728" s="1">
        <v>-4.4179199999999999E-4</v>
      </c>
      <c r="F1728" s="1">
        <v>2.2073599999999998E-3</v>
      </c>
      <c r="G1728" s="1">
        <v>1.2905800000000001E-4</v>
      </c>
      <c r="H1728" s="1">
        <v>4.7204399999999998E-5</v>
      </c>
    </row>
    <row r="1729" spans="2:8" x14ac:dyDescent="0.25">
      <c r="B1729" s="1">
        <v>90.9298</v>
      </c>
      <c r="C1729" s="1">
        <v>2.1187000000000001E-2</v>
      </c>
      <c r="D1729" s="1">
        <v>-2.2932399999999999E-2</v>
      </c>
      <c r="E1729" s="1">
        <v>-4.5761499999999997E-4</v>
      </c>
      <c r="F1729" s="1">
        <v>2.1196700000000001E-3</v>
      </c>
      <c r="G1729" s="1">
        <v>1.27016E-4</v>
      </c>
      <c r="H1729" s="1">
        <v>4.3643100000000002E-5</v>
      </c>
    </row>
    <row r="1730" spans="2:8" x14ac:dyDescent="0.25">
      <c r="B1730" s="1">
        <v>92.723100000000002</v>
      </c>
      <c r="C1730" s="1">
        <v>2.0764100000000001E-2</v>
      </c>
      <c r="D1730" s="1">
        <v>-2.2416700000000001E-2</v>
      </c>
      <c r="E1730" s="1">
        <v>-4.7644799999999998E-4</v>
      </c>
      <c r="F1730" s="1">
        <v>2.0488500000000001E-3</v>
      </c>
      <c r="G1730" s="1">
        <v>1.19997E-4</v>
      </c>
      <c r="H1730" s="1">
        <v>3.9801300000000001E-5</v>
      </c>
    </row>
    <row r="1731" spans="2:8" x14ac:dyDescent="0.25">
      <c r="B1731" s="1">
        <v>94.528999999999996</v>
      </c>
      <c r="C1731" s="1">
        <v>2.0346300000000001E-2</v>
      </c>
      <c r="D1731" s="1">
        <v>-2.19162E-2</v>
      </c>
      <c r="E1731" s="1">
        <v>-4.9659300000000003E-4</v>
      </c>
      <c r="F1731" s="1">
        <v>1.9949799999999999E-3</v>
      </c>
      <c r="G1731" s="1">
        <v>1.07188E-4</v>
      </c>
      <c r="H1731" s="1">
        <v>3.5636799999999997E-5</v>
      </c>
    </row>
    <row r="1732" spans="2:8" x14ac:dyDescent="0.25">
      <c r="B1732" s="1">
        <v>96.345200000000006</v>
      </c>
      <c r="C1732" s="1">
        <v>1.9932999999999999E-2</v>
      </c>
      <c r="D1732" s="1">
        <v>-2.1430500000000002E-2</v>
      </c>
      <c r="E1732" s="1">
        <v>-5.1501800000000001E-4</v>
      </c>
      <c r="F1732" s="1">
        <v>1.9548500000000002E-3</v>
      </c>
      <c r="G1732" s="1">
        <v>8.9229799999999997E-5</v>
      </c>
      <c r="H1732" s="1">
        <v>3.1474099999999997E-5</v>
      </c>
    </row>
    <row r="1733" spans="2:8" x14ac:dyDescent="0.25">
      <c r="B1733" s="1">
        <v>98.173299999999998</v>
      </c>
      <c r="C1733" s="1">
        <v>1.95251E-2</v>
      </c>
      <c r="D1733" s="1">
        <v>-2.0959800000000001E-2</v>
      </c>
      <c r="E1733" s="1">
        <v>-5.2818899999999998E-4</v>
      </c>
      <c r="F1733" s="1">
        <v>1.92314E-3</v>
      </c>
      <c r="G1733" s="1">
        <v>6.7442900000000004E-5</v>
      </c>
      <c r="H1733" s="1">
        <v>2.7694700000000001E-5</v>
      </c>
    </row>
    <row r="1734" spans="2:8" x14ac:dyDescent="0.25">
      <c r="B1734" s="1">
        <v>100.012</v>
      </c>
      <c r="C1734" s="1">
        <v>1.9124700000000001E-2</v>
      </c>
      <c r="D1734" s="1">
        <v>-2.05049E-2</v>
      </c>
      <c r="E1734" s="1">
        <v>-5.3383399999999996E-4</v>
      </c>
      <c r="F1734" s="1">
        <v>1.8917599999999999E-3</v>
      </c>
      <c r="G1734" s="1">
        <v>4.6895399999999998E-5</v>
      </c>
      <c r="H1734" s="1">
        <v>2.45465E-5</v>
      </c>
    </row>
    <row r="1735" spans="2:8" x14ac:dyDescent="0.25">
      <c r="B1735" s="1">
        <v>101.861</v>
      </c>
      <c r="C1735" s="1">
        <v>1.8734199999999999E-2</v>
      </c>
      <c r="D1735" s="1">
        <v>-2.00672E-2</v>
      </c>
      <c r="E1735" s="1">
        <v>-5.3217399999999995E-4</v>
      </c>
      <c r="F1735" s="1">
        <v>1.8533200000000001E-3</v>
      </c>
      <c r="G1735" s="1">
        <v>3.3795199999999998E-5</v>
      </c>
      <c r="H1735" s="1">
        <v>2.1945000000000001E-5</v>
      </c>
    </row>
    <row r="1736" spans="2:8" x14ac:dyDescent="0.25">
      <c r="B1736" s="1">
        <v>103.72</v>
      </c>
      <c r="C1736" s="1">
        <v>1.8355699999999999E-2</v>
      </c>
      <c r="D1736" s="1">
        <v>-1.96461E-2</v>
      </c>
      <c r="E1736" s="1">
        <v>-5.2540900000000001E-4</v>
      </c>
      <c r="F1736" s="1">
        <v>1.8061799999999999E-3</v>
      </c>
      <c r="G1736" s="1">
        <v>2.9085999999999999E-5</v>
      </c>
      <c r="H1736" s="1">
        <v>1.94802E-5</v>
      </c>
    </row>
    <row r="1737" spans="2:8" x14ac:dyDescent="0.25">
      <c r="B1737" s="1">
        <v>105.589</v>
      </c>
      <c r="C1737" s="1">
        <v>1.7990300000000001E-2</v>
      </c>
      <c r="D1737" s="1">
        <v>-1.9239900000000001E-2</v>
      </c>
      <c r="E1737" s="1">
        <v>-5.1632999999999996E-4</v>
      </c>
      <c r="F1737" s="1">
        <v>1.75292E-3</v>
      </c>
      <c r="G1737" s="1">
        <v>2.9813100000000001E-5</v>
      </c>
      <c r="H1737" s="1">
        <v>1.6821E-5</v>
      </c>
    </row>
    <row r="1738" spans="2:8" x14ac:dyDescent="0.25">
      <c r="B1738" s="1">
        <v>107.468</v>
      </c>
      <c r="C1738" s="1">
        <v>1.7638500000000001E-2</v>
      </c>
      <c r="D1738" s="1">
        <v>-1.8846999999999999E-2</v>
      </c>
      <c r="E1738" s="1">
        <v>-5.0756800000000002E-4</v>
      </c>
      <c r="F1738" s="1">
        <v>1.6956199999999999E-3</v>
      </c>
      <c r="G1738" s="1">
        <v>3.4313600000000003E-5</v>
      </c>
      <c r="H1738" s="1">
        <v>1.3954000000000001E-5</v>
      </c>
    </row>
    <row r="1739" spans="2:8" x14ac:dyDescent="0.25">
      <c r="B1739" s="1">
        <v>109.35599999999999</v>
      </c>
      <c r="C1739" s="1">
        <v>1.7299700000000001E-2</v>
      </c>
      <c r="D1739" s="1">
        <v>-1.8464999999999999E-2</v>
      </c>
      <c r="E1739" s="1">
        <v>-5.0123300000000002E-4</v>
      </c>
      <c r="F1739" s="1">
        <v>1.63659E-3</v>
      </c>
      <c r="G1739" s="1">
        <v>4.0949099999999997E-5</v>
      </c>
      <c r="H1739" s="1">
        <v>1.10286E-5</v>
      </c>
    </row>
    <row r="1740" spans="2:8" x14ac:dyDescent="0.25">
      <c r="B1740" s="1">
        <v>111.253</v>
      </c>
      <c r="C1740" s="1">
        <v>1.6972500000000001E-2</v>
      </c>
      <c r="D1740" s="1">
        <v>-1.8092E-2</v>
      </c>
      <c r="E1740" s="1">
        <v>-4.9834200000000003E-4</v>
      </c>
      <c r="F1740" s="1">
        <v>1.5794100000000001E-3</v>
      </c>
      <c r="G1740" s="1">
        <v>4.6622799999999997E-5</v>
      </c>
      <c r="H1740" s="1">
        <v>8.2535899999999994E-6</v>
      </c>
    </row>
    <row r="1741" spans="2:8" x14ac:dyDescent="0.25">
      <c r="B1741" s="1">
        <v>113.16</v>
      </c>
      <c r="C1741" s="1">
        <v>1.6656000000000001E-2</v>
      </c>
      <c r="D1741" s="1">
        <v>-1.7727199999999999E-2</v>
      </c>
      <c r="E1741" s="1">
        <v>-4.9862799999999998E-4</v>
      </c>
      <c r="F1741" s="1">
        <v>1.5257599999999999E-3</v>
      </c>
      <c r="G1741" s="1">
        <v>4.9970499999999999E-5</v>
      </c>
      <c r="H1741" s="1">
        <v>5.8967499999999999E-6</v>
      </c>
    </row>
    <row r="1742" spans="2:8" x14ac:dyDescent="0.25">
      <c r="B1742" s="1">
        <v>115.074</v>
      </c>
      <c r="C1742" s="1">
        <v>1.63494E-2</v>
      </c>
      <c r="D1742" s="1">
        <v>-1.7370400000000001E-2</v>
      </c>
      <c r="E1742" s="1">
        <v>-5.0095300000000005E-4</v>
      </c>
      <c r="F1742" s="1">
        <v>1.4753399999999999E-3</v>
      </c>
      <c r="G1742" s="1">
        <v>5.0418099999999998E-5</v>
      </c>
      <c r="H1742" s="1">
        <v>3.7595499999999999E-6</v>
      </c>
    </row>
    <row r="1743" spans="2:8" x14ac:dyDescent="0.25">
      <c r="B1743" s="1">
        <v>116.997</v>
      </c>
      <c r="C1743" s="1">
        <v>1.60526E-2</v>
      </c>
      <c r="D1743" s="1">
        <v>-1.70218E-2</v>
      </c>
      <c r="E1743" s="1">
        <v>-5.0398100000000003E-4</v>
      </c>
      <c r="F1743" s="1">
        <v>1.4264200000000001E-3</v>
      </c>
      <c r="G1743" s="1">
        <v>4.8455599999999997E-5</v>
      </c>
      <c r="H1743" s="1">
        <v>1.61615E-6</v>
      </c>
    </row>
    <row r="1744" spans="2:8" x14ac:dyDescent="0.25">
      <c r="B1744" s="1">
        <v>118.928</v>
      </c>
      <c r="C1744" s="1">
        <v>1.5765299999999999E-2</v>
      </c>
      <c r="D1744" s="1">
        <v>-1.6681999999999999E-2</v>
      </c>
      <c r="E1744" s="1">
        <v>-5.0679499999999999E-4</v>
      </c>
      <c r="F1744" s="1">
        <v>1.3767300000000001E-3</v>
      </c>
      <c r="G1744" s="1">
        <v>4.6284900000000001E-5</v>
      </c>
      <c r="H1744" s="1">
        <v>-4.3365000000000002E-7</v>
      </c>
    </row>
    <row r="1745" spans="2:8" x14ac:dyDescent="0.25">
      <c r="B1745" s="1">
        <v>120.86799999999999</v>
      </c>
      <c r="C1745" s="1">
        <v>1.54863E-2</v>
      </c>
      <c r="D1745" s="1">
        <v>-1.6350900000000002E-2</v>
      </c>
      <c r="E1745" s="1">
        <v>-5.0883999999999999E-4</v>
      </c>
      <c r="F1745" s="1">
        <v>1.3265600000000001E-3</v>
      </c>
      <c r="G1745" s="1">
        <v>4.4654899999999998E-5</v>
      </c>
      <c r="H1745" s="1">
        <v>-2.16865E-6</v>
      </c>
    </row>
    <row r="1746" spans="2:8" x14ac:dyDescent="0.25">
      <c r="B1746" s="1">
        <v>122.81399999999999</v>
      </c>
      <c r="C1746" s="1">
        <v>1.5213300000000001E-2</v>
      </c>
      <c r="D1746" s="1">
        <v>-1.6028299999999999E-2</v>
      </c>
      <c r="E1746" s="1">
        <v>-5.0954500000000003E-4</v>
      </c>
      <c r="F1746" s="1">
        <v>1.2788599999999999E-3</v>
      </c>
      <c r="G1746" s="1">
        <v>4.2378400000000001E-5</v>
      </c>
      <c r="H1746" s="1">
        <v>-3.4017E-6</v>
      </c>
    </row>
    <row r="1747" spans="2:8" x14ac:dyDescent="0.25">
      <c r="B1747" s="1">
        <v>124.768</v>
      </c>
      <c r="C1747" s="1">
        <v>1.49439E-2</v>
      </c>
      <c r="D1747" s="1">
        <v>-1.57144E-2</v>
      </c>
      <c r="E1747" s="1">
        <v>-5.0829300000000005E-4</v>
      </c>
      <c r="F1747" s="1">
        <v>1.2347599999999999E-3</v>
      </c>
      <c r="G1747" s="1">
        <v>3.9879300000000003E-5</v>
      </c>
      <c r="H1747" s="1">
        <v>-4.1656000000000004E-6</v>
      </c>
    </row>
    <row r="1748" spans="2:8" x14ac:dyDescent="0.25">
      <c r="B1748" s="1">
        <v>126.729</v>
      </c>
      <c r="C1748" s="1">
        <v>1.46777E-2</v>
      </c>
      <c r="D1748" s="1">
        <v>-1.5409600000000001E-2</v>
      </c>
      <c r="E1748" s="1">
        <v>-5.0462499999999997E-4</v>
      </c>
      <c r="F1748" s="1">
        <v>1.1916400000000001E-3</v>
      </c>
      <c r="G1748" s="1">
        <v>4.0068000000000003E-5</v>
      </c>
      <c r="H1748" s="1">
        <v>-4.7971000000000002E-6</v>
      </c>
    </row>
    <row r="1749" spans="2:8" x14ac:dyDescent="0.25">
      <c r="B1749" s="1">
        <v>128.697</v>
      </c>
      <c r="C1749" s="1">
        <v>1.44149E-2</v>
      </c>
      <c r="D1749" s="1">
        <v>-1.51136E-2</v>
      </c>
      <c r="E1749" s="1">
        <v>-4.9842799999999998E-4</v>
      </c>
      <c r="F1749" s="1">
        <v>1.14693E-3</v>
      </c>
      <c r="G1749" s="1">
        <v>4.4486800000000002E-5</v>
      </c>
      <c r="H1749" s="1">
        <v>-5.7393000000000003E-6</v>
      </c>
    </row>
    <row r="1750" spans="2:8" x14ac:dyDescent="0.25">
      <c r="B1750" s="1">
        <v>130.672</v>
      </c>
      <c r="C1750" s="1">
        <v>1.41561E-2</v>
      </c>
      <c r="D1750" s="1">
        <v>-1.4826000000000001E-2</v>
      </c>
      <c r="E1750" s="1">
        <v>-4.90001E-4</v>
      </c>
      <c r="F1750" s="1">
        <v>1.101E-3</v>
      </c>
      <c r="G1750" s="1">
        <v>5.1682599999999999E-5</v>
      </c>
      <c r="H1750" s="1">
        <v>-7.1733399999999998E-6</v>
      </c>
    </row>
    <row r="1751" spans="2:8" x14ac:dyDescent="0.25">
      <c r="B1751" s="1">
        <v>132.654</v>
      </c>
      <c r="C1751" s="1">
        <v>1.3901800000000001E-2</v>
      </c>
      <c r="D1751" s="1">
        <v>-1.4546E-2</v>
      </c>
      <c r="E1751" s="1">
        <v>-4.7978799999999998E-4</v>
      </c>
      <c r="F1751" s="1">
        <v>1.05645E-3</v>
      </c>
      <c r="G1751" s="1">
        <v>5.8615400000000001E-5</v>
      </c>
      <c r="H1751" s="1">
        <v>-8.9387699999999995E-6</v>
      </c>
    </row>
    <row r="1752" spans="2:8" x14ac:dyDescent="0.25">
      <c r="B1752" s="1">
        <v>134.64099999999999</v>
      </c>
      <c r="C1752" s="1">
        <v>1.3651399999999999E-2</v>
      </c>
      <c r="D1752" s="1">
        <v>-1.4272399999999999E-2</v>
      </c>
      <c r="E1752" s="1">
        <v>-4.6773399999999998E-4</v>
      </c>
      <c r="F1752" s="1">
        <v>1.0163500000000001E-3</v>
      </c>
      <c r="G1752" s="1">
        <v>6.1636699999999999E-5</v>
      </c>
      <c r="H1752" s="1">
        <v>-1.0814E-5</v>
      </c>
    </row>
    <row r="1753" spans="2:8" x14ac:dyDescent="0.25">
      <c r="B1753" s="1">
        <v>136.63499999999999</v>
      </c>
      <c r="C1753" s="1">
        <v>1.3405E-2</v>
      </c>
      <c r="D1753" s="1">
        <v>-1.4005E-2</v>
      </c>
      <c r="E1753" s="1">
        <v>-4.5308499999999999E-4</v>
      </c>
      <c r="F1753" s="1">
        <v>9.8136600000000001E-4</v>
      </c>
      <c r="G1753" s="1">
        <v>5.9179199999999997E-5</v>
      </c>
      <c r="H1753" s="1">
        <v>-1.2551100000000001E-5</v>
      </c>
    </row>
    <row r="1754" spans="2:8" x14ac:dyDescent="0.25">
      <c r="B1754" s="1">
        <v>138.63499999999999</v>
      </c>
      <c r="C1754" s="1">
        <v>1.31635E-2</v>
      </c>
      <c r="D1754" s="1">
        <v>-1.37445E-2</v>
      </c>
      <c r="E1754" s="1">
        <v>-4.35182E-4</v>
      </c>
      <c r="F1754" s="1">
        <v>9.4893899999999999E-4</v>
      </c>
      <c r="G1754" s="1">
        <v>5.3226899999999997E-5</v>
      </c>
      <c r="H1754" s="1">
        <v>-1.40201E-5</v>
      </c>
    </row>
    <row r="1755" spans="2:8" x14ac:dyDescent="0.25">
      <c r="B1755" s="1">
        <v>140.63999999999999</v>
      </c>
      <c r="C1755" s="1">
        <v>1.29281E-2</v>
      </c>
      <c r="D1755" s="1">
        <v>-1.3491700000000001E-2</v>
      </c>
      <c r="E1755" s="1">
        <v>-4.1445700000000002E-4</v>
      </c>
      <c r="F1755" s="1">
        <v>9.1547500000000001E-4</v>
      </c>
      <c r="G1755" s="1">
        <v>4.7434800000000002E-5</v>
      </c>
      <c r="H1755" s="1">
        <v>-1.51922E-5</v>
      </c>
    </row>
    <row r="1756" spans="2:8" x14ac:dyDescent="0.25">
      <c r="B1756" s="1">
        <v>142.65</v>
      </c>
      <c r="C1756" s="1">
        <v>1.27002E-2</v>
      </c>
      <c r="D1756" s="1">
        <v>-1.32467E-2</v>
      </c>
      <c r="E1756" s="1">
        <v>-3.9265099999999999E-4</v>
      </c>
      <c r="F1756" s="1">
        <v>8.79585E-4</v>
      </c>
      <c r="G1756" s="1">
        <v>4.3371400000000003E-5</v>
      </c>
      <c r="H1756" s="1">
        <v>-1.6206100000000001E-5</v>
      </c>
    </row>
    <row r="1757" spans="2:8" x14ac:dyDescent="0.25">
      <c r="B1757" s="1">
        <v>144.666</v>
      </c>
      <c r="C1757" s="1">
        <v>1.2480099999999999E-2</v>
      </c>
      <c r="D1757" s="1">
        <v>-1.3007899999999999E-2</v>
      </c>
      <c r="E1757" s="1">
        <v>-3.7188599999999998E-4</v>
      </c>
      <c r="F1757" s="1">
        <v>8.4311100000000001E-4</v>
      </c>
      <c r="G1757" s="1">
        <v>3.9214000000000001E-5</v>
      </c>
      <c r="H1757" s="1">
        <v>-1.7382000000000001E-5</v>
      </c>
    </row>
    <row r="1758" spans="2:8" x14ac:dyDescent="0.25">
      <c r="B1758" s="1">
        <v>146.68600000000001</v>
      </c>
      <c r="C1758" s="1">
        <v>1.2267399999999999E-2</v>
      </c>
      <c r="D1758" s="1">
        <v>-1.2774300000000001E-2</v>
      </c>
      <c r="E1758" s="1">
        <v>-3.5342199999999999E-4</v>
      </c>
      <c r="F1758" s="1">
        <v>8.0878299999999998E-4</v>
      </c>
      <c r="G1758" s="1">
        <v>3.2639399999999998E-5</v>
      </c>
      <c r="H1758" s="1">
        <v>-1.8954199999999999E-5</v>
      </c>
    </row>
    <row r="1759" spans="2:8" x14ac:dyDescent="0.25">
      <c r="B1759" s="1">
        <v>148.71299999999999</v>
      </c>
      <c r="C1759" s="1">
        <v>1.20611E-2</v>
      </c>
      <c r="D1759" s="1">
        <v>-1.25454E-2</v>
      </c>
      <c r="E1759" s="1">
        <v>-3.37375E-4</v>
      </c>
      <c r="F1759" s="1">
        <v>7.7798600000000004E-4</v>
      </c>
      <c r="G1759" s="1">
        <v>2.2765700000000001E-5</v>
      </c>
      <c r="H1759" s="1">
        <v>-2.09727E-5</v>
      </c>
    </row>
    <row r="1760" spans="2:8" x14ac:dyDescent="0.25">
      <c r="B1760" s="1">
        <v>150.74299999999999</v>
      </c>
      <c r="C1760" s="1">
        <v>1.1860799999999999E-2</v>
      </c>
      <c r="D1760" s="1">
        <v>-1.23211E-2</v>
      </c>
      <c r="E1760" s="1">
        <v>-3.2328100000000002E-4</v>
      </c>
      <c r="F1760" s="1">
        <v>7.50715E-4</v>
      </c>
      <c r="G1760" s="1">
        <v>9.4234500000000004E-6</v>
      </c>
      <c r="H1760" s="1">
        <v>-2.34188E-5</v>
      </c>
    </row>
    <row r="1761" spans="2:8" x14ac:dyDescent="0.25">
      <c r="B1761" s="1">
        <v>152.77799999999999</v>
      </c>
      <c r="C1761" s="1">
        <v>1.16667E-2</v>
      </c>
      <c r="D1761" s="1">
        <v>-1.21014E-2</v>
      </c>
      <c r="E1761" s="1">
        <v>-3.1072599999999999E-4</v>
      </c>
      <c r="F1761" s="1">
        <v>7.2487400000000003E-4</v>
      </c>
      <c r="G1761" s="1">
        <v>-5.6521499999999997E-6</v>
      </c>
      <c r="H1761" s="1">
        <v>-2.6136399999999999E-5</v>
      </c>
    </row>
    <row r="1762" spans="2:8" x14ac:dyDescent="0.25">
      <c r="B1762" s="1">
        <v>154.81700000000001</v>
      </c>
      <c r="C1762" s="1">
        <v>1.1479100000000001E-2</v>
      </c>
      <c r="D1762" s="1">
        <v>-1.1886799999999999E-2</v>
      </c>
      <c r="E1762" s="1">
        <v>-2.9978600000000002E-4</v>
      </c>
      <c r="F1762" s="1">
        <v>6.9639300000000001E-4</v>
      </c>
      <c r="G1762" s="1">
        <v>-1.77771E-5</v>
      </c>
      <c r="H1762" s="1">
        <v>-2.8875200000000001E-5</v>
      </c>
    </row>
    <row r="1763" spans="2:8" x14ac:dyDescent="0.25">
      <c r="B1763" s="1">
        <v>156.86099999999999</v>
      </c>
      <c r="C1763" s="1">
        <v>1.1297400000000001E-2</v>
      </c>
      <c r="D1763" s="1">
        <v>-1.16779E-2</v>
      </c>
      <c r="E1763" s="1">
        <v>-2.9123799999999998E-4</v>
      </c>
      <c r="F1763" s="1">
        <v>6.6242299999999998E-4</v>
      </c>
      <c r="G1763" s="1">
        <v>-2.2053E-5</v>
      </c>
      <c r="H1763" s="1">
        <v>-3.1392700000000002E-5</v>
      </c>
    </row>
    <row r="1764" spans="2:8" x14ac:dyDescent="0.25">
      <c r="B1764" s="1">
        <v>158.90799999999999</v>
      </c>
      <c r="C1764" s="1">
        <v>1.11199E-2</v>
      </c>
      <c r="D1764" s="1">
        <v>-1.1474399999999999E-2</v>
      </c>
      <c r="E1764" s="1">
        <v>-2.8634800000000002E-4</v>
      </c>
      <c r="F1764" s="1">
        <v>6.2470099999999997E-4</v>
      </c>
      <c r="G1764" s="1">
        <v>-1.7419999999999999E-5</v>
      </c>
      <c r="H1764" s="1">
        <v>-3.3479899999999998E-5</v>
      </c>
    </row>
    <row r="1765" spans="2:8" x14ac:dyDescent="0.25">
      <c r="B1765" s="1">
        <v>160.959</v>
      </c>
      <c r="C1765" s="1">
        <v>1.09449E-2</v>
      </c>
      <c r="D1765" s="1">
        <v>-1.12753E-2</v>
      </c>
      <c r="E1765" s="1">
        <v>-2.8624400000000001E-4</v>
      </c>
      <c r="F1765" s="1">
        <v>5.8853499999999995E-4</v>
      </c>
      <c r="G1765" s="1">
        <v>-6.9704199999999999E-6</v>
      </c>
      <c r="H1765" s="1">
        <v>-3.5074499999999998E-5</v>
      </c>
    </row>
    <row r="1766" spans="2:8" x14ac:dyDescent="0.25">
      <c r="B1766" s="1">
        <v>163.01499999999999</v>
      </c>
      <c r="C1766" s="1">
        <v>1.07711E-2</v>
      </c>
      <c r="D1766" s="1">
        <v>-1.108E-2</v>
      </c>
      <c r="E1766" s="1">
        <v>-2.9135700000000001E-4</v>
      </c>
      <c r="F1766" s="1">
        <v>5.5847199999999996E-4</v>
      </c>
      <c r="G1766" s="1">
        <v>5.4683499999999999E-6</v>
      </c>
      <c r="H1766" s="1">
        <v>-3.6251599999999997E-5</v>
      </c>
    </row>
    <row r="1767" spans="2:8" x14ac:dyDescent="0.25">
      <c r="B1767" s="1">
        <v>165.07400000000001</v>
      </c>
      <c r="C1767" s="1">
        <v>1.05983E-2</v>
      </c>
      <c r="D1767" s="1">
        <v>-1.08875E-2</v>
      </c>
      <c r="E1767" s="1">
        <v>-3.0121100000000001E-4</v>
      </c>
      <c r="F1767" s="1">
        <v>5.3665199999999998E-4</v>
      </c>
      <c r="G1767" s="1">
        <v>1.6371800000000001E-5</v>
      </c>
      <c r="H1767" s="1">
        <v>-3.7394100000000002E-5</v>
      </c>
    </row>
    <row r="1768" spans="2:8" x14ac:dyDescent="0.25">
      <c r="B1768" s="1">
        <v>167.136</v>
      </c>
      <c r="C1768" s="1">
        <v>1.04265E-2</v>
      </c>
      <c r="D1768" s="1">
        <v>-1.06972E-2</v>
      </c>
      <c r="E1768" s="1">
        <v>-3.1453200000000002E-4</v>
      </c>
      <c r="F1768" s="1">
        <v>5.2283400000000002E-4</v>
      </c>
      <c r="G1768" s="1">
        <v>2.34991E-5</v>
      </c>
      <c r="H1768" s="1">
        <v>-3.8898800000000001E-5</v>
      </c>
    </row>
    <row r="1769" spans="2:8" x14ac:dyDescent="0.25">
      <c r="B1769" s="1">
        <v>169.20099999999999</v>
      </c>
      <c r="C1769" s="1">
        <v>1.0256100000000001E-2</v>
      </c>
      <c r="D1769" s="1">
        <v>-1.0508999999999999E-2</v>
      </c>
      <c r="E1769" s="1">
        <v>-3.2965799999999998E-4</v>
      </c>
      <c r="F1769" s="1">
        <v>5.1540199999999998E-4</v>
      </c>
      <c r="G1769" s="1">
        <v>2.6259999999999999E-5</v>
      </c>
      <c r="H1769" s="1">
        <v>-4.0887699999999998E-5</v>
      </c>
    </row>
    <row r="1770" spans="2:8" x14ac:dyDescent="0.25">
      <c r="B1770" s="1">
        <v>171.26900000000001</v>
      </c>
      <c r="C1770" s="1">
        <v>1.0087799999999999E-2</v>
      </c>
      <c r="D1770" s="1">
        <v>-1.0323499999999999E-2</v>
      </c>
      <c r="E1770" s="1">
        <v>-3.4515700000000002E-4</v>
      </c>
      <c r="F1770" s="1">
        <v>5.1269599999999999E-4</v>
      </c>
      <c r="G1770" s="1">
        <v>2.4809099999999999E-5</v>
      </c>
      <c r="H1770" s="1">
        <v>-4.3261199999999998E-5</v>
      </c>
    </row>
    <row r="1771" spans="2:8" x14ac:dyDescent="0.25">
      <c r="B1771" s="1">
        <v>173.34</v>
      </c>
      <c r="C1771" s="1">
        <v>9.9224799999999991E-3</v>
      </c>
      <c r="D1771" s="1">
        <v>-1.0141300000000001E-2</v>
      </c>
      <c r="E1771" s="1">
        <v>-3.6033400000000002E-4</v>
      </c>
      <c r="F1771" s="1">
        <v>5.1301500000000002E-4</v>
      </c>
      <c r="G1771" s="1">
        <v>2.0307699999999999E-5</v>
      </c>
      <c r="H1771" s="1">
        <v>-4.57651E-5</v>
      </c>
    </row>
    <row r="1772" spans="2:8" x14ac:dyDescent="0.25">
      <c r="B1772" s="1">
        <v>175.41499999999999</v>
      </c>
      <c r="C1772" s="1">
        <v>9.7603900000000007E-3</v>
      </c>
      <c r="D1772" s="1">
        <v>-9.9628300000000006E-3</v>
      </c>
      <c r="E1772" s="1">
        <v>-3.75165E-4</v>
      </c>
      <c r="F1772" s="1">
        <v>5.1508700000000001E-4</v>
      </c>
      <c r="G1772" s="1">
        <v>1.4245300000000001E-5</v>
      </c>
      <c r="H1772" s="1">
        <v>-4.8262700000000001E-5</v>
      </c>
    </row>
    <row r="1773" spans="2:8" x14ac:dyDescent="0.25">
      <c r="B1773" s="1">
        <v>177.49199999999999</v>
      </c>
      <c r="C1773" s="1">
        <v>9.6011399999999993E-3</v>
      </c>
      <c r="D1773" s="1">
        <v>-9.7885300000000001E-3</v>
      </c>
      <c r="E1773" s="1">
        <v>-3.8969200000000002E-4</v>
      </c>
      <c r="F1773" s="1">
        <v>5.1799599999999995E-4</v>
      </c>
      <c r="G1773" s="1">
        <v>8.3752900000000002E-6</v>
      </c>
      <c r="H1773" s="1">
        <v>-5.0714300000000003E-5</v>
      </c>
    </row>
    <row r="1774" spans="2:8" x14ac:dyDescent="0.25">
      <c r="B1774" s="1">
        <v>179.572</v>
      </c>
      <c r="C1774" s="1">
        <v>9.4437500000000008E-3</v>
      </c>
      <c r="D1774" s="1">
        <v>-9.6186699999999993E-3</v>
      </c>
      <c r="E1774" s="1">
        <v>-4.0364900000000001E-4</v>
      </c>
      <c r="F1774" s="1">
        <v>5.2109300000000003E-4</v>
      </c>
      <c r="G1774" s="1">
        <v>4.4346699999999997E-6</v>
      </c>
      <c r="H1774" s="1">
        <v>-5.30369E-5</v>
      </c>
    </row>
    <row r="1775" spans="2:8" x14ac:dyDescent="0.25">
      <c r="B1775" s="1">
        <v>181.654</v>
      </c>
      <c r="C1775" s="1">
        <v>9.2873899999999995E-3</v>
      </c>
      <c r="D1775" s="1">
        <v>-9.4533299999999994E-3</v>
      </c>
      <c r="E1775" s="1">
        <v>-4.1667100000000002E-4</v>
      </c>
      <c r="F1775" s="1">
        <v>5.2458300000000002E-4</v>
      </c>
      <c r="G1775" s="1">
        <v>2.82035E-6</v>
      </c>
      <c r="H1775" s="1">
        <v>-5.5203900000000002E-5</v>
      </c>
    </row>
    <row r="1776" spans="2:8" x14ac:dyDescent="0.25">
      <c r="B1776" s="1">
        <v>183.739</v>
      </c>
      <c r="C1776" s="1">
        <v>9.1318700000000003E-3</v>
      </c>
      <c r="D1776" s="1">
        <v>-9.2925799999999999E-3</v>
      </c>
      <c r="E1776" s="1">
        <v>-4.2846300000000002E-4</v>
      </c>
      <c r="F1776" s="1">
        <v>5.2846900000000005E-4</v>
      </c>
      <c r="G1776" s="1">
        <v>3.5491500000000001E-6</v>
      </c>
      <c r="H1776" s="1">
        <v>-5.7147500000000001E-5</v>
      </c>
    </row>
    <row r="1777" spans="2:8" x14ac:dyDescent="0.25">
      <c r="B1777" s="1">
        <v>185.82499999999999</v>
      </c>
      <c r="C1777" s="1">
        <v>8.9775099999999993E-3</v>
      </c>
      <c r="D1777" s="1">
        <v>-9.1363699999999996E-3</v>
      </c>
      <c r="E1777" s="1">
        <v>-4.3857400000000001E-4</v>
      </c>
      <c r="F1777" s="1">
        <v>5.3155200000000002E-4</v>
      </c>
      <c r="G1777" s="1">
        <v>7.1568499999999999E-6</v>
      </c>
      <c r="H1777" s="1">
        <v>-5.87229E-5</v>
      </c>
    </row>
    <row r="1778" spans="2:8" x14ac:dyDescent="0.25">
      <c r="B1778" s="1">
        <v>187.91499999999999</v>
      </c>
      <c r="C1778" s="1">
        <v>8.8245600000000004E-3</v>
      </c>
      <c r="D1778" s="1">
        <v>-8.9840600000000003E-3</v>
      </c>
      <c r="E1778" s="1">
        <v>-4.4627300000000001E-4</v>
      </c>
      <c r="F1778" s="1">
        <v>5.3301100000000001E-4</v>
      </c>
      <c r="G1778" s="1">
        <v>1.28604E-5</v>
      </c>
      <c r="H1778" s="1">
        <v>-5.98975E-5</v>
      </c>
    </row>
    <row r="1779" spans="2:8" x14ac:dyDescent="0.25">
      <c r="B1779" s="1">
        <v>190.006</v>
      </c>
      <c r="C1779" s="1">
        <v>8.6728699999999992E-3</v>
      </c>
      <c r="D1779" s="1">
        <v>-8.8344400000000007E-3</v>
      </c>
      <c r="E1779" s="1">
        <v>-4.5086200000000001E-4</v>
      </c>
      <c r="F1779" s="1">
        <v>5.3393699999999995E-4</v>
      </c>
      <c r="G1779" s="1">
        <v>1.7657999999999999E-5</v>
      </c>
      <c r="H1779" s="1">
        <v>-6.0837800000000002E-5</v>
      </c>
    </row>
    <row r="1780" spans="2:8" x14ac:dyDescent="0.25">
      <c r="B1780" s="1">
        <v>192.1</v>
      </c>
      <c r="C1780" s="1">
        <v>8.5221800000000007E-3</v>
      </c>
      <c r="D1780" s="1">
        <v>-8.6868399999999995E-3</v>
      </c>
      <c r="E1780" s="1">
        <v>-4.5208200000000003E-4</v>
      </c>
      <c r="F1780" s="1">
        <v>5.3607999999999998E-4</v>
      </c>
      <c r="G1780" s="1">
        <v>1.8923099999999998E-5</v>
      </c>
      <c r="H1780" s="1">
        <v>-6.1734299999999996E-5</v>
      </c>
    </row>
    <row r="1781" spans="2:8" x14ac:dyDescent="0.25">
      <c r="B1781" s="1">
        <v>194.19499999999999</v>
      </c>
      <c r="C1781" s="1">
        <v>8.37245E-3</v>
      </c>
      <c r="D1781" s="1">
        <v>-8.5414900000000005E-3</v>
      </c>
      <c r="E1781" s="1">
        <v>-4.50345E-4</v>
      </c>
      <c r="F1781" s="1">
        <v>5.3989700000000001E-4</v>
      </c>
      <c r="G1781" s="1">
        <v>1.6787100000000001E-5</v>
      </c>
      <c r="H1781" s="1">
        <v>-6.2706400000000007E-5</v>
      </c>
    </row>
    <row r="1782" spans="2:8" x14ac:dyDescent="0.25">
      <c r="B1782" s="1">
        <v>196.291</v>
      </c>
      <c r="C1782" s="1">
        <v>8.2236099999999993E-3</v>
      </c>
      <c r="D1782" s="1">
        <v>-8.3988599999999993E-3</v>
      </c>
      <c r="E1782" s="1">
        <v>-4.4661599999999999E-4</v>
      </c>
      <c r="F1782" s="1">
        <v>5.4473499999999997E-4</v>
      </c>
      <c r="G1782" s="1">
        <v>1.3253E-5</v>
      </c>
      <c r="H1782" s="1">
        <v>-6.3878000000000001E-5</v>
      </c>
    </row>
    <row r="1783" spans="2:8" x14ac:dyDescent="0.25">
      <c r="B1783" s="1">
        <v>198.39</v>
      </c>
      <c r="C1783" s="1">
        <v>8.0753100000000005E-3</v>
      </c>
      <c r="D1783" s="1">
        <v>-8.2590300000000005E-3</v>
      </c>
      <c r="E1783" s="1">
        <v>-4.4202599999999999E-4</v>
      </c>
      <c r="F1783" s="1">
        <v>5.5002100000000004E-4</v>
      </c>
      <c r="G1783" s="1">
        <v>1.0444900000000001E-5</v>
      </c>
      <c r="H1783" s="1">
        <v>-6.5283600000000006E-5</v>
      </c>
    </row>
    <row r="1784" spans="2:8" x14ac:dyDescent="0.25">
      <c r="B1784" s="1">
        <v>200.49</v>
      </c>
      <c r="C1784" s="1">
        <v>7.9269300000000004E-3</v>
      </c>
      <c r="D1784" s="1">
        <v>-8.12183E-3</v>
      </c>
      <c r="E1784" s="1">
        <v>-4.3751700000000001E-4</v>
      </c>
      <c r="F1784" s="1">
        <v>5.5564799999999995E-4</v>
      </c>
      <c r="G1784" s="1">
        <v>9.9842699999999999E-6</v>
      </c>
      <c r="H1784" s="1">
        <v>-6.6785000000000005E-5</v>
      </c>
    </row>
    <row r="1785" spans="2:8" x14ac:dyDescent="0.25">
      <c r="B1785" s="1">
        <v>202.59200000000001</v>
      </c>
      <c r="C1785" s="1">
        <v>7.7777599999999999E-3</v>
      </c>
      <c r="D1785" s="1">
        <v>-7.9869399999999997E-3</v>
      </c>
      <c r="E1785" s="1">
        <v>-4.3375800000000002E-4</v>
      </c>
      <c r="F1785" s="1">
        <v>5.6201199999999997E-4</v>
      </c>
      <c r="G1785" s="1">
        <v>1.2739600000000001E-5</v>
      </c>
      <c r="H1785" s="1">
        <v>-6.8172700000000005E-5</v>
      </c>
    </row>
    <row r="1786" spans="2:8" x14ac:dyDescent="0.25">
      <c r="B1786" s="1">
        <v>204.69499999999999</v>
      </c>
      <c r="C1786" s="1">
        <v>7.6272700000000002E-3</v>
      </c>
      <c r="D1786" s="1">
        <v>-7.8539600000000001E-3</v>
      </c>
      <c r="E1786" s="1">
        <v>-4.3116200000000002E-4</v>
      </c>
      <c r="F1786" s="1">
        <v>5.7038100000000001E-4</v>
      </c>
      <c r="G1786" s="1">
        <v>1.81526E-5</v>
      </c>
      <c r="H1786" s="1">
        <v>-6.9322100000000005E-5</v>
      </c>
    </row>
    <row r="1787" spans="2:8" x14ac:dyDescent="0.25">
      <c r="B1787" s="1">
        <v>206.80099999999999</v>
      </c>
      <c r="C1787" s="1">
        <v>7.4752400000000002E-3</v>
      </c>
      <c r="D1787" s="1">
        <v>-7.7226300000000003E-3</v>
      </c>
      <c r="E1787" s="1">
        <v>-4.2989599999999998E-4</v>
      </c>
      <c r="F1787" s="1">
        <v>5.8259000000000002E-4</v>
      </c>
      <c r="G1787" s="1">
        <v>2.4463900000000001E-5</v>
      </c>
      <c r="H1787" s="1">
        <v>-7.0232299999999995E-5</v>
      </c>
    </row>
    <row r="1788" spans="2:8" x14ac:dyDescent="0.25">
      <c r="B1788" s="1">
        <v>208.90700000000001</v>
      </c>
      <c r="C1788" s="1">
        <v>7.3220400000000001E-3</v>
      </c>
      <c r="D1788" s="1">
        <v>-7.59299E-3</v>
      </c>
      <c r="E1788" s="1">
        <v>-4.2990500000000001E-4</v>
      </c>
      <c r="F1788" s="1">
        <v>5.9992800000000001E-4</v>
      </c>
      <c r="G1788" s="1">
        <v>3.0018999999999998E-5</v>
      </c>
      <c r="H1788" s="1">
        <v>-7.0911600000000001E-5</v>
      </c>
    </row>
    <row r="1789" spans="2:8" x14ac:dyDescent="0.25">
      <c r="B1789" s="1">
        <v>211.01400000000001</v>
      </c>
      <c r="C1789" s="1">
        <v>7.1685500000000001E-3</v>
      </c>
      <c r="D1789" s="1">
        <v>-7.4653599999999999E-3</v>
      </c>
      <c r="E1789" s="1">
        <v>-4.3094900000000002E-4</v>
      </c>
      <c r="F1789" s="1">
        <v>6.2278099999999999E-4</v>
      </c>
      <c r="G1789" s="1">
        <v>3.3616499999999999E-5</v>
      </c>
      <c r="H1789" s="1">
        <v>-7.1356800000000001E-5</v>
      </c>
    </row>
    <row r="1790" spans="2:8" x14ac:dyDescent="0.25">
      <c r="B1790" s="1">
        <v>213.12200000000001</v>
      </c>
      <c r="C1790" s="1">
        <v>7.0158399999999998E-3</v>
      </c>
      <c r="D1790" s="1">
        <v>-7.3401300000000003E-3</v>
      </c>
      <c r="E1790" s="1">
        <v>-4.3259E-4</v>
      </c>
      <c r="F1790" s="1">
        <v>6.5057500000000002E-4</v>
      </c>
      <c r="G1790" s="1">
        <v>3.4706399999999997E-5</v>
      </c>
      <c r="H1790" s="1">
        <v>-7.15974E-5</v>
      </c>
    </row>
    <row r="1791" spans="2:8" x14ac:dyDescent="0.25">
      <c r="B1791" s="1">
        <v>215.232</v>
      </c>
      <c r="C1791" s="1">
        <v>6.8647300000000003E-3</v>
      </c>
      <c r="D1791" s="1">
        <v>-7.2178800000000003E-3</v>
      </c>
      <c r="E1791" s="1">
        <v>-4.3422399999999998E-4</v>
      </c>
      <c r="F1791" s="1">
        <v>6.81622E-4</v>
      </c>
      <c r="G1791" s="1">
        <v>3.4137100000000002E-5</v>
      </c>
      <c r="H1791" s="1">
        <v>-7.1604899999999996E-5</v>
      </c>
    </row>
    <row r="1792" spans="2:8" x14ac:dyDescent="0.25">
      <c r="B1792" s="1">
        <v>217.34299999999999</v>
      </c>
      <c r="C1792" s="1">
        <v>6.7154900000000002E-3</v>
      </c>
      <c r="D1792" s="1">
        <v>-7.0990300000000001E-3</v>
      </c>
      <c r="E1792" s="1">
        <v>-4.3528300000000001E-4</v>
      </c>
      <c r="F1792" s="1">
        <v>7.1411100000000002E-4</v>
      </c>
      <c r="G1792" s="1">
        <v>3.3377000000000002E-5</v>
      </c>
      <c r="H1792" s="1">
        <v>-7.1332200000000001E-5</v>
      </c>
    </row>
    <row r="1793" spans="2:8" x14ac:dyDescent="0.25">
      <c r="B1793" s="1">
        <v>219.45599999999999</v>
      </c>
      <c r="C1793" s="1">
        <v>6.5678000000000004E-3</v>
      </c>
      <c r="D1793" s="1">
        <v>-6.9835100000000001E-3</v>
      </c>
      <c r="E1793" s="1">
        <v>-4.3554800000000001E-4</v>
      </c>
      <c r="F1793" s="1">
        <v>7.4737800000000004E-4</v>
      </c>
      <c r="G1793" s="1">
        <v>3.3046200000000002E-5</v>
      </c>
      <c r="H1793" s="1">
        <v>-7.0826800000000004E-5</v>
      </c>
    </row>
    <row r="1794" spans="2:8" x14ac:dyDescent="0.25">
      <c r="B1794" s="1">
        <v>221.56800000000001</v>
      </c>
      <c r="C1794" s="1">
        <v>6.4211199999999998E-3</v>
      </c>
      <c r="D1794" s="1">
        <v>-6.8707999999999998E-3</v>
      </c>
      <c r="E1794" s="1">
        <v>-4.3531199999999998E-4</v>
      </c>
      <c r="F1794" s="1">
        <v>7.8190900000000001E-4</v>
      </c>
      <c r="G1794" s="1">
        <v>3.28905E-5</v>
      </c>
      <c r="H1794" s="1">
        <v>-7.01915E-5</v>
      </c>
    </row>
    <row r="1795" spans="2:8" x14ac:dyDescent="0.25">
      <c r="B1795" s="1">
        <v>223.68199999999999</v>
      </c>
      <c r="C1795" s="1">
        <v>6.2751300000000003E-3</v>
      </c>
      <c r="D1795" s="1">
        <v>-6.76035E-3</v>
      </c>
      <c r="E1795" s="1">
        <v>-4.3526300000000002E-4</v>
      </c>
      <c r="F1795" s="1">
        <v>8.1872399999999995E-4</v>
      </c>
      <c r="G1795" s="1">
        <v>3.2237999999999999E-5</v>
      </c>
      <c r="H1795" s="1">
        <v>-6.9518500000000002E-5</v>
      </c>
    </row>
    <row r="1796" spans="2:8" x14ac:dyDescent="0.25">
      <c r="B1796" s="1">
        <v>225.797</v>
      </c>
      <c r="C1796" s="1">
        <v>6.1301599999999999E-3</v>
      </c>
      <c r="D1796" s="1">
        <v>-6.6519700000000001E-3</v>
      </c>
      <c r="E1796" s="1">
        <v>-4.3613499999999998E-4</v>
      </c>
      <c r="F1796" s="1">
        <v>8.5835399999999997E-4</v>
      </c>
      <c r="G1796" s="1">
        <v>3.0779099999999998E-5</v>
      </c>
      <c r="H1796" s="1">
        <v>-6.88131E-5</v>
      </c>
    </row>
    <row r="1797" spans="2:8" x14ac:dyDescent="0.25">
      <c r="B1797" s="1">
        <v>227.91300000000001</v>
      </c>
      <c r="C1797" s="1">
        <v>5.9870100000000001E-3</v>
      </c>
      <c r="D1797" s="1">
        <v>-6.5458000000000001E-3</v>
      </c>
      <c r="E1797" s="1">
        <v>-4.38353E-4</v>
      </c>
      <c r="F1797" s="1">
        <v>9.0010800000000005E-4</v>
      </c>
      <c r="G1797" s="1">
        <v>2.90758E-5</v>
      </c>
      <c r="H1797" s="1">
        <v>-6.7958899999999997E-5</v>
      </c>
    </row>
    <row r="1798" spans="2:8" x14ac:dyDescent="0.25">
      <c r="B1798" s="1">
        <v>230.029</v>
      </c>
      <c r="C1798" s="1">
        <v>5.8464600000000004E-3</v>
      </c>
      <c r="D1798" s="1">
        <v>-6.4419000000000004E-3</v>
      </c>
      <c r="E1798" s="1">
        <v>-4.4190899999999999E-4</v>
      </c>
      <c r="F1798" s="1">
        <v>9.4263699999999997E-4</v>
      </c>
      <c r="G1798" s="1">
        <v>2.7866599999999998E-5</v>
      </c>
      <c r="H1798" s="1">
        <v>-6.6853099999999999E-5</v>
      </c>
    </row>
    <row r="1799" spans="2:8" x14ac:dyDescent="0.25">
      <c r="B1799" s="1">
        <v>232.14599999999999</v>
      </c>
      <c r="C1799" s="1">
        <v>5.7087400000000003E-3</v>
      </c>
      <c r="D1799" s="1">
        <v>-6.3401899999999999E-3</v>
      </c>
      <c r="E1799" s="1">
        <v>-4.4649199999999999E-4</v>
      </c>
      <c r="F1799" s="1">
        <v>9.8461699999999991E-4</v>
      </c>
      <c r="G1799" s="1">
        <v>2.7841899999999999E-5</v>
      </c>
      <c r="H1799" s="1">
        <v>-6.5475000000000006E-5</v>
      </c>
    </row>
    <row r="1800" spans="2:8" x14ac:dyDescent="0.25">
      <c r="B1800" s="1">
        <v>234.26400000000001</v>
      </c>
      <c r="C1800" s="1">
        <v>5.5733600000000003E-3</v>
      </c>
      <c r="D1800" s="1">
        <v>-6.2404599999999998E-3</v>
      </c>
      <c r="E1800" s="1">
        <v>-4.5167599999999998E-4</v>
      </c>
      <c r="F1800" s="1">
        <v>1.0252600000000001E-3</v>
      </c>
      <c r="G1800" s="1">
        <v>2.9665199999999998E-5</v>
      </c>
      <c r="H1800" s="1">
        <v>-6.3854200000000003E-5</v>
      </c>
    </row>
    <row r="1801" spans="2:8" x14ac:dyDescent="0.25">
      <c r="B1801" s="1">
        <v>236.38200000000001</v>
      </c>
      <c r="C1801" s="1">
        <v>5.4394600000000001E-3</v>
      </c>
      <c r="D1801" s="1">
        <v>-6.1425200000000003E-3</v>
      </c>
      <c r="E1801" s="1">
        <v>-4.5707199999999999E-4</v>
      </c>
      <c r="F1801" s="1">
        <v>1.0649500000000001E-3</v>
      </c>
      <c r="G1801" s="1">
        <v>3.3092500000000002E-5</v>
      </c>
      <c r="H1801" s="1">
        <v>-6.20885E-5</v>
      </c>
    </row>
    <row r="1802" spans="2:8" x14ac:dyDescent="0.25">
      <c r="B1802" s="1">
        <v>238.50200000000001</v>
      </c>
      <c r="C1802" s="1">
        <v>5.3063700000000004E-3</v>
      </c>
      <c r="D1802" s="1">
        <v>-6.0460399999999999E-3</v>
      </c>
      <c r="E1802" s="1">
        <v>-4.6241000000000001E-4</v>
      </c>
      <c r="F1802" s="1">
        <v>1.1050999999999999E-3</v>
      </c>
      <c r="G1802" s="1">
        <v>3.6593200000000001E-5</v>
      </c>
      <c r="H1802" s="1">
        <v>-6.03889E-5</v>
      </c>
    </row>
    <row r="1803" spans="2:8" x14ac:dyDescent="0.25">
      <c r="B1803" s="1">
        <v>240.62100000000001</v>
      </c>
      <c r="C1803" s="1">
        <v>5.1738799999999996E-3</v>
      </c>
      <c r="D1803" s="1">
        <v>-5.9509100000000002E-3</v>
      </c>
      <c r="E1803" s="1">
        <v>-4.6751699999999998E-4</v>
      </c>
      <c r="F1803" s="1">
        <v>1.1468100000000001E-3</v>
      </c>
      <c r="G1803" s="1">
        <v>3.8751899999999997E-5</v>
      </c>
      <c r="H1803" s="1">
        <v>-5.8980900000000003E-5</v>
      </c>
    </row>
    <row r="1804" spans="2:8" x14ac:dyDescent="0.25">
      <c r="B1804" s="1">
        <v>242.74199999999999</v>
      </c>
      <c r="C1804" s="1">
        <v>5.0421600000000004E-3</v>
      </c>
      <c r="D1804" s="1">
        <v>-5.8572700000000004E-3</v>
      </c>
      <c r="E1804" s="1">
        <v>-4.72301E-4</v>
      </c>
      <c r="F1804" s="1">
        <v>1.1900599999999999E-3</v>
      </c>
      <c r="G1804" s="1">
        <v>3.9350100000000001E-5</v>
      </c>
      <c r="H1804" s="1">
        <v>-5.7999099999999998E-5</v>
      </c>
    </row>
    <row r="1805" spans="2:8" x14ac:dyDescent="0.25">
      <c r="B1805" s="1">
        <v>244.863</v>
      </c>
      <c r="C1805" s="1">
        <v>4.9115399999999998E-3</v>
      </c>
      <c r="D1805" s="1">
        <v>-5.7652900000000002E-3</v>
      </c>
      <c r="E1805" s="1">
        <v>-4.7674099999999998E-4</v>
      </c>
      <c r="F1805" s="1">
        <v>1.23423E-3</v>
      </c>
      <c r="G1805" s="1">
        <v>3.8786499999999999E-5</v>
      </c>
      <c r="H1805" s="1">
        <v>-5.7481400000000002E-5</v>
      </c>
    </row>
    <row r="1806" spans="2:8" x14ac:dyDescent="0.25">
      <c r="B1806" s="1">
        <v>246.98400000000001</v>
      </c>
      <c r="C1806" s="1">
        <v>4.7822699999999999E-3</v>
      </c>
      <c r="D1806" s="1">
        <v>-5.6750200000000002E-3</v>
      </c>
      <c r="E1806" s="1">
        <v>-4.8087200000000003E-4</v>
      </c>
      <c r="F1806" s="1">
        <v>1.2787499999999999E-3</v>
      </c>
      <c r="G1806" s="1">
        <v>3.7521000000000002E-5</v>
      </c>
      <c r="H1806" s="1">
        <v>-5.7352000000000002E-5</v>
      </c>
    </row>
    <row r="1807" spans="2:8" x14ac:dyDescent="0.25">
      <c r="B1807" s="1">
        <v>249.10599999999999</v>
      </c>
      <c r="C1807" s="1">
        <v>4.6545500000000004E-3</v>
      </c>
      <c r="D1807" s="1">
        <v>-5.5864699999999996E-3</v>
      </c>
      <c r="E1807" s="1">
        <v>-4.84778E-4</v>
      </c>
      <c r="F1807" s="1">
        <v>1.3231499999999999E-3</v>
      </c>
      <c r="G1807" s="1">
        <v>3.612E-5</v>
      </c>
      <c r="H1807" s="1">
        <v>-5.74376E-5</v>
      </c>
    </row>
    <row r="1808" spans="2:8" x14ac:dyDescent="0.25">
      <c r="B1808" s="1">
        <v>251.22900000000001</v>
      </c>
      <c r="C1808" s="1">
        <v>4.52857E-3</v>
      </c>
      <c r="D1808" s="1">
        <v>-5.4996999999999997E-3</v>
      </c>
      <c r="E1808" s="1">
        <v>-4.8856699999999997E-4</v>
      </c>
      <c r="F1808" s="1">
        <v>1.3670399999999999E-3</v>
      </c>
      <c r="G1808" s="1">
        <v>3.5092799999999997E-5</v>
      </c>
      <c r="H1808" s="1">
        <v>-5.7571100000000002E-5</v>
      </c>
    </row>
    <row r="1809" spans="2:8" x14ac:dyDescent="0.25">
      <c r="B1809" s="1">
        <v>253.351</v>
      </c>
      <c r="C1809" s="1">
        <v>4.4046700000000003E-3</v>
      </c>
      <c r="D1809" s="1">
        <v>-5.4147099999999997E-3</v>
      </c>
      <c r="E1809" s="1">
        <v>-4.9231800000000005E-4</v>
      </c>
      <c r="F1809" s="1">
        <v>1.4100899999999999E-3</v>
      </c>
      <c r="G1809" s="1">
        <v>3.4625400000000002E-5</v>
      </c>
      <c r="H1809" s="1">
        <v>-5.7639800000000003E-5</v>
      </c>
    </row>
    <row r="1810" spans="2:8" x14ac:dyDescent="0.25">
      <c r="B1810" s="1">
        <v>255.47499999999999</v>
      </c>
      <c r="C1810" s="1">
        <v>4.2833100000000002E-3</v>
      </c>
      <c r="D1810" s="1">
        <v>-5.3314199999999999E-3</v>
      </c>
      <c r="E1810" s="1">
        <v>-4.9596600000000003E-4</v>
      </c>
      <c r="F1810" s="1">
        <v>1.45213E-3</v>
      </c>
      <c r="G1810" s="1">
        <v>3.4332699999999997E-5</v>
      </c>
      <c r="H1810" s="1">
        <v>-5.7605500000000003E-5</v>
      </c>
    </row>
    <row r="1811" spans="2:8" x14ac:dyDescent="0.25">
      <c r="B1811" s="1">
        <v>257.59800000000001</v>
      </c>
      <c r="C1811" s="1">
        <v>4.1649599999999997E-3</v>
      </c>
      <c r="D1811" s="1">
        <v>-5.2496799999999996E-3</v>
      </c>
      <c r="E1811" s="1">
        <v>-4.9927000000000001E-4</v>
      </c>
      <c r="F1811" s="1">
        <v>1.4930099999999999E-3</v>
      </c>
      <c r="G1811" s="1">
        <v>3.34502E-5</v>
      </c>
      <c r="H1811" s="1">
        <v>-5.7523399999999999E-5</v>
      </c>
    </row>
    <row r="1812" spans="2:8" x14ac:dyDescent="0.25">
      <c r="B1812" s="1">
        <v>259.72300000000001</v>
      </c>
      <c r="C1812" s="1">
        <v>4.0497500000000004E-3</v>
      </c>
      <c r="D1812" s="1">
        <v>-5.1693800000000003E-3</v>
      </c>
      <c r="E1812" s="1">
        <v>-5.01886E-4</v>
      </c>
      <c r="F1812" s="1">
        <v>1.5324E-3</v>
      </c>
      <c r="G1812" s="1">
        <v>3.1619799999999998E-5</v>
      </c>
      <c r="H1812" s="1">
        <v>-5.7497400000000003E-5</v>
      </c>
    </row>
    <row r="1813" spans="2:8" x14ac:dyDescent="0.25">
      <c r="B1813" s="1">
        <v>261.84699999999998</v>
      </c>
      <c r="C1813" s="1">
        <v>3.9375399999999998E-3</v>
      </c>
      <c r="D1813" s="1">
        <v>-5.0906299999999996E-3</v>
      </c>
      <c r="E1813" s="1">
        <v>-5.0349100000000001E-4</v>
      </c>
      <c r="F1813" s="1">
        <v>1.5696799999999999E-3</v>
      </c>
      <c r="G1813" s="1">
        <v>2.93042E-5</v>
      </c>
      <c r="H1813" s="1">
        <v>-5.7596500000000003E-5</v>
      </c>
    </row>
    <row r="1814" spans="2:8" x14ac:dyDescent="0.25">
      <c r="B1814" s="1">
        <v>263.971</v>
      </c>
      <c r="C1814" s="1">
        <v>3.82797E-3</v>
      </c>
      <c r="D1814" s="1">
        <v>-5.0135500000000003E-3</v>
      </c>
      <c r="E1814" s="1">
        <v>-5.03924E-4</v>
      </c>
      <c r="F1814" s="1">
        <v>1.6044500000000001E-3</v>
      </c>
      <c r="G1814" s="1">
        <v>2.7253299999999999E-5</v>
      </c>
      <c r="H1814" s="1">
        <v>-5.7812500000000003E-5</v>
      </c>
    </row>
    <row r="1815" spans="2:8" x14ac:dyDescent="0.25">
      <c r="B1815" s="1">
        <v>266.096</v>
      </c>
      <c r="C1815" s="1">
        <v>3.7207400000000002E-3</v>
      </c>
      <c r="D1815" s="1">
        <v>-4.9381599999999996E-3</v>
      </c>
      <c r="E1815" s="1">
        <v>-5.0329300000000003E-4</v>
      </c>
      <c r="F1815" s="1">
        <v>1.6366499999999999E-3</v>
      </c>
      <c r="G1815" s="1">
        <v>2.6001699999999999E-5</v>
      </c>
      <c r="H1815" s="1">
        <v>-5.80679E-5</v>
      </c>
    </row>
    <row r="1816" spans="2:8" x14ac:dyDescent="0.25">
      <c r="B1816" s="1">
        <v>268.22199999999998</v>
      </c>
      <c r="C1816" s="1">
        <v>3.61575E-3</v>
      </c>
      <c r="D1816" s="1">
        <v>-4.8643999999999996E-3</v>
      </c>
      <c r="E1816" s="1">
        <v>-5.0193899999999997E-4</v>
      </c>
      <c r="F1816" s="1">
        <v>1.6664900000000001E-3</v>
      </c>
      <c r="G1816" s="1">
        <v>2.5828400000000002E-5</v>
      </c>
      <c r="H1816" s="1">
        <v>-5.8279599999999997E-5</v>
      </c>
    </row>
    <row r="1817" spans="2:8" x14ac:dyDescent="0.25">
      <c r="B1817" s="1">
        <v>270.34800000000001</v>
      </c>
      <c r="C1817" s="1">
        <v>3.5129800000000002E-3</v>
      </c>
      <c r="D1817" s="1">
        <v>-4.7922399999999997E-3</v>
      </c>
      <c r="E1817" s="1">
        <v>-5.0022900000000004E-4</v>
      </c>
      <c r="F1817" s="1">
        <v>1.6943800000000001E-3</v>
      </c>
      <c r="G1817" s="1">
        <v>2.6710799999999998E-5</v>
      </c>
      <c r="H1817" s="1">
        <v>-5.8399400000000002E-5</v>
      </c>
    </row>
    <row r="1818" spans="2:8" x14ac:dyDescent="0.25">
      <c r="B1818" s="1">
        <v>272.47399999999999</v>
      </c>
      <c r="C1818" s="1">
        <v>3.4123600000000001E-3</v>
      </c>
      <c r="D1818" s="1">
        <v>-4.7216899999999997E-3</v>
      </c>
      <c r="E1818" s="1">
        <v>-4.9835000000000005E-4</v>
      </c>
      <c r="F1818" s="1">
        <v>1.72109E-3</v>
      </c>
      <c r="G1818" s="1">
        <v>2.8163200000000002E-5</v>
      </c>
      <c r="H1818" s="1">
        <v>-5.8424100000000002E-5</v>
      </c>
    </row>
    <row r="1819" spans="2:8" x14ac:dyDescent="0.25">
      <c r="B1819" s="1">
        <v>274.60000000000002</v>
      </c>
      <c r="C1819" s="1">
        <v>3.3136799999999998E-3</v>
      </c>
      <c r="D1819" s="1">
        <v>-4.6528200000000002E-3</v>
      </c>
      <c r="E1819" s="1">
        <v>-4.9624999999999995E-4</v>
      </c>
      <c r="F1819" s="1">
        <v>1.7474700000000001E-3</v>
      </c>
      <c r="G1819" s="1">
        <v>2.95502E-5</v>
      </c>
      <c r="H1819" s="1">
        <v>-5.8363099999999997E-5</v>
      </c>
    </row>
    <row r="1820" spans="2:8" x14ac:dyDescent="0.25">
      <c r="B1820" s="1">
        <v>276.72699999999998</v>
      </c>
      <c r="C1820" s="1">
        <v>3.21661E-3</v>
      </c>
      <c r="D1820" s="1">
        <v>-4.5856999999999998E-3</v>
      </c>
      <c r="E1820" s="1">
        <v>-4.9371599999999995E-4</v>
      </c>
      <c r="F1820" s="1">
        <v>1.77399E-3</v>
      </c>
      <c r="G1820" s="1">
        <v>3.06037E-5</v>
      </c>
      <c r="H1820" s="1">
        <v>-5.8207300000000001E-5</v>
      </c>
    </row>
    <row r="1821" spans="2:8" x14ac:dyDescent="0.25">
      <c r="B1821" s="1">
        <v>278.85300000000001</v>
      </c>
      <c r="C1821" s="1">
        <v>3.1208099999999999E-3</v>
      </c>
      <c r="D1821" s="1">
        <v>-4.5203500000000002E-3</v>
      </c>
      <c r="E1821" s="1">
        <v>-4.90469E-4</v>
      </c>
      <c r="F1821" s="1">
        <v>1.8007699999999999E-3</v>
      </c>
      <c r="G1821" s="1">
        <v>3.1282699999999998E-5</v>
      </c>
      <c r="H1821" s="1">
        <v>-5.7955499999999998E-5</v>
      </c>
    </row>
    <row r="1822" spans="2:8" x14ac:dyDescent="0.25">
      <c r="B1822" s="1">
        <v>280.98099999999999</v>
      </c>
      <c r="C1822" s="1">
        <v>3.02593E-3</v>
      </c>
      <c r="D1822" s="1">
        <v>-4.4566500000000004E-3</v>
      </c>
      <c r="E1822" s="1">
        <v>-4.8624999999999997E-4</v>
      </c>
      <c r="F1822" s="1">
        <v>1.82781E-3</v>
      </c>
      <c r="G1822" s="1">
        <v>3.15339E-5</v>
      </c>
      <c r="H1822" s="1">
        <v>-5.7633799999999997E-5</v>
      </c>
    </row>
    <row r="1823" spans="2:8" x14ac:dyDescent="0.25">
      <c r="B1823" s="1">
        <v>283.108</v>
      </c>
      <c r="C1823" s="1">
        <v>2.93166E-3</v>
      </c>
      <c r="D1823" s="1">
        <v>-4.3944300000000004E-3</v>
      </c>
      <c r="E1823" s="1">
        <v>-4.8086400000000001E-4</v>
      </c>
      <c r="F1823" s="1">
        <v>1.8548900000000001E-3</v>
      </c>
      <c r="G1823" s="1">
        <v>3.1461399999999997E-5</v>
      </c>
      <c r="H1823" s="1">
        <v>-5.7272299999999997E-5</v>
      </c>
    </row>
    <row r="1824" spans="2:8" x14ac:dyDescent="0.25">
      <c r="B1824" s="1">
        <v>285.23599999999999</v>
      </c>
      <c r="C1824" s="1">
        <v>2.8377900000000002E-3</v>
      </c>
      <c r="D1824" s="1">
        <v>-4.3335300000000004E-3</v>
      </c>
      <c r="E1824" s="1">
        <v>-4.7418800000000001E-4</v>
      </c>
      <c r="F1824" s="1">
        <v>1.8816900000000001E-3</v>
      </c>
      <c r="G1824" s="1">
        <v>3.1350299999999997E-5</v>
      </c>
      <c r="H1824" s="1">
        <v>-5.6891999999999997E-5</v>
      </c>
    </row>
    <row r="1825" spans="2:8" x14ac:dyDescent="0.25">
      <c r="B1825" s="1">
        <v>287.363</v>
      </c>
      <c r="C1825" s="1">
        <v>2.7442500000000002E-3</v>
      </c>
      <c r="D1825" s="1">
        <v>-4.2738699999999999E-3</v>
      </c>
      <c r="E1825" s="1">
        <v>-4.6613600000000002E-4</v>
      </c>
      <c r="F1825" s="1">
        <v>1.90799E-3</v>
      </c>
      <c r="G1825" s="1">
        <v>3.1256900000000002E-5</v>
      </c>
      <c r="H1825" s="1">
        <v>-5.6511200000000002E-5</v>
      </c>
    </row>
    <row r="1826" spans="2:8" x14ac:dyDescent="0.25">
      <c r="B1826" s="1">
        <v>289.49200000000002</v>
      </c>
      <c r="C1826" s="1">
        <v>2.6511E-3</v>
      </c>
      <c r="D1826" s="1">
        <v>-4.2154000000000002E-3</v>
      </c>
      <c r="E1826" s="1">
        <v>-4.5664300000000001E-4</v>
      </c>
      <c r="F1826" s="1">
        <v>1.93389E-3</v>
      </c>
      <c r="G1826" s="1">
        <v>3.0917999999999998E-5</v>
      </c>
      <c r="H1826" s="1">
        <v>-5.61362E-5</v>
      </c>
    </row>
    <row r="1827" spans="2:8" x14ac:dyDescent="0.25">
      <c r="B1827" s="1">
        <v>291.62</v>
      </c>
      <c r="C1827" s="1">
        <v>2.5584800000000001E-3</v>
      </c>
      <c r="D1827" s="1">
        <v>-4.1580899999999997E-3</v>
      </c>
      <c r="E1827" s="1">
        <v>-4.4572399999999999E-4</v>
      </c>
      <c r="F1827" s="1">
        <v>1.9595599999999999E-3</v>
      </c>
      <c r="G1827" s="1">
        <v>2.9996900000000001E-5</v>
      </c>
      <c r="H1827" s="1">
        <v>-5.5776399999999997E-5</v>
      </c>
    </row>
    <row r="1828" spans="2:8" x14ac:dyDescent="0.25">
      <c r="B1828" s="1">
        <v>293.74799999999999</v>
      </c>
      <c r="C1828" s="1">
        <v>2.4664999999999999E-3</v>
      </c>
      <c r="D1828" s="1">
        <v>-4.1017800000000002E-3</v>
      </c>
      <c r="E1828" s="1">
        <v>-4.3353400000000001E-4</v>
      </c>
      <c r="F1828" s="1">
        <v>1.98518E-3</v>
      </c>
      <c r="G1828" s="1">
        <v>2.8155499999999998E-5</v>
      </c>
      <c r="H1828" s="1">
        <v>-5.5480199999999998E-5</v>
      </c>
    </row>
    <row r="1829" spans="2:8" x14ac:dyDescent="0.25">
      <c r="B1829" s="1">
        <v>295.87599999999998</v>
      </c>
      <c r="C1829" s="1">
        <v>2.3752500000000002E-3</v>
      </c>
      <c r="D1829" s="1">
        <v>-4.04631E-3</v>
      </c>
      <c r="E1829" s="1">
        <v>-4.2038399999999999E-4</v>
      </c>
      <c r="F1829" s="1">
        <v>2.0108299999999999E-3</v>
      </c>
      <c r="G1829" s="1">
        <v>2.5293999999999999E-5</v>
      </c>
      <c r="H1829" s="1">
        <v>-5.53236E-5</v>
      </c>
    </row>
    <row r="1830" spans="2:8" x14ac:dyDescent="0.25">
      <c r="B1830" s="1">
        <v>298.005</v>
      </c>
      <c r="C1830" s="1">
        <v>2.2848399999999998E-3</v>
      </c>
      <c r="D1830" s="1">
        <v>-3.9915599999999999E-3</v>
      </c>
      <c r="E1830" s="1">
        <v>-4.0671400000000002E-4</v>
      </c>
      <c r="F1830" s="1">
        <v>2.03623E-3</v>
      </c>
      <c r="G1830" s="1">
        <v>2.1870099999999999E-5</v>
      </c>
      <c r="H1830" s="1">
        <v>-5.5343799999999997E-5</v>
      </c>
    </row>
    <row r="1831" spans="2:8" x14ac:dyDescent="0.25">
      <c r="B1831" s="1">
        <v>300.13400000000001</v>
      </c>
      <c r="C1831" s="1">
        <v>2.1954000000000001E-3</v>
      </c>
      <c r="D1831" s="1">
        <v>-3.9375499999999997E-3</v>
      </c>
      <c r="E1831" s="1">
        <v>-3.93013E-4</v>
      </c>
      <c r="F1831" s="1">
        <v>2.0610699999999999E-3</v>
      </c>
      <c r="G1831" s="1">
        <v>1.85947E-5</v>
      </c>
      <c r="H1831" s="1">
        <v>-5.5500600000000002E-5</v>
      </c>
    </row>
    <row r="1832" spans="2:8" x14ac:dyDescent="0.25">
      <c r="B1832" s="1">
        <v>302.26299999999998</v>
      </c>
      <c r="C1832" s="1">
        <v>2.1070899999999998E-3</v>
      </c>
      <c r="D1832" s="1">
        <v>-3.8842799999999999E-3</v>
      </c>
      <c r="E1832" s="1">
        <v>-3.7970400000000002E-4</v>
      </c>
      <c r="F1832" s="1">
        <v>2.0852599999999998E-3</v>
      </c>
      <c r="G1832" s="1">
        <v>1.59478E-5</v>
      </c>
      <c r="H1832" s="1">
        <v>-5.5686600000000003E-5</v>
      </c>
    </row>
    <row r="1833" spans="2:8" x14ac:dyDescent="0.25">
      <c r="B1833" s="1">
        <v>304.39299999999997</v>
      </c>
      <c r="C1833" s="1">
        <v>2.0199900000000002E-3</v>
      </c>
      <c r="D1833" s="1">
        <v>-3.8318100000000002E-3</v>
      </c>
      <c r="E1833" s="1">
        <v>-3.6705E-4</v>
      </c>
      <c r="F1833" s="1">
        <v>2.1089099999999999E-3</v>
      </c>
      <c r="G1833" s="1">
        <v>1.42056E-5</v>
      </c>
      <c r="H1833" s="1">
        <v>-5.5759900000000001E-5</v>
      </c>
    </row>
    <row r="1834" spans="2:8" x14ac:dyDescent="0.25">
      <c r="B1834" s="1">
        <v>306.52199999999999</v>
      </c>
      <c r="C1834" s="1">
        <v>1.9341199999999999E-3</v>
      </c>
      <c r="D1834" s="1">
        <v>-3.7803300000000001E-3</v>
      </c>
      <c r="E1834" s="1">
        <v>-3.5514200000000002E-4</v>
      </c>
      <c r="F1834" s="1">
        <v>2.1321399999999998E-3</v>
      </c>
      <c r="G1834" s="1">
        <v>1.36013E-5</v>
      </c>
      <c r="H1834" s="1">
        <v>-5.5609100000000003E-5</v>
      </c>
    </row>
    <row r="1835" spans="2:8" x14ac:dyDescent="0.25">
      <c r="B1835" s="1">
        <v>308.65100000000001</v>
      </c>
      <c r="C1835" s="1">
        <v>1.84947E-3</v>
      </c>
      <c r="D1835" s="1">
        <v>-3.7300900000000001E-3</v>
      </c>
      <c r="E1835" s="1">
        <v>-3.4399799999999998E-4</v>
      </c>
      <c r="F1835" s="1">
        <v>2.1551500000000002E-3</v>
      </c>
      <c r="G1835" s="1">
        <v>1.4243099999999999E-5</v>
      </c>
      <c r="H1835" s="1">
        <v>-5.5219000000000001E-5</v>
      </c>
    </row>
    <row r="1836" spans="2:8" x14ac:dyDescent="0.25">
      <c r="B1836" s="1">
        <v>310.78100000000001</v>
      </c>
      <c r="C1836" s="1">
        <v>1.7660499999999999E-3</v>
      </c>
      <c r="D1836" s="1">
        <v>-3.6813200000000001E-3</v>
      </c>
      <c r="E1836" s="1">
        <v>-3.3375199999999999E-4</v>
      </c>
      <c r="F1836" s="1">
        <v>2.1783100000000001E-3</v>
      </c>
      <c r="G1836" s="1">
        <v>1.6019400000000001E-5</v>
      </c>
      <c r="H1836" s="1">
        <v>-5.4695599999999999E-5</v>
      </c>
    </row>
    <row r="1837" spans="2:8" x14ac:dyDescent="0.25">
      <c r="B1837" s="1">
        <v>312.911</v>
      </c>
      <c r="C1837" s="1">
        <v>1.6838700000000001E-3</v>
      </c>
      <c r="D1837" s="1">
        <v>-3.63402E-3</v>
      </c>
      <c r="E1837" s="1">
        <v>-3.2476599999999999E-4</v>
      </c>
      <c r="F1837" s="1">
        <v>2.20214E-3</v>
      </c>
      <c r="G1837" s="1">
        <v>1.85529E-5</v>
      </c>
      <c r="H1837" s="1">
        <v>-5.4224200000000002E-5</v>
      </c>
    </row>
    <row r="1838" spans="2:8" x14ac:dyDescent="0.25">
      <c r="B1838" s="1">
        <v>315.04199999999997</v>
      </c>
      <c r="C1838" s="1">
        <v>1.60294E-3</v>
      </c>
      <c r="D1838" s="1">
        <v>-3.5879499999999999E-3</v>
      </c>
      <c r="E1838" s="1">
        <v>-3.1748900000000001E-4</v>
      </c>
      <c r="F1838" s="1">
        <v>2.2274600000000001E-3</v>
      </c>
      <c r="G1838" s="1">
        <v>2.1013999999999999E-5</v>
      </c>
      <c r="H1838" s="1">
        <v>-5.4022299999999999E-5</v>
      </c>
    </row>
    <row r="1839" spans="2:8" x14ac:dyDescent="0.25">
      <c r="B1839" s="1">
        <v>317.17200000000003</v>
      </c>
      <c r="C1839" s="1">
        <v>1.5233E-3</v>
      </c>
      <c r="D1839" s="1">
        <v>-3.5429300000000001E-3</v>
      </c>
      <c r="E1839" s="1">
        <v>-3.1221899999999997E-4</v>
      </c>
      <c r="F1839" s="1">
        <v>2.2550299999999999E-3</v>
      </c>
      <c r="G1839" s="1">
        <v>2.2591499999999999E-5</v>
      </c>
      <c r="H1839" s="1">
        <v>-5.4242700000000002E-5</v>
      </c>
    </row>
    <row r="1840" spans="2:8" x14ac:dyDescent="0.25">
      <c r="B1840" s="1">
        <v>319.30200000000002</v>
      </c>
      <c r="C1840" s="1">
        <v>1.4449899999999999E-3</v>
      </c>
      <c r="D1840" s="1">
        <v>-3.4991599999999999E-3</v>
      </c>
      <c r="E1840" s="1">
        <v>-3.0895599999999999E-4</v>
      </c>
      <c r="F1840" s="1">
        <v>2.2848899999999999E-3</v>
      </c>
      <c r="G1840" s="1">
        <v>2.33491E-5</v>
      </c>
      <c r="H1840" s="1">
        <v>-5.4896099999999998E-5</v>
      </c>
    </row>
    <row r="1841" spans="2:8" x14ac:dyDescent="0.25">
      <c r="B1841" s="1">
        <v>321.43299999999999</v>
      </c>
      <c r="C1841" s="1">
        <v>1.3681399999999999E-3</v>
      </c>
      <c r="D1841" s="1">
        <v>-3.4570199999999999E-3</v>
      </c>
      <c r="E1841" s="1">
        <v>-3.0740500000000002E-4</v>
      </c>
      <c r="F1841" s="1">
        <v>2.3164000000000001E-3</v>
      </c>
      <c r="G1841" s="1">
        <v>2.3949000000000001E-5</v>
      </c>
      <c r="H1841" s="1">
        <v>-5.5931699999999998E-5</v>
      </c>
    </row>
    <row r="1842" spans="2:8" x14ac:dyDescent="0.25">
      <c r="B1842" s="1">
        <v>323.56299999999999</v>
      </c>
      <c r="C1842" s="1">
        <v>1.2928900000000001E-3</v>
      </c>
      <c r="D1842" s="1">
        <v>-3.4168499999999999E-3</v>
      </c>
      <c r="E1842" s="1">
        <v>-3.0704700000000002E-4</v>
      </c>
      <c r="F1842" s="1">
        <v>2.3486800000000001E-3</v>
      </c>
      <c r="G1842" s="1">
        <v>2.50365E-5</v>
      </c>
      <c r="H1842" s="1">
        <v>-5.7284200000000003E-5</v>
      </c>
    </row>
    <row r="1843" spans="2:8" x14ac:dyDescent="0.25">
      <c r="B1843" s="1">
        <v>325.69400000000002</v>
      </c>
      <c r="C1843" s="1">
        <v>1.2193099999999999E-3</v>
      </c>
      <c r="D1843" s="1">
        <v>-3.3788199999999998E-3</v>
      </c>
      <c r="E1843" s="1">
        <v>-3.0727599999999999E-4</v>
      </c>
      <c r="F1843" s="1">
        <v>2.3808100000000001E-3</v>
      </c>
      <c r="G1843" s="1">
        <v>2.7136900000000001E-5</v>
      </c>
      <c r="H1843" s="1">
        <v>-5.8851499999999997E-5</v>
      </c>
    </row>
    <row r="1844" spans="2:8" x14ac:dyDescent="0.25">
      <c r="B1844" s="1">
        <v>327.82600000000002</v>
      </c>
      <c r="C1844" s="1">
        <v>1.14737E-3</v>
      </c>
      <c r="D1844" s="1">
        <v>-3.34287E-3</v>
      </c>
      <c r="E1844" s="1">
        <v>-3.0755099999999998E-4</v>
      </c>
      <c r="F1844" s="1">
        <v>2.4119800000000002E-3</v>
      </c>
      <c r="G1844" s="1">
        <v>3.0573200000000001E-5</v>
      </c>
      <c r="H1844" s="1">
        <v>-6.0495399999999997E-5</v>
      </c>
    </row>
    <row r="1845" spans="2:8" x14ac:dyDescent="0.25">
      <c r="B1845" s="1">
        <v>329.95600000000002</v>
      </c>
      <c r="C1845" s="1">
        <v>1.07704E-3</v>
      </c>
      <c r="D1845" s="1">
        <v>-3.30861E-3</v>
      </c>
      <c r="E1845" s="1">
        <v>-3.0746799999999998E-4</v>
      </c>
      <c r="F1845" s="1">
        <v>2.4417699999999998E-3</v>
      </c>
      <c r="G1845" s="1">
        <v>3.5214199999999999E-5</v>
      </c>
      <c r="H1845" s="1">
        <v>-6.2059999999999999E-5</v>
      </c>
    </row>
    <row r="1846" spans="2:8" x14ac:dyDescent="0.25">
      <c r="B1846" s="1">
        <v>332.08800000000002</v>
      </c>
      <c r="C1846" s="1">
        <v>1.0082800000000001E-3</v>
      </c>
      <c r="D1846" s="1">
        <v>-3.2755000000000002E-3</v>
      </c>
      <c r="E1846" s="1">
        <v>-3.0674199999999998E-4</v>
      </c>
      <c r="F1846" s="1">
        <v>2.47028E-3</v>
      </c>
      <c r="G1846" s="1">
        <v>4.0278399999999997E-5</v>
      </c>
      <c r="H1846" s="1">
        <v>-6.3400999999999998E-5</v>
      </c>
    </row>
    <row r="1847" spans="2:8" x14ac:dyDescent="0.25">
      <c r="B1847" s="1">
        <v>334.21899999999999</v>
      </c>
      <c r="C1847" s="1">
        <v>9.4115699999999997E-4</v>
      </c>
      <c r="D1847" s="1">
        <v>-3.2429999999999998E-3</v>
      </c>
      <c r="E1847" s="1">
        <v>-3.0514300000000002E-4</v>
      </c>
      <c r="F1847" s="1">
        <v>2.4979999999999998E-3</v>
      </c>
      <c r="G1847" s="1">
        <v>4.4567799999999997E-5</v>
      </c>
      <c r="H1847" s="1">
        <v>-6.4422499999999995E-5</v>
      </c>
    </row>
    <row r="1848" spans="2:8" x14ac:dyDescent="0.25">
      <c r="B1848" s="1">
        <v>336.35</v>
      </c>
      <c r="C1848" s="1">
        <v>8.7586499999999998E-4</v>
      </c>
      <c r="D1848" s="1">
        <v>-3.21091E-3</v>
      </c>
      <c r="E1848" s="1">
        <v>-3.0249699999999999E-4</v>
      </c>
      <c r="F1848" s="1">
        <v>2.5252199999999999E-3</v>
      </c>
      <c r="G1848" s="1">
        <v>4.7238199999999998E-5</v>
      </c>
      <c r="H1848" s="1">
        <v>-6.5087700000000004E-5</v>
      </c>
    </row>
    <row r="1849" spans="2:8" x14ac:dyDescent="0.25">
      <c r="B1849" s="1">
        <v>338.48200000000003</v>
      </c>
      <c r="C1849" s="1">
        <v>8.1263199999999998E-4</v>
      </c>
      <c r="D1849" s="1">
        <v>-3.1793099999999999E-3</v>
      </c>
      <c r="E1849" s="1">
        <v>-2.9872299999999998E-4</v>
      </c>
      <c r="F1849" s="1">
        <v>2.5515899999999998E-3</v>
      </c>
      <c r="G1849" s="1">
        <v>4.8402700000000003E-5</v>
      </c>
      <c r="H1849" s="1">
        <v>-6.5410899999999994E-5</v>
      </c>
    </row>
    <row r="1850" spans="2:8" x14ac:dyDescent="0.25">
      <c r="B1850" s="1">
        <v>340.61399999999998</v>
      </c>
      <c r="C1850" s="1">
        <v>7.5165300000000002E-4</v>
      </c>
      <c r="D1850" s="1">
        <v>-3.1484899999999999E-3</v>
      </c>
      <c r="E1850" s="1">
        <v>-2.9385799999999998E-4</v>
      </c>
      <c r="F1850" s="1">
        <v>2.5763299999999999E-3</v>
      </c>
      <c r="G1850" s="1">
        <v>4.8917700000000001E-5</v>
      </c>
      <c r="H1850" s="1">
        <v>-6.54414E-5</v>
      </c>
    </row>
    <row r="1851" spans="2:8" x14ac:dyDescent="0.25">
      <c r="B1851" s="1">
        <v>342.745</v>
      </c>
      <c r="C1851" s="1">
        <v>6.9303799999999999E-4</v>
      </c>
      <c r="D1851" s="1">
        <v>-3.1187200000000002E-3</v>
      </c>
      <c r="E1851" s="1">
        <v>-2.8802299999999999E-4</v>
      </c>
      <c r="F1851" s="1">
        <v>2.5988500000000002E-3</v>
      </c>
      <c r="G1851" s="1">
        <v>4.96093E-5</v>
      </c>
      <c r="H1851" s="1">
        <v>-6.5243899999999994E-5</v>
      </c>
    </row>
    <row r="1852" spans="2:8" x14ac:dyDescent="0.25">
      <c r="B1852" s="1">
        <v>344.87799999999999</v>
      </c>
      <c r="C1852" s="1">
        <v>6.3682099999999998E-4</v>
      </c>
      <c r="D1852" s="1">
        <v>-3.09019E-3</v>
      </c>
      <c r="E1852" s="1">
        <v>-2.8137099999999999E-4</v>
      </c>
      <c r="F1852" s="1">
        <v>2.61904E-3</v>
      </c>
      <c r="G1852" s="1">
        <v>5.0828400000000003E-5</v>
      </c>
      <c r="H1852" s="1">
        <v>-6.4874099999999996E-5</v>
      </c>
    </row>
    <row r="1853" spans="2:8" x14ac:dyDescent="0.25">
      <c r="B1853" s="1">
        <v>347.01</v>
      </c>
      <c r="C1853" s="1">
        <v>5.8300300000000002E-4</v>
      </c>
      <c r="D1853" s="1">
        <v>-3.0629799999999999E-3</v>
      </c>
      <c r="E1853" s="1">
        <v>-2.7411100000000001E-4</v>
      </c>
      <c r="F1853" s="1">
        <v>2.6370500000000002E-3</v>
      </c>
      <c r="G1853" s="1">
        <v>5.2658999999999998E-5</v>
      </c>
      <c r="H1853" s="1">
        <v>-6.4372E-5</v>
      </c>
    </row>
    <row r="1854" spans="2:8" x14ac:dyDescent="0.25">
      <c r="B1854" s="1">
        <v>349.142</v>
      </c>
      <c r="C1854" s="1">
        <v>5.3158999999999997E-4</v>
      </c>
      <c r="D1854" s="1">
        <v>-3.03704E-3</v>
      </c>
      <c r="E1854" s="1">
        <v>-2.6650000000000003E-4</v>
      </c>
      <c r="F1854" s="1">
        <v>2.6530600000000001E-3</v>
      </c>
      <c r="G1854" s="1">
        <v>5.5113099999999999E-5</v>
      </c>
      <c r="H1854" s="1">
        <v>-6.37821E-5</v>
      </c>
    </row>
    <row r="1855" spans="2:8" x14ac:dyDescent="0.25">
      <c r="B1855" s="1">
        <v>351.274</v>
      </c>
      <c r="C1855" s="1">
        <v>4.82609E-4</v>
      </c>
      <c r="D1855" s="1">
        <v>-3.01228E-3</v>
      </c>
      <c r="E1855" s="1">
        <v>-2.5879899999999999E-4</v>
      </c>
      <c r="F1855" s="1">
        <v>2.6673000000000001E-3</v>
      </c>
      <c r="G1855" s="1">
        <v>5.8028500000000002E-5</v>
      </c>
      <c r="H1855" s="1">
        <v>-6.3138400000000005E-5</v>
      </c>
    </row>
    <row r="1856" spans="2:8" x14ac:dyDescent="0.25">
      <c r="B1856" s="1">
        <v>353.40600000000001</v>
      </c>
      <c r="C1856" s="1">
        <v>4.3609399999999999E-4</v>
      </c>
      <c r="D1856" s="1">
        <v>-2.98854E-3</v>
      </c>
      <c r="E1856" s="1">
        <v>-2.51208E-4</v>
      </c>
      <c r="F1856" s="1">
        <v>2.6802200000000001E-3</v>
      </c>
      <c r="G1856" s="1">
        <v>6.0999999999999999E-5</v>
      </c>
      <c r="H1856" s="1">
        <v>-6.24312E-5</v>
      </c>
    </row>
    <row r="1857" spans="2:8" x14ac:dyDescent="0.25">
      <c r="B1857" s="1">
        <v>355.53899999999999</v>
      </c>
      <c r="C1857" s="1">
        <v>3.9208199999999998E-4</v>
      </c>
      <c r="D1857" s="1">
        <v>-2.9657199999999998E-3</v>
      </c>
      <c r="E1857" s="1">
        <v>-2.43854E-4</v>
      </c>
      <c r="F1857" s="1">
        <v>2.69236E-3</v>
      </c>
      <c r="G1857" s="1">
        <v>6.35221E-5</v>
      </c>
      <c r="H1857" s="1">
        <v>-6.1617299999999997E-5</v>
      </c>
    </row>
    <row r="1858" spans="2:8" x14ac:dyDescent="0.25">
      <c r="B1858" s="1">
        <v>357.67099999999999</v>
      </c>
      <c r="C1858" s="1">
        <v>3.50596E-4</v>
      </c>
      <c r="D1858" s="1">
        <v>-2.9438300000000001E-3</v>
      </c>
      <c r="E1858" s="1">
        <v>-2.3682799999999999E-4</v>
      </c>
      <c r="F1858" s="1">
        <v>2.70412E-3</v>
      </c>
      <c r="G1858" s="1">
        <v>6.5278900000000003E-5</v>
      </c>
      <c r="H1858" s="1">
        <v>-6.0659499999999997E-5</v>
      </c>
    </row>
    <row r="1859" spans="2:8" x14ac:dyDescent="0.25">
      <c r="B1859" s="1">
        <v>359.80399999999997</v>
      </c>
      <c r="C1859" s="1">
        <v>3.11649E-4</v>
      </c>
      <c r="D1859" s="1">
        <v>-2.9229099999999999E-3</v>
      </c>
      <c r="E1859" s="1">
        <v>-2.3023799999999999E-4</v>
      </c>
      <c r="F1859" s="1">
        <v>2.7156599999999999E-3</v>
      </c>
      <c r="G1859" s="1">
        <v>6.6292100000000002E-5</v>
      </c>
      <c r="H1859" s="1">
        <v>-5.9552100000000002E-5</v>
      </c>
    </row>
    <row r="1860" spans="2:8" x14ac:dyDescent="0.25">
      <c r="B1860" s="1">
        <v>361.93700000000001</v>
      </c>
      <c r="C1860" s="1">
        <v>2.7524400000000001E-4</v>
      </c>
      <c r="D1860" s="1">
        <v>-2.9030499999999999E-3</v>
      </c>
      <c r="E1860" s="1">
        <v>-2.2421100000000001E-4</v>
      </c>
      <c r="F1860" s="1">
        <v>2.7269099999999999E-3</v>
      </c>
      <c r="G1860" s="1">
        <v>6.6792700000000002E-5</v>
      </c>
      <c r="H1860" s="1">
        <v>-5.8314599999999999E-5</v>
      </c>
    </row>
    <row r="1861" spans="2:8" x14ac:dyDescent="0.25">
      <c r="B1861" s="1">
        <v>364.06900000000002</v>
      </c>
      <c r="C1861" s="1">
        <v>2.41382E-4</v>
      </c>
      <c r="D1861" s="1">
        <v>-2.8843599999999999E-3</v>
      </c>
      <c r="E1861" s="1">
        <v>-2.18827E-4</v>
      </c>
      <c r="F1861" s="1">
        <v>2.7377500000000002E-3</v>
      </c>
      <c r="G1861" s="1">
        <v>6.7080000000000001E-5</v>
      </c>
      <c r="H1861" s="1">
        <v>-5.6975599999999997E-5</v>
      </c>
    </row>
    <row r="1862" spans="2:8" x14ac:dyDescent="0.25">
      <c r="B1862" s="1">
        <v>366.202</v>
      </c>
      <c r="C1862" s="1">
        <v>2.10063E-4</v>
      </c>
      <c r="D1862" s="1">
        <v>-2.8669899999999998E-3</v>
      </c>
      <c r="E1862" s="1">
        <v>-2.1407699999999999E-4</v>
      </c>
      <c r="F1862" s="1">
        <v>2.7479399999999999E-3</v>
      </c>
      <c r="G1862" s="1">
        <v>6.7507600000000004E-5</v>
      </c>
      <c r="H1862" s="1">
        <v>-5.55677E-5</v>
      </c>
    </row>
    <row r="1863" spans="2:8" x14ac:dyDescent="0.25">
      <c r="B1863" s="1">
        <v>368.33499999999998</v>
      </c>
      <c r="C1863" s="1">
        <v>1.8127900000000001E-4</v>
      </c>
      <c r="D1863" s="1">
        <v>-2.8511299999999999E-3</v>
      </c>
      <c r="E1863" s="1">
        <v>-2.09858E-4</v>
      </c>
      <c r="F1863" s="1">
        <v>2.75728E-3</v>
      </c>
      <c r="G1863" s="1">
        <v>6.83094E-5</v>
      </c>
      <c r="H1863" s="1">
        <v>-5.4121700000000001E-5</v>
      </c>
    </row>
    <row r="1864" spans="2:8" x14ac:dyDescent="0.25">
      <c r="B1864" s="1">
        <v>370.46800000000002</v>
      </c>
      <c r="C1864" s="1">
        <v>1.5500099999999999E-4</v>
      </c>
      <c r="D1864" s="1">
        <v>-2.8367900000000001E-3</v>
      </c>
      <c r="E1864" s="1">
        <v>-2.0604900000000001E-4</v>
      </c>
      <c r="F1864" s="1">
        <v>2.7657900000000002E-3</v>
      </c>
      <c r="G1864" s="1">
        <v>6.9369799999999994E-5</v>
      </c>
      <c r="H1864" s="1">
        <v>-5.2676100000000002E-5</v>
      </c>
    </row>
    <row r="1865" spans="2:8" x14ac:dyDescent="0.25">
      <c r="B1865" s="1">
        <v>372.601</v>
      </c>
      <c r="C1865" s="1">
        <v>1.31166E-4</v>
      </c>
      <c r="D1865" s="1">
        <v>-2.8238899999999999E-3</v>
      </c>
      <c r="E1865" s="1">
        <v>-2.0259299999999999E-4</v>
      </c>
      <c r="F1865" s="1">
        <v>2.7736599999999998E-3</v>
      </c>
      <c r="G1865" s="1">
        <v>7.03858E-5</v>
      </c>
      <c r="H1865" s="1">
        <v>-5.1269900000000002E-5</v>
      </c>
    </row>
    <row r="1866" spans="2:8" x14ac:dyDescent="0.25">
      <c r="B1866" s="1">
        <v>374.73399999999998</v>
      </c>
      <c r="C1866" s="1">
        <v>1.09685E-4</v>
      </c>
      <c r="D1866" s="1">
        <v>-2.8124000000000001E-3</v>
      </c>
      <c r="E1866" s="1">
        <v>-1.9950799999999999E-4</v>
      </c>
      <c r="F1866" s="1">
        <v>2.7811200000000002E-3</v>
      </c>
      <c r="G1866" s="1">
        <v>7.1194700000000005E-5</v>
      </c>
      <c r="H1866" s="1">
        <v>-4.9912900000000001E-5</v>
      </c>
    </row>
    <row r="1867" spans="2:8" x14ac:dyDescent="0.25">
      <c r="B1867" s="1">
        <v>376.86700000000002</v>
      </c>
      <c r="C1867" s="1">
        <v>9.0460900000000007E-5</v>
      </c>
      <c r="D1867" s="1">
        <v>-2.8023200000000001E-3</v>
      </c>
      <c r="E1867" s="1">
        <v>-1.9684999999999999E-4</v>
      </c>
      <c r="F1867" s="1">
        <v>2.78824E-3</v>
      </c>
      <c r="G1867" s="1">
        <v>7.1895000000000002E-5</v>
      </c>
      <c r="H1867" s="1">
        <v>-4.85898E-5</v>
      </c>
    </row>
    <row r="1868" spans="2:8" x14ac:dyDescent="0.25">
      <c r="B1868" s="1">
        <v>379</v>
      </c>
      <c r="C1868" s="1">
        <v>7.3396699999999995E-5</v>
      </c>
      <c r="D1868" s="1">
        <v>-2.7936800000000002E-3</v>
      </c>
      <c r="E1868" s="1">
        <v>-1.9463600000000001E-4</v>
      </c>
      <c r="F1868" s="1">
        <v>2.7948700000000001E-3</v>
      </c>
      <c r="G1868" s="1">
        <v>7.2764100000000004E-5</v>
      </c>
      <c r="H1868" s="1">
        <v>-4.7290599999999997E-5</v>
      </c>
    </row>
    <row r="1869" spans="2:8" x14ac:dyDescent="0.25">
      <c r="B1869" s="1">
        <v>381.13400000000001</v>
      </c>
      <c r="C1869" s="1">
        <v>5.8415300000000003E-5</v>
      </c>
      <c r="D1869" s="1">
        <v>-2.7864700000000001E-3</v>
      </c>
      <c r="E1869" s="1">
        <v>-1.9281300000000001E-4</v>
      </c>
      <c r="F1869" s="1">
        <v>2.80072E-3</v>
      </c>
      <c r="G1869" s="1">
        <v>7.4121000000000004E-5</v>
      </c>
      <c r="H1869" s="1">
        <v>-4.6019900000000003E-5</v>
      </c>
    </row>
    <row r="1870" spans="2:8" x14ac:dyDescent="0.25">
      <c r="B1870" s="1">
        <v>383.267</v>
      </c>
      <c r="C1870" s="1">
        <v>4.5473899999999998E-5</v>
      </c>
      <c r="D1870" s="1">
        <v>-2.78064E-3</v>
      </c>
      <c r="E1870" s="1">
        <v>-1.91287E-4</v>
      </c>
      <c r="F1870" s="1">
        <v>2.8054600000000001E-3</v>
      </c>
      <c r="G1870" s="1">
        <v>7.6187100000000001E-5</v>
      </c>
      <c r="H1870" s="1">
        <v>-4.4808400000000003E-5</v>
      </c>
    </row>
    <row r="1871" spans="2:8" x14ac:dyDescent="0.25">
      <c r="B1871" s="1">
        <v>385.4</v>
      </c>
      <c r="C1871" s="1">
        <v>3.4570999999999998E-5</v>
      </c>
      <c r="D1871" s="1">
        <v>-2.7761299999999999E-3</v>
      </c>
      <c r="E1871" s="1">
        <v>-1.8997600000000001E-4</v>
      </c>
      <c r="F1871" s="1">
        <v>2.80898E-3</v>
      </c>
      <c r="G1871" s="1">
        <v>7.8841899999999995E-5</v>
      </c>
      <c r="H1871" s="1">
        <v>-4.3712199999999998E-5</v>
      </c>
    </row>
    <row r="1872" spans="2:8" x14ac:dyDescent="0.25">
      <c r="B1872" s="1">
        <v>387.53399999999999</v>
      </c>
      <c r="C1872" s="1">
        <v>2.5740499999999999E-5</v>
      </c>
      <c r="D1872" s="1">
        <v>-2.7727400000000001E-3</v>
      </c>
      <c r="E1872" s="1">
        <v>-1.8883100000000001E-4</v>
      </c>
      <c r="F1872" s="1">
        <v>2.8115200000000001E-3</v>
      </c>
      <c r="G1872" s="1">
        <v>8.1511899999999995E-5</v>
      </c>
      <c r="H1872" s="1">
        <v>-4.27983E-5</v>
      </c>
    </row>
    <row r="1873" spans="1:8" x14ac:dyDescent="0.25">
      <c r="B1873" s="1">
        <v>389.66699999999997</v>
      </c>
      <c r="C1873" s="1">
        <v>1.9037399999999998E-5</v>
      </c>
      <c r="D1873" s="1">
        <v>-2.7702600000000001E-3</v>
      </c>
      <c r="E1873" s="1">
        <v>-1.87861E-4</v>
      </c>
      <c r="F1873" s="1">
        <v>2.8134499999999999E-3</v>
      </c>
      <c r="G1873" s="1">
        <v>8.3516200000000005E-5</v>
      </c>
      <c r="H1873" s="1">
        <v>-4.2120199999999997E-5</v>
      </c>
    </row>
    <row r="1874" spans="1:8" x14ac:dyDescent="0.25">
      <c r="B1874" s="1">
        <v>391.8</v>
      </c>
      <c r="C1874" s="1">
        <v>1.4523400000000001E-5</v>
      </c>
      <c r="D1874" s="1">
        <v>-2.7685700000000001E-3</v>
      </c>
      <c r="E1874" s="1">
        <v>-1.8712700000000001E-4</v>
      </c>
      <c r="F1874" s="1">
        <v>2.8149E-3</v>
      </c>
      <c r="G1874" s="1">
        <v>8.45861E-5</v>
      </c>
      <c r="H1874" s="1">
        <v>-4.1689500000000001E-5</v>
      </c>
    </row>
    <row r="1875" spans="1:8" x14ac:dyDescent="0.25">
      <c r="B1875" s="1">
        <v>393.93299999999999</v>
      </c>
      <c r="C1875" s="1">
        <v>1.2251E-5</v>
      </c>
      <c r="D1875" s="1">
        <v>-2.7676900000000002E-3</v>
      </c>
      <c r="E1875" s="1">
        <v>-1.8672299999999999E-4</v>
      </c>
      <c r="F1875" s="1">
        <v>2.8157199999999999E-3</v>
      </c>
      <c r="G1875" s="1">
        <v>8.4958199999999996E-5</v>
      </c>
      <c r="H1875" s="1">
        <v>-4.1485500000000001E-5</v>
      </c>
    </row>
    <row r="1877" spans="1:8" x14ac:dyDescent="0.25">
      <c r="A1877" t="s">
        <v>405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3774"/>
  <sheetViews>
    <sheetView topLeftCell="AN91" workbookViewId="0">
      <selection activeCell="BA24" sqref="BA24"/>
    </sheetView>
  </sheetViews>
  <sheetFormatPr defaultRowHeight="15" x14ac:dyDescent="0.25"/>
  <cols>
    <col min="1" max="1" width="9.28515625" style="1" customWidth="1"/>
    <col min="2" max="2" width="12.7109375" style="1" customWidth="1"/>
    <col min="3" max="4" width="12" style="1" customWidth="1"/>
    <col min="5" max="6" width="12.7109375" style="1" customWidth="1"/>
    <col min="7" max="7" width="12" style="1" customWidth="1"/>
    <col min="8" max="8" width="14.140625" style="1" customWidth="1"/>
    <col min="9" max="9" width="12.7109375" style="1" customWidth="1"/>
    <col min="10" max="11" width="9.140625" style="1"/>
    <col min="12" max="12" width="9.5703125" style="1" bestFit="1" customWidth="1"/>
    <col min="13" max="13" width="9.140625" style="1"/>
    <col min="14" max="14" width="11.7109375" style="1" customWidth="1"/>
    <col min="15" max="16" width="9.140625" style="1"/>
    <col min="17" max="23" width="8.5703125" style="1" customWidth="1"/>
    <col min="24" max="25" width="9.140625" style="1"/>
    <col min="26" max="26" width="18" style="1" bestFit="1" customWidth="1"/>
    <col min="27" max="27" width="12.7109375" style="1" bestFit="1" customWidth="1"/>
    <col min="28" max="28" width="14.5703125" style="1" bestFit="1" customWidth="1"/>
    <col min="29" max="29" width="12.7109375" style="1" bestFit="1" customWidth="1"/>
    <col min="30" max="30" width="12" style="1" bestFit="1" customWidth="1"/>
    <col min="31" max="31" width="13.42578125" style="1" bestFit="1" customWidth="1"/>
    <col min="32" max="34" width="12.7109375" style="1" bestFit="1" customWidth="1"/>
    <col min="35" max="39" width="9.140625" style="1"/>
    <col min="40" max="40" width="9.85546875" style="1" bestFit="1" customWidth="1"/>
    <col min="41" max="41" width="10" style="1" bestFit="1" customWidth="1"/>
    <col min="42" max="42" width="10.28515625" style="1" bestFit="1" customWidth="1"/>
    <col min="43" max="44" width="9.140625" style="1"/>
    <col min="45" max="45" width="15.5703125" style="1" customWidth="1"/>
    <col min="46" max="46" width="18" style="1" bestFit="1" customWidth="1"/>
    <col min="47" max="47" width="12" style="1" bestFit="1" customWidth="1"/>
    <col min="48" max="48" width="14.5703125" style="1" bestFit="1" customWidth="1"/>
    <col min="49" max="50" width="12" style="1" bestFit="1" customWidth="1"/>
    <col min="51" max="51" width="13.42578125" style="1" bestFit="1" customWidth="1"/>
    <col min="52" max="52" width="15" style="1" bestFit="1" customWidth="1"/>
    <col min="53" max="53" width="12.5703125" style="1" bestFit="1" customWidth="1"/>
    <col min="54" max="56" width="9.140625" style="1"/>
    <col min="57" max="57" width="18" style="1" bestFit="1" customWidth="1"/>
    <col min="58" max="58" width="12.7109375" style="1" bestFit="1" customWidth="1"/>
    <col min="59" max="59" width="14.5703125" style="1" bestFit="1" customWidth="1"/>
    <col min="60" max="61" width="12" style="1" bestFit="1" customWidth="1"/>
    <col min="62" max="62" width="13.42578125" style="1" bestFit="1" customWidth="1"/>
    <col min="63" max="63" width="12" style="1" bestFit="1" customWidth="1"/>
    <col min="64" max="64" width="12.42578125" style="1" bestFit="1" customWidth="1"/>
    <col min="65" max="65" width="12.5703125" style="1" bestFit="1" customWidth="1"/>
    <col min="66" max="16384" width="9.140625" style="1"/>
  </cols>
  <sheetData>
    <row r="1" spans="1:51" x14ac:dyDescent="0.25">
      <c r="A1" s="1" t="s">
        <v>523</v>
      </c>
      <c r="B1" s="1" t="s">
        <v>614</v>
      </c>
      <c r="C1" s="1" t="s">
        <v>615</v>
      </c>
      <c r="D1" s="1" t="s">
        <v>616</v>
      </c>
      <c r="E1" s="1" t="s">
        <v>617</v>
      </c>
      <c r="F1" s="1" t="s">
        <v>618</v>
      </c>
      <c r="G1" s="1" t="s">
        <v>400</v>
      </c>
      <c r="H1" s="1" t="s">
        <v>619</v>
      </c>
      <c r="I1" s="1" t="s">
        <v>613</v>
      </c>
      <c r="J1" s="1" t="s">
        <v>12</v>
      </c>
      <c r="L1" s="1" t="s">
        <v>5</v>
      </c>
      <c r="M1" s="1" t="s">
        <v>3</v>
      </c>
      <c r="N1" s="1" t="s">
        <v>6</v>
      </c>
    </row>
    <row r="2" spans="1:51" x14ac:dyDescent="0.25">
      <c r="A2" s="1">
        <v>-141.555516719818</v>
      </c>
      <c r="B2" s="1">
        <v>-8.7148150652183098E-5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1">
        <f>-G2</f>
        <v>0</v>
      </c>
      <c r="L2" s="1">
        <f>G44+I44-A44*(I45+G45-I44-G44)/(A45-A44)</f>
        <v>0.16156058045707616</v>
      </c>
      <c r="M2" s="1">
        <f>-(Kawamura_scalar!D683-(Kawamura_scalar!D684-Kawamura_scalar!D683)/(Kawamura_scalar!B684-Kawamura_scalar!B683))</f>
        <v>0.12472909649317752</v>
      </c>
      <c r="N2" s="1">
        <f>100*(M2-L2)/M2</f>
        <v>-29.529183646346112</v>
      </c>
      <c r="P2" s="1">
        <f>P13</f>
        <v>-1.2015109966430515E-2</v>
      </c>
      <c r="Q2" s="1" t="s">
        <v>11</v>
      </c>
    </row>
    <row r="3" spans="1:51" x14ac:dyDescent="0.25">
      <c r="A3" s="1">
        <v>-128.95890593528699</v>
      </c>
      <c r="B3" s="1">
        <v>-8.7148150652183098E-5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f t="shared" ref="J3:J66" si="0">-G3</f>
        <v>0</v>
      </c>
      <c r="P3" s="1">
        <f>P2/0.71/2</f>
        <v>-8.4613450467820525E-3</v>
      </c>
      <c r="Q3" s="1" t="s">
        <v>12</v>
      </c>
    </row>
    <row r="4" spans="1:51" x14ac:dyDescent="0.25">
      <c r="A4" s="1">
        <v>-117.402367591857</v>
      </c>
      <c r="B4" s="1">
        <v>-8.7148150652183098E-5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f t="shared" si="0"/>
        <v>0</v>
      </c>
      <c r="P4" s="1">
        <f>100*(P3-M2)/M2</f>
        <v>-106.78377803149152</v>
      </c>
      <c r="Q4" s="1" t="s">
        <v>13</v>
      </c>
    </row>
    <row r="5" spans="1:51" x14ac:dyDescent="0.25">
      <c r="A5" s="1">
        <v>-106.80001378059301</v>
      </c>
      <c r="B5" s="1">
        <v>-8.7148150652183098E-5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1">
        <f t="shared" si="0"/>
        <v>0</v>
      </c>
      <c r="P5" s="1">
        <f>(P3+L2)/2</f>
        <v>7.6549617705147052E-2</v>
      </c>
      <c r="Q5" s="1" t="s">
        <v>14</v>
      </c>
    </row>
    <row r="6" spans="1:51" x14ac:dyDescent="0.25">
      <c r="A6" s="1">
        <v>-97.073161005973802</v>
      </c>
      <c r="B6" s="1">
        <v>-8.7148150652183098E-5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f t="shared" si="0"/>
        <v>0</v>
      </c>
      <c r="P6" s="1">
        <f>100*(P5-M2)/M2</f>
        <v>-38.627297192572712</v>
      </c>
      <c r="Q6" s="1" t="s">
        <v>13</v>
      </c>
    </row>
    <row r="7" spans="1:51" x14ac:dyDescent="0.25">
      <c r="A7" s="1">
        <v>-88.149435520172105</v>
      </c>
      <c r="B7" s="1">
        <v>-8.7148150652183098E-5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f t="shared" si="0"/>
        <v>0</v>
      </c>
    </row>
    <row r="8" spans="1:51" x14ac:dyDescent="0.25">
      <c r="A8" s="1">
        <v>-79.962490797042804</v>
      </c>
      <c r="B8" s="1">
        <v>-8.7148150652183098E-5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f t="shared" si="0"/>
        <v>0</v>
      </c>
      <c r="K8" s="1" t="s">
        <v>7</v>
      </c>
      <c r="L8" s="1">
        <v>1</v>
      </c>
      <c r="M8" s="1">
        <f>A44</f>
        <v>18.614838719367899</v>
      </c>
      <c r="N8" s="1">
        <f>M8*M8/2</f>
        <v>173.25611027403917</v>
      </c>
    </row>
    <row r="9" spans="1:51" x14ac:dyDescent="0.25">
      <c r="A9" s="1">
        <v>-72.451583743095298</v>
      </c>
      <c r="B9" s="1">
        <v>-8.7148150652183098E-5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1">
        <f t="shared" si="0"/>
        <v>0</v>
      </c>
      <c r="L9" s="1">
        <v>1</v>
      </c>
      <c r="M9" s="1">
        <f>A45</f>
        <v>21.2777170538902</v>
      </c>
      <c r="N9" s="1">
        <f t="shared" ref="N9:N10" si="1">M9*M9/2</f>
        <v>226.37062151270493</v>
      </c>
    </row>
    <row r="10" spans="1:51" x14ac:dyDescent="0.25">
      <c r="A10" s="1">
        <v>-65.560821294784503</v>
      </c>
      <c r="B10" s="1">
        <v>-8.7148150652183098E-5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1">
        <f t="shared" si="0"/>
        <v>0</v>
      </c>
      <c r="L10" s="1">
        <v>1</v>
      </c>
      <c r="M10" s="1">
        <f>A46</f>
        <v>24.180224537849401</v>
      </c>
      <c r="N10" s="1">
        <f t="shared" si="1"/>
        <v>292.34162935040717</v>
      </c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</row>
    <row r="11" spans="1:51" x14ac:dyDescent="0.25">
      <c r="A11" s="1">
        <v>-59.238972067832897</v>
      </c>
      <c r="B11" s="1">
        <v>-8.7148150652183098E-5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1">
        <f t="shared" si="0"/>
        <v>0</v>
      </c>
      <c r="K11" s="1" t="s">
        <v>8</v>
      </c>
      <c r="L11" s="1">
        <f t="array" ref="L11:N13">MINVERSE(L8:N10)</f>
        <v>34.716725664711817</v>
      </c>
      <c r="M11" s="1">
        <v>-58.236455573261992</v>
      </c>
      <c r="N11" s="1">
        <v>24.519729908550183</v>
      </c>
      <c r="P11" s="1">
        <f>L11*C$44+M11*C$45+N11*C$46</f>
        <v>5.7285402558378848</v>
      </c>
      <c r="Q11" s="1" t="s">
        <v>10</v>
      </c>
    </row>
    <row r="12" spans="1:51" x14ac:dyDescent="0.25">
      <c r="A12" s="1">
        <v>-53.439136743545497</v>
      </c>
      <c r="B12" s="1">
        <v>-8.7148150652183098E-5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1">
        <f t="shared" si="0"/>
        <v>0</v>
      </c>
      <c r="L12" s="1">
        <v>-3.0673488067843344</v>
      </c>
      <c r="M12" s="1">
        <v>5.5369295818978799</v>
      </c>
      <c r="N12" s="1">
        <v>-2.4695807751135459</v>
      </c>
      <c r="P12" s="1">
        <f>L12*C$44+M12*C$45+N12*C$46</f>
        <v>0.17346527885199059</v>
      </c>
      <c r="Q12" s="1" t="s">
        <v>9</v>
      </c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</row>
    <row r="13" spans="1:51" x14ac:dyDescent="0.25">
      <c r="A13" s="1">
        <v>-48.118183016777003</v>
      </c>
      <c r="B13" s="1">
        <v>-8.7148150652183098E-5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1">
        <f t="shared" si="0"/>
        <v>0</v>
      </c>
      <c r="L13" s="1">
        <v>0.13495326446289058</v>
      </c>
      <c r="M13" s="1">
        <v>-0.25876487428554446</v>
      </c>
      <c r="N13" s="1">
        <v>0.12381160982265391</v>
      </c>
      <c r="P13" s="1">
        <f>$L$13*C$44+$M$13*C$45+$N$13*C$46</f>
        <v>-1.2015109966430515E-2</v>
      </c>
      <c r="Q13" s="1" t="s">
        <v>11</v>
      </c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</row>
    <row r="14" spans="1:51" x14ac:dyDescent="0.25">
      <c r="A14" s="1">
        <v>-43.236604332923797</v>
      </c>
      <c r="B14" s="1">
        <v>-8.7148150652183098E-5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s="1">
        <f t="shared" si="0"/>
        <v>0</v>
      </c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</row>
    <row r="15" spans="1:51" x14ac:dyDescent="0.25">
      <c r="A15" s="1">
        <v>-38.758049011230398</v>
      </c>
      <c r="B15" s="1">
        <v>-8.7148150652183098E-5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1">
        <f t="shared" si="0"/>
        <v>0</v>
      </c>
    </row>
    <row r="16" spans="1:51" x14ac:dyDescent="0.25">
      <c r="A16" s="1">
        <v>-34.649320244789102</v>
      </c>
      <c r="B16" s="1">
        <v>-8.7148150652183098E-5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s="1">
        <f t="shared" si="0"/>
        <v>0</v>
      </c>
    </row>
    <row r="17" spans="1:65" x14ac:dyDescent="0.25">
      <c r="A17" s="1">
        <v>-30.879811048507602</v>
      </c>
      <c r="B17" s="1">
        <v>-8.7148150652183098E-5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s="1">
        <f t="shared" si="0"/>
        <v>0</v>
      </c>
    </row>
    <row r="18" spans="1:65" x14ac:dyDescent="0.25">
      <c r="A18" s="1">
        <v>-27.4215984344482</v>
      </c>
      <c r="B18" s="1">
        <v>-8.7148150652183098E-5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s="1">
        <f t="shared" si="0"/>
        <v>0</v>
      </c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1:65" x14ac:dyDescent="0.25">
      <c r="A19" s="1">
        <v>-24.248878359794599</v>
      </c>
      <c r="B19" s="1">
        <v>-8.7148150652183098E-5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s="1">
        <f t="shared" si="0"/>
        <v>0</v>
      </c>
      <c r="AE19" s="5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</row>
    <row r="20" spans="1:65" x14ac:dyDescent="0.25">
      <c r="A20" s="1">
        <v>-21.3381540775299</v>
      </c>
      <c r="B20" s="1">
        <v>-8.7148150652183098E-5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 s="1">
        <f t="shared" si="0"/>
        <v>0</v>
      </c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</row>
    <row r="21" spans="1:65" x14ac:dyDescent="0.25">
      <c r="A21" s="1">
        <v>-18.6677181720733</v>
      </c>
      <c r="B21" s="1">
        <v>-8.7148150652183098E-5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s="1">
        <f t="shared" si="0"/>
        <v>0</v>
      </c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BE21"/>
      <c r="BF21"/>
      <c r="BG21"/>
      <c r="BH21"/>
      <c r="BI21"/>
      <c r="BJ21"/>
      <c r="BK21"/>
      <c r="BL21"/>
      <c r="BM21"/>
    </row>
    <row r="22" spans="1:65" x14ac:dyDescent="0.25">
      <c r="A22" s="1">
        <v>-16.2178409099578</v>
      </c>
      <c r="B22" s="1">
        <v>-8.7148150652183098E-5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s="1">
        <f t="shared" si="0"/>
        <v>0</v>
      </c>
      <c r="O22" s="3"/>
      <c r="P22" s="23" t="s">
        <v>475</v>
      </c>
      <c r="Q22" s="3">
        <v>0.1</v>
      </c>
      <c r="R22" s="3">
        <v>0.1</v>
      </c>
      <c r="S22" s="3">
        <v>0.1</v>
      </c>
      <c r="T22" s="3">
        <v>0.1</v>
      </c>
      <c r="U22" s="3">
        <v>0.1</v>
      </c>
      <c r="V22" s="3">
        <v>0.1</v>
      </c>
      <c r="W22" s="3">
        <v>0.1</v>
      </c>
      <c r="X22" s="3"/>
      <c r="Y22" s="3"/>
      <c r="Z22" s="3"/>
      <c r="AA22" s="3"/>
      <c r="AB22" s="3"/>
      <c r="AH22" s="1" t="s">
        <v>475</v>
      </c>
      <c r="AI22" s="1" t="s">
        <v>476</v>
      </c>
      <c r="AJ22" s="1" t="s">
        <v>486</v>
      </c>
      <c r="AK22" s="1" t="s">
        <v>487</v>
      </c>
      <c r="AL22" s="1" t="s">
        <v>621</v>
      </c>
      <c r="AM22" s="1" t="s">
        <v>622</v>
      </c>
      <c r="AN22" s="1" t="s">
        <v>623</v>
      </c>
      <c r="AO22" s="1" t="s">
        <v>624</v>
      </c>
      <c r="AP22" s="1" t="s">
        <v>488</v>
      </c>
      <c r="AQ22" s="1" t="s">
        <v>489</v>
      </c>
      <c r="AR22" s="1" t="s">
        <v>518</v>
      </c>
      <c r="AS22" s="3" t="s">
        <v>521</v>
      </c>
      <c r="AT22" s="3" t="s">
        <v>520</v>
      </c>
      <c r="AU22" s="3"/>
      <c r="AV22" s="3" t="s">
        <v>478</v>
      </c>
      <c r="AW22" s="3" t="s">
        <v>620</v>
      </c>
      <c r="AX22" s="3" t="s">
        <v>515</v>
      </c>
      <c r="AY22" s="1" t="s">
        <v>519</v>
      </c>
      <c r="AZ22" s="1" t="s">
        <v>620</v>
      </c>
      <c r="BA22" s="1" t="s">
        <v>522</v>
      </c>
      <c r="BE22" t="s">
        <v>490</v>
      </c>
      <c r="BF22" t="s">
        <v>478</v>
      </c>
      <c r="BG22"/>
      <c r="BH22"/>
      <c r="BI22"/>
      <c r="BJ22"/>
      <c r="BK22"/>
      <c r="BL22"/>
      <c r="BM22"/>
    </row>
    <row r="23" spans="1:65" ht="15.75" thickBot="1" x14ac:dyDescent="0.3">
      <c r="A23" s="1">
        <v>-13.9702051877975</v>
      </c>
      <c r="B23" s="1">
        <v>-8.7148150652183098E-5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s="1">
        <f t="shared" si="0"/>
        <v>0</v>
      </c>
      <c r="P23" s="23"/>
      <c r="Q23" s="1">
        <v>0.2</v>
      </c>
      <c r="R23" s="1">
        <v>0.2</v>
      </c>
      <c r="S23" s="1">
        <v>0.2</v>
      </c>
      <c r="T23" s="1">
        <v>0.2</v>
      </c>
      <c r="U23" s="1">
        <v>0.2</v>
      </c>
      <c r="V23" s="1">
        <v>0.2</v>
      </c>
      <c r="W23" s="1">
        <v>0.2</v>
      </c>
      <c r="AH23" s="1">
        <f>Q22</f>
        <v>0.1</v>
      </c>
      <c r="AI23" s="1">
        <v>0.1</v>
      </c>
      <c r="AJ23" s="1">
        <f>Z64</f>
        <v>0.10824752166620115</v>
      </c>
      <c r="AK23" s="1">
        <f>Z71</f>
        <v>1.4852395090488031E-3</v>
      </c>
      <c r="AL23" s="1">
        <f>LOG(AH23,EXP(1))</f>
        <v>-2.3025850929940455</v>
      </c>
      <c r="AM23" s="1">
        <f t="shared" ref="AM23:AM38" si="2">LOG(AI23,EXP(1))</f>
        <v>-2.3025850929940455</v>
      </c>
      <c r="AN23" s="1">
        <f>LOG(AJ23/$AJ$47,EXP(1))</f>
        <v>1.0582244180779543</v>
      </c>
      <c r="AO23" s="1">
        <f>LOG(AK23/$AK$47,EXP(1))</f>
        <v>-3.2306200091997077</v>
      </c>
      <c r="AP23" s="1">
        <f t="shared" ref="AP23:AP54" si="3">$AJ$47*POWER(AH23,$BF$61)*POWER(AI23,$BF$62)</f>
        <v>0.13672168310207702</v>
      </c>
      <c r="AQ23" s="1">
        <f t="shared" ref="AQ23:AQ54" si="4">$AK$47*POWER(AH23,$BF$83)*POWER(AI23,$BF$84)</f>
        <v>4.138706447947586E-3</v>
      </c>
      <c r="AR23" s="1">
        <f>AK23/AJ23</f>
        <v>1.3720771489150402E-2</v>
      </c>
      <c r="AS23" s="3">
        <f>LOG(AR23,EXP(1))</f>
        <v>-4.2888444272776622</v>
      </c>
      <c r="AT23" s="3">
        <f t="shared" ref="AT23:AT54" si="5">POWER(AH23,$BF$105)*POWER(AI23,$BF$106)</f>
        <v>3.0271032026848367E-2</v>
      </c>
      <c r="AU23" s="3"/>
      <c r="AV23" s="3">
        <f>Q43</f>
        <v>3.71239943943307E-2</v>
      </c>
      <c r="AW23" s="3">
        <f t="shared" ref="AW23:AW46" si="6">LOG(AV23/$AV$47,EXP(1))</f>
        <v>-3.761226597006476</v>
      </c>
      <c r="AX23" s="3">
        <f t="shared" ref="AX23:AX54" si="7">$AV$47*POWER(AH23,$BF$39)*POWER(AI23,$BF$40)</f>
        <v>0.1472838017109051</v>
      </c>
      <c r="AY23" s="3">
        <f t="shared" ref="AY23:AY29" si="8">Z78</f>
        <v>0.99962755040148643</v>
      </c>
      <c r="AZ23" s="1">
        <f>LOG((1/AY23-1)/(1/$AY$47-1),EXP(1))</f>
        <v>-5.3680791136627652</v>
      </c>
      <c r="BA23" s="1">
        <f>1/(1+(1/$AY$47-1)*POWER(AH23,$BF$127)*POWER(AI23,$BF$128))</f>
        <v>0.99940379917525413</v>
      </c>
      <c r="BE23"/>
      <c r="BF23"/>
      <c r="BG23"/>
      <c r="BH23"/>
      <c r="BI23"/>
      <c r="BJ23"/>
      <c r="BK23"/>
      <c r="BL23"/>
      <c r="BM23"/>
    </row>
    <row r="24" spans="1:65" x14ac:dyDescent="0.25">
      <c r="A24" s="1">
        <v>-11.908189058303799</v>
      </c>
      <c r="B24" s="1">
        <v>-8.7148150652183098E-5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s="1">
        <f t="shared" si="0"/>
        <v>0</v>
      </c>
      <c r="P24" s="23"/>
      <c r="Q24" s="1">
        <v>0.5</v>
      </c>
      <c r="R24" s="1">
        <v>0.5</v>
      </c>
      <c r="S24" s="1">
        <v>0.5</v>
      </c>
      <c r="T24" s="1">
        <v>0.5</v>
      </c>
      <c r="U24" s="1">
        <v>0.5</v>
      </c>
      <c r="V24" s="1">
        <v>0.5</v>
      </c>
      <c r="W24" s="1">
        <v>0.5</v>
      </c>
      <c r="AH24" s="1">
        <f t="shared" ref="AH24:AH28" si="9">Q23</f>
        <v>0.2</v>
      </c>
      <c r="AI24" s="1">
        <v>0.1</v>
      </c>
      <c r="AJ24" s="1">
        <f t="shared" ref="AJ24:AJ29" si="10">Z65</f>
        <v>0.10596191978167624</v>
      </c>
      <c r="AK24" s="1">
        <f t="shared" ref="AK24:AK29" si="11">Z72</f>
        <v>1.3511980177393136E-3</v>
      </c>
      <c r="AL24" s="1">
        <f t="shared" ref="AL24:AM67" si="12">LOG(AH24,EXP(1))</f>
        <v>-1.6094379124341003</v>
      </c>
      <c r="AM24" s="1">
        <f t="shared" si="2"/>
        <v>-2.3025850929940455</v>
      </c>
      <c r="AN24" s="1">
        <f t="shared" ref="AN24:AN71" si="13">LOG(AJ24/$AJ$47,EXP(1))</f>
        <v>1.0368837282206014</v>
      </c>
      <c r="AO24" s="1">
        <f t="shared" ref="AO24:AO71" si="14">LOG(AK24/$AK$47,EXP(1))</f>
        <v>-3.3252044345308422</v>
      </c>
      <c r="AP24" s="1">
        <f t="shared" si="3"/>
        <v>0.13387399342697132</v>
      </c>
      <c r="AQ24" s="1">
        <f t="shared" si="4"/>
        <v>3.7583388566333263E-3</v>
      </c>
      <c r="AR24" s="1">
        <f t="shared" ref="AR24:AR71" si="15">AK24/AJ24</f>
        <v>1.2751732136632856E-2</v>
      </c>
      <c r="AS24" s="3">
        <f t="shared" ref="AS24:AS71" si="16">LOG(AR24,EXP(1))</f>
        <v>-4.3620881627514434</v>
      </c>
      <c r="AT24" s="3">
        <f t="shared" si="5"/>
        <v>2.8073703939245763E-2</v>
      </c>
      <c r="AU24" s="3"/>
      <c r="AV24" s="3">
        <f t="shared" ref="AV24:AV29" si="17">Q44</f>
        <v>4.7593381695312797E-2</v>
      </c>
      <c r="AW24" s="3">
        <f t="shared" si="6"/>
        <v>-3.5127963951851062</v>
      </c>
      <c r="AX24" s="3">
        <f t="shared" si="7"/>
        <v>0.15810406543458611</v>
      </c>
      <c r="AY24" s="3">
        <f t="shared" si="8"/>
        <v>0.9994485506740215</v>
      </c>
      <c r="AZ24" s="1">
        <f t="shared" ref="AZ24:AZ71" si="18">LOG((1/AY24-1)/(1/$AY$47-1),EXP(1))</f>
        <v>-4.975451803389122</v>
      </c>
      <c r="BA24" s="1">
        <f t="shared" ref="BA24:BA71" si="19">1/(1+(1/$AY$47-1)*POWER(AH24,$BF$127)*POWER(AI24,$BF$128))</f>
        <v>0.9993030482766373</v>
      </c>
      <c r="BE24" s="10" t="s">
        <v>491</v>
      </c>
      <c r="BF24" s="10"/>
      <c r="BG24"/>
      <c r="BH24"/>
      <c r="BI24"/>
      <c r="BJ24"/>
      <c r="BK24"/>
      <c r="BL24"/>
      <c r="BM24"/>
    </row>
    <row r="25" spans="1:65" x14ac:dyDescent="0.25">
      <c r="A25" s="1">
        <v>-10.016394853591899</v>
      </c>
      <c r="B25" s="1">
        <v>-8.7148150652183098E-5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s="1">
        <f t="shared" si="0"/>
        <v>0</v>
      </c>
      <c r="P25" s="23"/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AH25" s="1">
        <f t="shared" si="9"/>
        <v>0.5</v>
      </c>
      <c r="AI25" s="1">
        <v>0.1</v>
      </c>
      <c r="AJ25" s="1">
        <f t="shared" si="10"/>
        <v>0.10528771450929035</v>
      </c>
      <c r="AK25" s="1">
        <f t="shared" si="11"/>
        <v>1.221984472218305E-3</v>
      </c>
      <c r="AL25" s="1">
        <f t="shared" si="12"/>
        <v>-0.69314718055994529</v>
      </c>
      <c r="AM25" s="1">
        <f t="shared" si="2"/>
        <v>-2.3025850929940455</v>
      </c>
      <c r="AN25" s="1">
        <f t="shared" si="13"/>
        <v>1.0305006870025206</v>
      </c>
      <c r="AO25" s="1">
        <f t="shared" si="14"/>
        <v>-3.4257199001943301</v>
      </c>
      <c r="AP25" s="1">
        <f t="shared" si="3"/>
        <v>0.13020037616298116</v>
      </c>
      <c r="AQ25" s="1">
        <f t="shared" si="4"/>
        <v>3.3086325427245703E-3</v>
      </c>
      <c r="AR25" s="1">
        <f t="shared" si="15"/>
        <v>1.1606144913616487E-2</v>
      </c>
      <c r="AS25" s="3">
        <f t="shared" si="16"/>
        <v>-4.4562205871968503</v>
      </c>
      <c r="AT25" s="3">
        <f t="shared" si="5"/>
        <v>2.5411850873479181E-2</v>
      </c>
      <c r="AU25" s="3"/>
      <c r="AV25" s="3">
        <f t="shared" si="17"/>
        <v>6.2101034579760302E-2</v>
      </c>
      <c r="AW25" s="3">
        <f t="shared" si="6"/>
        <v>-3.2467274580409042</v>
      </c>
      <c r="AX25" s="3">
        <f t="shared" si="7"/>
        <v>0.17363714158140059</v>
      </c>
      <c r="AY25" s="3">
        <f t="shared" si="8"/>
        <v>0.99919289200320782</v>
      </c>
      <c r="AZ25" s="1">
        <f t="shared" si="18"/>
        <v>-4.594288437077946</v>
      </c>
      <c r="BA25" s="1">
        <f t="shared" si="19"/>
        <v>0.99914329510293654</v>
      </c>
      <c r="BE25" s="7" t="s">
        <v>492</v>
      </c>
      <c r="BF25" s="7">
        <v>0.91397200528364797</v>
      </c>
      <c r="BG25"/>
      <c r="BH25"/>
      <c r="BI25"/>
      <c r="BJ25"/>
      <c r="BK25"/>
      <c r="BL25"/>
      <c r="BM25"/>
    </row>
    <row r="26" spans="1:65" x14ac:dyDescent="0.25">
      <c r="A26" s="1">
        <v>-8.2808375358581507</v>
      </c>
      <c r="B26" s="1">
        <v>-8.7148150652183098E-5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s="1">
        <f t="shared" si="0"/>
        <v>0</v>
      </c>
      <c r="P26" s="23"/>
      <c r="Q26" s="1">
        <v>2</v>
      </c>
      <c r="R26" s="1">
        <v>2</v>
      </c>
      <c r="S26" s="1">
        <v>2</v>
      </c>
      <c r="T26" s="1">
        <v>2</v>
      </c>
      <c r="U26" s="1">
        <v>2</v>
      </c>
      <c r="V26" s="1">
        <v>2</v>
      </c>
      <c r="W26" s="1">
        <v>2</v>
      </c>
      <c r="AH26" s="1">
        <f t="shared" si="9"/>
        <v>1</v>
      </c>
      <c r="AI26" s="1">
        <v>0.1</v>
      </c>
      <c r="AJ26" s="1">
        <f t="shared" si="10"/>
        <v>0.10375886828292059</v>
      </c>
      <c r="AK26" s="1">
        <f t="shared" si="11"/>
        <v>1.1417104889729394E-3</v>
      </c>
      <c r="AL26" s="1">
        <f t="shared" si="12"/>
        <v>0</v>
      </c>
      <c r="AM26" s="1">
        <f t="shared" si="2"/>
        <v>-2.3025850929940455</v>
      </c>
      <c r="AN26" s="1">
        <f t="shared" si="13"/>
        <v>1.0158735788795581</v>
      </c>
      <c r="AO26" s="1">
        <f t="shared" si="14"/>
        <v>-3.4936684871927457</v>
      </c>
      <c r="AP26" s="1">
        <f t="shared" si="3"/>
        <v>0.1274885146756019</v>
      </c>
      <c r="AQ26" s="1">
        <f t="shared" si="4"/>
        <v>3.0045528485862683E-3</v>
      </c>
      <c r="AR26" s="1">
        <f t="shared" si="15"/>
        <v>1.1003497897257545E-2</v>
      </c>
      <c r="AS26" s="3">
        <f t="shared" si="16"/>
        <v>-4.5095420660723038</v>
      </c>
      <c r="AT26" s="3">
        <f t="shared" si="5"/>
        <v>2.3567243341342848E-2</v>
      </c>
      <c r="AU26" s="3"/>
      <c r="AV26" s="3">
        <f t="shared" si="17"/>
        <v>7.2269579597983705E-2</v>
      </c>
      <c r="AW26" s="3">
        <f t="shared" si="6"/>
        <v>-3.0950868185658718</v>
      </c>
      <c r="AX26" s="3">
        <f t="shared" si="7"/>
        <v>0.18639346401680784</v>
      </c>
      <c r="AY26" s="3">
        <f t="shared" si="8"/>
        <v>0.99898636576034594</v>
      </c>
      <c r="AZ26" s="1">
        <f t="shared" si="18"/>
        <v>-4.3662417983058548</v>
      </c>
      <c r="BA26" s="1">
        <f t="shared" si="19"/>
        <v>0.99899856620402061</v>
      </c>
      <c r="BE26" s="7" t="s">
        <v>493</v>
      </c>
      <c r="BF26" s="7">
        <v>0.83534482644221264</v>
      </c>
      <c r="BG26"/>
      <c r="BH26"/>
      <c r="BI26"/>
      <c r="BJ26"/>
      <c r="BK26"/>
      <c r="BL26"/>
      <c r="BM26"/>
    </row>
    <row r="27" spans="1:65" x14ac:dyDescent="0.25">
      <c r="A27" s="1">
        <v>-6.6885209083557102</v>
      </c>
      <c r="B27" s="1">
        <v>-8.7148150652183098E-5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s="1">
        <f t="shared" si="0"/>
        <v>0</v>
      </c>
      <c r="O27" s="3"/>
      <c r="P27" s="23"/>
      <c r="Q27" s="3">
        <v>5</v>
      </c>
      <c r="R27" s="3">
        <v>5</v>
      </c>
      <c r="S27" s="3">
        <v>5</v>
      </c>
      <c r="T27" s="3">
        <v>5</v>
      </c>
      <c r="U27" s="3">
        <v>5</v>
      </c>
      <c r="V27" s="3">
        <v>5</v>
      </c>
      <c r="W27" s="3">
        <v>5</v>
      </c>
      <c r="X27" s="3"/>
      <c r="Y27" s="3"/>
      <c r="Z27" s="3"/>
      <c r="AA27" s="3"/>
      <c r="AB27" s="3"/>
      <c r="AH27" s="1">
        <f t="shared" si="9"/>
        <v>2</v>
      </c>
      <c r="AI27" s="1">
        <v>0.1</v>
      </c>
      <c r="AJ27" s="1">
        <f t="shared" si="10"/>
        <v>0.10184397507819468</v>
      </c>
      <c r="AK27" s="1">
        <f t="shared" si="11"/>
        <v>1.0792994454959623E-3</v>
      </c>
      <c r="AL27" s="1">
        <f t="shared" si="12"/>
        <v>0.69314718055994529</v>
      </c>
      <c r="AM27" s="1">
        <f t="shared" si="2"/>
        <v>-2.3025850929940455</v>
      </c>
      <c r="AN27" s="1">
        <f t="shared" si="13"/>
        <v>0.99724593206582635</v>
      </c>
      <c r="AO27" s="1">
        <f t="shared" si="14"/>
        <v>-3.5498838849176306</v>
      </c>
      <c r="AP27" s="1">
        <f t="shared" si="3"/>
        <v>0.12483313684014026</v>
      </c>
      <c r="AQ27" s="1">
        <f t="shared" si="4"/>
        <v>2.7284195822223556E-3</v>
      </c>
      <c r="AR27" s="1">
        <f t="shared" si="15"/>
        <v>1.0597577762133579E-2</v>
      </c>
      <c r="AS27" s="3">
        <f t="shared" si="16"/>
        <v>-4.5471298169834569</v>
      </c>
      <c r="AT27" s="3">
        <f t="shared" si="5"/>
        <v>2.1856533059137456E-2</v>
      </c>
      <c r="AU27" s="3"/>
      <c r="AV27" s="3">
        <f t="shared" si="17"/>
        <v>8.1026766464076694E-2</v>
      </c>
      <c r="AW27" s="3">
        <f t="shared" si="6"/>
        <v>-2.9807105564814931</v>
      </c>
      <c r="AX27" s="3">
        <f t="shared" si="7"/>
        <v>0.2000869348099574</v>
      </c>
      <c r="AY27" s="3">
        <f t="shared" si="8"/>
        <v>0.99878045354666622</v>
      </c>
      <c r="AZ27" s="1">
        <f t="shared" si="18"/>
        <v>-4.1810987555489163</v>
      </c>
      <c r="BA27" s="1">
        <f t="shared" si="19"/>
        <v>0.99882941592775143</v>
      </c>
      <c r="BE27" s="7" t="s">
        <v>494</v>
      </c>
      <c r="BF27" s="7">
        <v>0.81056492913247247</v>
      </c>
      <c r="BG27"/>
      <c r="BH27"/>
      <c r="BI27"/>
      <c r="BJ27"/>
      <c r="BK27"/>
      <c r="BL27"/>
      <c r="BM27"/>
    </row>
    <row r="28" spans="1:65" x14ac:dyDescent="0.25">
      <c r="A28" s="1">
        <v>-5.2277201414108196</v>
      </c>
      <c r="B28" s="1">
        <v>-8.7148150652183098E-5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s="1">
        <f t="shared" si="0"/>
        <v>0</v>
      </c>
      <c r="O28" s="3"/>
      <c r="P28" s="23"/>
      <c r="Q28" s="3">
        <v>10</v>
      </c>
      <c r="R28" s="3">
        <v>10</v>
      </c>
      <c r="S28" s="3">
        <v>10</v>
      </c>
      <c r="T28" s="3">
        <v>10</v>
      </c>
      <c r="U28" s="3">
        <v>10</v>
      </c>
      <c r="V28" s="3">
        <v>10</v>
      </c>
      <c r="W28" s="3">
        <v>10</v>
      </c>
      <c r="X28" s="3"/>
      <c r="Y28" s="3"/>
      <c r="Z28" s="3"/>
      <c r="AA28" s="3"/>
      <c r="AB28" s="3"/>
      <c r="AH28" s="1">
        <f t="shared" si="9"/>
        <v>5</v>
      </c>
      <c r="AI28" s="1">
        <v>0.1</v>
      </c>
      <c r="AJ28" s="1">
        <f t="shared" si="10"/>
        <v>9.7304534952619412E-2</v>
      </c>
      <c r="AK28" s="1">
        <f t="shared" si="11"/>
        <v>1.0010335271593508E-3</v>
      </c>
      <c r="AL28" s="1">
        <f t="shared" si="12"/>
        <v>1.6094379124341003</v>
      </c>
      <c r="AM28" s="1">
        <f t="shared" si="2"/>
        <v>-2.3025850929940455</v>
      </c>
      <c r="AN28" s="1">
        <f t="shared" si="13"/>
        <v>0.9516495420424298</v>
      </c>
      <c r="AO28" s="1">
        <f t="shared" si="14"/>
        <v>-3.6251630605661349</v>
      </c>
      <c r="AP28" s="1">
        <f t="shared" si="3"/>
        <v>0.12140760843932992</v>
      </c>
      <c r="AQ28" s="1">
        <f t="shared" si="4"/>
        <v>2.4019488833517365E-3</v>
      </c>
      <c r="AR28" s="1">
        <f t="shared" si="15"/>
        <v>1.0287634873819448E-2</v>
      </c>
      <c r="AS28" s="3">
        <f t="shared" si="16"/>
        <v>-4.5768126026085652</v>
      </c>
      <c r="AT28" s="3">
        <f t="shared" si="5"/>
        <v>1.9784170977653715E-2</v>
      </c>
      <c r="AU28" s="3"/>
      <c r="AV28" s="3">
        <f t="shared" si="17"/>
        <v>9.0173570352482399E-2</v>
      </c>
      <c r="AW28" s="3">
        <f t="shared" si="6"/>
        <v>-2.873753734222074</v>
      </c>
      <c r="AX28" s="3">
        <f t="shared" si="7"/>
        <v>0.21974465572840943</v>
      </c>
      <c r="AY28" s="3">
        <f t="shared" si="8"/>
        <v>0.99848613224305538</v>
      </c>
      <c r="AZ28" s="1">
        <f t="shared" si="18"/>
        <v>-3.9646152571044362</v>
      </c>
      <c r="BA28" s="1">
        <f t="shared" si="19"/>
        <v>0.99856125448011412</v>
      </c>
      <c r="BE28" s="7" t="s">
        <v>495</v>
      </c>
      <c r="BF28" s="7">
        <v>0.65787050684699444</v>
      </c>
      <c r="BG28"/>
      <c r="BH28"/>
      <c r="BI28"/>
      <c r="BJ28"/>
      <c r="BK28"/>
      <c r="BL28"/>
      <c r="BM28"/>
    </row>
    <row r="29" spans="1:65" ht="15.75" thickBot="1" x14ac:dyDescent="0.3">
      <c r="A29" s="1">
        <v>-3.88755798339843</v>
      </c>
      <c r="B29" s="1">
        <v>-8.7148150652183098E-5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s="1">
        <f t="shared" si="0"/>
        <v>0</v>
      </c>
      <c r="O29" s="3"/>
      <c r="P29" s="23" t="s">
        <v>476</v>
      </c>
      <c r="Q29" s="3">
        <v>0.1</v>
      </c>
      <c r="R29" s="3">
        <v>0.2</v>
      </c>
      <c r="S29" s="3">
        <v>0.5</v>
      </c>
      <c r="T29" s="3">
        <v>1</v>
      </c>
      <c r="U29" s="3">
        <v>2</v>
      </c>
      <c r="V29" s="3">
        <v>5</v>
      </c>
      <c r="W29" s="3">
        <v>10</v>
      </c>
      <c r="X29" s="3"/>
      <c r="Y29" s="3"/>
      <c r="Z29" s="3"/>
      <c r="AA29" s="3"/>
      <c r="AB29" s="3"/>
      <c r="AH29" s="1">
        <f>Q28</f>
        <v>10</v>
      </c>
      <c r="AI29" s="1">
        <v>0.1</v>
      </c>
      <c r="AJ29" s="1">
        <f t="shared" si="10"/>
        <v>9.0983226018945651E-2</v>
      </c>
      <c r="AK29" s="1">
        <f t="shared" si="11"/>
        <v>9.24551878449281E-4</v>
      </c>
      <c r="AL29" s="1">
        <f t="shared" si="12"/>
        <v>2.3025850929940459</v>
      </c>
      <c r="AM29" s="1">
        <f t="shared" si="2"/>
        <v>-2.3025850929940455</v>
      </c>
      <c r="AN29" s="1">
        <f t="shared" si="13"/>
        <v>0.88447910605994784</v>
      </c>
      <c r="AO29" s="1">
        <f t="shared" si="14"/>
        <v>-3.7046421685908135</v>
      </c>
      <c r="AP29" s="1">
        <f t="shared" si="3"/>
        <v>0.11887888596321887</v>
      </c>
      <c r="AQ29" s="1">
        <f t="shared" si="4"/>
        <v>2.1811979016836485E-3</v>
      </c>
      <c r="AR29" s="1">
        <f t="shared" si="15"/>
        <v>1.0161783868344692E-2</v>
      </c>
      <c r="AS29" s="3">
        <f t="shared" si="16"/>
        <v>-4.5891212746507613</v>
      </c>
      <c r="AT29" s="3">
        <f t="shared" si="5"/>
        <v>1.8348068153654393E-2</v>
      </c>
      <c r="AU29" s="3"/>
      <c r="AV29" s="3">
        <f t="shared" si="17"/>
        <v>9.5495795085201604E-2</v>
      </c>
      <c r="AW29" s="3">
        <f t="shared" si="6"/>
        <v>-2.816407890745221</v>
      </c>
      <c r="AX29" s="3">
        <f t="shared" si="7"/>
        <v>0.23588828523301664</v>
      </c>
      <c r="AY29" s="3">
        <f t="shared" si="8"/>
        <v>0.99820240146283679</v>
      </c>
      <c r="AZ29" s="1">
        <f t="shared" si="18"/>
        <v>-3.7925472320443703</v>
      </c>
      <c r="BA29" s="1">
        <f t="shared" si="19"/>
        <v>0.99831836305243049</v>
      </c>
      <c r="BE29" s="8" t="s">
        <v>496</v>
      </c>
      <c r="BF29" s="8">
        <v>49</v>
      </c>
      <c r="BG29"/>
      <c r="BH29"/>
      <c r="BI29"/>
      <c r="BJ29"/>
      <c r="BK29"/>
      <c r="BL29"/>
      <c r="BM29"/>
    </row>
    <row r="30" spans="1:65" x14ac:dyDescent="0.25">
      <c r="A30" s="1">
        <v>-2.6580518484115601</v>
      </c>
      <c r="B30" s="1">
        <v>-8.7148150652183098E-5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s="1">
        <f t="shared" si="0"/>
        <v>0</v>
      </c>
      <c r="O30" s="3"/>
      <c r="P30" s="23"/>
      <c r="Q30" s="3">
        <v>0.1</v>
      </c>
      <c r="R30" s="3">
        <v>0.2</v>
      </c>
      <c r="S30" s="3">
        <v>0.5</v>
      </c>
      <c r="T30" s="3">
        <v>1</v>
      </c>
      <c r="U30" s="3">
        <v>2</v>
      </c>
      <c r="V30" s="3">
        <v>5</v>
      </c>
      <c r="W30" s="3">
        <v>10</v>
      </c>
      <c r="X30" s="3"/>
      <c r="Y30" s="3"/>
      <c r="Z30" s="3"/>
      <c r="AA30" s="3"/>
      <c r="AB30" s="3"/>
      <c r="AH30" s="1">
        <f>AH23</f>
        <v>0.1</v>
      </c>
      <c r="AI30" s="1">
        <v>0.2</v>
      </c>
      <c r="AJ30" s="1">
        <f>AA64</f>
        <v>9.3528400884858018E-2</v>
      </c>
      <c r="AK30" s="1">
        <f>AA71</f>
        <v>5.1768252185000569E-3</v>
      </c>
      <c r="AL30" s="1">
        <f t="shared" si="12"/>
        <v>-2.3025850929940455</v>
      </c>
      <c r="AM30" s="1">
        <f t="shared" si="2"/>
        <v>-1.6094379124341003</v>
      </c>
      <c r="AN30" s="1">
        <f t="shared" si="13"/>
        <v>0.91206908894633265</v>
      </c>
      <c r="AO30" s="1">
        <f t="shared" si="14"/>
        <v>-1.9820040778092578</v>
      </c>
      <c r="AP30" s="1">
        <f t="shared" si="3"/>
        <v>9.4645639021296676E-2</v>
      </c>
      <c r="AQ30" s="1">
        <f t="shared" si="4"/>
        <v>8.8534331917009858E-3</v>
      </c>
      <c r="AR30" s="1">
        <f t="shared" si="15"/>
        <v>5.5350301828352655E-2</v>
      </c>
      <c r="AS30" s="3">
        <f t="shared" si="16"/>
        <v>-2.8940731667555903</v>
      </c>
      <c r="AT30" s="3">
        <f t="shared" si="5"/>
        <v>9.3542959646654586E-2</v>
      </c>
      <c r="AU30" s="3"/>
      <c r="AV30" s="3">
        <f>R43</f>
        <v>0.123154104409175</v>
      </c>
      <c r="AW30" s="3">
        <f t="shared" si="6"/>
        <v>-2.5620536541941923</v>
      </c>
      <c r="AX30" s="3">
        <f t="shared" si="7"/>
        <v>0.28114273105856497</v>
      </c>
      <c r="AY30" s="3">
        <f t="shared" ref="AY30:AY36" si="20">AA78</f>
        <v>0.99845880503731399</v>
      </c>
      <c r="AZ30" s="1">
        <f t="shared" si="18"/>
        <v>-3.9466976271635974</v>
      </c>
      <c r="BA30" s="1">
        <f t="shared" si="19"/>
        <v>0.99777621408877248</v>
      </c>
      <c r="BE30"/>
      <c r="BF30"/>
      <c r="BG30"/>
      <c r="BH30"/>
      <c r="BI30"/>
      <c r="BJ30"/>
      <c r="BK30"/>
      <c r="BL30"/>
      <c r="BM30"/>
    </row>
    <row r="31" spans="1:65" ht="15.75" thickBot="1" x14ac:dyDescent="0.3">
      <c r="A31" s="1">
        <v>-1.5300196409225399</v>
      </c>
      <c r="B31" s="1">
        <v>-8.7148150652183098E-5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s="1">
        <f t="shared" si="0"/>
        <v>0</v>
      </c>
      <c r="O31" s="3"/>
      <c r="P31" s="23"/>
      <c r="Q31" s="3">
        <v>0.1</v>
      </c>
      <c r="R31" s="3">
        <v>0.2</v>
      </c>
      <c r="S31" s="3">
        <v>0.5</v>
      </c>
      <c r="T31" s="3">
        <v>1</v>
      </c>
      <c r="U31" s="3">
        <v>2</v>
      </c>
      <c r="V31" s="3">
        <v>5</v>
      </c>
      <c r="W31" s="3">
        <v>10</v>
      </c>
      <c r="X31" s="3"/>
      <c r="Y31" s="3"/>
      <c r="Z31" s="3"/>
      <c r="AA31" s="3"/>
      <c r="AB31" s="3"/>
      <c r="AH31" s="1">
        <f t="shared" ref="AH31:AH71" si="21">AH24</f>
        <v>0.2</v>
      </c>
      <c r="AI31" s="1">
        <v>0.2</v>
      </c>
      <c r="AJ31" s="1">
        <f t="shared" ref="AJ31:AJ36" si="22">AA65</f>
        <v>9.0894937191978345E-2</v>
      </c>
      <c r="AK31" s="1">
        <f t="shared" ref="AK31:AK36" si="23">AA72</f>
        <v>4.6264163188537745E-3</v>
      </c>
      <c r="AL31" s="1">
        <f t="shared" si="12"/>
        <v>-1.6094379124341003</v>
      </c>
      <c r="AM31" s="1">
        <f t="shared" si="2"/>
        <v>-1.6094379124341003</v>
      </c>
      <c r="AN31" s="1">
        <f t="shared" si="13"/>
        <v>0.88350824917044046</v>
      </c>
      <c r="AO31" s="1">
        <f t="shared" si="14"/>
        <v>-2.0944134988152698</v>
      </c>
      <c r="AP31" s="1">
        <f t="shared" si="3"/>
        <v>9.2674324721183046E-2</v>
      </c>
      <c r="AQ31" s="1">
        <f t="shared" si="4"/>
        <v>8.0397588950716567E-3</v>
      </c>
      <c r="AR31" s="1">
        <f t="shared" si="15"/>
        <v>5.0898503940680039E-2</v>
      </c>
      <c r="AS31" s="3">
        <f t="shared" si="16"/>
        <v>-2.9779217479857105</v>
      </c>
      <c r="AT31" s="3">
        <f t="shared" si="5"/>
        <v>8.6752818747369509E-2</v>
      </c>
      <c r="AU31" s="3"/>
      <c r="AV31" s="3">
        <f t="shared" ref="AV31:AV36" si="24">R44</f>
        <v>0.15366655029301801</v>
      </c>
      <c r="AW31" s="3">
        <f t="shared" si="6"/>
        <v>-2.3407051097250799</v>
      </c>
      <c r="AX31" s="3">
        <f t="shared" si="7"/>
        <v>0.30179699485887507</v>
      </c>
      <c r="AY31" s="3">
        <f t="shared" si="20"/>
        <v>0.99780272097970157</v>
      </c>
      <c r="AZ31" s="1">
        <f t="shared" si="18"/>
        <v>-3.591378593807697</v>
      </c>
      <c r="BA31" s="1">
        <f t="shared" si="19"/>
        <v>0.99740113575626854</v>
      </c>
      <c r="BE31" t="s">
        <v>497</v>
      </c>
      <c r="BF31"/>
      <c r="BG31"/>
      <c r="BH31"/>
      <c r="BI31"/>
      <c r="BJ31"/>
      <c r="BK31"/>
      <c r="BL31"/>
      <c r="BM31"/>
    </row>
    <row r="32" spans="1:65" x14ac:dyDescent="0.25">
      <c r="A32" s="1">
        <v>-0.49517393112182601</v>
      </c>
      <c r="B32" s="1">
        <v>-8.7148150652183098E-5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s="1">
        <f t="shared" si="0"/>
        <v>0</v>
      </c>
      <c r="P32" s="23"/>
      <c r="Q32" s="1">
        <v>0.1</v>
      </c>
      <c r="R32" s="1">
        <v>0.2</v>
      </c>
      <c r="S32" s="1">
        <v>0.5</v>
      </c>
      <c r="T32" s="1">
        <v>1</v>
      </c>
      <c r="U32" s="1">
        <v>2</v>
      </c>
      <c r="V32" s="1">
        <v>5</v>
      </c>
      <c r="W32" s="1">
        <v>10</v>
      </c>
      <c r="AH32" s="1">
        <f t="shared" si="21"/>
        <v>0.5</v>
      </c>
      <c r="AI32" s="1">
        <v>0.2</v>
      </c>
      <c r="AJ32" s="1">
        <f t="shared" si="22"/>
        <v>8.8646669389735575E-2</v>
      </c>
      <c r="AK32" s="1">
        <f t="shared" si="23"/>
        <v>4.0880147681541046E-3</v>
      </c>
      <c r="AL32" s="1">
        <f t="shared" si="12"/>
        <v>-0.69314718055994529</v>
      </c>
      <c r="AM32" s="1">
        <f t="shared" si="2"/>
        <v>-1.6094379124341003</v>
      </c>
      <c r="AN32" s="1">
        <f t="shared" si="13"/>
        <v>0.85846240747467872</v>
      </c>
      <c r="AO32" s="1">
        <f t="shared" si="14"/>
        <v>-2.2181365885469666</v>
      </c>
      <c r="AP32" s="1">
        <f t="shared" si="3"/>
        <v>9.0131261722094402E-2</v>
      </c>
      <c r="AQ32" s="1">
        <f t="shared" si="4"/>
        <v>7.0777566713933595E-3</v>
      </c>
      <c r="AR32" s="1">
        <f t="shared" si="15"/>
        <v>4.6115830366746491E-2</v>
      </c>
      <c r="AS32" s="3">
        <f t="shared" si="16"/>
        <v>-3.0765989960216453</v>
      </c>
      <c r="AT32" s="3">
        <f t="shared" si="5"/>
        <v>7.8527211715026413E-2</v>
      </c>
      <c r="AU32" s="3"/>
      <c r="AV32" s="3">
        <f t="shared" si="24"/>
        <v>0.19292973271122399</v>
      </c>
      <c r="AW32" s="3">
        <f t="shared" si="6"/>
        <v>-2.1131640633455842</v>
      </c>
      <c r="AX32" s="3">
        <f t="shared" si="7"/>
        <v>0.33144731213020562</v>
      </c>
      <c r="AY32" s="3">
        <f t="shared" si="20"/>
        <v>0.99687967838431313</v>
      </c>
      <c r="AZ32" s="1">
        <f t="shared" si="18"/>
        <v>-3.2397367978875113</v>
      </c>
      <c r="BA32" s="1">
        <f t="shared" si="19"/>
        <v>0.99680682496387063</v>
      </c>
      <c r="BE32" s="9"/>
      <c r="BF32" s="9" t="s">
        <v>9</v>
      </c>
      <c r="BG32" s="9" t="s">
        <v>502</v>
      </c>
      <c r="BH32" s="9" t="s">
        <v>503</v>
      </c>
      <c r="BI32" s="9" t="s">
        <v>504</v>
      </c>
      <c r="BJ32" s="9" t="s">
        <v>505</v>
      </c>
      <c r="BK32"/>
      <c r="BL32"/>
      <c r="BM32"/>
    </row>
    <row r="33" spans="1:66" x14ac:dyDescent="0.25">
      <c r="A33" s="1">
        <v>0.49376130104064903</v>
      </c>
      <c r="B33">
        <v>0.35109759514872901</v>
      </c>
      <c r="C33">
        <v>2.1797231287820198E-2</v>
      </c>
      <c r="D33">
        <v>2.70207788079273E-2</v>
      </c>
      <c r="E33" s="1">
        <v>-6.5696172787028503E-5</v>
      </c>
      <c r="F33" s="1">
        <v>1.1823308940048901E-5</v>
      </c>
      <c r="G33">
        <v>0.12586004761553601</v>
      </c>
      <c r="H33">
        <v>0.99951045944994898</v>
      </c>
      <c r="I33" s="1">
        <v>1.1575953043579901E-6</v>
      </c>
      <c r="J33" s="1">
        <f t="shared" si="0"/>
        <v>-0.12586004761553601</v>
      </c>
      <c r="O33" s="3"/>
      <c r="P33" s="23"/>
      <c r="Q33" s="3">
        <v>0.1</v>
      </c>
      <c r="R33" s="3">
        <v>0.2</v>
      </c>
      <c r="S33" s="3">
        <v>0.5</v>
      </c>
      <c r="T33" s="3">
        <v>1</v>
      </c>
      <c r="U33" s="3">
        <v>2</v>
      </c>
      <c r="V33" s="3">
        <v>5</v>
      </c>
      <c r="W33" s="3">
        <v>10</v>
      </c>
      <c r="X33" s="3"/>
      <c r="Y33" s="3"/>
      <c r="Z33" s="3"/>
      <c r="AA33" s="3"/>
      <c r="AB33" s="3"/>
      <c r="AH33" s="1">
        <f t="shared" si="21"/>
        <v>1</v>
      </c>
      <c r="AI33" s="1">
        <v>0.2</v>
      </c>
      <c r="AJ33" s="1">
        <f t="shared" si="22"/>
        <v>8.8287862936215225E-2</v>
      </c>
      <c r="AK33" s="1">
        <f t="shared" si="23"/>
        <v>3.8531518279720676E-3</v>
      </c>
      <c r="AL33" s="1">
        <f t="shared" si="12"/>
        <v>0</v>
      </c>
      <c r="AM33" s="1">
        <f t="shared" si="2"/>
        <v>-1.6094379124341003</v>
      </c>
      <c r="AN33" s="1">
        <f t="shared" si="13"/>
        <v>0.85440659156744381</v>
      </c>
      <c r="AO33" s="1">
        <f t="shared" si="14"/>
        <v>-2.277304584004741</v>
      </c>
      <c r="AP33" s="1">
        <f t="shared" si="3"/>
        <v>8.8253974538476082E-2</v>
      </c>
      <c r="AQ33" s="1">
        <f t="shared" si="4"/>
        <v>6.427275828921099E-3</v>
      </c>
      <c r="AR33" s="1">
        <f t="shared" si="15"/>
        <v>4.3643052395048114E-2</v>
      </c>
      <c r="AS33" s="3">
        <f t="shared" si="16"/>
        <v>-3.1317111755721849</v>
      </c>
      <c r="AT33" s="3">
        <f t="shared" si="5"/>
        <v>7.2827041076988577E-2</v>
      </c>
      <c r="AU33" s="3"/>
      <c r="AV33" s="3">
        <f t="shared" si="24"/>
        <v>0.221074233283725</v>
      </c>
      <c r="AW33" s="3">
        <f t="shared" si="6"/>
        <v>-1.9769915644127454</v>
      </c>
      <c r="AX33" s="3">
        <f t="shared" si="7"/>
        <v>0.35579722220920723</v>
      </c>
      <c r="AY33" s="3">
        <f t="shared" si="20"/>
        <v>0.99620515375515817</v>
      </c>
      <c r="AZ33" s="1">
        <f t="shared" si="18"/>
        <v>-3.0433521165412678</v>
      </c>
      <c r="BA33" s="1">
        <f t="shared" si="19"/>
        <v>0.99626885451197156</v>
      </c>
      <c r="BE33" s="7" t="s">
        <v>498</v>
      </c>
      <c r="BF33" s="7">
        <v>2</v>
      </c>
      <c r="BG33" s="7">
        <v>103.19748132446313</v>
      </c>
      <c r="BH33" s="7">
        <v>51.598740662231563</v>
      </c>
      <c r="BI33" s="7">
        <v>119.2225120973952</v>
      </c>
      <c r="BJ33" s="7">
        <v>6.3309412689229397E-19</v>
      </c>
      <c r="BK33"/>
      <c r="BL33"/>
      <c r="BM33"/>
    </row>
    <row r="34" spans="1:66" x14ac:dyDescent="0.25">
      <c r="A34" s="1">
        <v>1.5257111191749499</v>
      </c>
      <c r="B34">
        <v>1.0845552499389799</v>
      </c>
      <c r="C34">
        <v>0.20780176785839699</v>
      </c>
      <c r="D34">
        <v>0.25971340572155799</v>
      </c>
      <c r="E34">
        <v>-1.52901017672234E-3</v>
      </c>
      <c r="F34">
        <v>1.1088525037988601E-4</v>
      </c>
      <c r="G34">
        <v>0.12508956446585201</v>
      </c>
      <c r="H34">
        <v>0.99529757953961195</v>
      </c>
      <c r="I34" s="1">
        <v>2.5171585950342398E-5</v>
      </c>
      <c r="J34" s="1">
        <f t="shared" si="0"/>
        <v>-0.12508956446585201</v>
      </c>
      <c r="P34" s="23"/>
      <c r="Q34" s="1">
        <v>0.1</v>
      </c>
      <c r="R34" s="1">
        <v>0.2</v>
      </c>
      <c r="S34" s="1">
        <v>0.5</v>
      </c>
      <c r="T34" s="1">
        <v>1</v>
      </c>
      <c r="U34" s="1">
        <v>2</v>
      </c>
      <c r="V34" s="1">
        <v>5</v>
      </c>
      <c r="W34" s="1">
        <v>10</v>
      </c>
      <c r="AH34" s="1">
        <f t="shared" si="21"/>
        <v>2</v>
      </c>
      <c r="AI34" s="1">
        <v>0.2</v>
      </c>
      <c r="AJ34" s="1">
        <f t="shared" si="22"/>
        <v>8.6723521470660869E-2</v>
      </c>
      <c r="AK34" s="1">
        <f t="shared" si="23"/>
        <v>3.6460561685623199E-3</v>
      </c>
      <c r="AL34" s="1">
        <f t="shared" si="12"/>
        <v>0.69314718055994529</v>
      </c>
      <c r="AM34" s="1">
        <f t="shared" si="2"/>
        <v>-1.6094379124341003</v>
      </c>
      <c r="AN34" s="1">
        <f t="shared" si="13"/>
        <v>0.83652909022750799</v>
      </c>
      <c r="AO34" s="1">
        <f t="shared" si="14"/>
        <v>-2.3325499723362126</v>
      </c>
      <c r="AP34" s="1">
        <f t="shared" si="3"/>
        <v>8.6415788185162851E-2</v>
      </c>
      <c r="AQ34" s="1">
        <f t="shared" si="4"/>
        <v>5.8365773929468737E-3</v>
      </c>
      <c r="AR34" s="1">
        <f t="shared" si="15"/>
        <v>4.204229840684922E-2</v>
      </c>
      <c r="AS34" s="3">
        <f t="shared" si="16"/>
        <v>-3.1690790625637204</v>
      </c>
      <c r="AT34" s="3">
        <f t="shared" si="5"/>
        <v>6.754063713960301E-2</v>
      </c>
      <c r="AU34" s="3"/>
      <c r="AV34" s="3">
        <f t="shared" si="24"/>
        <v>0.242996490540454</v>
      </c>
      <c r="AW34" s="3">
        <f t="shared" si="6"/>
        <v>-1.88244310572518</v>
      </c>
      <c r="AX34" s="3">
        <f t="shared" si="7"/>
        <v>0.38193600822461271</v>
      </c>
      <c r="AY34" s="3">
        <f t="shared" si="20"/>
        <v>0.99556022085467566</v>
      </c>
      <c r="AZ34" s="1">
        <f t="shared" si="18"/>
        <v>-2.8857437789201672</v>
      </c>
      <c r="BA34" s="1">
        <f t="shared" si="19"/>
        <v>0.99564064581382428</v>
      </c>
      <c r="BE34" s="7" t="s">
        <v>499</v>
      </c>
      <c r="BF34" s="7">
        <v>47</v>
      </c>
      <c r="BG34" s="7">
        <v>20.341299377618707</v>
      </c>
      <c r="BH34" s="7">
        <v>0.43279360377912141</v>
      </c>
      <c r="BI34" s="7"/>
      <c r="BJ34" s="7"/>
      <c r="BK34"/>
      <c r="BL34"/>
      <c r="BM34"/>
    </row>
    <row r="35" spans="1:66" ht="15.75" thickBot="1" x14ac:dyDescent="0.3">
      <c r="A35" s="1">
        <v>2.6505178213119498</v>
      </c>
      <c r="B35">
        <v>1.8801790220763099</v>
      </c>
      <c r="C35">
        <v>0.62092678392480505</v>
      </c>
      <c r="D35">
        <v>0.78069961802271703</v>
      </c>
      <c r="E35">
        <v>-8.8072474074275108E-3</v>
      </c>
      <c r="F35">
        <v>3.2406446666784802E-4</v>
      </c>
      <c r="G35">
        <v>0.122343963502533</v>
      </c>
      <c r="H35">
        <v>0.98557007049835799</v>
      </c>
      <c r="I35">
        <v>1.11902301365015E-4</v>
      </c>
      <c r="J35" s="1">
        <f t="shared" si="0"/>
        <v>-0.122343963502533</v>
      </c>
      <c r="O35" s="3"/>
      <c r="P35" s="23"/>
      <c r="Q35" s="3">
        <v>0.1</v>
      </c>
      <c r="R35" s="3">
        <v>0.2</v>
      </c>
      <c r="S35" s="3">
        <v>0.5</v>
      </c>
      <c r="T35" s="3">
        <v>1</v>
      </c>
      <c r="U35" s="3">
        <v>2</v>
      </c>
      <c r="V35" s="3">
        <v>5</v>
      </c>
      <c r="W35" s="3">
        <v>10</v>
      </c>
      <c r="X35" s="3"/>
      <c r="Y35" s="3"/>
      <c r="Z35" s="3"/>
      <c r="AA35" s="3"/>
      <c r="AB35" s="3"/>
      <c r="AH35" s="1">
        <f t="shared" si="21"/>
        <v>5</v>
      </c>
      <c r="AI35" s="1">
        <v>0.2</v>
      </c>
      <c r="AJ35" s="1">
        <f t="shared" si="22"/>
        <v>8.3067920910471771E-2</v>
      </c>
      <c r="AK35" s="1">
        <f t="shared" si="23"/>
        <v>3.3930064427578734E-3</v>
      </c>
      <c r="AL35" s="1">
        <f t="shared" si="12"/>
        <v>1.6094379124341003</v>
      </c>
      <c r="AM35" s="1">
        <f t="shared" si="2"/>
        <v>-1.6094379124341003</v>
      </c>
      <c r="AN35" s="1">
        <f t="shared" si="13"/>
        <v>0.79346254337043221</v>
      </c>
      <c r="AO35" s="1">
        <f t="shared" si="14"/>
        <v>-2.4044796693655539</v>
      </c>
      <c r="AP35" s="1">
        <f t="shared" si="3"/>
        <v>8.4044464799403779E-2</v>
      </c>
      <c r="AQ35" s="1">
        <f t="shared" si="4"/>
        <v>5.1381981873058653E-3</v>
      </c>
      <c r="AR35" s="1">
        <f t="shared" si="15"/>
        <v>4.0846170285335041E-2</v>
      </c>
      <c r="AS35" s="3">
        <f t="shared" si="16"/>
        <v>-3.1979422127359864</v>
      </c>
      <c r="AT35" s="3">
        <f t="shared" si="5"/>
        <v>6.1136663783506177E-2</v>
      </c>
      <c r="AU35" s="3"/>
      <c r="AV35" s="3">
        <f t="shared" si="24"/>
        <v>0.26405279042579699</v>
      </c>
      <c r="AW35" s="3">
        <f t="shared" si="6"/>
        <v>-1.7993410598507715</v>
      </c>
      <c r="AX35" s="3">
        <f t="shared" si="7"/>
        <v>0.41945965496105819</v>
      </c>
      <c r="AY35" s="3">
        <f t="shared" si="20"/>
        <v>0.99471143571665555</v>
      </c>
      <c r="AZ35" s="1">
        <f t="shared" si="18"/>
        <v>-2.7099486710563769</v>
      </c>
      <c r="BA35" s="1">
        <f t="shared" si="19"/>
        <v>0.99464590560050969</v>
      </c>
      <c r="BE35" s="8" t="s">
        <v>500</v>
      </c>
      <c r="BF35" s="8">
        <v>49</v>
      </c>
      <c r="BG35" s="8">
        <v>123.53878070208184</v>
      </c>
      <c r="BH35" s="8"/>
      <c r="BI35" s="8"/>
      <c r="BJ35" s="8"/>
      <c r="BK35"/>
      <c r="BL35"/>
      <c r="BM35"/>
    </row>
    <row r="36" spans="1:66" ht="15.75" thickBot="1" x14ac:dyDescent="0.3">
      <c r="A36" s="1">
        <v>3.8765159249305698</v>
      </c>
      <c r="B36">
        <v>2.7351811389771798</v>
      </c>
      <c r="C36">
        <v>1.29194093535137</v>
      </c>
      <c r="D36">
        <v>1.6273050959247799</v>
      </c>
      <c r="E36">
        <v>-2.7581576218951898E-2</v>
      </c>
      <c r="F36">
        <v>6.50839247321654E-4</v>
      </c>
      <c r="G36">
        <v>0.116620962189249</v>
      </c>
      <c r="H36">
        <v>0.96826218373701201</v>
      </c>
      <c r="I36">
        <v>2.5342295599709502E-4</v>
      </c>
      <c r="J36" s="1">
        <f t="shared" si="0"/>
        <v>-0.116620962189249</v>
      </c>
      <c r="O36" s="3"/>
      <c r="P36" s="23" t="s">
        <v>477</v>
      </c>
      <c r="Q36" s="3">
        <v>31.6227766016837</v>
      </c>
      <c r="R36" s="3">
        <v>15.8113883008418</v>
      </c>
      <c r="S36" s="3">
        <v>6.3245553203367502</v>
      </c>
      <c r="T36" s="3">
        <v>3.1622776601683702</v>
      </c>
      <c r="U36" s="3">
        <v>1.58113883008418</v>
      </c>
      <c r="V36" s="3">
        <v>0.63245553203367499</v>
      </c>
      <c r="W36" s="3">
        <v>0.316227766016837</v>
      </c>
      <c r="X36" s="3"/>
      <c r="Y36" s="3"/>
      <c r="Z36" s="3"/>
      <c r="AA36" s="3"/>
      <c r="AB36" s="3"/>
      <c r="AH36" s="1">
        <f t="shared" si="21"/>
        <v>10</v>
      </c>
      <c r="AI36" s="1">
        <v>0.2</v>
      </c>
      <c r="AJ36" s="1">
        <f t="shared" si="22"/>
        <v>7.7764216123755503E-2</v>
      </c>
      <c r="AK36" s="1">
        <f t="shared" si="23"/>
        <v>3.1389604756033953E-3</v>
      </c>
      <c r="AL36" s="1">
        <f t="shared" si="12"/>
        <v>2.3025850929940459</v>
      </c>
      <c r="AM36" s="1">
        <f t="shared" si="2"/>
        <v>-1.6094379124341003</v>
      </c>
      <c r="AN36" s="1">
        <f t="shared" si="13"/>
        <v>0.72748532437684754</v>
      </c>
      <c r="AO36" s="1">
        <f t="shared" si="14"/>
        <v>-2.482304367620912</v>
      </c>
      <c r="AP36" s="1">
        <f t="shared" si="3"/>
        <v>8.2293955668526861E-2</v>
      </c>
      <c r="AQ36" s="1">
        <f t="shared" si="4"/>
        <v>4.6659723619709879E-3</v>
      </c>
      <c r="AR36" s="1">
        <f t="shared" si="15"/>
        <v>4.036510148328367E-2</v>
      </c>
      <c r="AS36" s="3">
        <f t="shared" si="16"/>
        <v>-3.2097896919977593</v>
      </c>
      <c r="AT36" s="3">
        <f t="shared" si="5"/>
        <v>5.6698846519969641E-2</v>
      </c>
      <c r="AU36" s="3"/>
      <c r="AV36" s="3">
        <f t="shared" si="24"/>
        <v>0.27530983985577001</v>
      </c>
      <c r="AW36" s="3">
        <f t="shared" si="6"/>
        <v>-1.757592952929157</v>
      </c>
      <c r="AX36" s="3">
        <f t="shared" si="7"/>
        <v>0.45027542720077518</v>
      </c>
      <c r="AY36" s="3">
        <f t="shared" si="20"/>
        <v>0.99391497527860662</v>
      </c>
      <c r="AZ36" s="1">
        <f t="shared" si="18"/>
        <v>-2.568863673274981</v>
      </c>
      <c r="BA36" s="1">
        <f t="shared" si="19"/>
        <v>0.99374615813807965</v>
      </c>
      <c r="BE36"/>
      <c r="BF36"/>
      <c r="BG36"/>
      <c r="BH36"/>
      <c r="BI36"/>
      <c r="BJ36"/>
      <c r="BK36"/>
      <c r="BL36"/>
      <c r="BM36"/>
    </row>
    <row r="37" spans="1:66" x14ac:dyDescent="0.25">
      <c r="A37" s="1">
        <v>5.2129346132278398</v>
      </c>
      <c r="B37">
        <v>3.6394071438217099</v>
      </c>
      <c r="C37">
        <v>2.2102571717922199</v>
      </c>
      <c r="D37">
        <v>2.7697026959188502</v>
      </c>
      <c r="E37">
        <v>-6.3598497820923999E-2</v>
      </c>
      <c r="F37">
        <v>1.05034068389335E-3</v>
      </c>
      <c r="G37">
        <v>0.10823462569576101</v>
      </c>
      <c r="H37">
        <v>0.94083409056178402</v>
      </c>
      <c r="I37">
        <v>4.6139940877118599E-4</v>
      </c>
      <c r="J37" s="1">
        <f t="shared" si="0"/>
        <v>-0.10823462569576101</v>
      </c>
      <c r="O37" s="3"/>
      <c r="P37" s="23"/>
      <c r="Q37" s="3">
        <v>22.360679774997799</v>
      </c>
      <c r="R37" s="3">
        <v>11.180339887498899</v>
      </c>
      <c r="S37" s="3">
        <v>4.4721359549995698</v>
      </c>
      <c r="T37" s="3">
        <v>2.23606797749978</v>
      </c>
      <c r="U37" s="3">
        <v>1.11803398874989</v>
      </c>
      <c r="V37" s="3">
        <v>0.44721359549995698</v>
      </c>
      <c r="W37" s="3">
        <v>0.22360679774997799</v>
      </c>
      <c r="X37" s="3"/>
      <c r="Y37" s="3"/>
      <c r="Z37" s="3"/>
      <c r="AA37" s="3"/>
      <c r="AB37" s="3"/>
      <c r="AH37" s="1">
        <f t="shared" si="21"/>
        <v>0.1</v>
      </c>
      <c r="AI37" s="1">
        <v>0.5</v>
      </c>
      <c r="AJ37" s="1">
        <f>AB64</f>
        <v>6.7332064752641349E-2</v>
      </c>
      <c r="AK37" s="1">
        <f>AB71</f>
        <v>2.3096459687578719E-2</v>
      </c>
      <c r="AL37" s="1">
        <f t="shared" si="12"/>
        <v>-2.3025850929940455</v>
      </c>
      <c r="AM37" s="1">
        <f t="shared" si="2"/>
        <v>-0.69314718055994529</v>
      </c>
      <c r="AN37" s="1">
        <f t="shared" si="13"/>
        <v>0.58344051424430421</v>
      </c>
      <c r="AO37" s="1">
        <f t="shared" si="14"/>
        <v>-0.48651670849978951</v>
      </c>
      <c r="AP37" s="1">
        <f t="shared" si="3"/>
        <v>5.8202288266019364E-2</v>
      </c>
      <c r="AQ37" s="1">
        <f t="shared" si="4"/>
        <v>2.4192158655382042E-2</v>
      </c>
      <c r="AR37" s="1">
        <f t="shared" si="15"/>
        <v>0.34302319069567333</v>
      </c>
      <c r="AS37" s="3">
        <f t="shared" si="16"/>
        <v>-1.0699572227440937</v>
      </c>
      <c r="AT37" s="3">
        <f t="shared" si="5"/>
        <v>0.41565648664549704</v>
      </c>
      <c r="AU37" s="3"/>
      <c r="AV37" s="3">
        <f>S43</f>
        <v>0.48822371108862</v>
      </c>
      <c r="AW37" s="3">
        <f t="shared" si="6"/>
        <v>-1.184716381570357</v>
      </c>
      <c r="AX37" s="3">
        <f t="shared" si="7"/>
        <v>0.66082594741983969</v>
      </c>
      <c r="AY37" s="3">
        <f t="shared" ref="AY37:AY43" si="25">AB78</f>
        <v>0.99045915992864875</v>
      </c>
      <c r="AZ37" s="1">
        <f t="shared" si="18"/>
        <v>-2.1156298914733336</v>
      </c>
      <c r="BA37" s="1">
        <f t="shared" si="19"/>
        <v>0.98743247426815539</v>
      </c>
      <c r="BE37" s="9"/>
      <c r="BF37" s="9" t="s">
        <v>506</v>
      </c>
      <c r="BG37" s="9" t="s">
        <v>495</v>
      </c>
      <c r="BH37" s="9" t="s">
        <v>507</v>
      </c>
      <c r="BI37" s="9" t="s">
        <v>508</v>
      </c>
      <c r="BJ37" s="9" t="s">
        <v>509</v>
      </c>
      <c r="BK37" s="9" t="s">
        <v>510</v>
      </c>
      <c r="BL37" s="9" t="s">
        <v>511</v>
      </c>
      <c r="BM37" s="9" t="s">
        <v>512</v>
      </c>
    </row>
    <row r="38" spans="1:66" x14ac:dyDescent="0.25">
      <c r="A38" s="1">
        <v>6.6695916652679399</v>
      </c>
      <c r="B38">
        <v>4.5737636985124599</v>
      </c>
      <c r="C38">
        <v>3.3000132238850801</v>
      </c>
      <c r="D38">
        <v>4.0799185409308603</v>
      </c>
      <c r="E38">
        <v>-0.120028303320122</v>
      </c>
      <c r="F38">
        <v>1.43368062314369E-3</v>
      </c>
      <c r="G38">
        <v>9.9447387815437396E-2</v>
      </c>
      <c r="H38">
        <v>0.90224460074763302</v>
      </c>
      <c r="I38">
        <v>1.07099380123848E-3</v>
      </c>
      <c r="J38" s="1">
        <f t="shared" si="0"/>
        <v>-9.9447387815437396E-2</v>
      </c>
      <c r="P38" s="23"/>
      <c r="Q38" s="1">
        <v>14.142135623730899</v>
      </c>
      <c r="R38" s="1">
        <v>7.0710678118654702</v>
      </c>
      <c r="S38" s="1">
        <v>2.8284271247461801</v>
      </c>
      <c r="T38" s="1">
        <v>1.41421356237309</v>
      </c>
      <c r="U38" s="1">
        <v>0.70710678118654702</v>
      </c>
      <c r="V38" s="1">
        <v>0.28284271247461901</v>
      </c>
      <c r="W38" s="1">
        <v>0.141421356237309</v>
      </c>
      <c r="AH38" s="1">
        <f t="shared" si="21"/>
        <v>0.2</v>
      </c>
      <c r="AI38" s="1">
        <v>0.5</v>
      </c>
      <c r="AJ38" s="1">
        <f t="shared" ref="AJ38:AJ43" si="26">AB65</f>
        <v>6.3405506756191637E-2</v>
      </c>
      <c r="AK38" s="1">
        <f t="shared" ref="AK38:AK43" si="27">AB72</f>
        <v>1.9903246102116925E-2</v>
      </c>
      <c r="AL38" s="1">
        <f t="shared" si="12"/>
        <v>-1.6094379124341003</v>
      </c>
      <c r="AM38" s="1">
        <f t="shared" si="2"/>
        <v>-0.69314718055994529</v>
      </c>
      <c r="AN38" s="1">
        <f t="shared" si="13"/>
        <v>0.5233546610204759</v>
      </c>
      <c r="AO38" s="1">
        <f t="shared" si="14"/>
        <v>-0.63531321486689962</v>
      </c>
      <c r="AP38" s="1">
        <f t="shared" si="3"/>
        <v>5.6990029525473253E-2</v>
      </c>
      <c r="AQ38" s="1">
        <f t="shared" si="4"/>
        <v>2.1968779628100857E-2</v>
      </c>
      <c r="AR38" s="1">
        <f t="shared" si="15"/>
        <v>0.31390406165586471</v>
      </c>
      <c r="AS38" s="3">
        <f t="shared" si="16"/>
        <v>-1.1586678758873754</v>
      </c>
      <c r="AT38" s="3">
        <f t="shared" si="5"/>
        <v>0.38548461566038156</v>
      </c>
      <c r="AU38" s="3"/>
      <c r="AV38" s="3">
        <f t="shared" ref="AV38:AV43" si="28">S44</f>
        <v>0.58999843214355696</v>
      </c>
      <c r="AW38" s="3">
        <f t="shared" si="6"/>
        <v>-0.99537022722865209</v>
      </c>
      <c r="AX38" s="3">
        <f t="shared" si="7"/>
        <v>0.70937379140182055</v>
      </c>
      <c r="AY38" s="3">
        <f t="shared" si="25"/>
        <v>0.9865465133356075</v>
      </c>
      <c r="AZ38" s="1">
        <f t="shared" si="18"/>
        <v>-1.7680149675382977</v>
      </c>
      <c r="BA38" s="1">
        <f t="shared" si="19"/>
        <v>0.98533838915099692</v>
      </c>
      <c r="BE38" s="7" t="s">
        <v>501</v>
      </c>
      <c r="BF38" s="7">
        <v>0</v>
      </c>
      <c r="BG38" s="7" t="e">
        <v>#N/A</v>
      </c>
      <c r="BH38" s="7" t="e">
        <v>#N/A</v>
      </c>
      <c r="BI38" s="7" t="e">
        <v>#N/A</v>
      </c>
      <c r="BJ38" s="7" t="e">
        <v>#N/A</v>
      </c>
      <c r="BK38" s="7" t="e">
        <v>#N/A</v>
      </c>
      <c r="BL38" s="7" t="e">
        <v>#N/A</v>
      </c>
      <c r="BM38" s="7" t="e">
        <v>#N/A</v>
      </c>
    </row>
    <row r="39" spans="1:66" x14ac:dyDescent="0.25">
      <c r="A39" s="1">
        <v>8.2573878765106201</v>
      </c>
      <c r="B39">
        <v>5.5114096727089503</v>
      </c>
      <c r="C39">
        <v>4.4239001795817003</v>
      </c>
      <c r="D39">
        <v>5.3546046594327503</v>
      </c>
      <c r="E39">
        <v>-0.19520284606854699</v>
      </c>
      <c r="F39">
        <v>1.6944758714129301E-3</v>
      </c>
      <c r="G39">
        <v>9.3745987267219194E-2</v>
      </c>
      <c r="H39">
        <v>0.856961322638915</v>
      </c>
      <c r="I39">
        <v>3.11344560312613E-3</v>
      </c>
      <c r="J39" s="1">
        <f t="shared" si="0"/>
        <v>-9.3745987267219194E-2</v>
      </c>
      <c r="P39" s="23"/>
      <c r="Q39" s="1">
        <v>10</v>
      </c>
      <c r="R39" s="1">
        <v>5</v>
      </c>
      <c r="S39" s="1">
        <v>2</v>
      </c>
      <c r="T39" s="1">
        <v>1</v>
      </c>
      <c r="U39" s="1">
        <v>0.5</v>
      </c>
      <c r="V39" s="1">
        <v>0.2</v>
      </c>
      <c r="W39" s="1">
        <v>0.1</v>
      </c>
      <c r="AH39" s="1">
        <f t="shared" si="21"/>
        <v>0.5</v>
      </c>
      <c r="AI39" s="1">
        <v>0.5</v>
      </c>
      <c r="AJ39" s="1">
        <f t="shared" si="26"/>
        <v>6.0417850324761185E-2</v>
      </c>
      <c r="AK39" s="1">
        <f t="shared" si="27"/>
        <v>1.7024640784075552E-2</v>
      </c>
      <c r="AL39" s="1">
        <f t="shared" si="12"/>
        <v>-0.69314718055994529</v>
      </c>
      <c r="AM39" s="1">
        <f t="shared" si="12"/>
        <v>-0.69314718055994529</v>
      </c>
      <c r="AN39" s="1">
        <f t="shared" si="13"/>
        <v>0.47508854245301269</v>
      </c>
      <c r="AO39" s="1">
        <f t="shared" si="14"/>
        <v>-0.79153430151110604</v>
      </c>
      <c r="AP39" s="1">
        <f t="shared" si="3"/>
        <v>5.5426174209135842E-2</v>
      </c>
      <c r="AQ39" s="1">
        <f t="shared" si="4"/>
        <v>1.9340091985902211E-2</v>
      </c>
      <c r="AR39" s="1">
        <f t="shared" si="15"/>
        <v>0.28178163725726441</v>
      </c>
      <c r="AS39" s="3">
        <f t="shared" si="16"/>
        <v>-1.2666228439641189</v>
      </c>
      <c r="AT39" s="3">
        <f t="shared" si="5"/>
        <v>0.34893427630288082</v>
      </c>
      <c r="AU39" s="3"/>
      <c r="AV39" s="3">
        <f t="shared" si="28"/>
        <v>0.70073882378421204</v>
      </c>
      <c r="AW39" s="3">
        <f t="shared" si="6"/>
        <v>-0.82335486575778272</v>
      </c>
      <c r="AX39" s="3">
        <f t="shared" si="7"/>
        <v>0.77906685772564543</v>
      </c>
      <c r="AY39" s="3">
        <f t="shared" si="25"/>
        <v>0.98183906442442004</v>
      </c>
      <c r="AZ39" s="1">
        <f t="shared" si="18"/>
        <v>-1.4631973164186869</v>
      </c>
      <c r="BA39" s="1">
        <f t="shared" si="19"/>
        <v>0.98203524305845524</v>
      </c>
      <c r="BE39" s="7" t="s">
        <v>513</v>
      </c>
      <c r="BF39" s="7">
        <v>0.10227569381144186</v>
      </c>
      <c r="BG39" s="7">
        <v>6.0763831474154241E-2</v>
      </c>
      <c r="BH39" s="7">
        <v>1.6831672942636047</v>
      </c>
      <c r="BI39" s="7">
        <v>9.8974861960130667E-2</v>
      </c>
      <c r="BJ39" s="7">
        <v>-1.9965367734562173E-2</v>
      </c>
      <c r="BK39" s="7">
        <v>0.22451675535744589</v>
      </c>
      <c r="BL39" s="7">
        <v>-1.9965367734562173E-2</v>
      </c>
      <c r="BM39" s="7">
        <v>0.22451675535744589</v>
      </c>
      <c r="BN39" s="1">
        <f>2*BG39</f>
        <v>0.12152766294830848</v>
      </c>
    </row>
    <row r="40" spans="1:66" ht="15.75" thickBot="1" x14ac:dyDescent="0.3">
      <c r="A40" s="1">
        <v>9.9880245327949506</v>
      </c>
      <c r="B40">
        <v>6.42252924981132</v>
      </c>
      <c r="C40">
        <v>5.42644985228549</v>
      </c>
      <c r="D40">
        <v>6.3936627598507902</v>
      </c>
      <c r="E40">
        <v>-0.28257373285106402</v>
      </c>
      <c r="F40">
        <v>1.7502945913598199E-3</v>
      </c>
      <c r="G40">
        <v>9.3272814090390496E-2</v>
      </c>
      <c r="H40">
        <v>0.81453417941802597</v>
      </c>
      <c r="I40">
        <v>7.0240209234207198E-3</v>
      </c>
      <c r="J40" s="1">
        <f t="shared" si="0"/>
        <v>-9.3272814090390496E-2</v>
      </c>
      <c r="P40" s="23"/>
      <c r="Q40" s="1">
        <v>7.0710678118654702</v>
      </c>
      <c r="R40" s="1">
        <v>3.5355339059327302</v>
      </c>
      <c r="S40" s="1">
        <v>1.41421356237309</v>
      </c>
      <c r="T40" s="1">
        <v>0.70710678118654702</v>
      </c>
      <c r="U40" s="1">
        <v>0.35355339059327301</v>
      </c>
      <c r="V40" s="1">
        <v>0.141421356237309</v>
      </c>
      <c r="W40" s="1">
        <v>7.0710678118654696E-2</v>
      </c>
      <c r="AH40" s="1">
        <f t="shared" si="21"/>
        <v>1</v>
      </c>
      <c r="AI40" s="1">
        <v>0.5</v>
      </c>
      <c r="AJ40" s="1">
        <f t="shared" si="26"/>
        <v>5.9287918553872651E-2</v>
      </c>
      <c r="AK40" s="1">
        <f t="shared" si="27"/>
        <v>1.5766246820047576E-2</v>
      </c>
      <c r="AL40" s="1">
        <f t="shared" si="12"/>
        <v>0</v>
      </c>
      <c r="AM40" s="1">
        <f t="shared" si="12"/>
        <v>-0.69314718055994529</v>
      </c>
      <c r="AN40" s="1">
        <f t="shared" si="13"/>
        <v>0.45620949690697438</v>
      </c>
      <c r="AO40" s="1">
        <f t="shared" si="14"/>
        <v>-0.86832467627840237</v>
      </c>
      <c r="AP40" s="1">
        <f t="shared" si="3"/>
        <v>5.4271737396738483E-2</v>
      </c>
      <c r="AQ40" s="1">
        <f t="shared" si="4"/>
        <v>1.7562641882350676E-2</v>
      </c>
      <c r="AR40" s="1">
        <f t="shared" si="15"/>
        <v>0.26592680607806113</v>
      </c>
      <c r="AS40" s="3">
        <f t="shared" si="16"/>
        <v>-1.3245341731853768</v>
      </c>
      <c r="AT40" s="3">
        <f t="shared" si="5"/>
        <v>0.32360566889472975</v>
      </c>
      <c r="AU40" s="3"/>
      <c r="AV40" s="3">
        <f t="shared" si="28"/>
        <v>0.76868598082390405</v>
      </c>
      <c r="AW40" s="3">
        <f t="shared" si="6"/>
        <v>-0.73080756806511227</v>
      </c>
      <c r="AX40" s="3">
        <f t="shared" si="7"/>
        <v>0.83630131773447358</v>
      </c>
      <c r="AY40" s="3">
        <f t="shared" si="25"/>
        <v>0.97876425856258342</v>
      </c>
      <c r="AZ40" s="1">
        <f t="shared" si="18"/>
        <v>-1.3036479336946207</v>
      </c>
      <c r="BA40" s="1">
        <f t="shared" si="19"/>
        <v>0.97906090588580352</v>
      </c>
      <c r="BE40" s="8" t="s">
        <v>514</v>
      </c>
      <c r="BF40" s="8">
        <v>0.93270397516528414</v>
      </c>
      <c r="BG40" s="8">
        <v>6.0763831474154269E-2</v>
      </c>
      <c r="BH40" s="8">
        <v>15.34965706634229</v>
      </c>
      <c r="BI40" s="8">
        <v>6.2036637394537567E-20</v>
      </c>
      <c r="BJ40" s="8">
        <v>0.81046291361928002</v>
      </c>
      <c r="BK40" s="8">
        <v>1.0549450367112883</v>
      </c>
      <c r="BL40" s="8">
        <v>0.81046291361928002</v>
      </c>
      <c r="BM40" s="8">
        <v>1.0549450367112883</v>
      </c>
      <c r="BN40" s="1">
        <f>2*BG40</f>
        <v>0.12152766294830854</v>
      </c>
    </row>
    <row r="41" spans="1:66" x14ac:dyDescent="0.25">
      <c r="A41" s="1">
        <v>11.874474287032999</v>
      </c>
      <c r="B41">
        <v>7.2811993802765</v>
      </c>
      <c r="C41">
        <v>6.1918507990086198</v>
      </c>
      <c r="D41">
        <v>7.0784845052125398</v>
      </c>
      <c r="E41">
        <v>-0.37345078021967099</v>
      </c>
      <c r="F41">
        <v>1.5920268989826499E-3</v>
      </c>
      <c r="G41">
        <v>9.6887188451936598E-2</v>
      </c>
      <c r="H41">
        <v>0.780626571244598</v>
      </c>
      <c r="I41">
        <v>1.03020089684955E-2</v>
      </c>
      <c r="J41" s="1">
        <f t="shared" si="0"/>
        <v>-9.6887188451936598E-2</v>
      </c>
      <c r="P41" s="23"/>
      <c r="Q41" s="1">
        <v>4.4721359549995698</v>
      </c>
      <c r="R41" s="1">
        <v>2.23606797749978</v>
      </c>
      <c r="S41" s="1">
        <v>0.89442719099991497</v>
      </c>
      <c r="T41" s="1">
        <v>0.44721359549995698</v>
      </c>
      <c r="U41" s="1">
        <v>0.22360679774997799</v>
      </c>
      <c r="V41" s="1">
        <v>8.9442719099991505E-2</v>
      </c>
      <c r="W41" s="1">
        <v>4.4721359549995697E-2</v>
      </c>
      <c r="AH41" s="1">
        <f t="shared" si="21"/>
        <v>2</v>
      </c>
      <c r="AI41" s="1">
        <v>0.5</v>
      </c>
      <c r="AJ41" s="1">
        <f t="shared" si="26"/>
        <v>5.8891296558064868E-2</v>
      </c>
      <c r="AK41" s="1">
        <f t="shared" si="27"/>
        <v>1.5071879040346089E-2</v>
      </c>
      <c r="AL41" s="1">
        <f t="shared" si="12"/>
        <v>0.69314718055994529</v>
      </c>
      <c r="AM41" s="1">
        <f t="shared" si="12"/>
        <v>-0.69314718055994529</v>
      </c>
      <c r="AN41" s="1">
        <f t="shared" si="13"/>
        <v>0.44949725931844958</v>
      </c>
      <c r="AO41" s="1">
        <f t="shared" si="14"/>
        <v>-0.91336536165694471</v>
      </c>
      <c r="AP41" s="1">
        <f t="shared" si="3"/>
        <v>5.3141345620334228E-2</v>
      </c>
      <c r="AQ41" s="1">
        <f t="shared" si="4"/>
        <v>1.5948548234027915E-2</v>
      </c>
      <c r="AR41" s="1">
        <f t="shared" si="15"/>
        <v>0.25592710504319965</v>
      </c>
      <c r="AS41" s="3">
        <f t="shared" si="16"/>
        <v>-1.3628626209753942</v>
      </c>
      <c r="AT41" s="3">
        <f t="shared" si="5"/>
        <v>0.30011562650241391</v>
      </c>
      <c r="AU41" s="3"/>
      <c r="AV41" s="3">
        <f t="shared" si="28"/>
        <v>0.82417397254328195</v>
      </c>
      <c r="AW41" s="3">
        <f t="shared" si="6"/>
        <v>-0.66110846738949536</v>
      </c>
      <c r="AX41" s="3">
        <f t="shared" si="7"/>
        <v>0.89774053036500245</v>
      </c>
      <c r="AY41" s="3">
        <f t="shared" si="25"/>
        <v>0.97629157982719628</v>
      </c>
      <c r="AZ41" s="1">
        <f t="shared" si="18"/>
        <v>-1.1909738223577162</v>
      </c>
      <c r="BA41" s="1">
        <f t="shared" si="19"/>
        <v>0.97560635453246436</v>
      </c>
      <c r="BE41"/>
      <c r="BF41"/>
      <c r="BG41"/>
      <c r="BH41"/>
      <c r="BI41"/>
      <c r="BJ41"/>
      <c r="BK41"/>
      <c r="BL41"/>
      <c r="BM41"/>
    </row>
    <row r="42" spans="1:66" x14ac:dyDescent="0.25">
      <c r="A42" s="1">
        <v>13.9306750893592</v>
      </c>
      <c r="B42">
        <v>8.0705231984013306</v>
      </c>
      <c r="C42">
        <v>6.6738098029569803</v>
      </c>
      <c r="D42">
        <v>7.3929913519579697</v>
      </c>
      <c r="E42">
        <v>-0.46030107348030103</v>
      </c>
      <c r="F42">
        <v>1.2952256190635E-3</v>
      </c>
      <c r="G42">
        <v>0.101401647055924</v>
      </c>
      <c r="H42">
        <v>0.75360917304646102</v>
      </c>
      <c r="I42">
        <v>1.00233125122301E-2</v>
      </c>
      <c r="J42" s="1">
        <f t="shared" si="0"/>
        <v>-0.101401647055924</v>
      </c>
      <c r="O42" s="3"/>
      <c r="P42" s="23"/>
      <c r="Q42" s="3">
        <v>3.1622776601683702</v>
      </c>
      <c r="R42" s="3">
        <v>1.58113883008418</v>
      </c>
      <c r="S42" s="3">
        <v>0.63245553203367499</v>
      </c>
      <c r="T42" s="3">
        <v>0.316227766016837</v>
      </c>
      <c r="U42" s="3">
        <v>0.158113883008418</v>
      </c>
      <c r="V42" s="3">
        <v>6.3245553203367499E-2</v>
      </c>
      <c r="W42" s="3">
        <v>3.1622776601683701E-2</v>
      </c>
      <c r="X42" s="3"/>
      <c r="Y42" s="3"/>
      <c r="Z42" s="3"/>
      <c r="AA42" s="3"/>
      <c r="AB42" s="3"/>
      <c r="AH42" s="1">
        <f t="shared" si="21"/>
        <v>5</v>
      </c>
      <c r="AI42" s="1">
        <v>0.5</v>
      </c>
      <c r="AJ42" s="1">
        <f t="shared" si="26"/>
        <v>5.6684346744395854E-2</v>
      </c>
      <c r="AK42" s="1">
        <f t="shared" si="27"/>
        <v>1.4095198315641849E-2</v>
      </c>
      <c r="AL42" s="1">
        <f t="shared" si="12"/>
        <v>1.6094379124341003</v>
      </c>
      <c r="AM42" s="1">
        <f t="shared" si="12"/>
        <v>-0.69314718055994529</v>
      </c>
      <c r="AN42" s="1">
        <f t="shared" si="13"/>
        <v>0.41130204708753387</v>
      </c>
      <c r="AO42" s="1">
        <f t="shared" si="14"/>
        <v>-0.98036185960843336</v>
      </c>
      <c r="AP42" s="1">
        <f t="shared" si="3"/>
        <v>5.1683101493113039E-2</v>
      </c>
      <c r="AQ42" s="1">
        <f t="shared" si="4"/>
        <v>1.404021502829206E-2</v>
      </c>
      <c r="AR42" s="1">
        <f t="shared" si="15"/>
        <v>0.24866121116647397</v>
      </c>
      <c r="AS42" s="3">
        <f t="shared" si="16"/>
        <v>-1.3916639066959673</v>
      </c>
      <c r="AT42" s="3">
        <f t="shared" si="5"/>
        <v>0.27165968416510322</v>
      </c>
      <c r="AU42" s="3"/>
      <c r="AV42" s="3">
        <f t="shared" si="28"/>
        <v>0.86834171143040195</v>
      </c>
      <c r="AW42" s="3">
        <f t="shared" si="6"/>
        <v>-0.60890479278796383</v>
      </c>
      <c r="AX42" s="3">
        <f t="shared" si="7"/>
        <v>0.98593985642224835</v>
      </c>
      <c r="AY42" s="3">
        <f t="shared" si="25"/>
        <v>0.97322422332947867</v>
      </c>
      <c r="AZ42" s="1">
        <f t="shared" si="18"/>
        <v>-1.066159675111052</v>
      </c>
      <c r="BA42" s="1">
        <f t="shared" si="19"/>
        <v>0.97017701864056394</v>
      </c>
      <c r="BE42"/>
      <c r="BF42"/>
      <c r="BG42"/>
      <c r="BH42"/>
      <c r="BI42"/>
      <c r="BJ42"/>
      <c r="BK42"/>
      <c r="BL42"/>
      <c r="BM42"/>
    </row>
    <row r="43" spans="1:66" x14ac:dyDescent="0.25">
      <c r="A43" s="1">
        <v>16.171883344650201</v>
      </c>
      <c r="B43">
        <v>8.7835457524152094</v>
      </c>
      <c r="C43">
        <v>6.88616378267663</v>
      </c>
      <c r="D43">
        <v>7.39188753919293</v>
      </c>
      <c r="E43">
        <v>-0.53834066430762795</v>
      </c>
      <c r="F43">
        <v>9.9115518785044209E-4</v>
      </c>
      <c r="G43">
        <v>0.10407335023857001</v>
      </c>
      <c r="H43">
        <v>0.72982033137073798</v>
      </c>
      <c r="I43">
        <v>6.2423239271845003E-3</v>
      </c>
      <c r="J43" s="1">
        <f t="shared" si="0"/>
        <v>-0.10407335023857001</v>
      </c>
      <c r="O43" s="3"/>
      <c r="P43" s="23" t="s">
        <v>478</v>
      </c>
      <c r="Q43" s="3">
        <v>3.71239943943307E-2</v>
      </c>
      <c r="R43" s="3">
        <v>0.123154104409175</v>
      </c>
      <c r="S43" s="3">
        <v>0.48822371108862</v>
      </c>
      <c r="T43" s="3">
        <v>1.13305040909914</v>
      </c>
      <c r="U43" s="3">
        <v>2.1320928360704001</v>
      </c>
      <c r="V43" s="3">
        <v>3.5883186859413199</v>
      </c>
      <c r="W43" s="3">
        <v>4.51611266345546</v>
      </c>
      <c r="X43" s="3"/>
      <c r="Y43" s="1">
        <v>0.1</v>
      </c>
      <c r="Z43" s="1">
        <f>0.1*Z44</f>
        <v>0.60362654401107807</v>
      </c>
      <c r="AA43" s="3"/>
      <c r="AB43" s="3"/>
      <c r="AH43" s="1">
        <f t="shared" si="21"/>
        <v>10</v>
      </c>
      <c r="AI43" s="1">
        <v>0.5</v>
      </c>
      <c r="AJ43" s="1">
        <f t="shared" si="26"/>
        <v>5.3159048556187374E-2</v>
      </c>
      <c r="AK43" s="1">
        <f t="shared" si="27"/>
        <v>1.3052087611969231E-2</v>
      </c>
      <c r="AL43" s="1">
        <f t="shared" si="12"/>
        <v>2.3025850929940459</v>
      </c>
      <c r="AM43" s="1">
        <f t="shared" si="12"/>
        <v>-0.69314718055994529</v>
      </c>
      <c r="AN43" s="1">
        <f t="shared" si="13"/>
        <v>0.34709228194173591</v>
      </c>
      <c r="AO43" s="1">
        <f t="shared" si="14"/>
        <v>-1.057247962763338</v>
      </c>
      <c r="AP43" s="1">
        <f t="shared" si="3"/>
        <v>5.0606626780689452E-2</v>
      </c>
      <c r="AQ43" s="1">
        <f t="shared" si="4"/>
        <v>1.2749849828679006E-2</v>
      </c>
      <c r="AR43" s="1">
        <f t="shared" si="15"/>
        <v>0.24552899208069162</v>
      </c>
      <c r="AS43" s="3">
        <f t="shared" si="16"/>
        <v>-1.4043402447050739</v>
      </c>
      <c r="AT43" s="3">
        <f t="shared" si="5"/>
        <v>0.25194032164862867</v>
      </c>
      <c r="AU43" s="3"/>
      <c r="AV43" s="3">
        <f t="shared" si="28"/>
        <v>0.89038384932051695</v>
      </c>
      <c r="AW43" s="3">
        <f t="shared" si="6"/>
        <v>-0.58383744562292206</v>
      </c>
      <c r="AX43" s="3">
        <f t="shared" si="7"/>
        <v>1.0583723244754344</v>
      </c>
      <c r="AY43" s="3">
        <f t="shared" si="25"/>
        <v>0.97019328053794063</v>
      </c>
      <c r="AZ43" s="1">
        <f t="shared" si="18"/>
        <v>-0.95580425387225143</v>
      </c>
      <c r="BA43" s="1">
        <f t="shared" si="19"/>
        <v>0.96530872871700302</v>
      </c>
      <c r="BE43"/>
      <c r="BF43"/>
      <c r="BG43"/>
      <c r="BH43"/>
      <c r="BI43"/>
      <c r="BJ43"/>
      <c r="BK43"/>
      <c r="BL43"/>
      <c r="BM43"/>
    </row>
    <row r="44" spans="1:66" x14ac:dyDescent="0.25">
      <c r="A44" s="1">
        <v>18.614838719367899</v>
      </c>
      <c r="B44">
        <v>9.4209868803487709</v>
      </c>
      <c r="C44">
        <v>6.8758772277791804</v>
      </c>
      <c r="D44">
        <v>7.1570045211104301</v>
      </c>
      <c r="E44">
        <v>-0.60542433585664601</v>
      </c>
      <c r="F44">
        <v>8.1597856457835702E-4</v>
      </c>
      <c r="G44">
        <v>0.103773682646129</v>
      </c>
      <c r="H44">
        <v>0.70693549058998295</v>
      </c>
      <c r="I44">
        <v>9.4203707162775197E-4</v>
      </c>
      <c r="J44" s="1">
        <f t="shared" si="0"/>
        <v>-0.103773682646129</v>
      </c>
      <c r="O44" s="3"/>
      <c r="P44" s="23"/>
      <c r="Q44" s="3">
        <v>4.7593381695312797E-2</v>
      </c>
      <c r="R44" s="3">
        <v>0.15366655029301801</v>
      </c>
      <c r="S44" s="3">
        <v>0.58999843214355696</v>
      </c>
      <c r="T44" s="3">
        <v>1.31794187223918</v>
      </c>
      <c r="U44" s="3">
        <v>2.3452414910353201</v>
      </c>
      <c r="V44" s="3">
        <v>3.8394013756407901</v>
      </c>
      <c r="W44" s="3">
        <v>4.7271490439625703</v>
      </c>
      <c r="X44" s="3"/>
      <c r="Y44" s="3" t="s">
        <v>485</v>
      </c>
      <c r="Z44" s="3">
        <f>C107</f>
        <v>6.03626544011078</v>
      </c>
      <c r="AA44" s="3"/>
      <c r="AB44" s="3"/>
      <c r="AH44" s="1">
        <f t="shared" si="21"/>
        <v>0.1</v>
      </c>
      <c r="AI44" s="1">
        <v>1</v>
      </c>
      <c r="AJ44" s="1">
        <f>AC64</f>
        <v>4.4273093510340422E-2</v>
      </c>
      <c r="AK44" s="1">
        <f>AC71</f>
        <v>5.915555521367493E-2</v>
      </c>
      <c r="AL44" s="1">
        <f t="shared" si="12"/>
        <v>-2.3025850929940455</v>
      </c>
      <c r="AM44" s="1">
        <f t="shared" si="12"/>
        <v>0</v>
      </c>
      <c r="AN44" s="1">
        <f t="shared" si="13"/>
        <v>0.16418106855348455</v>
      </c>
      <c r="AO44" s="1">
        <f t="shared" si="14"/>
        <v>0.45397444940138448</v>
      </c>
      <c r="AP44" s="1">
        <f t="shared" si="3"/>
        <v>4.0290556994726133E-2</v>
      </c>
      <c r="AQ44" s="1">
        <f t="shared" si="4"/>
        <v>5.1751353499514548E-2</v>
      </c>
      <c r="AR44" s="1">
        <f t="shared" si="15"/>
        <v>1.3361513850361182</v>
      </c>
      <c r="AS44" s="3">
        <f t="shared" si="16"/>
        <v>0.28979338084790002</v>
      </c>
      <c r="AT44" s="3">
        <f t="shared" si="5"/>
        <v>1.2844536625862133</v>
      </c>
      <c r="AU44" s="3"/>
      <c r="AV44" s="3">
        <f>T43</f>
        <v>1.13305040909914</v>
      </c>
      <c r="AW44" s="3">
        <f t="shared" si="6"/>
        <v>-0.34282135500012151</v>
      </c>
      <c r="AX44" s="3">
        <f t="shared" si="7"/>
        <v>1.2614178168529817</v>
      </c>
      <c r="AY44" s="3">
        <f t="shared" ref="AY44:AY50" si="29">AC78</f>
        <v>0.96264984610709803</v>
      </c>
      <c r="AZ44" s="1">
        <f t="shared" si="18"/>
        <v>-0.722395503784244</v>
      </c>
      <c r="BA44" s="1">
        <f t="shared" si="19"/>
        <v>0.95460836121668069</v>
      </c>
      <c r="BE44" t="s">
        <v>490</v>
      </c>
      <c r="BF44" t="s">
        <v>516</v>
      </c>
      <c r="BG44"/>
      <c r="BH44"/>
      <c r="BI44"/>
      <c r="BJ44"/>
      <c r="BK44"/>
      <c r="BL44"/>
      <c r="BM44"/>
    </row>
    <row r="45" spans="1:66" ht="15.75" thickBot="1" x14ac:dyDescent="0.3">
      <c r="A45" s="1">
        <v>21.2777170538902</v>
      </c>
      <c r="B45">
        <v>9.9881283545733908</v>
      </c>
      <c r="C45">
        <v>6.6996174672802198</v>
      </c>
      <c r="D45">
        <v>6.7679615975565603</v>
      </c>
      <c r="E45">
        <v>-0.661231982537267</v>
      </c>
      <c r="F45">
        <v>8.6477536623762305E-4</v>
      </c>
      <c r="G45">
        <v>0.100714443675161</v>
      </c>
      <c r="H45">
        <v>0.68408605277040901</v>
      </c>
      <c r="I45">
        <v>-4.1304596320290501E-3</v>
      </c>
      <c r="J45" s="1">
        <f t="shared" si="0"/>
        <v>-0.100714443675161</v>
      </c>
      <c r="O45" s="3"/>
      <c r="P45" s="23"/>
      <c r="Q45" s="3">
        <v>6.2101034579760302E-2</v>
      </c>
      <c r="R45" s="3">
        <v>0.19292973271122399</v>
      </c>
      <c r="S45" s="3">
        <v>0.70073882378421204</v>
      </c>
      <c r="T45" s="3">
        <v>1.49404992323352</v>
      </c>
      <c r="U45" s="3">
        <v>2.5947047346007399</v>
      </c>
      <c r="V45" s="3">
        <v>4.0637993216174602</v>
      </c>
      <c r="W45" s="3">
        <v>4.8961392365181604</v>
      </c>
      <c r="X45" s="3"/>
      <c r="Y45" s="3">
        <v>0.9</v>
      </c>
      <c r="Z45" s="3">
        <f>0.9*Z44</f>
        <v>5.4326388960997019</v>
      </c>
      <c r="AA45" s="3"/>
      <c r="AB45" s="3"/>
      <c r="AH45" s="1">
        <f t="shared" si="21"/>
        <v>0.2</v>
      </c>
      <c r="AI45" s="1">
        <v>1</v>
      </c>
      <c r="AJ45" s="1">
        <f t="shared" ref="AJ45:AJ50" si="30">AC65</f>
        <v>4.0677360478856298E-2</v>
      </c>
      <c r="AK45" s="1">
        <f t="shared" ref="AK45:AK50" si="31">AC72</f>
        <v>4.8993778017246623E-2</v>
      </c>
      <c r="AL45" s="1">
        <f t="shared" si="12"/>
        <v>-1.6094379124341003</v>
      </c>
      <c r="AM45" s="1">
        <f t="shared" si="12"/>
        <v>0</v>
      </c>
      <c r="AN45" s="1">
        <f t="shared" si="13"/>
        <v>7.9475630087367549E-2</v>
      </c>
      <c r="AO45" s="1">
        <f t="shared" si="14"/>
        <v>0.26549725680421232</v>
      </c>
      <c r="AP45" s="1">
        <f t="shared" si="3"/>
        <v>3.9451370403726684E-2</v>
      </c>
      <c r="AQ45" s="1">
        <f t="shared" si="4"/>
        <v>4.6995148166897927E-2</v>
      </c>
      <c r="AR45" s="1">
        <f t="shared" si="15"/>
        <v>1.2044483083584816</v>
      </c>
      <c r="AS45" s="3">
        <f t="shared" si="16"/>
        <v>0.1860216267168448</v>
      </c>
      <c r="AT45" s="3">
        <f t="shared" si="5"/>
        <v>1.1912171284792334</v>
      </c>
      <c r="AU45" s="3"/>
      <c r="AV45" s="3">
        <f t="shared" ref="AV45:AV50" si="32">T44</f>
        <v>1.31794187223918</v>
      </c>
      <c r="AW45" s="3">
        <f t="shared" si="6"/>
        <v>-0.19166349565637275</v>
      </c>
      <c r="AX45" s="3">
        <f t="shared" si="7"/>
        <v>1.3540883840541855</v>
      </c>
      <c r="AY45" s="3">
        <f t="shared" si="29"/>
        <v>0.94888792291037993</v>
      </c>
      <c r="AZ45" s="1">
        <f t="shared" si="18"/>
        <v>-0.39431267722284724</v>
      </c>
      <c r="BA45" s="1">
        <f t="shared" si="19"/>
        <v>0.94733660476686465</v>
      </c>
      <c r="BE45"/>
      <c r="BF45"/>
      <c r="BG45"/>
      <c r="BH45"/>
      <c r="BI45"/>
      <c r="BJ45"/>
      <c r="BK45"/>
      <c r="BL45"/>
      <c r="BM45"/>
    </row>
    <row r="46" spans="1:66" x14ac:dyDescent="0.25">
      <c r="A46" s="1">
        <v>24.180224537849401</v>
      </c>
      <c r="B46">
        <v>10.4923273585604</v>
      </c>
      <c r="C46">
        <v>6.4104528235889298</v>
      </c>
      <c r="D46">
        <v>6.2898688122498996</v>
      </c>
      <c r="E46">
        <v>-0.70645699954466801</v>
      </c>
      <c r="F46">
        <v>1.1660107640980601E-3</v>
      </c>
      <c r="G46">
        <v>9.5692024200933104E-2</v>
      </c>
      <c r="H46">
        <v>0.66118745861871298</v>
      </c>
      <c r="I46">
        <v>-8.1549017555294593E-3</v>
      </c>
      <c r="J46" s="1">
        <f t="shared" si="0"/>
        <v>-9.5692024200933104E-2</v>
      </c>
      <c r="O46" s="3"/>
      <c r="P46" s="23"/>
      <c r="Q46" s="3">
        <v>7.2269579597983705E-2</v>
      </c>
      <c r="R46" s="3">
        <v>0.221074233283725</v>
      </c>
      <c r="S46" s="3">
        <v>0.76868598082390405</v>
      </c>
      <c r="T46" s="3">
        <v>1.5963740324767699</v>
      </c>
      <c r="U46" s="3">
        <v>2.7133501743601198</v>
      </c>
      <c r="V46" s="3">
        <v>4.1663206037609903</v>
      </c>
      <c r="W46" s="3">
        <v>4.96616163066453</v>
      </c>
      <c r="X46" s="3"/>
      <c r="Y46" s="3"/>
      <c r="Z46" s="3"/>
      <c r="AA46" s="3"/>
      <c r="AB46" s="3"/>
      <c r="AH46" s="1">
        <f t="shared" si="21"/>
        <v>0.5</v>
      </c>
      <c r="AI46" s="1">
        <v>1</v>
      </c>
      <c r="AJ46" s="1">
        <f t="shared" si="30"/>
        <v>3.8221980879783048E-2</v>
      </c>
      <c r="AK46" s="1">
        <f t="shared" si="31"/>
        <v>4.0734998353875666E-2</v>
      </c>
      <c r="AL46" s="1">
        <f t="shared" si="12"/>
        <v>-0.69314718055994529</v>
      </c>
      <c r="AM46" s="1">
        <f t="shared" si="12"/>
        <v>0</v>
      </c>
      <c r="AN46" s="1">
        <f t="shared" si="13"/>
        <v>1.7214711821518441E-2</v>
      </c>
      <c r="AO46" s="1">
        <f t="shared" si="14"/>
        <v>8.089157934803673E-2</v>
      </c>
      <c r="AP46" s="1">
        <f t="shared" si="3"/>
        <v>3.836879094454098E-2</v>
      </c>
      <c r="AQ46" s="1">
        <f t="shared" si="4"/>
        <v>4.1371915228114141E-2</v>
      </c>
      <c r="AR46" s="1">
        <f t="shared" si="15"/>
        <v>1.0657479653395421</v>
      </c>
      <c r="AS46" s="3">
        <f t="shared" si="16"/>
        <v>6.3676867526518202E-2</v>
      </c>
      <c r="AT46" s="3">
        <f t="shared" si="5"/>
        <v>1.0782699743631208</v>
      </c>
      <c r="AU46" s="3"/>
      <c r="AV46" s="3">
        <f t="shared" si="32"/>
        <v>1.49404992323352</v>
      </c>
      <c r="AW46" s="3">
        <f t="shared" si="6"/>
        <v>-6.6244325787662164E-2</v>
      </c>
      <c r="AX46" s="3">
        <f t="shared" si="7"/>
        <v>1.4871220155500997</v>
      </c>
      <c r="AY46" s="3">
        <f t="shared" si="29"/>
        <v>0.93425203466045781</v>
      </c>
      <c r="AZ46" s="1">
        <f t="shared" si="18"/>
        <v>-0.12696031837970931</v>
      </c>
      <c r="BA46" s="1">
        <f t="shared" si="19"/>
        <v>0.93602780216539672</v>
      </c>
      <c r="BE46" s="10" t="s">
        <v>491</v>
      </c>
      <c r="BF46" s="10"/>
      <c r="BG46"/>
      <c r="BH46"/>
      <c r="BI46"/>
      <c r="BJ46"/>
      <c r="BK46"/>
      <c r="BL46"/>
      <c r="BM46"/>
    </row>
    <row r="47" spans="1:66" x14ac:dyDescent="0.25">
      <c r="A47" s="1">
        <v>27.343950867652801</v>
      </c>
      <c r="B47">
        <v>10.941529274345999</v>
      </c>
      <c r="C47">
        <v>6.0525545359995698</v>
      </c>
      <c r="D47">
        <v>5.7712027598636899</v>
      </c>
      <c r="E47">
        <v>-0.74222976806170804</v>
      </c>
      <c r="F47">
        <v>1.6359634069039301E-3</v>
      </c>
      <c r="G47">
        <v>8.9506075484328901E-2</v>
      </c>
      <c r="H47">
        <v>0.63850272982935097</v>
      </c>
      <c r="I47">
        <v>-1.09620825707781E-2</v>
      </c>
      <c r="J47" s="1">
        <f t="shared" si="0"/>
        <v>-8.9506075484328901E-2</v>
      </c>
      <c r="P47" s="23"/>
      <c r="Q47" s="1">
        <v>8.1026766464076694E-2</v>
      </c>
      <c r="R47" s="1">
        <v>0.242996490540454</v>
      </c>
      <c r="S47" s="1">
        <v>0.82417397254328195</v>
      </c>
      <c r="T47" s="1">
        <v>1.6727575182902199</v>
      </c>
      <c r="U47" s="1">
        <v>2.79212020260064</v>
      </c>
      <c r="V47" s="1">
        <v>4.2279191903980804</v>
      </c>
      <c r="W47" s="1">
        <v>5.0073130672925004</v>
      </c>
      <c r="AH47" s="1">
        <f t="shared" si="21"/>
        <v>1</v>
      </c>
      <c r="AI47" s="1">
        <v>1</v>
      </c>
      <c r="AJ47" s="1">
        <f t="shared" si="30"/>
        <v>3.7569631606095145E-2</v>
      </c>
      <c r="AK47" s="1">
        <f t="shared" si="31"/>
        <v>3.7569631606095145E-2</v>
      </c>
      <c r="AL47" s="1">
        <f t="shared" si="12"/>
        <v>0</v>
      </c>
      <c r="AM47" s="1">
        <f t="shared" si="12"/>
        <v>0</v>
      </c>
      <c r="AN47" s="1">
        <f t="shared" si="13"/>
        <v>0</v>
      </c>
      <c r="AO47" s="1">
        <f t="shared" si="14"/>
        <v>0</v>
      </c>
      <c r="AP47" s="1">
        <f t="shared" si="3"/>
        <v>3.7569631606095145E-2</v>
      </c>
      <c r="AQ47" s="1">
        <f t="shared" si="4"/>
        <v>3.7569631606095145E-2</v>
      </c>
      <c r="AR47" s="1">
        <f t="shared" si="15"/>
        <v>1</v>
      </c>
      <c r="AS47" s="3">
        <f t="shared" si="16"/>
        <v>0</v>
      </c>
      <c r="AT47" s="3">
        <f t="shared" si="5"/>
        <v>1</v>
      </c>
      <c r="AU47" s="3"/>
      <c r="AV47" s="3">
        <f>T46</f>
        <v>1.5963740324767699</v>
      </c>
      <c r="AW47" s="3">
        <f>LOG(AV47/$AV$47,EXP(1))</f>
        <v>0</v>
      </c>
      <c r="AX47" s="3">
        <f t="shared" si="7"/>
        <v>1.5963740324767699</v>
      </c>
      <c r="AY47" s="3">
        <f t="shared" si="29"/>
        <v>0.92601014510733537</v>
      </c>
      <c r="AZ47" s="1">
        <f t="shared" si="18"/>
        <v>0</v>
      </c>
      <c r="BA47" s="1">
        <f t="shared" si="19"/>
        <v>0.92601014510733537</v>
      </c>
      <c r="BE47" s="7" t="s">
        <v>492</v>
      </c>
      <c r="BF47" s="7">
        <v>0.9848138239188674</v>
      </c>
      <c r="BG47"/>
      <c r="BH47"/>
      <c r="BI47"/>
      <c r="BJ47"/>
      <c r="BK47"/>
      <c r="BL47"/>
      <c r="BM47"/>
    </row>
    <row r="48" spans="1:66" x14ac:dyDescent="0.25">
      <c r="A48" s="1">
        <v>30.7923927903175</v>
      </c>
      <c r="B48">
        <v>11.3435363521666</v>
      </c>
      <c r="C48">
        <v>5.6601815535488997</v>
      </c>
      <c r="D48">
        <v>5.2461294462767301</v>
      </c>
      <c r="E48">
        <v>-0.76978708468472501</v>
      </c>
      <c r="F48">
        <v>2.17912372290756E-3</v>
      </c>
      <c r="G48">
        <v>8.2736838682267097E-2</v>
      </c>
      <c r="H48">
        <v>0.61643520971156796</v>
      </c>
      <c r="I48">
        <v>-1.26529183962747E-2</v>
      </c>
      <c r="J48" s="1">
        <f t="shared" si="0"/>
        <v>-8.2736838682267097E-2</v>
      </c>
      <c r="O48" s="3"/>
      <c r="P48" s="23"/>
      <c r="Q48" s="3">
        <v>9.0173570352482399E-2</v>
      </c>
      <c r="R48" s="3">
        <v>0.26405279042579699</v>
      </c>
      <c r="S48" s="3">
        <v>0.86834171143040195</v>
      </c>
      <c r="T48" s="3">
        <v>1.73171033517837</v>
      </c>
      <c r="U48" s="3">
        <v>2.8545672552674599</v>
      </c>
      <c r="V48" s="3">
        <v>4.2756382918659499</v>
      </c>
      <c r="W48" s="3">
        <v>5.0388168996215104</v>
      </c>
      <c r="X48" s="3"/>
      <c r="Y48" s="3"/>
      <c r="Z48" s="3"/>
      <c r="AA48" s="3"/>
      <c r="AB48" s="3"/>
      <c r="AH48" s="1">
        <f t="shared" si="21"/>
        <v>2</v>
      </c>
      <c r="AI48" s="1">
        <v>1</v>
      </c>
      <c r="AJ48" s="1">
        <f t="shared" si="30"/>
        <v>3.73201013022951E-2</v>
      </c>
      <c r="AK48" s="1">
        <f t="shared" si="31"/>
        <v>3.5828180988216704E-2</v>
      </c>
      <c r="AL48" s="1">
        <f t="shared" si="12"/>
        <v>0.69314718055994529</v>
      </c>
      <c r="AM48" s="1">
        <f t="shared" si="12"/>
        <v>0</v>
      </c>
      <c r="AN48" s="1">
        <f t="shared" si="13"/>
        <v>-6.6639636047741658E-3</v>
      </c>
      <c r="AO48" s="1">
        <f t="shared" si="14"/>
        <v>-4.7461291817995119E-2</v>
      </c>
      <c r="AP48" s="1">
        <f t="shared" si="3"/>
        <v>3.6787117453293772E-2</v>
      </c>
      <c r="AQ48" s="1">
        <f t="shared" si="4"/>
        <v>3.4116796653845483E-2</v>
      </c>
      <c r="AR48" s="1">
        <f t="shared" si="15"/>
        <v>0.96002367994679993</v>
      </c>
      <c r="AS48" s="3">
        <f t="shared" si="16"/>
        <v>-4.0797328213221053E-2</v>
      </c>
      <c r="AT48" s="3">
        <f t="shared" si="5"/>
        <v>0.92741152380752245</v>
      </c>
      <c r="AU48" s="3"/>
      <c r="AV48" s="3">
        <f t="shared" si="32"/>
        <v>1.6727575182902199</v>
      </c>
      <c r="AW48" s="3">
        <f t="shared" ref="AW48:AW71" si="33">LOG(AV48/$AV$47,EXP(1))</f>
        <v>4.6738645480696353E-2</v>
      </c>
      <c r="AX48" s="3">
        <f t="shared" si="7"/>
        <v>1.7136522927632563</v>
      </c>
      <c r="AY48" s="3">
        <f t="shared" si="29"/>
        <v>0.92004735989359998</v>
      </c>
      <c r="AZ48" s="1">
        <f t="shared" si="18"/>
        <v>8.3966516505176711E-2</v>
      </c>
      <c r="BA48" s="1">
        <f t="shared" si="19"/>
        <v>0.91456696250015224</v>
      </c>
      <c r="BE48" s="7" t="s">
        <v>493</v>
      </c>
      <c r="BF48" s="7">
        <v>0.96985826778170192</v>
      </c>
      <c r="BG48"/>
      <c r="BH48"/>
      <c r="BI48"/>
      <c r="BJ48"/>
      <c r="BK48"/>
      <c r="BL48"/>
      <c r="BM48"/>
    </row>
    <row r="49" spans="1:66" x14ac:dyDescent="0.25">
      <c r="A49" s="1">
        <v>34.551213085651298</v>
      </c>
      <c r="B49">
        <v>11.705648313822</v>
      </c>
      <c r="C49">
        <v>5.2584256306755002</v>
      </c>
      <c r="D49">
        <v>4.7374261629559902</v>
      </c>
      <c r="E49">
        <v>-0.79031521805996197</v>
      </c>
      <c r="F49">
        <v>2.7501274695169099E-3</v>
      </c>
      <c r="G49">
        <v>7.5741067374440099E-2</v>
      </c>
      <c r="H49">
        <v>0.59541069112043399</v>
      </c>
      <c r="I49">
        <v>-1.34072620549977E-2</v>
      </c>
      <c r="J49" s="1">
        <f t="shared" si="0"/>
        <v>-7.5741067374440099E-2</v>
      </c>
      <c r="P49" s="23"/>
      <c r="Q49" s="1">
        <v>9.5495795085201604E-2</v>
      </c>
      <c r="R49" s="1">
        <v>0.27530983985577001</v>
      </c>
      <c r="S49" s="1">
        <v>0.89038384932051695</v>
      </c>
      <c r="T49" s="1">
        <v>1.76112405864046</v>
      </c>
      <c r="U49" s="1">
        <v>2.88631354568109</v>
      </c>
      <c r="V49" s="1">
        <v>4.3003043587287797</v>
      </c>
      <c r="W49" s="1">
        <v>5.06672720564264</v>
      </c>
      <c r="AH49" s="1">
        <f t="shared" si="21"/>
        <v>5</v>
      </c>
      <c r="AI49" s="1">
        <v>1</v>
      </c>
      <c r="AJ49" s="1">
        <f t="shared" si="30"/>
        <v>3.6058793229190311E-2</v>
      </c>
      <c r="AK49" s="1">
        <f t="shared" si="31"/>
        <v>3.3537308898748681E-2</v>
      </c>
      <c r="AL49" s="1">
        <f t="shared" si="12"/>
        <v>1.6094379124341003</v>
      </c>
      <c r="AM49" s="1">
        <f t="shared" si="12"/>
        <v>0</v>
      </c>
      <c r="AN49" s="1">
        <f t="shared" si="13"/>
        <v>-4.1045302424140256E-2</v>
      </c>
      <c r="AO49" s="1">
        <f t="shared" si="14"/>
        <v>-0.11353753640494899</v>
      </c>
      <c r="AP49" s="1">
        <f t="shared" si="3"/>
        <v>3.5777647381404307E-2</v>
      </c>
      <c r="AQ49" s="1">
        <f t="shared" si="4"/>
        <v>3.0034530671230197E-2</v>
      </c>
      <c r="AR49" s="1">
        <f t="shared" si="15"/>
        <v>0.93007296959676289</v>
      </c>
      <c r="AS49" s="3">
        <f t="shared" si="16"/>
        <v>-7.2492233980808715E-2</v>
      </c>
      <c r="AT49" s="3">
        <f t="shared" si="5"/>
        <v>0.83947751933071124</v>
      </c>
      <c r="AU49" s="3"/>
      <c r="AV49" s="3">
        <f t="shared" si="32"/>
        <v>1.73171033517837</v>
      </c>
      <c r="AW49" s="3">
        <f t="shared" si="33"/>
        <v>8.1374725426022629E-2</v>
      </c>
      <c r="AX49" s="3">
        <f t="shared" si="7"/>
        <v>1.8820116039516706</v>
      </c>
      <c r="AY49" s="3">
        <f t="shared" si="29"/>
        <v>0.91259121199595861</v>
      </c>
      <c r="AZ49" s="1">
        <f t="shared" si="18"/>
        <v>0.18126499070424329</v>
      </c>
      <c r="BA49" s="1">
        <f t="shared" si="19"/>
        <v>0.89698648100832679</v>
      </c>
      <c r="BE49" s="7" t="s">
        <v>494</v>
      </c>
      <c r="BF49" s="7">
        <v>0.94794035858556791</v>
      </c>
      <c r="BG49"/>
      <c r="BH49"/>
      <c r="BI49"/>
      <c r="BJ49"/>
      <c r="BK49"/>
      <c r="BL49"/>
      <c r="BM49"/>
    </row>
    <row r="50" spans="1:66" x14ac:dyDescent="0.25">
      <c r="A50" s="1">
        <v>38.6483111977577</v>
      </c>
      <c r="B50">
        <v>12.034480564841701</v>
      </c>
      <c r="C50">
        <v>4.8645166752988303</v>
      </c>
      <c r="D50">
        <v>4.2591901326694597</v>
      </c>
      <c r="E50">
        <v>-0.804846839241532</v>
      </c>
      <c r="F50">
        <v>3.2162384887279801E-3</v>
      </c>
      <c r="G50">
        <v>6.8743161747975803E-2</v>
      </c>
      <c r="H50">
        <v>0.57585807344495199</v>
      </c>
      <c r="I50">
        <v>-1.34186245970195E-2</v>
      </c>
      <c r="J50" s="1">
        <f t="shared" si="0"/>
        <v>-6.8743161747975803E-2</v>
      </c>
      <c r="O50" s="3"/>
      <c r="P50" s="23" t="s">
        <v>479</v>
      </c>
      <c r="Q50" s="3">
        <v>6.7740400985312296E-2</v>
      </c>
      <c r="R50" s="3">
        <v>0.121160162847978</v>
      </c>
      <c r="S50" s="3">
        <v>0.21168828931629599</v>
      </c>
      <c r="T50" s="3">
        <v>0.26507988808105798</v>
      </c>
      <c r="U50" s="3">
        <v>0.26740278103443799</v>
      </c>
      <c r="V50" s="3">
        <v>0.19368376230836001</v>
      </c>
      <c r="W50" s="3">
        <v>0.127993854094931</v>
      </c>
      <c r="X50" s="3"/>
      <c r="Y50" s="3"/>
      <c r="Z50" s="3"/>
      <c r="AA50" s="3"/>
      <c r="AB50" s="3"/>
      <c r="AH50" s="1">
        <f t="shared" si="21"/>
        <v>10</v>
      </c>
      <c r="AI50" s="1">
        <v>1</v>
      </c>
      <c r="AJ50" s="1">
        <f t="shared" si="30"/>
        <v>3.3884066656832267E-2</v>
      </c>
      <c r="AK50" s="1">
        <f t="shared" si="31"/>
        <v>3.0968490520029989E-2</v>
      </c>
      <c r="AL50" s="1">
        <f t="shared" si="12"/>
        <v>2.3025850929940459</v>
      </c>
      <c r="AM50" s="1">
        <f t="shared" si="12"/>
        <v>0</v>
      </c>
      <c r="AN50" s="1">
        <f t="shared" si="13"/>
        <v>-0.10325116022992063</v>
      </c>
      <c r="AO50" s="1">
        <f t="shared" si="14"/>
        <v>-0.19322580127679581</v>
      </c>
      <c r="AP50" s="1">
        <f t="shared" si="3"/>
        <v>3.5032457337396947E-2</v>
      </c>
      <c r="AQ50" s="1">
        <f t="shared" si="4"/>
        <v>2.7274208761147542E-2</v>
      </c>
      <c r="AR50" s="1">
        <f t="shared" si="15"/>
        <v>0.91395436190318113</v>
      </c>
      <c r="AS50" s="3">
        <f t="shared" si="16"/>
        <v>-8.9974641046875151E-2</v>
      </c>
      <c r="AT50" s="3">
        <f t="shared" si="5"/>
        <v>0.77854112540465381</v>
      </c>
      <c r="AU50" s="3"/>
      <c r="AV50" s="3">
        <f t="shared" si="32"/>
        <v>1.76112405864046</v>
      </c>
      <c r="AW50" s="3">
        <f t="shared" si="33"/>
        <v>9.8217447110507047E-2</v>
      </c>
      <c r="AX50" s="3">
        <f t="shared" si="7"/>
        <v>2.0202743432972778</v>
      </c>
      <c r="AY50" s="3">
        <f t="shared" si="29"/>
        <v>0.90439373544797896</v>
      </c>
      <c r="AZ50" s="1">
        <f t="shared" si="18"/>
        <v>0.27993073573173938</v>
      </c>
      <c r="BA50" s="1">
        <f t="shared" si="19"/>
        <v>0.88162833102050986</v>
      </c>
      <c r="BE50" s="7" t="s">
        <v>495</v>
      </c>
      <c r="BF50" s="7">
        <v>0.14797264885182324</v>
      </c>
      <c r="BG50"/>
      <c r="BH50"/>
      <c r="BI50"/>
      <c r="BJ50"/>
      <c r="BK50"/>
      <c r="BL50"/>
      <c r="BM50"/>
    </row>
    <row r="51" spans="1:66" ht="15.75" thickBot="1" x14ac:dyDescent="0.3">
      <c r="A51" s="1">
        <v>43.1141293048858</v>
      </c>
      <c r="B51">
        <v>12.335908822329399</v>
      </c>
      <c r="C51">
        <v>4.4894505710949497</v>
      </c>
      <c r="D51">
        <v>3.8195829140289899</v>
      </c>
      <c r="E51">
        <v>-0.81422918319186699</v>
      </c>
      <c r="F51">
        <v>3.5266056963102199E-3</v>
      </c>
      <c r="G51">
        <v>6.1894352614180401E-2</v>
      </c>
      <c r="H51">
        <v>0.55807528432981401</v>
      </c>
      <c r="I51">
        <v>-1.2872546537049299E-2</v>
      </c>
      <c r="J51" s="1">
        <f t="shared" si="0"/>
        <v>-6.1894352614180401E-2</v>
      </c>
      <c r="O51" s="3"/>
      <c r="P51" s="23"/>
      <c r="Q51" s="3">
        <v>7.4925191471784405E-2</v>
      </c>
      <c r="R51" s="3">
        <v>0.12872735867013299</v>
      </c>
      <c r="S51" s="3">
        <v>0.217392076653492</v>
      </c>
      <c r="T51" s="3">
        <v>0.260705702198329</v>
      </c>
      <c r="U51" s="3">
        <v>0.24636658346496701</v>
      </c>
      <c r="V51" s="3">
        <v>0.17272823583796501</v>
      </c>
      <c r="W51" s="3">
        <v>0.110216592792396</v>
      </c>
      <c r="X51" s="3"/>
      <c r="Y51" s="3"/>
      <c r="Z51" s="3"/>
      <c r="AA51" s="3"/>
      <c r="AB51" s="3"/>
      <c r="AH51" s="1">
        <f t="shared" si="21"/>
        <v>0.1</v>
      </c>
      <c r="AI51" s="1">
        <v>2</v>
      </c>
      <c r="AJ51" s="1">
        <f>AD64</f>
        <v>2.5617480152558551E-2</v>
      </c>
      <c r="AK51" s="1">
        <f>AD71</f>
        <v>0.12306583490199073</v>
      </c>
      <c r="AL51" s="1">
        <f t="shared" si="12"/>
        <v>-2.3025850929940455</v>
      </c>
      <c r="AM51" s="1">
        <f t="shared" si="12"/>
        <v>0.69314718055994529</v>
      </c>
      <c r="AN51" s="1">
        <f t="shared" si="13"/>
        <v>-0.3829211170736273</v>
      </c>
      <c r="AO51" s="1">
        <f t="shared" si="14"/>
        <v>1.1865234012825314</v>
      </c>
      <c r="AP51" s="1">
        <f t="shared" si="3"/>
        <v>2.7891153961605221E-2</v>
      </c>
      <c r="AQ51" s="1">
        <f t="shared" si="4"/>
        <v>0.11070539951323838</v>
      </c>
      <c r="AR51" s="1">
        <f t="shared" si="15"/>
        <v>4.8039789303671814</v>
      </c>
      <c r="AS51" s="3">
        <f t="shared" si="16"/>
        <v>1.5694445183561587</v>
      </c>
      <c r="AT51" s="3">
        <f t="shared" si="5"/>
        <v>3.969193948218662</v>
      </c>
      <c r="AU51" s="3"/>
      <c r="AV51" s="3">
        <f>U43</f>
        <v>2.1320928360704001</v>
      </c>
      <c r="AW51" s="3">
        <f t="shared" si="33"/>
        <v>0.28936922171970975</v>
      </c>
      <c r="AX51" s="3">
        <f t="shared" si="7"/>
        <v>2.4078577950620761</v>
      </c>
      <c r="AY51" s="3">
        <f t="shared" ref="AY51:AY57" si="34">AD78</f>
        <v>0.86600351160547084</v>
      </c>
      <c r="AZ51" s="1">
        <f t="shared" si="18"/>
        <v>0.66088183273570711</v>
      </c>
      <c r="BA51" s="1">
        <f t="shared" si="19"/>
        <v>0.84915059598943887</v>
      </c>
      <c r="BE51" s="8" t="s">
        <v>496</v>
      </c>
      <c r="BF51" s="8">
        <v>49</v>
      </c>
      <c r="BG51"/>
      <c r="BH51"/>
      <c r="BI51"/>
      <c r="BJ51"/>
      <c r="BK51"/>
      <c r="BL51"/>
      <c r="BM51"/>
    </row>
    <row r="52" spans="1:66" x14ac:dyDescent="0.25">
      <c r="A52" s="1">
        <v>47.981887757778097</v>
      </c>
      <c r="B52">
        <v>12.6149855343492</v>
      </c>
      <c r="C52">
        <v>4.1396355985501803</v>
      </c>
      <c r="D52">
        <v>3.42244126055621</v>
      </c>
      <c r="E52">
        <v>-0.81916907150090801</v>
      </c>
      <c r="F52">
        <v>3.62425802812353E-3</v>
      </c>
      <c r="G52">
        <v>5.5298744983260498E-2</v>
      </c>
      <c r="H52">
        <v>0.54209035997926802</v>
      </c>
      <c r="I52">
        <v>-1.1947519949462301E-2</v>
      </c>
      <c r="J52" s="1">
        <f t="shared" si="0"/>
        <v>-5.5298744983260498E-2</v>
      </c>
      <c r="O52" s="3"/>
      <c r="P52" s="23"/>
      <c r="Q52" s="3">
        <v>8.0396401706277501E-2</v>
      </c>
      <c r="R52" s="3">
        <v>0.13312239142401999</v>
      </c>
      <c r="S52" s="3">
        <v>0.21347450905563101</v>
      </c>
      <c r="T52" s="3">
        <v>0.24607531843548699</v>
      </c>
      <c r="U52" s="3">
        <v>0.22915306966847401</v>
      </c>
      <c r="V52" s="3">
        <v>0.15386880704019201</v>
      </c>
      <c r="W52" s="3">
        <v>9.5604946876422306E-2</v>
      </c>
      <c r="X52" s="3"/>
      <c r="Y52" s="3"/>
      <c r="Z52" s="3"/>
      <c r="AA52" s="3"/>
      <c r="AB52" s="3"/>
      <c r="AH52" s="1">
        <f t="shared" si="21"/>
        <v>0.2</v>
      </c>
      <c r="AI52" s="1">
        <v>2</v>
      </c>
      <c r="AJ52" s="1">
        <f t="shared" ref="AJ52:AJ57" si="35">AD65</f>
        <v>2.3310930279227787E-2</v>
      </c>
      <c r="AK52" s="1">
        <f t="shared" ref="AK52:AK57" si="36">AD72</f>
        <v>9.7224721509195991E-2</v>
      </c>
      <c r="AL52" s="1">
        <f t="shared" si="12"/>
        <v>-1.6094379124341003</v>
      </c>
      <c r="AM52" s="1">
        <f t="shared" si="12"/>
        <v>0.69314718055994529</v>
      </c>
      <c r="AN52" s="1">
        <f t="shared" si="13"/>
        <v>-0.47727369273390008</v>
      </c>
      <c r="AO52" s="1">
        <f t="shared" si="14"/>
        <v>0.9508289616387039</v>
      </c>
      <c r="AP52" s="1">
        <f t="shared" si="3"/>
        <v>2.7310226713189566E-2</v>
      </c>
      <c r="AQ52" s="1">
        <f t="shared" si="4"/>
        <v>0.10053102578368449</v>
      </c>
      <c r="AR52" s="1">
        <f t="shared" si="15"/>
        <v>4.1707782720208417</v>
      </c>
      <c r="AS52" s="3">
        <f t="shared" si="16"/>
        <v>1.4281026543726041</v>
      </c>
      <c r="AT52" s="3">
        <f t="shared" si="5"/>
        <v>3.6810762078050661</v>
      </c>
      <c r="AU52" s="3"/>
      <c r="AV52" s="3">
        <f t="shared" ref="AV52:AV57" si="37">U44</f>
        <v>2.3452414910353201</v>
      </c>
      <c r="AW52" s="3">
        <f t="shared" si="33"/>
        <v>0.38465355008882568</v>
      </c>
      <c r="AX52" s="3">
        <f t="shared" si="7"/>
        <v>2.5847520363095415</v>
      </c>
      <c r="AY52" s="3">
        <f t="shared" si="34"/>
        <v>0.82922172797917071</v>
      </c>
      <c r="AZ52" s="1">
        <f t="shared" si="18"/>
        <v>0.94683567917154932</v>
      </c>
      <c r="BA52" s="1">
        <f t="shared" si="19"/>
        <v>0.82802797757551205</v>
      </c>
      <c r="BE52"/>
      <c r="BF52"/>
      <c r="BG52"/>
      <c r="BH52"/>
      <c r="BI52"/>
      <c r="BJ52"/>
      <c r="BK52"/>
      <c r="BL52"/>
      <c r="BM52"/>
    </row>
    <row r="53" spans="1:66" ht="15.75" thickBot="1" x14ac:dyDescent="0.3">
      <c r="A53" s="1">
        <v>53.287820518016801</v>
      </c>
      <c r="B53">
        <v>12.875943014198601</v>
      </c>
      <c r="C53">
        <v>3.81786214663141</v>
      </c>
      <c r="D53">
        <v>3.0682177586366399</v>
      </c>
      <c r="E53">
        <v>-0.82020323438825604</v>
      </c>
      <c r="F53">
        <v>3.45926444990537E-3</v>
      </c>
      <c r="G53">
        <v>4.9063442547493098E-2</v>
      </c>
      <c r="H53">
        <v>0.52790309784910205</v>
      </c>
      <c r="I53">
        <v>-1.0805808447817099E-2</v>
      </c>
      <c r="J53" s="1">
        <f t="shared" si="0"/>
        <v>-4.9063442547493098E-2</v>
      </c>
      <c r="P53" s="23"/>
      <c r="Q53" s="1">
        <v>8.2130779348582206E-2</v>
      </c>
      <c r="R53" s="1">
        <v>0.13512959136882599</v>
      </c>
      <c r="S53" s="1">
        <v>0.21055493192927899</v>
      </c>
      <c r="T53" s="1">
        <v>0.23928637465027</v>
      </c>
      <c r="U53" s="1">
        <v>0.22020066107192801</v>
      </c>
      <c r="V53" s="1">
        <v>0.14558340580037299</v>
      </c>
      <c r="W53" s="1">
        <v>8.9632610365522197E-2</v>
      </c>
      <c r="AH53" s="1">
        <f t="shared" si="21"/>
        <v>0.5</v>
      </c>
      <c r="AI53" s="1">
        <v>2</v>
      </c>
      <c r="AJ53" s="1">
        <f t="shared" si="35"/>
        <v>2.2025141263420693E-2</v>
      </c>
      <c r="AK53" s="1">
        <f t="shared" si="36"/>
        <v>7.8821524861971817E-2</v>
      </c>
      <c r="AL53" s="1">
        <f t="shared" si="12"/>
        <v>-0.69314718055994529</v>
      </c>
      <c r="AM53" s="1">
        <f t="shared" si="12"/>
        <v>0.69314718055994529</v>
      </c>
      <c r="AN53" s="1">
        <f t="shared" si="13"/>
        <v>-0.53401146842613334</v>
      </c>
      <c r="AO53" s="1">
        <f t="shared" si="14"/>
        <v>0.74099006370578646</v>
      </c>
      <c r="AP53" s="1">
        <f t="shared" si="3"/>
        <v>2.6560810655829725E-2</v>
      </c>
      <c r="AQ53" s="1">
        <f t="shared" si="4"/>
        <v>8.8501924959299275E-2</v>
      </c>
      <c r="AR53" s="1">
        <f t="shared" si="15"/>
        <v>3.5787068931484418</v>
      </c>
      <c r="AS53" s="3">
        <f t="shared" si="16"/>
        <v>1.2750015321319199</v>
      </c>
      <c r="AT53" s="3">
        <f t="shared" si="5"/>
        <v>3.3320490893930739</v>
      </c>
      <c r="AU53" s="3"/>
      <c r="AV53" s="3">
        <f t="shared" si="37"/>
        <v>2.5947047346007399</v>
      </c>
      <c r="AW53" s="3">
        <f t="shared" si="33"/>
        <v>0.48573789995773237</v>
      </c>
      <c r="AX53" s="3">
        <f t="shared" si="7"/>
        <v>2.8386933254868345</v>
      </c>
      <c r="AY53" s="3">
        <f t="shared" si="34"/>
        <v>0.7893534465742208</v>
      </c>
      <c r="AZ53" s="1">
        <f t="shared" si="18"/>
        <v>1.2059246410281741</v>
      </c>
      <c r="BA53" s="1">
        <f t="shared" si="19"/>
        <v>0.79659995222398339</v>
      </c>
      <c r="BE53" t="s">
        <v>497</v>
      </c>
      <c r="BF53"/>
      <c r="BG53"/>
      <c r="BH53"/>
      <c r="BI53"/>
      <c r="BJ53"/>
      <c r="BK53"/>
      <c r="BL53"/>
      <c r="BM53"/>
    </row>
    <row r="54" spans="1:66" x14ac:dyDescent="0.25">
      <c r="A54" s="1">
        <v>59.071175158023799</v>
      </c>
      <c r="B54">
        <v>13.122321945601801</v>
      </c>
      <c r="C54">
        <v>3.5246006213539798</v>
      </c>
      <c r="D54">
        <v>2.7551035058399602</v>
      </c>
      <c r="E54">
        <v>-0.81774488800960199</v>
      </c>
      <c r="F54">
        <v>2.9903181808061102E-3</v>
      </c>
      <c r="G54">
        <v>4.3291146907070997E-2</v>
      </c>
      <c r="H54">
        <v>0.51539975954454997</v>
      </c>
      <c r="I54">
        <v>-9.5989164532031303E-3</v>
      </c>
      <c r="J54" s="1">
        <f t="shared" si="0"/>
        <v>-4.3291146907070997E-2</v>
      </c>
      <c r="P54" s="23"/>
      <c r="Q54" s="1">
        <v>8.2684855077279198E-2</v>
      </c>
      <c r="R54" s="1">
        <v>0.13501604052442701</v>
      </c>
      <c r="S54" s="1">
        <v>0.209352482069635</v>
      </c>
      <c r="T54" s="1">
        <v>0.235538556125369</v>
      </c>
      <c r="U54" s="1">
        <v>0.21469886273192099</v>
      </c>
      <c r="V54" s="1">
        <v>0.14076842084367999</v>
      </c>
      <c r="W54" s="1">
        <v>8.6241868720105794E-2</v>
      </c>
      <c r="AH54" s="1">
        <f t="shared" si="21"/>
        <v>1</v>
      </c>
      <c r="AI54" s="1">
        <v>2</v>
      </c>
      <c r="AJ54" s="1">
        <f t="shared" si="35"/>
        <v>2.1865379337330831E-2</v>
      </c>
      <c r="AK54" s="1">
        <f t="shared" si="36"/>
        <v>7.2552734843810834E-2</v>
      </c>
      <c r="AL54" s="1">
        <f t="shared" si="12"/>
        <v>0</v>
      </c>
      <c r="AM54" s="1">
        <f t="shared" si="12"/>
        <v>0.69314718055994529</v>
      </c>
      <c r="AN54" s="1">
        <f t="shared" si="13"/>
        <v>-0.54129152022348725</v>
      </c>
      <c r="AO54" s="1">
        <f t="shared" si="14"/>
        <v>0.65811762060208345</v>
      </c>
      <c r="AP54" s="1">
        <f t="shared" si="3"/>
        <v>2.6007592288772526E-2</v>
      </c>
      <c r="AQ54" s="1">
        <f t="shared" si="4"/>
        <v>8.0368160352694271E-2</v>
      </c>
      <c r="AR54" s="1">
        <f t="shared" si="15"/>
        <v>3.3181557806290294</v>
      </c>
      <c r="AS54" s="3">
        <f t="shared" si="16"/>
        <v>1.1994091408255707</v>
      </c>
      <c r="AT54" s="3">
        <f t="shared" si="5"/>
        <v>3.0901807233954983</v>
      </c>
      <c r="AU54" s="3"/>
      <c r="AV54" s="3">
        <f t="shared" si="37"/>
        <v>2.7133501743601198</v>
      </c>
      <c r="AW54" s="3">
        <f t="shared" si="33"/>
        <v>0.53044927033475875</v>
      </c>
      <c r="AX54" s="3">
        <f t="shared" si="7"/>
        <v>3.0472390722398286</v>
      </c>
      <c r="AY54" s="3">
        <f t="shared" si="34"/>
        <v>0.77271859354300765</v>
      </c>
      <c r="AZ54" s="1">
        <f t="shared" si="18"/>
        <v>1.3032311906731342</v>
      </c>
      <c r="BA54" s="1">
        <f t="shared" si="19"/>
        <v>0.7701110742339754</v>
      </c>
      <c r="BE54" s="9"/>
      <c r="BF54" s="9" t="s">
        <v>9</v>
      </c>
      <c r="BG54" s="9" t="s">
        <v>502</v>
      </c>
      <c r="BH54" s="9" t="s">
        <v>503</v>
      </c>
      <c r="BI54" s="9" t="s">
        <v>504</v>
      </c>
      <c r="BJ54" s="9" t="s">
        <v>505</v>
      </c>
      <c r="BK54"/>
      <c r="BL54"/>
      <c r="BM54"/>
    </row>
    <row r="55" spans="1:66" x14ac:dyDescent="0.25">
      <c r="A55" s="1">
        <v>65.375131070613804</v>
      </c>
      <c r="B55">
        <v>13.357034068168799</v>
      </c>
      <c r="C55">
        <v>3.2590904757660799</v>
      </c>
      <c r="D55">
        <v>2.4803827059843502</v>
      </c>
      <c r="E55">
        <v>-0.81210690502755001</v>
      </c>
      <c r="F55">
        <v>2.3142814233921699E-3</v>
      </c>
      <c r="G55">
        <v>3.8036186025084601E-2</v>
      </c>
      <c r="H55">
        <v>0.504182277195106</v>
      </c>
      <c r="I55">
        <v>-8.4263511526581902E-3</v>
      </c>
      <c r="J55" s="1">
        <f t="shared" si="0"/>
        <v>-3.8036186025084601E-2</v>
      </c>
      <c r="P55" s="23"/>
      <c r="Q55" s="1">
        <v>8.2974935793704699E-2</v>
      </c>
      <c r="R55" s="1">
        <v>0.13461374352457001</v>
      </c>
      <c r="S55" s="1">
        <v>0.20723432213377299</v>
      </c>
      <c r="T55" s="1">
        <v>0.232112105674534</v>
      </c>
      <c r="U55" s="1">
        <v>0.210485610375582</v>
      </c>
      <c r="V55" s="1">
        <v>0.13698997756901801</v>
      </c>
      <c r="W55" s="1">
        <v>8.3560472693411797E-2</v>
      </c>
      <c r="AH55" s="1">
        <f t="shared" si="21"/>
        <v>2</v>
      </c>
      <c r="AI55" s="1">
        <v>2</v>
      </c>
      <c r="AJ55" s="1">
        <f t="shared" si="35"/>
        <v>2.1699168416146098E-2</v>
      </c>
      <c r="AK55" s="1">
        <f t="shared" si="36"/>
        <v>6.8622810203613965E-2</v>
      </c>
      <c r="AL55" s="1">
        <f t="shared" si="12"/>
        <v>0.69314718055994529</v>
      </c>
      <c r="AM55" s="1">
        <f t="shared" si="12"/>
        <v>0.69314718055994529</v>
      </c>
      <c r="AN55" s="1">
        <f t="shared" si="13"/>
        <v>-0.54892211602847518</v>
      </c>
      <c r="AO55" s="1">
        <f t="shared" si="14"/>
        <v>0.60242893571531564</v>
      </c>
      <c r="AP55" s="1">
        <f t="shared" ref="AP55:AP71" si="38">$AJ$47*POWER(AH55,$BF$61)*POWER(AI55,$BF$62)</f>
        <v>2.546589655803902E-2</v>
      </c>
      <c r="AQ55" s="1">
        <f t="shared" ref="AQ55:AQ71" si="39">$AK$47*POWER(AH55,$BF$83)*POWER(AI55,$BF$84)</f>
        <v>7.2981928940492505E-2</v>
      </c>
      <c r="AR55" s="1">
        <f t="shared" si="15"/>
        <v>3.1624626754153646</v>
      </c>
      <c r="AS55" s="3">
        <f t="shared" si="16"/>
        <v>1.1513510517437908</v>
      </c>
      <c r="AT55" s="3">
        <f t="shared" ref="AT55:AT71" si="40">POWER(AH55,$BF$105)*POWER(AI55,$BF$106)</f>
        <v>2.8658692135248511</v>
      </c>
      <c r="AU55" s="3"/>
      <c r="AV55" s="3">
        <f t="shared" si="37"/>
        <v>2.79212020260064</v>
      </c>
      <c r="AW55" s="3">
        <f t="shared" si="33"/>
        <v>0.55906640872183844</v>
      </c>
      <c r="AX55" s="3">
        <f t="shared" ref="AX55:AX71" si="41">$AV$47*POWER(AH55,$BF$39)*POWER(AI55,$BF$40)</f>
        <v>3.2711057161458483</v>
      </c>
      <c r="AY55" s="3">
        <f t="shared" si="34"/>
        <v>0.76070362154724425</v>
      </c>
      <c r="AZ55" s="1">
        <f t="shared" si="18"/>
        <v>1.3704162407433573</v>
      </c>
      <c r="BA55" s="1">
        <f t="shared" si="19"/>
        <v>0.74129286343973644</v>
      </c>
      <c r="BE55" s="7" t="s">
        <v>498</v>
      </c>
      <c r="BF55" s="7">
        <v>2</v>
      </c>
      <c r="BG55" s="7">
        <v>33.113174627321023</v>
      </c>
      <c r="BH55" s="7">
        <v>16.556587313660511</v>
      </c>
      <c r="BI55" s="7">
        <v>756.1499494390016</v>
      </c>
      <c r="BJ55" s="7">
        <v>6.4931607014671234E-36</v>
      </c>
      <c r="BK55"/>
      <c r="BL55"/>
      <c r="BM55"/>
    </row>
    <row r="56" spans="1:66" x14ac:dyDescent="0.25">
      <c r="A56" s="1">
        <v>72.246375679969702</v>
      </c>
      <c r="B56">
        <v>13.582476055981299</v>
      </c>
      <c r="C56">
        <v>3.0192214639047501</v>
      </c>
      <c r="D56">
        <v>2.24036887746903</v>
      </c>
      <c r="E56">
        <v>-0.80353074920308598</v>
      </c>
      <c r="F56">
        <v>1.5503692798607899E-3</v>
      </c>
      <c r="G56">
        <v>3.3327426374277103E-2</v>
      </c>
      <c r="H56">
        <v>0.49398426382798299</v>
      </c>
      <c r="I56">
        <v>-7.3495055787321803E-3</v>
      </c>
      <c r="J56" s="1">
        <f t="shared" si="0"/>
        <v>-3.3327426374277103E-2</v>
      </c>
      <c r="P56" s="23"/>
      <c r="Q56" s="1">
        <v>8.3515494386398895E-2</v>
      </c>
      <c r="R56" s="1">
        <v>0.13487602790901401</v>
      </c>
      <c r="S56" s="1">
        <v>0.20654233773654901</v>
      </c>
      <c r="T56" s="1">
        <v>0.23040354081119499</v>
      </c>
      <c r="U56" s="1">
        <v>0.20795102342556299</v>
      </c>
      <c r="V56" s="1">
        <v>0.134523073204007</v>
      </c>
      <c r="W56" s="1">
        <v>8.1718318486421804E-2</v>
      </c>
      <c r="AH56" s="1">
        <f t="shared" si="21"/>
        <v>5</v>
      </c>
      <c r="AI56" s="1">
        <v>2</v>
      </c>
      <c r="AJ56" s="1">
        <f t="shared" si="35"/>
        <v>2.1099727532418944E-2</v>
      </c>
      <c r="AK56" s="1">
        <f t="shared" si="36"/>
        <v>6.3982741031054391E-2</v>
      </c>
      <c r="AL56" s="1">
        <f t="shared" si="12"/>
        <v>1.6094379124341003</v>
      </c>
      <c r="AM56" s="1">
        <f t="shared" si="12"/>
        <v>0.69314718055994529</v>
      </c>
      <c r="AN56" s="1">
        <f t="shared" si="13"/>
        <v>-0.57693592676085825</v>
      </c>
      <c r="AO56" s="1">
        <f t="shared" si="14"/>
        <v>0.53241732159802579</v>
      </c>
      <c r="AP56" s="1">
        <f t="shared" si="38"/>
        <v>2.476709050285375E-2</v>
      </c>
      <c r="AQ56" s="1">
        <f t="shared" si="39"/>
        <v>6.4249231997040246E-2</v>
      </c>
      <c r="AR56" s="1">
        <f t="shared" si="15"/>
        <v>3.0323965526449239</v>
      </c>
      <c r="AS56" s="3">
        <f t="shared" si="16"/>
        <v>1.1093532483588842</v>
      </c>
      <c r="AT56" s="3">
        <f t="shared" si="40"/>
        <v>2.5941372479596359</v>
      </c>
      <c r="AU56" s="3"/>
      <c r="AV56" s="3">
        <f t="shared" si="37"/>
        <v>2.8545672552674599</v>
      </c>
      <c r="AW56" s="3">
        <f t="shared" si="33"/>
        <v>0.58118542952333341</v>
      </c>
      <c r="AX56" s="3">
        <f t="shared" si="41"/>
        <v>3.5924784400761882</v>
      </c>
      <c r="AY56" s="3">
        <f t="shared" si="34"/>
        <v>0.74536751385392719</v>
      </c>
      <c r="AZ56" s="1">
        <f t="shared" si="18"/>
        <v>1.4529010735216357</v>
      </c>
      <c r="BA56" s="1">
        <f t="shared" si="19"/>
        <v>0.69976138401920351</v>
      </c>
      <c r="BE56" s="7" t="s">
        <v>499</v>
      </c>
      <c r="BF56" s="7">
        <v>47</v>
      </c>
      <c r="BG56" s="7">
        <v>1.0291075259865741</v>
      </c>
      <c r="BH56" s="7">
        <v>2.1895904808224981E-2</v>
      </c>
      <c r="BI56" s="7"/>
      <c r="BJ56" s="7"/>
      <c r="BK56"/>
      <c r="BL56"/>
      <c r="BM56"/>
    </row>
    <row r="57" spans="1:66" ht="15.75" thickBot="1" x14ac:dyDescent="0.3">
      <c r="A57" s="1">
        <v>79.736069738864799</v>
      </c>
      <c r="B57">
        <v>13.80062459054</v>
      </c>
      <c r="C57">
        <v>2.8020601292801799</v>
      </c>
      <c r="D57">
        <v>2.0307111531036499</v>
      </c>
      <c r="E57">
        <v>-0.79215744980071501</v>
      </c>
      <c r="F57">
        <v>8.9393492247754605E-4</v>
      </c>
      <c r="G57">
        <v>2.9130849167748302E-2</v>
      </c>
      <c r="H57">
        <v>0.48437943615457202</v>
      </c>
      <c r="I57">
        <v>-6.3791495655995201E-3</v>
      </c>
      <c r="J57" s="1">
        <f t="shared" si="0"/>
        <v>-2.9130849167748302E-2</v>
      </c>
      <c r="O57" s="3"/>
      <c r="P57" s="23" t="s">
        <v>480</v>
      </c>
      <c r="Q57" s="3">
        <v>2.1421395672670202E-3</v>
      </c>
      <c r="R57" s="3">
        <v>7.6628415255305298E-3</v>
      </c>
      <c r="S57" s="3">
        <v>3.3470857411209101E-2</v>
      </c>
      <c r="T57" s="3">
        <v>8.3825620823866506E-2</v>
      </c>
      <c r="U57" s="3">
        <v>0.16912036814642001</v>
      </c>
      <c r="V57" s="3">
        <v>0.30624091734254499</v>
      </c>
      <c r="W57" s="3">
        <v>0.40475210544325302</v>
      </c>
      <c r="X57" s="3"/>
      <c r="Y57" s="3"/>
      <c r="Z57" s="3"/>
      <c r="AA57" s="3"/>
      <c r="AB57" s="3"/>
      <c r="AH57" s="1">
        <f t="shared" si="21"/>
        <v>10</v>
      </c>
      <c r="AI57" s="1">
        <v>2</v>
      </c>
      <c r="AJ57" s="1">
        <f t="shared" si="35"/>
        <v>2.0006523969618228E-2</v>
      </c>
      <c r="AK57" s="1">
        <f t="shared" si="36"/>
        <v>5.8713319811354345E-2</v>
      </c>
      <c r="AL57" s="1">
        <f t="shared" si="12"/>
        <v>2.3025850929940459</v>
      </c>
      <c r="AM57" s="1">
        <f t="shared" si="12"/>
        <v>0.69314718055994529</v>
      </c>
      <c r="AN57" s="1">
        <f t="shared" si="13"/>
        <v>-0.63013763516025845</v>
      </c>
      <c r="AO57" s="1">
        <f t="shared" si="14"/>
        <v>0.44647056040009298</v>
      </c>
      <c r="AP57" s="1">
        <f t="shared" si="38"/>
        <v>2.4251232401145569E-2</v>
      </c>
      <c r="AQ57" s="1">
        <f t="shared" si="39"/>
        <v>5.8344409819902167E-2</v>
      </c>
      <c r="AR57" s="1">
        <f t="shared" si="15"/>
        <v>2.9347086930501267</v>
      </c>
      <c r="AS57" s="3">
        <f t="shared" si="16"/>
        <v>1.0766081955603513</v>
      </c>
      <c r="AT57" s="3">
        <f t="shared" si="40"/>
        <v>2.4058327780960984</v>
      </c>
      <c r="AU57" s="3"/>
      <c r="AV57" s="3">
        <f t="shared" si="37"/>
        <v>2.88631354568109</v>
      </c>
      <c r="AW57" s="3">
        <f t="shared" si="33"/>
        <v>0.592245270378575</v>
      </c>
      <c r="AX57" s="3">
        <f t="shared" si="41"/>
        <v>3.8564013134113106</v>
      </c>
      <c r="AY57" s="3">
        <f t="shared" si="34"/>
        <v>0.72684838283336417</v>
      </c>
      <c r="AZ57" s="1">
        <f t="shared" si="18"/>
        <v>1.5482663139510575</v>
      </c>
      <c r="BA57" s="1">
        <f t="shared" si="19"/>
        <v>0.66594967635954117</v>
      </c>
      <c r="BE57" s="8" t="s">
        <v>500</v>
      </c>
      <c r="BF57" s="8">
        <v>49</v>
      </c>
      <c r="BG57" s="8">
        <v>34.142282153307598</v>
      </c>
      <c r="BH57" s="8"/>
      <c r="BI57" s="8"/>
      <c r="BJ57" s="8"/>
      <c r="BK57"/>
      <c r="BL57"/>
      <c r="BM57"/>
    </row>
    <row r="58" spans="1:66" ht="15.75" thickBot="1" x14ac:dyDescent="0.3">
      <c r="A58" s="1">
        <v>87.899753153324099</v>
      </c>
      <c r="B58">
        <v>14.0130645692215</v>
      </c>
      <c r="C58">
        <v>2.60433222856298</v>
      </c>
      <c r="D58">
        <v>1.8469799220135901</v>
      </c>
      <c r="E58">
        <v>-0.77803601074923001</v>
      </c>
      <c r="F58">
        <v>5.4003875428285802E-4</v>
      </c>
      <c r="G58">
        <v>2.54124458239476E-2</v>
      </c>
      <c r="H58">
        <v>0.47524891732872498</v>
      </c>
      <c r="I58">
        <v>-5.52418920433192E-3</v>
      </c>
      <c r="J58" s="1">
        <f t="shared" si="0"/>
        <v>-2.54124458239476E-2</v>
      </c>
      <c r="O58" s="3"/>
      <c r="P58" s="23"/>
      <c r="Q58" s="3">
        <v>3.3507564271619801E-3</v>
      </c>
      <c r="R58" s="3">
        <v>1.1513724982016599E-2</v>
      </c>
      <c r="S58" s="3">
        <v>4.8610346116705498E-2</v>
      </c>
      <c r="T58" s="3">
        <v>0.116591134447456</v>
      </c>
      <c r="U58" s="3">
        <v>0.22035697120481701</v>
      </c>
      <c r="V58" s="3">
        <v>0.38623207696730599</v>
      </c>
      <c r="W58" s="3">
        <v>0.49290358746442497</v>
      </c>
      <c r="X58" s="3"/>
      <c r="Y58" s="3"/>
      <c r="Z58" s="3"/>
      <c r="AA58" s="3"/>
      <c r="AB58" s="3"/>
      <c r="AH58" s="1">
        <f t="shared" si="21"/>
        <v>0.1</v>
      </c>
      <c r="AI58" s="1">
        <v>5</v>
      </c>
      <c r="AJ58" s="1">
        <f>AE64</f>
        <v>1.3370193670492608E-2</v>
      </c>
      <c r="AK58" s="1">
        <f>AE71</f>
        <v>0.23893037688823804</v>
      </c>
      <c r="AL58" s="1">
        <f t="shared" si="12"/>
        <v>-2.3025850929940455</v>
      </c>
      <c r="AM58" s="1">
        <f t="shared" si="12"/>
        <v>1.6094379124341003</v>
      </c>
      <c r="AN58" s="1">
        <f t="shared" si="13"/>
        <v>-1.0331681775431119</v>
      </c>
      <c r="AO58" s="1">
        <f t="shared" si="14"/>
        <v>1.8499761453974266</v>
      </c>
      <c r="AP58" s="1">
        <f t="shared" si="38"/>
        <v>1.7151651145595855E-2</v>
      </c>
      <c r="AQ58" s="1">
        <f t="shared" si="39"/>
        <v>0.30250441055366012</v>
      </c>
      <c r="AR58" s="1">
        <f t="shared" si="15"/>
        <v>17.870375162593657</v>
      </c>
      <c r="AS58" s="3">
        <f t="shared" si="16"/>
        <v>2.8831443229405385</v>
      </c>
      <c r="AT58" s="3">
        <f t="shared" si="40"/>
        <v>17.637043103651052</v>
      </c>
      <c r="AU58" s="3"/>
      <c r="AV58" s="3">
        <f>V43</f>
        <v>3.5883186859413199</v>
      </c>
      <c r="AW58" s="3">
        <f t="shared" si="33"/>
        <v>0.80994893243239729</v>
      </c>
      <c r="AX58" s="3">
        <f t="shared" si="41"/>
        <v>5.6596693881538904</v>
      </c>
      <c r="AY58" s="3">
        <f t="shared" ref="AY58:AY64" si="42">AE78</f>
        <v>0.52469167750624568</v>
      </c>
      <c r="AZ58" s="1">
        <f t="shared" si="18"/>
        <v>2.4281100869781178</v>
      </c>
      <c r="BA58" s="1">
        <f t="shared" si="19"/>
        <v>0.49640720638702746</v>
      </c>
      <c r="BE58"/>
      <c r="BF58"/>
      <c r="BG58"/>
      <c r="BH58"/>
      <c r="BI58"/>
      <c r="BJ58"/>
      <c r="BK58"/>
      <c r="BL58"/>
      <c r="BM58"/>
    </row>
    <row r="59" spans="1:66" x14ac:dyDescent="0.25">
      <c r="A59" s="1">
        <v>96.798263192176805</v>
      </c>
      <c r="B59">
        <v>14.221051790738199</v>
      </c>
      <c r="C59">
        <v>2.4229809810585898</v>
      </c>
      <c r="D59">
        <v>1.68521710610148</v>
      </c>
      <c r="E59">
        <v>-0.76124640828622903</v>
      </c>
      <c r="F59">
        <v>6.4118486480437497E-4</v>
      </c>
      <c r="G59">
        <v>2.21297526709484E-2</v>
      </c>
      <c r="H59">
        <v>0.46636001687309497</v>
      </c>
      <c r="I59">
        <v>-4.7753843675158204E-3</v>
      </c>
      <c r="J59" s="1">
        <f t="shared" si="0"/>
        <v>-2.21297526709484E-2</v>
      </c>
      <c r="O59" s="3"/>
      <c r="P59" s="23"/>
      <c r="Q59" s="3">
        <v>5.6848840829505903E-3</v>
      </c>
      <c r="R59" s="3">
        <v>1.8826349140738899E-2</v>
      </c>
      <c r="S59" s="3">
        <v>7.5474636481853E-2</v>
      </c>
      <c r="T59" s="3">
        <v>0.17400152634837199</v>
      </c>
      <c r="U59" s="3">
        <v>0.32407137898458299</v>
      </c>
      <c r="V59" s="3">
        <v>0.54400838435602195</v>
      </c>
      <c r="W59" s="3">
        <v>0.67602906251297801</v>
      </c>
      <c r="X59" s="3"/>
      <c r="Y59" s="3"/>
      <c r="Z59" s="3"/>
      <c r="AA59" s="3"/>
      <c r="AB59" s="3"/>
      <c r="AH59" s="1">
        <f t="shared" si="21"/>
        <v>0.2</v>
      </c>
      <c r="AI59" s="1">
        <v>5</v>
      </c>
      <c r="AJ59" s="1">
        <f t="shared" ref="AJ59:AJ64" si="43">AE65</f>
        <v>1.2782698270784904E-2</v>
      </c>
      <c r="AK59" s="1">
        <f t="shared" ref="AK59:AK64" si="44">AE72</f>
        <v>0.17870813818290249</v>
      </c>
      <c r="AL59" s="1">
        <f t="shared" si="12"/>
        <v>-1.6094379124341003</v>
      </c>
      <c r="AM59" s="1">
        <f t="shared" si="12"/>
        <v>1.6094379124341003</v>
      </c>
      <c r="AN59" s="1">
        <f t="shared" si="13"/>
        <v>-1.0781034950406136</v>
      </c>
      <c r="AO59" s="1">
        <f t="shared" si="14"/>
        <v>1.5595579081591266</v>
      </c>
      <c r="AP59" s="1">
        <f t="shared" si="38"/>
        <v>1.6794410225427679E-2</v>
      </c>
      <c r="AQ59" s="1">
        <f t="shared" si="39"/>
        <v>0.27470275913156039</v>
      </c>
      <c r="AR59" s="1">
        <f t="shared" si="15"/>
        <v>13.980470664111918</v>
      </c>
      <c r="AS59" s="3">
        <f t="shared" si="16"/>
        <v>2.6376614031997399</v>
      </c>
      <c r="AT59" s="3">
        <f t="shared" si="40"/>
        <v>16.356797020215978</v>
      </c>
      <c r="AU59" s="3"/>
      <c r="AV59" s="3">
        <f t="shared" ref="AV59:AV62" si="45">V44</f>
        <v>3.8394013756407901</v>
      </c>
      <c r="AW59" s="3">
        <f t="shared" si="33"/>
        <v>0.87758163492809349</v>
      </c>
      <c r="AX59" s="3">
        <f t="shared" si="41"/>
        <v>6.0754592758217294</v>
      </c>
      <c r="AY59" s="3">
        <f t="shared" si="42"/>
        <v>0.44902353320559729</v>
      </c>
      <c r="AZ59" s="1">
        <f t="shared" si="18"/>
        <v>2.7315740020604578</v>
      </c>
      <c r="BA59" s="1">
        <f t="shared" si="19"/>
        <v>0.45745045660501749</v>
      </c>
      <c r="BE59" s="9"/>
      <c r="BF59" s="9" t="s">
        <v>506</v>
      </c>
      <c r="BG59" s="9" t="s">
        <v>495</v>
      </c>
      <c r="BH59" s="9" t="s">
        <v>507</v>
      </c>
      <c r="BI59" s="9" t="s">
        <v>508</v>
      </c>
      <c r="BJ59" s="9" t="s">
        <v>509</v>
      </c>
      <c r="BK59" s="9" t="s">
        <v>510</v>
      </c>
      <c r="BL59" s="9" t="s">
        <v>511</v>
      </c>
      <c r="BM59" s="9" t="s">
        <v>512</v>
      </c>
    </row>
    <row r="60" spans="1:66" x14ac:dyDescent="0.25">
      <c r="A60" s="1">
        <v>106.497616767883</v>
      </c>
      <c r="B60">
        <v>14.4256445946039</v>
      </c>
      <c r="C60">
        <v>2.2549202772302599</v>
      </c>
      <c r="D60">
        <v>1.54178988314705</v>
      </c>
      <c r="E60">
        <v>-0.741712226505433</v>
      </c>
      <c r="F60">
        <v>9.4285143632371899E-4</v>
      </c>
      <c r="G60">
        <v>1.9245302691105699E-2</v>
      </c>
      <c r="H60">
        <v>0.45767667996532302</v>
      </c>
      <c r="I60">
        <v>-4.1264868981887503E-3</v>
      </c>
      <c r="J60" s="1">
        <f t="shared" si="0"/>
        <v>-1.9245302691105699E-2</v>
      </c>
      <c r="O60" s="3"/>
      <c r="P60" s="23"/>
      <c r="Q60" s="3">
        <v>8.2130779348582299E-3</v>
      </c>
      <c r="R60" s="3">
        <v>2.7025918273765201E-2</v>
      </c>
      <c r="S60" s="3">
        <v>0.10527746596463899</v>
      </c>
      <c r="T60" s="3">
        <v>0.23928637465027</v>
      </c>
      <c r="U60" s="3">
        <v>0.44040132214385702</v>
      </c>
      <c r="V60" s="3">
        <v>0.72791702900186905</v>
      </c>
      <c r="W60" s="3">
        <v>0.89632610365522203</v>
      </c>
      <c r="X60" s="3"/>
      <c r="Y60" s="3"/>
      <c r="Z60" s="3"/>
      <c r="AA60" s="3"/>
      <c r="AB60" s="3"/>
      <c r="AH60" s="1">
        <f t="shared" si="21"/>
        <v>0.5</v>
      </c>
      <c r="AI60" s="1">
        <v>5</v>
      </c>
      <c r="AJ60" s="1">
        <f t="shared" si="43"/>
        <v>1.2627893719252607E-2</v>
      </c>
      <c r="AK60" s="1">
        <f t="shared" si="44"/>
        <v>0.13924157006877769</v>
      </c>
      <c r="AL60" s="1">
        <f t="shared" si="12"/>
        <v>-0.69314718055994529</v>
      </c>
      <c r="AM60" s="1">
        <f t="shared" si="12"/>
        <v>1.6094379124341003</v>
      </c>
      <c r="AN60" s="1">
        <f t="shared" si="13"/>
        <v>-1.090287899620789</v>
      </c>
      <c r="AO60" s="1">
        <f t="shared" si="14"/>
        <v>1.3100142848651593</v>
      </c>
      <c r="AP60" s="1">
        <f t="shared" si="38"/>
        <v>1.6333557196670307E-2</v>
      </c>
      <c r="AQ60" s="1">
        <f t="shared" si="39"/>
        <v>0.2418330339838177</v>
      </c>
      <c r="AR60" s="1">
        <f t="shared" si="15"/>
        <v>11.026507916873632</v>
      </c>
      <c r="AS60" s="3">
        <f t="shared" si="16"/>
        <v>2.4003021844859482</v>
      </c>
      <c r="AT60" s="3">
        <f t="shared" si="40"/>
        <v>14.805901192981814</v>
      </c>
      <c r="AU60" s="3"/>
      <c r="AV60" s="3">
        <f t="shared" si="45"/>
        <v>4.0637993216174602</v>
      </c>
      <c r="AW60" s="3">
        <f t="shared" si="33"/>
        <v>0.9343835017747617</v>
      </c>
      <c r="AX60" s="3">
        <f t="shared" si="41"/>
        <v>6.6723482381568191</v>
      </c>
      <c r="AY60" s="3">
        <f t="shared" si="42"/>
        <v>0.39245686595102697</v>
      </c>
      <c r="AZ60" s="1">
        <f t="shared" si="18"/>
        <v>2.963953742391618</v>
      </c>
      <c r="BA60" s="1">
        <f t="shared" si="19"/>
        <v>0.40681493264590002</v>
      </c>
      <c r="BE60" s="7" t="s">
        <v>501</v>
      </c>
      <c r="BF60" s="7">
        <v>0</v>
      </c>
      <c r="BG60" s="7" t="e">
        <v>#N/A</v>
      </c>
      <c r="BH60" s="7" t="e">
        <v>#N/A</v>
      </c>
      <c r="BI60" s="7" t="e">
        <v>#N/A</v>
      </c>
      <c r="BJ60" s="7" t="e">
        <v>#N/A</v>
      </c>
      <c r="BK60" s="7" t="e">
        <v>#N/A</v>
      </c>
      <c r="BL60" s="7" t="e">
        <v>#N/A</v>
      </c>
      <c r="BM60" s="7" t="e">
        <v>#N/A</v>
      </c>
    </row>
    <row r="61" spans="1:66" x14ac:dyDescent="0.25">
      <c r="A61" s="1">
        <v>117.06990510225199</v>
      </c>
      <c r="B61">
        <v>14.6280005723105</v>
      </c>
      <c r="C61">
        <v>2.0964428083567301</v>
      </c>
      <c r="D61">
        <v>1.4126689016957401</v>
      </c>
      <c r="E61">
        <v>-0.71919967573466803</v>
      </c>
      <c r="F61">
        <v>1.2007763948885201E-3</v>
      </c>
      <c r="G61">
        <v>1.6718513699429099E-2</v>
      </c>
      <c r="H61">
        <v>0.44983124707232702</v>
      </c>
      <c r="I61">
        <v>-3.5655974732864298E-3</v>
      </c>
      <c r="J61" s="1">
        <f t="shared" si="0"/>
        <v>-1.6718513699429099E-2</v>
      </c>
      <c r="O61" s="3"/>
      <c r="P61" s="23"/>
      <c r="Q61" s="3">
        <v>1.16934043453142E-2</v>
      </c>
      <c r="R61" s="3">
        <v>3.8188303129512297E-2</v>
      </c>
      <c r="S61" s="3">
        <v>0.148034559729673</v>
      </c>
      <c r="T61" s="3">
        <v>0.33310182053427401</v>
      </c>
      <c r="U61" s="3">
        <v>0.60726008700312495</v>
      </c>
      <c r="V61" s="3">
        <v>0.995383049554878</v>
      </c>
      <c r="W61" s="3">
        <v>1.2196442038837301</v>
      </c>
      <c r="X61" s="3"/>
      <c r="Y61" s="3"/>
      <c r="Z61" s="3"/>
      <c r="AA61" s="3"/>
      <c r="AB61" s="3"/>
      <c r="AH61" s="1">
        <f t="shared" si="21"/>
        <v>1</v>
      </c>
      <c r="AI61" s="1">
        <v>5</v>
      </c>
      <c r="AJ61" s="1">
        <f t="shared" si="43"/>
        <v>1.2664832514566762E-2</v>
      </c>
      <c r="AK61" s="1">
        <f t="shared" si="44"/>
        <v>0.12547765397913191</v>
      </c>
      <c r="AL61" s="1">
        <f t="shared" si="12"/>
        <v>0</v>
      </c>
      <c r="AM61" s="1">
        <f t="shared" si="12"/>
        <v>1.6094379124341003</v>
      </c>
      <c r="AN61" s="1">
        <f t="shared" si="13"/>
        <v>-1.0873669949120452</v>
      </c>
      <c r="AO61" s="1">
        <f t="shared" si="14"/>
        <v>1.2059316327708218</v>
      </c>
      <c r="AP61" s="1">
        <f t="shared" si="38"/>
        <v>1.5993355839201799E-2</v>
      </c>
      <c r="AQ61" s="1">
        <f t="shared" si="39"/>
        <v>0.21960738213014236</v>
      </c>
      <c r="AR61" s="1">
        <f t="shared" si="15"/>
        <v>9.9075652074206886</v>
      </c>
      <c r="AS61" s="3">
        <f t="shared" si="16"/>
        <v>2.2932986276828671</v>
      </c>
      <c r="AT61" s="3">
        <f t="shared" si="40"/>
        <v>13.731163386726879</v>
      </c>
      <c r="AU61" s="3"/>
      <c r="AV61" s="3">
        <f t="shared" si="45"/>
        <v>4.1663206037609903</v>
      </c>
      <c r="AW61" s="3">
        <f t="shared" si="33"/>
        <v>0.95929846933457019</v>
      </c>
      <c r="AX61" s="3">
        <f t="shared" si="41"/>
        <v>7.1625349847944815</v>
      </c>
      <c r="AY61" s="3">
        <f t="shared" si="42"/>
        <v>0.37114855030919508</v>
      </c>
      <c r="AZ61" s="1">
        <f t="shared" si="18"/>
        <v>3.0542498748473985</v>
      </c>
      <c r="BA61" s="1">
        <f t="shared" si="19"/>
        <v>0.36972716339363904</v>
      </c>
      <c r="BE61" s="7" t="s">
        <v>513</v>
      </c>
      <c r="BF61" s="7">
        <v>-3.0366334758248466E-2</v>
      </c>
      <c r="BG61" s="7">
        <v>1.3667408713471295E-2</v>
      </c>
      <c r="BH61" s="7">
        <v>-2.2218062980964239</v>
      </c>
      <c r="BI61" s="7">
        <v>3.1148380110600327E-2</v>
      </c>
      <c r="BJ61" s="7">
        <v>-5.7861614584841903E-2</v>
      </c>
      <c r="BK61" s="7">
        <v>-2.8710549316550323E-3</v>
      </c>
      <c r="BL61" s="7">
        <v>-5.7861614584841903E-2</v>
      </c>
      <c r="BM61" s="7">
        <v>-2.8710549316550323E-3</v>
      </c>
      <c r="BN61" s="1">
        <f>2*BG61</f>
        <v>2.733481742694259E-2</v>
      </c>
    </row>
    <row r="62" spans="1:66" ht="15.75" thickBot="1" x14ac:dyDescent="0.3">
      <c r="A62" s="1">
        <v>128.593670427799</v>
      </c>
      <c r="B62">
        <v>14.8290735876055</v>
      </c>
      <c r="C62">
        <v>1.9457102998361</v>
      </c>
      <c r="D62">
        <v>1.29538064520205</v>
      </c>
      <c r="E62">
        <v>-0.69375030465026699</v>
      </c>
      <c r="F62">
        <v>1.5844896052565401E-3</v>
      </c>
      <c r="G62">
        <v>1.44766442996091E-2</v>
      </c>
      <c r="H62">
        <v>0.44242497878507803</v>
      </c>
      <c r="I62">
        <v>-3.0646104528420999E-3</v>
      </c>
      <c r="J62" s="1">
        <f t="shared" si="0"/>
        <v>-1.44766442996091E-2</v>
      </c>
      <c r="P62" s="23"/>
      <c r="Q62" s="1">
        <v>1.8553759686340401E-2</v>
      </c>
      <c r="R62" s="1">
        <v>6.0201096245332597E-2</v>
      </c>
      <c r="S62" s="1">
        <v>0.23169501578110299</v>
      </c>
      <c r="T62" s="1">
        <v>0.51901844668887298</v>
      </c>
      <c r="U62" s="1">
        <v>0.94132026617067299</v>
      </c>
      <c r="V62" s="1">
        <v>1.53159451040248</v>
      </c>
      <c r="W62" s="1">
        <v>1.86846897174483</v>
      </c>
      <c r="AH62" s="1">
        <f t="shared" si="21"/>
        <v>2</v>
      </c>
      <c r="AI62" s="1">
        <v>5</v>
      </c>
      <c r="AJ62" s="1">
        <f t="shared" si="43"/>
        <v>1.2690100856386579E-2</v>
      </c>
      <c r="AK62" s="1">
        <f t="shared" si="44"/>
        <v>0.11776903346135575</v>
      </c>
      <c r="AL62" s="1">
        <f t="shared" si="12"/>
        <v>0.69314718055994529</v>
      </c>
      <c r="AM62" s="1">
        <f t="shared" si="12"/>
        <v>1.6094379124341003</v>
      </c>
      <c r="AN62" s="1">
        <f t="shared" si="13"/>
        <v>-1.0853738246034916</v>
      </c>
      <c r="AO62" s="1">
        <f t="shared" si="14"/>
        <v>1.1425293088136175</v>
      </c>
      <c r="AP62" s="1">
        <f t="shared" si="38"/>
        <v>1.5660240321163726E-2</v>
      </c>
      <c r="AQ62" s="1">
        <f t="shared" si="39"/>
        <v>0.19942437760294374</v>
      </c>
      <c r="AR62" s="1">
        <f t="shared" si="15"/>
        <v>9.2803859318490627</v>
      </c>
      <c r="AS62" s="3">
        <f t="shared" si="16"/>
        <v>2.2279031334171089</v>
      </c>
      <c r="AT62" s="3">
        <f t="shared" si="40"/>
        <v>12.734439160134436</v>
      </c>
      <c r="AU62" s="3"/>
      <c r="AV62" s="3">
        <f t="shared" si="45"/>
        <v>4.2279191903980804</v>
      </c>
      <c r="AW62" s="3">
        <f t="shared" si="33"/>
        <v>0.97397512710472367</v>
      </c>
      <c r="AX62" s="3">
        <f t="shared" si="41"/>
        <v>7.6887334979051714</v>
      </c>
      <c r="AY62" s="3">
        <f t="shared" si="42"/>
        <v>0.35838309925914658</v>
      </c>
      <c r="AZ62" s="1">
        <f t="shared" si="18"/>
        <v>3.1093460765201946</v>
      </c>
      <c r="BA62" s="1">
        <f t="shared" si="19"/>
        <v>0.33411608554669725</v>
      </c>
      <c r="BE62" s="8" t="s">
        <v>514</v>
      </c>
      <c r="BF62" s="8">
        <v>-0.53063412478386573</v>
      </c>
      <c r="BG62" s="8">
        <v>1.36674087134713E-2</v>
      </c>
      <c r="BH62" s="8">
        <v>-38.82477914491907</v>
      </c>
      <c r="BI62" s="8">
        <v>2.305613772838867E-37</v>
      </c>
      <c r="BJ62" s="8">
        <v>-0.55812940461045923</v>
      </c>
      <c r="BK62" s="8">
        <v>-0.50313884495727224</v>
      </c>
      <c r="BL62" s="8">
        <v>-0.55812940461045923</v>
      </c>
      <c r="BM62" s="8">
        <v>-0.50313884495727224</v>
      </c>
      <c r="BN62" s="1">
        <f>2*BG62</f>
        <v>2.73348174269426E-2</v>
      </c>
    </row>
    <row r="63" spans="1:66" x14ac:dyDescent="0.25">
      <c r="A63" s="1">
        <v>141.15461230278001</v>
      </c>
      <c r="B63">
        <v>15.029308707253699</v>
      </c>
      <c r="C63">
        <v>1.8009510034646099</v>
      </c>
      <c r="D63">
        <v>1.18758723651967</v>
      </c>
      <c r="E63">
        <v>-0.66513889800577397</v>
      </c>
      <c r="F63">
        <v>2.2396479700551699E-3</v>
      </c>
      <c r="G63">
        <v>1.2472116146326101E-2</v>
      </c>
      <c r="H63">
        <v>0.43525315525242803</v>
      </c>
      <c r="I63">
        <v>-2.6151640813756702E-3</v>
      </c>
      <c r="J63" s="1">
        <f t="shared" si="0"/>
        <v>-1.2472116146326101E-2</v>
      </c>
      <c r="O63" s="3"/>
      <c r="P63" s="23"/>
      <c r="Q63" s="3">
        <v>2.6409918217602701E-2</v>
      </c>
      <c r="R63" s="3">
        <v>8.5303089989784503E-2</v>
      </c>
      <c r="S63" s="3">
        <v>0.32657211025162203</v>
      </c>
      <c r="T63" s="3">
        <v>0.72859996993093601</v>
      </c>
      <c r="U63" s="3">
        <v>1.3151977515756199</v>
      </c>
      <c r="V63" s="3">
        <v>2.12699654585114</v>
      </c>
      <c r="W63" s="3">
        <v>2.5841601297613601</v>
      </c>
      <c r="X63" s="3"/>
      <c r="Y63" s="3"/>
      <c r="Z63" s="3"/>
      <c r="AA63" s="3"/>
      <c r="AB63" s="3"/>
      <c r="AH63" s="1">
        <f t="shared" si="21"/>
        <v>5</v>
      </c>
      <c r="AI63" s="1">
        <v>5</v>
      </c>
      <c r="AJ63" s="1">
        <f t="shared" si="43"/>
        <v>1.2564613669167675E-2</v>
      </c>
      <c r="AK63" s="1">
        <f t="shared" si="44"/>
        <v>0.10878797298237022</v>
      </c>
      <c r="AL63" s="1">
        <f t="shared" si="12"/>
        <v>1.6094379124341003</v>
      </c>
      <c r="AM63" s="1">
        <f t="shared" si="12"/>
        <v>1.6094379124341003</v>
      </c>
      <c r="AN63" s="1">
        <f t="shared" si="13"/>
        <v>-1.095311630065481</v>
      </c>
      <c r="AO63" s="1">
        <f t="shared" si="14"/>
        <v>1.0632047318661229</v>
      </c>
      <c r="AP63" s="1">
        <f t="shared" si="38"/>
        <v>1.5230509887870535E-2</v>
      </c>
      <c r="AQ63" s="1">
        <f t="shared" si="39"/>
        <v>0.17556213282501962</v>
      </c>
      <c r="AR63" s="1">
        <f t="shared" si="15"/>
        <v>8.6582823671948788</v>
      </c>
      <c r="AS63" s="3">
        <f t="shared" si="16"/>
        <v>2.1585163619316039</v>
      </c>
      <c r="AT63" s="3">
        <f t="shared" si="40"/>
        <v>11.527002977414167</v>
      </c>
      <c r="AU63" s="3"/>
      <c r="AV63" s="1">
        <f>V48</f>
        <v>4.2756382918659499</v>
      </c>
      <c r="AW63" s="3">
        <f t="shared" si="33"/>
        <v>0.98519857152325885</v>
      </c>
      <c r="AX63" s="3">
        <f t="shared" si="41"/>
        <v>8.4441200375696877</v>
      </c>
      <c r="AY63" s="3">
        <f t="shared" si="42"/>
        <v>0.34105977287076189</v>
      </c>
      <c r="AZ63" s="1">
        <f t="shared" si="18"/>
        <v>3.1855322817367129</v>
      </c>
      <c r="BA63" s="1">
        <f t="shared" si="19"/>
        <v>0.28983941212768322</v>
      </c>
      <c r="BE63"/>
      <c r="BF63"/>
      <c r="BG63"/>
      <c r="BH63"/>
      <c r="BI63"/>
      <c r="BJ63"/>
      <c r="BK63"/>
      <c r="BL63"/>
      <c r="BM63"/>
    </row>
    <row r="64" spans="1:66" x14ac:dyDescent="0.25">
      <c r="A64" s="1">
        <v>154.84601140022201</v>
      </c>
      <c r="B64">
        <v>15.2285136958451</v>
      </c>
      <c r="C64">
        <v>1.6608057777745799</v>
      </c>
      <c r="D64">
        <v>1.0872409581046101</v>
      </c>
      <c r="E64">
        <v>-0.63319244189744694</v>
      </c>
      <c r="F64">
        <v>2.3297407658051002E-3</v>
      </c>
      <c r="G64">
        <v>1.06701041254547E-2</v>
      </c>
      <c r="H64">
        <v>0.42780030957802001</v>
      </c>
      <c r="I64">
        <v>-2.2100009432093099E-3</v>
      </c>
      <c r="J64" s="1">
        <f t="shared" si="0"/>
        <v>-1.06701041254547E-2</v>
      </c>
      <c r="P64" s="23" t="s">
        <v>481</v>
      </c>
      <c r="Q64" s="1">
        <v>2.8624889649110602E-5</v>
      </c>
      <c r="R64" s="1">
        <v>1.0234330522139301E-4</v>
      </c>
      <c r="S64" s="1">
        <v>4.5610716764995899E-4</v>
      </c>
      <c r="T64" s="1">
        <v>1.1740608677075E-3</v>
      </c>
      <c r="U64" s="1">
        <v>2.43718319119117E-3</v>
      </c>
      <c r="V64" s="1">
        <v>4.5120246707063003E-3</v>
      </c>
      <c r="W64" s="1">
        <v>5.9671536743305803E-3</v>
      </c>
      <c r="Y64" s="1" t="s">
        <v>486</v>
      </c>
      <c r="Z64" s="1">
        <f>(Q64+Q71)/0.71</f>
        <v>0.10824752166620115</v>
      </c>
      <c r="AA64" s="1">
        <f t="shared" ref="AA64:AF70" si="46">(R64+R71)/0.71</f>
        <v>9.3528400884858018E-2</v>
      </c>
      <c r="AB64" s="1">
        <f t="shared" si="46"/>
        <v>6.7332064752641349E-2</v>
      </c>
      <c r="AC64" s="1">
        <f t="shared" si="46"/>
        <v>4.4273093510340422E-2</v>
      </c>
      <c r="AD64" s="1">
        <f t="shared" si="46"/>
        <v>2.5617480152558551E-2</v>
      </c>
      <c r="AE64" s="1">
        <f t="shared" si="46"/>
        <v>1.3370193670492608E-2</v>
      </c>
      <c r="AF64" s="1">
        <f t="shared" si="46"/>
        <v>1.090689974942541E-2</v>
      </c>
      <c r="AH64" s="1">
        <f t="shared" si="21"/>
        <v>10</v>
      </c>
      <c r="AI64" s="1">
        <v>5</v>
      </c>
      <c r="AJ64" s="1">
        <f t="shared" si="43"/>
        <v>1.2271042950780565E-2</v>
      </c>
      <c r="AK64" s="1">
        <f t="shared" si="44"/>
        <v>9.8891742465424592E-2</v>
      </c>
      <c r="AL64" s="1">
        <f t="shared" si="12"/>
        <v>2.3025850929940459</v>
      </c>
      <c r="AM64" s="1">
        <f t="shared" si="12"/>
        <v>1.6094379124341003</v>
      </c>
      <c r="AN64" s="1">
        <f t="shared" si="13"/>
        <v>-1.1189537988298683</v>
      </c>
      <c r="AO64" s="1">
        <f t="shared" si="14"/>
        <v>0.96782968736155928</v>
      </c>
      <c r="AP64" s="1">
        <f t="shared" si="38"/>
        <v>1.4913283206848021E-2</v>
      </c>
      <c r="AQ64" s="1">
        <f t="shared" si="39"/>
        <v>0.15942710454299142</v>
      </c>
      <c r="AR64" s="1">
        <f t="shared" si="15"/>
        <v>8.0589517013412504</v>
      </c>
      <c r="AS64" s="3">
        <f t="shared" si="16"/>
        <v>2.0867834861914276</v>
      </c>
      <c r="AT64" s="3">
        <f t="shared" si="40"/>
        <v>10.690275396217523</v>
      </c>
      <c r="AU64" s="3"/>
      <c r="AV64" s="1">
        <f>V49</f>
        <v>4.3003043587287797</v>
      </c>
      <c r="AW64" s="3">
        <f t="shared" si="33"/>
        <v>0.9909509735354215</v>
      </c>
      <c r="AX64" s="3">
        <f t="shared" si="41"/>
        <v>9.0644707119789718</v>
      </c>
      <c r="AY64" s="3">
        <f t="shared" si="42"/>
        <v>0.31963661451169606</v>
      </c>
      <c r="AZ64" s="1">
        <f t="shared" si="18"/>
        <v>3.2823994776397507</v>
      </c>
      <c r="BA64" s="1">
        <f t="shared" si="19"/>
        <v>0.25876382950108018</v>
      </c>
      <c r="BE64"/>
      <c r="BF64"/>
      <c r="BG64"/>
      <c r="BH64"/>
      <c r="BI64"/>
      <c r="BJ64"/>
      <c r="BK64"/>
      <c r="BL64"/>
      <c r="BM64"/>
    </row>
    <row r="65" spans="1:65" x14ac:dyDescent="0.25">
      <c r="A65" s="1">
        <v>169.76969480514501</v>
      </c>
      <c r="B65">
        <v>15.426622733646701</v>
      </c>
      <c r="C65">
        <v>1.5230733858584899</v>
      </c>
      <c r="D65">
        <v>0.99209234799865698</v>
      </c>
      <c r="E65">
        <v>-0.59745685604529497</v>
      </c>
      <c r="F65">
        <v>1.95861177560577E-3</v>
      </c>
      <c r="G65">
        <v>9.0548258053152891E-3</v>
      </c>
      <c r="H65">
        <v>0.42034473108970499</v>
      </c>
      <c r="I65">
        <v>-1.8463467299180999E-3</v>
      </c>
      <c r="J65" s="1">
        <f t="shared" si="0"/>
        <v>-9.0548258053152891E-3</v>
      </c>
      <c r="O65" s="3"/>
      <c r="P65" s="23"/>
      <c r="Q65" s="3">
        <v>4.1487166762524502E-5</v>
      </c>
      <c r="R65" s="3">
        <v>1.41802292365721E-4</v>
      </c>
      <c r="S65" s="3">
        <v>6.0564784911136299E-4</v>
      </c>
      <c r="T65" s="3">
        <v>1.47616411306427E-3</v>
      </c>
      <c r="U65" s="3">
        <v>2.8265102785220301E-3</v>
      </c>
      <c r="V65" s="3">
        <v>5.0005058098285503E-3</v>
      </c>
      <c r="W65" s="3">
        <v>6.3777755785095697E-3</v>
      </c>
      <c r="X65" s="3"/>
      <c r="Y65" s="3"/>
      <c r="Z65" s="1">
        <f t="shared" ref="Z65:Z70" si="47">(Q65+Q72)/0.71</f>
        <v>0.10596191978167624</v>
      </c>
      <c r="AA65" s="1">
        <f t="shared" si="46"/>
        <v>9.0894937191978345E-2</v>
      </c>
      <c r="AB65" s="1">
        <f t="shared" si="46"/>
        <v>6.3405506756191637E-2</v>
      </c>
      <c r="AC65" s="1">
        <f t="shared" si="46"/>
        <v>4.0677360478856298E-2</v>
      </c>
      <c r="AD65" s="1">
        <f t="shared" si="46"/>
        <v>2.3310930279227787E-2</v>
      </c>
      <c r="AE65" s="1">
        <f t="shared" si="46"/>
        <v>1.2782698270784904E-2</v>
      </c>
      <c r="AF65" s="1">
        <f t="shared" si="46"/>
        <v>1.0893966939393733E-2</v>
      </c>
      <c r="AH65" s="1">
        <f t="shared" si="21"/>
        <v>0.1</v>
      </c>
      <c r="AI65" s="1">
        <v>10</v>
      </c>
      <c r="AJ65" s="1">
        <f>AF64</f>
        <v>1.090689974942541E-2</v>
      </c>
      <c r="AK65" s="1">
        <f>AF71</f>
        <v>0.33429021340767862</v>
      </c>
      <c r="AL65" s="1">
        <f t="shared" si="12"/>
        <v>-2.3025850929940455</v>
      </c>
      <c r="AM65" s="1">
        <f t="shared" si="12"/>
        <v>2.3025850929940459</v>
      </c>
      <c r="AN65" s="1">
        <f t="shared" si="13"/>
        <v>-1.2368004604973273</v>
      </c>
      <c r="AO65" s="1">
        <f t="shared" si="14"/>
        <v>2.1858134641137195</v>
      </c>
      <c r="AP65" s="1">
        <f t="shared" si="38"/>
        <v>1.1873237266493347E-2</v>
      </c>
      <c r="AQ65" s="1">
        <f t="shared" si="39"/>
        <v>0.64711102918639185</v>
      </c>
      <c r="AR65" s="1">
        <f t="shared" si="15"/>
        <v>30.649425692694155</v>
      </c>
      <c r="AS65" s="3">
        <f t="shared" si="16"/>
        <v>3.4226139246110465</v>
      </c>
      <c r="AT65" s="3">
        <f t="shared" si="40"/>
        <v>54.501650616598013</v>
      </c>
      <c r="AU65" s="3"/>
      <c r="AV65" s="1">
        <f>W43</f>
        <v>4.51611266345546</v>
      </c>
      <c r="AW65" s="3">
        <f t="shared" si="33"/>
        <v>1.0399167658380652</v>
      </c>
      <c r="AX65" s="3">
        <f t="shared" si="41"/>
        <v>10.803461685470124</v>
      </c>
      <c r="AY65" s="3">
        <f t="shared" ref="AY65:AY71" si="48">AF78</f>
        <v>0.22943806325215729</v>
      </c>
      <c r="AZ65" s="1">
        <f t="shared" si="18"/>
        <v>3.7384441231508645</v>
      </c>
      <c r="BA65" s="1">
        <f t="shared" si="19"/>
        <v>0.20876428474634545</v>
      </c>
      <c r="BE65"/>
      <c r="BF65"/>
      <c r="BG65"/>
      <c r="BH65"/>
      <c r="BI65"/>
      <c r="BJ65"/>
      <c r="BK65"/>
      <c r="BL65"/>
      <c r="BM65"/>
    </row>
    <row r="66" spans="1:65" x14ac:dyDescent="0.25">
      <c r="A66" s="1">
        <v>186.03645980358101</v>
      </c>
      <c r="B66">
        <v>15.6241435728834</v>
      </c>
      <c r="C66">
        <v>1.3859551828182699</v>
      </c>
      <c r="D66">
        <v>0.90029582202713498</v>
      </c>
      <c r="E66">
        <v>-0.55743702509533899</v>
      </c>
      <c r="F66">
        <v>1.8412783626142401E-3</v>
      </c>
      <c r="G66">
        <v>7.6084677580698099E-3</v>
      </c>
      <c r="H66">
        <v>0.413455155901917</v>
      </c>
      <c r="I66">
        <v>-1.5233580029417001E-3</v>
      </c>
      <c r="J66" s="1">
        <f t="shared" si="0"/>
        <v>-7.6084677580698099E-3</v>
      </c>
      <c r="O66" s="3"/>
      <c r="P66" s="23"/>
      <c r="Q66" s="3">
        <v>6.0334775004547302E-5</v>
      </c>
      <c r="R66" s="3">
        <v>1.96390344245357E-4</v>
      </c>
      <c r="S66" s="3">
        <v>7.7904372802774105E-4</v>
      </c>
      <c r="T66" s="3">
        <v>1.78424240660576E-3</v>
      </c>
      <c r="U66" s="3">
        <v>3.2940592680573899E-3</v>
      </c>
      <c r="V66" s="3">
        <v>5.44711298990877E-3</v>
      </c>
      <c r="W66" s="3">
        <v>6.7166417608530799E-3</v>
      </c>
      <c r="X66" s="3"/>
      <c r="Y66" s="3"/>
      <c r="Z66" s="1">
        <f t="shared" si="47"/>
        <v>0.10528771450929035</v>
      </c>
      <c r="AA66" s="1">
        <f t="shared" si="46"/>
        <v>8.8646669389735575E-2</v>
      </c>
      <c r="AB66" s="1">
        <f t="shared" si="46"/>
        <v>6.0417850324761185E-2</v>
      </c>
      <c r="AC66" s="1">
        <f t="shared" si="46"/>
        <v>3.8221980879783048E-2</v>
      </c>
      <c r="AD66" s="1">
        <f t="shared" si="46"/>
        <v>2.2025141263420693E-2</v>
      </c>
      <c r="AE66" s="1">
        <f t="shared" si="46"/>
        <v>1.2627893719252607E-2</v>
      </c>
      <c r="AF66" s="1">
        <f t="shared" si="46"/>
        <v>1.1038086052607466E-2</v>
      </c>
      <c r="AH66" s="1">
        <f t="shared" si="21"/>
        <v>0.2</v>
      </c>
      <c r="AI66" s="1">
        <v>10</v>
      </c>
      <c r="AJ66" s="1">
        <f t="shared" ref="AJ66:AJ71" si="49">AF65</f>
        <v>1.0893966939393733E-2</v>
      </c>
      <c r="AK66" s="1">
        <f t="shared" ref="AK66:AK71" si="50">AF72</f>
        <v>0.23603235596978361</v>
      </c>
      <c r="AL66" s="1">
        <f t="shared" si="12"/>
        <v>-1.6094379124341003</v>
      </c>
      <c r="AM66" s="1">
        <f t="shared" si="12"/>
        <v>2.3025850929940459</v>
      </c>
      <c r="AN66" s="1">
        <f t="shared" si="13"/>
        <v>-1.2379869098007759</v>
      </c>
      <c r="AO66" s="1">
        <f t="shared" si="14"/>
        <v>1.8377728431909255</v>
      </c>
      <c r="AP66" s="1">
        <f t="shared" si="38"/>
        <v>1.1625937098687268E-2</v>
      </c>
      <c r="AQ66" s="1">
        <f t="shared" si="39"/>
        <v>0.58763832519537029</v>
      </c>
      <c r="AR66" s="1">
        <f t="shared" si="15"/>
        <v>21.666336724069332</v>
      </c>
      <c r="AS66" s="3">
        <f t="shared" si="16"/>
        <v>3.0757597529917016</v>
      </c>
      <c r="AT66" s="3">
        <f t="shared" si="40"/>
        <v>50.545458848364362</v>
      </c>
      <c r="AU66" s="3"/>
      <c r="AV66" s="1">
        <f t="shared" ref="AV66:AV71" si="51">W44</f>
        <v>4.7271490439625703</v>
      </c>
      <c r="AW66" s="3">
        <f t="shared" si="33"/>
        <v>1.085587453904683</v>
      </c>
      <c r="AX66" s="3">
        <f t="shared" si="41"/>
        <v>11.597142342864609</v>
      </c>
      <c r="AY66" s="3">
        <f t="shared" si="48"/>
        <v>0.17543512341125544</v>
      </c>
      <c r="AZ66" s="1">
        <f t="shared" si="18"/>
        <v>4.0745437201571439</v>
      </c>
      <c r="BA66" s="1">
        <f t="shared" si="19"/>
        <v>0.18412751732756727</v>
      </c>
      <c r="BE66" t="s">
        <v>490</v>
      </c>
      <c r="BF66" t="s">
        <v>517</v>
      </c>
      <c r="BG66"/>
      <c r="BH66"/>
      <c r="BI66"/>
      <c r="BJ66"/>
      <c r="BK66"/>
      <c r="BL66"/>
      <c r="BM66"/>
    </row>
    <row r="67" spans="1:65" ht="15.75" thickBot="1" x14ac:dyDescent="0.3">
      <c r="A67" s="1">
        <v>203.76720398664401</v>
      </c>
      <c r="B67">
        <v>15.8206468181552</v>
      </c>
      <c r="C67">
        <v>1.2493762012719001</v>
      </c>
      <c r="D67">
        <v>0.81032078897776305</v>
      </c>
      <c r="E67">
        <v>-0.51302255679217401</v>
      </c>
      <c r="F67">
        <v>1.6777668082133101E-3</v>
      </c>
      <c r="G67">
        <v>6.3063413099596196E-3</v>
      </c>
      <c r="H67">
        <v>0.40618600855269399</v>
      </c>
      <c r="I67">
        <v>-1.2348521556127499E-3</v>
      </c>
      <c r="J67" s="1">
        <f t="shared" ref="J67:J74" si="52">-G67</f>
        <v>-6.3063413099596196E-3</v>
      </c>
      <c r="O67" s="3"/>
      <c r="P67" s="23"/>
      <c r="Q67" s="3">
        <v>7.4673214507119906E-5</v>
      </c>
      <c r="R67" s="3">
        <v>2.3787759424130799E-4</v>
      </c>
      <c r="S67" s="3">
        <v>8.9390626522857996E-4</v>
      </c>
      <c r="T67" s="3">
        <v>1.9736378295431502E-3</v>
      </c>
      <c r="U67" s="3">
        <v>3.5284118596379901E-3</v>
      </c>
      <c r="V67" s="3">
        <v>5.65465178368235E-3</v>
      </c>
      <c r="W67" s="3">
        <v>6.8597389053415003E-3</v>
      </c>
      <c r="X67" s="3"/>
      <c r="Y67" s="3"/>
      <c r="Z67" s="1">
        <f t="shared" si="47"/>
        <v>0.10375886828292059</v>
      </c>
      <c r="AA67" s="1">
        <f t="shared" si="46"/>
        <v>8.8287862936215225E-2</v>
      </c>
      <c r="AB67" s="1">
        <f>(S67+S74)/0.71</f>
        <v>5.9287918553872651E-2</v>
      </c>
      <c r="AC67" s="1">
        <f t="shared" si="46"/>
        <v>3.7569631606095145E-2</v>
      </c>
      <c r="AD67" s="1">
        <f t="shared" si="46"/>
        <v>2.1865379337330831E-2</v>
      </c>
      <c r="AE67" s="1">
        <f t="shared" si="46"/>
        <v>1.2664832514566762E-2</v>
      </c>
      <c r="AF67" s="1">
        <f t="shared" si="46"/>
        <v>1.1142771629672282E-2</v>
      </c>
      <c r="AH67" s="1">
        <f t="shared" si="21"/>
        <v>0.5</v>
      </c>
      <c r="AI67" s="1">
        <v>10</v>
      </c>
      <c r="AJ67" s="1">
        <f t="shared" si="49"/>
        <v>1.1038086052607466E-2</v>
      </c>
      <c r="AK67" s="1">
        <f t="shared" si="50"/>
        <v>0.1767228410866597</v>
      </c>
      <c r="AL67" s="1">
        <f t="shared" si="12"/>
        <v>-0.69314718055994529</v>
      </c>
      <c r="AM67" s="1">
        <f t="shared" si="12"/>
        <v>2.3025850929940459</v>
      </c>
      <c r="AN67" s="1">
        <f t="shared" si="13"/>
        <v>-1.2248443929845165</v>
      </c>
      <c r="AO67" s="1">
        <f t="shared" si="14"/>
        <v>1.5483865817478664</v>
      </c>
      <c r="AP67" s="1">
        <f t="shared" si="38"/>
        <v>1.1306911407867793E-2</v>
      </c>
      <c r="AQ67" s="1">
        <f t="shared" si="39"/>
        <v>0.51732410521259575</v>
      </c>
      <c r="AR67" s="1">
        <f t="shared" si="15"/>
        <v>16.010279340494311</v>
      </c>
      <c r="AS67" s="3">
        <f t="shared" si="16"/>
        <v>2.7732309747323827</v>
      </c>
      <c r="AT67" s="3">
        <f t="shared" si="40"/>
        <v>45.752910459050831</v>
      </c>
      <c r="AU67" s="3"/>
      <c r="AV67" s="1">
        <f t="shared" si="51"/>
        <v>4.8961392365181604</v>
      </c>
      <c r="AW67" s="3">
        <f t="shared" si="33"/>
        <v>1.1207121558780251</v>
      </c>
      <c r="AX67" s="3">
        <f t="shared" si="41"/>
        <v>12.736514025698996</v>
      </c>
      <c r="AY67" s="3">
        <f t="shared" si="48"/>
        <v>0.14296203408667635</v>
      </c>
      <c r="AZ67" s="1">
        <f t="shared" si="18"/>
        <v>4.3178603221183387</v>
      </c>
      <c r="BA67" s="1">
        <f t="shared" si="19"/>
        <v>0.15509756710036704</v>
      </c>
      <c r="BE67"/>
      <c r="BF67"/>
      <c r="BG67"/>
      <c r="BH67"/>
      <c r="BI67"/>
      <c r="BJ67"/>
      <c r="BK67"/>
      <c r="BL67"/>
      <c r="BM67"/>
    </row>
    <row r="68" spans="1:65" x14ac:dyDescent="0.25">
      <c r="A68" s="1">
        <v>223.09376105666101</v>
      </c>
      <c r="B68">
        <v>16.014466080987599</v>
      </c>
      <c r="C68">
        <v>1.11250672112025</v>
      </c>
      <c r="D68">
        <v>0.72106924556951901</v>
      </c>
      <c r="E68">
        <v>-0.46377230329076802</v>
      </c>
      <c r="F68">
        <v>1.4157061392161101E-3</v>
      </c>
      <c r="G68">
        <v>5.1236564665777399E-3</v>
      </c>
      <c r="H68">
        <v>0.39881080932791402</v>
      </c>
      <c r="I68">
        <v>-9.7098274760927701E-4</v>
      </c>
      <c r="J68" s="1">
        <f t="shared" si="52"/>
        <v>-5.1236564665777399E-3</v>
      </c>
      <c r="P68" s="23"/>
      <c r="Q68" s="1">
        <v>8.8184455606016301E-5</v>
      </c>
      <c r="R68" s="1">
        <v>2.7337363024451401E-4</v>
      </c>
      <c r="S68" s="1">
        <v>9.9131591835704795E-4</v>
      </c>
      <c r="T68" s="1">
        <v>2.1185268459913199E-3</v>
      </c>
      <c r="U68" s="1">
        <v>3.6866980163683298E-3</v>
      </c>
      <c r="V68" s="1">
        <v>5.7809500589101597E-3</v>
      </c>
      <c r="W68" s="1">
        <v>6.94418530362756E-3</v>
      </c>
      <c r="Z68" s="1">
        <f t="shared" si="47"/>
        <v>0.10184397507819468</v>
      </c>
      <c r="AA68" s="1">
        <f t="shared" si="46"/>
        <v>8.6723521470660869E-2</v>
      </c>
      <c r="AB68" s="1">
        <f t="shared" si="46"/>
        <v>5.8891296558064868E-2</v>
      </c>
      <c r="AC68" s="1">
        <f t="shared" si="46"/>
        <v>3.73201013022951E-2</v>
      </c>
      <c r="AD68" s="1">
        <f t="shared" si="46"/>
        <v>2.1699168416146098E-2</v>
      </c>
      <c r="AE68" s="1">
        <f t="shared" si="46"/>
        <v>1.2690100856386579E-2</v>
      </c>
      <c r="AF68" s="1">
        <f t="shared" si="46"/>
        <v>1.120398310039562E-2</v>
      </c>
      <c r="AH68" s="1">
        <f t="shared" si="21"/>
        <v>1</v>
      </c>
      <c r="AI68" s="1">
        <v>10</v>
      </c>
      <c r="AJ68" s="1">
        <f t="shared" si="49"/>
        <v>1.1142771629672282E-2</v>
      </c>
      <c r="AK68" s="1">
        <f t="shared" si="50"/>
        <v>0.15777835785623029</v>
      </c>
      <c r="AL68" s="1">
        <f t="shared" ref="AL68:AM71" si="53">LOG(AH68,EXP(1))</f>
        <v>0</v>
      </c>
      <c r="AM68" s="1">
        <f t="shared" si="53"/>
        <v>2.3025850929940459</v>
      </c>
      <c r="AN68" s="1">
        <f t="shared" si="13"/>
        <v>-1.2154050506593519</v>
      </c>
      <c r="AO68" s="1">
        <f t="shared" si="14"/>
        <v>1.4349951958018976</v>
      </c>
      <c r="AP68" s="1">
        <f t="shared" si="38"/>
        <v>1.1071406884057331E-2</v>
      </c>
      <c r="AQ68" s="1">
        <f t="shared" si="39"/>
        <v>0.46977946142030624</v>
      </c>
      <c r="AR68" s="1">
        <f t="shared" si="15"/>
        <v>14.159704883126164</v>
      </c>
      <c r="AS68" s="3">
        <f t="shared" si="16"/>
        <v>2.6504002464612495</v>
      </c>
      <c r="AT68" s="3">
        <f t="shared" si="40"/>
        <v>42.431776407457463</v>
      </c>
      <c r="AU68" s="3"/>
      <c r="AV68" s="1">
        <f t="shared" si="51"/>
        <v>4.96616163066453</v>
      </c>
      <c r="AW68" s="3">
        <f t="shared" si="33"/>
        <v>1.1349124062529745</v>
      </c>
      <c r="AX68" s="3">
        <f t="shared" si="41"/>
        <v>13.672207150656005</v>
      </c>
      <c r="AY68" s="3">
        <f t="shared" si="48"/>
        <v>0.13292631195076932</v>
      </c>
      <c r="AZ68" s="1">
        <f t="shared" si="18"/>
        <v>4.4022862386180348</v>
      </c>
      <c r="BA68" s="1">
        <f t="shared" si="19"/>
        <v>0.13570788118184748</v>
      </c>
      <c r="BE68" s="10" t="s">
        <v>491</v>
      </c>
      <c r="BF68" s="10"/>
      <c r="BG68"/>
      <c r="BH68"/>
      <c r="BI68"/>
      <c r="BJ68"/>
      <c r="BK68"/>
      <c r="BL68"/>
      <c r="BM68"/>
    </row>
    <row r="69" spans="1:65" x14ac:dyDescent="0.25">
      <c r="A69" s="1">
        <v>244.15970131754801</v>
      </c>
      <c r="B69">
        <v>16.204178401442</v>
      </c>
      <c r="C69">
        <v>0.97449892422255902</v>
      </c>
      <c r="D69">
        <v>0.63110226799217195</v>
      </c>
      <c r="E69">
        <v>-0.409065106544799</v>
      </c>
      <c r="F69">
        <v>6.8235475267980502E-4</v>
      </c>
      <c r="G69">
        <v>4.0610263438919103E-3</v>
      </c>
      <c r="H69">
        <v>0.39201483304704099</v>
      </c>
      <c r="I69">
        <v>-7.3599333666300303E-4</v>
      </c>
      <c r="J69" s="1">
        <f t="shared" si="52"/>
        <v>-4.0610263438919103E-3</v>
      </c>
      <c r="P69" s="23"/>
      <c r="Q69" s="1">
        <v>1.04587400629175E-4</v>
      </c>
      <c r="R69" s="1">
        <v>3.11910128129352E-4</v>
      </c>
      <c r="S69" s="1">
        <v>1.0776148604910601E-3</v>
      </c>
      <c r="T69" s="1">
        <v>2.2378173432668199E-3</v>
      </c>
      <c r="U69" s="1">
        <v>3.8146000157950502E-3</v>
      </c>
      <c r="V69" s="1">
        <v>5.87832386331626E-3</v>
      </c>
      <c r="W69" s="1">
        <v>7.0079591161820998E-3</v>
      </c>
      <c r="Z69" s="1">
        <f t="shared" si="47"/>
        <v>9.7304534952619412E-2</v>
      </c>
      <c r="AA69" s="1">
        <f t="shared" si="46"/>
        <v>8.3067920910471771E-2</v>
      </c>
      <c r="AB69" s="1">
        <f t="shared" si="46"/>
        <v>5.6684346744395854E-2</v>
      </c>
      <c r="AC69" s="1">
        <f t="shared" si="46"/>
        <v>3.6058793229190311E-2</v>
      </c>
      <c r="AD69" s="1">
        <f t="shared" si="46"/>
        <v>2.1099727532418944E-2</v>
      </c>
      <c r="AE69" s="1">
        <f t="shared" si="46"/>
        <v>1.2564613669167675E-2</v>
      </c>
      <c r="AF69" s="1">
        <f t="shared" si="46"/>
        <v>1.12023542219134E-2</v>
      </c>
      <c r="AH69" s="1">
        <f t="shared" si="21"/>
        <v>2</v>
      </c>
      <c r="AI69" s="1">
        <v>10</v>
      </c>
      <c r="AJ69" s="1">
        <f t="shared" si="49"/>
        <v>1.120398310039562E-2</v>
      </c>
      <c r="AK69" s="1">
        <f t="shared" si="50"/>
        <v>0.14723431326358774</v>
      </c>
      <c r="AL69" s="1">
        <f t="shared" si="53"/>
        <v>0.69314718055994529</v>
      </c>
      <c r="AM69" s="1">
        <f t="shared" si="53"/>
        <v>2.3025850929940459</v>
      </c>
      <c r="AN69" s="1">
        <f t="shared" si="13"/>
        <v>-1.209926704961829</v>
      </c>
      <c r="AO69" s="1">
        <f t="shared" si="14"/>
        <v>1.3658292315359377</v>
      </c>
      <c r="AP69" s="1">
        <f t="shared" si="38"/>
        <v>1.0840807535385733E-2</v>
      </c>
      <c r="AQ69" s="1">
        <f t="shared" si="39"/>
        <v>0.42660440553346868</v>
      </c>
      <c r="AR69" s="1">
        <f t="shared" si="15"/>
        <v>13.141247353219303</v>
      </c>
      <c r="AS69" s="3">
        <f t="shared" si="16"/>
        <v>2.5757559364977665</v>
      </c>
      <c r="AT69" s="3">
        <f t="shared" si="40"/>
        <v>39.351718415900208</v>
      </c>
      <c r="AV69" s="1">
        <f t="shared" si="51"/>
        <v>5.0073130672925004</v>
      </c>
      <c r="AW69" s="3">
        <f t="shared" si="33"/>
        <v>1.1431646295564051</v>
      </c>
      <c r="AX69" s="3">
        <f t="shared" si="41"/>
        <v>14.676641347332108</v>
      </c>
      <c r="AY69" s="3">
        <f t="shared" si="48"/>
        <v>0.12704771209265567</v>
      </c>
      <c r="AZ69" s="1">
        <f t="shared" si="18"/>
        <v>4.4542754023087143</v>
      </c>
      <c r="BA69" s="1">
        <f t="shared" si="19"/>
        <v>0.118402520891458</v>
      </c>
      <c r="BE69" s="7" t="s">
        <v>492</v>
      </c>
      <c r="BF69" s="7">
        <v>0.94647224546633746</v>
      </c>
      <c r="BG69"/>
      <c r="BH69"/>
      <c r="BI69"/>
      <c r="BJ69"/>
      <c r="BK69"/>
      <c r="BL69"/>
      <c r="BM69"/>
    </row>
    <row r="70" spans="1:65" x14ac:dyDescent="0.25">
      <c r="A70" s="1">
        <v>267.12157949805197</v>
      </c>
      <c r="B70">
        <v>16.386949351975399</v>
      </c>
      <c r="C70">
        <v>0.83625241916287896</v>
      </c>
      <c r="D70">
        <v>0.540803645255582</v>
      </c>
      <c r="E70">
        <v>-0.34854058066347099</v>
      </c>
      <c r="F70">
        <v>-3.1355174731221902E-4</v>
      </c>
      <c r="G70">
        <v>3.1289917983265102E-3</v>
      </c>
      <c r="H70">
        <v>0.38621823953405099</v>
      </c>
      <c r="I70">
        <v>-5.3764145586993604E-4</v>
      </c>
      <c r="J70" s="1">
        <f t="shared" si="52"/>
        <v>-3.1289917983265102E-3</v>
      </c>
      <c r="P70" s="23"/>
      <c r="Q70" s="1">
        <v>1.1612143293861499E-4</v>
      </c>
      <c r="R70" s="1">
        <v>3.35969996062506E-4</v>
      </c>
      <c r="S70" s="1">
        <v>1.1249927615008301E-3</v>
      </c>
      <c r="T70" s="1">
        <v>2.30006561903291E-3</v>
      </c>
      <c r="U70" s="1">
        <v>3.88001820709084E-3</v>
      </c>
      <c r="V70" s="1">
        <v>5.9276255110804702E-3</v>
      </c>
      <c r="W70" s="1">
        <v>7.09495668794942E-3</v>
      </c>
      <c r="Z70" s="1">
        <f t="shared" si="47"/>
        <v>9.0983226018945651E-2</v>
      </c>
      <c r="AA70" s="1">
        <f t="shared" si="46"/>
        <v>7.7764216123755503E-2</v>
      </c>
      <c r="AB70" s="1">
        <f t="shared" si="46"/>
        <v>5.3159048556187374E-2</v>
      </c>
      <c r="AC70" s="1">
        <f t="shared" si="46"/>
        <v>3.3884066656832267E-2</v>
      </c>
      <c r="AD70" s="1">
        <f t="shared" si="46"/>
        <v>2.0006523969618228E-2</v>
      </c>
      <c r="AE70" s="1">
        <f t="shared" si="46"/>
        <v>1.2271042950780565E-2</v>
      </c>
      <c r="AF70" s="1">
        <f t="shared" si="46"/>
        <v>1.1200250307357058E-2</v>
      </c>
      <c r="AH70" s="1">
        <f t="shared" si="21"/>
        <v>5</v>
      </c>
      <c r="AI70" s="1">
        <v>10</v>
      </c>
      <c r="AJ70" s="1">
        <f t="shared" si="49"/>
        <v>1.12023542219134E-2</v>
      </c>
      <c r="AK70" s="1">
        <f t="shared" si="50"/>
        <v>0.13517299994489862</v>
      </c>
      <c r="AL70" s="1">
        <f t="shared" si="53"/>
        <v>1.6094379124341003</v>
      </c>
      <c r="AM70" s="1">
        <f t="shared" si="53"/>
        <v>2.3025850929940459</v>
      </c>
      <c r="AN70" s="1">
        <f t="shared" si="13"/>
        <v>-1.2100720994064147</v>
      </c>
      <c r="AO70" s="1">
        <f t="shared" si="14"/>
        <v>1.2803593851116852</v>
      </c>
      <c r="AP70" s="1">
        <f t="shared" si="38"/>
        <v>1.0543326473544454E-2</v>
      </c>
      <c r="AQ70" s="1">
        <f t="shared" si="39"/>
        <v>0.37555879681431598</v>
      </c>
      <c r="AR70" s="1">
        <f t="shared" si="15"/>
        <v>12.066481497298218</v>
      </c>
      <c r="AS70" s="3">
        <f t="shared" si="16"/>
        <v>2.4904314845180999</v>
      </c>
      <c r="AT70" s="3">
        <f t="shared" si="40"/>
        <v>35.62052239932779</v>
      </c>
      <c r="AU70" s="3"/>
      <c r="AV70" s="1">
        <f t="shared" si="51"/>
        <v>5.0388168996215104</v>
      </c>
      <c r="AW70" s="3">
        <f t="shared" si="33"/>
        <v>1.1494364846294922</v>
      </c>
      <c r="AX70" s="3">
        <f t="shared" si="41"/>
        <v>16.118561180329174</v>
      </c>
      <c r="AY70" s="3">
        <f t="shared" si="48"/>
        <v>0.11890262021340886</v>
      </c>
      <c r="AZ70" s="1">
        <f t="shared" si="18"/>
        <v>4.5298205151627338</v>
      </c>
      <c r="BA70" s="1">
        <f t="shared" si="19"/>
        <v>9.8484078060979696E-2</v>
      </c>
      <c r="BE70" s="7" t="s">
        <v>493</v>
      </c>
      <c r="BF70" s="7">
        <v>0.89580971143809096</v>
      </c>
      <c r="BG70"/>
      <c r="BH70"/>
      <c r="BI70"/>
      <c r="BJ70"/>
      <c r="BK70"/>
      <c r="BL70"/>
      <c r="BM70"/>
    </row>
    <row r="71" spans="1:65" x14ac:dyDescent="0.25">
      <c r="A71" s="1">
        <v>292.15002954006098</v>
      </c>
      <c r="B71">
        <v>16.557907227599699</v>
      </c>
      <c r="C71">
        <v>0.69821085832977103</v>
      </c>
      <c r="D71">
        <v>0.44939970900640402</v>
      </c>
      <c r="E71">
        <v>-0.28170818059858599</v>
      </c>
      <c r="F71">
        <v>-8.8046204473504904E-4</v>
      </c>
      <c r="G71">
        <v>2.3328336681596499E-3</v>
      </c>
      <c r="H71">
        <v>0.38271392830168999</v>
      </c>
      <c r="I71">
        <v>-3.7730793060473798E-4</v>
      </c>
      <c r="J71" s="1">
        <f t="shared" si="52"/>
        <v>-2.3328336681596499E-3</v>
      </c>
      <c r="P71" s="23" t="s">
        <v>482</v>
      </c>
      <c r="Q71" s="1">
        <v>7.6827115493353706E-2</v>
      </c>
      <c r="R71" s="1">
        <v>6.6302821323027797E-2</v>
      </c>
      <c r="S71" s="1">
        <v>4.7349658806725398E-2</v>
      </c>
      <c r="T71" s="1">
        <v>3.0259835524634199E-2</v>
      </c>
      <c r="U71" s="1">
        <v>1.57512277171254E-2</v>
      </c>
      <c r="V71" s="1">
        <v>4.9808128353434501E-3</v>
      </c>
      <c r="W71" s="1">
        <v>1.7767451477614599E-3</v>
      </c>
      <c r="Y71" s="1" t="s">
        <v>487</v>
      </c>
      <c r="Z71" s="1">
        <f>(Q64+Q78)/(0.71*Q22)</f>
        <v>1.4852395090488031E-3</v>
      </c>
      <c r="AA71" s="1">
        <f t="shared" ref="AA71:AF77" si="54">(R64+R78)/(0.71*R22)</f>
        <v>5.1768252185000569E-3</v>
      </c>
      <c r="AB71" s="1">
        <f t="shared" si="54"/>
        <v>2.3096459687578719E-2</v>
      </c>
      <c r="AC71" s="1">
        <f t="shared" si="54"/>
        <v>5.915555521367493E-2</v>
      </c>
      <c r="AD71" s="1">
        <f t="shared" si="54"/>
        <v>0.12306583490199073</v>
      </c>
      <c r="AE71" s="1">
        <f t="shared" si="54"/>
        <v>0.23893037688823804</v>
      </c>
      <c r="AF71" s="1">
        <f t="shared" si="54"/>
        <v>0.33429021340767862</v>
      </c>
      <c r="AH71" s="1">
        <f t="shared" si="21"/>
        <v>10</v>
      </c>
      <c r="AI71" s="1">
        <v>10</v>
      </c>
      <c r="AJ71" s="1">
        <f t="shared" si="49"/>
        <v>1.1200250307357058E-2</v>
      </c>
      <c r="AK71" s="1">
        <f t="shared" si="50"/>
        <v>0.12173464605099177</v>
      </c>
      <c r="AL71" s="1">
        <f t="shared" si="53"/>
        <v>2.3025850929940459</v>
      </c>
      <c r="AM71" s="1">
        <f t="shared" si="53"/>
        <v>2.3025850929940459</v>
      </c>
      <c r="AN71" s="1">
        <f t="shared" si="13"/>
        <v>-1.2102599270815206</v>
      </c>
      <c r="AO71" s="1">
        <f t="shared" si="14"/>
        <v>1.1756475895419694</v>
      </c>
      <c r="AP71" s="1">
        <f t="shared" si="38"/>
        <v>1.0323726178560045E-2</v>
      </c>
      <c r="AQ71" s="1">
        <f t="shared" si="39"/>
        <v>0.34104308599071231</v>
      </c>
      <c r="AR71" s="1">
        <f t="shared" si="15"/>
        <v>10.868921917845753</v>
      </c>
      <c r="AS71" s="3">
        <f t="shared" si="16"/>
        <v>2.3859075166234902</v>
      </c>
      <c r="AT71" s="3">
        <f t="shared" si="40"/>
        <v>33.034882957180571</v>
      </c>
      <c r="AV71" s="1">
        <f t="shared" si="51"/>
        <v>5.06672720564264</v>
      </c>
      <c r="AW71" s="3">
        <f t="shared" si="33"/>
        <v>1.154960259835891</v>
      </c>
      <c r="AX71" s="3">
        <f t="shared" si="41"/>
        <v>17.302717759609919</v>
      </c>
      <c r="AY71" s="3">
        <f t="shared" si="48"/>
        <v>0.10779701619465204</v>
      </c>
      <c r="AZ71" s="1">
        <f t="shared" si="18"/>
        <v>4.6404008906700653</v>
      </c>
      <c r="BA71" s="1">
        <f t="shared" si="19"/>
        <v>8.5456136562692922E-2</v>
      </c>
      <c r="BE71" s="7" t="s">
        <v>494</v>
      </c>
      <c r="BF71" s="7">
        <v>0.87231630104315672</v>
      </c>
      <c r="BG71"/>
      <c r="BH71"/>
      <c r="BI71"/>
      <c r="BJ71"/>
      <c r="BK71"/>
      <c r="BL71"/>
      <c r="BM71"/>
    </row>
    <row r="72" spans="1:65" x14ac:dyDescent="0.25">
      <c r="A72" s="1">
        <v>319.43101242184599</v>
      </c>
      <c r="B72">
        <v>16.7074559291692</v>
      </c>
      <c r="C72">
        <v>0.567621613231442</v>
      </c>
      <c r="D72">
        <v>0.36135857044691799</v>
      </c>
      <c r="E72">
        <v>-0.20821457417773201</v>
      </c>
      <c r="F72">
        <v>-6.26834160845686E-4</v>
      </c>
      <c r="G72">
        <v>1.68967588116561E-3</v>
      </c>
      <c r="H72">
        <v>0.382964945093622</v>
      </c>
      <c r="I72">
        <v>-2.5964796801817999E-4</v>
      </c>
      <c r="J72" s="1">
        <f t="shared" si="52"/>
        <v>-1.68967588116561E-3</v>
      </c>
      <c r="O72" s="3"/>
      <c r="P72" s="23"/>
      <c r="Q72" s="3">
        <v>7.5191475878227595E-2</v>
      </c>
      <c r="R72" s="3">
        <v>6.4393603113938894E-2</v>
      </c>
      <c r="S72" s="3">
        <v>4.4412261947784699E-2</v>
      </c>
      <c r="T72" s="3">
        <v>2.7404761826923699E-2</v>
      </c>
      <c r="U72" s="3">
        <v>1.37242502197297E-2</v>
      </c>
      <c r="V72" s="3">
        <v>4.0752099624287302E-3</v>
      </c>
      <c r="W72" s="3">
        <v>1.3569409484599801E-3</v>
      </c>
      <c r="X72" s="3"/>
      <c r="Y72" s="3"/>
      <c r="Z72" s="1">
        <f t="shared" ref="Z72:Z77" si="55">(Q65+Q79)/(0.71*Q23)</f>
        <v>1.3511980177393136E-3</v>
      </c>
      <c r="AA72" s="1">
        <f t="shared" si="54"/>
        <v>4.6264163188537745E-3</v>
      </c>
      <c r="AB72" s="1">
        <f t="shared" si="54"/>
        <v>1.9903246102116925E-2</v>
      </c>
      <c r="AC72" s="1">
        <f t="shared" si="54"/>
        <v>4.8993778017246623E-2</v>
      </c>
      <c r="AD72" s="1">
        <f t="shared" si="54"/>
        <v>9.7224721509195991E-2</v>
      </c>
      <c r="AE72" s="1">
        <f t="shared" si="54"/>
        <v>0.17870813818290249</v>
      </c>
      <c r="AF72" s="1">
        <f t="shared" si="54"/>
        <v>0.23603235596978361</v>
      </c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BE72" s="7" t="s">
        <v>495</v>
      </c>
      <c r="BF72" s="7">
        <v>0.59558505061017575</v>
      </c>
      <c r="BG72"/>
      <c r="BH72"/>
      <c r="BI72"/>
      <c r="BJ72"/>
      <c r="BK72"/>
      <c r="BL72"/>
      <c r="BM72"/>
    </row>
    <row r="73" spans="1:65" ht="15.75" thickBot="1" x14ac:dyDescent="0.3">
      <c r="A73" s="1">
        <v>349.16732590645501</v>
      </c>
      <c r="B73">
        <v>16.823469999233001</v>
      </c>
      <c r="C73">
        <v>0.45892481085743198</v>
      </c>
      <c r="D73">
        <v>0.28597800810403101</v>
      </c>
      <c r="E73">
        <v>-0.12675405138969401</v>
      </c>
      <c r="F73">
        <v>-7.8741250277180501E-4</v>
      </c>
      <c r="G73">
        <v>1.2457998466208499E-3</v>
      </c>
      <c r="H73">
        <v>0.38808321528213702</v>
      </c>
      <c r="I73">
        <v>-1.89868905870511E-4</v>
      </c>
      <c r="J73" s="1">
        <f t="shared" si="52"/>
        <v>-1.2457998466208499E-3</v>
      </c>
      <c r="O73" s="3"/>
      <c r="P73" s="23"/>
      <c r="Q73" s="3">
        <v>7.4693942526591603E-2</v>
      </c>
      <c r="R73" s="3">
        <v>6.2742744922466898E-2</v>
      </c>
      <c r="S73" s="3">
        <v>4.2117630002552697E-2</v>
      </c>
      <c r="T73" s="3">
        <v>2.5353364018040201E-2</v>
      </c>
      <c r="U73" s="3">
        <v>1.2343791028971301E-2</v>
      </c>
      <c r="V73" s="3">
        <v>3.5186915507605799E-3</v>
      </c>
      <c r="W73" s="3">
        <v>1.1203993364982199E-3</v>
      </c>
      <c r="X73" s="3"/>
      <c r="Y73" s="3"/>
      <c r="Z73" s="1">
        <f t="shared" si="55"/>
        <v>1.221984472218305E-3</v>
      </c>
      <c r="AA73" s="1">
        <f t="shared" si="54"/>
        <v>4.0880147681541046E-3</v>
      </c>
      <c r="AB73" s="1">
        <f t="shared" si="54"/>
        <v>1.7024640784075552E-2</v>
      </c>
      <c r="AC73" s="1">
        <f t="shared" si="54"/>
        <v>4.0734998353875666E-2</v>
      </c>
      <c r="AD73" s="1">
        <f t="shared" si="54"/>
        <v>7.8821524861971817E-2</v>
      </c>
      <c r="AE73" s="1">
        <f t="shared" si="54"/>
        <v>0.13924157006877769</v>
      </c>
      <c r="AF73" s="1">
        <f t="shared" si="54"/>
        <v>0.1767228410866597</v>
      </c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BE73" s="8" t="s">
        <v>496</v>
      </c>
      <c r="BF73" s="8">
        <v>49</v>
      </c>
      <c r="BG73"/>
      <c r="BH73"/>
      <c r="BI73"/>
      <c r="BJ73"/>
      <c r="BK73"/>
      <c r="BL73"/>
      <c r="BM73"/>
    </row>
    <row r="74" spans="1:65" x14ac:dyDescent="0.25">
      <c r="A74" s="1">
        <v>379.83785875141598</v>
      </c>
      <c r="B74">
        <v>16.8847053354473</v>
      </c>
      <c r="C74">
        <v>0.39690536157655498</v>
      </c>
      <c r="D74">
        <v>0.24196807214586899</v>
      </c>
      <c r="E74">
        <v>-4.17947358435104E-2</v>
      </c>
      <c r="F74">
        <v>-1.1004786471775401E-3</v>
      </c>
      <c r="G74">
        <v>1.01527136248338E-3</v>
      </c>
      <c r="H74">
        <v>0.40938838042493397</v>
      </c>
      <c r="I74">
        <v>-1.5037473088817699E-4</v>
      </c>
      <c r="J74" s="1">
        <f t="shared" si="52"/>
        <v>-1.01527136248338E-3</v>
      </c>
      <c r="O74" s="3"/>
      <c r="P74" s="23"/>
      <c r="Q74" s="3">
        <v>7.3594123266366496E-2</v>
      </c>
      <c r="R74" s="3">
        <v>6.2446505090471498E-2</v>
      </c>
      <c r="S74" s="3">
        <v>4.1200515908020999E-2</v>
      </c>
      <c r="T74" s="3">
        <v>2.4700800610784401E-2</v>
      </c>
      <c r="U74" s="3">
        <v>1.19960074698669E-2</v>
      </c>
      <c r="V74" s="3">
        <v>3.3373793016600499E-3</v>
      </c>
      <c r="W74" s="3">
        <v>1.0516289517258201E-3</v>
      </c>
      <c r="X74" s="3"/>
      <c r="Y74" s="3"/>
      <c r="Z74" s="1">
        <f t="shared" si="55"/>
        <v>1.1417104889729394E-3</v>
      </c>
      <c r="AA74" s="1">
        <f t="shared" si="54"/>
        <v>3.8531518279720676E-3</v>
      </c>
      <c r="AB74" s="1">
        <f t="shared" si="54"/>
        <v>1.5766246820047576E-2</v>
      </c>
      <c r="AC74" s="1">
        <f t="shared" si="54"/>
        <v>3.7569631606095145E-2</v>
      </c>
      <c r="AD74" s="1">
        <f t="shared" si="54"/>
        <v>7.2552734843810834E-2</v>
      </c>
      <c r="AE74" s="1">
        <f t="shared" si="54"/>
        <v>0.12547765397913191</v>
      </c>
      <c r="AF74" s="1">
        <f t="shared" si="54"/>
        <v>0.15777835785623029</v>
      </c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BA74" s="1">
        <f>MAX(BA23:BA71)</f>
        <v>0.99940379917525413</v>
      </c>
      <c r="BE74"/>
      <c r="BF74"/>
      <c r="BG74"/>
      <c r="BH74"/>
      <c r="BI74"/>
      <c r="BJ74"/>
      <c r="BK74"/>
      <c r="BL74"/>
      <c r="BM74"/>
    </row>
    <row r="75" spans="1:65" ht="15.75" thickBot="1" x14ac:dyDescent="0.3">
      <c r="A75" s="1" t="s">
        <v>524</v>
      </c>
      <c r="B75" s="1" t="s">
        <v>614</v>
      </c>
      <c r="C75" s="1" t="s">
        <v>615</v>
      </c>
      <c r="D75" s="1" t="s">
        <v>616</v>
      </c>
      <c r="E75" s="1" t="s">
        <v>617</v>
      </c>
      <c r="F75" s="1" t="s">
        <v>618</v>
      </c>
      <c r="G75" s="1" t="s">
        <v>400</v>
      </c>
      <c r="H75" s="1" t="s">
        <v>619</v>
      </c>
      <c r="I75" s="1" t="s">
        <v>613</v>
      </c>
      <c r="O75" s="3"/>
      <c r="P75" s="23"/>
      <c r="Q75" s="3">
        <v>7.2221037849912198E-2</v>
      </c>
      <c r="R75" s="3">
        <v>6.1300326613924698E-2</v>
      </c>
      <c r="S75" s="3">
        <v>4.0821504637869002E-2</v>
      </c>
      <c r="T75" s="3">
        <v>2.43787450786382E-2</v>
      </c>
      <c r="U75" s="3">
        <v>1.1719711559095399E-2</v>
      </c>
      <c r="V75" s="3">
        <v>3.2290215491243101E-3</v>
      </c>
      <c r="W75" s="3">
        <v>1.01064269765333E-3</v>
      </c>
      <c r="X75" s="3"/>
      <c r="Y75" s="3"/>
      <c r="Z75" s="1">
        <f t="shared" si="55"/>
        <v>1.0792994454959623E-3</v>
      </c>
      <c r="AA75" s="1">
        <f t="shared" si="54"/>
        <v>3.6460561685623199E-3</v>
      </c>
      <c r="AB75" s="1">
        <f t="shared" si="54"/>
        <v>1.5071879040346089E-2</v>
      </c>
      <c r="AC75" s="1">
        <f t="shared" si="54"/>
        <v>3.5828180988216704E-2</v>
      </c>
      <c r="AD75" s="1">
        <f t="shared" si="54"/>
        <v>6.8622810203613965E-2</v>
      </c>
      <c r="AE75" s="1">
        <f t="shared" si="54"/>
        <v>0.11776903346135575</v>
      </c>
      <c r="AF75" s="1">
        <f t="shared" si="54"/>
        <v>0.14723431326358774</v>
      </c>
      <c r="BA75" s="1">
        <f>MIN(BA23:BA71)</f>
        <v>8.5456136562692922E-2</v>
      </c>
      <c r="BE75" t="s">
        <v>497</v>
      </c>
      <c r="BF75"/>
      <c r="BG75"/>
      <c r="BH75"/>
      <c r="BI75"/>
      <c r="BJ75"/>
      <c r="BK75"/>
      <c r="BL75"/>
      <c r="BM75"/>
    </row>
    <row r="76" spans="1:65" x14ac:dyDescent="0.25">
      <c r="A76" s="1">
        <v>-141.555516719818</v>
      </c>
      <c r="B76">
        <v>14.8319564774505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O76" s="3"/>
      <c r="P76" s="23"/>
      <c r="Q76" s="3">
        <v>6.8981632415730604E-2</v>
      </c>
      <c r="R76" s="3">
        <v>5.86663137183056E-2</v>
      </c>
      <c r="S76" s="3">
        <v>3.9168271328029997E-2</v>
      </c>
      <c r="T76" s="3">
        <v>2.33639258494583E-2</v>
      </c>
      <c r="U76" s="3">
        <v>1.11662065322224E-2</v>
      </c>
      <c r="V76" s="3">
        <v>3.0425518417927901E-3</v>
      </c>
      <c r="W76" s="3">
        <v>9.4571238137641496E-4</v>
      </c>
      <c r="X76" s="3"/>
      <c r="Y76" s="3"/>
      <c r="Z76" s="1">
        <f t="shared" si="55"/>
        <v>1.0010335271593508E-3</v>
      </c>
      <c r="AA76" s="1">
        <f t="shared" si="54"/>
        <v>3.3930064427578734E-3</v>
      </c>
      <c r="AB76" s="1">
        <f t="shared" si="54"/>
        <v>1.4095198315641849E-2</v>
      </c>
      <c r="AC76" s="1">
        <f t="shared" si="54"/>
        <v>3.3537308898748681E-2</v>
      </c>
      <c r="AD76" s="1">
        <f t="shared" si="54"/>
        <v>6.3982741031054391E-2</v>
      </c>
      <c r="AE76" s="1">
        <f t="shared" si="54"/>
        <v>0.10878797298237022</v>
      </c>
      <c r="AF76" s="1">
        <f t="shared" si="54"/>
        <v>0.13517299994489862</v>
      </c>
      <c r="BE76" s="9"/>
      <c r="BF76" s="9" t="s">
        <v>9</v>
      </c>
      <c r="BG76" s="9" t="s">
        <v>502</v>
      </c>
      <c r="BH76" s="9" t="s">
        <v>503</v>
      </c>
      <c r="BI76" s="9" t="s">
        <v>504</v>
      </c>
      <c r="BJ76" s="9" t="s">
        <v>505</v>
      </c>
      <c r="BK76"/>
      <c r="BL76"/>
      <c r="BM76"/>
    </row>
    <row r="77" spans="1:65" x14ac:dyDescent="0.25">
      <c r="A77" s="1">
        <v>-128.95890593528699</v>
      </c>
      <c r="B77">
        <v>14.8319564774505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P77" s="23"/>
      <c r="Q77" s="1">
        <v>6.4481969040512802E-2</v>
      </c>
      <c r="R77" s="1">
        <v>5.4876623451803899E-2</v>
      </c>
      <c r="S77" s="1">
        <v>3.6617931713392199E-2</v>
      </c>
      <c r="T77" s="1">
        <v>2.1757621707318001E-2</v>
      </c>
      <c r="U77" s="1">
        <v>1.0324613811338101E-2</v>
      </c>
      <c r="V77" s="1">
        <v>2.7848149839737298E-3</v>
      </c>
      <c r="W77" s="1">
        <v>8.5722103027409098E-4</v>
      </c>
      <c r="Z77" s="1">
        <f t="shared" si="55"/>
        <v>9.24551878449281E-4</v>
      </c>
      <c r="AA77" s="1">
        <f t="shared" si="54"/>
        <v>3.1389604756033953E-3</v>
      </c>
      <c r="AB77" s="1">
        <f t="shared" si="54"/>
        <v>1.3052087611969231E-2</v>
      </c>
      <c r="AC77" s="1">
        <f t="shared" si="54"/>
        <v>3.0968490520029989E-2</v>
      </c>
      <c r="AD77" s="1">
        <f t="shared" si="54"/>
        <v>5.8713319811354345E-2</v>
      </c>
      <c r="AE77" s="1">
        <f t="shared" si="54"/>
        <v>9.8891742465424592E-2</v>
      </c>
      <c r="AF77" s="1">
        <f t="shared" si="54"/>
        <v>0.12173464605099177</v>
      </c>
      <c r="BE77" s="7" t="s">
        <v>498</v>
      </c>
      <c r="BF77" s="7">
        <v>2</v>
      </c>
      <c r="BG77" s="7">
        <v>143.34216510109502</v>
      </c>
      <c r="BH77" s="7">
        <v>71.67108255054751</v>
      </c>
      <c r="BI77" s="7">
        <v>202.04885224294688</v>
      </c>
      <c r="BJ77" s="7">
        <v>1.6495814874121639E-23</v>
      </c>
      <c r="BK77"/>
      <c r="BL77"/>
      <c r="BM77"/>
    </row>
    <row r="78" spans="1:65" x14ac:dyDescent="0.25">
      <c r="A78" s="1">
        <v>-117.402367591857</v>
      </c>
      <c r="B78">
        <v>14.8319564774505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O78" s="3"/>
      <c r="P78" s="23" t="s">
        <v>483</v>
      </c>
      <c r="Q78" s="3">
        <v>7.6827115493354397E-5</v>
      </c>
      <c r="R78" s="3">
        <v>2.6521128529211101E-4</v>
      </c>
      <c r="S78" s="3">
        <v>1.18374147016813E-3</v>
      </c>
      <c r="T78" s="3">
        <v>3.0259835524634199E-3</v>
      </c>
      <c r="U78" s="3">
        <v>6.3004910868501704E-3</v>
      </c>
      <c r="V78" s="3">
        <v>1.24520320883586E-2</v>
      </c>
      <c r="W78" s="3">
        <v>1.7767451477614601E-2</v>
      </c>
      <c r="X78" s="3"/>
      <c r="Y78" s="3" t="s">
        <v>519</v>
      </c>
      <c r="Z78" s="3">
        <f>Q71/(Q71+Q64)</f>
        <v>0.99962755040148643</v>
      </c>
      <c r="AA78" s="3">
        <f t="shared" ref="AA78:AF78" si="56">R71/(R71+R64)</f>
        <v>0.99845880503731399</v>
      </c>
      <c r="AB78" s="3">
        <f t="shared" si="56"/>
        <v>0.99045915992864875</v>
      </c>
      <c r="AC78" s="3">
        <f t="shared" si="56"/>
        <v>0.96264984610709803</v>
      </c>
      <c r="AD78" s="3">
        <f t="shared" si="56"/>
        <v>0.86600351160547084</v>
      </c>
      <c r="AE78" s="3">
        <f t="shared" si="56"/>
        <v>0.52469167750624568</v>
      </c>
      <c r="AF78" s="3">
        <f t="shared" si="56"/>
        <v>0.22943806325215729</v>
      </c>
      <c r="BE78" s="7" t="s">
        <v>499</v>
      </c>
      <c r="BF78" s="7">
        <v>47</v>
      </c>
      <c r="BG78" s="7">
        <v>16.671912967985307</v>
      </c>
      <c r="BH78" s="7">
        <v>0.35472155251032567</v>
      </c>
      <c r="BI78" s="7"/>
      <c r="BJ78" s="7"/>
      <c r="BK78"/>
      <c r="BL78"/>
      <c r="BM78"/>
    </row>
    <row r="79" spans="1:65" ht="15.75" thickBot="1" x14ac:dyDescent="0.3">
      <c r="A79" s="1">
        <v>-106.80001378059301</v>
      </c>
      <c r="B79">
        <v>14.8319564774505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P79" s="23"/>
      <c r="Q79" s="1">
        <v>1.50382951756458E-4</v>
      </c>
      <c r="R79" s="1">
        <v>5.1514882491151496E-4</v>
      </c>
      <c r="S79" s="1">
        <v>2.2206130973892401E-3</v>
      </c>
      <c r="T79" s="1">
        <v>5.4809523653847501E-3</v>
      </c>
      <c r="U79" s="1">
        <v>1.0979400175783799E-2</v>
      </c>
      <c r="V79" s="1">
        <v>2.0376049812143599E-2</v>
      </c>
      <c r="W79" s="1">
        <v>2.7138818969199702E-2</v>
      </c>
      <c r="Z79" s="3">
        <f t="shared" ref="Z79:Z84" si="57">Q72/(Q72+Q65)</f>
        <v>0.9994485506740215</v>
      </c>
      <c r="AA79" s="3">
        <f t="shared" ref="AA79:AA84" si="58">R72/(R72+R65)</f>
        <v>0.99780272097970157</v>
      </c>
      <c r="AB79" s="3">
        <f t="shared" ref="AB79:AB84" si="59">S72/(S72+S65)</f>
        <v>0.9865465133356075</v>
      </c>
      <c r="AC79" s="3">
        <f t="shared" ref="AC79:AC84" si="60">T72/(T72+T65)</f>
        <v>0.94888792291037993</v>
      </c>
      <c r="AD79" s="3">
        <f t="shared" ref="AD79:AD84" si="61">U72/(U72+U65)</f>
        <v>0.82922172797917071</v>
      </c>
      <c r="AE79" s="3">
        <f t="shared" ref="AE79:AE84" si="62">V72/(V72+V65)</f>
        <v>0.44902353320559729</v>
      </c>
      <c r="AF79" s="3">
        <f t="shared" ref="AF79:AF84" si="63">W72/(W72+W65)</f>
        <v>0.17543512341125544</v>
      </c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BE79" s="8" t="s">
        <v>500</v>
      </c>
      <c r="BF79" s="8">
        <v>49</v>
      </c>
      <c r="BG79" s="8">
        <v>160.01407806908031</v>
      </c>
      <c r="BH79" s="8"/>
      <c r="BI79" s="8"/>
      <c r="BJ79" s="8"/>
      <c r="BK79"/>
      <c r="BL79"/>
      <c r="BM79"/>
    </row>
    <row r="80" spans="1:65" ht="15.75" thickBot="1" x14ac:dyDescent="0.3">
      <c r="A80" s="1">
        <v>-97.073161005973802</v>
      </c>
      <c r="B80">
        <v>14.8319564774505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O80" s="3"/>
      <c r="P80" s="23"/>
      <c r="Q80" s="3">
        <v>3.7346971263295099E-4</v>
      </c>
      <c r="R80" s="3">
        <v>1.25485489844935E-3</v>
      </c>
      <c r="S80" s="3">
        <v>5.2647037503190802E-3</v>
      </c>
      <c r="T80" s="3">
        <v>1.2676682009020101E-2</v>
      </c>
      <c r="U80" s="3">
        <v>2.4687582057942602E-2</v>
      </c>
      <c r="V80" s="3">
        <v>4.3983644384507303E-2</v>
      </c>
      <c r="W80" s="3">
        <v>5.6019966824911102E-2</v>
      </c>
      <c r="X80" s="3"/>
      <c r="Y80" s="3"/>
      <c r="Z80" s="3">
        <f t="shared" si="57"/>
        <v>0.99919289200320782</v>
      </c>
      <c r="AA80" s="3">
        <f t="shared" si="58"/>
        <v>0.99687967838431313</v>
      </c>
      <c r="AB80" s="3">
        <f t="shared" si="59"/>
        <v>0.98183906442442004</v>
      </c>
      <c r="AC80" s="3">
        <f t="shared" si="60"/>
        <v>0.93425203466045781</v>
      </c>
      <c r="AD80" s="3">
        <f t="shared" si="61"/>
        <v>0.7893534465742208</v>
      </c>
      <c r="AE80" s="3">
        <f t="shared" si="62"/>
        <v>0.39245686595102697</v>
      </c>
      <c r="AF80" s="3">
        <f t="shared" si="63"/>
        <v>0.14296203408667635</v>
      </c>
      <c r="AG80"/>
      <c r="AH8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BE80"/>
      <c r="BF80"/>
      <c r="BG80"/>
      <c r="BH80"/>
      <c r="BI80"/>
      <c r="BJ80"/>
      <c r="BK80"/>
      <c r="BL80"/>
      <c r="BM80"/>
    </row>
    <row r="81" spans="1:66" x14ac:dyDescent="0.25">
      <c r="A81" s="1">
        <v>-88.149435520172105</v>
      </c>
      <c r="B81">
        <v>14.8319564774505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O81" s="3"/>
      <c r="P81" s="23"/>
      <c r="Q81" s="3">
        <v>7.3594123266366703E-4</v>
      </c>
      <c r="R81" s="3">
        <v>2.4978602036188598E-3</v>
      </c>
      <c r="S81" s="3">
        <v>1.0300128977005199E-2</v>
      </c>
      <c r="T81" s="3">
        <v>2.4700800610784401E-2</v>
      </c>
      <c r="U81" s="3">
        <v>4.7984029879467698E-2</v>
      </c>
      <c r="V81" s="3">
        <v>8.3434482541501306E-2</v>
      </c>
      <c r="W81" s="3">
        <v>0.105162895172582</v>
      </c>
      <c r="X81" s="3"/>
      <c r="Y81" s="3"/>
      <c r="Z81" s="3">
        <f t="shared" si="57"/>
        <v>0.99898636576034594</v>
      </c>
      <c r="AA81" s="3">
        <f t="shared" si="58"/>
        <v>0.99620515375515817</v>
      </c>
      <c r="AB81" s="3">
        <f t="shared" si="59"/>
        <v>0.97876425856258342</v>
      </c>
      <c r="AC81" s="3">
        <f t="shared" si="60"/>
        <v>0.92601014510733537</v>
      </c>
      <c r="AD81" s="3">
        <f t="shared" si="61"/>
        <v>0.77271859354300765</v>
      </c>
      <c r="AE81" s="3">
        <f t="shared" si="62"/>
        <v>0.37114855030919508</v>
      </c>
      <c r="AF81" s="3">
        <f t="shared" si="63"/>
        <v>0.13292631195076932</v>
      </c>
      <c r="AG81" s="11"/>
      <c r="AH81" s="11"/>
      <c r="AI81" s="12"/>
      <c r="AJ81" s="12"/>
      <c r="AK81" s="12"/>
      <c r="AL81" s="12"/>
      <c r="AM81" s="12"/>
      <c r="AN81" s="13"/>
      <c r="AO81" s="3"/>
      <c r="AP81" s="3"/>
      <c r="AQ81" s="3"/>
      <c r="AR81" s="3"/>
      <c r="AS81" s="3"/>
      <c r="AT81" s="12"/>
      <c r="AU81" s="12"/>
      <c r="AV81" s="12"/>
      <c r="AW81" s="12"/>
      <c r="AX81" s="12"/>
      <c r="AY81" s="12"/>
      <c r="AZ81" s="12"/>
      <c r="BA81" s="12"/>
      <c r="BE81" s="9"/>
      <c r="BF81" s="9" t="s">
        <v>506</v>
      </c>
      <c r="BG81" s="9" t="s">
        <v>495</v>
      </c>
      <c r="BH81" s="9" t="s">
        <v>507</v>
      </c>
      <c r="BI81" s="9" t="s">
        <v>508</v>
      </c>
      <c r="BJ81" s="9" t="s">
        <v>509</v>
      </c>
      <c r="BK81" s="9" t="s">
        <v>510</v>
      </c>
      <c r="BL81" s="9" t="s">
        <v>511</v>
      </c>
      <c r="BM81" s="9" t="s">
        <v>512</v>
      </c>
    </row>
    <row r="82" spans="1:66" x14ac:dyDescent="0.25">
      <c r="A82" s="1">
        <v>-79.962490797042804</v>
      </c>
      <c r="B82">
        <v>14.8319564774505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O82" s="3"/>
      <c r="P82" s="23"/>
      <c r="Q82" s="3">
        <v>1.44442075699825E-3</v>
      </c>
      <c r="R82" s="3">
        <v>4.9040261291139796E-3</v>
      </c>
      <c r="S82" s="3">
        <v>2.04107523189344E-2</v>
      </c>
      <c r="T82" s="3">
        <v>4.8757490157276401E-2</v>
      </c>
      <c r="U82" s="3">
        <v>9.3757692472763499E-2</v>
      </c>
      <c r="V82" s="3">
        <v>0.16145107745621501</v>
      </c>
      <c r="W82" s="3">
        <v>0.20212853953066701</v>
      </c>
      <c r="X82" s="3"/>
      <c r="Y82" s="3"/>
      <c r="Z82" s="3">
        <f t="shared" si="57"/>
        <v>0.99878045354666622</v>
      </c>
      <c r="AA82" s="3">
        <f t="shared" si="58"/>
        <v>0.99556022085467566</v>
      </c>
      <c r="AB82" s="3">
        <f t="shared" si="59"/>
        <v>0.97629157982719628</v>
      </c>
      <c r="AC82" s="3">
        <f t="shared" si="60"/>
        <v>0.92004735989359998</v>
      </c>
      <c r="AD82" s="3">
        <f t="shared" si="61"/>
        <v>0.76070362154724425</v>
      </c>
      <c r="AE82" s="3">
        <f t="shared" si="62"/>
        <v>0.35838309925914658</v>
      </c>
      <c r="AF82" s="3">
        <f t="shared" si="63"/>
        <v>0.12704771209265567</v>
      </c>
      <c r="AG82" s="11"/>
      <c r="AH82" s="11"/>
      <c r="AI82" s="12"/>
      <c r="AJ82" s="12"/>
      <c r="AK82" s="12"/>
      <c r="AL82" s="12"/>
      <c r="AM82" s="12"/>
      <c r="AN82" s="13"/>
      <c r="AO82" s="3"/>
      <c r="AP82" s="3"/>
      <c r="AQ82" s="3"/>
      <c r="AR82" s="3"/>
      <c r="AS82" s="3"/>
      <c r="AT82" s="12"/>
      <c r="AU82" s="12"/>
      <c r="AV82" s="12"/>
      <c r="AW82" s="12"/>
      <c r="AX82" s="12"/>
      <c r="AY82" s="12"/>
      <c r="AZ82" s="12"/>
      <c r="BA82" s="12"/>
      <c r="BE82" s="7" t="s">
        <v>501</v>
      </c>
      <c r="BF82" s="7">
        <v>0</v>
      </c>
      <c r="BG82" s="7" t="e">
        <v>#N/A</v>
      </c>
      <c r="BH82" s="7" t="e">
        <v>#N/A</v>
      </c>
      <c r="BI82" s="7" t="e">
        <v>#N/A</v>
      </c>
      <c r="BJ82" s="7" t="e">
        <v>#N/A</v>
      </c>
      <c r="BK82" s="7" t="e">
        <v>#N/A</v>
      </c>
      <c r="BL82" s="7" t="e">
        <v>#N/A</v>
      </c>
      <c r="BM82" s="7" t="e">
        <v>#N/A</v>
      </c>
    </row>
    <row r="83" spans="1:66" x14ac:dyDescent="0.25">
      <c r="A83" s="1">
        <v>-72.451583743095298</v>
      </c>
      <c r="B83">
        <v>14.8319564774505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P83" s="23"/>
      <c r="Q83" s="1">
        <v>3.44908162078652E-3</v>
      </c>
      <c r="R83" s="1">
        <v>1.1733262743661099E-2</v>
      </c>
      <c r="S83" s="1">
        <v>4.8960339160037503E-2</v>
      </c>
      <c r="T83" s="1">
        <v>0.116819629247291</v>
      </c>
      <c r="U83" s="1">
        <v>0.223324130644448</v>
      </c>
      <c r="V83" s="1">
        <v>0.38031898022409799</v>
      </c>
      <c r="W83" s="1">
        <v>0.472856190688208</v>
      </c>
      <c r="Z83" s="3">
        <f t="shared" si="57"/>
        <v>0.99848613224305538</v>
      </c>
      <c r="AA83" s="3">
        <f t="shared" si="58"/>
        <v>0.99471143571665555</v>
      </c>
      <c r="AB83" s="3">
        <f t="shared" si="59"/>
        <v>0.97322422332947867</v>
      </c>
      <c r="AC83" s="3">
        <f t="shared" si="60"/>
        <v>0.91259121199595861</v>
      </c>
      <c r="AD83" s="3">
        <f t="shared" si="61"/>
        <v>0.74536751385392719</v>
      </c>
      <c r="AE83" s="3">
        <f t="shared" si="62"/>
        <v>0.34105977287076189</v>
      </c>
      <c r="AF83" s="3">
        <f t="shared" si="63"/>
        <v>0.11890262021340886</v>
      </c>
      <c r="AG83" s="11"/>
      <c r="AH83" s="11"/>
      <c r="AI83" s="12"/>
      <c r="AJ83" s="12"/>
      <c r="AK83" s="12"/>
      <c r="AL83" s="12"/>
      <c r="AM83" s="12"/>
      <c r="AN83" s="13"/>
      <c r="AO83" s="3"/>
      <c r="AP83" s="3"/>
      <c r="AQ83" s="3"/>
      <c r="AR83" s="3"/>
      <c r="AS83" s="3"/>
      <c r="AT83" s="16"/>
      <c r="AU83" s="16"/>
      <c r="AV83" s="12"/>
      <c r="AW83" s="12"/>
      <c r="AX83" s="12"/>
      <c r="AY83" s="12"/>
      <c r="AZ83" s="12"/>
      <c r="BA83" s="12"/>
      <c r="BE83" s="7" t="s">
        <v>513</v>
      </c>
      <c r="BF83" s="7">
        <v>-0.13908477621689769</v>
      </c>
      <c r="BG83" s="7">
        <v>5.5010871086548514E-2</v>
      </c>
      <c r="BH83" s="7">
        <v>-2.528314376227125</v>
      </c>
      <c r="BI83" s="7">
        <v>1.487920619783104E-2</v>
      </c>
      <c r="BJ83" s="7">
        <v>-0.24975237427727276</v>
      </c>
      <c r="BK83" s="7">
        <v>-2.8417178156522602E-2</v>
      </c>
      <c r="BL83" s="7">
        <v>-0.24975237427727276</v>
      </c>
      <c r="BM83" s="7">
        <v>-2.8417178156522602E-2</v>
      </c>
      <c r="BN83" s="1">
        <f>2*BG83</f>
        <v>0.11002174217309703</v>
      </c>
    </row>
    <row r="84" spans="1:66" ht="15.75" thickBot="1" x14ac:dyDescent="0.3">
      <c r="A84" s="1">
        <v>-65.560821294784503</v>
      </c>
      <c r="B84">
        <v>14.8319564774505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P84" s="23"/>
      <c r="Q84" s="1">
        <v>6.4481969040512798E-3</v>
      </c>
      <c r="R84" s="1">
        <v>2.1950649380721599E-2</v>
      </c>
      <c r="S84" s="1">
        <v>9.1544829283480705E-2</v>
      </c>
      <c r="T84" s="1">
        <v>0.21757621707318001</v>
      </c>
      <c r="U84" s="1">
        <v>0.412984552453525</v>
      </c>
      <c r="V84" s="1">
        <v>0.69620374599343404</v>
      </c>
      <c r="W84" s="1">
        <v>0.85722103027409202</v>
      </c>
      <c r="Z84" s="3">
        <f t="shared" si="57"/>
        <v>0.99820240146283679</v>
      </c>
      <c r="AA84" s="3">
        <f t="shared" si="58"/>
        <v>0.99391497527860662</v>
      </c>
      <c r="AB84" s="3">
        <f t="shared" si="59"/>
        <v>0.97019328053794063</v>
      </c>
      <c r="AC84" s="3">
        <f t="shared" si="60"/>
        <v>0.90439373544797896</v>
      </c>
      <c r="AD84" s="3">
        <f t="shared" si="61"/>
        <v>0.72684838283336417</v>
      </c>
      <c r="AE84" s="3">
        <f t="shared" si="62"/>
        <v>0.31963661451169606</v>
      </c>
      <c r="AF84" s="3">
        <f t="shared" si="63"/>
        <v>0.10779701619465204</v>
      </c>
      <c r="AG84" s="11"/>
      <c r="AH84" s="11"/>
      <c r="AI84" s="12"/>
      <c r="AJ84" s="12"/>
      <c r="AK84" s="12"/>
      <c r="AL84" s="12"/>
      <c r="AM84" s="12"/>
      <c r="AN84" s="12"/>
      <c r="AT84" s="6"/>
      <c r="AU84" s="6"/>
      <c r="AV84" s="12"/>
      <c r="AW84" s="12"/>
      <c r="AX84" s="12"/>
      <c r="AY84" s="12"/>
      <c r="AZ84" s="12"/>
      <c r="BA84" s="12"/>
      <c r="BE84" s="8" t="s">
        <v>514</v>
      </c>
      <c r="BF84" s="8">
        <v>1.0970570891134848</v>
      </c>
      <c r="BG84" s="8">
        <v>5.5010871086548542E-2</v>
      </c>
      <c r="BH84" s="8">
        <v>19.942550762148194</v>
      </c>
      <c r="BI84" s="8">
        <v>1.417082030763904E-24</v>
      </c>
      <c r="BJ84" s="8">
        <v>0.98638949105310958</v>
      </c>
      <c r="BK84" s="8">
        <v>1.2077246871738598</v>
      </c>
      <c r="BL84" s="8">
        <v>0.98638949105310958</v>
      </c>
      <c r="BM84" s="8">
        <v>1.2077246871738598</v>
      </c>
      <c r="BN84" s="1">
        <f>2*BG84</f>
        <v>0.11002174217309708</v>
      </c>
    </row>
    <row r="85" spans="1:66" x14ac:dyDescent="0.25">
      <c r="A85" s="1">
        <v>-59.238972067832897</v>
      </c>
      <c r="B85">
        <v>14.8319564774505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P85" s="23" t="s">
        <v>484</v>
      </c>
      <c r="Q85" s="1">
        <v>1.00000000000001</v>
      </c>
      <c r="R85" s="1">
        <v>0.999999999999998</v>
      </c>
      <c r="S85" s="1">
        <v>0.999999999999999</v>
      </c>
      <c r="T85" s="1">
        <v>0.999999999999999</v>
      </c>
      <c r="U85" s="1">
        <v>1</v>
      </c>
      <c r="V85" s="1">
        <v>1</v>
      </c>
      <c r="W85" s="1">
        <v>1</v>
      </c>
      <c r="Z85" s="7"/>
      <c r="AA85" s="7"/>
      <c r="AB85" s="11"/>
      <c r="AC85" s="11"/>
      <c r="AD85" s="11"/>
      <c r="AE85" s="11"/>
      <c r="AF85" s="11"/>
      <c r="AG85" s="11"/>
      <c r="AH85" s="11"/>
      <c r="AI85" s="12"/>
      <c r="AJ85" s="12"/>
      <c r="AK85" s="12"/>
      <c r="AL85" s="12"/>
      <c r="AM85" s="12"/>
      <c r="AN85" s="13"/>
      <c r="AO85" s="3"/>
      <c r="AP85" s="3"/>
      <c r="AQ85" s="3"/>
      <c r="AR85" s="3"/>
      <c r="AS85" s="3"/>
      <c r="AT85" s="6"/>
      <c r="AU85" s="6"/>
      <c r="AV85" s="12"/>
      <c r="AW85" s="12"/>
      <c r="AX85" s="12"/>
      <c r="AY85" s="12"/>
      <c r="AZ85" s="12"/>
      <c r="BA85" s="12"/>
      <c r="BE85"/>
      <c r="BF85"/>
      <c r="BG85"/>
      <c r="BH85"/>
      <c r="BI85"/>
      <c r="BJ85"/>
      <c r="BK85"/>
      <c r="BL85"/>
      <c r="BM85"/>
    </row>
    <row r="86" spans="1:66" x14ac:dyDescent="0.25">
      <c r="A86" s="1">
        <v>-53.439136743545497</v>
      </c>
      <c r="B86">
        <v>14.8319564774505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P86" s="23"/>
      <c r="Q86" s="1">
        <v>1</v>
      </c>
      <c r="R86" s="1">
        <v>1</v>
      </c>
      <c r="S86" s="1">
        <v>1</v>
      </c>
      <c r="T86" s="1">
        <v>1</v>
      </c>
      <c r="U86" s="1">
        <v>0.999999999999999</v>
      </c>
      <c r="V86" s="1">
        <v>0.999999999999999</v>
      </c>
      <c r="W86" s="1">
        <v>1</v>
      </c>
      <c r="Z86" s="7"/>
      <c r="AA86" s="7"/>
      <c r="AB86" s="11"/>
      <c r="AC86" s="11"/>
      <c r="AD86" s="11"/>
      <c r="AE86" s="11"/>
      <c r="AF86" s="11"/>
      <c r="AG86" s="11"/>
      <c r="AH86" s="11"/>
      <c r="AI86" s="12"/>
      <c r="AJ86" s="12"/>
      <c r="AK86" s="12"/>
      <c r="AL86" s="12"/>
      <c r="AM86" s="12"/>
      <c r="AN86" s="12"/>
      <c r="AT86" s="6"/>
      <c r="AU86" s="6"/>
      <c r="AV86" s="12"/>
      <c r="AW86" s="12"/>
      <c r="AX86" s="12"/>
      <c r="AY86" s="12"/>
      <c r="AZ86" s="12"/>
      <c r="BA86" s="12"/>
      <c r="BE86"/>
      <c r="BF86"/>
      <c r="BG86"/>
      <c r="BH86"/>
      <c r="BI86"/>
      <c r="BJ86"/>
      <c r="BK86"/>
      <c r="BL86"/>
      <c r="BM86"/>
    </row>
    <row r="87" spans="1:66" x14ac:dyDescent="0.25">
      <c r="A87" s="1">
        <v>-48.118183016777003</v>
      </c>
      <c r="B87">
        <v>14.8319564774505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O87" s="3"/>
      <c r="P87" s="23"/>
      <c r="Q87" s="3">
        <v>0.99999999999997602</v>
      </c>
      <c r="R87" s="3">
        <v>1</v>
      </c>
      <c r="S87" s="3">
        <v>0.999999999999999</v>
      </c>
      <c r="T87" s="3">
        <v>0.999999999999999</v>
      </c>
      <c r="U87" s="3">
        <v>1</v>
      </c>
      <c r="V87" s="3">
        <v>0.999999999999999</v>
      </c>
      <c r="W87" s="3">
        <v>0.999999999999999</v>
      </c>
      <c r="X87" s="3"/>
      <c r="Y87" s="3"/>
      <c r="Z87" s="7"/>
      <c r="AA87" s="7"/>
      <c r="AB87" s="11"/>
      <c r="AC87" s="11"/>
      <c r="AD87" s="11"/>
      <c r="AE87" s="11"/>
      <c r="AF87" s="11"/>
      <c r="AG87" s="11"/>
      <c r="AH87" s="11"/>
      <c r="AI87" s="12"/>
      <c r="AJ87" s="12"/>
      <c r="AK87" s="12"/>
      <c r="AL87" s="12"/>
      <c r="AM87" s="12"/>
      <c r="AN87" s="13"/>
      <c r="AO87" s="3"/>
      <c r="AP87" s="3"/>
      <c r="AQ87" s="3"/>
      <c r="AR87" s="3"/>
      <c r="AS87" s="3"/>
      <c r="AT87" s="6"/>
      <c r="AU87" s="6"/>
      <c r="AV87" s="12"/>
      <c r="AW87" s="12"/>
      <c r="AX87" s="12"/>
      <c r="AY87" s="12"/>
      <c r="AZ87" s="12"/>
      <c r="BA87" s="12"/>
      <c r="BE87"/>
      <c r="BF87"/>
      <c r="BG87"/>
      <c r="BH87"/>
      <c r="BI87"/>
      <c r="BJ87"/>
      <c r="BK87"/>
      <c r="BL87"/>
      <c r="BM87"/>
    </row>
    <row r="88" spans="1:66" x14ac:dyDescent="0.25">
      <c r="A88" s="1">
        <v>-43.236604332923797</v>
      </c>
      <c r="B88">
        <v>14.8319564774505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O88" s="3"/>
      <c r="P88" s="23"/>
      <c r="Q88" s="3">
        <v>1</v>
      </c>
      <c r="R88" s="3">
        <v>0.999999999999998</v>
      </c>
      <c r="S88" s="3">
        <v>1</v>
      </c>
      <c r="T88" s="3">
        <v>1</v>
      </c>
      <c r="U88" s="3">
        <v>1</v>
      </c>
      <c r="V88" s="3">
        <v>0.999999999999999</v>
      </c>
      <c r="W88" s="3">
        <v>1</v>
      </c>
      <c r="X88" s="3"/>
      <c r="Y88" s="3"/>
      <c r="Z88" s="7"/>
      <c r="AA88" s="7"/>
      <c r="AB88" s="11"/>
      <c r="AC88" s="11"/>
      <c r="AD88" s="11"/>
      <c r="AE88" s="11"/>
      <c r="AF88" s="11"/>
      <c r="AG88" s="11"/>
      <c r="AH88" s="11"/>
      <c r="AI88" s="12"/>
      <c r="AJ88" s="12"/>
      <c r="AK88" s="12"/>
      <c r="AL88" s="12"/>
      <c r="AM88" s="12"/>
      <c r="AN88" s="13"/>
      <c r="AO88" s="3"/>
      <c r="AP88" s="3"/>
      <c r="AQ88" s="3"/>
      <c r="AR88" s="3"/>
      <c r="AS88" s="3"/>
      <c r="AT88" s="6"/>
      <c r="AU88" s="6"/>
      <c r="AV88" s="12"/>
      <c r="AW88" s="12"/>
      <c r="AX88" s="12"/>
      <c r="AY88" s="12"/>
      <c r="AZ88" s="12"/>
      <c r="BA88" s="12"/>
      <c r="BE88" t="s">
        <v>490</v>
      </c>
      <c r="BF88" t="s">
        <v>574</v>
      </c>
      <c r="BG88"/>
      <c r="BH88"/>
      <c r="BI88"/>
      <c r="BJ88"/>
      <c r="BK88"/>
      <c r="BL88"/>
      <c r="BM88"/>
    </row>
    <row r="89" spans="1:66" ht="15.75" thickBot="1" x14ac:dyDescent="0.3">
      <c r="A89" s="1">
        <v>-38.758049011230398</v>
      </c>
      <c r="B89">
        <v>14.8319564774505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O89" s="3"/>
      <c r="P89" s="23"/>
      <c r="Q89" s="3">
        <v>1</v>
      </c>
      <c r="R89" s="3">
        <v>1</v>
      </c>
      <c r="S89" s="3">
        <v>1</v>
      </c>
      <c r="T89" s="3">
        <v>1</v>
      </c>
      <c r="U89" s="3">
        <v>1</v>
      </c>
      <c r="V89" s="3">
        <v>1</v>
      </c>
      <c r="W89" s="3">
        <v>1</v>
      </c>
      <c r="X89" s="3"/>
      <c r="Y89" s="3"/>
      <c r="Z89" s="11"/>
      <c r="AA89" s="11"/>
      <c r="AB89" s="11"/>
      <c r="AC89" s="11"/>
      <c r="AD89" s="11"/>
      <c r="AE89" s="11"/>
      <c r="AF89" s="11"/>
      <c r="AG89" s="11"/>
      <c r="AH89" s="11"/>
      <c r="AI89" s="12"/>
      <c r="AJ89" s="12"/>
      <c r="AK89" s="12"/>
      <c r="AL89" s="12"/>
      <c r="AM89" s="12"/>
      <c r="AN89" s="13"/>
      <c r="AO89" s="3"/>
      <c r="AP89" s="3"/>
      <c r="AQ89" s="3"/>
      <c r="AR89" s="3"/>
      <c r="AS89" s="3"/>
      <c r="AT89" s="12"/>
      <c r="AU89" s="12"/>
      <c r="AV89" s="12"/>
      <c r="AW89" s="12"/>
      <c r="AX89" s="12"/>
      <c r="AY89" s="12"/>
      <c r="AZ89" s="12"/>
      <c r="BA89" s="12"/>
      <c r="BE89"/>
      <c r="BF89"/>
      <c r="BG89"/>
      <c r="BH89"/>
      <c r="BI89"/>
      <c r="BJ89"/>
      <c r="BK89"/>
      <c r="BL89"/>
      <c r="BM89"/>
    </row>
    <row r="90" spans="1:66" x14ac:dyDescent="0.25">
      <c r="A90" s="1">
        <v>-34.649320244789102</v>
      </c>
      <c r="B90">
        <v>14.8319564774505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O90" s="3"/>
      <c r="P90" s="23"/>
      <c r="Q90" s="3">
        <v>1</v>
      </c>
      <c r="R90" s="3">
        <v>0.999999999999999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/>
      <c r="Y90" s="3"/>
      <c r="Z90" s="11"/>
      <c r="AA90" s="11"/>
      <c r="AB90" s="11"/>
      <c r="AC90" s="11"/>
      <c r="AD90" s="11"/>
      <c r="AE90" s="11"/>
      <c r="AF90" s="11"/>
      <c r="AG90" s="11"/>
      <c r="AH90" s="11"/>
      <c r="AI90" s="12"/>
      <c r="AJ90" s="12"/>
      <c r="AK90" s="12"/>
      <c r="AL90" s="12"/>
      <c r="AM90" s="12"/>
      <c r="AN90" s="12"/>
      <c r="AT90" s="12"/>
      <c r="AU90" s="12"/>
      <c r="AV90" s="12"/>
      <c r="AW90" s="12"/>
      <c r="AX90" s="12"/>
      <c r="AY90" s="12"/>
      <c r="AZ90" s="12"/>
      <c r="BA90" s="12"/>
      <c r="BE90" s="10" t="s">
        <v>491</v>
      </c>
      <c r="BF90" s="10"/>
      <c r="BG90"/>
      <c r="BH90"/>
      <c r="BI90"/>
      <c r="BJ90"/>
      <c r="BK90"/>
      <c r="BL90"/>
      <c r="BM90"/>
    </row>
    <row r="91" spans="1:66" x14ac:dyDescent="0.25">
      <c r="A91" s="1">
        <v>-30.879811048507602</v>
      </c>
      <c r="B91">
        <v>14.8319564774505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O91" s="3"/>
      <c r="P91" s="23"/>
      <c r="Q91" s="3">
        <v>0.999999999999999</v>
      </c>
      <c r="R91" s="3">
        <v>1</v>
      </c>
      <c r="S91" s="3">
        <v>1</v>
      </c>
      <c r="T91" s="3">
        <v>1</v>
      </c>
      <c r="U91" s="3">
        <v>0.999999999999997</v>
      </c>
      <c r="V91" s="3">
        <v>1</v>
      </c>
      <c r="W91" s="3">
        <v>1</v>
      </c>
      <c r="X91" s="3"/>
      <c r="Y91" s="3"/>
      <c r="Z91" s="15"/>
      <c r="AA91" s="15"/>
      <c r="AB91" s="15"/>
      <c r="AC91" s="15"/>
      <c r="AD91" s="15"/>
      <c r="AE91" s="15"/>
      <c r="AF91" s="11"/>
      <c r="AG91" s="11"/>
      <c r="AH91" s="11"/>
      <c r="AI91" s="12"/>
      <c r="AJ91" s="12"/>
      <c r="AK91" s="12"/>
      <c r="AL91" s="12"/>
      <c r="AM91" s="12"/>
      <c r="AN91" s="12"/>
      <c r="AT91" s="17"/>
      <c r="AU91" s="17"/>
      <c r="AV91" s="17"/>
      <c r="AW91" s="17"/>
      <c r="AX91" s="17"/>
      <c r="AY91" s="17"/>
      <c r="AZ91" s="12"/>
      <c r="BA91" s="12"/>
      <c r="BE91" s="7" t="s">
        <v>492</v>
      </c>
      <c r="BF91" s="7">
        <v>0.97953478426637852</v>
      </c>
      <c r="BG91"/>
      <c r="BH91"/>
      <c r="BI91"/>
      <c r="BJ91"/>
      <c r="BK91"/>
      <c r="BL91"/>
      <c r="BM91"/>
    </row>
    <row r="92" spans="1:66" x14ac:dyDescent="0.25">
      <c r="A92" s="1">
        <v>-27.4215984344482</v>
      </c>
      <c r="B92">
        <v>14.8319564774505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Z92" s="7"/>
      <c r="AA92" s="7"/>
      <c r="AB92" s="7"/>
      <c r="AC92" s="7"/>
      <c r="AD92" s="7"/>
      <c r="AE92" s="7"/>
      <c r="AF92" s="11"/>
      <c r="AG92" s="11"/>
      <c r="AH92" s="11"/>
      <c r="AI92" s="12"/>
      <c r="AJ92" s="12"/>
      <c r="AK92" s="12"/>
      <c r="AL92" s="12"/>
      <c r="AM92" s="12"/>
      <c r="AN92" s="12"/>
      <c r="AT92" s="6"/>
      <c r="AU92" s="6"/>
      <c r="AV92" s="6"/>
      <c r="AW92" s="6"/>
      <c r="AX92" s="6"/>
      <c r="AY92" s="6"/>
      <c r="AZ92" s="12"/>
      <c r="BA92" s="12"/>
      <c r="BE92" s="7" t="s">
        <v>493</v>
      </c>
      <c r="BF92" s="7">
        <v>0.95948839358778082</v>
      </c>
      <c r="BG92"/>
      <c r="BH92"/>
      <c r="BI92"/>
      <c r="BJ92"/>
      <c r="BK92"/>
      <c r="BL92"/>
      <c r="BM92"/>
    </row>
    <row r="93" spans="1:66" x14ac:dyDescent="0.25">
      <c r="A93" s="1">
        <v>-24.248878359794599</v>
      </c>
      <c r="B93">
        <v>14.8319564774505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7"/>
      <c r="AA93" s="7"/>
      <c r="AB93" s="7"/>
      <c r="AC93" s="7"/>
      <c r="AD93" s="7"/>
      <c r="AE93" s="7"/>
      <c r="AF93" s="11"/>
      <c r="AG93" s="11"/>
      <c r="AH93" s="11"/>
      <c r="AI93" s="12"/>
      <c r="AJ93" s="12"/>
      <c r="AK93" s="12"/>
      <c r="AL93" s="12"/>
      <c r="AM93" s="12"/>
      <c r="AN93" s="12"/>
      <c r="AT93" s="6"/>
      <c r="AU93" s="6"/>
      <c r="AV93" s="6"/>
      <c r="AW93" s="6"/>
      <c r="AX93" s="6"/>
      <c r="AY93" s="6"/>
      <c r="AZ93" s="12"/>
      <c r="BA93" s="12"/>
      <c r="BE93" s="7" t="s">
        <v>494</v>
      </c>
      <c r="BF93" s="7">
        <v>0.93734984877049954</v>
      </c>
      <c r="BG93"/>
      <c r="BH93"/>
      <c r="BI93"/>
      <c r="BJ93"/>
      <c r="BK93"/>
      <c r="BL93"/>
      <c r="BM93"/>
    </row>
    <row r="94" spans="1:66" x14ac:dyDescent="0.25">
      <c r="A94" s="1">
        <v>-21.3381540775299</v>
      </c>
      <c r="B94">
        <v>14.8319564774505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Z94" s="7"/>
      <c r="AA94" s="7"/>
      <c r="AB94" s="7"/>
      <c r="AC94" s="7"/>
      <c r="AD94" s="7"/>
      <c r="AE94" s="7"/>
      <c r="AF94" s="11"/>
      <c r="AG94" s="11"/>
      <c r="AH94" s="11"/>
      <c r="AI94" s="12"/>
      <c r="AJ94" s="12"/>
      <c r="AK94" s="12"/>
      <c r="AL94" s="12"/>
      <c r="AM94" s="12"/>
      <c r="AN94" s="13"/>
      <c r="AO94" s="3"/>
      <c r="AP94" s="3"/>
      <c r="AQ94" s="3"/>
      <c r="AR94" s="3"/>
      <c r="AS94" s="3"/>
      <c r="AT94" s="6"/>
      <c r="AU94" s="6"/>
      <c r="AV94" s="6"/>
      <c r="AW94" s="6"/>
      <c r="AX94" s="6"/>
      <c r="AY94" s="6"/>
      <c r="AZ94" s="12"/>
      <c r="BA94" s="12"/>
      <c r="BE94" s="7" t="s">
        <v>495</v>
      </c>
      <c r="BF94" s="7">
        <v>0.52936452332830641</v>
      </c>
      <c r="BG94"/>
      <c r="BH94"/>
      <c r="BI94"/>
      <c r="BJ94"/>
      <c r="BK94"/>
      <c r="BL94"/>
      <c r="BM94"/>
    </row>
    <row r="95" spans="1:66" ht="15.75" thickBot="1" x14ac:dyDescent="0.3">
      <c r="A95" s="1">
        <v>-18.6677181720733</v>
      </c>
      <c r="B95">
        <v>14.8319564774505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11"/>
      <c r="AA95" s="11"/>
      <c r="AB95" s="11"/>
      <c r="AC95" s="11"/>
      <c r="AD95" s="11"/>
      <c r="AE95" s="11"/>
      <c r="AF95" s="11"/>
      <c r="AG95" s="11"/>
      <c r="AH95" s="11"/>
      <c r="AI95" s="12"/>
      <c r="AJ95" s="12"/>
      <c r="AK95" s="12"/>
      <c r="AL95" s="12"/>
      <c r="AM95" s="12"/>
      <c r="AN95" s="13"/>
      <c r="AO95" s="3"/>
      <c r="AP95" s="3"/>
      <c r="AQ95" s="3"/>
      <c r="AR95" s="3"/>
      <c r="AS95" s="3"/>
      <c r="AT95" s="12"/>
      <c r="AU95" s="12"/>
      <c r="AV95" s="12"/>
      <c r="AW95" s="12"/>
      <c r="AX95" s="12"/>
      <c r="AY95" s="12"/>
      <c r="AZ95" s="12"/>
      <c r="BA95" s="12"/>
      <c r="BE95" s="8" t="s">
        <v>496</v>
      </c>
      <c r="BF95" s="8">
        <v>49</v>
      </c>
      <c r="BG95"/>
      <c r="BH95"/>
      <c r="BI95"/>
      <c r="BJ95"/>
      <c r="BK95"/>
      <c r="BL95"/>
      <c r="BM95"/>
    </row>
    <row r="96" spans="1:66" x14ac:dyDescent="0.25">
      <c r="A96" s="1">
        <v>-16.2178409099578</v>
      </c>
      <c r="B96">
        <v>14.8319564774505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15"/>
      <c r="AA96" s="15"/>
      <c r="AB96" s="15"/>
      <c r="AC96" s="15"/>
      <c r="AD96" s="15"/>
      <c r="AE96" s="15"/>
      <c r="AF96" s="15"/>
      <c r="AG96" s="15"/>
      <c r="AH96" s="15"/>
      <c r="AI96" s="12"/>
      <c r="AJ96" s="12"/>
      <c r="AK96" s="12"/>
      <c r="AL96" s="12"/>
      <c r="AM96" s="22"/>
      <c r="AN96" s="22"/>
      <c r="AO96" s="3"/>
      <c r="AP96" s="3"/>
      <c r="AQ96" s="3"/>
      <c r="AR96" s="3"/>
      <c r="AS96" s="3"/>
      <c r="AT96" s="17"/>
      <c r="AU96" s="17"/>
      <c r="AV96" s="17"/>
      <c r="AW96" s="17"/>
      <c r="AX96" s="17"/>
      <c r="AY96" s="17"/>
      <c r="AZ96" s="17"/>
      <c r="BA96" s="17"/>
      <c r="BE96"/>
      <c r="BF96"/>
      <c r="BG96"/>
      <c r="BH96"/>
      <c r="BI96"/>
      <c r="BJ96"/>
      <c r="BK96"/>
      <c r="BL96"/>
      <c r="BM96"/>
    </row>
    <row r="97" spans="1:66" ht="15.75" thickBot="1" x14ac:dyDescent="0.3">
      <c r="A97" s="1">
        <v>-13.9702051877975</v>
      </c>
      <c r="B97">
        <v>14.8319564774505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7"/>
      <c r="AA97" s="7"/>
      <c r="AB97" s="7"/>
      <c r="AC97" s="7"/>
      <c r="AD97" s="7"/>
      <c r="AE97" s="7"/>
      <c r="AF97" s="7"/>
      <c r="AG97" s="7"/>
      <c r="AH97" s="7"/>
      <c r="AI97" s="12"/>
      <c r="AJ97" s="12"/>
      <c r="AK97" s="12"/>
      <c r="AL97" s="12"/>
      <c r="AM97" s="12"/>
      <c r="AN97" s="12"/>
      <c r="AO97" s="3"/>
      <c r="AP97" s="3"/>
      <c r="AQ97" s="3"/>
      <c r="AR97" s="3"/>
      <c r="AS97" s="3"/>
      <c r="AT97" s="6"/>
      <c r="AU97" s="6"/>
      <c r="AV97" s="6"/>
      <c r="AW97" s="6"/>
      <c r="AX97" s="6"/>
      <c r="AY97" s="6"/>
      <c r="AZ97" s="6"/>
      <c r="BA97" s="6"/>
      <c r="BE97" t="s">
        <v>497</v>
      </c>
      <c r="BF97"/>
      <c r="BG97"/>
      <c r="BH97"/>
      <c r="BI97"/>
      <c r="BJ97"/>
      <c r="BK97"/>
      <c r="BL97"/>
      <c r="BM97"/>
    </row>
    <row r="98" spans="1:66" x14ac:dyDescent="0.25">
      <c r="A98" s="1">
        <v>-11.908189058303799</v>
      </c>
      <c r="B98">
        <v>14.8319564774505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Z98" s="7"/>
      <c r="AA98" s="7"/>
      <c r="AB98" s="7"/>
      <c r="AC98" s="7"/>
      <c r="AD98" s="7"/>
      <c r="AE98" s="7"/>
      <c r="AF98" s="7"/>
      <c r="AG98" s="7"/>
      <c r="AH98" s="7"/>
      <c r="AI98" s="12"/>
      <c r="AJ98" s="12"/>
      <c r="AK98" s="12"/>
      <c r="AL98" s="12"/>
      <c r="AM98" s="12"/>
      <c r="AN98" s="12"/>
      <c r="AO98" s="3"/>
      <c r="AP98" s="3"/>
      <c r="AQ98" s="3"/>
      <c r="AR98" s="3"/>
      <c r="AS98" s="3"/>
      <c r="AT98" s="6"/>
      <c r="AU98" s="6"/>
      <c r="AV98" s="6"/>
      <c r="AW98" s="6"/>
      <c r="AX98" s="6"/>
      <c r="AY98" s="6"/>
      <c r="AZ98" s="6"/>
      <c r="BA98" s="6"/>
      <c r="BE98" s="9"/>
      <c r="BF98" s="9" t="s">
        <v>9</v>
      </c>
      <c r="BG98" s="9" t="s">
        <v>502</v>
      </c>
      <c r="BH98" s="9" t="s">
        <v>503</v>
      </c>
      <c r="BI98" s="9" t="s">
        <v>504</v>
      </c>
      <c r="BJ98" s="9" t="s">
        <v>505</v>
      </c>
      <c r="BK98"/>
      <c r="BL98"/>
      <c r="BM98"/>
    </row>
    <row r="99" spans="1:66" x14ac:dyDescent="0.25">
      <c r="A99" s="1">
        <v>-10.016394853591899</v>
      </c>
      <c r="B99">
        <v>14.8319564774505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Z99" s="7"/>
      <c r="AA99" s="7"/>
      <c r="AB99" s="7"/>
      <c r="AC99" s="7"/>
      <c r="AD99" s="7"/>
      <c r="AE99" s="7"/>
      <c r="AF99" s="7"/>
      <c r="AG99" s="7"/>
      <c r="AH99" s="7"/>
      <c r="AI99" s="12"/>
      <c r="AJ99" s="12"/>
      <c r="AK99" s="12"/>
      <c r="AL99" s="12"/>
      <c r="AM99" s="12"/>
      <c r="AN99" s="12"/>
      <c r="AT99" s="6"/>
      <c r="AU99" s="6"/>
      <c r="AV99" s="6"/>
      <c r="AW99" s="6"/>
      <c r="AX99" s="6"/>
      <c r="AY99" s="6"/>
      <c r="AZ99" s="6"/>
      <c r="BA99" s="6"/>
      <c r="BE99" s="7" t="s">
        <v>498</v>
      </c>
      <c r="BF99" s="7">
        <v>2</v>
      </c>
      <c r="BG99" s="7">
        <v>311.93764148742241</v>
      </c>
      <c r="BH99" s="7">
        <v>155.96882074371121</v>
      </c>
      <c r="BI99" s="7">
        <v>556.58067517440793</v>
      </c>
      <c r="BJ99" s="7">
        <v>5.8630096614381432E-33</v>
      </c>
      <c r="BK99"/>
      <c r="BL99"/>
      <c r="BM99"/>
    </row>
    <row r="100" spans="1:66" x14ac:dyDescent="0.25">
      <c r="A100" s="1">
        <v>-8.2808375358581507</v>
      </c>
      <c r="B100">
        <v>14.8319564774505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Z100" s="11"/>
      <c r="AA100" s="11"/>
      <c r="AB100" s="11"/>
      <c r="AC100" s="11"/>
      <c r="AD100" s="11"/>
      <c r="AE100" s="11"/>
      <c r="AF100" s="11"/>
      <c r="AG100" s="11"/>
      <c r="AH100" s="11"/>
      <c r="AI100" s="12"/>
      <c r="AJ100" s="12"/>
      <c r="AK100" s="12"/>
      <c r="AL100" s="12"/>
      <c r="AM100" s="12"/>
      <c r="AN100" s="13"/>
      <c r="AO100" s="3"/>
      <c r="AP100" s="3"/>
      <c r="AQ100" s="3"/>
      <c r="AR100" s="3"/>
      <c r="AS100" s="3"/>
      <c r="AT100" s="12"/>
      <c r="AU100" s="12"/>
      <c r="AV100" s="12"/>
      <c r="AW100" s="12"/>
      <c r="AX100" s="12"/>
      <c r="AY100" s="12"/>
      <c r="AZ100" s="12"/>
      <c r="BA100" s="12"/>
      <c r="BE100" s="7" t="s">
        <v>499</v>
      </c>
      <c r="BF100" s="7">
        <v>47</v>
      </c>
      <c r="BG100" s="7">
        <v>13.170659532254437</v>
      </c>
      <c r="BH100" s="7">
        <v>0.28022679855860505</v>
      </c>
      <c r="BI100" s="7"/>
      <c r="BJ100" s="7"/>
      <c r="BK100"/>
      <c r="BL100"/>
      <c r="BM100"/>
    </row>
    <row r="101" spans="1:66" ht="15.75" thickBot="1" x14ac:dyDescent="0.3">
      <c r="A101" s="1">
        <v>-6.6885209083557102</v>
      </c>
      <c r="B101">
        <v>14.8319564774505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Z101" s="11"/>
      <c r="AA101" s="11"/>
      <c r="AB101" s="11"/>
      <c r="AC101" s="11"/>
      <c r="AD101" s="11"/>
      <c r="AE101" s="11"/>
      <c r="AF101" s="11"/>
      <c r="AG101" s="11"/>
      <c r="AH101" s="11"/>
      <c r="AI101" s="12"/>
      <c r="AJ101" s="12"/>
      <c r="AK101" s="12"/>
      <c r="AL101" s="12"/>
      <c r="AM101" s="12"/>
      <c r="AN101" s="12"/>
      <c r="BE101" s="8" t="s">
        <v>500</v>
      </c>
      <c r="BF101" s="8">
        <v>49</v>
      </c>
      <c r="BG101" s="8">
        <v>325.10830101967684</v>
      </c>
      <c r="BH101" s="8"/>
      <c r="BI101" s="8"/>
      <c r="BJ101" s="8"/>
      <c r="BK101"/>
      <c r="BL101"/>
      <c r="BM101"/>
    </row>
    <row r="102" spans="1:66" ht="15.75" thickBot="1" x14ac:dyDescent="0.3">
      <c r="A102" s="1">
        <v>-5.2277201414108196</v>
      </c>
      <c r="B102">
        <v>14.8319564774505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11"/>
      <c r="AA102" s="11"/>
      <c r="AB102" s="11"/>
      <c r="AC102" s="11"/>
      <c r="AD102" s="11"/>
      <c r="AE102" s="11"/>
      <c r="AF102" s="11"/>
      <c r="AG102" s="11"/>
      <c r="AH102" s="11"/>
      <c r="AI102" s="12"/>
      <c r="AJ102" s="12"/>
      <c r="AK102" s="12"/>
      <c r="AL102" s="12"/>
      <c r="AM102" s="12"/>
      <c r="AN102" s="13"/>
      <c r="AO102" s="3"/>
      <c r="AP102" s="3"/>
      <c r="AQ102" s="3"/>
      <c r="AR102" s="3"/>
      <c r="AS102" s="3"/>
      <c r="BE102"/>
      <c r="BF102"/>
      <c r="BG102"/>
      <c r="BH102"/>
      <c r="BI102"/>
      <c r="BJ102"/>
      <c r="BK102"/>
      <c r="BL102"/>
      <c r="BM102"/>
    </row>
    <row r="103" spans="1:66" x14ac:dyDescent="0.25">
      <c r="A103" s="1">
        <v>-3.88755798339843</v>
      </c>
      <c r="B103">
        <v>14.8319564774505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14"/>
      <c r="AA103" s="14"/>
      <c r="AB103" s="11"/>
      <c r="AC103" s="11"/>
      <c r="AD103" s="11"/>
      <c r="AE103" s="11"/>
      <c r="AF103" s="11"/>
      <c r="AG103" s="11"/>
      <c r="AH103" s="11"/>
      <c r="AI103" s="12"/>
      <c r="AJ103" s="12"/>
      <c r="AK103" s="12"/>
      <c r="AL103" s="12"/>
      <c r="AM103" s="12"/>
      <c r="AN103" s="1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BE103" s="9"/>
      <c r="BF103" s="9" t="s">
        <v>506</v>
      </c>
      <c r="BG103" s="9" t="s">
        <v>495</v>
      </c>
      <c r="BH103" s="9" t="s">
        <v>507</v>
      </c>
      <c r="BI103" s="9" t="s">
        <v>508</v>
      </c>
      <c r="BJ103" s="9" t="s">
        <v>509</v>
      </c>
      <c r="BK103" s="9" t="s">
        <v>510</v>
      </c>
      <c r="BL103" s="9" t="s">
        <v>511</v>
      </c>
      <c r="BM103" s="9" t="s">
        <v>512</v>
      </c>
    </row>
    <row r="104" spans="1:66" x14ac:dyDescent="0.25">
      <c r="A104" s="1">
        <v>-2.6580518484115601</v>
      </c>
      <c r="B104">
        <v>14.8319564774505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7"/>
      <c r="AA104" s="7"/>
      <c r="AB104" s="11"/>
      <c r="AC104" s="11"/>
      <c r="AD104" s="11"/>
      <c r="AE104" s="11"/>
      <c r="AF104" s="11"/>
      <c r="AG104" s="11"/>
      <c r="AH104" s="11"/>
      <c r="AI104" s="12"/>
      <c r="AJ104" s="12"/>
      <c r="AK104" s="12"/>
      <c r="AL104" s="12"/>
      <c r="AM104" s="12"/>
      <c r="AN104" s="1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BE104" s="7" t="s">
        <v>501</v>
      </c>
      <c r="BF104" s="7">
        <v>0</v>
      </c>
      <c r="BG104" s="7" t="e">
        <v>#N/A</v>
      </c>
      <c r="BH104" s="7" t="e">
        <v>#N/A</v>
      </c>
      <c r="BI104" s="7" t="e">
        <v>#N/A</v>
      </c>
      <c r="BJ104" s="7" t="e">
        <v>#N/A</v>
      </c>
      <c r="BK104" s="7" t="e">
        <v>#N/A</v>
      </c>
      <c r="BL104" s="7" t="e">
        <v>#N/A</v>
      </c>
      <c r="BM104" s="7" t="e">
        <v>#N/A</v>
      </c>
    </row>
    <row r="105" spans="1:66" x14ac:dyDescent="0.25">
      <c r="A105" s="1">
        <v>-1.5300196409225399</v>
      </c>
      <c r="B105">
        <v>14.8319564774505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7"/>
      <c r="AA105" s="7"/>
      <c r="AB105" s="11"/>
      <c r="AC105" s="11"/>
      <c r="AD105" s="11"/>
      <c r="AE105" s="11"/>
      <c r="AF105" s="11"/>
      <c r="AG105" s="11"/>
      <c r="AH105" s="11"/>
      <c r="AI105" s="12"/>
      <c r="AJ105" s="12"/>
      <c r="AK105" s="12"/>
      <c r="AL105" s="12"/>
      <c r="AM105" s="12"/>
      <c r="AN105" s="12"/>
      <c r="BE105" s="7" t="s">
        <v>513</v>
      </c>
      <c r="BF105" s="7">
        <v>-0.10871844145864924</v>
      </c>
      <c r="BG105" s="7">
        <v>4.8894450122231002E-2</v>
      </c>
      <c r="BH105" s="7">
        <v>-2.2235333700832003</v>
      </c>
      <c r="BI105" s="7">
        <v>3.1023874112296422E-2</v>
      </c>
      <c r="BJ105" s="7">
        <v>-0.2070813876660807</v>
      </c>
      <c r="BK105" s="7">
        <v>-1.0355495251217789E-2</v>
      </c>
      <c r="BL105" s="7">
        <v>-0.2070813876660807</v>
      </c>
      <c r="BM105" s="7">
        <v>-1.0355495251217789E-2</v>
      </c>
      <c r="BN105" s="1">
        <f t="shared" ref="BN105:BN106" si="64">2*BG105</f>
        <v>9.7788900244462004E-2</v>
      </c>
    </row>
    <row r="106" spans="1:66" ht="15.75" thickBot="1" x14ac:dyDescent="0.3">
      <c r="A106" s="1">
        <v>-0.49517393112182601</v>
      </c>
      <c r="B106">
        <v>14.8319564774505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7"/>
      <c r="AA106" s="7"/>
      <c r="AB106" s="11"/>
      <c r="AC106" s="11"/>
      <c r="AD106" s="11"/>
      <c r="AE106" s="11"/>
      <c r="AF106" s="11"/>
      <c r="AG106" s="11"/>
      <c r="AH106" s="11"/>
      <c r="AI106" s="12"/>
      <c r="AJ106" s="12"/>
      <c r="AK106" s="12"/>
      <c r="AL106" s="12"/>
      <c r="AM106" s="12"/>
      <c r="AN106" s="12"/>
      <c r="BE106" s="8" t="s">
        <v>514</v>
      </c>
      <c r="BF106" s="8">
        <v>1.6276912138973503</v>
      </c>
      <c r="BG106" s="8">
        <v>4.8894450122231023E-2</v>
      </c>
      <c r="BH106" s="8">
        <v>33.289897111600439</v>
      </c>
      <c r="BI106" s="8">
        <v>2.4770171947579225E-34</v>
      </c>
      <c r="BJ106" s="8">
        <v>1.5293282676899187</v>
      </c>
      <c r="BK106" s="8">
        <v>1.7260541601047819</v>
      </c>
      <c r="BL106" s="8">
        <v>1.5293282676899187</v>
      </c>
      <c r="BM106" s="8">
        <v>1.7260541601047819</v>
      </c>
      <c r="BN106" s="1">
        <f t="shared" si="64"/>
        <v>9.7788900244462046E-2</v>
      </c>
    </row>
    <row r="107" spans="1:66" x14ac:dyDescent="0.25">
      <c r="A107" s="1">
        <v>0.49376130104064903</v>
      </c>
      <c r="B107">
        <v>0.35018079931507901</v>
      </c>
      <c r="C107">
        <v>6.03626544011078</v>
      </c>
      <c r="D107">
        <v>0.37549346717181498</v>
      </c>
      <c r="E107">
        <v>-5.2876628470464296E-4</v>
      </c>
      <c r="F107">
        <v>1.6881188203121301E-4</v>
      </c>
      <c r="G107">
        <v>1.42588554048709E-2</v>
      </c>
      <c r="H107">
        <v>0.16095190189239</v>
      </c>
      <c r="I107" s="1">
        <v>4.2883659679550101E-7</v>
      </c>
      <c r="Z107" s="7"/>
      <c r="AA107" s="7"/>
      <c r="AB107" s="11"/>
      <c r="AC107" s="11"/>
      <c r="AD107" s="11"/>
      <c r="AE107" s="11"/>
      <c r="AF107" s="11"/>
      <c r="AG107" s="11"/>
      <c r="AH107" s="11"/>
      <c r="AI107" s="12"/>
      <c r="AJ107" s="12"/>
      <c r="AK107" s="12"/>
      <c r="AL107" s="12"/>
      <c r="AM107" s="12"/>
      <c r="AN107" s="12"/>
      <c r="BE107"/>
      <c r="BF107"/>
      <c r="BG107"/>
      <c r="BH107"/>
      <c r="BI107"/>
      <c r="BJ107"/>
      <c r="BK107"/>
      <c r="BL107"/>
      <c r="BM107"/>
    </row>
    <row r="108" spans="1:66" x14ac:dyDescent="0.25">
      <c r="A108" s="1">
        <v>1.5257111191749499</v>
      </c>
      <c r="B108">
        <v>1.08112564867953</v>
      </c>
      <c r="C108">
        <v>6.0651273099131604</v>
      </c>
      <c r="D108">
        <v>1.17499028565729</v>
      </c>
      <c r="E108">
        <v>-4.5090221528993396E-3</v>
      </c>
      <c r="F108">
        <v>5.2128182354097105E-4</v>
      </c>
      <c r="G108">
        <v>3.0852721532256901E-2</v>
      </c>
      <c r="H108">
        <v>0.60813018008459896</v>
      </c>
      <c r="I108" s="1">
        <v>2.1927854823339699E-5</v>
      </c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7"/>
      <c r="AA108" s="7"/>
      <c r="AB108" s="11"/>
      <c r="AC108" s="11"/>
      <c r="AD108" s="11"/>
      <c r="AE108" s="11"/>
      <c r="AF108" s="11"/>
      <c r="AG108" s="11"/>
      <c r="AH108" s="11"/>
      <c r="AI108" s="12"/>
      <c r="AJ108" s="12"/>
      <c r="AK108" s="12"/>
      <c r="AL108" s="12"/>
      <c r="AM108" s="12"/>
      <c r="AN108" s="12"/>
      <c r="BE108"/>
      <c r="BF108"/>
      <c r="BG108"/>
      <c r="BH108"/>
      <c r="BI108"/>
      <c r="BJ108"/>
      <c r="BK108"/>
      <c r="BL108"/>
      <c r="BM108"/>
    </row>
    <row r="109" spans="1:66" x14ac:dyDescent="0.25">
      <c r="A109" s="1">
        <v>2.6505178213119498</v>
      </c>
      <c r="B109">
        <v>1.87066886591385</v>
      </c>
      <c r="C109">
        <v>6.1443346410286503</v>
      </c>
      <c r="D109">
        <v>2.08586604365727</v>
      </c>
      <c r="E109">
        <v>-1.6668821860231001E-2</v>
      </c>
      <c r="F109">
        <v>9.0849925510809904E-4</v>
      </c>
      <c r="G109">
        <v>5.6547725190031102E-2</v>
      </c>
      <c r="H109">
        <v>0.779996458117308</v>
      </c>
      <c r="I109">
        <v>1.42688752601696E-4</v>
      </c>
      <c r="Z109" s="11"/>
      <c r="AA109" s="11"/>
      <c r="AB109" s="11"/>
      <c r="AC109" s="11"/>
      <c r="AD109" s="11"/>
      <c r="AE109" s="11"/>
      <c r="AF109" s="11"/>
      <c r="AG109" s="11"/>
      <c r="AH109" s="11"/>
      <c r="AI109" s="12"/>
      <c r="AJ109" s="12"/>
      <c r="AK109" s="12"/>
      <c r="AL109" s="12"/>
      <c r="AM109" s="12"/>
      <c r="AN109" s="1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BE109"/>
      <c r="BF109"/>
      <c r="BG109"/>
      <c r="BH109"/>
      <c r="BI109"/>
      <c r="BJ109"/>
      <c r="BK109"/>
      <c r="BL109"/>
      <c r="BM109"/>
    </row>
    <row r="110" spans="1:66" x14ac:dyDescent="0.25">
      <c r="A110" s="1">
        <v>3.8765159249305698</v>
      </c>
      <c r="B110">
        <v>2.7144924675918598</v>
      </c>
      <c r="C110">
        <v>6.3088765991309401</v>
      </c>
      <c r="D110">
        <v>3.12823663012519</v>
      </c>
      <c r="E110">
        <v>-4.0601862095447097E-2</v>
      </c>
      <c r="F110">
        <v>1.31673779577656E-3</v>
      </c>
      <c r="G110">
        <v>8.2129185531420901E-2</v>
      </c>
      <c r="H110">
        <v>0.839793063189335</v>
      </c>
      <c r="I110">
        <v>3.8082178000738799E-4</v>
      </c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2"/>
      <c r="AK110" s="12"/>
      <c r="AL110" s="12"/>
      <c r="AM110" s="12"/>
      <c r="AN110" s="1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BE110" t="s">
        <v>490</v>
      </c>
      <c r="BF110" t="s">
        <v>625</v>
      </c>
      <c r="BG110"/>
      <c r="BH110"/>
      <c r="BI110"/>
      <c r="BJ110"/>
      <c r="BK110"/>
      <c r="BL110"/>
      <c r="BM110"/>
    </row>
    <row r="111" spans="1:66" ht="15.75" thickBot="1" x14ac:dyDescent="0.3">
      <c r="A111" s="1">
        <v>5.2129346132278398</v>
      </c>
      <c r="B111">
        <v>3.6022711137182499</v>
      </c>
      <c r="C111">
        <v>6.5860682079646899</v>
      </c>
      <c r="D111">
        <v>4.2830999755617398</v>
      </c>
      <c r="E111">
        <v>-8.0406337230697206E-2</v>
      </c>
      <c r="F111">
        <v>1.7033671591130499E-3</v>
      </c>
      <c r="G111">
        <v>0.10027380964392001</v>
      </c>
      <c r="H111">
        <v>0.85666568592452996</v>
      </c>
      <c r="I111">
        <v>8.0250835327690801E-4</v>
      </c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15"/>
      <c r="AA111" s="15"/>
      <c r="AB111" s="15"/>
      <c r="AC111" s="15"/>
      <c r="AD111" s="15"/>
      <c r="AE111" s="15"/>
      <c r="AF111" s="11"/>
      <c r="AG111" s="11"/>
      <c r="AH111" s="11"/>
      <c r="AI111" s="12"/>
      <c r="AJ111" s="12"/>
      <c r="AK111" s="12"/>
      <c r="AL111" s="12"/>
      <c r="AM111" s="12"/>
      <c r="AN111" s="1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BE111"/>
      <c r="BF111"/>
      <c r="BG111"/>
      <c r="BH111"/>
      <c r="BI111"/>
      <c r="BJ111"/>
      <c r="BK111"/>
      <c r="BL111"/>
      <c r="BM111"/>
    </row>
    <row r="112" spans="1:66" x14ac:dyDescent="0.25">
      <c r="A112" s="1">
        <v>6.6695916652679399</v>
      </c>
      <c r="B112">
        <v>4.51645287553439</v>
      </c>
      <c r="C112">
        <v>6.9678805181440104</v>
      </c>
      <c r="D112">
        <v>5.4675010978387899</v>
      </c>
      <c r="E112">
        <v>-0.138122647138162</v>
      </c>
      <c r="F112">
        <v>2.0024232672774902E-3</v>
      </c>
      <c r="G112">
        <v>0.108797783558817</v>
      </c>
      <c r="H112">
        <v>0.85178802452192803</v>
      </c>
      <c r="I112">
        <v>1.8060500569328599E-3</v>
      </c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7"/>
      <c r="AA112" s="7"/>
      <c r="AB112" s="7"/>
      <c r="AC112" s="7"/>
      <c r="AD112" s="7"/>
      <c r="AE112" s="7"/>
      <c r="AF112" s="11"/>
      <c r="AG112" s="11"/>
      <c r="AH112" s="11"/>
      <c r="AI112" s="12"/>
      <c r="AJ112" s="12"/>
      <c r="AK112" s="12"/>
      <c r="AL112" s="12"/>
      <c r="AM112" s="12"/>
      <c r="AN112" s="1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BE112" s="10" t="s">
        <v>491</v>
      </c>
      <c r="BF112" s="10"/>
      <c r="BG112"/>
      <c r="BH112"/>
      <c r="BI112"/>
      <c r="BJ112"/>
      <c r="BK112"/>
      <c r="BL112"/>
      <c r="BM112"/>
    </row>
    <row r="113" spans="1:66" x14ac:dyDescent="0.25">
      <c r="A113" s="1">
        <v>8.2573878765106201</v>
      </c>
      <c r="B113">
        <v>5.4331525033212698</v>
      </c>
      <c r="C113">
        <v>7.3965245512736804</v>
      </c>
      <c r="D113">
        <v>6.5435596135563303</v>
      </c>
      <c r="E113">
        <v>-0.21194957079678001</v>
      </c>
      <c r="F113">
        <v>2.14337811128617E-3</v>
      </c>
      <c r="G113">
        <v>0.110914063468441</v>
      </c>
      <c r="H113">
        <v>0.83428985286976998</v>
      </c>
      <c r="I113">
        <v>4.2744801802955699E-3</v>
      </c>
      <c r="Z113" s="7"/>
      <c r="AA113" s="7"/>
      <c r="AB113" s="7"/>
      <c r="AC113" s="7"/>
      <c r="AD113" s="7"/>
      <c r="AE113" s="7"/>
      <c r="AF113" s="11"/>
      <c r="AG113" s="11"/>
      <c r="AH113" s="11"/>
      <c r="AI113" s="12"/>
      <c r="AJ113" s="12"/>
      <c r="AK113" s="12"/>
      <c r="AL113" s="12"/>
      <c r="AM113" s="12"/>
      <c r="AN113" s="1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BE113" s="7" t="s">
        <v>492</v>
      </c>
      <c r="BF113" s="7">
        <v>0.99860429373398807</v>
      </c>
      <c r="BG113"/>
      <c r="BH113"/>
      <c r="BI113"/>
      <c r="BJ113"/>
      <c r="BK113"/>
      <c r="BL113"/>
      <c r="BM113"/>
    </row>
    <row r="114" spans="1:66" x14ac:dyDescent="0.25">
      <c r="A114" s="1">
        <v>9.9880245327949506</v>
      </c>
      <c r="B114">
        <v>6.3257600193716099</v>
      </c>
      <c r="C114">
        <v>7.7818797855904203</v>
      </c>
      <c r="D114">
        <v>7.3718181076768499</v>
      </c>
      <c r="E114">
        <v>-0.29612431485159502</v>
      </c>
      <c r="F114">
        <v>2.0777019138183001E-3</v>
      </c>
      <c r="G114">
        <v>0.111580606392281</v>
      </c>
      <c r="H114">
        <v>0.810771755804501</v>
      </c>
      <c r="I114">
        <v>8.1528385181975499E-3</v>
      </c>
      <c r="Z114" s="7"/>
      <c r="AA114" s="7"/>
      <c r="AB114" s="7"/>
      <c r="AC114" s="7"/>
      <c r="AD114" s="7"/>
      <c r="AE114" s="7"/>
      <c r="AF114" s="11"/>
      <c r="AG114" s="11"/>
      <c r="AH114" s="11"/>
      <c r="AI114" s="12"/>
      <c r="AJ114" s="12"/>
      <c r="AK114" s="12"/>
      <c r="AL114" s="12"/>
      <c r="AM114" s="12"/>
      <c r="AN114" s="12"/>
      <c r="BE114" s="7" t="s">
        <v>493</v>
      </c>
      <c r="BF114" s="7">
        <v>0.9972105354639571</v>
      </c>
      <c r="BG114"/>
      <c r="BH114"/>
      <c r="BI114"/>
      <c r="BJ114"/>
      <c r="BK114"/>
      <c r="BL114"/>
      <c r="BM114"/>
    </row>
    <row r="115" spans="1:66" x14ac:dyDescent="0.25">
      <c r="A115" s="1">
        <v>11.874474287032999</v>
      </c>
      <c r="B115">
        <v>7.1704627846240498</v>
      </c>
      <c r="C115">
        <v>8.0420194625032106</v>
      </c>
      <c r="D115">
        <v>7.8713969167166997</v>
      </c>
      <c r="E115">
        <v>-0.38304810445430398</v>
      </c>
      <c r="F115">
        <v>1.8215580941158601E-3</v>
      </c>
      <c r="G115">
        <v>0.113122605089033</v>
      </c>
      <c r="H115">
        <v>0.78590741867637404</v>
      </c>
      <c r="I115">
        <v>1.0789928159855701E-2</v>
      </c>
      <c r="Z115" s="11"/>
      <c r="AA115" s="11"/>
      <c r="AB115" s="11"/>
      <c r="AC115" s="11"/>
      <c r="AD115" s="11"/>
      <c r="AE115" s="11"/>
      <c r="AF115" s="11"/>
      <c r="AG115" s="11"/>
      <c r="AH115" s="11"/>
      <c r="AI115" s="12"/>
      <c r="AJ115" s="12"/>
      <c r="AK115" s="12"/>
      <c r="AL115" s="12"/>
      <c r="AM115" s="12"/>
      <c r="AN115" s="12"/>
      <c r="BE115" s="7" t="s">
        <v>494</v>
      </c>
      <c r="BF115" s="7">
        <v>0.97587458940999872</v>
      </c>
      <c r="BG115"/>
      <c r="BH115"/>
      <c r="BI115"/>
      <c r="BJ115"/>
      <c r="BK115"/>
      <c r="BL115"/>
      <c r="BM115"/>
    </row>
    <row r="116" spans="1:66" x14ac:dyDescent="0.25">
      <c r="A116" s="1">
        <v>13.9306750893592</v>
      </c>
      <c r="B116">
        <v>7.9509322815447501</v>
      </c>
      <c r="C116">
        <v>8.13417783806287</v>
      </c>
      <c r="D116">
        <v>8.0400142172205893</v>
      </c>
      <c r="E116">
        <v>-0.46603806739987902</v>
      </c>
      <c r="F116">
        <v>1.4606427431258699E-3</v>
      </c>
      <c r="G116">
        <v>0.114693702827758</v>
      </c>
      <c r="H116">
        <v>0.76149073993240302</v>
      </c>
      <c r="I116">
        <v>9.7115661201170895E-3</v>
      </c>
      <c r="Z116" s="15"/>
      <c r="AA116" s="15"/>
      <c r="AB116" s="15"/>
      <c r="AC116" s="15"/>
      <c r="AD116" s="15"/>
      <c r="AE116" s="15"/>
      <c r="AF116" s="15"/>
      <c r="AG116" s="15"/>
      <c r="AH116" s="15"/>
      <c r="AI116" s="12"/>
      <c r="AJ116" s="12"/>
      <c r="AK116" s="12"/>
      <c r="AL116" s="12"/>
      <c r="AM116" s="22"/>
      <c r="AN116" s="22"/>
      <c r="BE116" s="7" t="s">
        <v>495</v>
      </c>
      <c r="BF116" s="7">
        <v>0.15993354194041001</v>
      </c>
      <c r="BG116"/>
      <c r="BH116"/>
      <c r="BI116"/>
      <c r="BJ116"/>
      <c r="BK116"/>
      <c r="BL116"/>
      <c r="BM116"/>
    </row>
    <row r="117" spans="1:66" ht="15.75" thickBot="1" x14ac:dyDescent="0.3">
      <c r="A117" s="1">
        <v>16.171883344650201</v>
      </c>
      <c r="B117">
        <v>8.6597502083390392</v>
      </c>
      <c r="C117">
        <v>8.0574100943481</v>
      </c>
      <c r="D117">
        <v>7.9311016550428102</v>
      </c>
      <c r="E117">
        <v>-0.54076838241438696</v>
      </c>
      <c r="F117">
        <v>1.1189578940980201E-3</v>
      </c>
      <c r="G117">
        <v>0.114676330260662</v>
      </c>
      <c r="H117">
        <v>0.73749650581840798</v>
      </c>
      <c r="I117">
        <v>5.3462358235049001E-3</v>
      </c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7"/>
      <c r="AA117" s="7"/>
      <c r="AB117" s="7"/>
      <c r="AC117" s="7"/>
      <c r="AD117" s="7"/>
      <c r="AE117" s="7"/>
      <c r="AF117" s="7"/>
      <c r="AG117" s="7"/>
      <c r="AH117" s="7"/>
      <c r="AI117" s="12"/>
      <c r="AJ117" s="12"/>
      <c r="AK117" s="12"/>
      <c r="AL117" s="12"/>
      <c r="AM117" s="12"/>
      <c r="AN117" s="12"/>
      <c r="BE117" s="8" t="s">
        <v>496</v>
      </c>
      <c r="BF117" s="8">
        <v>49</v>
      </c>
      <c r="BG117"/>
      <c r="BH117"/>
      <c r="BI117"/>
      <c r="BJ117"/>
      <c r="BK117"/>
      <c r="BL117"/>
      <c r="BM117"/>
    </row>
    <row r="118" spans="1:66" x14ac:dyDescent="0.25">
      <c r="A118" s="1">
        <v>18.614838719367899</v>
      </c>
      <c r="B118">
        <v>9.2967979850120308</v>
      </c>
      <c r="C118">
        <v>7.8372200202634597</v>
      </c>
      <c r="D118">
        <v>7.61891615387683</v>
      </c>
      <c r="E118">
        <v>-0.60524441442246601</v>
      </c>
      <c r="F118">
        <v>9.1881238172119098E-4</v>
      </c>
      <c r="G118">
        <v>0.11232312601608201</v>
      </c>
      <c r="H118">
        <v>0.71356494783493596</v>
      </c>
      <c r="I118">
        <v>-2.74227972492E-4</v>
      </c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7"/>
      <c r="AA118" s="7"/>
      <c r="AB118" s="7"/>
      <c r="AC118" s="7"/>
      <c r="AD118" s="7"/>
      <c r="AE118" s="7"/>
      <c r="AF118" s="7"/>
      <c r="AG118" s="7"/>
      <c r="AH118" s="7"/>
      <c r="AI118" s="12"/>
      <c r="AJ118" s="12"/>
      <c r="AK118" s="12"/>
      <c r="AL118" s="12"/>
      <c r="AM118" s="12"/>
      <c r="AN118" s="12"/>
      <c r="BE118"/>
      <c r="BF118"/>
      <c r="BG118"/>
      <c r="BH118"/>
      <c r="BI118"/>
      <c r="BJ118"/>
      <c r="BK118"/>
      <c r="BL118"/>
      <c r="BM118"/>
    </row>
    <row r="119" spans="1:66" ht="15.75" thickBot="1" x14ac:dyDescent="0.3">
      <c r="A119" s="1">
        <v>21.2777170538902</v>
      </c>
      <c r="B119">
        <v>9.8665100854694305</v>
      </c>
      <c r="C119">
        <v>7.5091238422370701</v>
      </c>
      <c r="D119">
        <v>7.1744329461815104</v>
      </c>
      <c r="E119">
        <v>-0.65911980237460699</v>
      </c>
      <c r="F119">
        <v>9.4580145042588498E-4</v>
      </c>
      <c r="G119">
        <v>0.107847180357422</v>
      </c>
      <c r="H119">
        <v>0.68959357158555701</v>
      </c>
      <c r="I119">
        <v>-5.5000266652004597E-3</v>
      </c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7"/>
      <c r="AA119" s="7"/>
      <c r="AB119" s="7"/>
      <c r="AC119" s="7"/>
      <c r="AD119" s="7"/>
      <c r="AE119" s="7"/>
      <c r="AF119" s="7"/>
      <c r="AG119" s="7"/>
      <c r="AH119" s="7"/>
      <c r="AI119" s="12"/>
      <c r="AJ119" s="12"/>
      <c r="AK119" s="12"/>
      <c r="AL119" s="12"/>
      <c r="AM119" s="12"/>
      <c r="AN119" s="12"/>
      <c r="BE119" t="s">
        <v>497</v>
      </c>
      <c r="BF119"/>
      <c r="BG119"/>
      <c r="BH119"/>
      <c r="BI119"/>
      <c r="BJ119"/>
      <c r="BK119"/>
      <c r="BL119"/>
      <c r="BM119"/>
    </row>
    <row r="120" spans="1:66" x14ac:dyDescent="0.25">
      <c r="A120" s="1">
        <v>24.180224537849401</v>
      </c>
      <c r="B120">
        <v>10.3755066166504</v>
      </c>
      <c r="C120">
        <v>7.1084294803836903</v>
      </c>
      <c r="D120">
        <v>6.6552265767919696</v>
      </c>
      <c r="E120">
        <v>-0.70298540440306101</v>
      </c>
      <c r="F120">
        <v>1.23075766656196E-3</v>
      </c>
      <c r="G120">
        <v>0.101894281555137</v>
      </c>
      <c r="H120">
        <v>0.66572266901856603</v>
      </c>
      <c r="I120">
        <v>-9.6017749017780693E-3</v>
      </c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/>
      <c r="AA120"/>
      <c r="AB120"/>
      <c r="AC120"/>
      <c r="AD120"/>
      <c r="AE120"/>
      <c r="AF120"/>
      <c r="AG120"/>
      <c r="AH120"/>
      <c r="BE120" s="9"/>
      <c r="BF120" s="9" t="s">
        <v>9</v>
      </c>
      <c r="BG120" s="9" t="s">
        <v>502</v>
      </c>
      <c r="BH120" s="9" t="s">
        <v>503</v>
      </c>
      <c r="BI120" s="9" t="s">
        <v>504</v>
      </c>
      <c r="BJ120" s="9" t="s">
        <v>505</v>
      </c>
      <c r="BK120"/>
      <c r="BL120"/>
      <c r="BM120"/>
    </row>
    <row r="121" spans="1:66" x14ac:dyDescent="0.25">
      <c r="A121" s="1">
        <v>27.343950867652801</v>
      </c>
      <c r="B121">
        <v>10.831107673129299</v>
      </c>
      <c r="C121">
        <v>6.66568757354616</v>
      </c>
      <c r="D121">
        <v>6.1041584154547097</v>
      </c>
      <c r="E121">
        <v>-0.73785654619755703</v>
      </c>
      <c r="F121">
        <v>1.70506462685825E-3</v>
      </c>
      <c r="G121">
        <v>9.50954570568395E-2</v>
      </c>
      <c r="H121">
        <v>0.64225812098262403</v>
      </c>
      <c r="I121">
        <v>-1.24561982908217E-2</v>
      </c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/>
      <c r="AA121"/>
      <c r="AB121"/>
      <c r="AC121"/>
      <c r="AD121"/>
      <c r="AE121"/>
      <c r="AF121"/>
      <c r="AG121"/>
      <c r="AH121"/>
      <c r="BE121" s="7" t="s">
        <v>498</v>
      </c>
      <c r="BF121" s="7">
        <v>2</v>
      </c>
      <c r="BG121" s="7">
        <v>429.77681440990375</v>
      </c>
      <c r="BH121" s="7">
        <v>214.88840720495187</v>
      </c>
      <c r="BI121" s="7">
        <v>8401.0559304857925</v>
      </c>
      <c r="BJ121" s="7">
        <v>1.0783299579737679E-59</v>
      </c>
      <c r="BK121"/>
      <c r="BL121"/>
      <c r="BM121"/>
    </row>
    <row r="122" spans="1:66" x14ac:dyDescent="0.25">
      <c r="A122" s="1">
        <v>30.7923927903175</v>
      </c>
      <c r="B122">
        <v>11.2405899920373</v>
      </c>
      <c r="C122">
        <v>6.2053689631136297</v>
      </c>
      <c r="D122">
        <v>5.5514120200256301</v>
      </c>
      <c r="E122">
        <v>-0.76486352606846097</v>
      </c>
      <c r="F122">
        <v>2.2882186717704499E-3</v>
      </c>
      <c r="G122">
        <v>8.7888877942331495E-2</v>
      </c>
      <c r="H122">
        <v>0.61957246899075002</v>
      </c>
      <c r="I122">
        <v>-1.41747859313561E-2</v>
      </c>
      <c r="Z122"/>
      <c r="AA122"/>
      <c r="AB122"/>
      <c r="AC122"/>
      <c r="AD122"/>
      <c r="AE122"/>
      <c r="AF122"/>
      <c r="AG122"/>
      <c r="AH122"/>
      <c r="BE122" s="7" t="s">
        <v>499</v>
      </c>
      <c r="BF122" s="7">
        <v>47</v>
      </c>
      <c r="BG122" s="7">
        <v>1.2022006783674297</v>
      </c>
      <c r="BH122" s="7">
        <v>2.5578737837604889E-2</v>
      </c>
      <c r="BI122" s="7"/>
      <c r="BJ122" s="7"/>
      <c r="BK122"/>
      <c r="BL122"/>
      <c r="BM122"/>
    </row>
    <row r="123" spans="1:66" ht="15.75" thickBot="1" x14ac:dyDescent="0.3">
      <c r="A123" s="1">
        <v>34.551213085651298</v>
      </c>
      <c r="B123">
        <v>11.610816847659899</v>
      </c>
      <c r="C123">
        <v>5.7459808638501197</v>
      </c>
      <c r="D123">
        <v>5.0172958262646699</v>
      </c>
      <c r="E123">
        <v>-0.78510667998071204</v>
      </c>
      <c r="F123">
        <v>2.9094540315790299E-3</v>
      </c>
      <c r="G123">
        <v>8.0527514061985897E-2</v>
      </c>
      <c r="H123">
        <v>0.59802294302190595</v>
      </c>
      <c r="I123">
        <v>-1.49296859601783E-2</v>
      </c>
      <c r="BE123" s="8" t="s">
        <v>500</v>
      </c>
      <c r="BF123" s="8">
        <v>49</v>
      </c>
      <c r="BG123" s="8">
        <v>430.97901508827118</v>
      </c>
      <c r="BH123" s="8"/>
      <c r="BI123" s="8"/>
      <c r="BJ123" s="8"/>
      <c r="BK123"/>
      <c r="BL123"/>
      <c r="BM123"/>
    </row>
    <row r="124" spans="1:66" ht="15.75" thickBot="1" x14ac:dyDescent="0.3">
      <c r="A124" s="1">
        <v>38.6483111977577</v>
      </c>
      <c r="B124">
        <v>11.9480437265116</v>
      </c>
      <c r="C124">
        <v>5.3006282608544799</v>
      </c>
      <c r="D124">
        <v>4.51462970076693</v>
      </c>
      <c r="E124">
        <v>-0.79956391874581501</v>
      </c>
      <c r="F124">
        <v>3.40441888191758E-3</v>
      </c>
      <c r="G124">
        <v>7.3168382901865697E-2</v>
      </c>
      <c r="H124">
        <v>0.57796512411345902</v>
      </c>
      <c r="I124">
        <v>-1.49011672420195E-2</v>
      </c>
      <c r="BE124"/>
      <c r="BF124"/>
      <c r="BG124"/>
      <c r="BH124"/>
      <c r="BI124"/>
      <c r="BJ124"/>
      <c r="BK124"/>
      <c r="BL124"/>
      <c r="BM124"/>
    </row>
    <row r="125" spans="1:66" x14ac:dyDescent="0.25">
      <c r="A125" s="1">
        <v>43.1141293048858</v>
      </c>
      <c r="B125">
        <v>12.257842321215501</v>
      </c>
      <c r="C125">
        <v>4.8778974945818403</v>
      </c>
      <c r="D125">
        <v>4.05088911823771</v>
      </c>
      <c r="E125">
        <v>-0.80905587819068403</v>
      </c>
      <c r="F125">
        <v>3.7223206135632201E-3</v>
      </c>
      <c r="G125">
        <v>6.5928968055922799E-2</v>
      </c>
      <c r="H125">
        <v>0.55965500834256399</v>
      </c>
      <c r="I125">
        <v>-1.42670357574371E-2</v>
      </c>
      <c r="BE125" s="9"/>
      <c r="BF125" s="9" t="s">
        <v>506</v>
      </c>
      <c r="BG125" s="9" t="s">
        <v>495</v>
      </c>
      <c r="BH125" s="9" t="s">
        <v>507</v>
      </c>
      <c r="BI125" s="9" t="s">
        <v>508</v>
      </c>
      <c r="BJ125" s="9" t="s">
        <v>509</v>
      </c>
      <c r="BK125" s="9" t="s">
        <v>510</v>
      </c>
      <c r="BL125" s="9" t="s">
        <v>511</v>
      </c>
      <c r="BM125" s="9" t="s">
        <v>512</v>
      </c>
    </row>
    <row r="126" spans="1:66" x14ac:dyDescent="0.25">
      <c r="A126" s="1">
        <v>47.981887757778097</v>
      </c>
      <c r="B126">
        <v>12.5450025844726</v>
      </c>
      <c r="C126">
        <v>4.4829412849374597</v>
      </c>
      <c r="D126">
        <v>3.6298184852913602</v>
      </c>
      <c r="E126">
        <v>-0.81427108769001899</v>
      </c>
      <c r="F126">
        <v>3.84925991682668E-3</v>
      </c>
      <c r="G126">
        <v>5.8908129156024801E-2</v>
      </c>
      <c r="H126">
        <v>0.54311121496289405</v>
      </c>
      <c r="I126">
        <v>-1.3211345489354201E-2</v>
      </c>
      <c r="BE126" s="7" t="s">
        <v>501</v>
      </c>
      <c r="BF126" s="7">
        <v>0</v>
      </c>
      <c r="BG126" s="7" t="e">
        <v>#N/A</v>
      </c>
      <c r="BH126" s="7" t="e">
        <v>#N/A</v>
      </c>
      <c r="BI126" s="7" t="e">
        <v>#N/A</v>
      </c>
      <c r="BJ126" s="7" t="e">
        <v>#N/A</v>
      </c>
      <c r="BK126" s="7" t="e">
        <v>#N/A</v>
      </c>
      <c r="BL126" s="7" t="e">
        <v>#N/A</v>
      </c>
      <c r="BM126" s="7" t="e">
        <v>#N/A</v>
      </c>
    </row>
    <row r="127" spans="1:66" x14ac:dyDescent="0.25">
      <c r="A127" s="1">
        <v>53.287820518016801</v>
      </c>
      <c r="B127">
        <v>12.813533904413999</v>
      </c>
      <c r="C127">
        <v>4.11799406049417</v>
      </c>
      <c r="D127">
        <v>3.2519462745074801</v>
      </c>
      <c r="E127">
        <v>-0.81572274765928798</v>
      </c>
      <c r="F127">
        <v>3.7311892819030601E-3</v>
      </c>
      <c r="G127">
        <v>5.2227096070327703E-2</v>
      </c>
      <c r="H127">
        <v>0.52837990629954301</v>
      </c>
      <c r="I127">
        <v>-1.1911654069008E-2</v>
      </c>
      <c r="BE127" s="7" t="s">
        <v>513</v>
      </c>
      <c r="BF127" s="7">
        <v>0.22540580237355179</v>
      </c>
      <c r="BG127" s="7">
        <v>1.4772169733080733E-2</v>
      </c>
      <c r="BH127" s="7">
        <v>15.258814815049073</v>
      </c>
      <c r="BI127" s="7">
        <v>7.8337352974047219E-20</v>
      </c>
      <c r="BJ127" s="7">
        <v>0.19568803004582064</v>
      </c>
      <c r="BK127" s="7">
        <v>0.25512357470128294</v>
      </c>
      <c r="BL127" s="7">
        <v>0.19568803004582064</v>
      </c>
      <c r="BM127" s="7">
        <v>0.25512357470128294</v>
      </c>
      <c r="BN127" s="1">
        <f t="shared" ref="BN127:BN128" si="65">2*BG127</f>
        <v>2.9544339466161466E-2</v>
      </c>
    </row>
    <row r="128" spans="1:66" ht="15.75" thickBot="1" x14ac:dyDescent="0.3">
      <c r="A128" s="1">
        <v>59.071175158023799</v>
      </c>
      <c r="B128">
        <v>13.0668100647268</v>
      </c>
      <c r="C128">
        <v>3.7834226463807399</v>
      </c>
      <c r="D128">
        <v>2.91577609035035</v>
      </c>
      <c r="E128">
        <v>-0.81379449333060905</v>
      </c>
      <c r="F128">
        <v>3.2873808983304199E-3</v>
      </c>
      <c r="G128">
        <v>4.6007270457758501E-2</v>
      </c>
      <c r="H128">
        <v>0.51538012550094703</v>
      </c>
      <c r="I128">
        <v>-1.0534173041415001E-2</v>
      </c>
      <c r="BE128" s="8" t="s">
        <v>514</v>
      </c>
      <c r="BF128" s="8">
        <v>1.9014990520861621</v>
      </c>
      <c r="BG128" s="8">
        <v>1.4772169733080738E-2</v>
      </c>
      <c r="BH128" s="8">
        <v>128.72171701547353</v>
      </c>
      <c r="BI128" s="8">
        <v>1.4994301089327385E-61</v>
      </c>
      <c r="BJ128" s="8">
        <v>1.871781279758431</v>
      </c>
      <c r="BK128" s="8">
        <v>1.9312168244138932</v>
      </c>
      <c r="BL128" s="8">
        <v>1.871781279758431</v>
      </c>
      <c r="BM128" s="8">
        <v>1.9312168244138932</v>
      </c>
      <c r="BN128" s="1">
        <f t="shared" si="65"/>
        <v>2.9544339466161477E-2</v>
      </c>
    </row>
    <row r="129" spans="1:65" x14ac:dyDescent="0.25">
      <c r="A129" s="1">
        <v>65.375131070613804</v>
      </c>
      <c r="B129">
        <v>13.3075978448953</v>
      </c>
      <c r="C129">
        <v>3.4787952648129998</v>
      </c>
      <c r="D129">
        <v>2.6190446124245699</v>
      </c>
      <c r="E129">
        <v>-0.80876194042294702</v>
      </c>
      <c r="F129">
        <v>2.62248634910636E-3</v>
      </c>
      <c r="G129">
        <v>4.0320529332072398E-2</v>
      </c>
      <c r="H129">
        <v>0.50369266721627604</v>
      </c>
      <c r="I129">
        <v>-9.1941408965369904E-3</v>
      </c>
      <c r="BE129"/>
      <c r="BF129"/>
      <c r="BG129"/>
      <c r="BH129"/>
      <c r="BI129"/>
      <c r="BJ129"/>
      <c r="BK129"/>
      <c r="BL129"/>
      <c r="BM129"/>
    </row>
    <row r="130" spans="1:65" x14ac:dyDescent="0.25">
      <c r="A130" s="1">
        <v>72.246375679969702</v>
      </c>
      <c r="B130">
        <v>13.538175600195601</v>
      </c>
      <c r="C130">
        <v>3.2024139904290401</v>
      </c>
      <c r="D130">
        <v>2.3585305896934901</v>
      </c>
      <c r="E130">
        <v>-0.80081324236297002</v>
      </c>
      <c r="F130">
        <v>1.8493679679478399E-3</v>
      </c>
      <c r="G130">
        <v>3.5214037713533597E-2</v>
      </c>
      <c r="H130">
        <v>0.49307207657317498</v>
      </c>
      <c r="I130">
        <v>-7.9646829888590995E-3</v>
      </c>
      <c r="BE130"/>
      <c r="BF130"/>
      <c r="BG130"/>
      <c r="BH130"/>
      <c r="BI130"/>
      <c r="BJ130"/>
      <c r="BK130"/>
      <c r="BL130"/>
      <c r="BM130"/>
    </row>
    <row r="131" spans="1:65" x14ac:dyDescent="0.25">
      <c r="A131" s="1">
        <v>79.736069738864799</v>
      </c>
      <c r="B131">
        <v>13.7604859269097</v>
      </c>
      <c r="C131">
        <v>2.9517393746971301</v>
      </c>
      <c r="D131">
        <v>2.13010279495419</v>
      </c>
      <c r="E131">
        <v>-0.79003793712194603</v>
      </c>
      <c r="F131">
        <v>1.16256101174706E-3</v>
      </c>
      <c r="G131">
        <v>3.0661961328427301E-2</v>
      </c>
      <c r="H131">
        <v>0.48310323618371398</v>
      </c>
      <c r="I131">
        <v>-6.8606307112379899E-3</v>
      </c>
      <c r="BE131"/>
      <c r="BF131"/>
      <c r="BG131"/>
      <c r="BH131"/>
      <c r="BI131"/>
      <c r="BJ131"/>
      <c r="BK131"/>
      <c r="BL131"/>
      <c r="BM131"/>
    </row>
    <row r="132" spans="1:65" x14ac:dyDescent="0.25">
      <c r="A132" s="1">
        <v>87.899753153324099</v>
      </c>
      <c r="B132">
        <v>13.976119533878601</v>
      </c>
      <c r="C132">
        <v>2.7238539846900398</v>
      </c>
      <c r="D132">
        <v>1.9294519057949799</v>
      </c>
      <c r="E132">
        <v>-0.77646858480855396</v>
      </c>
      <c r="F132">
        <v>7.5336251462468904E-4</v>
      </c>
      <c r="G132">
        <v>2.6633605559361399E-2</v>
      </c>
      <c r="H132">
        <v>0.473663243255454</v>
      </c>
      <c r="I132">
        <v>-5.8933212792182397E-3</v>
      </c>
    </row>
    <row r="133" spans="1:65" x14ac:dyDescent="0.25">
      <c r="A133" s="1">
        <v>96.798263192176805</v>
      </c>
      <c r="B133">
        <v>14.1863192909386</v>
      </c>
      <c r="C133">
        <v>2.5159860302188601</v>
      </c>
      <c r="D133">
        <v>1.75288980268269</v>
      </c>
      <c r="E133">
        <v>-0.76018022013594</v>
      </c>
      <c r="F133">
        <v>8.2935289328682797E-4</v>
      </c>
      <c r="G133">
        <v>2.30893084001462E-2</v>
      </c>
      <c r="H133">
        <v>0.464499176174474</v>
      </c>
      <c r="I133">
        <v>-5.0549164810570896E-3</v>
      </c>
    </row>
    <row r="134" spans="1:65" x14ac:dyDescent="0.25">
      <c r="A134" s="1">
        <v>106.497616767883</v>
      </c>
      <c r="B134">
        <v>14.3922092267417</v>
      </c>
      <c r="C134">
        <v>2.3249589830723401</v>
      </c>
      <c r="D134">
        <v>1.5966156606000199</v>
      </c>
      <c r="E134">
        <v>-0.74106910975512197</v>
      </c>
      <c r="F134">
        <v>1.0509885564170399E-3</v>
      </c>
      <c r="G134">
        <v>1.99951354647449E-2</v>
      </c>
      <c r="H134">
        <v>0.45568393378951699</v>
      </c>
      <c r="I134">
        <v>-4.3375328247382003E-3</v>
      </c>
    </row>
    <row r="135" spans="1:65" x14ac:dyDescent="0.25">
      <c r="A135" s="1">
        <v>117.06990510225199</v>
      </c>
      <c r="B135">
        <v>14.595079535381601</v>
      </c>
      <c r="C135">
        <v>2.14720059027086</v>
      </c>
      <c r="D135">
        <v>1.45646402211504</v>
      </c>
      <c r="E135">
        <v>-0.71889442262868497</v>
      </c>
      <c r="F135">
        <v>1.1081415599971201E-3</v>
      </c>
      <c r="G135">
        <v>1.7297707339110902E-2</v>
      </c>
      <c r="H135">
        <v>0.44761822794787498</v>
      </c>
      <c r="I135">
        <v>-3.7224472095196402E-3</v>
      </c>
    </row>
    <row r="136" spans="1:65" x14ac:dyDescent="0.25">
      <c r="A136" s="1">
        <v>128.593670427799</v>
      </c>
      <c r="B136">
        <v>14.796042336905099</v>
      </c>
      <c r="C136">
        <v>1.9808123457853799</v>
      </c>
      <c r="D136">
        <v>1.3299675653696901</v>
      </c>
      <c r="E136">
        <v>-0.69369043375915895</v>
      </c>
      <c r="F136">
        <v>1.2330346517701301E-3</v>
      </c>
      <c r="G136">
        <v>1.49178394324186E-2</v>
      </c>
      <c r="H136">
        <v>0.439935591324427</v>
      </c>
      <c r="I136">
        <v>-3.1787649958880701E-3</v>
      </c>
    </row>
    <row r="137" spans="1:65" x14ac:dyDescent="0.25">
      <c r="A137" s="1">
        <v>141.15461230278001</v>
      </c>
      <c r="B137">
        <v>14.995785269585401</v>
      </c>
      <c r="C137">
        <v>1.8237718471119899</v>
      </c>
      <c r="D137">
        <v>1.2146187630585801</v>
      </c>
      <c r="E137">
        <v>-0.66525199945851399</v>
      </c>
      <c r="F137">
        <v>1.6816167731335699E-3</v>
      </c>
      <c r="G137">
        <v>1.2804380505243001E-2</v>
      </c>
      <c r="H137">
        <v>0.43242891986959903</v>
      </c>
      <c r="I137">
        <v>-2.6953917198350701E-3</v>
      </c>
    </row>
    <row r="138" spans="1:65" x14ac:dyDescent="0.25">
      <c r="A138" s="1">
        <v>154.84601140022201</v>
      </c>
      <c r="B138">
        <v>15.1942952821136</v>
      </c>
      <c r="C138">
        <v>1.67426242284474</v>
      </c>
      <c r="D138">
        <v>1.10825151915364</v>
      </c>
      <c r="E138">
        <v>-0.63343552870438902</v>
      </c>
      <c r="F138">
        <v>1.83160223057291E-3</v>
      </c>
      <c r="G138">
        <v>1.0920411364415799E-2</v>
      </c>
      <c r="H138">
        <v>0.42467415632988098</v>
      </c>
      <c r="I138">
        <v>-2.2658528000975399E-3</v>
      </c>
    </row>
    <row r="139" spans="1:65" x14ac:dyDescent="0.25">
      <c r="A139" s="1">
        <v>169.76969480514501</v>
      </c>
      <c r="B139">
        <v>15.3915647265374</v>
      </c>
      <c r="C139">
        <v>1.52980871870219</v>
      </c>
      <c r="D139">
        <v>1.0086526167068599</v>
      </c>
      <c r="E139">
        <v>-0.59781596707652596</v>
      </c>
      <c r="F139">
        <v>1.6843910822940599E-3</v>
      </c>
      <c r="G139">
        <v>9.2423629178779894E-3</v>
      </c>
      <c r="H139">
        <v>0.41694966966241298</v>
      </c>
      <c r="I139">
        <v>-1.88408026371839E-3</v>
      </c>
    </row>
    <row r="140" spans="1:65" x14ac:dyDescent="0.25">
      <c r="A140" s="1">
        <v>186.03645980358101</v>
      </c>
      <c r="B140">
        <v>15.5881040812459</v>
      </c>
      <c r="C140">
        <v>1.3888804844592699</v>
      </c>
      <c r="D140">
        <v>0.91379853024232505</v>
      </c>
      <c r="E140">
        <v>-0.55789715464331202</v>
      </c>
      <c r="F140">
        <v>1.6075086444259699E-3</v>
      </c>
      <c r="G140">
        <v>7.7496171756019604E-3</v>
      </c>
      <c r="H140">
        <v>0.409605953575569</v>
      </c>
      <c r="I140">
        <v>-1.5484810212114701E-3</v>
      </c>
    </row>
    <row r="141" spans="1:65" x14ac:dyDescent="0.25">
      <c r="A141" s="1">
        <v>203.76720398664401</v>
      </c>
      <c r="B141">
        <v>15.783561393501</v>
      </c>
      <c r="C141">
        <v>1.25038454117339</v>
      </c>
      <c r="D141">
        <v>0.82168887619548103</v>
      </c>
      <c r="E141">
        <v>-0.51354537385534305</v>
      </c>
      <c r="F141">
        <v>1.32567776074993E-3</v>
      </c>
      <c r="G141">
        <v>6.4171136707916396E-3</v>
      </c>
      <c r="H141">
        <v>0.40201369113598001</v>
      </c>
      <c r="I141">
        <v>-1.25167793247964E-3</v>
      </c>
    </row>
    <row r="142" spans="1:65" x14ac:dyDescent="0.25">
      <c r="A142" s="1">
        <v>223.09376105666101</v>
      </c>
      <c r="B142">
        <v>15.976576911202899</v>
      </c>
      <c r="C142">
        <v>1.11307992115081</v>
      </c>
      <c r="D142">
        <v>0.73111933607366597</v>
      </c>
      <c r="E142">
        <v>-0.46425420582682397</v>
      </c>
      <c r="F142">
        <v>8.4999470043322896E-4</v>
      </c>
      <c r="G142">
        <v>5.2119165810437396E-3</v>
      </c>
      <c r="H142">
        <v>0.39428636769465703</v>
      </c>
      <c r="I142">
        <v>-9.7995375535504196E-4</v>
      </c>
    </row>
    <row r="143" spans="1:65" x14ac:dyDescent="0.25">
      <c r="A143" s="1">
        <v>244.15970131754801</v>
      </c>
      <c r="B143">
        <v>16.1660694407637</v>
      </c>
      <c r="C143">
        <v>0.97621215780944304</v>
      </c>
      <c r="D143">
        <v>0.64054405033157302</v>
      </c>
      <c r="E143">
        <v>-0.40946955123700801</v>
      </c>
      <c r="F143">
        <v>1.64698182770752E-4</v>
      </c>
      <c r="G143">
        <v>4.1348722734260599E-3</v>
      </c>
      <c r="H143">
        <v>0.38719077864854201</v>
      </c>
      <c r="I143">
        <v>-7.40481505485357E-4</v>
      </c>
    </row>
    <row r="144" spans="1:65" x14ac:dyDescent="0.25">
      <c r="A144" s="1">
        <v>267.12157949805197</v>
      </c>
      <c r="B144">
        <v>16.349159956547702</v>
      </c>
      <c r="C144">
        <v>0.84043628580294805</v>
      </c>
      <c r="D144">
        <v>0.55004735594933296</v>
      </c>
      <c r="E144">
        <v>-0.34890666174323998</v>
      </c>
      <c r="F144">
        <v>-7.5440186973216002E-4</v>
      </c>
      <c r="G144">
        <v>3.1939153325044102E-3</v>
      </c>
      <c r="H144">
        <v>0.381216736630971</v>
      </c>
      <c r="I144">
        <v>-5.39072069425437E-4</v>
      </c>
    </row>
    <row r="145" spans="1:9" x14ac:dyDescent="0.25">
      <c r="A145" s="1">
        <v>292.15002954006098</v>
      </c>
      <c r="B145">
        <v>16.521072348893</v>
      </c>
      <c r="C145">
        <v>0.70524870745067103</v>
      </c>
      <c r="D145">
        <v>0.45827801403652801</v>
      </c>
      <c r="E145">
        <v>-0.28193855386472</v>
      </c>
      <c r="F145">
        <v>-1.29647977237997E-3</v>
      </c>
      <c r="G145">
        <v>2.39167264054102E-3</v>
      </c>
      <c r="H145">
        <v>0.37746564403005101</v>
      </c>
      <c r="I145">
        <v>-3.7748041269179201E-4</v>
      </c>
    </row>
    <row r="146" spans="1:9" x14ac:dyDescent="0.25">
      <c r="A146" s="1">
        <v>319.43101242184599</v>
      </c>
      <c r="B146">
        <v>16.672387735672601</v>
      </c>
      <c r="C146">
        <v>0.57716503964799903</v>
      </c>
      <c r="D146">
        <v>0.36826484365327</v>
      </c>
      <c r="E146">
        <v>-0.208331293204159</v>
      </c>
      <c r="F146">
        <v>-1.2121374883066801E-3</v>
      </c>
      <c r="G146">
        <v>1.74541850378385E-3</v>
      </c>
      <c r="H146">
        <v>0.37668884336297997</v>
      </c>
      <c r="I146">
        <v>-2.60216331469987E-4</v>
      </c>
    </row>
    <row r="147" spans="1:9" x14ac:dyDescent="0.25">
      <c r="A147" s="1">
        <v>349.16732590645501</v>
      </c>
      <c r="B147">
        <v>16.7907286116493</v>
      </c>
      <c r="C147">
        <v>0.47029088174902001</v>
      </c>
      <c r="D147">
        <v>0.290284491109076</v>
      </c>
      <c r="E147">
        <v>-0.12662740337821901</v>
      </c>
      <c r="F147">
        <v>-1.2903445087786001E-3</v>
      </c>
      <c r="G147">
        <v>1.2995693176027401E-3</v>
      </c>
      <c r="H147">
        <v>0.38045316152542002</v>
      </c>
      <c r="I147">
        <v>-1.9036721344996901E-4</v>
      </c>
    </row>
    <row r="148" spans="1:9" x14ac:dyDescent="0.25">
      <c r="A148" s="1">
        <v>379.83785875141598</v>
      </c>
      <c r="B148">
        <v>16.8538260978053</v>
      </c>
      <c r="C148">
        <v>0.40953318071959399</v>
      </c>
      <c r="D148">
        <v>0.244287687937259</v>
      </c>
      <c r="E148">
        <v>-4.1791737594340503E-2</v>
      </c>
      <c r="F148">
        <v>-1.9794550671839999E-3</v>
      </c>
      <c r="G148">
        <v>1.0675043754034099E-3</v>
      </c>
      <c r="H148">
        <v>0.40071130263354898</v>
      </c>
      <c r="I148">
        <v>-1.50717666168592E-4</v>
      </c>
    </row>
    <row r="149" spans="1:9" x14ac:dyDescent="0.25">
      <c r="A149" s="1" t="s">
        <v>525</v>
      </c>
      <c r="B149" s="1" t="s">
        <v>614</v>
      </c>
      <c r="C149" s="1" t="s">
        <v>615</v>
      </c>
      <c r="D149" s="1" t="s">
        <v>616</v>
      </c>
      <c r="E149" s="1" t="s">
        <v>617</v>
      </c>
      <c r="F149" s="1" t="s">
        <v>618</v>
      </c>
      <c r="G149" s="1" t="s">
        <v>400</v>
      </c>
      <c r="H149" s="1" t="s">
        <v>619</v>
      </c>
      <c r="I149" s="1" t="s">
        <v>613</v>
      </c>
    </row>
    <row r="150" spans="1:9" x14ac:dyDescent="0.25">
      <c r="A150" s="1">
        <v>-141.555516719818</v>
      </c>
      <c r="B150">
        <v>-3.1801091380674902</v>
      </c>
      <c r="C150">
        <v>5.6099592376061399E-3</v>
      </c>
      <c r="D150">
        <v>0</v>
      </c>
      <c r="E150">
        <v>0</v>
      </c>
      <c r="F150">
        <v>0</v>
      </c>
      <c r="G150" s="1">
        <v>2.69286907128574E-6</v>
      </c>
      <c r="H150">
        <v>1.41874046455209E-2</v>
      </c>
      <c r="I150">
        <v>0</v>
      </c>
    </row>
    <row r="151" spans="1:9" x14ac:dyDescent="0.25">
      <c r="A151" s="1">
        <v>-128.95890593528699</v>
      </c>
      <c r="B151">
        <v>-2.8972618956376301</v>
      </c>
      <c r="C151">
        <v>5.6754159824839298E-3</v>
      </c>
      <c r="D151">
        <v>0</v>
      </c>
      <c r="E151">
        <v>0</v>
      </c>
      <c r="F151">
        <v>0</v>
      </c>
      <c r="G151" s="1">
        <v>3.0800120184970499E-6</v>
      </c>
      <c r="H151">
        <v>0.107214772128187</v>
      </c>
      <c r="I151">
        <v>0</v>
      </c>
    </row>
    <row r="152" spans="1:9" x14ac:dyDescent="0.25">
      <c r="A152" s="1">
        <v>-117.402367591857</v>
      </c>
      <c r="B152">
        <v>-2.6377472261224399</v>
      </c>
      <c r="C152">
        <v>5.7980354679131197E-3</v>
      </c>
      <c r="D152">
        <v>0</v>
      </c>
      <c r="E152">
        <v>0</v>
      </c>
      <c r="F152">
        <v>0</v>
      </c>
      <c r="G152" s="1">
        <v>3.8091733133960302E-6</v>
      </c>
      <c r="H152">
        <v>0.22956198700550101</v>
      </c>
      <c r="I152">
        <v>0</v>
      </c>
    </row>
    <row r="153" spans="1:9" x14ac:dyDescent="0.25">
      <c r="A153" s="1">
        <v>-106.80001378059301</v>
      </c>
      <c r="B153">
        <v>-2.3996406859044499</v>
      </c>
      <c r="C153">
        <v>5.9752458316263603E-3</v>
      </c>
      <c r="D153">
        <v>0</v>
      </c>
      <c r="E153">
        <v>0</v>
      </c>
      <c r="F153">
        <v>0</v>
      </c>
      <c r="G153" s="1">
        <v>4.8702594118932301E-6</v>
      </c>
      <c r="H153">
        <v>0.33947227246246398</v>
      </c>
      <c r="I153">
        <v>0</v>
      </c>
    </row>
    <row r="154" spans="1:9" x14ac:dyDescent="0.25">
      <c r="A154" s="1">
        <v>-97.073161005973802</v>
      </c>
      <c r="B154">
        <v>-2.1811797688041401</v>
      </c>
      <c r="C154">
        <v>6.2071443148306203E-3</v>
      </c>
      <c r="D154">
        <v>0</v>
      </c>
      <c r="E154">
        <v>0</v>
      </c>
      <c r="F154">
        <v>0</v>
      </c>
      <c r="G154" s="1">
        <v>6.2852167821869602E-6</v>
      </c>
      <c r="H154">
        <v>0.42532537408468801</v>
      </c>
      <c r="I154">
        <v>0</v>
      </c>
    </row>
    <row r="155" spans="1:9" x14ac:dyDescent="0.25">
      <c r="A155" s="1">
        <v>-88.149435520172105</v>
      </c>
      <c r="B155">
        <v>-1.9807430109266699</v>
      </c>
      <c r="C155">
        <v>6.4949648749110201E-3</v>
      </c>
      <c r="D155">
        <v>0</v>
      </c>
      <c r="E155">
        <v>0</v>
      </c>
      <c r="F155">
        <v>0</v>
      </c>
      <c r="G155" s="1">
        <v>8.1041706244011595E-6</v>
      </c>
      <c r="H155">
        <v>0.48893435979491801</v>
      </c>
      <c r="I155">
        <v>0</v>
      </c>
    </row>
    <row r="156" spans="1:9" x14ac:dyDescent="0.25">
      <c r="A156" s="1">
        <v>-79.962490797042804</v>
      </c>
      <c r="B156">
        <v>-1.7968447668735399</v>
      </c>
      <c r="C156">
        <v>6.8403427289458699E-3</v>
      </c>
      <c r="D156">
        <v>0</v>
      </c>
      <c r="E156">
        <v>0</v>
      </c>
      <c r="F156">
        <v>0</v>
      </c>
      <c r="G156" s="1">
        <v>1.0404862117185901E-5</v>
      </c>
      <c r="H156">
        <v>0.53533938062807596</v>
      </c>
      <c r="I156">
        <v>0</v>
      </c>
    </row>
    <row r="157" spans="1:9" x14ac:dyDescent="0.25">
      <c r="A157" s="1">
        <v>-72.451583743095298</v>
      </c>
      <c r="B157">
        <v>-1.62812162789297</v>
      </c>
      <c r="C157">
        <v>7.2449991580702099E-3</v>
      </c>
      <c r="D157">
        <v>0</v>
      </c>
      <c r="E157">
        <v>0</v>
      </c>
      <c r="F157">
        <v>0</v>
      </c>
      <c r="G157" s="1">
        <v>1.32944682666114E-5</v>
      </c>
      <c r="H157">
        <v>0.56926461517022997</v>
      </c>
      <c r="I157">
        <v>0</v>
      </c>
    </row>
    <row r="158" spans="1:9" x14ac:dyDescent="0.25">
      <c r="A158" s="1">
        <v>-65.560821294784503</v>
      </c>
      <c r="B158">
        <v>-1.47332092954558</v>
      </c>
      <c r="C158">
        <v>7.7106319714035998E-3</v>
      </c>
      <c r="D158">
        <v>0</v>
      </c>
      <c r="E158">
        <v>0</v>
      </c>
      <c r="F158">
        <v>0</v>
      </c>
      <c r="G158" s="1">
        <v>1.6913410575014602E-5</v>
      </c>
      <c r="H158">
        <v>0.59435209633365504</v>
      </c>
      <c r="I158">
        <v>0</v>
      </c>
    </row>
    <row r="159" spans="1:9" x14ac:dyDescent="0.25">
      <c r="A159" s="1">
        <v>-59.238972067832897</v>
      </c>
      <c r="B159">
        <v>-1.3312955279160801</v>
      </c>
      <c r="C159">
        <v>8.2389093586175306E-3</v>
      </c>
      <c r="D159">
        <v>0</v>
      </c>
      <c r="E159">
        <v>0</v>
      </c>
      <c r="F159">
        <v>0</v>
      </c>
      <c r="G159" s="1">
        <v>2.1440888778556599E-5</v>
      </c>
      <c r="H159">
        <v>0.61322790252621495</v>
      </c>
      <c r="I159">
        <v>0</v>
      </c>
    </row>
    <row r="160" spans="1:9" x14ac:dyDescent="0.25">
      <c r="A160" s="1">
        <v>-53.439136743545497</v>
      </c>
      <c r="B160">
        <v>-1.20099126252127</v>
      </c>
      <c r="C160">
        <v>8.8314989505259307E-3</v>
      </c>
      <c r="D160">
        <v>0</v>
      </c>
      <c r="E160">
        <v>0</v>
      </c>
      <c r="F160">
        <v>0</v>
      </c>
      <c r="G160" s="1">
        <v>2.7101847184418599E-5</v>
      </c>
      <c r="H160">
        <v>0.62773522808662297</v>
      </c>
      <c r="I160">
        <v>0</v>
      </c>
    </row>
    <row r="161" spans="1:9" x14ac:dyDescent="0.25">
      <c r="A161" s="1">
        <v>-48.118183016777003</v>
      </c>
      <c r="B161">
        <v>-1.08144173252178</v>
      </c>
      <c r="C161">
        <v>9.4901058213960297E-3</v>
      </c>
      <c r="D161">
        <v>0</v>
      </c>
      <c r="E161">
        <v>0</v>
      </c>
      <c r="F161">
        <v>0</v>
      </c>
      <c r="G161" s="1">
        <v>3.4175073145625798E-5</v>
      </c>
      <c r="H161">
        <v>0.63915260106633098</v>
      </c>
      <c r="I161">
        <v>0</v>
      </c>
    </row>
    <row r="162" spans="1:9" x14ac:dyDescent="0.25">
      <c r="A162" s="1">
        <v>-43.236604332923797</v>
      </c>
      <c r="B162">
        <v>-0.97175889390302495</v>
      </c>
      <c r="C162">
        <v>1.02164998729663E-2</v>
      </c>
      <c r="D162">
        <v>0</v>
      </c>
      <c r="E162">
        <v>0</v>
      </c>
      <c r="F162">
        <v>0</v>
      </c>
      <c r="G162" s="1">
        <v>4.30020551110743E-5</v>
      </c>
      <c r="H162">
        <v>0.64836237022844001</v>
      </c>
      <c r="I162">
        <v>0</v>
      </c>
    </row>
    <row r="163" spans="1:9" x14ac:dyDescent="0.25">
      <c r="A163" s="1">
        <v>-38.758049011230398</v>
      </c>
      <c r="B163">
        <v>-0.87112783568692997</v>
      </c>
      <c r="C163">
        <v>1.10125298058845E-2</v>
      </c>
      <c r="D163">
        <v>0</v>
      </c>
      <c r="E163">
        <v>0</v>
      </c>
      <c r="F163">
        <v>0</v>
      </c>
      <c r="G163" s="1">
        <v>5.3996117392074403E-5</v>
      </c>
      <c r="H163">
        <v>0.65597389467621803</v>
      </c>
      <c r="I163">
        <v>0</v>
      </c>
    </row>
    <row r="164" spans="1:9" x14ac:dyDescent="0.25">
      <c r="A164" s="1">
        <v>-34.649320244789102</v>
      </c>
      <c r="B164">
        <v>-0.77880364565891802</v>
      </c>
      <c r="C164">
        <v>1.18801102659846E-2</v>
      </c>
      <c r="D164">
        <v>0</v>
      </c>
      <c r="E164">
        <v>0</v>
      </c>
      <c r="F164">
        <v>0</v>
      </c>
      <c r="G164" s="1">
        <v>6.7651237367982698E-5</v>
      </c>
      <c r="H164">
        <v>0.66241158227406205</v>
      </c>
      <c r="I164">
        <v>0</v>
      </c>
    </row>
    <row r="165" spans="1:9" x14ac:dyDescent="0.25">
      <c r="A165" s="1">
        <v>-30.879811048507602</v>
      </c>
      <c r="B165">
        <v>-0.69410096279127098</v>
      </c>
      <c r="C165">
        <v>1.28211905482663E-2</v>
      </c>
      <c r="D165">
        <v>0</v>
      </c>
      <c r="E165">
        <v>0</v>
      </c>
      <c r="F165">
        <v>0</v>
      </c>
      <c r="G165" s="1">
        <v>8.4549662962629598E-5</v>
      </c>
      <c r="H165">
        <v>0.66797695129326096</v>
      </c>
      <c r="I165">
        <v>0</v>
      </c>
    </row>
    <row r="166" spans="1:9" x14ac:dyDescent="0.25">
      <c r="A166" s="1">
        <v>-27.4215984344482</v>
      </c>
      <c r="B166">
        <v>-0.61638875345481203</v>
      </c>
      <c r="C166">
        <v>1.38376886517085E-2</v>
      </c>
      <c r="D166">
        <v>0</v>
      </c>
      <c r="E166">
        <v>0</v>
      </c>
      <c r="F166">
        <v>0</v>
      </c>
      <c r="G166">
        <v>1.0536745838862701E-4</v>
      </c>
      <c r="H166">
        <v>0.67289147043850395</v>
      </c>
      <c r="I166">
        <v>0</v>
      </c>
    </row>
    <row r="167" spans="1:9" x14ac:dyDescent="0.25">
      <c r="A167" s="1">
        <v>-24.248878359794599</v>
      </c>
      <c r="B167">
        <v>-0.54509135617656301</v>
      </c>
      <c r="C167">
        <v>1.4931409686073101E-2</v>
      </c>
      <c r="D167">
        <v>0</v>
      </c>
      <c r="E167">
        <v>0</v>
      </c>
      <c r="F167">
        <v>0</v>
      </c>
      <c r="G167">
        <v>1.3087701035487901E-4</v>
      </c>
      <c r="H167">
        <v>0.677325355342414</v>
      </c>
      <c r="I167">
        <v>0</v>
      </c>
    </row>
    <row r="168" spans="1:9" x14ac:dyDescent="0.25">
      <c r="A168" s="1">
        <v>-21.3381540775299</v>
      </c>
      <c r="B168">
        <v>-0.47968012357843698</v>
      </c>
      <c r="C168">
        <v>1.6103940806692401E-2</v>
      </c>
      <c r="D168">
        <v>0</v>
      </c>
      <c r="E168">
        <v>0</v>
      </c>
      <c r="F168">
        <v>0</v>
      </c>
      <c r="G168">
        <v>1.6194572901682101E-4</v>
      </c>
      <c r="H168">
        <v>0.68141632618124603</v>
      </c>
      <c r="I168">
        <v>0</v>
      </c>
    </row>
    <row r="169" spans="1:9" x14ac:dyDescent="0.25">
      <c r="A169" s="1">
        <v>-18.6677181720733</v>
      </c>
      <c r="B169">
        <v>-0.41966819858891502</v>
      </c>
      <c r="C169">
        <v>1.73565260303866E-2</v>
      </c>
      <c r="D169">
        <v>0</v>
      </c>
      <c r="E169">
        <v>0</v>
      </c>
      <c r="F169">
        <v>0</v>
      </c>
      <c r="G169">
        <v>1.9953059779425001E-4</v>
      </c>
      <c r="H169">
        <v>0.68528121605546</v>
      </c>
      <c r="I169">
        <v>0</v>
      </c>
    </row>
    <row r="170" spans="1:9" x14ac:dyDescent="0.25">
      <c r="A170" s="1">
        <v>-16.2178409099578</v>
      </c>
      <c r="B170">
        <v>-0.36461051444304698</v>
      </c>
      <c r="C170">
        <v>1.8689934345091599E-2</v>
      </c>
      <c r="D170">
        <v>0</v>
      </c>
      <c r="E170">
        <v>0</v>
      </c>
      <c r="F170">
        <v>0</v>
      </c>
      <c r="G170">
        <v>2.4466926186477101E-4</v>
      </c>
      <c r="H170">
        <v>0.68902341942501399</v>
      </c>
      <c r="I170">
        <v>0</v>
      </c>
    </row>
    <row r="171" spans="1:9" x14ac:dyDescent="0.25">
      <c r="A171" s="1">
        <v>-13.9702051877975</v>
      </c>
      <c r="B171">
        <v>-0.31409752613646502</v>
      </c>
      <c r="C171">
        <v>2.0104328937200499E-2</v>
      </c>
      <c r="D171">
        <v>0</v>
      </c>
      <c r="E171">
        <v>0</v>
      </c>
      <c r="F171">
        <v>0</v>
      </c>
      <c r="G171">
        <v>2.98468784698968E-4</v>
      </c>
      <c r="H171">
        <v>0.69273724092815603</v>
      </c>
      <c r="I171">
        <v>0</v>
      </c>
    </row>
    <row r="172" spans="1:9" x14ac:dyDescent="0.25">
      <c r="A172" s="1">
        <v>-11.908189058303799</v>
      </c>
      <c r="B172">
        <v>-0.26775416566771998</v>
      </c>
      <c r="C172">
        <v>2.1599127477186598E-2</v>
      </c>
      <c r="D172">
        <v>0</v>
      </c>
      <c r="E172">
        <v>0</v>
      </c>
      <c r="F172">
        <v>0</v>
      </c>
      <c r="G172">
        <v>3.6209508812277101E-4</v>
      </c>
      <c r="H172">
        <v>0.69651126204573</v>
      </c>
      <c r="I172">
        <v>0</v>
      </c>
    </row>
    <row r="173" spans="1:9" x14ac:dyDescent="0.25">
      <c r="A173" s="1">
        <v>-10.016394853591899</v>
      </c>
      <c r="B173">
        <v>-0.225237752522953</v>
      </c>
      <c r="C173">
        <v>2.3172905996110799E-2</v>
      </c>
      <c r="D173">
        <v>0</v>
      </c>
      <c r="E173">
        <v>0</v>
      </c>
      <c r="F173">
        <v>0</v>
      </c>
      <c r="G173">
        <v>4.3676508572616497E-4</v>
      </c>
      <c r="H173">
        <v>0.70042965387585598</v>
      </c>
      <c r="I173">
        <v>0</v>
      </c>
    </row>
    <row r="174" spans="1:9" x14ac:dyDescent="0.25">
      <c r="A174" s="1">
        <v>-8.2808375358581507</v>
      </c>
      <c r="B174">
        <v>-0.18623068037224599</v>
      </c>
      <c r="C174">
        <v>2.48233239987155E-2</v>
      </c>
      <c r="D174">
        <v>0</v>
      </c>
      <c r="E174">
        <v>0</v>
      </c>
      <c r="F174">
        <v>0</v>
      </c>
      <c r="G174">
        <v>5.2375134945350501E-4</v>
      </c>
      <c r="H174">
        <v>0.70457608496889701</v>
      </c>
      <c r="I174">
        <v>0</v>
      </c>
    </row>
    <row r="175" spans="1:9" x14ac:dyDescent="0.25">
      <c r="A175" s="1">
        <v>-6.6885209083557102</v>
      </c>
      <c r="B175">
        <v>-0.150443551342614</v>
      </c>
      <c r="C175">
        <v>2.6547064106813099E-2</v>
      </c>
      <c r="D175">
        <v>0</v>
      </c>
      <c r="E175">
        <v>0</v>
      </c>
      <c r="F175">
        <v>0</v>
      </c>
      <c r="G175">
        <v>6.2437642425550101E-4</v>
      </c>
      <c r="H175">
        <v>0.70902492020447705</v>
      </c>
      <c r="I175">
        <v>0</v>
      </c>
    </row>
    <row r="176" spans="1:9" x14ac:dyDescent="0.25">
      <c r="A176" s="1">
        <v>-5.2277201414108196</v>
      </c>
      <c r="B176">
        <v>-0.11761204174501499</v>
      </c>
      <c r="C176">
        <v>2.8339885709607299E-2</v>
      </c>
      <c r="D176">
        <v>0</v>
      </c>
      <c r="E176">
        <v>0</v>
      </c>
      <c r="F176">
        <v>0</v>
      </c>
      <c r="G176">
        <v>7.4017582124952198E-4</v>
      </c>
      <c r="H176">
        <v>0.71389858108242299</v>
      </c>
      <c r="I176">
        <v>0</v>
      </c>
    </row>
    <row r="177" spans="1:9" x14ac:dyDescent="0.25">
      <c r="A177" s="1">
        <v>-3.88755798339843</v>
      </c>
      <c r="B177">
        <v>-8.7489588770695501E-2</v>
      </c>
      <c r="C177">
        <v>3.01965377819212E-2</v>
      </c>
      <c r="D177">
        <v>0</v>
      </c>
      <c r="E177">
        <v>0</v>
      </c>
      <c r="F177">
        <v>0</v>
      </c>
      <c r="G177">
        <v>8.7246317567064499E-4</v>
      </c>
      <c r="H177">
        <v>0.719175636477001</v>
      </c>
      <c r="I177">
        <v>0</v>
      </c>
    </row>
    <row r="178" spans="1:9" x14ac:dyDescent="0.25">
      <c r="A178" s="1">
        <v>-2.6580518484115601</v>
      </c>
      <c r="B178">
        <v>-5.98547037948449E-2</v>
      </c>
      <c r="C178">
        <v>3.2111051725533198E-2</v>
      </c>
      <c r="D178">
        <v>0</v>
      </c>
      <c r="E178">
        <v>0</v>
      </c>
      <c r="F178">
        <v>0</v>
      </c>
      <c r="G178">
        <v>1.0231656887242401E-3</v>
      </c>
      <c r="H178">
        <v>0.72499815123983102</v>
      </c>
      <c r="I178">
        <v>0</v>
      </c>
    </row>
    <row r="179" spans="1:9" x14ac:dyDescent="0.25">
      <c r="A179" s="1">
        <v>-1.5300196409225399</v>
      </c>
      <c r="B179">
        <v>-3.4501569557615103E-2</v>
      </c>
      <c r="C179">
        <v>3.4077034210513203E-2</v>
      </c>
      <c r="D179">
        <v>0</v>
      </c>
      <c r="E179">
        <v>0</v>
      </c>
      <c r="F179">
        <v>0</v>
      </c>
      <c r="G179">
        <v>1.1922529262221801E-3</v>
      </c>
      <c r="H179">
        <v>0.73095200506479996</v>
      </c>
      <c r="I179">
        <v>0</v>
      </c>
    </row>
    <row r="180" spans="1:9" x14ac:dyDescent="0.25">
      <c r="A180" s="1">
        <v>-0.49517393112182601</v>
      </c>
      <c r="B180">
        <v>-1.12410849217852E-2</v>
      </c>
      <c r="C180">
        <v>3.6087249149803803E-2</v>
      </c>
      <c r="D180">
        <v>0</v>
      </c>
      <c r="E180">
        <v>0</v>
      </c>
      <c r="F180">
        <v>0</v>
      </c>
      <c r="G180">
        <v>1.37781734715645E-3</v>
      </c>
      <c r="H180">
        <v>0.73648930773555898</v>
      </c>
      <c r="I180">
        <v>0</v>
      </c>
    </row>
    <row r="181" spans="1:9" x14ac:dyDescent="0.25">
      <c r="A181" s="1">
        <v>0.49376130104064903</v>
      </c>
      <c r="B181">
        <v>0.35083535497294999</v>
      </c>
      <c r="C181">
        <v>8.9754116895391797E-2</v>
      </c>
      <c r="D181">
        <v>5.04318047769967E-2</v>
      </c>
      <c r="E181" s="1">
        <v>-9.7020263544407302E-5</v>
      </c>
      <c r="F181" s="1">
        <v>2.06644025535504E-5</v>
      </c>
      <c r="G181">
        <v>0.110817781440969</v>
      </c>
      <c r="H181">
        <v>0.99849522734735596</v>
      </c>
      <c r="I181" s="1">
        <v>1.04071977963271E-6</v>
      </c>
    </row>
    <row r="182" spans="1:9" x14ac:dyDescent="0.25">
      <c r="A182" s="1">
        <v>1.5257111191749499</v>
      </c>
      <c r="B182">
        <v>1.0836942003782299</v>
      </c>
      <c r="C182">
        <v>0.32407429958913803</v>
      </c>
      <c r="D182">
        <v>0.32174220342947102</v>
      </c>
      <c r="E182">
        <v>-1.7301226090796901E-3</v>
      </c>
      <c r="F182">
        <v>1.34209836357508E-4</v>
      </c>
      <c r="G182">
        <v>0.11322886423246301</v>
      </c>
      <c r="H182">
        <v>0.99301323853644097</v>
      </c>
      <c r="I182" s="1">
        <v>2.5263651325154701E-5</v>
      </c>
    </row>
    <row r="183" spans="1:9" x14ac:dyDescent="0.25">
      <c r="A183" s="1">
        <v>2.6505178213119498</v>
      </c>
      <c r="B183">
        <v>1.8784424002955999</v>
      </c>
      <c r="C183">
        <v>0.76892019318550597</v>
      </c>
      <c r="D183">
        <v>0.87008290899331098</v>
      </c>
      <c r="E183">
        <v>-9.3373723423472409E-3</v>
      </c>
      <c r="F183">
        <v>3.5724287313026201E-4</v>
      </c>
      <c r="G183">
        <v>0.11337069191447401</v>
      </c>
      <c r="H183">
        <v>0.98215212585076295</v>
      </c>
      <c r="I183">
        <v>1.1482066677935E-4</v>
      </c>
    </row>
    <row r="184" spans="1:9" x14ac:dyDescent="0.25">
      <c r="A184" s="1">
        <v>3.8765159249305698</v>
      </c>
      <c r="B184">
        <v>2.7321880655105599</v>
      </c>
      <c r="C184">
        <v>1.4547809622010901</v>
      </c>
      <c r="D184">
        <v>1.73138733550866</v>
      </c>
      <c r="E184">
        <v>-2.8458760937951098E-2</v>
      </c>
      <c r="F184">
        <v>6.8769099823542197E-4</v>
      </c>
      <c r="G184">
        <v>0.11048730112875201</v>
      </c>
      <c r="H184">
        <v>0.96403006056933505</v>
      </c>
      <c r="I184">
        <v>2.6238886732779E-4</v>
      </c>
    </row>
    <row r="185" spans="1:9" x14ac:dyDescent="0.25">
      <c r="A185" s="1">
        <v>5.2129346132278398</v>
      </c>
      <c r="B185">
        <v>3.6347615249197398</v>
      </c>
      <c r="C185">
        <v>2.3725963192442201</v>
      </c>
      <c r="D185">
        <v>2.8762092627227198</v>
      </c>
      <c r="E185">
        <v>-6.4730840088751504E-2</v>
      </c>
      <c r="F185">
        <v>1.08435321545888E-3</v>
      </c>
      <c r="G185">
        <v>0.10456872447846299</v>
      </c>
      <c r="H185">
        <v>0.93632275679972499</v>
      </c>
      <c r="I185">
        <v>4.8442633023158002E-4</v>
      </c>
    </row>
    <row r="186" spans="1:9" x14ac:dyDescent="0.25">
      <c r="A186" s="1">
        <v>6.6695916652679399</v>
      </c>
      <c r="B186">
        <v>4.5671669946725801</v>
      </c>
      <c r="C186">
        <v>3.45011194327921</v>
      </c>
      <c r="D186">
        <v>4.17917949672304</v>
      </c>
      <c r="E186">
        <v>-0.12125183624142399</v>
      </c>
      <c r="F186">
        <v>1.4605337578424899E-3</v>
      </c>
      <c r="G186">
        <v>9.7616431430545797E-2</v>
      </c>
      <c r="H186">
        <v>0.89820173714831097</v>
      </c>
      <c r="I186">
        <v>1.12498667145125E-3</v>
      </c>
    </row>
    <row r="187" spans="1:9" x14ac:dyDescent="0.25">
      <c r="A187" s="1">
        <v>8.2573878765106201</v>
      </c>
      <c r="B187">
        <v>5.5027516619975998</v>
      </c>
      <c r="C187">
        <v>4.5549197002551898</v>
      </c>
      <c r="D187">
        <v>5.44097885753885</v>
      </c>
      <c r="E187">
        <v>-0.196349478160709</v>
      </c>
      <c r="F187">
        <v>1.7135550433959E-3</v>
      </c>
      <c r="G187">
        <v>9.3051973143548294E-2</v>
      </c>
      <c r="H187">
        <v>0.85407495202087103</v>
      </c>
      <c r="I187">
        <v>3.21145349405963E-3</v>
      </c>
    </row>
    <row r="188" spans="1:9" x14ac:dyDescent="0.25">
      <c r="A188" s="1">
        <v>9.9880245327949506</v>
      </c>
      <c r="B188">
        <v>6.4118992590087798</v>
      </c>
      <c r="C188">
        <v>5.53622212899612</v>
      </c>
      <c r="D188">
        <v>6.46539716194067</v>
      </c>
      <c r="E188">
        <v>-0.28352979407157503</v>
      </c>
      <c r="F188">
        <v>1.7641218860423801E-3</v>
      </c>
      <c r="G188">
        <v>9.3149598935856004E-2</v>
      </c>
      <c r="H188">
        <v>0.81292883127663895</v>
      </c>
      <c r="I188">
        <v>7.1443717760360098E-3</v>
      </c>
    </row>
    <row r="189" spans="1:9" x14ac:dyDescent="0.25">
      <c r="A189" s="1">
        <v>11.874474287032999</v>
      </c>
      <c r="B189">
        <v>7.2688157637346</v>
      </c>
      <c r="C189">
        <v>6.2814276641848403</v>
      </c>
      <c r="D189">
        <v>7.1364111351167399</v>
      </c>
      <c r="E189">
        <v>-0.37417211914749698</v>
      </c>
      <c r="F189">
        <v>1.60492386441795E-3</v>
      </c>
      <c r="G189">
        <v>9.6986642976772203E-2</v>
      </c>
      <c r="H189">
        <v>0.77990423013468901</v>
      </c>
      <c r="I189">
        <v>1.03974338656084E-2</v>
      </c>
    </row>
    <row r="190" spans="1:9" x14ac:dyDescent="0.25">
      <c r="A190" s="1">
        <v>13.9306750893592</v>
      </c>
      <c r="B190">
        <v>8.0566325189288097</v>
      </c>
      <c r="C190">
        <v>6.7458156872391104</v>
      </c>
      <c r="D190">
        <v>7.4391168483109702</v>
      </c>
      <c r="E190">
        <v>-0.460792642692327</v>
      </c>
      <c r="F190">
        <v>1.3115279157741801E-3</v>
      </c>
      <c r="G190">
        <v>0.10155239061654001</v>
      </c>
      <c r="H190">
        <v>0.75334043616163404</v>
      </c>
      <c r="I190">
        <v>1.00677117519024E-2</v>
      </c>
    </row>
    <row r="191" spans="1:9" x14ac:dyDescent="0.25">
      <c r="A191" s="1">
        <v>16.171883344650201</v>
      </c>
      <c r="B191">
        <v>8.7683658419850605</v>
      </c>
      <c r="C191">
        <v>6.9436506024634497</v>
      </c>
      <c r="D191">
        <v>7.4284430273620803</v>
      </c>
      <c r="E191">
        <v>-0.53863016426355104</v>
      </c>
      <c r="F191">
        <v>1.0136157511006099E-3</v>
      </c>
      <c r="G191">
        <v>0.104205387659651</v>
      </c>
      <c r="H191">
        <v>0.72974928555988405</v>
      </c>
      <c r="I191">
        <v>6.2410831558469999E-3</v>
      </c>
    </row>
    <row r="192" spans="1:9" x14ac:dyDescent="0.25">
      <c r="A192" s="1">
        <v>18.614838719367899</v>
      </c>
      <c r="B192">
        <v>9.4046911687332599</v>
      </c>
      <c r="C192">
        <v>6.9217269352522601</v>
      </c>
      <c r="D192">
        <v>7.1860124064900397</v>
      </c>
      <c r="E192">
        <v>-0.60554535905010998</v>
      </c>
      <c r="F192">
        <v>8.4543984241857697E-4</v>
      </c>
      <c r="G192">
        <v>0.103866313888165</v>
      </c>
      <c r="H192">
        <v>0.70693848785128899</v>
      </c>
      <c r="I192">
        <v>9.1379355743182302E-4</v>
      </c>
    </row>
    <row r="193" spans="1:9" x14ac:dyDescent="0.25">
      <c r="A193" s="1">
        <v>21.2777170538902</v>
      </c>
      <c r="B193">
        <v>9.9708528235122404</v>
      </c>
      <c r="C193">
        <v>6.7362965465345699</v>
      </c>
      <c r="D193">
        <v>6.7911125285700003</v>
      </c>
      <c r="E193">
        <v>-0.66121674996983304</v>
      </c>
      <c r="F193">
        <v>9.0086277697101899E-4</v>
      </c>
      <c r="G193">
        <v>0.10076832668755301</v>
      </c>
      <c r="H193">
        <v>0.68410759778628305</v>
      </c>
      <c r="I193">
        <v>-4.1685359371486904E-3</v>
      </c>
    </row>
    <row r="194" spans="1:9" x14ac:dyDescent="0.25">
      <c r="A194" s="1">
        <v>24.180224537849401</v>
      </c>
      <c r="B194">
        <v>10.4741827197173</v>
      </c>
      <c r="C194">
        <v>6.4399573527042397</v>
      </c>
      <c r="D194">
        <v>6.30847970096612</v>
      </c>
      <c r="E194">
        <v>-0.70633352894430301</v>
      </c>
      <c r="F194">
        <v>1.20905209265788E-3</v>
      </c>
      <c r="G194">
        <v>9.5715349062909794E-2</v>
      </c>
      <c r="H194">
        <v>0.66120528095577702</v>
      </c>
      <c r="I194">
        <v>-8.1920809779319793E-3</v>
      </c>
    </row>
    <row r="195" spans="1:9" x14ac:dyDescent="0.25">
      <c r="A195" s="1">
        <v>27.343950867652801</v>
      </c>
      <c r="B195">
        <v>10.922608021423001</v>
      </c>
      <c r="C195">
        <v>6.0764473845961398</v>
      </c>
      <c r="D195">
        <v>5.7863207011050202</v>
      </c>
      <c r="E195">
        <v>-0.74202125706605404</v>
      </c>
      <c r="F195">
        <v>1.6877403190806799E-3</v>
      </c>
      <c r="G195">
        <v>8.9508460972079706E-2</v>
      </c>
      <c r="H195">
        <v>0.63851192387026601</v>
      </c>
      <c r="I195">
        <v>-1.09935908288543E-2</v>
      </c>
    </row>
    <row r="196" spans="1:9" x14ac:dyDescent="0.25">
      <c r="A196" s="1">
        <v>30.7923927903175</v>
      </c>
      <c r="B196">
        <v>11.3239190947472</v>
      </c>
      <c r="C196">
        <v>5.67966620562947</v>
      </c>
      <c r="D196">
        <v>5.2585124815485598</v>
      </c>
      <c r="E196">
        <v>-0.76951221675084902</v>
      </c>
      <c r="F196">
        <v>2.2411838399572699E-3</v>
      </c>
      <c r="G196">
        <v>8.2726200083801604E-2</v>
      </c>
      <c r="H196">
        <v>0.61643659284753505</v>
      </c>
      <c r="I196">
        <v>-1.2677475587845301E-2</v>
      </c>
    </row>
    <row r="197" spans="1:9" x14ac:dyDescent="0.25">
      <c r="A197" s="1">
        <v>34.551213085651298</v>
      </c>
      <c r="B197">
        <v>11.685406421913999</v>
      </c>
      <c r="C197">
        <v>5.2744194351969904</v>
      </c>
      <c r="D197">
        <v>4.74763123741121</v>
      </c>
      <c r="E197">
        <v>-0.78998895389324397</v>
      </c>
      <c r="F197">
        <v>2.82202595665797E-3</v>
      </c>
      <c r="G197">
        <v>7.5723063965830506E-2</v>
      </c>
      <c r="H197">
        <v>0.59540598475761097</v>
      </c>
      <c r="I197">
        <v>-1.3425245663008199E-2</v>
      </c>
    </row>
    <row r="198" spans="1:9" x14ac:dyDescent="0.25">
      <c r="A198" s="1">
        <v>38.6483111977577</v>
      </c>
      <c r="B198">
        <v>12.013673328442801</v>
      </c>
      <c r="C198">
        <v>4.8777155126927001</v>
      </c>
      <c r="D198">
        <v>4.2677144833302902</v>
      </c>
      <c r="E198">
        <v>-0.804480865163825</v>
      </c>
      <c r="F198">
        <v>3.2979324599533501E-3</v>
      </c>
      <c r="G198">
        <v>6.8721525447613105E-2</v>
      </c>
      <c r="H198">
        <v>0.575848499766901</v>
      </c>
      <c r="I198">
        <v>-1.3431030058607E-2</v>
      </c>
    </row>
    <row r="199" spans="1:9" x14ac:dyDescent="0.25">
      <c r="A199" s="1">
        <v>43.1141293048858</v>
      </c>
      <c r="B199">
        <v>12.314590568838</v>
      </c>
      <c r="C199">
        <v>4.5003892277618398</v>
      </c>
      <c r="D199">
        <v>3.8267339156356299</v>
      </c>
      <c r="E199">
        <v>-0.81383322037293704</v>
      </c>
      <c r="F199">
        <v>3.6199586484522402E-3</v>
      </c>
      <c r="G199">
        <v>6.18712756500744E-2</v>
      </c>
      <c r="H199">
        <v>0.55806069522033797</v>
      </c>
      <c r="I199">
        <v>-1.28802391050882E-2</v>
      </c>
    </row>
    <row r="200" spans="1:9" x14ac:dyDescent="0.25">
      <c r="A200" s="1">
        <v>47.981887757778097</v>
      </c>
      <c r="B200">
        <v>12.593200143587101</v>
      </c>
      <c r="C200">
        <v>4.1487289703065304</v>
      </c>
      <c r="D200">
        <v>3.4284923420737599</v>
      </c>
      <c r="E200">
        <v>-0.81875145588602205</v>
      </c>
      <c r="F200">
        <v>3.73055159692083E-3</v>
      </c>
      <c r="G200">
        <v>5.52756502017357E-2</v>
      </c>
      <c r="H200">
        <v>0.54207201290882401</v>
      </c>
      <c r="I200">
        <v>-1.19512976540455E-2</v>
      </c>
    </row>
    <row r="201" spans="1:9" x14ac:dyDescent="0.25">
      <c r="A201" s="1">
        <v>53.287820518016801</v>
      </c>
      <c r="B201">
        <v>12.853727183278901</v>
      </c>
      <c r="C201">
        <v>3.82544300853553</v>
      </c>
      <c r="D201">
        <v>3.0733511506698501</v>
      </c>
      <c r="E201">
        <v>-0.81977069098187205</v>
      </c>
      <c r="F201">
        <v>3.5766601406747901E-3</v>
      </c>
      <c r="G201">
        <v>4.9040984685543403E-2</v>
      </c>
      <c r="H201">
        <v>0.52787979407493801</v>
      </c>
      <c r="I201">
        <v>-1.08065133186581E-2</v>
      </c>
    </row>
    <row r="202" spans="1:9" x14ac:dyDescent="0.25">
      <c r="A202" s="1">
        <v>59.071175158023799</v>
      </c>
      <c r="B202">
        <v>13.0997072784438</v>
      </c>
      <c r="C202">
        <v>3.5309342205933398</v>
      </c>
      <c r="D202">
        <v>2.7594935844621502</v>
      </c>
      <c r="E202">
        <v>-0.81730269009697099</v>
      </c>
      <c r="F202">
        <v>3.1156251125057802E-3</v>
      </c>
      <c r="G202">
        <v>4.3269837842566203E-2</v>
      </c>
      <c r="H202">
        <v>0.51537115126810895</v>
      </c>
      <c r="I202">
        <v>-9.5973347973369403E-3</v>
      </c>
    </row>
    <row r="203" spans="1:9" x14ac:dyDescent="0.25">
      <c r="A203" s="1">
        <v>65.375131070613804</v>
      </c>
      <c r="B203">
        <v>13.334051123934101</v>
      </c>
      <c r="C203">
        <v>3.2643819711685498</v>
      </c>
      <c r="D203">
        <v>2.4841353867382998</v>
      </c>
      <c r="E203">
        <v>-0.811657717448103</v>
      </c>
      <c r="F203">
        <v>2.4419904002984699E-3</v>
      </c>
      <c r="G203">
        <v>3.8016618504418301E-2</v>
      </c>
      <c r="H203">
        <v>0.50415488388819596</v>
      </c>
      <c r="I203">
        <v>-8.4231909626761997E-3</v>
      </c>
    </row>
    <row r="204" spans="1:9" x14ac:dyDescent="0.25">
      <c r="A204" s="1">
        <v>72.246375679969702</v>
      </c>
      <c r="B204">
        <v>13.5591514759905</v>
      </c>
      <c r="C204">
        <v>3.0236422503627698</v>
      </c>
      <c r="D204">
        <v>2.2436182743317699</v>
      </c>
      <c r="E204">
        <v>-0.80307811040285304</v>
      </c>
      <c r="F204">
        <v>1.6657204339440501E-3</v>
      </c>
      <c r="G204">
        <v>3.3309860277751201E-2</v>
      </c>
      <c r="H204">
        <v>0.49395907296934299</v>
      </c>
      <c r="I204">
        <v>-7.3455262320833896E-3</v>
      </c>
    </row>
    <row r="205" spans="1:9" x14ac:dyDescent="0.25">
      <c r="A205" s="1">
        <v>79.736069738864799</v>
      </c>
      <c r="B205">
        <v>13.7769837101663</v>
      </c>
      <c r="C205">
        <v>2.8057541327218001</v>
      </c>
      <c r="D205">
        <v>2.0335152599747701</v>
      </c>
      <c r="E205">
        <v>-0.79170582282653601</v>
      </c>
      <c r="F205">
        <v>9.8138297776250295E-4</v>
      </c>
      <c r="G205">
        <v>2.9115209612111299E-2</v>
      </c>
      <c r="H205">
        <v>0.48435380085541901</v>
      </c>
      <c r="I205">
        <v>-6.3748030532909099E-3</v>
      </c>
    </row>
    <row r="206" spans="1:9" x14ac:dyDescent="0.25">
      <c r="A206" s="1">
        <v>87.899753153324099</v>
      </c>
      <c r="B206">
        <v>13.9891298507548</v>
      </c>
      <c r="C206">
        <v>2.6074024576046999</v>
      </c>
      <c r="D206">
        <v>1.8493702049092</v>
      </c>
      <c r="E206">
        <v>-0.77758860806910701</v>
      </c>
      <c r="F206">
        <v>5.9032921042976997E-4</v>
      </c>
      <c r="G206">
        <v>2.53989124215129E-2</v>
      </c>
      <c r="H206">
        <v>0.47522988972250801</v>
      </c>
      <c r="I206">
        <v>-5.5198971703925596E-3</v>
      </c>
    </row>
    <row r="207" spans="1:9" x14ac:dyDescent="0.25">
      <c r="A207" s="1">
        <v>96.798263192176805</v>
      </c>
      <c r="B207">
        <v>14.1968402114904</v>
      </c>
      <c r="C207">
        <v>2.4255204295902999</v>
      </c>
      <c r="D207">
        <v>1.68729296785748</v>
      </c>
      <c r="E207">
        <v>-0.76080800363017598</v>
      </c>
      <c r="F207">
        <v>6.5245723567013397E-4</v>
      </c>
      <c r="G207">
        <v>2.21182891876366E-2</v>
      </c>
      <c r="H207">
        <v>0.46635228377815102</v>
      </c>
      <c r="I207">
        <v>-4.7714847086232897E-3</v>
      </c>
    </row>
    <row r="208" spans="1:9" x14ac:dyDescent="0.25">
      <c r="A208" s="1">
        <v>106.497616767883</v>
      </c>
      <c r="B208">
        <v>14.4011715647506</v>
      </c>
      <c r="C208">
        <v>2.2570170748460701</v>
      </c>
      <c r="D208">
        <v>1.5435793343355799</v>
      </c>
      <c r="E208">
        <v>-0.74128710173184897</v>
      </c>
      <c r="F208">
        <v>9.1709106923863303E-4</v>
      </c>
      <c r="G208">
        <v>1.92353999425285E-2</v>
      </c>
      <c r="H208">
        <v>0.45767141530414501</v>
      </c>
      <c r="I208">
        <v>-4.1228632078789901E-3</v>
      </c>
    </row>
    <row r="209" spans="1:9" x14ac:dyDescent="0.25">
      <c r="A209" s="1">
        <v>117.06990510225199</v>
      </c>
      <c r="B209">
        <v>14.603275755860199</v>
      </c>
      <c r="C209">
        <v>2.0981504623102198</v>
      </c>
      <c r="D209">
        <v>1.4142047521635299</v>
      </c>
      <c r="E209">
        <v>-0.71879162792649998</v>
      </c>
      <c r="F209">
        <v>1.13773025095897E-3</v>
      </c>
      <c r="G209">
        <v>1.67102017755505E-2</v>
      </c>
      <c r="H209">
        <v>0.44983214124318899</v>
      </c>
      <c r="I209">
        <v>-3.5624878225812401E-3</v>
      </c>
    </row>
    <row r="210" spans="1:9" x14ac:dyDescent="0.25">
      <c r="A210" s="1">
        <v>128.593670427799</v>
      </c>
      <c r="B210">
        <v>14.804108476892401</v>
      </c>
      <c r="C210">
        <v>1.9470775961525799</v>
      </c>
      <c r="D210">
        <v>1.2966878065305001</v>
      </c>
      <c r="E210">
        <v>-0.69335686090706905</v>
      </c>
      <c r="F210">
        <v>1.49540086014274E-3</v>
      </c>
      <c r="G210">
        <v>1.44698029957322E-2</v>
      </c>
      <c r="H210">
        <v>0.44243962754598298</v>
      </c>
      <c r="I210">
        <v>-3.0621147759640499E-3</v>
      </c>
    </row>
    <row r="211" spans="1:9" x14ac:dyDescent="0.25">
      <c r="A211" s="1">
        <v>141.15461230278001</v>
      </c>
      <c r="B211">
        <v>15.004119496021699</v>
      </c>
      <c r="C211">
        <v>1.80202987565489</v>
      </c>
      <c r="D211">
        <v>1.1886438972050499</v>
      </c>
      <c r="E211">
        <v>-0.66476544892348899</v>
      </c>
      <c r="F211">
        <v>2.1603366294505101E-3</v>
      </c>
      <c r="G211">
        <v>1.24661788704449E-2</v>
      </c>
      <c r="H211">
        <v>0.43526829441531401</v>
      </c>
      <c r="I211">
        <v>-2.6128907493302399E-3</v>
      </c>
    </row>
    <row r="212" spans="1:9" x14ac:dyDescent="0.25">
      <c r="A212" s="1">
        <v>154.84601140022201</v>
      </c>
      <c r="B212">
        <v>15.2031050855036</v>
      </c>
      <c r="C212">
        <v>1.66162984670656</v>
      </c>
      <c r="D212">
        <v>1.0881123856899499</v>
      </c>
      <c r="E212">
        <v>-0.63284508766755498</v>
      </c>
      <c r="F212">
        <v>2.2781557919870602E-3</v>
      </c>
      <c r="G212">
        <v>1.06651292064082E-2</v>
      </c>
      <c r="H212">
        <v>0.42781535874993099</v>
      </c>
      <c r="I212">
        <v>-2.20807827451798E-3</v>
      </c>
    </row>
    <row r="213" spans="1:9" x14ac:dyDescent="0.25">
      <c r="A213" s="1">
        <v>169.76969480514501</v>
      </c>
      <c r="B213">
        <v>15.4010130074548</v>
      </c>
      <c r="C213">
        <v>1.52367298184702</v>
      </c>
      <c r="D213">
        <v>0.99275756781542801</v>
      </c>
      <c r="E213">
        <v>-0.59712961225686301</v>
      </c>
      <c r="F213">
        <v>1.8939021228244501E-3</v>
      </c>
      <c r="G213">
        <v>9.0508366306223907E-3</v>
      </c>
      <c r="H213">
        <v>0.42035771855860199</v>
      </c>
      <c r="I213">
        <v>-1.84478894302454E-3</v>
      </c>
    </row>
    <row r="214" spans="1:9" x14ac:dyDescent="0.25">
      <c r="A214" s="1">
        <v>186.03645980358101</v>
      </c>
      <c r="B214">
        <v>15.5983640735711</v>
      </c>
      <c r="C214">
        <v>1.3863617807183799</v>
      </c>
      <c r="D214">
        <v>0.90077881007308103</v>
      </c>
      <c r="E214">
        <v>-0.55713978527090002</v>
      </c>
      <c r="F214">
        <v>1.7376453386748201E-3</v>
      </c>
      <c r="G214">
        <v>7.6051355323969901E-3</v>
      </c>
      <c r="H214">
        <v>0.41345333116204802</v>
      </c>
      <c r="I214">
        <v>-1.5220334423822199E-3</v>
      </c>
    </row>
    <row r="215" spans="1:9" x14ac:dyDescent="0.25">
      <c r="A215" s="1">
        <v>203.76720398664401</v>
      </c>
      <c r="B215">
        <v>15.794703291889601</v>
      </c>
      <c r="C215">
        <v>1.24962056060103</v>
      </c>
      <c r="D215">
        <v>0.81061823141023903</v>
      </c>
      <c r="E215">
        <v>-0.51276488415696497</v>
      </c>
      <c r="F215">
        <v>1.5542031520649499E-3</v>
      </c>
      <c r="G215">
        <v>6.3038925652796202E-3</v>
      </c>
      <c r="H215">
        <v>0.40618712952927799</v>
      </c>
      <c r="I215">
        <v>-1.2338784703408E-3</v>
      </c>
    </row>
    <row r="216" spans="1:9" x14ac:dyDescent="0.25">
      <c r="A216" s="1">
        <v>223.09376105666101</v>
      </c>
      <c r="B216">
        <v>15.988374199133601</v>
      </c>
      <c r="C216">
        <v>1.11263948778152</v>
      </c>
      <c r="D216">
        <v>0.72124420442334902</v>
      </c>
      <c r="E216">
        <v>-0.46354718110759502</v>
      </c>
      <c r="F216">
        <v>1.26594373910573E-3</v>
      </c>
      <c r="G216">
        <v>5.1220440028525802E-3</v>
      </c>
      <c r="H216">
        <v>0.398815106985624</v>
      </c>
      <c r="I216">
        <v>-9.7035293449855E-4</v>
      </c>
    </row>
    <row r="217" spans="1:9" x14ac:dyDescent="0.25">
      <c r="A217" s="1">
        <v>244.15970131754801</v>
      </c>
      <c r="B217">
        <v>16.177964805320201</v>
      </c>
      <c r="C217">
        <v>0.97453440496824195</v>
      </c>
      <c r="D217">
        <v>0.63112742659889898</v>
      </c>
      <c r="E217">
        <v>-0.40888406186896697</v>
      </c>
      <c r="F217">
        <v>4.9157062668563902E-4</v>
      </c>
      <c r="G217">
        <v>4.0602876841568996E-3</v>
      </c>
      <c r="H217">
        <v>0.39201479638272102</v>
      </c>
      <c r="I217">
        <v>-7.3559663848414602E-4</v>
      </c>
    </row>
    <row r="218" spans="1:9" x14ac:dyDescent="0.25">
      <c r="A218" s="1">
        <v>267.12157949805197</v>
      </c>
      <c r="B218">
        <v>16.360612474449201</v>
      </c>
      <c r="C218">
        <v>0.83619318920839303</v>
      </c>
      <c r="D218">
        <v>0.54076187183560998</v>
      </c>
      <c r="E218">
        <v>-0.34840857302613498</v>
      </c>
      <c r="F218">
        <v>-5.1010041692966504E-4</v>
      </c>
      <c r="G218">
        <v>3.1289395390609498E-3</v>
      </c>
      <c r="H218">
        <v>0.386234380085828</v>
      </c>
      <c r="I218">
        <v>-5.3746695756006499E-4</v>
      </c>
    </row>
    <row r="219" spans="1:9" x14ac:dyDescent="0.25">
      <c r="A219" s="1">
        <v>292.15002954006098</v>
      </c>
      <c r="B219">
        <v>16.531486247081599</v>
      </c>
      <c r="C219">
        <v>0.69805319791952103</v>
      </c>
      <c r="D219">
        <v>0.44930507103885098</v>
      </c>
      <c r="E219">
        <v>-0.28162335945670602</v>
      </c>
      <c r="F219">
        <v>-1.0675185757801199E-3</v>
      </c>
      <c r="G219">
        <v>2.33325043690458E-3</v>
      </c>
      <c r="H219">
        <v>0.38275999718285902</v>
      </c>
      <c r="I219">
        <v>-3.7730387043555599E-4</v>
      </c>
    </row>
    <row r="220" spans="1:9" x14ac:dyDescent="0.25">
      <c r="A220" s="1">
        <v>319.43101242184599</v>
      </c>
      <c r="B220">
        <v>16.6809879345561</v>
      </c>
      <c r="C220">
        <v>0.56743598312046195</v>
      </c>
      <c r="D220">
        <v>0.36126241927525798</v>
      </c>
      <c r="E220">
        <v>-0.208183976137891</v>
      </c>
      <c r="F220">
        <v>-8.0749174322881597E-4</v>
      </c>
      <c r="G220">
        <v>1.69014738483172E-3</v>
      </c>
      <c r="H220">
        <v>0.38296540686811398</v>
      </c>
      <c r="I220">
        <v>-2.5968593269106002E-4</v>
      </c>
    </row>
    <row r="221" spans="1:9" x14ac:dyDescent="0.25">
      <c r="A221" s="1">
        <v>349.16732590645501</v>
      </c>
      <c r="B221">
        <v>16.796990512285699</v>
      </c>
      <c r="C221">
        <v>0.458717184114805</v>
      </c>
      <c r="D221">
        <v>0.28588348868450397</v>
      </c>
      <c r="E221">
        <v>-0.126785189284771</v>
      </c>
      <c r="F221">
        <v>-9.6326622896546004E-4</v>
      </c>
      <c r="G221">
        <v>1.24629579355716E-3</v>
      </c>
      <c r="H221">
        <v>0.388093770201699</v>
      </c>
      <c r="I221">
        <v>-1.8992071776119E-4</v>
      </c>
    </row>
    <row r="222" spans="1:9" x14ac:dyDescent="0.25">
      <c r="A222" s="1">
        <v>379.83785875141598</v>
      </c>
      <c r="B222">
        <v>16.858258235987499</v>
      </c>
      <c r="C222">
        <v>0.39658989768853098</v>
      </c>
      <c r="D222">
        <v>0.24186173093629901</v>
      </c>
      <c r="E222">
        <v>-4.1899374347402103E-2</v>
      </c>
      <c r="F222">
        <v>-1.32068987487988E-3</v>
      </c>
      <c r="G222">
        <v>1.01556387014503E-3</v>
      </c>
      <c r="H222">
        <v>0.409416886073801</v>
      </c>
      <c r="I222">
        <v>-1.5046169835265899E-4</v>
      </c>
    </row>
    <row r="223" spans="1:9" x14ac:dyDescent="0.25">
      <c r="A223" s="1" t="s">
        <v>526</v>
      </c>
      <c r="B223" s="1" t="s">
        <v>614</v>
      </c>
      <c r="C223" s="1" t="s">
        <v>615</v>
      </c>
      <c r="D223" s="1" t="s">
        <v>616</v>
      </c>
      <c r="E223" s="1" t="s">
        <v>617</v>
      </c>
      <c r="F223" s="1" t="s">
        <v>618</v>
      </c>
      <c r="G223" s="1" t="s">
        <v>400</v>
      </c>
      <c r="H223" s="1" t="s">
        <v>619</v>
      </c>
      <c r="I223" s="1" t="s">
        <v>613</v>
      </c>
    </row>
    <row r="224" spans="1:9" x14ac:dyDescent="0.25">
      <c r="A224" s="1">
        <v>-141.555516719818</v>
      </c>
      <c r="B224">
        <v>-6.3570296480610002</v>
      </c>
      <c r="C224">
        <v>1.41545172697745E-2</v>
      </c>
      <c r="D224">
        <v>0</v>
      </c>
      <c r="E224">
        <v>0</v>
      </c>
      <c r="F224">
        <v>0</v>
      </c>
      <c r="G224" s="1">
        <v>8.0947396146058197E-6</v>
      </c>
      <c r="H224">
        <v>1.5554119954113699E-2</v>
      </c>
      <c r="I224">
        <v>0</v>
      </c>
    </row>
    <row r="225" spans="1:9" x14ac:dyDescent="0.25">
      <c r="A225" s="1">
        <v>-128.95890593528699</v>
      </c>
      <c r="B225">
        <v>-5.7913821772961898</v>
      </c>
      <c r="C225">
        <v>1.4348978447149E-2</v>
      </c>
      <c r="D225">
        <v>0</v>
      </c>
      <c r="E225">
        <v>0</v>
      </c>
      <c r="F225">
        <v>0</v>
      </c>
      <c r="G225" s="1">
        <v>9.3665703060352695E-6</v>
      </c>
      <c r="H225">
        <v>0.116253383556622</v>
      </c>
      <c r="I225">
        <v>0</v>
      </c>
    </row>
    <row r="226" spans="1:9" x14ac:dyDescent="0.25">
      <c r="A226" s="1">
        <v>-117.402367591857</v>
      </c>
      <c r="B226">
        <v>-5.2724343293636098</v>
      </c>
      <c r="C226">
        <v>1.4715667214665299E-2</v>
      </c>
      <c r="D226">
        <v>0</v>
      </c>
      <c r="E226">
        <v>0</v>
      </c>
      <c r="F226">
        <v>0</v>
      </c>
      <c r="G226" s="1">
        <v>1.17679005329662E-5</v>
      </c>
      <c r="H226">
        <v>0.24532190947314</v>
      </c>
      <c r="I226">
        <v>0</v>
      </c>
    </row>
    <row r="227" spans="1:9" x14ac:dyDescent="0.25">
      <c r="A227" s="1">
        <v>-106.80001378059301</v>
      </c>
      <c r="B227">
        <v>-4.7963299037246996</v>
      </c>
      <c r="C227">
        <v>1.5250337372951899E-2</v>
      </c>
      <c r="D227">
        <v>0</v>
      </c>
      <c r="E227">
        <v>0</v>
      </c>
      <c r="F227">
        <v>0</v>
      </c>
      <c r="G227" s="1">
        <v>1.5276401994856999E-5</v>
      </c>
      <c r="H227">
        <v>0.35799469891449198</v>
      </c>
      <c r="I227">
        <v>0</v>
      </c>
    </row>
    <row r="228" spans="1:9" x14ac:dyDescent="0.25">
      <c r="A228" s="1">
        <v>-97.073161005973802</v>
      </c>
      <c r="B228">
        <v>-4.3595344852014399</v>
      </c>
      <c r="C228">
        <v>1.59569512217645E-2</v>
      </c>
      <c r="D228">
        <v>0</v>
      </c>
      <c r="E228">
        <v>0</v>
      </c>
      <c r="F228">
        <v>0</v>
      </c>
      <c r="G228" s="1">
        <v>1.9980745047121202E-5</v>
      </c>
      <c r="H228">
        <v>0.44376665373922702</v>
      </c>
      <c r="I228">
        <v>0</v>
      </c>
    </row>
    <row r="229" spans="1:9" x14ac:dyDescent="0.25">
      <c r="A229" s="1">
        <v>-88.149435520172105</v>
      </c>
      <c r="B229">
        <v>-3.9588009669735098</v>
      </c>
      <c r="C229">
        <v>1.6842834265362198E-2</v>
      </c>
      <c r="D229">
        <v>0</v>
      </c>
      <c r="E229">
        <v>0</v>
      </c>
      <c r="F229">
        <v>0</v>
      </c>
      <c r="G229" s="1">
        <v>2.60693616180418E-5</v>
      </c>
      <c r="H229">
        <v>0.50594498333804405</v>
      </c>
      <c r="I229">
        <v>0</v>
      </c>
    </row>
    <row r="230" spans="1:9" x14ac:dyDescent="0.25">
      <c r="A230" s="1">
        <v>-79.962490797042804</v>
      </c>
      <c r="B230">
        <v>-3.5911528344555799</v>
      </c>
      <c r="C230">
        <v>1.7916419663591799E-2</v>
      </c>
      <c r="D230">
        <v>0</v>
      </c>
      <c r="E230">
        <v>0</v>
      </c>
      <c r="F230">
        <v>0</v>
      </c>
      <c r="G230" s="1">
        <v>3.38305622619827E-5</v>
      </c>
      <c r="H230">
        <v>0.550485065555401</v>
      </c>
      <c r="I230">
        <v>0</v>
      </c>
    </row>
    <row r="231" spans="1:9" x14ac:dyDescent="0.25">
      <c r="A231" s="1">
        <v>-72.451583743095298</v>
      </c>
      <c r="B231">
        <v>-3.25385804635575</v>
      </c>
      <c r="C231">
        <v>1.9186331705568899E-2</v>
      </c>
      <c r="D231">
        <v>0</v>
      </c>
      <c r="E231">
        <v>0</v>
      </c>
      <c r="F231">
        <v>0</v>
      </c>
      <c r="G231" s="1">
        <v>4.3661078061063501E-5</v>
      </c>
      <c r="H231">
        <v>0.58255661802264702</v>
      </c>
      <c r="I231">
        <v>0</v>
      </c>
    </row>
    <row r="232" spans="1:9" x14ac:dyDescent="0.25">
      <c r="A232" s="1">
        <v>-65.560821294784503</v>
      </c>
      <c r="B232">
        <v>-2.9444112737952701</v>
      </c>
      <c r="C232">
        <v>2.06611074986373E-2</v>
      </c>
      <c r="D232">
        <v>0</v>
      </c>
      <c r="E232">
        <v>0</v>
      </c>
      <c r="F232">
        <v>0</v>
      </c>
      <c r="G232" s="1">
        <v>5.6081832672028002E-5</v>
      </c>
      <c r="H232">
        <v>0.60598739202746899</v>
      </c>
      <c r="I232">
        <v>0</v>
      </c>
    </row>
    <row r="233" spans="1:9" x14ac:dyDescent="0.25">
      <c r="A233" s="1">
        <v>-59.238972067832897</v>
      </c>
      <c r="B233">
        <v>-2.6605130051552299</v>
      </c>
      <c r="C233">
        <v>2.2349243912400001E-2</v>
      </c>
      <c r="D233">
        <v>0</v>
      </c>
      <c r="E233">
        <v>0</v>
      </c>
      <c r="F233">
        <v>0</v>
      </c>
      <c r="G233" s="1">
        <v>7.1760031797119006E-5</v>
      </c>
      <c r="H233">
        <v>0.623460999570015</v>
      </c>
      <c r="I233">
        <v>0</v>
      </c>
    </row>
    <row r="234" spans="1:9" x14ac:dyDescent="0.25">
      <c r="A234" s="1">
        <v>-53.439136743545497</v>
      </c>
      <c r="B234">
        <v>-2.4000549194692602</v>
      </c>
      <c r="C234">
        <v>2.4259324998231701E-2</v>
      </c>
      <c r="D234">
        <v>0</v>
      </c>
      <c r="E234">
        <v>0</v>
      </c>
      <c r="F234">
        <v>0</v>
      </c>
      <c r="G234" s="1">
        <v>9.1536567143180007E-5</v>
      </c>
      <c r="H234">
        <v>0.63681856318901298</v>
      </c>
      <c r="I234">
        <v>0</v>
      </c>
    </row>
    <row r="235" spans="1:9" x14ac:dyDescent="0.25">
      <c r="A235" s="1">
        <v>-48.118183016777003</v>
      </c>
      <c r="B235">
        <v>-2.1611010807855999</v>
      </c>
      <c r="C235">
        <v>2.6400162821372E-2</v>
      </c>
      <c r="D235">
        <v>0</v>
      </c>
      <c r="E235">
        <v>0</v>
      </c>
      <c r="F235">
        <v>0</v>
      </c>
      <c r="G235">
        <v>1.16457554045368E-4</v>
      </c>
      <c r="H235">
        <v>0.64731052308953896</v>
      </c>
      <c r="I235">
        <v>0</v>
      </c>
    </row>
    <row r="236" spans="1:9" x14ac:dyDescent="0.25">
      <c r="A236" s="1">
        <v>-43.236604332923797</v>
      </c>
      <c r="B236">
        <v>-1.94187540107509</v>
      </c>
      <c r="C236">
        <v>2.8780909232427099E-2</v>
      </c>
      <c r="D236">
        <v>0</v>
      </c>
      <c r="E236">
        <v>0</v>
      </c>
      <c r="F236">
        <v>0</v>
      </c>
      <c r="G236">
        <v>1.4780854756750699E-4</v>
      </c>
      <c r="H236">
        <v>0.65578207553037104</v>
      </c>
      <c r="I236">
        <v>0</v>
      </c>
    </row>
    <row r="237" spans="1:9" x14ac:dyDescent="0.25">
      <c r="A237" s="1">
        <v>-38.758049011230398</v>
      </c>
      <c r="B237">
        <v>-1.7407501478969101</v>
      </c>
      <c r="C237">
        <v>3.1411062573660498E-2</v>
      </c>
      <c r="D237">
        <v>0</v>
      </c>
      <c r="E237">
        <v>0</v>
      </c>
      <c r="F237">
        <v>0</v>
      </c>
      <c r="G237">
        <v>1.87149379333817E-4</v>
      </c>
      <c r="H237">
        <v>0.66280432360074204</v>
      </c>
      <c r="I237">
        <v>0</v>
      </c>
    </row>
    <row r="238" spans="1:9" x14ac:dyDescent="0.25">
      <c r="A238" s="1">
        <v>-34.649320244789102</v>
      </c>
      <c r="B238">
        <v>-1.5562313177912499</v>
      </c>
      <c r="C238">
        <v>3.4300416264101498E-2</v>
      </c>
      <c r="D238">
        <v>0</v>
      </c>
      <c r="E238">
        <v>0</v>
      </c>
      <c r="F238">
        <v>0</v>
      </c>
      <c r="G238">
        <v>2.36346872608805E-4</v>
      </c>
      <c r="H238">
        <v>0.66876601544436298</v>
      </c>
      <c r="I238">
        <v>0</v>
      </c>
    </row>
    <row r="239" spans="1:9" x14ac:dyDescent="0.25">
      <c r="A239" s="1">
        <v>-30.879811048507602</v>
      </c>
      <c r="B239">
        <v>-1.3869471439450001</v>
      </c>
      <c r="C239">
        <v>3.74588844360021E-2</v>
      </c>
      <c r="D239">
        <v>0</v>
      </c>
      <c r="E239">
        <v>0</v>
      </c>
      <c r="F239">
        <v>0</v>
      </c>
      <c r="G239">
        <v>2.9760154584153E-4</v>
      </c>
      <c r="H239">
        <v>0.67393645028846405</v>
      </c>
      <c r="I239">
        <v>0</v>
      </c>
    </row>
    <row r="240" spans="1:9" x14ac:dyDescent="0.25">
      <c r="A240" s="1">
        <v>-27.4215984344482</v>
      </c>
      <c r="B240">
        <v>-1.23163973813048</v>
      </c>
      <c r="C240">
        <v>4.0896235918661102E-2</v>
      </c>
      <c r="D240">
        <v>0</v>
      </c>
      <c r="E240">
        <v>0</v>
      </c>
      <c r="F240">
        <v>0</v>
      </c>
      <c r="G240">
        <v>3.7346373170379303E-4</v>
      </c>
      <c r="H240">
        <v>0.67850787524022704</v>
      </c>
      <c r="I240">
        <v>0</v>
      </c>
    </row>
    <row r="241" spans="1:9" x14ac:dyDescent="0.25">
      <c r="A241" s="1">
        <v>-24.248878359794599</v>
      </c>
      <c r="B241">
        <v>-1.08915464312872</v>
      </c>
      <c r="C241">
        <v>4.4621741040477302E-2</v>
      </c>
      <c r="D241">
        <v>0</v>
      </c>
      <c r="E241">
        <v>0</v>
      </c>
      <c r="F241">
        <v>0</v>
      </c>
      <c r="G241">
        <v>4.6683363298711801E-4</v>
      </c>
      <c r="H241">
        <v>0.68262281003399194</v>
      </c>
      <c r="I241">
        <v>0</v>
      </c>
    </row>
    <row r="242" spans="1:9" x14ac:dyDescent="0.25">
      <c r="A242" s="1">
        <v>-21.3381540775299</v>
      </c>
      <c r="B242">
        <v>-0.95843456418356299</v>
      </c>
      <c r="C242">
        <v>4.8643699953209697E-2</v>
      </c>
      <c r="D242">
        <v>0</v>
      </c>
      <c r="E242">
        <v>0</v>
      </c>
      <c r="F242">
        <v>0</v>
      </c>
      <c r="G242">
        <v>5.8094005062514498E-4</v>
      </c>
      <c r="H242">
        <v>0.68639097509894198</v>
      </c>
      <c r="I242">
        <v>0</v>
      </c>
    </row>
    <row r="243" spans="1:9" x14ac:dyDescent="0.25">
      <c r="A243" s="1">
        <v>-18.6677181720733</v>
      </c>
      <c r="B243">
        <v>-0.83850683190962705</v>
      </c>
      <c r="C243">
        <v>5.2968935189357101E-2</v>
      </c>
      <c r="D243">
        <v>0</v>
      </c>
      <c r="E243">
        <v>0</v>
      </c>
      <c r="F243">
        <v>0</v>
      </c>
      <c r="G243">
        <v>7.1929348290211703E-4</v>
      </c>
      <c r="H243">
        <v>0.68989941997294402</v>
      </c>
      <c r="I243">
        <v>0</v>
      </c>
    </row>
    <row r="244" spans="1:9" x14ac:dyDescent="0.25">
      <c r="A244" s="1">
        <v>-16.2178409099578</v>
      </c>
      <c r="B244">
        <v>-0.72848235753467705</v>
      </c>
      <c r="C244">
        <v>5.7602185860616197E-2</v>
      </c>
      <c r="D244">
        <v>0</v>
      </c>
      <c r="E244">
        <v>0</v>
      </c>
      <c r="F244">
        <v>0</v>
      </c>
      <c r="G244">
        <v>8.8561234033477298E-4</v>
      </c>
      <c r="H244">
        <v>0.69321864265435196</v>
      </c>
      <c r="I244">
        <v>0</v>
      </c>
    </row>
    <row r="245" spans="1:9" x14ac:dyDescent="0.25">
      <c r="A245" s="1">
        <v>-13.9702051877975</v>
      </c>
      <c r="B245">
        <v>-0.62754100629231402</v>
      </c>
      <c r="C245">
        <v>6.2545526446069102E-2</v>
      </c>
      <c r="D245">
        <v>0</v>
      </c>
      <c r="E245">
        <v>0</v>
      </c>
      <c r="F245">
        <v>0</v>
      </c>
      <c r="G245">
        <v>1.0837245495395099E-3</v>
      </c>
      <c r="H245">
        <v>0.69640677645835403</v>
      </c>
      <c r="I245">
        <v>0</v>
      </c>
    </row>
    <row r="246" spans="1:9" x14ac:dyDescent="0.25">
      <c r="A246" s="1">
        <v>-11.908189058303799</v>
      </c>
      <c r="B246">
        <v>-0.53493473169496697</v>
      </c>
      <c r="C246">
        <v>6.7797758755211504E-2</v>
      </c>
      <c r="D246">
        <v>0</v>
      </c>
      <c r="E246">
        <v>0</v>
      </c>
      <c r="F246">
        <v>0</v>
      </c>
      <c r="G246">
        <v>1.31745284032831E-3</v>
      </c>
      <c r="H246">
        <v>0.69951288640810305</v>
      </c>
      <c r="I246">
        <v>0</v>
      </c>
    </row>
    <row r="247" spans="1:9" x14ac:dyDescent="0.25">
      <c r="A247" s="1">
        <v>-10.016394853591899</v>
      </c>
      <c r="B247">
        <v>-0.449973993684263</v>
      </c>
      <c r="C247">
        <v>7.3353906720762002E-2</v>
      </c>
      <c r="D247">
        <v>0</v>
      </c>
      <c r="E247">
        <v>0</v>
      </c>
      <c r="F247">
        <v>0</v>
      </c>
      <c r="G247">
        <v>1.5904975674857201E-3</v>
      </c>
      <c r="H247">
        <v>0.70258072859811904</v>
      </c>
      <c r="I247">
        <v>0</v>
      </c>
    </row>
    <row r="248" spans="1:9" x14ac:dyDescent="0.25">
      <c r="A248" s="1">
        <v>-8.2808375358581507</v>
      </c>
      <c r="B248">
        <v>-0.37202880338868499</v>
      </c>
      <c r="C248">
        <v>7.9204800608673895E-2</v>
      </c>
      <c r="D248">
        <v>0</v>
      </c>
      <c r="E248">
        <v>0</v>
      </c>
      <c r="F248">
        <v>0</v>
      </c>
      <c r="G248">
        <v>1.90632761258484E-3</v>
      </c>
      <c r="H248">
        <v>0.70565108860695602</v>
      </c>
      <c r="I248">
        <v>0</v>
      </c>
    </row>
    <row r="249" spans="1:9" x14ac:dyDescent="0.25">
      <c r="A249" s="1">
        <v>-6.6885209083557102</v>
      </c>
      <c r="B249">
        <v>-0.300518275546939</v>
      </c>
      <c r="C249">
        <v>8.5336844533410297E-2</v>
      </c>
      <c r="D249">
        <v>0</v>
      </c>
      <c r="E249">
        <v>0</v>
      </c>
      <c r="F249">
        <v>0</v>
      </c>
      <c r="G249">
        <v>2.26813121644227E-3</v>
      </c>
      <c r="H249">
        <v>0.708768127446048</v>
      </c>
      <c r="I249">
        <v>0</v>
      </c>
    </row>
    <row r="250" spans="1:9" x14ac:dyDescent="0.25">
      <c r="A250" s="1">
        <v>-5.2277201414108196</v>
      </c>
      <c r="B250">
        <v>-0.23491271802327099</v>
      </c>
      <c r="C250">
        <v>9.1731980691063697E-2</v>
      </c>
      <c r="D250">
        <v>0</v>
      </c>
      <c r="E250">
        <v>0</v>
      </c>
      <c r="F250">
        <v>0</v>
      </c>
      <c r="G250">
        <v>2.6786544961851099E-3</v>
      </c>
      <c r="H250">
        <v>0.71196513740356104</v>
      </c>
      <c r="I250">
        <v>0</v>
      </c>
    </row>
    <row r="251" spans="1:9" x14ac:dyDescent="0.25">
      <c r="A251" s="1">
        <v>-3.88755798339843</v>
      </c>
      <c r="B251">
        <v>-0.17472422898849899</v>
      </c>
      <c r="C251">
        <v>9.8367997848701802E-2</v>
      </c>
      <c r="D251">
        <v>0</v>
      </c>
      <c r="E251">
        <v>0</v>
      </c>
      <c r="F251">
        <v>0</v>
      </c>
      <c r="G251">
        <v>3.1407938797428799E-3</v>
      </c>
      <c r="H251">
        <v>0.71532570794431105</v>
      </c>
      <c r="I251">
        <v>0</v>
      </c>
    </row>
    <row r="252" spans="1:9" x14ac:dyDescent="0.25">
      <c r="A252" s="1">
        <v>-2.6580518484115601</v>
      </c>
      <c r="B252">
        <v>-0.119505652162344</v>
      </c>
      <c r="C252">
        <v>0.105218571582108</v>
      </c>
      <c r="D252">
        <v>0</v>
      </c>
      <c r="E252">
        <v>0</v>
      </c>
      <c r="F252">
        <v>0</v>
      </c>
      <c r="G252">
        <v>3.6556476680289001E-3</v>
      </c>
      <c r="H252">
        <v>0.71879616869422203</v>
      </c>
      <c r="I252">
        <v>0</v>
      </c>
    </row>
    <row r="253" spans="1:9" x14ac:dyDescent="0.25">
      <c r="A253" s="1">
        <v>-1.5300196409225399</v>
      </c>
      <c r="B253">
        <v>-6.8845353025109496E-2</v>
      </c>
      <c r="C253">
        <v>0.112254247865004</v>
      </c>
      <c r="D253">
        <v>0</v>
      </c>
      <c r="E253">
        <v>0</v>
      </c>
      <c r="F253">
        <v>0</v>
      </c>
      <c r="G253">
        <v>4.2243682589287301E-3</v>
      </c>
      <c r="H253">
        <v>0.72239246413395497</v>
      </c>
      <c r="I253">
        <v>0</v>
      </c>
    </row>
    <row r="254" spans="1:9" x14ac:dyDescent="0.25">
      <c r="A254" s="1">
        <v>-0.49517393112182601</v>
      </c>
      <c r="B254">
        <v>-2.2368263575346201E-2</v>
      </c>
      <c r="C254">
        <v>0.119443998928356</v>
      </c>
      <c r="D254">
        <v>0</v>
      </c>
      <c r="E254">
        <v>0</v>
      </c>
      <c r="F254">
        <v>0</v>
      </c>
      <c r="G254">
        <v>4.8442683405482898E-3</v>
      </c>
      <c r="H254">
        <v>0.72593154161040796</v>
      </c>
      <c r="I254">
        <v>0</v>
      </c>
    </row>
    <row r="255" spans="1:9" x14ac:dyDescent="0.25">
      <c r="A255" s="1">
        <v>0.49376130104064903</v>
      </c>
      <c r="B255">
        <v>0.35048380686798503</v>
      </c>
      <c r="C255">
        <v>0.19966827188014799</v>
      </c>
      <c r="D255">
        <v>7.18542441866242E-2</v>
      </c>
      <c r="E255">
        <v>-1.2810069066457999E-4</v>
      </c>
      <c r="F255" s="1">
        <v>3.0805985000707498E-5</v>
      </c>
      <c r="G255">
        <v>9.6418143280373098E-2</v>
      </c>
      <c r="H255">
        <v>0.99664424066500601</v>
      </c>
      <c r="I255" s="1">
        <v>9.5228127812619301E-7</v>
      </c>
    </row>
    <row r="256" spans="1:9" x14ac:dyDescent="0.25">
      <c r="A256" s="1">
        <v>1.5257111191749499</v>
      </c>
      <c r="B256">
        <v>1.0825684868440899</v>
      </c>
      <c r="C256">
        <v>0.46795702124774002</v>
      </c>
      <c r="D256">
        <v>0.37694326832264802</v>
      </c>
      <c r="E256">
        <v>-1.91765013632416E-3</v>
      </c>
      <c r="F256">
        <v>1.6420788302756899E-4</v>
      </c>
      <c r="G256">
        <v>0.10043346145705</v>
      </c>
      <c r="H256">
        <v>0.98984473103271098</v>
      </c>
      <c r="I256" s="1">
        <v>2.3376082857301401E-5</v>
      </c>
    </row>
    <row r="257" spans="1:9" x14ac:dyDescent="0.25">
      <c r="A257" s="1">
        <v>2.6505178213119498</v>
      </c>
      <c r="B257">
        <v>1.8762787200220801</v>
      </c>
      <c r="C257">
        <v>0.92749387496819502</v>
      </c>
      <c r="D257">
        <v>0.94610925718751204</v>
      </c>
      <c r="E257">
        <v>-9.7999632305696294E-3</v>
      </c>
      <c r="F257">
        <v>4.0577909825644702E-4</v>
      </c>
      <c r="G257">
        <v>0.102881647675601</v>
      </c>
      <c r="H257">
        <v>0.97789883065218897</v>
      </c>
      <c r="I257">
        <v>1.1016675060956301E-4</v>
      </c>
    </row>
    <row r="258" spans="1:9" x14ac:dyDescent="0.25">
      <c r="A258" s="1">
        <v>3.8765159249305698</v>
      </c>
      <c r="B258">
        <v>2.7286667226524002</v>
      </c>
      <c r="C258">
        <v>1.60779482544209</v>
      </c>
      <c r="D258">
        <v>1.8139437641312399</v>
      </c>
      <c r="E258">
        <v>-2.9142871488003201E-2</v>
      </c>
      <c r="F258">
        <v>7.4977626712153102E-4</v>
      </c>
      <c r="G258">
        <v>0.102493428768516</v>
      </c>
      <c r="H258">
        <v>0.95907654873342996</v>
      </c>
      <c r="I258">
        <v>2.58050983150907E-4</v>
      </c>
    </row>
    <row r="259" spans="1:9" x14ac:dyDescent="0.25">
      <c r="A259" s="1">
        <v>5.2129346132278398</v>
      </c>
      <c r="B259">
        <v>3.6296479713813299</v>
      </c>
      <c r="C259">
        <v>2.50220462187169</v>
      </c>
      <c r="D259">
        <v>2.95255871832128</v>
      </c>
      <c r="E259">
        <v>-6.5429944885932304E-2</v>
      </c>
      <c r="F259">
        <v>1.1511536312506199E-3</v>
      </c>
      <c r="G259">
        <v>9.8865415626636005E-2</v>
      </c>
      <c r="H259">
        <v>0.93118481578379597</v>
      </c>
      <c r="I259">
        <v>4.8575950074888002E-4</v>
      </c>
    </row>
    <row r="260" spans="1:9" x14ac:dyDescent="0.25">
      <c r="A260" s="1">
        <v>6.6695916652679399</v>
      </c>
      <c r="B260">
        <v>4.56049518507802</v>
      </c>
      <c r="C260">
        <v>3.5451660055026402</v>
      </c>
      <c r="D260">
        <v>4.2416785442105898</v>
      </c>
      <c r="E260">
        <v>-0.121632339928616</v>
      </c>
      <c r="F260">
        <v>1.5211731179751501E-3</v>
      </c>
      <c r="G260">
        <v>9.3682071484737894E-2</v>
      </c>
      <c r="H260">
        <v>0.89350393706117404</v>
      </c>
      <c r="I260">
        <v>1.12112469102118E-3</v>
      </c>
    </row>
    <row r="261" spans="1:9" x14ac:dyDescent="0.25">
      <c r="A261" s="1">
        <v>8.2573878765106201</v>
      </c>
      <c r="B261">
        <v>5.4950016624935802</v>
      </c>
      <c r="C261">
        <v>4.6141453627155</v>
      </c>
      <c r="D261">
        <v>5.4891624393027501</v>
      </c>
      <c r="E261">
        <v>-0.196026454808296</v>
      </c>
      <c r="F261">
        <v>1.7569267141580901E-3</v>
      </c>
      <c r="G261">
        <v>9.02733105068972E-2</v>
      </c>
      <c r="H261">
        <v>0.85041740342994199</v>
      </c>
      <c r="I261">
        <v>3.1733766920752199E-3</v>
      </c>
    </row>
    <row r="262" spans="1:9" x14ac:dyDescent="0.25">
      <c r="A262" s="1">
        <v>9.9880245327949506</v>
      </c>
      <c r="B262">
        <v>6.4040886635602403</v>
      </c>
      <c r="C262">
        <v>5.5681399210879299</v>
      </c>
      <c r="D262">
        <v>6.5051803016207597</v>
      </c>
      <c r="E262">
        <v>-0.28217574532301798</v>
      </c>
      <c r="F262">
        <v>1.7839959094735E-3</v>
      </c>
      <c r="G262">
        <v>9.1028206303601297E-2</v>
      </c>
      <c r="H262">
        <v>0.81053512455005705</v>
      </c>
      <c r="I262">
        <v>7.0675615865589203E-3</v>
      </c>
    </row>
    <row r="263" spans="1:9" x14ac:dyDescent="0.25">
      <c r="A263" s="1">
        <v>11.874474287032999</v>
      </c>
      <c r="B263">
        <v>7.2624511128933102</v>
      </c>
      <c r="C263">
        <v>6.3007990067872699</v>
      </c>
      <c r="D263">
        <v>7.1769776421303302</v>
      </c>
      <c r="E263">
        <v>-0.37160728604472798</v>
      </c>
      <c r="F263">
        <v>1.6041939225067E-3</v>
      </c>
      <c r="G263">
        <v>9.5255100080905694E-2</v>
      </c>
      <c r="H263">
        <v>0.77851676435295503</v>
      </c>
      <c r="I263">
        <v>1.0339128619100401E-2</v>
      </c>
    </row>
    <row r="264" spans="1:9" x14ac:dyDescent="0.25">
      <c r="A264" s="1">
        <v>13.9306750893592</v>
      </c>
      <c r="B264">
        <v>8.0535481459637097</v>
      </c>
      <c r="C264">
        <v>6.7686744437800703</v>
      </c>
      <c r="D264">
        <v>7.4894147009620999</v>
      </c>
      <c r="E264">
        <v>-0.457024470863236</v>
      </c>
      <c r="F264">
        <v>1.3023372167475301E-3</v>
      </c>
      <c r="G264">
        <v>0.100172378962889</v>
      </c>
      <c r="H264">
        <v>0.752562623528229</v>
      </c>
      <c r="I264">
        <v>1.01014886465241E-2</v>
      </c>
    </row>
    <row r="265" spans="1:9" x14ac:dyDescent="0.25">
      <c r="A265" s="1">
        <v>16.171883344650201</v>
      </c>
      <c r="B265">
        <v>8.7705009477156093</v>
      </c>
      <c r="C265">
        <v>6.9831910321760704</v>
      </c>
      <c r="D265">
        <v>7.4948305363048497</v>
      </c>
      <c r="E265">
        <v>-0.53382936494467703</v>
      </c>
      <c r="F265">
        <v>1.01134420159919E-3</v>
      </c>
      <c r="G265">
        <v>0.10327804017633101</v>
      </c>
      <c r="H265">
        <v>0.72931878155868701</v>
      </c>
      <c r="I265">
        <v>6.3732867358783103E-3</v>
      </c>
    </row>
    <row r="266" spans="1:9" x14ac:dyDescent="0.25">
      <c r="A266" s="1">
        <v>18.614838719367899</v>
      </c>
      <c r="B266">
        <v>9.4138734913956306</v>
      </c>
      <c r="C266">
        <v>6.9861771375143098</v>
      </c>
      <c r="D266">
        <v>7.2714070891086902</v>
      </c>
      <c r="E266">
        <v>-0.59997187090749005</v>
      </c>
      <c r="F266">
        <v>8.62616143074528E-4</v>
      </c>
      <c r="G266">
        <v>0.10351535232294699</v>
      </c>
      <c r="H266">
        <v>0.70674872459221405</v>
      </c>
      <c r="I266">
        <v>1.07344032605499E-3</v>
      </c>
    </row>
    <row r="267" spans="1:9" x14ac:dyDescent="0.25">
      <c r="A267" s="1">
        <v>21.2777170538902</v>
      </c>
      <c r="B267">
        <v>9.9886428256265098</v>
      </c>
      <c r="C267">
        <v>6.8286769628897996</v>
      </c>
      <c r="D267">
        <v>6.8952642331204199</v>
      </c>
      <c r="E267">
        <v>-0.65514227617490695</v>
      </c>
      <c r="F267">
        <v>9.4716230195595295E-4</v>
      </c>
      <c r="G267">
        <v>0.101059300350453</v>
      </c>
      <c r="H267">
        <v>0.68412929814017598</v>
      </c>
      <c r="I267">
        <v>-4.0814562138335401E-3</v>
      </c>
    </row>
    <row r="268" spans="1:9" x14ac:dyDescent="0.25">
      <c r="A268" s="1">
        <v>24.180224537849401</v>
      </c>
      <c r="B268">
        <v>10.501786927785799</v>
      </c>
      <c r="C268">
        <v>6.55896034599321</v>
      </c>
      <c r="D268">
        <v>6.4287790527725699</v>
      </c>
      <c r="E268">
        <v>-0.69999524571137595</v>
      </c>
      <c r="F268">
        <v>1.2879208834481E-3</v>
      </c>
      <c r="G268">
        <v>9.6631057857168898E-2</v>
      </c>
      <c r="H268">
        <v>0.66141305294785901</v>
      </c>
      <c r="I268">
        <v>-8.2574434431570403E-3</v>
      </c>
    </row>
    <row r="269" spans="1:9" x14ac:dyDescent="0.25">
      <c r="A269" s="1">
        <v>27.343950867652801</v>
      </c>
      <c r="B269">
        <v>10.960853282193501</v>
      </c>
      <c r="C269">
        <v>6.2177071062896498</v>
      </c>
      <c r="D269">
        <v>5.9187025077592601</v>
      </c>
      <c r="E269">
        <v>-0.73561076828614302</v>
      </c>
      <c r="F269">
        <v>1.7982687649881E-3</v>
      </c>
      <c r="G269">
        <v>9.0968597483193706E-2</v>
      </c>
      <c r="H269">
        <v>0.63886992762233397</v>
      </c>
      <c r="I269">
        <v>-1.1251683769604901E-2</v>
      </c>
    </row>
    <row r="270" spans="1:9" x14ac:dyDescent="0.25">
      <c r="A270" s="1">
        <v>30.7923927903175</v>
      </c>
      <c r="B270">
        <v>11.373266015754901</v>
      </c>
      <c r="C270">
        <v>5.8370009941974903</v>
      </c>
      <c r="D270">
        <v>5.3982385108841697</v>
      </c>
      <c r="E270">
        <v>-0.76317632113509404</v>
      </c>
      <c r="F270">
        <v>2.3939674333178901E-3</v>
      </c>
      <c r="G270">
        <v>8.4611175669233193E-2</v>
      </c>
      <c r="H270">
        <v>0.61688765751125296</v>
      </c>
      <c r="I270">
        <v>-1.31294722068581E-2</v>
      </c>
    </row>
    <row r="271" spans="1:9" x14ac:dyDescent="0.25">
      <c r="A271" s="1">
        <v>34.551213085651298</v>
      </c>
      <c r="B271">
        <v>11.745993107062599</v>
      </c>
      <c r="C271">
        <v>5.4409111175015399</v>
      </c>
      <c r="D271">
        <v>4.88989800875098</v>
      </c>
      <c r="E271">
        <v>-0.78383873115625002</v>
      </c>
      <c r="F271">
        <v>3.0157650345553301E-3</v>
      </c>
      <c r="G271">
        <v>7.7894256290597805E-2</v>
      </c>
      <c r="H271">
        <v>0.59586246767076201</v>
      </c>
      <c r="I271">
        <v>-1.4041032833906101E-2</v>
      </c>
    </row>
    <row r="272" spans="1:9" x14ac:dyDescent="0.25">
      <c r="A272" s="1">
        <v>38.6483111977577</v>
      </c>
      <c r="B272">
        <v>12.085369835997801</v>
      </c>
      <c r="C272">
        <v>5.0465060039554102</v>
      </c>
      <c r="D272">
        <v>4.4080716715400996</v>
      </c>
      <c r="E272">
        <v>-0.79861205462824103</v>
      </c>
      <c r="F272">
        <v>3.4982291237894698E-3</v>
      </c>
      <c r="G272">
        <v>7.1039809972467602E-2</v>
      </c>
      <c r="H272">
        <v>0.57621964521490798</v>
      </c>
      <c r="I272">
        <v>-1.4160546651659899E-2</v>
      </c>
    </row>
    <row r="273" spans="1:9" x14ac:dyDescent="0.25">
      <c r="A273" s="1">
        <v>43.1141293048858</v>
      </c>
      <c r="B273">
        <v>12.397033061942899</v>
      </c>
      <c r="C273">
        <v>4.6652136011543597</v>
      </c>
      <c r="D273">
        <v>3.9613652812795599</v>
      </c>
      <c r="E273">
        <v>-0.80834252996315603</v>
      </c>
      <c r="F273">
        <v>3.7928765685817101E-3</v>
      </c>
      <c r="G273">
        <v>6.4206432840528696E-2</v>
      </c>
      <c r="H273">
        <v>0.55825673882893401</v>
      </c>
      <c r="I273">
        <v>-1.36634292390179E-2</v>
      </c>
    </row>
    <row r="274" spans="1:9" x14ac:dyDescent="0.25">
      <c r="A274" s="1">
        <v>47.981887757778097</v>
      </c>
      <c r="B274">
        <v>12.6858265426185</v>
      </c>
      <c r="C274">
        <v>4.3042914384007096</v>
      </c>
      <c r="D274">
        <v>3.5543470743160501</v>
      </c>
      <c r="E274">
        <v>-0.81373631614055597</v>
      </c>
      <c r="F274">
        <v>3.8902276441476801E-3</v>
      </c>
      <c r="G274">
        <v>5.7517062976868198E-2</v>
      </c>
      <c r="H274">
        <v>0.54200094703417301</v>
      </c>
      <c r="I274">
        <v>-1.27305419352725E-2</v>
      </c>
    </row>
    <row r="275" spans="1:9" x14ac:dyDescent="0.25">
      <c r="A275" s="1">
        <v>53.287820518016801</v>
      </c>
      <c r="B275">
        <v>12.9558060272772</v>
      </c>
      <c r="C275">
        <v>3.9675419643184502</v>
      </c>
      <c r="D275">
        <v>3.1881571553649799</v>
      </c>
      <c r="E275">
        <v>-0.81532113409086904</v>
      </c>
      <c r="F275">
        <v>3.73193994203877E-3</v>
      </c>
      <c r="G275">
        <v>5.1109060206868201E-2</v>
      </c>
      <c r="H275">
        <v>0.52750692725124904</v>
      </c>
      <c r="I275">
        <v>-1.15372097467283E-2</v>
      </c>
    </row>
    <row r="276" spans="1:9" x14ac:dyDescent="0.25">
      <c r="A276" s="1">
        <v>59.071175158023799</v>
      </c>
      <c r="B276">
        <v>13.2103795154196</v>
      </c>
      <c r="C276">
        <v>3.6564974320779702</v>
      </c>
      <c r="D276">
        <v>2.8617395483516601</v>
      </c>
      <c r="E276">
        <v>-0.81349137631424195</v>
      </c>
      <c r="F276">
        <v>3.24302467899316E-3</v>
      </c>
      <c r="G276">
        <v>4.5113657470803301E-2</v>
      </c>
      <c r="H276">
        <v>0.51469721632881305</v>
      </c>
      <c r="I276">
        <v>-1.02486541665764E-2</v>
      </c>
    </row>
    <row r="277" spans="1:9" x14ac:dyDescent="0.25">
      <c r="A277" s="1">
        <v>65.375131070613804</v>
      </c>
      <c r="B277">
        <v>13.452343039744401</v>
      </c>
      <c r="C277">
        <v>3.37155871687848</v>
      </c>
      <c r="D277">
        <v>2.5731453388090899</v>
      </c>
      <c r="E277">
        <v>-0.80853252452453805</v>
      </c>
      <c r="F277">
        <v>2.5325015360676E-3</v>
      </c>
      <c r="G277">
        <v>3.9610577291488099E-2</v>
      </c>
      <c r="H277">
        <v>0.50316990437717501</v>
      </c>
      <c r="I277">
        <v>-8.9805864853449002E-3</v>
      </c>
    </row>
    <row r="278" spans="1:9" x14ac:dyDescent="0.25">
      <c r="A278" s="1">
        <v>72.246375679969702</v>
      </c>
      <c r="B278">
        <v>13.684001596848301</v>
      </c>
      <c r="C278">
        <v>3.1117117561175802</v>
      </c>
      <c r="D278">
        <v>2.31944366123835</v>
      </c>
      <c r="E278">
        <v>-0.80064240844856205</v>
      </c>
      <c r="F278">
        <v>1.72032159536108E-3</v>
      </c>
      <c r="G278">
        <v>3.46518085607899E-2</v>
      </c>
      <c r="H278">
        <v>0.49267322516959</v>
      </c>
      <c r="I278">
        <v>-7.8064617861456102E-3</v>
      </c>
    </row>
    <row r="279" spans="1:9" x14ac:dyDescent="0.25">
      <c r="A279" s="1">
        <v>79.736069738864799</v>
      </c>
      <c r="B279">
        <v>13.9073154132989</v>
      </c>
      <c r="C279">
        <v>2.8749707725772198</v>
      </c>
      <c r="D279">
        <v>2.0967475728002398</v>
      </c>
      <c r="E279">
        <v>-0.78991202777388303</v>
      </c>
      <c r="F279">
        <v>1.0219392142277401E-3</v>
      </c>
      <c r="G279">
        <v>3.02189101496835E-2</v>
      </c>
      <c r="H279">
        <v>0.48280997082169302</v>
      </c>
      <c r="I279">
        <v>-6.7446142769399401E-3</v>
      </c>
    </row>
    <row r="280" spans="1:9" x14ac:dyDescent="0.25">
      <c r="A280" s="1">
        <v>87.899753153324099</v>
      </c>
      <c r="B280">
        <v>14.123891587573</v>
      </c>
      <c r="C280">
        <v>2.6588386657124898</v>
      </c>
      <c r="D280">
        <v>1.9009586004869701</v>
      </c>
      <c r="E280">
        <v>-0.77637472150977804</v>
      </c>
      <c r="F280">
        <v>6.1497010090120899E-4</v>
      </c>
      <c r="G280">
        <v>2.6286457377685101E-2</v>
      </c>
      <c r="H280">
        <v>0.47345785700121501</v>
      </c>
      <c r="I280">
        <v>-5.8090409874250598E-3</v>
      </c>
    </row>
    <row r="281" spans="1:9" x14ac:dyDescent="0.25">
      <c r="A281" s="1">
        <v>96.798263192176805</v>
      </c>
      <c r="B281">
        <v>14.3349953212019</v>
      </c>
      <c r="C281">
        <v>2.4608747035824798</v>
      </c>
      <c r="D281">
        <v>1.72848915004985</v>
      </c>
      <c r="E281">
        <v>-0.76010791899783603</v>
      </c>
      <c r="F281">
        <v>6.7986315399708099E-4</v>
      </c>
      <c r="G281">
        <v>2.2818436561465101E-2</v>
      </c>
      <c r="H281">
        <v>0.46436529240371699</v>
      </c>
      <c r="I281">
        <v>-4.9938432597769799E-3</v>
      </c>
    </row>
    <row r="282" spans="1:9" x14ac:dyDescent="0.25">
      <c r="A282" s="1">
        <v>106.497616767883</v>
      </c>
      <c r="B282">
        <v>14.541756258410301</v>
      </c>
      <c r="C282">
        <v>2.2782221138896701</v>
      </c>
      <c r="D282">
        <v>1.5756703337139899</v>
      </c>
      <c r="E282">
        <v>-0.74101754995223401</v>
      </c>
      <c r="F282">
        <v>9.0322696040263896E-4</v>
      </c>
      <c r="G282">
        <v>1.97831261783054E-2</v>
      </c>
      <c r="H282">
        <v>0.45557796671342399</v>
      </c>
      <c r="I282">
        <v>-4.2926715321399099E-3</v>
      </c>
    </row>
    <row r="283" spans="1:9" x14ac:dyDescent="0.25">
      <c r="A283" s="1">
        <v>117.06990510225199</v>
      </c>
      <c r="B283">
        <v>14.7454568392307</v>
      </c>
      <c r="C283">
        <v>2.10759606630798</v>
      </c>
      <c r="D283">
        <v>1.43846344828057</v>
      </c>
      <c r="E283">
        <v>-0.71886339785194198</v>
      </c>
      <c r="F283">
        <v>9.9945817661312403E-4</v>
      </c>
      <c r="G283">
        <v>1.7131368721165999E-2</v>
      </c>
      <c r="H283">
        <v>0.44752841532485499</v>
      </c>
      <c r="I283">
        <v>-3.6891951844802398E-3</v>
      </c>
    </row>
    <row r="284" spans="1:9" x14ac:dyDescent="0.25">
      <c r="A284" s="1">
        <v>128.593670427799</v>
      </c>
      <c r="B284">
        <v>14.9472120812804</v>
      </c>
      <c r="C284">
        <v>1.9472727402538299</v>
      </c>
      <c r="D284">
        <v>1.3144928161445799</v>
      </c>
      <c r="E284">
        <v>-0.69367647280479205</v>
      </c>
      <c r="F284">
        <v>1.19628443416839E-3</v>
      </c>
      <c r="G284">
        <v>1.47881272272392E-2</v>
      </c>
      <c r="H284">
        <v>0.43987243006344601</v>
      </c>
      <c r="I284">
        <v>-3.15455422697396E-3</v>
      </c>
    </row>
    <row r="285" spans="1:9" x14ac:dyDescent="0.25">
      <c r="A285" s="1">
        <v>141.15461230278001</v>
      </c>
      <c r="B285">
        <v>15.1477209274367</v>
      </c>
      <c r="C285">
        <v>1.7953544881032899</v>
      </c>
      <c r="D285">
        <v>1.2013296779234299</v>
      </c>
      <c r="E285">
        <v>-0.66524798198797597</v>
      </c>
      <c r="F285">
        <v>1.6874908784413199E-3</v>
      </c>
      <c r="G285">
        <v>1.2703293155331899E-2</v>
      </c>
      <c r="H285">
        <v>0.432381631702</v>
      </c>
      <c r="I285">
        <v>-2.6779612540641698E-3</v>
      </c>
    </row>
    <row r="286" spans="1:9" x14ac:dyDescent="0.25">
      <c r="A286" s="1">
        <v>154.84601140022201</v>
      </c>
      <c r="B286">
        <v>15.3469687510923</v>
      </c>
      <c r="C286">
        <v>1.6501369464559099</v>
      </c>
      <c r="D286">
        <v>1.09682757781457</v>
      </c>
      <c r="E286">
        <v>-0.63344078001253201</v>
      </c>
      <c r="F286">
        <v>1.8364453477915999E-3</v>
      </c>
      <c r="G286">
        <v>1.08413248571391E-2</v>
      </c>
      <c r="H286">
        <v>0.42462736117561101</v>
      </c>
      <c r="I286">
        <v>-2.2533178630853501E-3</v>
      </c>
    </row>
    <row r="287" spans="1:9" x14ac:dyDescent="0.25">
      <c r="A287" s="1">
        <v>169.76969480514501</v>
      </c>
      <c r="B287">
        <v>15.5449404032611</v>
      </c>
      <c r="C287">
        <v>1.50933446856563</v>
      </c>
      <c r="D287">
        <v>0.99886689612686397</v>
      </c>
      <c r="E287">
        <v>-0.59783323138654298</v>
      </c>
      <c r="F287">
        <v>1.6711758771002501E-3</v>
      </c>
      <c r="G287">
        <v>9.1800313352485598E-3</v>
      </c>
      <c r="H287">
        <v>0.41687021082581999</v>
      </c>
      <c r="I287">
        <v>-1.8748122754497899E-3</v>
      </c>
    </row>
    <row r="288" spans="1:9" x14ac:dyDescent="0.25">
      <c r="A288" s="1">
        <v>186.03645980358101</v>
      </c>
      <c r="B288">
        <v>15.742136845242999</v>
      </c>
      <c r="C288">
        <v>1.37150493380148</v>
      </c>
      <c r="D288">
        <v>0.90544745203188204</v>
      </c>
      <c r="E288">
        <v>-0.55792286060676999</v>
      </c>
      <c r="F288">
        <v>1.6010204952449001E-3</v>
      </c>
      <c r="G288">
        <v>7.70057966096626E-3</v>
      </c>
      <c r="H288">
        <v>0.40950477237268401</v>
      </c>
      <c r="I288">
        <v>-1.54146275400369E-3</v>
      </c>
    </row>
    <row r="289" spans="1:9" x14ac:dyDescent="0.25">
      <c r="A289" s="1">
        <v>203.76720398664401</v>
      </c>
      <c r="B289">
        <v>15.9382033818111</v>
      </c>
      <c r="C289">
        <v>1.2355471514395999</v>
      </c>
      <c r="D289">
        <v>0.81458463498477096</v>
      </c>
      <c r="E289">
        <v>-0.51358014784966199</v>
      </c>
      <c r="F289">
        <v>1.36188785393183E-3</v>
      </c>
      <c r="G289">
        <v>6.37860122803156E-3</v>
      </c>
      <c r="H289">
        <v>0.40190621382785802</v>
      </c>
      <c r="I289">
        <v>-1.2463741154213101E-3</v>
      </c>
    </row>
    <row r="290" spans="1:9" x14ac:dyDescent="0.25">
      <c r="A290" s="1">
        <v>223.09376105666101</v>
      </c>
      <c r="B290">
        <v>16.1317917531997</v>
      </c>
      <c r="C290">
        <v>1.1003476984829199</v>
      </c>
      <c r="D290">
        <v>0.72509377864798097</v>
      </c>
      <c r="E290">
        <v>-0.46429176448717302</v>
      </c>
      <c r="F290">
        <v>9.3602489451688595E-4</v>
      </c>
      <c r="G290">
        <v>5.1815395774464697E-3</v>
      </c>
      <c r="H290">
        <v>0.39416680903851298</v>
      </c>
      <c r="I290">
        <v>-9.7597797897036403E-4</v>
      </c>
    </row>
    <row r="291" spans="1:9" x14ac:dyDescent="0.25">
      <c r="A291" s="1">
        <v>244.15970131754801</v>
      </c>
      <c r="B291">
        <v>16.321823247120602</v>
      </c>
      <c r="C291">
        <v>0.96524896506237801</v>
      </c>
      <c r="D291">
        <v>0.63544027360226096</v>
      </c>
      <c r="E291">
        <v>-0.40951517594166598</v>
      </c>
      <c r="F291">
        <v>2.9039922486455899E-4</v>
      </c>
      <c r="G291">
        <v>4.1107617550596304E-3</v>
      </c>
      <c r="H291">
        <v>0.387093233110685</v>
      </c>
      <c r="I291">
        <v>-7.3750875580224902E-4</v>
      </c>
    </row>
    <row r="292" spans="1:9" x14ac:dyDescent="0.25">
      <c r="A292" s="1">
        <v>267.12157949805197</v>
      </c>
      <c r="B292">
        <v>16.5054179890722</v>
      </c>
      <c r="C292">
        <v>0.83095777627491296</v>
      </c>
      <c r="D292">
        <v>0.54569805448332298</v>
      </c>
      <c r="E292">
        <v>-0.34895361202915498</v>
      </c>
      <c r="F292">
        <v>-6.0466203053081101E-4</v>
      </c>
      <c r="G292">
        <v>3.1744301103388099E-3</v>
      </c>
      <c r="H292">
        <v>0.381108808434024</v>
      </c>
      <c r="I292">
        <v>-5.3676924939669295E-4</v>
      </c>
    </row>
    <row r="293" spans="1:9" x14ac:dyDescent="0.25">
      <c r="A293" s="1">
        <v>292.15002954006098</v>
      </c>
      <c r="B293">
        <v>16.677759123843899</v>
      </c>
      <c r="C293">
        <v>0.69688154644062394</v>
      </c>
      <c r="D293">
        <v>0.454487413646537</v>
      </c>
      <c r="E293">
        <v>-0.28199692848971702</v>
      </c>
      <c r="F293">
        <v>-1.1393003939306201E-3</v>
      </c>
      <c r="G293">
        <v>2.3756117826886202E-3</v>
      </c>
      <c r="H293">
        <v>0.37737186768410702</v>
      </c>
      <c r="I293">
        <v>-3.75602892506626E-4</v>
      </c>
    </row>
    <row r="294" spans="1:9" x14ac:dyDescent="0.25">
      <c r="A294" s="1">
        <v>319.43101242184599</v>
      </c>
      <c r="B294">
        <v>16.829386370786299</v>
      </c>
      <c r="C294">
        <v>0.56957698860085604</v>
      </c>
      <c r="D294">
        <v>0.36494292752619101</v>
      </c>
      <c r="E294">
        <v>-0.208392339783701</v>
      </c>
      <c r="F294">
        <v>-1.07259502259672E-3</v>
      </c>
      <c r="G294">
        <v>1.73173663274846E-3</v>
      </c>
      <c r="H294">
        <v>0.37661799186789402</v>
      </c>
      <c r="I294">
        <v>-2.5855575970798499E-4</v>
      </c>
    </row>
    <row r="295" spans="1:9" x14ac:dyDescent="0.25">
      <c r="A295" s="1">
        <v>349.16732590645501</v>
      </c>
      <c r="B295">
        <v>16.9479376348377</v>
      </c>
      <c r="C295">
        <v>0.46317016076547302</v>
      </c>
      <c r="D295">
        <v>0.28728666082354598</v>
      </c>
      <c r="E295">
        <v>-0.12668886090141099</v>
      </c>
      <c r="F295">
        <v>-1.18125328779902E-3</v>
      </c>
      <c r="G295">
        <v>1.28737052696954E-3</v>
      </c>
      <c r="H295">
        <v>0.38052260640542201</v>
      </c>
      <c r="I295">
        <v>-1.8883281762203401E-4</v>
      </c>
    </row>
    <row r="296" spans="1:9" x14ac:dyDescent="0.25">
      <c r="A296" s="1">
        <v>379.83785875141598</v>
      </c>
      <c r="B296">
        <v>17.011130324535898</v>
      </c>
      <c r="C296">
        <v>0.40260284684216302</v>
      </c>
      <c r="D296">
        <v>0.24141477636249301</v>
      </c>
      <c r="E296">
        <v>-4.1841028211882597E-2</v>
      </c>
      <c r="F296">
        <v>-1.8524645865191901E-3</v>
      </c>
      <c r="G296">
        <v>1.05598493692427E-3</v>
      </c>
      <c r="H296">
        <v>0.40088894804547198</v>
      </c>
      <c r="I296">
        <v>-1.4925129968088399E-4</v>
      </c>
    </row>
    <row r="297" spans="1:9" x14ac:dyDescent="0.25">
      <c r="A297" s="1" t="s">
        <v>527</v>
      </c>
      <c r="B297" s="1" t="s">
        <v>614</v>
      </c>
      <c r="C297" s="1" t="s">
        <v>615</v>
      </c>
      <c r="D297" s="1" t="s">
        <v>616</v>
      </c>
      <c r="E297" s="1" t="s">
        <v>617</v>
      </c>
      <c r="F297" s="1" t="s">
        <v>618</v>
      </c>
      <c r="G297" s="1" t="s">
        <v>400</v>
      </c>
      <c r="H297" s="1" t="s">
        <v>619</v>
      </c>
      <c r="I297" s="1" t="s">
        <v>613</v>
      </c>
    </row>
    <row r="298" spans="1:9" x14ac:dyDescent="0.25">
      <c r="A298" s="1">
        <v>-141.555516719818</v>
      </c>
      <c r="B298">
        <v>-15.8918265319101</v>
      </c>
      <c r="C298">
        <v>3.9466937714438703E-2</v>
      </c>
      <c r="D298">
        <v>0</v>
      </c>
      <c r="E298">
        <v>0</v>
      </c>
      <c r="F298">
        <v>0</v>
      </c>
      <c r="G298" s="1">
        <v>2.6721907934756899E-5</v>
      </c>
      <c r="H298">
        <v>1.79331488654795E-2</v>
      </c>
      <c r="I298">
        <v>0</v>
      </c>
    </row>
    <row r="299" spans="1:9" x14ac:dyDescent="0.25">
      <c r="A299" s="1">
        <v>-128.95890593528699</v>
      </c>
      <c r="B299">
        <v>-14.477715690680601</v>
      </c>
      <c r="C299">
        <v>4.0105224526195103E-2</v>
      </c>
      <c r="D299">
        <v>0</v>
      </c>
      <c r="E299">
        <v>0</v>
      </c>
      <c r="F299">
        <v>0</v>
      </c>
      <c r="G299" s="1">
        <v>3.1532536621092697E-5</v>
      </c>
      <c r="H299">
        <v>0.13154819879021301</v>
      </c>
      <c r="I299">
        <v>0</v>
      </c>
    </row>
    <row r="300" spans="1:9" x14ac:dyDescent="0.25">
      <c r="A300" s="1">
        <v>-117.402367591857</v>
      </c>
      <c r="B300">
        <v>-13.1803606974564</v>
      </c>
      <c r="C300">
        <v>4.1321267174935297E-2</v>
      </c>
      <c r="D300">
        <v>0</v>
      </c>
      <c r="E300">
        <v>0</v>
      </c>
      <c r="F300">
        <v>0</v>
      </c>
      <c r="G300" s="1">
        <v>4.0651019777371202E-5</v>
      </c>
      <c r="H300">
        <v>0.27103635389589398</v>
      </c>
      <c r="I300">
        <v>0</v>
      </c>
    </row>
    <row r="301" spans="1:9" x14ac:dyDescent="0.25">
      <c r="A301" s="1">
        <v>-106.80001378059301</v>
      </c>
      <c r="B301">
        <v>-11.990120528512399</v>
      </c>
      <c r="C301">
        <v>4.3118892716897297E-2</v>
      </c>
      <c r="D301">
        <v>0</v>
      </c>
      <c r="E301">
        <v>0</v>
      </c>
      <c r="F301">
        <v>0</v>
      </c>
      <c r="G301" s="1">
        <v>5.4058400181311499E-5</v>
      </c>
      <c r="H301">
        <v>0.38723865618755099</v>
      </c>
      <c r="I301">
        <v>0</v>
      </c>
    </row>
    <row r="302" spans="1:9" x14ac:dyDescent="0.25">
      <c r="A302" s="1">
        <v>-97.073161005973802</v>
      </c>
      <c r="B302">
        <v>-10.8981544444941</v>
      </c>
      <c r="C302">
        <v>4.5530546183761803E-2</v>
      </c>
      <c r="D302">
        <v>0</v>
      </c>
      <c r="E302">
        <v>0</v>
      </c>
      <c r="F302">
        <v>0</v>
      </c>
      <c r="G302" s="1">
        <v>7.2190876089806005E-5</v>
      </c>
      <c r="H302">
        <v>0.472095564761431</v>
      </c>
      <c r="I302">
        <v>0</v>
      </c>
    </row>
    <row r="303" spans="1:9" x14ac:dyDescent="0.25">
      <c r="A303" s="1">
        <v>-88.149435520172105</v>
      </c>
      <c r="B303">
        <v>-9.8963467678658894</v>
      </c>
      <c r="C303">
        <v>4.8600055417000999E-2</v>
      </c>
      <c r="D303">
        <v>0</v>
      </c>
      <c r="E303">
        <v>0</v>
      </c>
      <c r="F303">
        <v>0</v>
      </c>
      <c r="G303" s="1">
        <v>9.5905852490574196E-5</v>
      </c>
      <c r="H303">
        <v>0.53146011040239904</v>
      </c>
      <c r="I303">
        <v>0</v>
      </c>
    </row>
    <row r="304" spans="1:9" x14ac:dyDescent="0.25">
      <c r="A304" s="1">
        <v>-79.962490797042804</v>
      </c>
      <c r="B304">
        <v>-8.9772525555126599</v>
      </c>
      <c r="C304">
        <v>5.2374914363362099E-2</v>
      </c>
      <c r="D304">
        <v>0</v>
      </c>
      <c r="E304">
        <v>0</v>
      </c>
      <c r="F304">
        <v>0</v>
      </c>
      <c r="G304">
        <v>1.2649341255652701E-4</v>
      </c>
      <c r="H304">
        <v>0.57268213653675004</v>
      </c>
      <c r="I304">
        <v>0</v>
      </c>
    </row>
    <row r="305" spans="1:9" x14ac:dyDescent="0.25">
      <c r="A305" s="1">
        <v>-72.451583743095298</v>
      </c>
      <c r="B305">
        <v>-8.1340453608565202</v>
      </c>
      <c r="C305">
        <v>5.6903390428387803E-2</v>
      </c>
      <c r="D305">
        <v>0</v>
      </c>
      <c r="E305">
        <v>0</v>
      </c>
      <c r="F305">
        <v>0</v>
      </c>
      <c r="G305">
        <v>1.6572272806491999E-4</v>
      </c>
      <c r="H305">
        <v>0.601546417403097</v>
      </c>
      <c r="I305">
        <v>0</v>
      </c>
    </row>
    <row r="306" spans="1:9" x14ac:dyDescent="0.25">
      <c r="A306" s="1">
        <v>-65.560821294784503</v>
      </c>
      <c r="B306">
        <v>-7.3604576826699297</v>
      </c>
      <c r="C306">
        <v>6.22339432646049E-2</v>
      </c>
      <c r="D306">
        <v>0</v>
      </c>
      <c r="E306">
        <v>0</v>
      </c>
      <c r="F306">
        <v>0</v>
      </c>
      <c r="G306">
        <v>2.15919347522941E-4</v>
      </c>
      <c r="H306">
        <v>0.622105376139647</v>
      </c>
      <c r="I306">
        <v>0</v>
      </c>
    </row>
    <row r="307" spans="1:9" x14ac:dyDescent="0.25">
      <c r="A307" s="1">
        <v>-59.238972067832897</v>
      </c>
      <c r="B307">
        <v>-6.6507423090420899</v>
      </c>
      <c r="C307">
        <v>6.8415573498610993E-2</v>
      </c>
      <c r="D307">
        <v>0</v>
      </c>
      <c r="E307">
        <v>0</v>
      </c>
      <c r="F307">
        <v>0</v>
      </c>
      <c r="G307">
        <v>2.8007017480007301E-4</v>
      </c>
      <c r="H307">
        <v>0.63709117743920796</v>
      </c>
      <c r="I307">
        <v>0</v>
      </c>
    </row>
    <row r="308" spans="1:9" x14ac:dyDescent="0.25">
      <c r="A308" s="1">
        <v>-53.439136743545497</v>
      </c>
      <c r="B308">
        <v>-5.9996242585264303</v>
      </c>
      <c r="C308">
        <v>7.5498466534928005E-2</v>
      </c>
      <c r="D308">
        <v>0</v>
      </c>
      <c r="E308">
        <v>0</v>
      </c>
      <c r="F308">
        <v>0</v>
      </c>
      <c r="G308">
        <v>3.6195206965601302E-4</v>
      </c>
      <c r="H308">
        <v>0.64831999653429995</v>
      </c>
      <c r="I308">
        <v>0</v>
      </c>
    </row>
    <row r="309" spans="1:9" x14ac:dyDescent="0.25">
      <c r="A309" s="1">
        <v>-48.118183016777003</v>
      </c>
      <c r="B309">
        <v>-5.4022673478953704</v>
      </c>
      <c r="C309">
        <v>8.3534587180393999E-2</v>
      </c>
      <c r="D309">
        <v>0</v>
      </c>
      <c r="E309">
        <v>0</v>
      </c>
      <c r="F309">
        <v>0</v>
      </c>
      <c r="G309">
        <v>4.6627924899951198E-4</v>
      </c>
      <c r="H309">
        <v>0.65699183225489899</v>
      </c>
      <c r="I309">
        <v>0</v>
      </c>
    </row>
    <row r="310" spans="1:9" x14ac:dyDescent="0.25">
      <c r="A310" s="1">
        <v>-43.236604332923797</v>
      </c>
      <c r="B310">
        <v>-4.8542313570760403</v>
      </c>
      <c r="C310">
        <v>9.2577930012328405E-2</v>
      </c>
      <c r="D310">
        <v>0</v>
      </c>
      <c r="E310">
        <v>0</v>
      </c>
      <c r="F310">
        <v>0</v>
      </c>
      <c r="G310">
        <v>5.9886289573398701E-4</v>
      </c>
      <c r="H310">
        <v>0.663897756241973</v>
      </c>
      <c r="I310">
        <v>0</v>
      </c>
    </row>
    <row r="311" spans="1:9" x14ac:dyDescent="0.25">
      <c r="A311" s="1">
        <v>-38.758049011230398</v>
      </c>
      <c r="B311">
        <v>-4.3514448654510298</v>
      </c>
      <c r="C311">
        <v>0.102684523849391</v>
      </c>
      <c r="D311">
        <v>0</v>
      </c>
      <c r="E311">
        <v>0</v>
      </c>
      <c r="F311">
        <v>0</v>
      </c>
      <c r="G311">
        <v>7.6677397630646698E-4</v>
      </c>
      <c r="H311">
        <v>0.66956092440498605</v>
      </c>
      <c r="I311">
        <v>0</v>
      </c>
    </row>
    <row r="312" spans="1:9" x14ac:dyDescent="0.25">
      <c r="A312" s="1">
        <v>-34.649320244789102</v>
      </c>
      <c r="B312">
        <v>-3.8901718196131498</v>
      </c>
      <c r="C312">
        <v>0.113911926544396</v>
      </c>
      <c r="D312">
        <v>0</v>
      </c>
      <c r="E312">
        <v>0</v>
      </c>
      <c r="F312">
        <v>0</v>
      </c>
      <c r="G312">
        <v>9.7849605305100297E-4</v>
      </c>
      <c r="H312">
        <v>0.67433148054977698</v>
      </c>
      <c r="I312">
        <v>0</v>
      </c>
    </row>
    <row r="313" spans="1:9" x14ac:dyDescent="0.25">
      <c r="A313" s="1">
        <v>-30.879811048507602</v>
      </c>
      <c r="B313">
        <v>-3.4669843696661502</v>
      </c>
      <c r="C313">
        <v>0.126318339754007</v>
      </c>
      <c r="D313">
        <v>0</v>
      </c>
      <c r="E313">
        <v>0</v>
      </c>
      <c r="F313">
        <v>0</v>
      </c>
      <c r="G313">
        <v>1.2440512848513601E-3</v>
      </c>
      <c r="H313">
        <v>0.67844969171796898</v>
      </c>
      <c r="I313">
        <v>0</v>
      </c>
    </row>
    <row r="314" spans="1:9" x14ac:dyDescent="0.25">
      <c r="A314" s="1">
        <v>-27.4215984344482</v>
      </c>
      <c r="B314">
        <v>-3.0787377950407802</v>
      </c>
      <c r="C314">
        <v>0.13996125873899501</v>
      </c>
      <c r="D314">
        <v>0</v>
      </c>
      <c r="E314">
        <v>0</v>
      </c>
      <c r="F314">
        <v>0</v>
      </c>
      <c r="G314">
        <v>1.57507638810443E-3</v>
      </c>
      <c r="H314">
        <v>0.68208666799171902</v>
      </c>
      <c r="I314">
        <v>0</v>
      </c>
    </row>
    <row r="315" spans="1:9" x14ac:dyDescent="0.25">
      <c r="A315" s="1">
        <v>-24.248878359794599</v>
      </c>
      <c r="B315">
        <v>-2.7225475198261599</v>
      </c>
      <c r="C315">
        <v>0.154895630369878</v>
      </c>
      <c r="D315">
        <v>0</v>
      </c>
      <c r="E315">
        <v>0</v>
      </c>
      <c r="F315">
        <v>0</v>
      </c>
      <c r="G315">
        <v>1.9848245257151099E-3</v>
      </c>
      <c r="H315">
        <v>0.68536977719532099</v>
      </c>
      <c r="I315">
        <v>0</v>
      </c>
    </row>
    <row r="316" spans="1:9" x14ac:dyDescent="0.25">
      <c r="A316" s="1">
        <v>-21.3381540775299</v>
      </c>
      <c r="B316">
        <v>-2.3957671728588799</v>
      </c>
      <c r="C316">
        <v>0.17117176076440199</v>
      </c>
      <c r="D316">
        <v>0</v>
      </c>
      <c r="E316">
        <v>0</v>
      </c>
      <c r="F316">
        <v>0</v>
      </c>
      <c r="G316">
        <v>2.4880683785113399E-3</v>
      </c>
      <c r="H316">
        <v>0.68839755082763399</v>
      </c>
      <c r="I316">
        <v>0</v>
      </c>
    </row>
    <row r="317" spans="1:9" x14ac:dyDescent="0.25">
      <c r="A317" s="1">
        <v>-18.6677181720733</v>
      </c>
      <c r="B317">
        <v>-2.0959676925696602</v>
      </c>
      <c r="C317">
        <v>0.18883262382975999</v>
      </c>
      <c r="D317">
        <v>0</v>
      </c>
      <c r="E317">
        <v>0</v>
      </c>
      <c r="F317">
        <v>0</v>
      </c>
      <c r="G317">
        <v>3.10088314430459E-3</v>
      </c>
      <c r="H317">
        <v>0.69124832686475401</v>
      </c>
      <c r="I317">
        <v>0</v>
      </c>
    </row>
    <row r="318" spans="1:9" x14ac:dyDescent="0.25">
      <c r="A318" s="1">
        <v>-16.2178409099578</v>
      </c>
      <c r="B318">
        <v>-1.82092165561842</v>
      </c>
      <c r="C318">
        <v>0.207911268163746</v>
      </c>
      <c r="D318">
        <v>0</v>
      </c>
      <c r="E318">
        <v>0</v>
      </c>
      <c r="F318">
        <v>0</v>
      </c>
      <c r="G318">
        <v>3.8403042813115401E-3</v>
      </c>
      <c r="H318">
        <v>0.69398516239521502</v>
      </c>
      <c r="I318">
        <v>0</v>
      </c>
    </row>
    <row r="319" spans="1:9" x14ac:dyDescent="0.25">
      <c r="A319" s="1">
        <v>-13.9702051877975</v>
      </c>
      <c r="B319">
        <v>-1.5685865607716301</v>
      </c>
      <c r="C319">
        <v>0.22842777686988899</v>
      </c>
      <c r="D319">
        <v>0</v>
      </c>
      <c r="E319">
        <v>0</v>
      </c>
      <c r="F319">
        <v>0</v>
      </c>
      <c r="G319">
        <v>4.7238692328619401E-3</v>
      </c>
      <c r="H319">
        <v>0.696659148513467</v>
      </c>
      <c r="I319">
        <v>0</v>
      </c>
    </row>
    <row r="320" spans="1:9" x14ac:dyDescent="0.25">
      <c r="A320" s="1">
        <v>-11.908189058303799</v>
      </c>
      <c r="B320">
        <v>-1.33708497850673</v>
      </c>
      <c r="C320">
        <v>0.25038660292484</v>
      </c>
      <c r="D320">
        <v>0</v>
      </c>
      <c r="E320">
        <v>0</v>
      </c>
      <c r="F320">
        <v>0</v>
      </c>
      <c r="G320">
        <v>5.7690808838287899E-3</v>
      </c>
      <c r="H320">
        <v>0.699312720058755</v>
      </c>
      <c r="I320">
        <v>0</v>
      </c>
    </row>
    <row r="321" spans="1:9" x14ac:dyDescent="0.25">
      <c r="A321" s="1">
        <v>-10.016394853591899</v>
      </c>
      <c r="B321">
        <v>-1.1246982824661</v>
      </c>
      <c r="C321">
        <v>0.27377399396295798</v>
      </c>
      <c r="D321">
        <v>0</v>
      </c>
      <c r="E321">
        <v>0</v>
      </c>
      <c r="F321">
        <v>0</v>
      </c>
      <c r="G321">
        <v>6.9928545954553497E-3</v>
      </c>
      <c r="H321">
        <v>0.70198281140056995</v>
      </c>
      <c r="I321">
        <v>0</v>
      </c>
    </row>
    <row r="322" spans="1:9" x14ac:dyDescent="0.25">
      <c r="A322" s="1">
        <v>-8.2808375358581507</v>
      </c>
      <c r="B322">
        <v>-0.92984784381913499</v>
      </c>
      <c r="C322">
        <v>0.29855611451507502</v>
      </c>
      <c r="D322">
        <v>0</v>
      </c>
      <c r="E322">
        <v>0</v>
      </c>
      <c r="F322">
        <v>0</v>
      </c>
      <c r="G322">
        <v>8.4110103581224397E-3</v>
      </c>
      <c r="H322">
        <v>0.70470390497103297</v>
      </c>
      <c r="I322">
        <v>0</v>
      </c>
    </row>
    <row r="323" spans="1:9" x14ac:dyDescent="0.25">
      <c r="A323" s="1">
        <v>-6.6885209083557102</v>
      </c>
      <c r="B323">
        <v>-0.75108562844323501</v>
      </c>
      <c r="C323">
        <v>0.32467786570142798</v>
      </c>
      <c r="D323">
        <v>0</v>
      </c>
      <c r="E323">
        <v>0</v>
      </c>
      <c r="F323">
        <v>0</v>
      </c>
      <c r="G323">
        <v>1.0037919801743501E-2</v>
      </c>
      <c r="H323">
        <v>0.70751123878728595</v>
      </c>
      <c r="I323">
        <v>0</v>
      </c>
    </row>
    <row r="324" spans="1:9" x14ac:dyDescent="0.25">
      <c r="A324" s="1">
        <v>-5.2277201414108196</v>
      </c>
      <c r="B324">
        <v>-0.58708374934720398</v>
      </c>
      <c r="C324">
        <v>0.35206281369790099</v>
      </c>
      <c r="D324">
        <v>0</v>
      </c>
      <c r="E324">
        <v>0</v>
      </c>
      <c r="F324">
        <v>0</v>
      </c>
      <c r="G324">
        <v>1.1885963984604999E-2</v>
      </c>
      <c r="H324">
        <v>0.71043321140938298</v>
      </c>
      <c r="I324">
        <v>0</v>
      </c>
    </row>
    <row r="325" spans="1:9" x14ac:dyDescent="0.25">
      <c r="A325" s="1">
        <v>-3.88755798339843</v>
      </c>
      <c r="B325">
        <v>-0.43662297433691599</v>
      </c>
      <c r="C325">
        <v>0.38061397660740098</v>
      </c>
      <c r="D325">
        <v>0</v>
      </c>
      <c r="E325">
        <v>0</v>
      </c>
      <c r="F325">
        <v>0</v>
      </c>
      <c r="G325">
        <v>1.39691095148009E-2</v>
      </c>
      <c r="H325">
        <v>0.71357150391116697</v>
      </c>
      <c r="I325">
        <v>0</v>
      </c>
    </row>
    <row r="326" spans="1:9" x14ac:dyDescent="0.25">
      <c r="A326" s="1">
        <v>-2.6580518484115601</v>
      </c>
      <c r="B326">
        <v>-0.29858541271167399</v>
      </c>
      <c r="C326">
        <v>0.410214003294256</v>
      </c>
      <c r="D326">
        <v>0</v>
      </c>
      <c r="E326">
        <v>0</v>
      </c>
      <c r="F326">
        <v>0</v>
      </c>
      <c r="G326">
        <v>1.6292020148648501E-2</v>
      </c>
      <c r="H326">
        <v>0.71685723420140901</v>
      </c>
      <c r="I326">
        <v>0</v>
      </c>
    </row>
    <row r="327" spans="1:9" x14ac:dyDescent="0.25">
      <c r="A327" s="1">
        <v>-1.5300196409225399</v>
      </c>
      <c r="B327">
        <v>-0.171945112445229</v>
      </c>
      <c r="C327">
        <v>0.44073234464381</v>
      </c>
      <c r="D327">
        <v>0</v>
      </c>
      <c r="E327">
        <v>0</v>
      </c>
      <c r="F327">
        <v>0</v>
      </c>
      <c r="G327">
        <v>1.88605899538743E-2</v>
      </c>
      <c r="H327">
        <v>0.72030969438423698</v>
      </c>
      <c r="I327">
        <v>0</v>
      </c>
    </row>
    <row r="328" spans="1:9" x14ac:dyDescent="0.25">
      <c r="A328" s="1">
        <v>-0.49517393112182601</v>
      </c>
      <c r="B328">
        <v>-5.5761791639799399E-2</v>
      </c>
      <c r="C328">
        <v>0.47202747110901999</v>
      </c>
      <c r="D328">
        <v>0</v>
      </c>
      <c r="E328">
        <v>0</v>
      </c>
      <c r="F328">
        <v>0</v>
      </c>
      <c r="G328">
        <v>2.1693147378573401E-2</v>
      </c>
      <c r="H328">
        <v>0.72412497207797499</v>
      </c>
      <c r="I328">
        <v>0</v>
      </c>
    </row>
    <row r="329" spans="1:9" x14ac:dyDescent="0.25">
      <c r="A329" s="1">
        <v>0.49376130104064903</v>
      </c>
      <c r="B329">
        <v>0.35041700353396399</v>
      </c>
      <c r="C329">
        <v>0.60521360634950405</v>
      </c>
      <c r="D329">
        <v>0.12061487325369701</v>
      </c>
      <c r="E329">
        <v>-1.9510529520003501E-4</v>
      </c>
      <c r="F329" s="1">
        <v>5.1476636794323598E-5</v>
      </c>
      <c r="G329">
        <v>7.2018475158581494E-2</v>
      </c>
      <c r="H329">
        <v>0.98723185611704101</v>
      </c>
      <c r="I329" s="1">
        <v>8.3610203174105799E-7</v>
      </c>
    </row>
    <row r="330" spans="1:9" x14ac:dyDescent="0.25">
      <c r="A330" s="1">
        <v>1.5257111191749499</v>
      </c>
      <c r="B330">
        <v>1.0822786277487599</v>
      </c>
      <c r="C330">
        <v>0.93158717986626005</v>
      </c>
      <c r="D330">
        <v>0.50629791159436999</v>
      </c>
      <c r="E330">
        <v>-2.3452744523263002E-3</v>
      </c>
      <c r="F330">
        <v>2.1758885008504601E-4</v>
      </c>
      <c r="G330">
        <v>8.03481166205995E-2</v>
      </c>
      <c r="H330">
        <v>0.97813847270536702</v>
      </c>
      <c r="I330" s="1">
        <v>2.2947171181615099E-5</v>
      </c>
    </row>
    <row r="331" spans="1:9" x14ac:dyDescent="0.25">
      <c r="A331" s="1">
        <v>2.6505178213119498</v>
      </c>
      <c r="B331">
        <v>1.8752664110019499</v>
      </c>
      <c r="C331">
        <v>1.4188930463484399</v>
      </c>
      <c r="D331">
        <v>1.13270677440374</v>
      </c>
      <c r="E331">
        <v>-1.09302180063237E-2</v>
      </c>
      <c r="F331">
        <v>4.8054112156980898E-4</v>
      </c>
      <c r="G331">
        <v>8.78216042397017E-2</v>
      </c>
      <c r="H331">
        <v>0.96500057599595301</v>
      </c>
      <c r="I331">
        <v>1.14767614009864E-4</v>
      </c>
    </row>
    <row r="332" spans="1:9" x14ac:dyDescent="0.25">
      <c r="A332" s="1">
        <v>3.8765159249305698</v>
      </c>
      <c r="B332">
        <v>2.7262079466461802</v>
      </c>
      <c r="C332">
        <v>2.0961230524430201</v>
      </c>
      <c r="D332">
        <v>2.0314436627004202</v>
      </c>
      <c r="E332">
        <v>-3.10275016553536E-2</v>
      </c>
      <c r="F332">
        <v>8.3267924279607699E-4</v>
      </c>
      <c r="G332">
        <v>9.2658631830689106E-2</v>
      </c>
      <c r="H332">
        <v>0.94621509847047003</v>
      </c>
      <c r="I332">
        <v>2.7565691887382701E-4</v>
      </c>
    </row>
    <row r="333" spans="1:9" x14ac:dyDescent="0.25">
      <c r="A333" s="1">
        <v>5.2129346132278398</v>
      </c>
      <c r="B333">
        <v>3.6249753538846701</v>
      </c>
      <c r="C333">
        <v>2.9601468807486402</v>
      </c>
      <c r="D333">
        <v>3.1753669440575898</v>
      </c>
      <c r="E333">
        <v>-6.7895925640096597E-2</v>
      </c>
      <c r="F333">
        <v>1.2290406225140299E-3</v>
      </c>
      <c r="G333">
        <v>9.3641389696725696E-2</v>
      </c>
      <c r="H333">
        <v>0.91966916200983595</v>
      </c>
      <c r="I333">
        <v>5.3337404354265796E-4</v>
      </c>
    </row>
    <row r="334" spans="1:9" x14ac:dyDescent="0.25">
      <c r="A334" s="1">
        <v>6.6695916652679399</v>
      </c>
      <c r="B334">
        <v>4.5530265348825303</v>
      </c>
      <c r="C334">
        <v>3.9532486603743</v>
      </c>
      <c r="D334">
        <v>4.4496970249356096</v>
      </c>
      <c r="E334">
        <v>-0.124355920531442</v>
      </c>
      <c r="F334">
        <v>1.5848476015853099E-3</v>
      </c>
      <c r="G334">
        <v>9.1832721052023406E-2</v>
      </c>
      <c r="H334">
        <v>0.88468543170996194</v>
      </c>
      <c r="I334">
        <v>1.2336312238408801E-3</v>
      </c>
    </row>
    <row r="335" spans="1:9" x14ac:dyDescent="0.25">
      <c r="A335" s="1">
        <v>8.2573878765106201</v>
      </c>
      <c r="B335">
        <v>5.4845259385510996</v>
      </c>
      <c r="C335">
        <v>4.9631348356530696</v>
      </c>
      <c r="D335">
        <v>5.6707954048998097</v>
      </c>
      <c r="E335">
        <v>-0.19867094170910399</v>
      </c>
      <c r="F335">
        <v>1.80313491359709E-3</v>
      </c>
      <c r="G335">
        <v>9.0403828743389106E-2</v>
      </c>
      <c r="H335">
        <v>0.84510291174710805</v>
      </c>
      <c r="I335">
        <v>3.3762980123785702E-3</v>
      </c>
    </row>
    <row r="336" spans="1:9" x14ac:dyDescent="0.25">
      <c r="A336" s="1">
        <v>9.9880245327949506</v>
      </c>
      <c r="B336">
        <v>6.3907913103561604</v>
      </c>
      <c r="C336">
        <v>5.8581183328495499</v>
      </c>
      <c r="D336">
        <v>6.6569523364469401</v>
      </c>
      <c r="E336">
        <v>-0.28451211503502699</v>
      </c>
      <c r="F336">
        <v>1.8141262863879E-3</v>
      </c>
      <c r="G336">
        <v>9.2031150499900002E-2</v>
      </c>
      <c r="H336">
        <v>0.80822855866416798</v>
      </c>
      <c r="I336">
        <v>7.3113728416630101E-3</v>
      </c>
    </row>
    <row r="337" spans="1:9" x14ac:dyDescent="0.25">
      <c r="A337" s="1">
        <v>11.874474287032999</v>
      </c>
      <c r="B337">
        <v>7.2467602198805396</v>
      </c>
      <c r="C337">
        <v>6.5377691844993304</v>
      </c>
      <c r="D337">
        <v>7.3007220980620797</v>
      </c>
      <c r="E337">
        <v>-0.37354585973850102</v>
      </c>
      <c r="F337">
        <v>1.62190489887192E-3</v>
      </c>
      <c r="G337">
        <v>9.6482741362521399E-2</v>
      </c>
      <c r="H337">
        <v>0.77794786756947198</v>
      </c>
      <c r="I337">
        <v>1.0521705647188601E-2</v>
      </c>
    </row>
    <row r="338" spans="1:9" x14ac:dyDescent="0.25">
      <c r="A338" s="1">
        <v>13.9306750893592</v>
      </c>
      <c r="B338">
        <v>8.0359328746308307</v>
      </c>
      <c r="C338">
        <v>6.9610012593722601</v>
      </c>
      <c r="D338">
        <v>7.58926700250215</v>
      </c>
      <c r="E338">
        <v>-0.45857338615373799</v>
      </c>
      <c r="F338">
        <v>1.31115035486674E-3</v>
      </c>
      <c r="G338">
        <v>0.101331058614921</v>
      </c>
      <c r="H338">
        <v>0.75272846818712202</v>
      </c>
      <c r="I338">
        <v>1.01665001215846E-2</v>
      </c>
    </row>
    <row r="339" spans="1:9" x14ac:dyDescent="0.25">
      <c r="A339" s="1">
        <v>16.171883344650201</v>
      </c>
      <c r="B339">
        <v>8.7513518252126303</v>
      </c>
      <c r="C339">
        <v>7.1392880005358501</v>
      </c>
      <c r="D339">
        <v>7.5753199006073704</v>
      </c>
      <c r="E339">
        <v>-0.53504058027285495</v>
      </c>
      <c r="F339">
        <v>1.0127717734285701E-3</v>
      </c>
      <c r="G339">
        <v>0.104266709478568</v>
      </c>
      <c r="H339">
        <v>0.72971317737513197</v>
      </c>
      <c r="I339">
        <v>6.3312136785532202E-3</v>
      </c>
    </row>
    <row r="340" spans="1:9" x14ac:dyDescent="0.25">
      <c r="A340" s="1">
        <v>18.614838719367899</v>
      </c>
      <c r="B340">
        <v>9.39347981764951</v>
      </c>
      <c r="C340">
        <v>7.1134460000071096</v>
      </c>
      <c r="D340">
        <v>7.3365847617860904</v>
      </c>
      <c r="E340">
        <v>-0.60090721839029404</v>
      </c>
      <c r="F340">
        <v>8.5582921231019699E-4</v>
      </c>
      <c r="G340">
        <v>0.104321532732574</v>
      </c>
      <c r="H340">
        <v>0.70716462581902795</v>
      </c>
      <c r="I340">
        <v>9.6380392070883995E-4</v>
      </c>
    </row>
    <row r="341" spans="1:9" x14ac:dyDescent="0.25">
      <c r="A341" s="1">
        <v>21.2777170538902</v>
      </c>
      <c r="B341">
        <v>9.9672131903564303</v>
      </c>
      <c r="C341">
        <v>6.9331895051880501</v>
      </c>
      <c r="D341">
        <v>6.94845449114983</v>
      </c>
      <c r="E341">
        <v>-0.65585899024661898</v>
      </c>
      <c r="F341">
        <v>9.2987072784065804E-4</v>
      </c>
      <c r="G341">
        <v>0.101705387735118</v>
      </c>
      <c r="H341">
        <v>0.68449302454003702</v>
      </c>
      <c r="I341">
        <v>-4.2210428791780103E-3</v>
      </c>
    </row>
    <row r="342" spans="1:9" x14ac:dyDescent="0.25">
      <c r="A342" s="1">
        <v>24.180224537849401</v>
      </c>
      <c r="B342">
        <v>10.479477331726899</v>
      </c>
      <c r="C342">
        <v>6.6455053242238602</v>
      </c>
      <c r="D342">
        <v>6.4725767669824696</v>
      </c>
      <c r="E342">
        <v>-0.70054159442805297</v>
      </c>
      <c r="F342">
        <v>1.2593584755326401E-3</v>
      </c>
      <c r="G342">
        <v>9.7148575824102495E-2</v>
      </c>
      <c r="H342">
        <v>0.66170647556489204</v>
      </c>
      <c r="I342">
        <v>-8.4020607965560098E-3</v>
      </c>
    </row>
    <row r="343" spans="1:9" x14ac:dyDescent="0.25">
      <c r="A343" s="1">
        <v>27.343950867652801</v>
      </c>
      <c r="B343">
        <v>10.937786138882</v>
      </c>
      <c r="C343">
        <v>6.2899739457335802</v>
      </c>
      <c r="D343">
        <v>5.9550927534881897</v>
      </c>
      <c r="E343">
        <v>-0.736025741307201</v>
      </c>
      <c r="F343">
        <v>1.76191811217289E-3</v>
      </c>
      <c r="G343">
        <v>9.13872486456168E-2</v>
      </c>
      <c r="H343">
        <v>0.63909849085909898</v>
      </c>
      <c r="I343">
        <v>-1.13881960274188E-2</v>
      </c>
    </row>
    <row r="344" spans="1:9" x14ac:dyDescent="0.25">
      <c r="A344" s="1">
        <v>30.7923927903175</v>
      </c>
      <c r="B344">
        <v>11.349541328088501</v>
      </c>
      <c r="C344">
        <v>5.89780354689535</v>
      </c>
      <c r="D344">
        <v>5.4287231663130999</v>
      </c>
      <c r="E344">
        <v>-0.76349000060127903</v>
      </c>
      <c r="F344">
        <v>2.35534348612955E-3</v>
      </c>
      <c r="G344">
        <v>8.4954940516271699E-2</v>
      </c>
      <c r="H344">
        <v>0.61706597156773901</v>
      </c>
      <c r="I344">
        <v>-1.3252412379648901E-2</v>
      </c>
    </row>
    <row r="345" spans="1:9" x14ac:dyDescent="0.25">
      <c r="A345" s="1">
        <v>34.551213085651298</v>
      </c>
      <c r="B345">
        <v>11.7216944556545</v>
      </c>
      <c r="C345">
        <v>5.49239482402694</v>
      </c>
      <c r="D345">
        <v>4.9156167806077198</v>
      </c>
      <c r="E345">
        <v>-0.78407415890952503</v>
      </c>
      <c r="F345">
        <v>2.9784574930613798E-3</v>
      </c>
      <c r="G345">
        <v>7.8180682033913804E-2</v>
      </c>
      <c r="H345">
        <v>0.59600540369355803</v>
      </c>
      <c r="I345">
        <v>-1.4148882088778601E-2</v>
      </c>
    </row>
    <row r="346" spans="1:9" x14ac:dyDescent="0.25">
      <c r="A346" s="1">
        <v>38.6483111977577</v>
      </c>
      <c r="B346">
        <v>12.060567350206099</v>
      </c>
      <c r="C346">
        <v>5.0903298753040502</v>
      </c>
      <c r="D346">
        <v>4.4298930069243898</v>
      </c>
      <c r="E346">
        <v>-0.79878665598379495</v>
      </c>
      <c r="F346">
        <v>3.46587674804833E-3</v>
      </c>
      <c r="G346">
        <v>7.1280270375717394E-2</v>
      </c>
      <c r="H346">
        <v>0.576334040569637</v>
      </c>
      <c r="I346">
        <v>-1.42529851748424E-2</v>
      </c>
    </row>
    <row r="347" spans="1:9" x14ac:dyDescent="0.25">
      <c r="A347" s="1">
        <v>43.1141293048858</v>
      </c>
      <c r="B347">
        <v>12.3717855093862</v>
      </c>
      <c r="C347">
        <v>4.7026795517847404</v>
      </c>
      <c r="D347">
        <v>3.9799723777802698</v>
      </c>
      <c r="E347">
        <v>-0.80846967782150603</v>
      </c>
      <c r="F347">
        <v>3.7691501786009502E-3</v>
      </c>
      <c r="G347">
        <v>6.4408464180889205E-2</v>
      </c>
      <c r="H347">
        <v>0.55834434796543697</v>
      </c>
      <c r="I347">
        <v>-1.37406165005628E-2</v>
      </c>
    </row>
    <row r="348" spans="1:9" x14ac:dyDescent="0.25">
      <c r="A348" s="1">
        <v>47.981887757778097</v>
      </c>
      <c r="B348">
        <v>12.660183549286</v>
      </c>
      <c r="C348">
        <v>4.3364261208572499</v>
      </c>
      <c r="D348">
        <v>3.5702629497923102</v>
      </c>
      <c r="E348">
        <v>-0.813826570240193</v>
      </c>
      <c r="F348">
        <v>3.8783884707475199E-3</v>
      </c>
      <c r="G348">
        <v>5.7686473626837202E-2</v>
      </c>
      <c r="H348">
        <v>0.54206553171443395</v>
      </c>
      <c r="I348">
        <v>-1.27933560618354E-2</v>
      </c>
    </row>
    <row r="349" spans="1:9" x14ac:dyDescent="0.25">
      <c r="A349" s="1">
        <v>53.287820518016801</v>
      </c>
      <c r="B349">
        <v>12.929807032770601</v>
      </c>
      <c r="C349">
        <v>3.99516486937241</v>
      </c>
      <c r="D349">
        <v>3.2018186156621899</v>
      </c>
      <c r="E349">
        <v>-0.81538298446326496</v>
      </c>
      <c r="F349">
        <v>3.73566562362847E-3</v>
      </c>
      <c r="G349">
        <v>5.1250296143858301E-2</v>
      </c>
      <c r="H349">
        <v>0.52755201197961499</v>
      </c>
      <c r="I349">
        <v>-1.1586998194290101E-2</v>
      </c>
    </row>
    <row r="350" spans="1:9" x14ac:dyDescent="0.25">
      <c r="A350" s="1">
        <v>59.071175158023799</v>
      </c>
      <c r="B350">
        <v>13.184057690794701</v>
      </c>
      <c r="C350">
        <v>3.6802804048169402</v>
      </c>
      <c r="D350">
        <v>2.8734864775374001</v>
      </c>
      <c r="E350">
        <v>-0.81353166995241699</v>
      </c>
      <c r="F350">
        <v>3.2644583472265002E-3</v>
      </c>
      <c r="G350">
        <v>4.5230540994740401E-2</v>
      </c>
      <c r="H350">
        <v>0.51472606205003002</v>
      </c>
      <c r="I350">
        <v>-1.02871333044042E-2</v>
      </c>
    </row>
    <row r="351" spans="1:9" x14ac:dyDescent="0.25">
      <c r="A351" s="1">
        <v>65.375131070613804</v>
      </c>
      <c r="B351">
        <v>13.425725287511099</v>
      </c>
      <c r="C351">
        <v>3.39206859082825</v>
      </c>
      <c r="D351">
        <v>2.58328234696774</v>
      </c>
      <c r="E351">
        <v>-0.80855595763992705</v>
      </c>
      <c r="F351">
        <v>2.57110169373333E-3</v>
      </c>
      <c r="G351">
        <v>3.9706614547323202E-2</v>
      </c>
      <c r="H351">
        <v>0.50318382062712697</v>
      </c>
      <c r="I351">
        <v>-9.0096422175298899E-3</v>
      </c>
    </row>
    <row r="352" spans="1:9" x14ac:dyDescent="0.25">
      <c r="A352" s="1">
        <v>72.246375679969702</v>
      </c>
      <c r="B352">
        <v>13.6571098569176</v>
      </c>
      <c r="C352">
        <v>3.1294177927533</v>
      </c>
      <c r="D352">
        <v>2.32821841660552</v>
      </c>
      <c r="E352">
        <v>-0.800652023862092</v>
      </c>
      <c r="F352">
        <v>1.7722199970031101E-3</v>
      </c>
      <c r="G352">
        <v>3.4730585156724898E-2</v>
      </c>
      <c r="H352">
        <v>0.49267775056683499</v>
      </c>
      <c r="I352">
        <v>-7.8282158697828806E-3</v>
      </c>
    </row>
    <row r="353" spans="1:9" x14ac:dyDescent="0.25">
      <c r="A353" s="1">
        <v>79.736069738864799</v>
      </c>
      <c r="B353">
        <v>13.8801692748769</v>
      </c>
      <c r="C353">
        <v>2.8902626878312998</v>
      </c>
      <c r="D353">
        <v>2.10435300400033</v>
      </c>
      <c r="E353">
        <v>-0.78991078347459598</v>
      </c>
      <c r="F353">
        <v>1.07839766854236E-3</v>
      </c>
      <c r="G353">
        <v>3.0283219117005E-2</v>
      </c>
      <c r="H353">
        <v>0.48280689474294097</v>
      </c>
      <c r="I353">
        <v>-6.76070974835365E-3</v>
      </c>
    </row>
    <row r="354" spans="1:9" x14ac:dyDescent="0.25">
      <c r="A354" s="1">
        <v>87.899753153324099</v>
      </c>
      <c r="B354">
        <v>14.0965061996459</v>
      </c>
      <c r="C354">
        <v>2.67205037918341</v>
      </c>
      <c r="D354">
        <v>1.90755893431349</v>
      </c>
      <c r="E354">
        <v>-0.77636558960183499</v>
      </c>
      <c r="F354">
        <v>6.698143997095E-4</v>
      </c>
      <c r="G354">
        <v>2.6338590324325301E-2</v>
      </c>
      <c r="H354">
        <v>0.47344809177507002</v>
      </c>
      <c r="I354">
        <v>-5.8207934586901903E-3</v>
      </c>
    </row>
    <row r="355" spans="1:9" x14ac:dyDescent="0.25">
      <c r="A355" s="1">
        <v>96.798263192176805</v>
      </c>
      <c r="B355">
        <v>14.3073806089676</v>
      </c>
      <c r="C355">
        <v>2.4722952116665402</v>
      </c>
      <c r="D355">
        <v>1.7342330568487601</v>
      </c>
      <c r="E355">
        <v>-0.76009366961999902</v>
      </c>
      <c r="F355">
        <v>7.3439346874687699E-4</v>
      </c>
      <c r="G355">
        <v>2.2860494317815502E-2</v>
      </c>
      <c r="H355">
        <v>0.46435050604462602</v>
      </c>
      <c r="I355">
        <v>-5.0023965009689704E-3</v>
      </c>
    </row>
    <row r="356" spans="1:9" x14ac:dyDescent="0.25">
      <c r="A356" s="1">
        <v>106.497616767883</v>
      </c>
      <c r="B356">
        <v>14.513920841119401</v>
      </c>
      <c r="C356">
        <v>2.2880952036458999</v>
      </c>
      <c r="D356">
        <v>1.5806667995753301</v>
      </c>
      <c r="E356">
        <v>-0.74099852703406399</v>
      </c>
      <c r="F356">
        <v>9.53448137045837E-4</v>
      </c>
      <c r="G356">
        <v>1.98171571209684E-2</v>
      </c>
      <c r="H356">
        <v>0.45556640318257102</v>
      </c>
      <c r="I356">
        <v>-4.29902619543358E-3</v>
      </c>
    </row>
    <row r="357" spans="1:9" x14ac:dyDescent="0.25">
      <c r="A357" s="1">
        <v>117.06990510225199</v>
      </c>
      <c r="B357">
        <v>14.7174103808916</v>
      </c>
      <c r="C357">
        <v>2.1161226045385502</v>
      </c>
      <c r="D357">
        <v>1.44282468654174</v>
      </c>
      <c r="E357">
        <v>-0.71883978437302498</v>
      </c>
      <c r="F357">
        <v>1.0327886348919799E-3</v>
      </c>
      <c r="G357">
        <v>1.7158960259169902E-2</v>
      </c>
      <c r="H357">
        <v>0.447521551604187</v>
      </c>
      <c r="I357">
        <v>-3.6939954802126399E-3</v>
      </c>
    </row>
    <row r="358" spans="1:9" x14ac:dyDescent="0.25">
      <c r="A358" s="1">
        <v>128.593670427799</v>
      </c>
      <c r="B358">
        <v>14.918964507090999</v>
      </c>
      <c r="C358">
        <v>1.9546307029572501</v>
      </c>
      <c r="D358">
        <v>1.3182980643607201</v>
      </c>
      <c r="E358">
        <v>-0.69364918291522903</v>
      </c>
      <c r="F358">
        <v>1.20329157128081E-3</v>
      </c>
      <c r="G358">
        <v>1.4810281323929499E-2</v>
      </c>
      <c r="H358">
        <v>0.43986588142171801</v>
      </c>
      <c r="I358">
        <v>-3.1580901108409299E-3</v>
      </c>
    </row>
    <row r="359" spans="1:9" x14ac:dyDescent="0.25">
      <c r="A359" s="1">
        <v>141.15461230278001</v>
      </c>
      <c r="B359">
        <v>15.119279028321699</v>
      </c>
      <c r="C359">
        <v>1.8017049693103599</v>
      </c>
      <c r="D359">
        <v>1.2046387205592199</v>
      </c>
      <c r="E359">
        <v>-0.66521860288248102</v>
      </c>
      <c r="F359">
        <v>1.6772395623163899E-3</v>
      </c>
      <c r="G359">
        <v>1.27210486917138E-2</v>
      </c>
      <c r="H359">
        <v>0.43237554474036399</v>
      </c>
      <c r="I359">
        <v>-2.6805273859092501E-3</v>
      </c>
    </row>
    <row r="360" spans="1:9" x14ac:dyDescent="0.25">
      <c r="A360" s="1">
        <v>154.84601140022201</v>
      </c>
      <c r="B360">
        <v>15.3183387955978</v>
      </c>
      <c r="C360">
        <v>1.6556240151621999</v>
      </c>
      <c r="D360">
        <v>1.0997112597381</v>
      </c>
      <c r="E360">
        <v>-0.633409846873909</v>
      </c>
      <c r="F360">
        <v>1.82318456191862E-3</v>
      </c>
      <c r="G360">
        <v>1.0855649877104899E-2</v>
      </c>
      <c r="H360">
        <v>0.42462570304522002</v>
      </c>
      <c r="I360">
        <v>-2.2551874361458899E-3</v>
      </c>
    </row>
    <row r="361" spans="1:9" x14ac:dyDescent="0.25">
      <c r="A361" s="1">
        <v>169.76969480514501</v>
      </c>
      <c r="B361">
        <v>15.516130749448299</v>
      </c>
      <c r="C361">
        <v>1.5140741525322201</v>
      </c>
      <c r="D361">
        <v>1.00135753033832</v>
      </c>
      <c r="E361">
        <v>-0.59780036656770097</v>
      </c>
      <c r="F361">
        <v>1.6592700512061099E-3</v>
      </c>
      <c r="G361">
        <v>9.1916154181805702E-3</v>
      </c>
      <c r="H361">
        <v>0.41687789902608402</v>
      </c>
      <c r="I361">
        <v>-1.87619081404459E-3</v>
      </c>
    </row>
    <row r="362" spans="1:9" x14ac:dyDescent="0.25">
      <c r="A362" s="1">
        <v>186.03645980358101</v>
      </c>
      <c r="B362">
        <v>15.713156895931</v>
      </c>
      <c r="C362">
        <v>1.3756155498698199</v>
      </c>
      <c r="D362">
        <v>0.90761159038041195</v>
      </c>
      <c r="E362">
        <v>-0.55788884107549996</v>
      </c>
      <c r="F362">
        <v>1.58228597790994E-3</v>
      </c>
      <c r="G362">
        <v>7.70987805084617E-3</v>
      </c>
      <c r="H362">
        <v>0.40951538145786598</v>
      </c>
      <c r="I362">
        <v>-1.5425047962928601E-3</v>
      </c>
    </row>
    <row r="363" spans="1:9" x14ac:dyDescent="0.25">
      <c r="A363" s="1">
        <v>203.76720398664401</v>
      </c>
      <c r="B363">
        <v>15.9090630621976</v>
      </c>
      <c r="C363">
        <v>1.2391598925281999</v>
      </c>
      <c r="D363">
        <v>0.81646191109066801</v>
      </c>
      <c r="E363">
        <v>-0.51354550201383697</v>
      </c>
      <c r="F363">
        <v>1.3301671020696001E-3</v>
      </c>
      <c r="G363">
        <v>6.3860775184594199E-3</v>
      </c>
      <c r="H363">
        <v>0.40191722037577998</v>
      </c>
      <c r="I363">
        <v>-1.2471858455588699E-3</v>
      </c>
    </row>
    <row r="364" spans="1:9" x14ac:dyDescent="0.25">
      <c r="A364" s="1">
        <v>223.09376105666101</v>
      </c>
      <c r="B364">
        <v>16.102497854209599</v>
      </c>
      <c r="C364">
        <v>1.10355419934021</v>
      </c>
      <c r="D364">
        <v>0.72672872655938703</v>
      </c>
      <c r="E364">
        <v>-0.46425749775435798</v>
      </c>
      <c r="F364">
        <v>8.9493571109602204E-4</v>
      </c>
      <c r="G364">
        <v>5.1876186068331902E-3</v>
      </c>
      <c r="H364">
        <v>0.39418404585248601</v>
      </c>
      <c r="I364">
        <v>-9.7661321874609208E-4</v>
      </c>
    </row>
    <row r="365" spans="1:9" x14ac:dyDescent="0.25">
      <c r="A365" s="1">
        <v>244.15970131754801</v>
      </c>
      <c r="B365">
        <v>16.2923867387093</v>
      </c>
      <c r="C365">
        <v>0.96811353453990401</v>
      </c>
      <c r="D365">
        <v>0.63687287603379406</v>
      </c>
      <c r="E365">
        <v>-0.40948038370075202</v>
      </c>
      <c r="F365">
        <v>2.4644003436122898E-4</v>
      </c>
      <c r="G365">
        <v>4.1157597577279204E-3</v>
      </c>
      <c r="H365">
        <v>0.38710856691443501</v>
      </c>
      <c r="I365">
        <v>-7.3801577941972599E-4</v>
      </c>
    </row>
    <row r="366" spans="1:9" x14ac:dyDescent="0.25">
      <c r="A366" s="1">
        <v>267.12157949805197</v>
      </c>
      <c r="B366">
        <v>16.4758503635741</v>
      </c>
      <c r="C366">
        <v>0.83353041647193504</v>
      </c>
      <c r="D366">
        <v>0.54696476642507297</v>
      </c>
      <c r="E366">
        <v>-0.34891925838888299</v>
      </c>
      <c r="F366">
        <v>-6.56303981113944E-4</v>
      </c>
      <c r="G366">
        <v>3.1786285698406401E-3</v>
      </c>
      <c r="H366">
        <v>0.38113181272837499</v>
      </c>
      <c r="I366">
        <v>-5.3718994704320198E-4</v>
      </c>
    </row>
    <row r="367" spans="1:9" x14ac:dyDescent="0.25">
      <c r="A367" s="1">
        <v>292.15002954006098</v>
      </c>
      <c r="B367">
        <v>16.648081276412199</v>
      </c>
      <c r="C367">
        <v>0.69923736780667201</v>
      </c>
      <c r="D367">
        <v>0.45564449171617599</v>
      </c>
      <c r="E367">
        <v>-0.281961916426687</v>
      </c>
      <c r="F367">
        <v>-1.1890478090251901E-3</v>
      </c>
      <c r="G367">
        <v>2.3791861650834102E-3</v>
      </c>
      <c r="H367">
        <v>0.37739264033395897</v>
      </c>
      <c r="I367">
        <v>-3.7597458244398698E-4</v>
      </c>
    </row>
    <row r="368" spans="1:9" x14ac:dyDescent="0.25">
      <c r="A368" s="1">
        <v>319.43101242184599</v>
      </c>
      <c r="B368">
        <v>16.799625987499098</v>
      </c>
      <c r="C368">
        <v>0.57179854109664996</v>
      </c>
      <c r="D368">
        <v>0.36599254035880302</v>
      </c>
      <c r="E368">
        <v>-0.20835796655689401</v>
      </c>
      <c r="F368">
        <v>-1.1038242842942899E-3</v>
      </c>
      <c r="G368">
        <v>1.73487464857188E-3</v>
      </c>
      <c r="H368">
        <v>0.37663021275446201</v>
      </c>
      <c r="I368">
        <v>-2.5891844391902498E-4</v>
      </c>
    </row>
    <row r="369" spans="1:9" x14ac:dyDescent="0.25">
      <c r="A369" s="1">
        <v>349.16732590645501</v>
      </c>
      <c r="B369">
        <v>16.918121879394299</v>
      </c>
      <c r="C369">
        <v>0.46532211091136999</v>
      </c>
      <c r="D369">
        <v>0.28826577634765199</v>
      </c>
      <c r="E369">
        <v>-0.12665684051184101</v>
      </c>
      <c r="F369">
        <v>-1.19497528149512E-3</v>
      </c>
      <c r="G369">
        <v>1.2902419618559999E-3</v>
      </c>
      <c r="H369">
        <v>0.38050142313322</v>
      </c>
      <c r="I369">
        <v>-1.8919310480179199E-4</v>
      </c>
    </row>
    <row r="370" spans="1:9" x14ac:dyDescent="0.25">
      <c r="A370" s="1">
        <v>379.83785875141598</v>
      </c>
      <c r="B370">
        <v>16.981285838256699</v>
      </c>
      <c r="C370">
        <v>0.40471956661054198</v>
      </c>
      <c r="D370">
        <v>0.242345153074213</v>
      </c>
      <c r="E370">
        <v>-4.1814031968197898E-2</v>
      </c>
      <c r="F370">
        <v>-1.8607627418180501E-3</v>
      </c>
      <c r="G370">
        <v>1.0587403817054299E-3</v>
      </c>
      <c r="H370">
        <v>0.40084577860984599</v>
      </c>
      <c r="I370">
        <v>-1.4960199080056401E-4</v>
      </c>
    </row>
    <row r="371" spans="1:9" x14ac:dyDescent="0.25">
      <c r="A371" s="1" t="s">
        <v>528</v>
      </c>
      <c r="B371" s="1" t="s">
        <v>614</v>
      </c>
      <c r="C371" s="1" t="s">
        <v>615</v>
      </c>
      <c r="D371" s="1" t="s">
        <v>616</v>
      </c>
      <c r="E371" s="1" t="s">
        <v>617</v>
      </c>
      <c r="F371" s="1" t="s">
        <v>618</v>
      </c>
      <c r="G371" s="1" t="s">
        <v>400</v>
      </c>
      <c r="H371" s="1" t="s">
        <v>619</v>
      </c>
      <c r="I371" s="1" t="s">
        <v>613</v>
      </c>
    </row>
    <row r="372" spans="1:9" x14ac:dyDescent="0.25">
      <c r="A372" s="1">
        <v>-141.555516719818</v>
      </c>
      <c r="B372">
        <v>-31.783022947339202</v>
      </c>
      <c r="C372">
        <v>6.8543685994519502E-2</v>
      </c>
      <c r="D372">
        <v>0</v>
      </c>
      <c r="E372">
        <v>0</v>
      </c>
      <c r="F372">
        <v>0</v>
      </c>
      <c r="G372" s="1">
        <v>5.1639084156462897E-5</v>
      </c>
      <c r="H372">
        <v>2.00484467605337E-2</v>
      </c>
      <c r="I372">
        <v>0</v>
      </c>
    </row>
    <row r="373" spans="1:9" x14ac:dyDescent="0.25">
      <c r="A373" s="1">
        <v>-128.95890593528699</v>
      </c>
      <c r="B373">
        <v>-28.954809622941401</v>
      </c>
      <c r="C373">
        <v>6.9776150112374105E-2</v>
      </c>
      <c r="D373">
        <v>0</v>
      </c>
      <c r="E373">
        <v>0</v>
      </c>
      <c r="F373">
        <v>0</v>
      </c>
      <c r="G373" s="1">
        <v>6.1989062004741394E-5</v>
      </c>
      <c r="H373">
        <v>0.144695245919229</v>
      </c>
      <c r="I373">
        <v>0</v>
      </c>
    </row>
    <row r="374" spans="1:9" x14ac:dyDescent="0.25">
      <c r="A374" s="1">
        <v>-117.402367591857</v>
      </c>
      <c r="B374">
        <v>-26.360107994554401</v>
      </c>
      <c r="C374">
        <v>7.2144928030965602E-2</v>
      </c>
      <c r="D374">
        <v>0</v>
      </c>
      <c r="E374">
        <v>0</v>
      </c>
      <c r="F374">
        <v>0</v>
      </c>
      <c r="G374" s="1">
        <v>8.1683795241715995E-5</v>
      </c>
      <c r="H374">
        <v>0.29222795195715401</v>
      </c>
      <c r="I374">
        <v>0</v>
      </c>
    </row>
    <row r="375" spans="1:9" x14ac:dyDescent="0.25">
      <c r="A375" s="1">
        <v>-106.80001378059301</v>
      </c>
      <c r="B375">
        <v>-23.979644372789</v>
      </c>
      <c r="C375">
        <v>7.5687369315494302E-2</v>
      </c>
      <c r="D375">
        <v>0</v>
      </c>
      <c r="E375">
        <v>0</v>
      </c>
      <c r="F375">
        <v>0</v>
      </c>
      <c r="G375">
        <v>1.10827653232803E-4</v>
      </c>
      <c r="H375">
        <v>0.41047923993782298</v>
      </c>
      <c r="I375">
        <v>0</v>
      </c>
    </row>
    <row r="376" spans="1:9" x14ac:dyDescent="0.25">
      <c r="A376" s="1">
        <v>-97.073161005973802</v>
      </c>
      <c r="B376">
        <v>-21.7957330999056</v>
      </c>
      <c r="C376">
        <v>8.0499838884362504E-2</v>
      </c>
      <c r="D376">
        <v>0</v>
      </c>
      <c r="E376">
        <v>0</v>
      </c>
      <c r="F376">
        <v>0</v>
      </c>
      <c r="G376">
        <v>1.5058869112109999E-4</v>
      </c>
      <c r="H376">
        <v>0.49398750741056502</v>
      </c>
      <c r="I376">
        <v>0</v>
      </c>
    </row>
    <row r="377" spans="1:9" x14ac:dyDescent="0.25">
      <c r="A377" s="1">
        <v>-88.149435520172105</v>
      </c>
      <c r="B377">
        <v>-19.792138641802399</v>
      </c>
      <c r="C377">
        <v>8.6702602874019E-2</v>
      </c>
      <c r="D377">
        <v>0</v>
      </c>
      <c r="E377">
        <v>0</v>
      </c>
      <c r="F377">
        <v>0</v>
      </c>
      <c r="G377">
        <v>2.03148884114057E-4</v>
      </c>
      <c r="H377">
        <v>0.55076934792424703</v>
      </c>
      <c r="I377">
        <v>0</v>
      </c>
    </row>
    <row r="378" spans="1:9" x14ac:dyDescent="0.25">
      <c r="A378" s="1">
        <v>-79.962490797042804</v>
      </c>
      <c r="B378">
        <v>-17.953973201764601</v>
      </c>
      <c r="C378">
        <v>9.4424824432493601E-2</v>
      </c>
      <c r="D378">
        <v>0</v>
      </c>
      <c r="E378">
        <v>0</v>
      </c>
      <c r="F378">
        <v>0</v>
      </c>
      <c r="G378">
        <v>2.7175861679396002E-4</v>
      </c>
      <c r="H378">
        <v>0.58922315491874999</v>
      </c>
      <c r="I378">
        <v>0</v>
      </c>
    </row>
    <row r="379" spans="1:9" x14ac:dyDescent="0.25">
      <c r="A379" s="1">
        <v>-72.451583743095298</v>
      </c>
      <c r="B379">
        <v>-16.267581797120901</v>
      </c>
      <c r="C379">
        <v>0.10379952953093401</v>
      </c>
      <c r="D379">
        <v>0</v>
      </c>
      <c r="E379">
        <v>0</v>
      </c>
      <c r="F379">
        <v>0</v>
      </c>
      <c r="G379">
        <v>3.6087458572495699E-4</v>
      </c>
      <c r="H379">
        <v>0.61554113490608398</v>
      </c>
      <c r="I379">
        <v>0</v>
      </c>
    </row>
    <row r="380" spans="1:9" x14ac:dyDescent="0.25">
      <c r="A380" s="1">
        <v>-65.560821294784503</v>
      </c>
      <c r="B380">
        <v>-14.7204315149317</v>
      </c>
      <c r="C380">
        <v>0.11496305257695801</v>
      </c>
      <c r="D380">
        <v>0</v>
      </c>
      <c r="E380">
        <v>0</v>
      </c>
      <c r="F380">
        <v>0</v>
      </c>
      <c r="G380">
        <v>4.76374132270507E-4</v>
      </c>
      <c r="H380">
        <v>0.63389271755575005</v>
      </c>
      <c r="I380">
        <v>0</v>
      </c>
    </row>
    <row r="381" spans="1:9" x14ac:dyDescent="0.25">
      <c r="A381" s="1">
        <v>-59.238972067832897</v>
      </c>
      <c r="B381">
        <v>-13.3010237523446</v>
      </c>
      <c r="C381">
        <v>0.128056395556116</v>
      </c>
      <c r="D381">
        <v>0</v>
      </c>
      <c r="E381">
        <v>0</v>
      </c>
      <c r="F381">
        <v>0</v>
      </c>
      <c r="G381">
        <v>6.2583977156975795E-4</v>
      </c>
      <c r="H381">
        <v>0.64700745081432398</v>
      </c>
      <c r="I381">
        <v>0</v>
      </c>
    </row>
    <row r="382" spans="1:9" x14ac:dyDescent="0.25">
      <c r="A382" s="1">
        <v>-53.439136743545497</v>
      </c>
      <c r="B382">
        <v>-11.998812725497199</v>
      </c>
      <c r="C382">
        <v>0.14322673918260401</v>
      </c>
      <c r="D382">
        <v>0</v>
      </c>
      <c r="E382">
        <v>0</v>
      </c>
      <c r="F382">
        <v>0</v>
      </c>
      <c r="G382">
        <v>8.1890469613483605E-4</v>
      </c>
      <c r="H382">
        <v>0.656655380579242</v>
      </c>
      <c r="I382">
        <v>0</v>
      </c>
    </row>
    <row r="383" spans="1:9" x14ac:dyDescent="0.25">
      <c r="A383" s="1">
        <v>-48.118183016777003</v>
      </c>
      <c r="B383">
        <v>-10.8041208441461</v>
      </c>
      <c r="C383">
        <v>0.16062873944869199</v>
      </c>
      <c r="D383">
        <v>0</v>
      </c>
      <c r="E383">
        <v>0</v>
      </c>
      <c r="F383">
        <v>0</v>
      </c>
      <c r="G383">
        <v>1.0676485802690601E-3</v>
      </c>
      <c r="H383">
        <v>0.66398034806722595</v>
      </c>
      <c r="I383">
        <v>0</v>
      </c>
    </row>
    <row r="384" spans="1:9" x14ac:dyDescent="0.25">
      <c r="A384" s="1">
        <v>-43.236604332923797</v>
      </c>
      <c r="B384">
        <v>-9.7080708024183906</v>
      </c>
      <c r="C384">
        <v>0.180424921060408</v>
      </c>
      <c r="D384">
        <v>0</v>
      </c>
      <c r="E384">
        <v>0</v>
      </c>
      <c r="F384">
        <v>0</v>
      </c>
      <c r="G384">
        <v>1.38702674726118E-3</v>
      </c>
      <c r="H384">
        <v>0.66972214944453201</v>
      </c>
      <c r="I384">
        <v>0</v>
      </c>
    </row>
    <row r="385" spans="1:9" x14ac:dyDescent="0.25">
      <c r="A385" s="1">
        <v>-38.758049011230398</v>
      </c>
      <c r="B385">
        <v>-8.7025208038369808</v>
      </c>
      <c r="C385">
        <v>0.20278523035153301</v>
      </c>
      <c r="D385">
        <v>0</v>
      </c>
      <c r="E385">
        <v>0</v>
      </c>
      <c r="F385">
        <v>0</v>
      </c>
      <c r="G385">
        <v>1.79530933880869E-3</v>
      </c>
      <c r="H385">
        <v>0.67436284632426902</v>
      </c>
      <c r="I385">
        <v>0</v>
      </c>
    </row>
    <row r="386" spans="1:9" x14ac:dyDescent="0.25">
      <c r="A386" s="1">
        <v>-34.649320244789102</v>
      </c>
      <c r="B386">
        <v>-7.7799956073144996</v>
      </c>
      <c r="C386">
        <v>0.227885407890526</v>
      </c>
      <c r="D386">
        <v>0</v>
      </c>
      <c r="E386">
        <v>0</v>
      </c>
      <c r="F386">
        <v>0</v>
      </c>
      <c r="G386">
        <v>2.3144972466354798E-3</v>
      </c>
      <c r="H386">
        <v>0.67822256431885597</v>
      </c>
      <c r="I386">
        <v>0</v>
      </c>
    </row>
    <row r="387" spans="1:9" x14ac:dyDescent="0.25">
      <c r="A387" s="1">
        <v>-30.879811048507602</v>
      </c>
      <c r="B387">
        <v>-6.93364055781612</v>
      </c>
      <c r="C387">
        <v>0.25590437749822897</v>
      </c>
      <c r="D387">
        <v>0</v>
      </c>
      <c r="E387">
        <v>0</v>
      </c>
      <c r="F387">
        <v>0</v>
      </c>
      <c r="G387">
        <v>2.9706673677310298E-3</v>
      </c>
      <c r="H387">
        <v>0.68152133279103699</v>
      </c>
      <c r="I387">
        <v>0</v>
      </c>
    </row>
    <row r="388" spans="1:9" x14ac:dyDescent="0.25">
      <c r="A388" s="1">
        <v>-27.4215984344482</v>
      </c>
      <c r="B388">
        <v>-6.1571672589609996</v>
      </c>
      <c r="C388">
        <v>0.28702025824066901</v>
      </c>
      <c r="D388">
        <v>0</v>
      </c>
      <c r="E388">
        <v>0</v>
      </c>
      <c r="F388">
        <v>0</v>
      </c>
      <c r="G388">
        <v>3.7941876916761401E-3</v>
      </c>
      <c r="H388">
        <v>0.68441748705716299</v>
      </c>
      <c r="I388">
        <v>0</v>
      </c>
    </row>
    <row r="389" spans="1:9" x14ac:dyDescent="0.25">
      <c r="A389" s="1">
        <v>-24.248878359794599</v>
      </c>
      <c r="B389">
        <v>-5.4448065589273904</v>
      </c>
      <c r="C389">
        <v>0.32140544648295699</v>
      </c>
      <c r="D389">
        <v>0</v>
      </c>
      <c r="E389">
        <v>0</v>
      </c>
      <c r="F389">
        <v>0</v>
      </c>
      <c r="G389">
        <v>4.8197361853453899E-3</v>
      </c>
      <c r="H389">
        <v>0.68703052829484401</v>
      </c>
      <c r="I389">
        <v>0</v>
      </c>
    </row>
    <row r="390" spans="1:9" x14ac:dyDescent="0.25">
      <c r="A390" s="1">
        <v>-21.3381540775299</v>
      </c>
      <c r="B390">
        <v>-4.7912625811154603</v>
      </c>
      <c r="C390">
        <v>0.35922055340300202</v>
      </c>
      <c r="D390">
        <v>0</v>
      </c>
      <c r="E390">
        <v>0</v>
      </c>
      <c r="F390">
        <v>0</v>
      </c>
      <c r="G390">
        <v>6.0860544034767299E-3</v>
      </c>
      <c r="H390">
        <v>0.68945401908783199</v>
      </c>
      <c r="I390">
        <v>0</v>
      </c>
    </row>
    <row r="391" spans="1:9" x14ac:dyDescent="0.25">
      <c r="A391" s="1">
        <v>-18.6677181720733</v>
      </c>
      <c r="B391">
        <v>-4.1916803366596502</v>
      </c>
      <c r="C391">
        <v>0.40060744833321399</v>
      </c>
      <c r="D391">
        <v>0</v>
      </c>
      <c r="E391">
        <v>0</v>
      </c>
      <c r="F391">
        <v>0</v>
      </c>
      <c r="G391">
        <v>7.6353818213647099E-3</v>
      </c>
      <c r="H391">
        <v>0.69176254279543803</v>
      </c>
      <c r="I391">
        <v>0</v>
      </c>
    </row>
    <row r="392" spans="1:9" x14ac:dyDescent="0.25">
      <c r="A392" s="1">
        <v>-16.2178409099578</v>
      </c>
      <c r="B392">
        <v>-3.6416049788797902</v>
      </c>
      <c r="C392">
        <v>0.44568147946394099</v>
      </c>
      <c r="D392">
        <v>0</v>
      </c>
      <c r="E392">
        <v>0</v>
      </c>
      <c r="F392">
        <v>0</v>
      </c>
      <c r="G392">
        <v>9.5125482495859604E-3</v>
      </c>
      <c r="H392">
        <v>0.69401554195188198</v>
      </c>
      <c r="I392">
        <v>0</v>
      </c>
    </row>
    <row r="393" spans="1:9" x14ac:dyDescent="0.25">
      <c r="A393" s="1">
        <v>-13.9702051877975</v>
      </c>
      <c r="B393">
        <v>-3.13694732627819</v>
      </c>
      <c r="C393">
        <v>0.49452380184755501</v>
      </c>
      <c r="D393">
        <v>0</v>
      </c>
      <c r="E393">
        <v>0</v>
      </c>
      <c r="F393">
        <v>0</v>
      </c>
      <c r="G393">
        <v>1.1763757658673E-2</v>
      </c>
      <c r="H393">
        <v>0.69626042422778101</v>
      </c>
      <c r="I393">
        <v>0</v>
      </c>
    </row>
    <row r="394" spans="1:9" x14ac:dyDescent="0.25">
      <c r="A394" s="1">
        <v>-11.908189058303799</v>
      </c>
      <c r="B394">
        <v>-2.6739587883556801</v>
      </c>
      <c r="C394">
        <v>0.54717343715093003</v>
      </c>
      <c r="D394">
        <v>0</v>
      </c>
      <c r="E394">
        <v>0</v>
      </c>
      <c r="F394">
        <v>0</v>
      </c>
      <c r="G394">
        <v>1.44351417865436E-2</v>
      </c>
      <c r="H394">
        <v>0.69853519800868202</v>
      </c>
      <c r="I394">
        <v>0</v>
      </c>
    </row>
    <row r="395" spans="1:9" x14ac:dyDescent="0.25">
      <c r="A395" s="1">
        <v>-10.016394853591899</v>
      </c>
      <c r="B395">
        <v>-2.2491979333663901</v>
      </c>
      <c r="C395">
        <v>0.60362054948186805</v>
      </c>
      <c r="D395">
        <v>0</v>
      </c>
      <c r="E395">
        <v>0</v>
      </c>
      <c r="F395">
        <v>0</v>
      </c>
      <c r="G395">
        <v>1.75712591000774E-2</v>
      </c>
      <c r="H395">
        <v>0.70087184681716896</v>
      </c>
      <c r="I395">
        <v>0</v>
      </c>
    </row>
    <row r="396" spans="1:9" x14ac:dyDescent="0.25">
      <c r="A396" s="1">
        <v>-8.2808375358581507</v>
      </c>
      <c r="B396">
        <v>-1.8595090707855899</v>
      </c>
      <c r="C396">
        <v>0.66380097305634</v>
      </c>
      <c r="D396">
        <v>0</v>
      </c>
      <c r="E396">
        <v>0</v>
      </c>
      <c r="F396">
        <v>0</v>
      </c>
      <c r="G396">
        <v>2.1213728561633598E-2</v>
      </c>
      <c r="H396">
        <v>0.70329985543965601</v>
      </c>
      <c r="I396">
        <v>0</v>
      </c>
    </row>
    <row r="397" spans="1:9" x14ac:dyDescent="0.25">
      <c r="A397" s="1">
        <v>-6.6885209083557102</v>
      </c>
      <c r="B397">
        <v>-1.5019961323680899</v>
      </c>
      <c r="C397">
        <v>0.72759227784161495</v>
      </c>
      <c r="D397">
        <v>0</v>
      </c>
      <c r="E397">
        <v>0</v>
      </c>
      <c r="F397">
        <v>0</v>
      </c>
      <c r="G397">
        <v>2.53999855407528E-2</v>
      </c>
      <c r="H397">
        <v>0.70584677081404501</v>
      </c>
      <c r="I397">
        <v>0</v>
      </c>
    </row>
    <row r="398" spans="1:9" x14ac:dyDescent="0.25">
      <c r="A398" s="1">
        <v>-5.2277201414108196</v>
      </c>
      <c r="B398">
        <v>-1.1740022993738399</v>
      </c>
      <c r="C398">
        <v>0.794814270292583</v>
      </c>
      <c r="D398">
        <v>0</v>
      </c>
      <c r="E398">
        <v>0</v>
      </c>
      <c r="F398">
        <v>0</v>
      </c>
      <c r="G398">
        <v>3.0162270864275299E-2</v>
      </c>
      <c r="H398">
        <v>0.70853667521694497</v>
      </c>
      <c r="I398">
        <v>0</v>
      </c>
    </row>
    <row r="399" spans="1:9" x14ac:dyDescent="0.25">
      <c r="A399" s="1">
        <v>-3.88755798339843</v>
      </c>
      <c r="B399">
        <v>-0.87309067455108103</v>
      </c>
      <c r="C399">
        <v>0.86522924371992505</v>
      </c>
      <c r="D399">
        <v>0</v>
      </c>
      <c r="E399">
        <v>0</v>
      </c>
      <c r="F399">
        <v>0</v>
      </c>
      <c r="G399">
        <v>3.5538616870144299E-2</v>
      </c>
      <c r="H399">
        <v>0.71148590507748399</v>
      </c>
      <c r="I399">
        <v>0</v>
      </c>
    </row>
    <row r="400" spans="1:9" x14ac:dyDescent="0.25">
      <c r="A400" s="1">
        <v>-2.6580518484115601</v>
      </c>
      <c r="B400">
        <v>-0.59702443174074205</v>
      </c>
      <c r="C400">
        <v>0.93854190675634697</v>
      </c>
      <c r="D400">
        <v>0</v>
      </c>
      <c r="E400">
        <v>0</v>
      </c>
      <c r="F400">
        <v>0</v>
      </c>
      <c r="G400">
        <v>4.1539968239521802E-2</v>
      </c>
      <c r="H400">
        <v>0.714608122175445</v>
      </c>
      <c r="I400">
        <v>0</v>
      </c>
    </row>
    <row r="401" spans="1:9" x14ac:dyDescent="0.25">
      <c r="A401" s="1">
        <v>-1.5300196409225399</v>
      </c>
      <c r="B401">
        <v>-0.34375218926916701</v>
      </c>
      <c r="C401">
        <v>1.0144244917068499</v>
      </c>
      <c r="D401">
        <v>0</v>
      </c>
      <c r="E401">
        <v>0</v>
      </c>
      <c r="F401">
        <v>0</v>
      </c>
      <c r="G401">
        <v>4.81807398282399E-2</v>
      </c>
      <c r="H401">
        <v>0.71791429115140204</v>
      </c>
      <c r="I401">
        <v>0</v>
      </c>
    </row>
    <row r="402" spans="1:9" x14ac:dyDescent="0.25">
      <c r="A402" s="1">
        <v>-0.49517393112182601</v>
      </c>
      <c r="B402">
        <v>-0.111392860961955</v>
      </c>
      <c r="C402">
        <v>1.09251053111151</v>
      </c>
      <c r="D402">
        <v>0</v>
      </c>
      <c r="E402">
        <v>0</v>
      </c>
      <c r="F402">
        <v>0</v>
      </c>
      <c r="G402">
        <v>5.5625483977564699E-2</v>
      </c>
      <c r="H402">
        <v>0.72219387114904199</v>
      </c>
      <c r="I402">
        <v>0</v>
      </c>
    </row>
    <row r="403" spans="1:9" x14ac:dyDescent="0.25">
      <c r="A403" s="1">
        <v>0.49376130104064903</v>
      </c>
      <c r="B403">
        <v>0.35036129578028902</v>
      </c>
      <c r="C403">
        <v>1.2726043581570099</v>
      </c>
      <c r="D403">
        <v>0.173760390269527</v>
      </c>
      <c r="E403">
        <v>-2.6689374981843502E-4</v>
      </c>
      <c r="F403" s="1">
        <v>7.6161391828234902E-5</v>
      </c>
      <c r="G403">
        <v>5.0073520975238497E-2</v>
      </c>
      <c r="H403">
        <v>0.96015669665576597</v>
      </c>
      <c r="I403" s="1">
        <v>7.1865866550843701E-7</v>
      </c>
    </row>
    <row r="404" spans="1:9" x14ac:dyDescent="0.25">
      <c r="A404" s="1">
        <v>1.5257111191749499</v>
      </c>
      <c r="B404">
        <v>1.0820160579775699</v>
      </c>
      <c r="C404">
        <v>1.62237683964748</v>
      </c>
      <c r="D404">
        <v>0.64667449838996505</v>
      </c>
      <c r="E404">
        <v>-2.8061660337666701E-3</v>
      </c>
      <c r="F404">
        <v>2.8137452234607197E-4</v>
      </c>
      <c r="G404">
        <v>6.21735253620729E-2</v>
      </c>
      <c r="H404">
        <v>0.95322147871764695</v>
      </c>
      <c r="I404" s="1">
        <v>2.2531855953606901E-5</v>
      </c>
    </row>
    <row r="405" spans="1:9" x14ac:dyDescent="0.25">
      <c r="A405" s="1">
        <v>2.6505178213119498</v>
      </c>
      <c r="B405">
        <v>1.8742604961526801</v>
      </c>
      <c r="C405">
        <v>2.10310360302099</v>
      </c>
      <c r="D405">
        <v>1.33428167701651</v>
      </c>
      <c r="E405">
        <v>-1.21499929345582E-2</v>
      </c>
      <c r="F405">
        <v>5.7011690824992597E-4</v>
      </c>
      <c r="G405">
        <v>7.4587510994730696E-2</v>
      </c>
      <c r="H405">
        <v>0.943341081381177</v>
      </c>
      <c r="I405">
        <v>1.1978934465335399E-4</v>
      </c>
    </row>
    <row r="406" spans="1:9" x14ac:dyDescent="0.25">
      <c r="A406" s="1">
        <v>3.8765159249305698</v>
      </c>
      <c r="B406">
        <v>2.7236795586907498</v>
      </c>
      <c r="C406">
        <v>2.7438230634031999</v>
      </c>
      <c r="D406">
        <v>2.2652678341336498</v>
      </c>
      <c r="E406">
        <v>-3.30620544466729E-2</v>
      </c>
      <c r="F406">
        <v>9.32901115533207E-4</v>
      </c>
      <c r="G406">
        <v>8.4663375921951695E-2</v>
      </c>
      <c r="H406">
        <v>0.92836399620810495</v>
      </c>
      <c r="I406">
        <v>2.9526669833770101E-4</v>
      </c>
    </row>
    <row r="407" spans="1:9" x14ac:dyDescent="0.25">
      <c r="A407" s="1">
        <v>5.2129346132278398</v>
      </c>
      <c r="B407">
        <v>3.62009861188952</v>
      </c>
      <c r="C407">
        <v>3.54605445481993</v>
      </c>
      <c r="D407">
        <v>3.4136578754134401</v>
      </c>
      <c r="E407">
        <v>-7.0557333638525704E-2</v>
      </c>
      <c r="F407">
        <v>1.32500635766949E-3</v>
      </c>
      <c r="G407">
        <v>9.0192699465598603E-2</v>
      </c>
      <c r="H407">
        <v>0.90600631367223705</v>
      </c>
      <c r="I407">
        <v>5.8594662949270596E-4</v>
      </c>
    </row>
    <row r="408" spans="1:9" x14ac:dyDescent="0.25">
      <c r="A408" s="1">
        <v>6.6695916652679399</v>
      </c>
      <c r="B408">
        <v>4.5451800692268902</v>
      </c>
      <c r="C408">
        <v>4.46119559372476</v>
      </c>
      <c r="D408">
        <v>4.6708894362862399</v>
      </c>
      <c r="E408">
        <v>-0.127292678314744</v>
      </c>
      <c r="F408">
        <v>1.6658517372917299E-3</v>
      </c>
      <c r="G408">
        <v>9.1571873979888793E-2</v>
      </c>
      <c r="H408">
        <v>0.87561028819415199</v>
      </c>
      <c r="I408">
        <v>1.35393283434917E-3</v>
      </c>
    </row>
    <row r="409" spans="1:9" x14ac:dyDescent="0.25">
      <c r="A409" s="1">
        <v>8.2573878765106201</v>
      </c>
      <c r="B409">
        <v>5.4734921131540304</v>
      </c>
      <c r="C409">
        <v>5.38817070585488</v>
      </c>
      <c r="D409">
        <v>5.8626878171824304</v>
      </c>
      <c r="E409">
        <v>-0.20151764065758199</v>
      </c>
      <c r="F409">
        <v>1.8646300082153101E-3</v>
      </c>
      <c r="G409">
        <v>9.1856326553873296E-2</v>
      </c>
      <c r="H409">
        <v>0.840484917918352</v>
      </c>
      <c r="I409">
        <v>3.584430685748E-3</v>
      </c>
    </row>
    <row r="410" spans="1:9" x14ac:dyDescent="0.25">
      <c r="A410" s="1">
        <v>9.9880245327949506</v>
      </c>
      <c r="B410">
        <v>6.3767840434304999</v>
      </c>
      <c r="C410">
        <v>6.2049861144223097</v>
      </c>
      <c r="D410">
        <v>6.8161666849115097</v>
      </c>
      <c r="E410">
        <v>-0.28702066755734601</v>
      </c>
      <c r="F410">
        <v>1.85645420891531E-3</v>
      </c>
      <c r="G410">
        <v>9.4080423525739101E-2</v>
      </c>
      <c r="H410">
        <v>0.80684950505977304</v>
      </c>
      <c r="I410">
        <v>7.5452486950025998E-3</v>
      </c>
    </row>
    <row r="411" spans="1:9" x14ac:dyDescent="0.25">
      <c r="A411" s="1">
        <v>11.874474287032999</v>
      </c>
      <c r="B411">
        <v>7.2302565657325299</v>
      </c>
      <c r="C411">
        <v>6.8168790426803003</v>
      </c>
      <c r="D411">
        <v>7.42956951111859</v>
      </c>
      <c r="E411">
        <v>-0.37562034140991502</v>
      </c>
      <c r="F411">
        <v>1.6479827627009301E-3</v>
      </c>
      <c r="G411">
        <v>9.85174261411004E-2</v>
      </c>
      <c r="H411">
        <v>0.77820173834013395</v>
      </c>
      <c r="I411">
        <v>1.0671092790047401E-2</v>
      </c>
    </row>
    <row r="412" spans="1:9" x14ac:dyDescent="0.25">
      <c r="A412" s="1">
        <v>13.9306750893592</v>
      </c>
      <c r="B412">
        <v>8.0174509718456601</v>
      </c>
      <c r="C412">
        <v>7.1844464057382096</v>
      </c>
      <c r="D412">
        <v>7.6924578019455296</v>
      </c>
      <c r="E412">
        <v>-0.460224669972436</v>
      </c>
      <c r="F412">
        <v>1.32402813776937E-3</v>
      </c>
      <c r="G412">
        <v>0.103104950821825</v>
      </c>
      <c r="H412">
        <v>0.75354005800446799</v>
      </c>
      <c r="I412">
        <v>1.0179364759607E-2</v>
      </c>
    </row>
    <row r="413" spans="1:9" x14ac:dyDescent="0.25">
      <c r="A413" s="1">
        <v>16.171883344650201</v>
      </c>
      <c r="B413">
        <v>8.7313216078934506</v>
      </c>
      <c r="C413">
        <v>7.3184056778725202</v>
      </c>
      <c r="D413">
        <v>7.6578827376790404</v>
      </c>
      <c r="E413">
        <v>-0.53632723878687405</v>
      </c>
      <c r="F413">
        <v>1.0138465280937999E-3</v>
      </c>
      <c r="G413">
        <v>0.105722222580793</v>
      </c>
      <c r="H413">
        <v>0.73059788778483803</v>
      </c>
      <c r="I413">
        <v>6.2282294119407004E-3</v>
      </c>
    </row>
    <row r="414" spans="1:9" x14ac:dyDescent="0.25">
      <c r="A414" s="1">
        <v>18.614838719367899</v>
      </c>
      <c r="B414">
        <v>9.3722161822860404</v>
      </c>
      <c r="C414">
        <v>7.25781887099921</v>
      </c>
      <c r="D414">
        <v>7.4029661197955097</v>
      </c>
      <c r="E414">
        <v>-0.60189810231942598</v>
      </c>
      <c r="F414">
        <v>8.4465829080052003E-4</v>
      </c>
      <c r="G414">
        <v>0.10548238157449499</v>
      </c>
      <c r="H414">
        <v>0.70795319540920598</v>
      </c>
      <c r="I414">
        <v>7.9314856530945498E-4</v>
      </c>
    </row>
    <row r="415" spans="1:9" x14ac:dyDescent="0.25">
      <c r="A415" s="1">
        <v>21.2777170538902</v>
      </c>
      <c r="B415">
        <v>9.9449413638470006</v>
      </c>
      <c r="C415">
        <v>7.0504768327422598</v>
      </c>
      <c r="D415">
        <v>7.0022450521166801</v>
      </c>
      <c r="E415">
        <v>-0.656617462942376</v>
      </c>
      <c r="F415">
        <v>9.0492288621656504E-4</v>
      </c>
      <c r="G415">
        <v>0.102622549170981</v>
      </c>
      <c r="H415">
        <v>0.685143632193983</v>
      </c>
      <c r="I415">
        <v>-4.4168672707778304E-3</v>
      </c>
    </row>
    <row r="416" spans="1:9" x14ac:dyDescent="0.25">
      <c r="A416" s="1">
        <v>24.180224537849401</v>
      </c>
      <c r="B416">
        <v>10.456361732808899</v>
      </c>
      <c r="C416">
        <v>6.7416335374093199</v>
      </c>
      <c r="D416">
        <v>6.5165755513193497</v>
      </c>
      <c r="E416">
        <v>-0.701120709116545</v>
      </c>
      <c r="F416">
        <v>1.2207032200207101E-3</v>
      </c>
      <c r="G416">
        <v>9.7875163599198206E-2</v>
      </c>
      <c r="H416">
        <v>0.66222443738226799</v>
      </c>
      <c r="I416">
        <v>-8.5961730155683595E-3</v>
      </c>
    </row>
    <row r="417" spans="1:9" x14ac:dyDescent="0.25">
      <c r="A417" s="1">
        <v>27.343950867652801</v>
      </c>
      <c r="B417">
        <v>10.913953575017</v>
      </c>
      <c r="C417">
        <v>6.3694496715220499</v>
      </c>
      <c r="D417">
        <v>5.9914081436846303</v>
      </c>
      <c r="E417">
        <v>-0.73646784485584005</v>
      </c>
      <c r="F417">
        <v>1.7134466533506199E-3</v>
      </c>
      <c r="G417">
        <v>9.1968672043508407E-2</v>
      </c>
      <c r="H417">
        <v>0.639505565335312</v>
      </c>
      <c r="I417">
        <v>-1.15671138371953E-2</v>
      </c>
    </row>
    <row r="418" spans="1:9" x14ac:dyDescent="0.25">
      <c r="A418" s="1">
        <v>30.7923927903175</v>
      </c>
      <c r="B418">
        <v>11.325093401959199</v>
      </c>
      <c r="C418">
        <v>5.9640283587116203</v>
      </c>
      <c r="D418">
        <v>5.4589493315489497</v>
      </c>
      <c r="E418">
        <v>-0.76382785128656305</v>
      </c>
      <c r="F418">
        <v>2.3022873527137199E-3</v>
      </c>
      <c r="G418">
        <v>8.5426321554620002E-2</v>
      </c>
      <c r="H418">
        <v>0.61738784790194301</v>
      </c>
      <c r="I418">
        <v>-1.3410964575093101E-2</v>
      </c>
    </row>
    <row r="419" spans="1:9" x14ac:dyDescent="0.25">
      <c r="A419" s="1">
        <v>34.551213085651298</v>
      </c>
      <c r="B419">
        <v>11.6967147478741</v>
      </c>
      <c r="C419">
        <v>5.5479427927432496</v>
      </c>
      <c r="D419">
        <v>4.9409538929013701</v>
      </c>
      <c r="E419">
        <v>-0.78433240531792803</v>
      </c>
      <c r="F419">
        <v>2.9239268048116499E-3</v>
      </c>
      <c r="G419">
        <v>7.8567550598985403E-2</v>
      </c>
      <c r="H419">
        <v>0.596264964740715</v>
      </c>
      <c r="I419">
        <v>-1.42861246599076E-2</v>
      </c>
    </row>
    <row r="420" spans="1:9" x14ac:dyDescent="0.25">
      <c r="A420" s="1">
        <v>38.6483111977577</v>
      </c>
      <c r="B420">
        <v>12.0351253371593</v>
      </c>
      <c r="C420">
        <v>5.1371770495468798</v>
      </c>
      <c r="D420">
        <v>4.45124434239258</v>
      </c>
      <c r="E420">
        <v>-0.798983770993281</v>
      </c>
      <c r="F420">
        <v>3.4129591350303902E-3</v>
      </c>
      <c r="G420">
        <v>7.1599803362121101E-2</v>
      </c>
      <c r="H420">
        <v>0.57654396023782495</v>
      </c>
      <c r="I420">
        <v>-1.4369255451253501E-2</v>
      </c>
    </row>
    <row r="421" spans="1:9" x14ac:dyDescent="0.25">
      <c r="A421" s="1">
        <v>43.1141293048858</v>
      </c>
      <c r="B421">
        <v>12.3459386527446</v>
      </c>
      <c r="C421">
        <v>4.7423647658305397</v>
      </c>
      <c r="D421">
        <v>3.9980427448720999</v>
      </c>
      <c r="E421">
        <v>-0.80861968968824305</v>
      </c>
      <c r="F421">
        <v>3.7209052397732798E-3</v>
      </c>
      <c r="G421">
        <v>6.4672571958631297E-2</v>
      </c>
      <c r="H421">
        <v>0.55851098772901997</v>
      </c>
      <c r="I421">
        <v>-1.383677936358E-2</v>
      </c>
    </row>
    <row r="422" spans="1:9" x14ac:dyDescent="0.25">
      <c r="A422" s="1">
        <v>47.981887757778097</v>
      </c>
      <c r="B422">
        <v>12.6339783407655</v>
      </c>
      <c r="C422">
        <v>4.3701580091396002</v>
      </c>
      <c r="D422">
        <v>3.5856292263427401</v>
      </c>
      <c r="E422">
        <v>-0.81394051713904203</v>
      </c>
      <c r="F422">
        <v>3.8376255042665498E-3</v>
      </c>
      <c r="G422">
        <v>5.7904298755215099E-2</v>
      </c>
      <c r="H422">
        <v>0.54219582242611297</v>
      </c>
      <c r="I422">
        <v>-1.2871005253057699E-2</v>
      </c>
    </row>
    <row r="423" spans="1:9" x14ac:dyDescent="0.25">
      <c r="A423" s="1">
        <v>53.287820518016801</v>
      </c>
      <c r="B423">
        <v>12.903282911973101</v>
      </c>
      <c r="C423">
        <v>4.0239042733751802</v>
      </c>
      <c r="D423">
        <v>3.21490409008452</v>
      </c>
      <c r="E423">
        <v>-0.81546946507664497</v>
      </c>
      <c r="F423">
        <v>3.7059866425855101E-3</v>
      </c>
      <c r="G423">
        <v>5.1429020172225497E-2</v>
      </c>
      <c r="H423">
        <v>0.52765227960393402</v>
      </c>
      <c r="I423">
        <v>-1.1648221367597101E-2</v>
      </c>
    </row>
    <row r="424" spans="1:9" x14ac:dyDescent="0.25">
      <c r="A424" s="1">
        <v>59.071175158023799</v>
      </c>
      <c r="B424">
        <v>13.157245216881901</v>
      </c>
      <c r="C424">
        <v>3.7048073286750598</v>
      </c>
      <c r="D424">
        <v>2.8846711699488798</v>
      </c>
      <c r="E424">
        <v>-0.81359747539915706</v>
      </c>
      <c r="F424">
        <v>3.2482504922428301E-3</v>
      </c>
      <c r="G424">
        <v>4.5376217595854099E-2</v>
      </c>
      <c r="H424">
        <v>0.51480165160701696</v>
      </c>
      <c r="I424">
        <v>-1.0334300110947599E-2</v>
      </c>
    </row>
    <row r="425" spans="1:9" x14ac:dyDescent="0.25">
      <c r="A425" s="1">
        <v>65.375131070613804</v>
      </c>
      <c r="B425">
        <v>13.398650579424601</v>
      </c>
      <c r="C425">
        <v>3.4130357085812499</v>
      </c>
      <c r="D425">
        <v>2.5928620146041301</v>
      </c>
      <c r="E425">
        <v>-0.80860592064278602</v>
      </c>
      <c r="F425">
        <v>2.5689267503261099E-3</v>
      </c>
      <c r="G425">
        <v>3.9824578135353603E-2</v>
      </c>
      <c r="H425">
        <v>0.50323799089726196</v>
      </c>
      <c r="I425">
        <v>-9.04523388638921E-3</v>
      </c>
    </row>
    <row r="426" spans="1:9" x14ac:dyDescent="0.25">
      <c r="A426" s="1">
        <v>72.246375679969702</v>
      </c>
      <c r="B426">
        <v>13.6297927650531</v>
      </c>
      <c r="C426">
        <v>3.1473650412326499</v>
      </c>
      <c r="D426">
        <v>2.3364588133904798</v>
      </c>
      <c r="E426">
        <v>-0.80068902617178295</v>
      </c>
      <c r="F426">
        <v>1.78224330548145E-3</v>
      </c>
      <c r="G426">
        <v>3.4825822950053598E-2</v>
      </c>
      <c r="H426">
        <v>0.49271599969029001</v>
      </c>
      <c r="I426">
        <v>-7.8548186595379307E-3</v>
      </c>
    </row>
    <row r="427" spans="1:9" x14ac:dyDescent="0.25">
      <c r="A427" s="1">
        <v>79.736069738864799</v>
      </c>
      <c r="B427">
        <v>13.852627037735701</v>
      </c>
      <c r="C427">
        <v>2.9056384406538198</v>
      </c>
      <c r="D427">
        <v>2.11143893057517</v>
      </c>
      <c r="E427">
        <v>-0.78993770329058799</v>
      </c>
      <c r="F427">
        <v>1.09430315339931E-3</v>
      </c>
      <c r="G427">
        <v>3.03597388179619E-2</v>
      </c>
      <c r="H427">
        <v>0.48283172778814498</v>
      </c>
      <c r="I427">
        <v>-6.78039341355967E-3</v>
      </c>
    </row>
    <row r="428" spans="1:9" x14ac:dyDescent="0.25">
      <c r="A428" s="1">
        <v>87.899753153324099</v>
      </c>
      <c r="B428">
        <v>14.068752399077701</v>
      </c>
      <c r="C428">
        <v>2.6852337652848099</v>
      </c>
      <c r="D428">
        <v>1.91367490872591</v>
      </c>
      <c r="E428">
        <v>-0.77638519379559601</v>
      </c>
      <c r="F428">
        <v>6.87732088078851E-4</v>
      </c>
      <c r="G428">
        <v>2.6399704954475502E-2</v>
      </c>
      <c r="H428">
        <v>0.47346189022776097</v>
      </c>
      <c r="I428">
        <v>-5.8352139930697901E-3</v>
      </c>
    </row>
    <row r="429" spans="1:9" x14ac:dyDescent="0.25">
      <c r="A429" s="1">
        <v>96.798263192176805</v>
      </c>
      <c r="B429">
        <v>14.2794246477914</v>
      </c>
      <c r="C429">
        <v>2.4836107081887802</v>
      </c>
      <c r="D429">
        <v>1.73952145799833</v>
      </c>
      <c r="E429">
        <v>-0.76010808420398002</v>
      </c>
      <c r="F429">
        <v>7.5712909185317095E-4</v>
      </c>
      <c r="G429">
        <v>2.290909109023E-2</v>
      </c>
      <c r="H429">
        <v>0.46435553028617199</v>
      </c>
      <c r="I429">
        <v>-5.0129339952540396E-3</v>
      </c>
    </row>
    <row r="430" spans="1:9" x14ac:dyDescent="0.25">
      <c r="A430" s="1">
        <v>106.497616767883</v>
      </c>
      <c r="B430">
        <v>14.485770032638801</v>
      </c>
      <c r="C430">
        <v>2.2978132082072902</v>
      </c>
      <c r="D430">
        <v>1.5852449592939299</v>
      </c>
      <c r="E430">
        <v>-0.74100823901477397</v>
      </c>
      <c r="F430">
        <v>9.7944662544215198E-4</v>
      </c>
      <c r="G430">
        <v>1.9855905844314299E-2</v>
      </c>
      <c r="H430">
        <v>0.45557045808579</v>
      </c>
      <c r="I430">
        <v>-4.3068433010866299E-3</v>
      </c>
    </row>
    <row r="431" spans="1:9" x14ac:dyDescent="0.25">
      <c r="A431" s="1">
        <v>117.06990510225199</v>
      </c>
      <c r="B431">
        <v>14.689073605546801</v>
      </c>
      <c r="C431">
        <v>2.1244667316774102</v>
      </c>
      <c r="D431">
        <v>1.4468108903855801</v>
      </c>
      <c r="E431">
        <v>-0.71884484728809905</v>
      </c>
      <c r="F431">
        <v>1.0533221889384001E-3</v>
      </c>
      <c r="G431">
        <v>1.7189920006364202E-2</v>
      </c>
      <c r="H431">
        <v>0.44752645428968602</v>
      </c>
      <c r="I431">
        <v>-3.6998622581154001E-3</v>
      </c>
    </row>
    <row r="432" spans="1:9" x14ac:dyDescent="0.25">
      <c r="A432" s="1">
        <v>128.593670427799</v>
      </c>
      <c r="B432">
        <v>14.890451167700901</v>
      </c>
      <c r="C432">
        <v>1.96179652597739</v>
      </c>
      <c r="D432">
        <v>1.3217429104379499</v>
      </c>
      <c r="E432">
        <v>-0.693650282141827</v>
      </c>
      <c r="F432">
        <v>1.20969010532073E-3</v>
      </c>
      <c r="G432">
        <v>1.48348303651796E-2</v>
      </c>
      <c r="H432">
        <v>0.439868250344221</v>
      </c>
      <c r="I432">
        <v>-3.1624099963735801E-3</v>
      </c>
    </row>
    <row r="433" spans="1:9" x14ac:dyDescent="0.25">
      <c r="A433" s="1">
        <v>141.15461230278001</v>
      </c>
      <c r="B433">
        <v>15.090593826295899</v>
      </c>
      <c r="C433">
        <v>1.8078655999145199</v>
      </c>
      <c r="D433">
        <v>1.2076468850964199</v>
      </c>
      <c r="E433">
        <v>-0.66521715149633798</v>
      </c>
      <c r="F433">
        <v>1.6749320418397E-3</v>
      </c>
      <c r="G433">
        <v>1.2740502232568099E-2</v>
      </c>
      <c r="H433">
        <v>0.43237689791161299</v>
      </c>
      <c r="I433">
        <v>-2.6836763982248601E-3</v>
      </c>
    </row>
    <row r="434" spans="1:9" x14ac:dyDescent="0.25">
      <c r="A434" s="1">
        <v>154.84601140022201</v>
      </c>
      <c r="B434">
        <v>15.289489566618601</v>
      </c>
      <c r="C434">
        <v>1.66093353707255</v>
      </c>
      <c r="D434">
        <v>1.1023148697281799</v>
      </c>
      <c r="E434">
        <v>-0.633406147890888</v>
      </c>
      <c r="F434">
        <v>1.8214177792060401E-3</v>
      </c>
      <c r="G434">
        <v>1.08711399659539E-2</v>
      </c>
      <c r="H434">
        <v>0.424629664423536</v>
      </c>
      <c r="I434">
        <v>-2.25748451996844E-3</v>
      </c>
    </row>
    <row r="435" spans="1:9" x14ac:dyDescent="0.25">
      <c r="A435" s="1">
        <v>169.76969480514501</v>
      </c>
      <c r="B435">
        <v>15.4871242844407</v>
      </c>
      <c r="C435">
        <v>1.51865445927828</v>
      </c>
      <c r="D435">
        <v>1.00363109740118</v>
      </c>
      <c r="E435">
        <v>-0.59779411654488401</v>
      </c>
      <c r="F435">
        <v>1.6613279935354401E-3</v>
      </c>
      <c r="G435">
        <v>9.2040082637771595E-3</v>
      </c>
      <c r="H435">
        <v>0.416890008466896</v>
      </c>
      <c r="I435">
        <v>-1.8779027436255E-3</v>
      </c>
    </row>
    <row r="436" spans="1:9" x14ac:dyDescent="0.25">
      <c r="A436" s="1">
        <v>186.03645980358101</v>
      </c>
      <c r="B436">
        <v>15.6840046872292</v>
      </c>
      <c r="C436">
        <v>1.3795822400101001</v>
      </c>
      <c r="D436">
        <v>0.909558593446403</v>
      </c>
      <c r="E436">
        <v>-0.55788059437276805</v>
      </c>
      <c r="F436">
        <v>1.5819200721046099E-3</v>
      </c>
      <c r="G436">
        <v>7.7197512814137998E-3</v>
      </c>
      <c r="H436">
        <v>0.409531780827803</v>
      </c>
      <c r="I436">
        <v>-1.54381507817241E-3</v>
      </c>
    </row>
    <row r="437" spans="1:9" x14ac:dyDescent="0.25">
      <c r="A437" s="1">
        <v>203.76720398664401</v>
      </c>
      <c r="B437">
        <v>15.8797734678631</v>
      </c>
      <c r="C437">
        <v>1.24263514572728</v>
      </c>
      <c r="D437">
        <v>0.818158520359896</v>
      </c>
      <c r="E437">
        <v>-0.51353554296020798</v>
      </c>
      <c r="F437">
        <v>1.3207479637405201E-3</v>
      </c>
      <c r="G437">
        <v>6.3939251441873799E-3</v>
      </c>
      <c r="H437">
        <v>0.40193510719516301</v>
      </c>
      <c r="I437">
        <v>-1.2481896470991299E-3</v>
      </c>
    </row>
    <row r="438" spans="1:9" x14ac:dyDescent="0.25">
      <c r="A438" s="1">
        <v>223.09376105666101</v>
      </c>
      <c r="B438">
        <v>16.073078709924701</v>
      </c>
      <c r="C438">
        <v>1.10662621672596</v>
      </c>
      <c r="D438">
        <v>0.72819096273890005</v>
      </c>
      <c r="E438">
        <v>-0.46424684552356998</v>
      </c>
      <c r="F438">
        <v>8.7701039806511603E-4</v>
      </c>
      <c r="G438">
        <v>5.1938826442927896E-3</v>
      </c>
      <c r="H438">
        <v>0.394205121288627</v>
      </c>
      <c r="I438">
        <v>-9.7737547209048709E-4</v>
      </c>
    </row>
    <row r="439" spans="1:9" x14ac:dyDescent="0.25">
      <c r="A439" s="1">
        <v>244.15970131754801</v>
      </c>
      <c r="B439">
        <v>16.2628453577776</v>
      </c>
      <c r="C439">
        <v>0.97084698263268099</v>
      </c>
      <c r="D439">
        <v>0.63814150485082299</v>
      </c>
      <c r="E439">
        <v>-0.40946833397841098</v>
      </c>
      <c r="F439">
        <v>2.2280419537212999E-4</v>
      </c>
      <c r="G439">
        <v>4.1207971230545898E-3</v>
      </c>
      <c r="H439">
        <v>0.387125669751684</v>
      </c>
      <c r="I439">
        <v>-7.3859831011333099E-4</v>
      </c>
    </row>
    <row r="440" spans="1:9" x14ac:dyDescent="0.25">
      <c r="A440" s="1">
        <v>267.12157949805197</v>
      </c>
      <c r="B440">
        <v>16.446194059299401</v>
      </c>
      <c r="C440">
        <v>0.83597951786292202</v>
      </c>
      <c r="D440">
        <v>0.548098916493582</v>
      </c>
      <c r="E440">
        <v>-0.348906624764176</v>
      </c>
      <c r="F440">
        <v>-6.89174482761568E-4</v>
      </c>
      <c r="G440">
        <v>3.1827624248648499E-3</v>
      </c>
      <c r="H440">
        <v>0.38115220330267602</v>
      </c>
      <c r="I440">
        <v>-5.3765393721060103E-4</v>
      </c>
    </row>
    <row r="441" spans="1:9" x14ac:dyDescent="0.25">
      <c r="A441" s="1">
        <v>292.15002954006098</v>
      </c>
      <c r="B441">
        <v>16.618328332053601</v>
      </c>
      <c r="C441">
        <v>0.701476016871454</v>
      </c>
      <c r="D441">
        <v>0.45665572395597698</v>
      </c>
      <c r="E441">
        <v>-0.28194720343125501</v>
      </c>
      <c r="F441">
        <v>-1.22209842636593E-3</v>
      </c>
      <c r="G441">
        <v>2.3826385505908102E-3</v>
      </c>
      <c r="H441">
        <v>0.37741072939513598</v>
      </c>
      <c r="I441">
        <v>-3.7636257215786702E-4</v>
      </c>
    </row>
    <row r="442" spans="1:9" x14ac:dyDescent="0.25">
      <c r="A442" s="1">
        <v>319.43101242184599</v>
      </c>
      <c r="B442">
        <v>16.7698004324828</v>
      </c>
      <c r="C442">
        <v>0.57390038184264602</v>
      </c>
      <c r="D442">
        <v>0.36693517215761401</v>
      </c>
      <c r="E442">
        <v>-0.208342379950374</v>
      </c>
      <c r="F442">
        <v>-1.1273249022744601E-3</v>
      </c>
      <c r="G442">
        <v>1.73785178380155E-3</v>
      </c>
      <c r="H442">
        <v>0.37664238175209303</v>
      </c>
      <c r="I442">
        <v>-2.59273267565959E-4</v>
      </c>
    </row>
    <row r="443" spans="1:9" x14ac:dyDescent="0.25">
      <c r="A443" s="1">
        <v>349.16732590645501</v>
      </c>
      <c r="B443">
        <v>16.8882487879042</v>
      </c>
      <c r="C443">
        <v>0.46734100826095698</v>
      </c>
      <c r="D443">
        <v>0.289124240833182</v>
      </c>
      <c r="E443">
        <v>-0.12664166426047799</v>
      </c>
      <c r="F443">
        <v>-1.20894772365646E-3</v>
      </c>
      <c r="G443">
        <v>1.2929247078623399E-3</v>
      </c>
      <c r="H443">
        <v>0.38048209386480802</v>
      </c>
      <c r="I443">
        <v>-1.8952905314790201E-4</v>
      </c>
    </row>
    <row r="444" spans="1:9" x14ac:dyDescent="0.25">
      <c r="A444" s="1">
        <v>379.83785875141598</v>
      </c>
      <c r="B444">
        <v>16.951390806855699</v>
      </c>
      <c r="C444">
        <v>0.40669296848784298</v>
      </c>
      <c r="D444">
        <v>0.243168921458087</v>
      </c>
      <c r="E444">
        <v>-4.1801349187557499E-2</v>
      </c>
      <c r="F444">
        <v>-1.8727640975452801E-3</v>
      </c>
      <c r="G444">
        <v>1.06128844118307E-3</v>
      </c>
      <c r="H444">
        <v>0.400804617406533</v>
      </c>
      <c r="I444">
        <v>-1.4992590787172899E-4</v>
      </c>
    </row>
    <row r="445" spans="1:9" x14ac:dyDescent="0.25">
      <c r="A445" s="1" t="s">
        <v>529</v>
      </c>
      <c r="B445" s="1" t="s">
        <v>614</v>
      </c>
      <c r="C445" s="1" t="s">
        <v>615</v>
      </c>
      <c r="D445" s="1" t="s">
        <v>616</v>
      </c>
      <c r="E445" s="1" t="s">
        <v>617</v>
      </c>
      <c r="F445" s="1" t="s">
        <v>618</v>
      </c>
      <c r="G445" s="1" t="s">
        <v>400</v>
      </c>
      <c r="H445" s="1" t="s">
        <v>619</v>
      </c>
      <c r="I445" s="1" t="s">
        <v>613</v>
      </c>
    </row>
    <row r="446" spans="1:9" x14ac:dyDescent="0.25">
      <c r="A446" s="1">
        <v>-141.555516719818</v>
      </c>
      <c r="B446">
        <v>-63.567467267728702</v>
      </c>
      <c r="C446">
        <v>9.8562220952776405E-2</v>
      </c>
      <c r="D446">
        <v>0</v>
      </c>
      <c r="E446">
        <v>0</v>
      </c>
      <c r="F446">
        <v>0</v>
      </c>
      <c r="G446" s="1">
        <v>8.0744048421266194E-5</v>
      </c>
      <c r="H446">
        <v>2.2019072545396999E-2</v>
      </c>
      <c r="I446">
        <v>0</v>
      </c>
    </row>
    <row r="447" spans="1:9" x14ac:dyDescent="0.25">
      <c r="A447" s="1">
        <v>-128.95890593528699</v>
      </c>
      <c r="B447">
        <v>-57.911011365718501</v>
      </c>
      <c r="C447">
        <v>0.100490127357791</v>
      </c>
      <c r="D447">
        <v>0</v>
      </c>
      <c r="E447">
        <v>0</v>
      </c>
      <c r="F447">
        <v>0</v>
      </c>
      <c r="G447" s="1">
        <v>9.8467626007092698E-5</v>
      </c>
      <c r="H447">
        <v>0.15657856519962199</v>
      </c>
      <c r="I447">
        <v>0</v>
      </c>
    </row>
    <row r="448" spans="1:9" x14ac:dyDescent="0.25">
      <c r="A448" s="1">
        <v>-117.402367591857</v>
      </c>
      <c r="B448">
        <v>-52.721566318637997</v>
      </c>
      <c r="C448">
        <v>0.104225468371807</v>
      </c>
      <c r="D448">
        <v>0</v>
      </c>
      <c r="E448">
        <v>0</v>
      </c>
      <c r="F448">
        <v>0</v>
      </c>
      <c r="G448">
        <v>1.3232803349580899E-4</v>
      </c>
      <c r="H448">
        <v>0.31069657505884402</v>
      </c>
      <c r="I448">
        <v>0</v>
      </c>
    </row>
    <row r="449" spans="1:9" x14ac:dyDescent="0.25">
      <c r="A449" s="1">
        <v>-106.80001378059301</v>
      </c>
      <c r="B449">
        <v>-47.960584747708701</v>
      </c>
      <c r="C449">
        <v>0.10987058198230901</v>
      </c>
      <c r="D449">
        <v>0</v>
      </c>
      <c r="E449">
        <v>0</v>
      </c>
      <c r="F449">
        <v>0</v>
      </c>
      <c r="G449">
        <v>1.8276567645116799E-4</v>
      </c>
      <c r="H449">
        <v>0.430120476144082</v>
      </c>
      <c r="I449">
        <v>0</v>
      </c>
    </row>
    <row r="450" spans="1:9" x14ac:dyDescent="0.25">
      <c r="A450" s="1">
        <v>-97.073161005973802</v>
      </c>
      <c r="B450">
        <v>-43.592686979390102</v>
      </c>
      <c r="C450">
        <v>0.117626871494677</v>
      </c>
      <c r="D450">
        <v>0</v>
      </c>
      <c r="E450">
        <v>0</v>
      </c>
      <c r="F450">
        <v>0</v>
      </c>
      <c r="G450">
        <v>2.5220370010572399E-4</v>
      </c>
      <c r="H450">
        <v>0.51205561097260599</v>
      </c>
      <c r="I450">
        <v>0</v>
      </c>
    </row>
    <row r="451" spans="1:9" x14ac:dyDescent="0.25">
      <c r="A451" s="1">
        <v>-88.149435520172105</v>
      </c>
      <c r="B451">
        <v>-39.5854228406319</v>
      </c>
      <c r="C451">
        <v>0.12773798090043301</v>
      </c>
      <c r="D451">
        <v>0</v>
      </c>
      <c r="E451">
        <v>0</v>
      </c>
      <c r="F451">
        <v>0</v>
      </c>
      <c r="G451">
        <v>3.4501203337882201E-4</v>
      </c>
      <c r="H451">
        <v>0.566416746487026</v>
      </c>
      <c r="I451">
        <v>0</v>
      </c>
    </row>
    <row r="452" spans="1:9" x14ac:dyDescent="0.25">
      <c r="A452" s="1">
        <v>-79.962490797042804</v>
      </c>
      <c r="B452">
        <v>-35.909016738004397</v>
      </c>
      <c r="C452">
        <v>0.14046674312260701</v>
      </c>
      <c r="D452">
        <v>0</v>
      </c>
      <c r="E452">
        <v>0</v>
      </c>
      <c r="F452">
        <v>0</v>
      </c>
      <c r="G452">
        <v>4.6766380306877402E-4</v>
      </c>
      <c r="H452">
        <v>0.602433152134903</v>
      </c>
      <c r="I452">
        <v>0</v>
      </c>
    </row>
    <row r="453" spans="1:9" x14ac:dyDescent="0.25">
      <c r="A453" s="1">
        <v>-72.451583743095298</v>
      </c>
      <c r="B453">
        <v>-32.536150348103902</v>
      </c>
      <c r="C453">
        <v>0.156088634676569</v>
      </c>
      <c r="D453">
        <v>0</v>
      </c>
      <c r="E453">
        <v>0</v>
      </c>
      <c r="F453">
        <v>0</v>
      </c>
      <c r="G453">
        <v>6.2905307642893097E-4</v>
      </c>
      <c r="H453">
        <v>0.62658210428983896</v>
      </c>
      <c r="I453">
        <v>0</v>
      </c>
    </row>
    <row r="454" spans="1:9" x14ac:dyDescent="0.25">
      <c r="A454" s="1">
        <v>-65.560821294784503</v>
      </c>
      <c r="B454">
        <v>-29.441766203112302</v>
      </c>
      <c r="C454">
        <v>0.174892303231517</v>
      </c>
      <c r="D454">
        <v>0</v>
      </c>
      <c r="E454">
        <v>0</v>
      </c>
      <c r="F454">
        <v>0</v>
      </c>
      <c r="G454">
        <v>8.40965413766525E-4</v>
      </c>
      <c r="H454">
        <v>0.64308981722668901</v>
      </c>
      <c r="I454">
        <v>0</v>
      </c>
    </row>
    <row r="455" spans="1:9" x14ac:dyDescent="0.25">
      <c r="A455" s="1">
        <v>-59.238972067832897</v>
      </c>
      <c r="B455">
        <v>-26.602869186840302</v>
      </c>
      <c r="C455">
        <v>0.19718277768802001</v>
      </c>
      <c r="D455">
        <v>0</v>
      </c>
      <c r="E455">
        <v>0</v>
      </c>
      <c r="F455">
        <v>0</v>
      </c>
      <c r="G455">
        <v>1.1186924770328201E-3</v>
      </c>
      <c r="H455">
        <v>0.654656096258044</v>
      </c>
      <c r="I455">
        <v>0</v>
      </c>
    </row>
    <row r="456" spans="1:9" x14ac:dyDescent="0.25">
      <c r="A456" s="1">
        <v>-53.439136743545497</v>
      </c>
      <c r="B456">
        <v>-23.998369821078501</v>
      </c>
      <c r="C456">
        <v>0.22328471402245001</v>
      </c>
      <c r="D456">
        <v>0</v>
      </c>
      <c r="E456">
        <v>0</v>
      </c>
      <c r="F456">
        <v>0</v>
      </c>
      <c r="G456">
        <v>1.48177651937544E-3</v>
      </c>
      <c r="H456">
        <v>0.66299524020771095</v>
      </c>
      <c r="I456">
        <v>0</v>
      </c>
    </row>
    <row r="457" spans="1:9" x14ac:dyDescent="0.25">
      <c r="A457" s="1">
        <v>-48.118183016777003</v>
      </c>
      <c r="B457">
        <v>-21.6089108358243</v>
      </c>
      <c r="C457">
        <v>0.25354453235809998</v>
      </c>
      <c r="D457">
        <v>0</v>
      </c>
      <c r="E457">
        <v>0</v>
      </c>
      <c r="F457">
        <v>0</v>
      </c>
      <c r="G457">
        <v>1.95486345441509E-3</v>
      </c>
      <c r="H457">
        <v>0.66919484573764698</v>
      </c>
      <c r="I457">
        <v>0</v>
      </c>
    </row>
    <row r="458" spans="1:9" x14ac:dyDescent="0.25">
      <c r="A458" s="1">
        <v>-43.236604332923797</v>
      </c>
      <c r="B458">
        <v>-19.4167397088477</v>
      </c>
      <c r="C458">
        <v>0.28833102500215801</v>
      </c>
      <c r="D458">
        <v>0</v>
      </c>
      <c r="E458">
        <v>0</v>
      </c>
      <c r="F458">
        <v>0</v>
      </c>
      <c r="G458">
        <v>2.5686337562092301E-3</v>
      </c>
      <c r="H458">
        <v>0.67394798011792201</v>
      </c>
      <c r="I458">
        <v>0</v>
      </c>
    </row>
    <row r="459" spans="1:9" x14ac:dyDescent="0.25">
      <c r="A459" s="1">
        <v>-38.758049011230398</v>
      </c>
      <c r="B459">
        <v>-17.405568668163699</v>
      </c>
      <c r="C459">
        <v>0.32803380058639903</v>
      </c>
      <c r="D459">
        <v>0</v>
      </c>
      <c r="E459">
        <v>0</v>
      </c>
      <c r="F459">
        <v>0</v>
      </c>
      <c r="G459">
        <v>3.36076231344577E-3</v>
      </c>
      <c r="H459">
        <v>0.67770271498773704</v>
      </c>
      <c r="I459">
        <v>0</v>
      </c>
    </row>
    <row r="460" spans="1:9" x14ac:dyDescent="0.25">
      <c r="A460" s="1">
        <v>-34.649320244789102</v>
      </c>
      <c r="B460">
        <v>-15.5604535001436</v>
      </c>
      <c r="C460">
        <v>0.37305968949566498</v>
      </c>
      <c r="D460">
        <v>0</v>
      </c>
      <c r="E460">
        <v>0</v>
      </c>
      <c r="F460">
        <v>0</v>
      </c>
      <c r="G460">
        <v>4.37683944754781E-3</v>
      </c>
      <c r="H460">
        <v>0.68075710476473394</v>
      </c>
      <c r="I460">
        <v>0</v>
      </c>
    </row>
    <row r="461" spans="1:9" x14ac:dyDescent="0.25">
      <c r="A461" s="1">
        <v>-30.879811048507602</v>
      </c>
      <c r="B461">
        <v>-13.8676828052023</v>
      </c>
      <c r="C461">
        <v>0.42382669926502903</v>
      </c>
      <c r="D461">
        <v>0</v>
      </c>
      <c r="E461">
        <v>0</v>
      </c>
      <c r="F461">
        <v>0</v>
      </c>
      <c r="G461">
        <v>5.6711514354447004E-3</v>
      </c>
      <c r="H461">
        <v>0.68331868154161701</v>
      </c>
      <c r="I461">
        <v>0</v>
      </c>
    </row>
    <row r="462" spans="1:9" x14ac:dyDescent="0.25">
      <c r="A462" s="1">
        <v>-27.4215984344482</v>
      </c>
      <c r="B462">
        <v>-12.3146777010628</v>
      </c>
      <c r="C462">
        <v>0.48075548417873298</v>
      </c>
      <c r="D462">
        <v>0</v>
      </c>
      <c r="E462">
        <v>0</v>
      </c>
      <c r="F462">
        <v>0</v>
      </c>
      <c r="G462">
        <v>7.3071965403641997E-3</v>
      </c>
      <c r="H462">
        <v>0.68554003613888104</v>
      </c>
      <c r="I462">
        <v>0</v>
      </c>
    </row>
    <row r="463" spans="1:9" x14ac:dyDescent="0.25">
      <c r="A463" s="1">
        <v>-24.248878359794599</v>
      </c>
      <c r="B463">
        <v>-10.8898998840818</v>
      </c>
      <c r="C463">
        <v>0.54425854367221904</v>
      </c>
      <c r="D463">
        <v>0</v>
      </c>
      <c r="E463">
        <v>0</v>
      </c>
      <c r="F463">
        <v>0</v>
      </c>
      <c r="G463">
        <v>9.3577980988811694E-3</v>
      </c>
      <c r="H463">
        <v>0.68753922606419404</v>
      </c>
      <c r="I463">
        <v>0</v>
      </c>
    </row>
    <row r="464" spans="1:9" x14ac:dyDescent="0.25">
      <c r="A464" s="1">
        <v>-21.3381540775299</v>
      </c>
      <c r="B464">
        <v>-9.5827617800900597</v>
      </c>
      <c r="C464">
        <v>0.61472702435312998</v>
      </c>
      <c r="D464">
        <v>0</v>
      </c>
      <c r="E464">
        <v>0</v>
      </c>
      <c r="F464">
        <v>0</v>
      </c>
      <c r="G464">
        <v>1.1904669345403801E-2</v>
      </c>
      <c r="H464">
        <v>0.68941068446853904</v>
      </c>
      <c r="I464">
        <v>0</v>
      </c>
    </row>
    <row r="465" spans="1:9" x14ac:dyDescent="0.25">
      <c r="A465" s="1">
        <v>-18.6677181720733</v>
      </c>
      <c r="B465">
        <v>-8.3835492323258691</v>
      </c>
      <c r="C465">
        <v>0.69251548331012602</v>
      </c>
      <c r="D465">
        <v>0</v>
      </c>
      <c r="E465">
        <v>0</v>
      </c>
      <c r="F465">
        <v>0</v>
      </c>
      <c r="G465">
        <v>1.5037324607692399E-2</v>
      </c>
      <c r="H465">
        <v>0.69123089977985597</v>
      </c>
      <c r="I465">
        <v>0</v>
      </c>
    </row>
    <row r="466" spans="1:9" x14ac:dyDescent="0.25">
      <c r="A466" s="1">
        <v>-16.2178409099578</v>
      </c>
      <c r="B466">
        <v>-7.2833535921865904</v>
      </c>
      <c r="C466">
        <v>0.77792557841526699</v>
      </c>
      <c r="D466">
        <v>0</v>
      </c>
      <c r="E466">
        <v>0</v>
      </c>
      <c r="F466">
        <v>0</v>
      </c>
      <c r="G466">
        <v>1.8851310465015501E-2</v>
      </c>
      <c r="H466">
        <v>0.69306204078895595</v>
      </c>
      <c r="I466">
        <v>0</v>
      </c>
    </row>
    <row r="467" spans="1:9" x14ac:dyDescent="0.25">
      <c r="A467" s="1">
        <v>-13.9702051877975</v>
      </c>
      <c r="B467">
        <v>-6.2739975414344897</v>
      </c>
      <c r="C467">
        <v>0.87118829218429905</v>
      </c>
      <c r="D467">
        <v>0</v>
      </c>
      <c r="E467">
        <v>0</v>
      </c>
      <c r="F467">
        <v>0</v>
      </c>
      <c r="G467">
        <v>2.3445825047110701E-2</v>
      </c>
      <c r="H467">
        <v>0.69495447321055004</v>
      </c>
      <c r="I467">
        <v>0</v>
      </c>
    </row>
    <row r="468" spans="1:9" x14ac:dyDescent="0.25">
      <c r="A468" s="1">
        <v>-11.908189058303799</v>
      </c>
      <c r="B468">
        <v>-5.3479812871770802</v>
      </c>
      <c r="C468">
        <v>0.97244733594398602</v>
      </c>
      <c r="D468">
        <v>0</v>
      </c>
      <c r="E468">
        <v>0</v>
      </c>
      <c r="F468">
        <v>0</v>
      </c>
      <c r="G468">
        <v>2.89209281285366E-2</v>
      </c>
      <c r="H468">
        <v>0.69694974806510701</v>
      </c>
      <c r="I468">
        <v>0</v>
      </c>
    </row>
    <row r="469" spans="1:9" x14ac:dyDescent="0.25">
      <c r="A469" s="1">
        <v>-10.016394853591899</v>
      </c>
      <c r="B469">
        <v>-4.49842457781675</v>
      </c>
      <c r="C469">
        <v>1.0817438416071601</v>
      </c>
      <c r="D469">
        <v>0</v>
      </c>
      <c r="E469">
        <v>0</v>
      </c>
      <c r="F469">
        <v>0</v>
      </c>
      <c r="G469">
        <v>3.5374671331919599E-2</v>
      </c>
      <c r="H469">
        <v>0.69908372320436096</v>
      </c>
      <c r="I469">
        <v>0</v>
      </c>
    </row>
    <row r="470" spans="1:9" x14ac:dyDescent="0.25">
      <c r="A470" s="1">
        <v>-8.2808375358581507</v>
      </c>
      <c r="B470">
        <v>-3.7190134204098801</v>
      </c>
      <c r="C470">
        <v>1.19900427246706</v>
      </c>
      <c r="D470">
        <v>0</v>
      </c>
      <c r="E470">
        <v>0</v>
      </c>
      <c r="F470">
        <v>0</v>
      </c>
      <c r="G470">
        <v>4.2900752195237098E-2</v>
      </c>
      <c r="H470">
        <v>0.70139098969156299</v>
      </c>
      <c r="I470">
        <v>0</v>
      </c>
    </row>
    <row r="471" spans="1:9" x14ac:dyDescent="0.25">
      <c r="A471" s="1">
        <v>-6.6885209083557102</v>
      </c>
      <c r="B471">
        <v>-3.0039562008449701</v>
      </c>
      <c r="C471">
        <v>1.32403169607838</v>
      </c>
      <c r="D471">
        <v>0</v>
      </c>
      <c r="E471">
        <v>0</v>
      </c>
      <c r="F471">
        <v>0</v>
      </c>
      <c r="G471">
        <v>5.1586444493659601E-2</v>
      </c>
      <c r="H471">
        <v>0.70390554259571403</v>
      </c>
      <c r="I471">
        <v>0</v>
      </c>
    </row>
    <row r="472" spans="1:9" x14ac:dyDescent="0.25">
      <c r="A472" s="1">
        <v>-5.2277201414108196</v>
      </c>
      <c r="B472">
        <v>-2.34794032639953</v>
      </c>
      <c r="C472">
        <v>1.4565037813120101</v>
      </c>
      <c r="D472">
        <v>0</v>
      </c>
      <c r="E472">
        <v>0</v>
      </c>
      <c r="F472">
        <v>0</v>
      </c>
      <c r="G472">
        <v>6.15095061657484E-2</v>
      </c>
      <c r="H472">
        <v>0.70665153711458495</v>
      </c>
      <c r="I472">
        <v>0</v>
      </c>
    </row>
    <row r="473" spans="1:9" x14ac:dyDescent="0.25">
      <c r="A473" s="1">
        <v>-3.88755798339843</v>
      </c>
      <c r="B473">
        <v>-1.74608991305473</v>
      </c>
      <c r="C473">
        <v>1.5959808816700201</v>
      </c>
      <c r="D473">
        <v>0</v>
      </c>
      <c r="E473">
        <v>0</v>
      </c>
      <c r="F473">
        <v>0</v>
      </c>
      <c r="G473">
        <v>7.2733148989209406E-2</v>
      </c>
      <c r="H473">
        <v>0.70962958343445104</v>
      </c>
      <c r="I473">
        <v>0</v>
      </c>
    </row>
    <row r="474" spans="1:9" x14ac:dyDescent="0.25">
      <c r="A474" s="1">
        <v>-2.6580518484115601</v>
      </c>
      <c r="B474">
        <v>-1.1939331368183601</v>
      </c>
      <c r="C474">
        <v>1.74190531994812</v>
      </c>
      <c r="D474">
        <v>0</v>
      </c>
      <c r="E474">
        <v>0</v>
      </c>
      <c r="F474">
        <v>0</v>
      </c>
      <c r="G474">
        <v>8.5425562752789105E-2</v>
      </c>
      <c r="H474">
        <v>0.71323771173895201</v>
      </c>
      <c r="I474">
        <v>0</v>
      </c>
    </row>
    <row r="475" spans="1:9" x14ac:dyDescent="0.25">
      <c r="A475" s="1">
        <v>-1.5300196409225399</v>
      </c>
      <c r="B475">
        <v>-0.68736671196426302</v>
      </c>
      <c r="C475">
        <v>1.8935968100748399</v>
      </c>
      <c r="D475">
        <v>0</v>
      </c>
      <c r="E475">
        <v>0</v>
      </c>
      <c r="F475">
        <v>0</v>
      </c>
      <c r="G475">
        <v>9.9531235613540006E-2</v>
      </c>
      <c r="H475">
        <v>0.71703636174960905</v>
      </c>
      <c r="I475">
        <v>0</v>
      </c>
    </row>
    <row r="476" spans="1:9" x14ac:dyDescent="0.25">
      <c r="A476" s="1">
        <v>-0.49517393112182601</v>
      </c>
      <c r="B476">
        <v>-0.22262663781772399</v>
      </c>
      <c r="C476">
        <v>2.0503633344418501</v>
      </c>
      <c r="D476">
        <v>0</v>
      </c>
      <c r="E476">
        <v>0</v>
      </c>
      <c r="F476">
        <v>0</v>
      </c>
      <c r="G476">
        <v>0.11571575502093701</v>
      </c>
      <c r="H476">
        <v>0.72255619742267796</v>
      </c>
      <c r="I476">
        <v>0</v>
      </c>
    </row>
    <row r="477" spans="1:9" x14ac:dyDescent="0.25">
      <c r="A477" s="1">
        <v>0.49376130104064903</v>
      </c>
      <c r="B477">
        <v>0.35033034934998403</v>
      </c>
      <c r="C477">
        <v>2.2696251864378301</v>
      </c>
      <c r="D477">
        <v>0.23158821704549701</v>
      </c>
      <c r="E477">
        <v>-3.43268419942407E-4</v>
      </c>
      <c r="F477">
        <v>1.04216443917461E-4</v>
      </c>
      <c r="G477">
        <v>3.1768680051620098E-2</v>
      </c>
      <c r="H477">
        <v>0.880921582732759</v>
      </c>
      <c r="I477" s="1">
        <v>6.08359314599069E-7</v>
      </c>
    </row>
    <row r="478" spans="1:9" x14ac:dyDescent="0.25">
      <c r="A478" s="1">
        <v>1.5257111191749499</v>
      </c>
      <c r="B478">
        <v>1.0818244147590399</v>
      </c>
      <c r="C478">
        <v>2.5956443101665698</v>
      </c>
      <c r="D478">
        <v>0.79865369991136004</v>
      </c>
      <c r="E478">
        <v>-3.2993668014376699E-3</v>
      </c>
      <c r="F478">
        <v>3.5398154558545698E-4</v>
      </c>
      <c r="G478">
        <v>4.6944677883113503E-2</v>
      </c>
      <c r="H478">
        <v>0.900591438449032</v>
      </c>
      <c r="I478" s="1">
        <v>2.2291822905748101E-5</v>
      </c>
    </row>
    <row r="479" spans="1:9" x14ac:dyDescent="0.25">
      <c r="A479" s="1">
        <v>2.6505178213119498</v>
      </c>
      <c r="B479">
        <v>1.87334193014061</v>
      </c>
      <c r="C479">
        <v>3.02392695473337</v>
      </c>
      <c r="D479">
        <v>1.55143708239935</v>
      </c>
      <c r="E479">
        <v>-1.3456626625161099E-2</v>
      </c>
      <c r="F479">
        <v>6.7242580630512395E-4</v>
      </c>
      <c r="G479">
        <v>6.4173642883902093E-2</v>
      </c>
      <c r="H479">
        <v>0.90831178725702799</v>
      </c>
      <c r="I479">
        <v>1.25983850165017E-4</v>
      </c>
    </row>
    <row r="480" spans="1:9" x14ac:dyDescent="0.25">
      <c r="A480" s="1">
        <v>3.8765159249305698</v>
      </c>
      <c r="B480">
        <v>2.72120538116536</v>
      </c>
      <c r="C480">
        <v>3.5844966982266602</v>
      </c>
      <c r="D480">
        <v>2.5159736406904698</v>
      </c>
      <c r="E480">
        <v>-3.52423537400944E-2</v>
      </c>
      <c r="F480">
        <v>1.0483877759385599E-3</v>
      </c>
      <c r="G480">
        <v>7.9435176221035797E-2</v>
      </c>
      <c r="H480">
        <v>0.90485459606558205</v>
      </c>
      <c r="I480">
        <v>3.1845866991116E-4</v>
      </c>
    </row>
    <row r="481" spans="1:9" x14ac:dyDescent="0.25">
      <c r="A481" s="1">
        <v>5.2129346132278398</v>
      </c>
      <c r="B481">
        <v>3.6151958298763298</v>
      </c>
      <c r="C481">
        <v>4.2849541458687401</v>
      </c>
      <c r="D481">
        <v>3.6679578153270098</v>
      </c>
      <c r="E481">
        <v>-7.3408683894420498E-2</v>
      </c>
      <c r="F481">
        <v>1.4375551480119799E-3</v>
      </c>
      <c r="G481">
        <v>8.9325294754811504E-2</v>
      </c>
      <c r="H481">
        <v>0.89072883361194999</v>
      </c>
      <c r="I481">
        <v>6.4619589553069204E-4</v>
      </c>
    </row>
    <row r="482" spans="1:9" x14ac:dyDescent="0.25">
      <c r="A482" s="1">
        <v>6.6695916652679399</v>
      </c>
      <c r="B482">
        <v>4.5371962968619597</v>
      </c>
      <c r="C482">
        <v>5.08728082025572</v>
      </c>
      <c r="D482">
        <v>4.9058545698929503</v>
      </c>
      <c r="E482">
        <v>-0.13043679596807001</v>
      </c>
      <c r="F482">
        <v>1.76381778322072E-3</v>
      </c>
      <c r="G482">
        <v>9.3560608267532E-2</v>
      </c>
      <c r="H482">
        <v>0.86694009305590103</v>
      </c>
      <c r="I482">
        <v>1.48627919862944E-3</v>
      </c>
    </row>
    <row r="483" spans="1:9" x14ac:dyDescent="0.25">
      <c r="A483" s="1">
        <v>8.2573878765106201</v>
      </c>
      <c r="B483">
        <v>5.4622106285193999</v>
      </c>
      <c r="C483">
        <v>5.9025453768747802</v>
      </c>
      <c r="D483">
        <v>6.0655824568311099</v>
      </c>
      <c r="E483">
        <v>-0.204561305913739</v>
      </c>
      <c r="F483">
        <v>1.94277715702736E-3</v>
      </c>
      <c r="G483">
        <v>9.5148923222369605E-2</v>
      </c>
      <c r="H483">
        <v>0.83704751919450804</v>
      </c>
      <c r="I483">
        <v>3.8025932972037099E-3</v>
      </c>
    </row>
    <row r="484" spans="1:9" x14ac:dyDescent="0.25">
      <c r="A484" s="1">
        <v>9.9880245327949506</v>
      </c>
      <c r="B484">
        <v>6.3624493157385</v>
      </c>
      <c r="C484">
        <v>6.6185491138266803</v>
      </c>
      <c r="D484">
        <v>6.9837170119253003</v>
      </c>
      <c r="E484">
        <v>-0.28969606077259102</v>
      </c>
      <c r="F484">
        <v>1.91469502913324E-3</v>
      </c>
      <c r="G484">
        <v>9.7576532653902301E-2</v>
      </c>
      <c r="H484">
        <v>0.80672878508242396</v>
      </c>
      <c r="I484">
        <v>7.7718706244244897E-3</v>
      </c>
    </row>
    <row r="485" spans="1:9" x14ac:dyDescent="0.25">
      <c r="A485" s="1">
        <v>11.874474287032999</v>
      </c>
      <c r="B485">
        <v>7.2133882394885704</v>
      </c>
      <c r="C485">
        <v>7.1455377622067804</v>
      </c>
      <c r="D485">
        <v>7.5644925861769101</v>
      </c>
      <c r="E485">
        <v>-0.37782155854711802</v>
      </c>
      <c r="F485">
        <v>1.6890905680239201E-3</v>
      </c>
      <c r="G485">
        <v>0.101673727225411</v>
      </c>
      <c r="H485">
        <v>0.77953149858649295</v>
      </c>
      <c r="I485">
        <v>1.0786157734350399E-2</v>
      </c>
    </row>
    <row r="486" spans="1:9" x14ac:dyDescent="0.25">
      <c r="A486" s="1">
        <v>13.9306750893592</v>
      </c>
      <c r="B486">
        <v>7.9986014585835896</v>
      </c>
      <c r="C486">
        <v>7.4447251442832698</v>
      </c>
      <c r="D486">
        <v>7.7999395099904296</v>
      </c>
      <c r="E486">
        <v>-0.46195845169673599</v>
      </c>
      <c r="F486">
        <v>1.3509869134666101E-3</v>
      </c>
      <c r="G486">
        <v>0.10574791816640899</v>
      </c>
      <c r="H486">
        <v>0.75521056465548198</v>
      </c>
      <c r="I486">
        <v>1.01353454905624E-2</v>
      </c>
    </row>
    <row r="487" spans="1:9" x14ac:dyDescent="0.25">
      <c r="A487" s="1">
        <v>16.171883344650201</v>
      </c>
      <c r="B487">
        <v>8.7109370844332492</v>
      </c>
      <c r="C487">
        <v>7.52497229015529</v>
      </c>
      <c r="D487">
        <v>7.7433436099414399</v>
      </c>
      <c r="E487">
        <v>-0.53764991264864803</v>
      </c>
      <c r="F487">
        <v>1.02801981586778E-3</v>
      </c>
      <c r="G487">
        <v>0.107853984848364</v>
      </c>
      <c r="H487">
        <v>0.73216051990448805</v>
      </c>
      <c r="I487">
        <v>6.0569482453429503E-3</v>
      </c>
    </row>
    <row r="488" spans="1:9" x14ac:dyDescent="0.25">
      <c r="A488" s="1">
        <v>18.614838719367899</v>
      </c>
      <c r="B488">
        <v>9.3506108594952195</v>
      </c>
      <c r="C488">
        <v>7.4226664213304501</v>
      </c>
      <c r="D488">
        <v>7.47114970972076</v>
      </c>
      <c r="E488">
        <v>-0.60287649181332204</v>
      </c>
      <c r="F488">
        <v>8.4576560054549599E-4</v>
      </c>
      <c r="G488">
        <v>0.10717245190367899</v>
      </c>
      <c r="H488">
        <v>0.70928269660030796</v>
      </c>
      <c r="I488">
        <v>5.5251508356390596E-4</v>
      </c>
    </row>
    <row r="489" spans="1:9" x14ac:dyDescent="0.25">
      <c r="A489" s="1">
        <v>21.2777170538902</v>
      </c>
      <c r="B489">
        <v>9.9223262827737297</v>
      </c>
      <c r="C489">
        <v>7.1829808220334899</v>
      </c>
      <c r="D489">
        <v>7.0569760025478896</v>
      </c>
      <c r="E489">
        <v>-0.65731289194684095</v>
      </c>
      <c r="F489">
        <v>8.9173574710694201E-4</v>
      </c>
      <c r="G489">
        <v>0.103956383401064</v>
      </c>
      <c r="H489">
        <v>0.68623336540581203</v>
      </c>
      <c r="I489">
        <v>-4.6783752559859601E-3</v>
      </c>
    </row>
    <row r="490" spans="1:9" x14ac:dyDescent="0.25">
      <c r="A490" s="1">
        <v>24.180224537849401</v>
      </c>
      <c r="B490">
        <v>10.432880547631999</v>
      </c>
      <c r="C490">
        <v>6.8489502031566696</v>
      </c>
      <c r="D490">
        <v>6.5608136393145902</v>
      </c>
      <c r="E490">
        <v>-0.70158479770667803</v>
      </c>
      <c r="F490">
        <v>1.1936244328402399E-3</v>
      </c>
      <c r="G490">
        <v>9.8931523183951806E-2</v>
      </c>
      <c r="H490">
        <v>0.66310472028995604</v>
      </c>
      <c r="I490">
        <v>-8.8488404539502508E-3</v>
      </c>
    </row>
    <row r="491" spans="1:9" x14ac:dyDescent="0.25">
      <c r="A491" s="1">
        <v>27.343950867652801</v>
      </c>
      <c r="B491">
        <v>10.8897097167452</v>
      </c>
      <c r="C491">
        <v>6.4569812433907101</v>
      </c>
      <c r="D491">
        <v>6.02739376755859</v>
      </c>
      <c r="E491">
        <v>-0.73674225949413097</v>
      </c>
      <c r="F491">
        <v>1.6763448388597299E-3</v>
      </c>
      <c r="G491">
        <v>9.28119061132818E-2</v>
      </c>
      <c r="H491">
        <v>0.64021546522513095</v>
      </c>
      <c r="I491">
        <v>-1.1796468259030799E-2</v>
      </c>
    </row>
    <row r="492" spans="1:9" x14ac:dyDescent="0.25">
      <c r="A492" s="1">
        <v>30.7923927903175</v>
      </c>
      <c r="B492">
        <v>11.3001647050386</v>
      </c>
      <c r="C492">
        <v>6.0358453938635099</v>
      </c>
      <c r="D492">
        <v>5.4883825936127399</v>
      </c>
      <c r="E492">
        <v>-0.76394552380677805</v>
      </c>
      <c r="F492">
        <v>2.25964616161029E-3</v>
      </c>
      <c r="G492">
        <v>8.6105635608087705E-2</v>
      </c>
      <c r="H492">
        <v>0.61796550503616399</v>
      </c>
      <c r="I492">
        <v>-1.3611831881475999E-2</v>
      </c>
    </row>
    <row r="493" spans="1:9" x14ac:dyDescent="0.25">
      <c r="A493" s="1">
        <v>34.551213085651298</v>
      </c>
      <c r="B493">
        <v>11.6711612858703</v>
      </c>
      <c r="C493">
        <v>5.6071344051331096</v>
      </c>
      <c r="D493">
        <v>4.9651207422540198</v>
      </c>
      <c r="E493">
        <v>-0.78431952560220597</v>
      </c>
      <c r="F493">
        <v>2.8778931447550802E-3</v>
      </c>
      <c r="G493">
        <v>7.9119065999214699E-2</v>
      </c>
      <c r="H493">
        <v>0.59674257192476399</v>
      </c>
      <c r="I493">
        <v>-1.4458002266690501E-2</v>
      </c>
    </row>
    <row r="494" spans="1:9" x14ac:dyDescent="0.25">
      <c r="A494" s="1">
        <v>38.6483111977577</v>
      </c>
      <c r="B494">
        <v>12.0089951689248</v>
      </c>
      <c r="C494">
        <v>5.1861238827559797</v>
      </c>
      <c r="D494">
        <v>4.4711274851750797</v>
      </c>
      <c r="E494">
        <v>-0.79886095729990203</v>
      </c>
      <c r="F494">
        <v>3.3657429459642801E-3</v>
      </c>
      <c r="G494">
        <v>7.2048885790396103E-2</v>
      </c>
      <c r="H494">
        <v>0.57694114270642105</v>
      </c>
      <c r="I494">
        <v>-1.45131846631968E-2</v>
      </c>
    </row>
    <row r="495" spans="1:9" x14ac:dyDescent="0.25">
      <c r="A495" s="1">
        <v>43.1141293048858</v>
      </c>
      <c r="B495">
        <v>12.319268344797701</v>
      </c>
      <c r="C495">
        <v>4.78293442330299</v>
      </c>
      <c r="D495">
        <v>4.0144465492178902</v>
      </c>
      <c r="E495">
        <v>-0.80840413903822195</v>
      </c>
      <c r="F495">
        <v>3.6748464156813798E-3</v>
      </c>
      <c r="G495">
        <v>6.5037729859879004E-2</v>
      </c>
      <c r="H495">
        <v>0.55883970771825497</v>
      </c>
      <c r="I495">
        <v>-1.39545036635001E-2</v>
      </c>
    </row>
    <row r="496" spans="1:9" x14ac:dyDescent="0.25">
      <c r="A496" s="1">
        <v>47.981887757778097</v>
      </c>
      <c r="B496">
        <v>12.606797146320901</v>
      </c>
      <c r="C496">
        <v>4.4038283783870904</v>
      </c>
      <c r="D496">
        <v>3.59915888548226</v>
      </c>
      <c r="E496">
        <v>-0.81364744848930404</v>
      </c>
      <c r="F496">
        <v>3.79495344652358E-3</v>
      </c>
      <c r="G496">
        <v>5.8200121775856498E-2</v>
      </c>
      <c r="H496">
        <v>0.54246728253522503</v>
      </c>
      <c r="I496">
        <v>-1.29650981294671E-2</v>
      </c>
    </row>
    <row r="497" spans="1:9" x14ac:dyDescent="0.25">
      <c r="A497" s="1">
        <v>53.287820518016801</v>
      </c>
      <c r="B497">
        <v>12.875612248562801</v>
      </c>
      <c r="C497">
        <v>4.0518582366771598</v>
      </c>
      <c r="D497">
        <v>3.2260767379719399</v>
      </c>
      <c r="E497">
        <v>-0.81511225536468002</v>
      </c>
      <c r="F497">
        <v>3.66983710737617E-3</v>
      </c>
      <c r="G497">
        <v>5.1667302865385498E-2</v>
      </c>
      <c r="H497">
        <v>0.52787609990303397</v>
      </c>
      <c r="I497">
        <v>-1.1721780201502101E-2</v>
      </c>
    </row>
    <row r="498" spans="1:9" x14ac:dyDescent="0.25">
      <c r="A498" s="1">
        <v>59.071175158023799</v>
      </c>
      <c r="B498">
        <v>13.1291028453862</v>
      </c>
      <c r="C498">
        <v>3.7280057275154102</v>
      </c>
      <c r="D498">
        <v>2.8938867534056598</v>
      </c>
      <c r="E498">
        <v>-0.81318802356836095</v>
      </c>
      <c r="F498">
        <v>3.22079714384168E-3</v>
      </c>
      <c r="G498">
        <v>4.5567007878235498E-2</v>
      </c>
      <c r="H498">
        <v>0.51498664357415302</v>
      </c>
      <c r="I498">
        <v>-1.0390656609175901E-2</v>
      </c>
    </row>
    <row r="499" spans="1:9" x14ac:dyDescent="0.25">
      <c r="A499" s="1">
        <v>65.375131070613804</v>
      </c>
      <c r="B499">
        <v>13.370047992177801</v>
      </c>
      <c r="C499">
        <v>3.4322762874677299</v>
      </c>
      <c r="D499">
        <v>2.6004553964855699</v>
      </c>
      <c r="E499">
        <v>-0.80815477525229695</v>
      </c>
      <c r="F499">
        <v>2.5517121028927501E-3</v>
      </c>
      <c r="G499">
        <v>3.9976500641946001E-2</v>
      </c>
      <c r="H499">
        <v>0.50338982617579098</v>
      </c>
      <c r="I499">
        <v>-9.0876863286778308E-3</v>
      </c>
    </row>
    <row r="500" spans="1:9" x14ac:dyDescent="0.25">
      <c r="A500" s="1">
        <v>72.246375679969702</v>
      </c>
      <c r="B500">
        <v>13.6007388424953</v>
      </c>
      <c r="C500">
        <v>3.16331077506644</v>
      </c>
      <c r="D500">
        <v>2.3427140039111598</v>
      </c>
      <c r="E500">
        <v>-0.80020479642489994</v>
      </c>
      <c r="F500">
        <v>1.7751187993341E-3</v>
      </c>
      <c r="G500">
        <v>3.4946516514234097E-2</v>
      </c>
      <c r="H500">
        <v>0.49284126899240999</v>
      </c>
      <c r="I500">
        <v>-7.8866024853968507E-3</v>
      </c>
    </row>
    <row r="501" spans="1:9" x14ac:dyDescent="0.25">
      <c r="A501" s="1">
        <v>79.736069738864799</v>
      </c>
      <c r="B501">
        <v>13.823129093170699</v>
      </c>
      <c r="C501">
        <v>2.9188392809930002</v>
      </c>
      <c r="D501">
        <v>2.1165742503887901</v>
      </c>
      <c r="E501">
        <v>-0.78942853715865002</v>
      </c>
      <c r="F501">
        <v>1.0930679892443001E-3</v>
      </c>
      <c r="G501">
        <v>3.0455324827730501E-2</v>
      </c>
      <c r="H501">
        <v>0.48293353606103701</v>
      </c>
      <c r="I501">
        <v>-6.8040550010899604E-3</v>
      </c>
    </row>
    <row r="502" spans="1:9" x14ac:dyDescent="0.25">
      <c r="A502" s="1">
        <v>87.899753153324099</v>
      </c>
      <c r="B502">
        <v>14.038814089157199</v>
      </c>
      <c r="C502">
        <v>2.6961495311480301</v>
      </c>
      <c r="D502">
        <v>1.9179000843726799</v>
      </c>
      <c r="E502">
        <v>-0.77585903974352199</v>
      </c>
      <c r="F502">
        <v>6.9041126600080703E-4</v>
      </c>
      <c r="G502">
        <v>2.6475164244376501E-2</v>
      </c>
      <c r="H502">
        <v>0.47354249524561598</v>
      </c>
      <c r="I502">
        <v>-5.85276907088158E-3</v>
      </c>
    </row>
    <row r="503" spans="1:9" x14ac:dyDescent="0.25">
      <c r="A503" s="1">
        <v>96.798263192176805</v>
      </c>
      <c r="B503">
        <v>14.2490485844096</v>
      </c>
      <c r="C503">
        <v>2.4926282541579798</v>
      </c>
      <c r="D503">
        <v>1.74296545189528</v>
      </c>
      <c r="E503">
        <v>-0.75957212464069701</v>
      </c>
      <c r="F503">
        <v>7.6644242238915305E-4</v>
      </c>
      <c r="G503">
        <v>2.29686213429003E-2</v>
      </c>
      <c r="H503">
        <v>0.46441727292010099</v>
      </c>
      <c r="I503">
        <v>-5.0260192755716103E-3</v>
      </c>
    </row>
    <row r="504" spans="1:9" x14ac:dyDescent="0.25">
      <c r="A504" s="1">
        <v>106.497616767883</v>
      </c>
      <c r="B504">
        <v>14.4549546486592</v>
      </c>
      <c r="C504">
        <v>2.3052504303184098</v>
      </c>
      <c r="D504">
        <v>1.58809435352645</v>
      </c>
      <c r="E504">
        <v>-0.74046757232687899</v>
      </c>
      <c r="F504">
        <v>9.9388994550564293E-4</v>
      </c>
      <c r="G504">
        <v>1.9903193561660999E-2</v>
      </c>
      <c r="H504">
        <v>0.45562101893046703</v>
      </c>
      <c r="I504">
        <v>-4.3167991619174799E-3</v>
      </c>
    </row>
    <row r="505" spans="1:9" x14ac:dyDescent="0.25">
      <c r="A505" s="1">
        <v>117.06990510225199</v>
      </c>
      <c r="B505">
        <v>14.657823602378899</v>
      </c>
      <c r="C505">
        <v>2.1305853004298299</v>
      </c>
      <c r="D505">
        <v>1.4491034757539101</v>
      </c>
      <c r="E505">
        <v>-0.718304330627764</v>
      </c>
      <c r="F505">
        <v>1.0667857129051099E-3</v>
      </c>
      <c r="G505">
        <v>1.7227735685518799E-2</v>
      </c>
      <c r="H505">
        <v>0.44756668030153102</v>
      </c>
      <c r="I505">
        <v>-3.7075605438606999E-3</v>
      </c>
    </row>
    <row r="506" spans="1:9" x14ac:dyDescent="0.25">
      <c r="A506" s="1">
        <v>128.593670427799</v>
      </c>
      <c r="B506">
        <v>14.858766022965799</v>
      </c>
      <c r="C506">
        <v>1.96681833909916</v>
      </c>
      <c r="D506">
        <v>1.3236127219287499</v>
      </c>
      <c r="E506">
        <v>-0.69311494079500102</v>
      </c>
      <c r="F506">
        <v>1.21518175991455E-3</v>
      </c>
      <c r="G506">
        <v>1.48650772153877E-2</v>
      </c>
      <c r="H506">
        <v>0.43989543539256498</v>
      </c>
      <c r="I506">
        <v>-3.1683274904063499E-3</v>
      </c>
    </row>
    <row r="507" spans="1:9" x14ac:dyDescent="0.25">
      <c r="A507" s="1">
        <v>141.15461230278001</v>
      </c>
      <c r="B507">
        <v>15.058475629508999</v>
      </c>
      <c r="C507">
        <v>1.81198279708891</v>
      </c>
      <c r="D507">
        <v>1.2091456966332399</v>
      </c>
      <c r="E507">
        <v>-0.66469294414552005</v>
      </c>
      <c r="F507">
        <v>1.67578431374177E-3</v>
      </c>
      <c r="G507">
        <v>1.2764827111332699E-2</v>
      </c>
      <c r="H507">
        <v>0.43239336410600898</v>
      </c>
      <c r="I507">
        <v>-2.6882355699746302E-3</v>
      </c>
    </row>
    <row r="508" spans="1:9" x14ac:dyDescent="0.25">
      <c r="A508" s="1">
        <v>154.84601140022201</v>
      </c>
      <c r="B508">
        <v>15.256938840158799</v>
      </c>
      <c r="C508">
        <v>1.6643183715971499</v>
      </c>
      <c r="D508">
        <v>1.1035169102187199</v>
      </c>
      <c r="E508">
        <v>-0.63289762227471702</v>
      </c>
      <c r="F508">
        <v>1.8232227312140301E-3</v>
      </c>
      <c r="G508">
        <v>1.0890840284675201E-2</v>
      </c>
      <c r="H508">
        <v>0.42463745157312099</v>
      </c>
      <c r="I508">
        <v>-2.2610255748048399E-3</v>
      </c>
    </row>
    <row r="509" spans="1:9" x14ac:dyDescent="0.25">
      <c r="A509" s="1">
        <v>169.76969480514501</v>
      </c>
      <c r="B509">
        <v>15.4541452073386</v>
      </c>
      <c r="C509">
        <v>1.5214409854220501</v>
      </c>
      <c r="D509">
        <v>1.0045648570068699</v>
      </c>
      <c r="E509">
        <v>-0.59730603196332599</v>
      </c>
      <c r="F509">
        <v>1.6668420641016901E-3</v>
      </c>
      <c r="G509">
        <v>9.2200983695589402E-3</v>
      </c>
      <c r="H509">
        <v>0.41689497069252002</v>
      </c>
      <c r="I509">
        <v>-1.88072876238588E-3</v>
      </c>
    </row>
    <row r="510" spans="1:9" x14ac:dyDescent="0.25">
      <c r="A510" s="1">
        <v>186.03645980358101</v>
      </c>
      <c r="B510">
        <v>15.6506014385154</v>
      </c>
      <c r="C510">
        <v>1.38189034835726</v>
      </c>
      <c r="D510">
        <v>0.910290010726307</v>
      </c>
      <c r="E510">
        <v>-0.55741833926587903</v>
      </c>
      <c r="F510">
        <v>1.5871846902250099E-3</v>
      </c>
      <c r="G510">
        <v>7.7329085465901101E-3</v>
      </c>
      <c r="H510">
        <v>0.409531562339435</v>
      </c>
      <c r="I510">
        <v>-1.54611153428104E-3</v>
      </c>
    </row>
    <row r="511" spans="1:9" x14ac:dyDescent="0.25">
      <c r="A511" s="1">
        <v>203.76720398664401</v>
      </c>
      <c r="B511">
        <v>15.845952316083499</v>
      </c>
      <c r="C511">
        <v>1.2445905926304599</v>
      </c>
      <c r="D511">
        <v>0.818759547918671</v>
      </c>
      <c r="E511">
        <v>-0.51310447354662503</v>
      </c>
      <c r="F511">
        <v>1.3211874024715499E-3</v>
      </c>
      <c r="G511">
        <v>6.40467866382592E-3</v>
      </c>
      <c r="H511">
        <v>0.40192464660868299</v>
      </c>
      <c r="I511">
        <v>-1.2500420565469E-3</v>
      </c>
    </row>
    <row r="512" spans="1:9" x14ac:dyDescent="0.25">
      <c r="A512" s="1">
        <v>223.09376105666101</v>
      </c>
      <c r="B512">
        <v>16.038845923625502</v>
      </c>
      <c r="C512">
        <v>1.10832349828404</v>
      </c>
      <c r="D512">
        <v>0.72868928167441904</v>
      </c>
      <c r="E512">
        <v>-0.463853327309661</v>
      </c>
      <c r="F512">
        <v>8.7148063760343598E-4</v>
      </c>
      <c r="G512">
        <v>5.20267986921168E-3</v>
      </c>
      <c r="H512">
        <v>0.394182686267607</v>
      </c>
      <c r="I512">
        <v>-9.7884883628616298E-4</v>
      </c>
    </row>
    <row r="513" spans="1:9" x14ac:dyDescent="0.25">
      <c r="A513" s="1">
        <v>244.15970131754801</v>
      </c>
      <c r="B513">
        <v>16.228208250262401</v>
      </c>
      <c r="C513">
        <v>0.97235827641097305</v>
      </c>
      <c r="D513">
        <v>0.63853711343518804</v>
      </c>
      <c r="E513">
        <v>-0.40911789117256298</v>
      </c>
      <c r="F513">
        <v>2.0932663471189301E-4</v>
      </c>
      <c r="G513">
        <v>4.1279739840289703E-3</v>
      </c>
      <c r="H513">
        <v>0.38708014423558801</v>
      </c>
      <c r="I513">
        <v>-7.3974773247057596E-4</v>
      </c>
    </row>
    <row r="514" spans="1:9" x14ac:dyDescent="0.25">
      <c r="A514" s="1">
        <v>267.12157949805197</v>
      </c>
      <c r="B514">
        <v>16.4111630781447</v>
      </c>
      <c r="C514">
        <v>0.837364196883436</v>
      </c>
      <c r="D514">
        <v>0.54847467426651597</v>
      </c>
      <c r="E514">
        <v>-0.348605411976872</v>
      </c>
      <c r="F514">
        <v>-7.1287372544404396E-4</v>
      </c>
      <c r="G514">
        <v>3.18862109151157E-3</v>
      </c>
      <c r="H514">
        <v>0.38108483079272099</v>
      </c>
      <c r="I514">
        <v>-5.3854056394347504E-4</v>
      </c>
    </row>
    <row r="515" spans="1:9" x14ac:dyDescent="0.25">
      <c r="A515" s="1">
        <v>292.15002954006098</v>
      </c>
      <c r="B515">
        <v>16.582932730474099</v>
      </c>
      <c r="C515">
        <v>0.70281198140041601</v>
      </c>
      <c r="D515">
        <v>0.457017450075835</v>
      </c>
      <c r="E515">
        <v>-0.281700337330622</v>
      </c>
      <c r="F515">
        <v>-1.2483771234622399E-3</v>
      </c>
      <c r="G515">
        <v>2.3874040135391599E-3</v>
      </c>
      <c r="H515">
        <v>0.37730881305872299</v>
      </c>
      <c r="I515">
        <v>-3.7702937425603401E-4</v>
      </c>
    </row>
    <row r="516" spans="1:9" x14ac:dyDescent="0.25">
      <c r="A516" s="1">
        <v>319.43101242184599</v>
      </c>
      <c r="B516">
        <v>16.734090358846402</v>
      </c>
      <c r="C516">
        <v>0.57525515975087105</v>
      </c>
      <c r="D516">
        <v>0.36733570905555502</v>
      </c>
      <c r="E516">
        <v>-0.208156755063542</v>
      </c>
      <c r="F516">
        <v>-1.1507085489921799E-3</v>
      </c>
      <c r="G516">
        <v>1.7417688159855301E-3</v>
      </c>
      <c r="H516">
        <v>0.37649081682364399</v>
      </c>
      <c r="I516">
        <v>-2.5978505148627499E-4</v>
      </c>
    </row>
    <row r="517" spans="1:9" x14ac:dyDescent="0.25">
      <c r="A517" s="1">
        <v>349.16732590645501</v>
      </c>
      <c r="B517">
        <v>16.852299464762702</v>
      </c>
      <c r="C517">
        <v>0.46874771968000001</v>
      </c>
      <c r="D517">
        <v>0.289584931362452</v>
      </c>
      <c r="E517">
        <v>-0.12652502252579201</v>
      </c>
      <c r="F517">
        <v>-1.22793039012462E-3</v>
      </c>
      <c r="G517">
        <v>1.2962510741071299E-3</v>
      </c>
      <c r="H517">
        <v>0.38023996891364198</v>
      </c>
      <c r="I517">
        <v>-1.89938355110663E-4</v>
      </c>
    </row>
    <row r="518" spans="1:9" x14ac:dyDescent="0.25">
      <c r="A518" s="1">
        <v>379.83785875141598</v>
      </c>
      <c r="B518">
        <v>16.915319247067501</v>
      </c>
      <c r="C518">
        <v>0.40813333654165102</v>
      </c>
      <c r="D518">
        <v>0.24362774644132501</v>
      </c>
      <c r="E518">
        <v>-4.1759686351094803E-2</v>
      </c>
      <c r="F518">
        <v>-1.88964075201002E-3</v>
      </c>
      <c r="G518">
        <v>1.06428319555695E-3</v>
      </c>
      <c r="H518">
        <v>0.40049291798311498</v>
      </c>
      <c r="I518">
        <v>-1.5027407904054499E-4</v>
      </c>
    </row>
    <row r="519" spans="1:9" x14ac:dyDescent="0.25">
      <c r="A519" s="1" t="s">
        <v>530</v>
      </c>
      <c r="B519" s="1" t="s">
        <v>614</v>
      </c>
      <c r="C519" s="1" t="s">
        <v>615</v>
      </c>
      <c r="D519" s="1" t="s">
        <v>616</v>
      </c>
      <c r="E519" s="1" t="s">
        <v>617</v>
      </c>
      <c r="F519" s="1" t="s">
        <v>618</v>
      </c>
      <c r="G519" s="1" t="s">
        <v>400</v>
      </c>
      <c r="H519" s="1" t="s">
        <v>619</v>
      </c>
      <c r="I519" s="1" t="s">
        <v>613</v>
      </c>
    </row>
    <row r="520" spans="1:9" x14ac:dyDescent="0.25">
      <c r="A520" s="1">
        <v>-141.555516719818</v>
      </c>
      <c r="B520">
        <v>-158.91535451242501</v>
      </c>
      <c r="C520">
        <v>0.12917428047155799</v>
      </c>
      <c r="D520">
        <v>0</v>
      </c>
      <c r="E520">
        <v>0</v>
      </c>
      <c r="F520">
        <v>0</v>
      </c>
      <c r="G520">
        <v>1.12457740318205E-4</v>
      </c>
      <c r="H520">
        <v>2.4165044561101901E-2</v>
      </c>
      <c r="I520">
        <v>0</v>
      </c>
    </row>
    <row r="521" spans="1:9" x14ac:dyDescent="0.25">
      <c r="A521" s="1">
        <v>-128.95890593528699</v>
      </c>
      <c r="B521">
        <v>-144.77425027916101</v>
      </c>
      <c r="C521">
        <v>0.13186141045379099</v>
      </c>
      <c r="D521">
        <v>0</v>
      </c>
      <c r="E521">
        <v>0</v>
      </c>
      <c r="F521">
        <v>0</v>
      </c>
      <c r="G521">
        <v>1.3937509702372999E-4</v>
      </c>
      <c r="H521">
        <v>0.169212684568354</v>
      </c>
      <c r="I521">
        <v>0</v>
      </c>
    </row>
    <row r="522" spans="1:9" x14ac:dyDescent="0.25">
      <c r="A522" s="1">
        <v>-117.402367591857</v>
      </c>
      <c r="B522">
        <v>-131.80070870498</v>
      </c>
      <c r="C522">
        <v>0.13711085294623701</v>
      </c>
      <c r="D522">
        <v>0</v>
      </c>
      <c r="E522">
        <v>0</v>
      </c>
      <c r="F522">
        <v>0</v>
      </c>
      <c r="G522">
        <v>1.90980216729741E-4</v>
      </c>
      <c r="H522">
        <v>0.32985613846508299</v>
      </c>
      <c r="I522">
        <v>0</v>
      </c>
    </row>
    <row r="523" spans="1:9" x14ac:dyDescent="0.25">
      <c r="A523" s="1">
        <v>-106.80001378059301</v>
      </c>
      <c r="B523">
        <v>-119.898352984878</v>
      </c>
      <c r="C523">
        <v>0.145128589415008</v>
      </c>
      <c r="D523">
        <v>0</v>
      </c>
      <c r="E523">
        <v>0</v>
      </c>
      <c r="F523">
        <v>0</v>
      </c>
      <c r="G523">
        <v>2.6830875699204103E-4</v>
      </c>
      <c r="H523">
        <v>0.45020543548319197</v>
      </c>
      <c r="I523">
        <v>0</v>
      </c>
    </row>
    <row r="524" spans="1:9" x14ac:dyDescent="0.25">
      <c r="A524" s="1">
        <v>-97.073161005973802</v>
      </c>
      <c r="B524">
        <v>-108.978721397909</v>
      </c>
      <c r="C524">
        <v>0.15626886398855899</v>
      </c>
      <c r="D524">
        <v>0</v>
      </c>
      <c r="E524">
        <v>0</v>
      </c>
      <c r="F524">
        <v>0</v>
      </c>
      <c r="G524">
        <v>3.75661806577198E-4</v>
      </c>
      <c r="H524">
        <v>0.53045264719458096</v>
      </c>
      <c r="I524">
        <v>0</v>
      </c>
    </row>
    <row r="525" spans="1:9" x14ac:dyDescent="0.25">
      <c r="A525" s="1">
        <v>-88.149435520172105</v>
      </c>
      <c r="B525">
        <v>-98.960682242902806</v>
      </c>
      <c r="C525">
        <v>0.17095270650338101</v>
      </c>
      <c r="D525">
        <v>0</v>
      </c>
      <c r="E525">
        <v>0</v>
      </c>
      <c r="F525">
        <v>0</v>
      </c>
      <c r="G525">
        <v>5.2063526124044299E-4</v>
      </c>
      <c r="H525">
        <v>0.58239692245512398</v>
      </c>
      <c r="I525">
        <v>0</v>
      </c>
    </row>
    <row r="526" spans="1:9" x14ac:dyDescent="0.25">
      <c r="A526" s="1">
        <v>-79.962490797042804</v>
      </c>
      <c r="B526">
        <v>-89.769798625799694</v>
      </c>
      <c r="C526">
        <v>0.189637235578623</v>
      </c>
      <c r="D526">
        <v>0</v>
      </c>
      <c r="E526">
        <v>0</v>
      </c>
      <c r="F526">
        <v>0</v>
      </c>
      <c r="G526">
        <v>7.1446133189994004E-4</v>
      </c>
      <c r="H526">
        <v>0.61602424327974104</v>
      </c>
      <c r="I526">
        <v>0</v>
      </c>
    </row>
    <row r="527" spans="1:9" x14ac:dyDescent="0.25">
      <c r="A527" s="1">
        <v>-72.451583743095298</v>
      </c>
      <c r="B527">
        <v>-81.337781006636902</v>
      </c>
      <c r="C527">
        <v>0.21280902385971101</v>
      </c>
      <c r="D527">
        <v>0</v>
      </c>
      <c r="E527">
        <v>0</v>
      </c>
      <c r="F527">
        <v>0</v>
      </c>
      <c r="G527">
        <v>9.72625410395267E-4</v>
      </c>
      <c r="H527">
        <v>0.63804451026002595</v>
      </c>
      <c r="I527">
        <v>0</v>
      </c>
    </row>
    <row r="528" spans="1:9" x14ac:dyDescent="0.25">
      <c r="A528" s="1">
        <v>-65.560821294784503</v>
      </c>
      <c r="B528">
        <v>-73.601960641684798</v>
      </c>
      <c r="C528">
        <v>0.240987621056104</v>
      </c>
      <c r="D528">
        <v>0</v>
      </c>
      <c r="E528">
        <v>0</v>
      </c>
      <c r="F528">
        <v>0</v>
      </c>
      <c r="G528">
        <v>1.31575409833715E-3</v>
      </c>
      <c r="H528">
        <v>0.65271304367746996</v>
      </c>
      <c r="I528">
        <v>0</v>
      </c>
    </row>
    <row r="529" spans="1:9" x14ac:dyDescent="0.25">
      <c r="A529" s="1">
        <v>-59.238972067832897</v>
      </c>
      <c r="B529">
        <v>-66.504867501350901</v>
      </c>
      <c r="C529">
        <v>0.27473209928046599</v>
      </c>
      <c r="D529">
        <v>0</v>
      </c>
      <c r="E529">
        <v>0</v>
      </c>
      <c r="F529">
        <v>0</v>
      </c>
      <c r="G529">
        <v>1.77076782721883E-3</v>
      </c>
      <c r="H529">
        <v>0.66268940669968601</v>
      </c>
      <c r="I529">
        <v>0</v>
      </c>
    </row>
    <row r="530" spans="1:9" x14ac:dyDescent="0.25">
      <c r="A530" s="1">
        <v>-53.439136743545497</v>
      </c>
      <c r="B530">
        <v>-59.993758039715601</v>
      </c>
      <c r="C530">
        <v>0.31464711553494901</v>
      </c>
      <c r="D530">
        <v>0</v>
      </c>
      <c r="E530">
        <v>0</v>
      </c>
      <c r="F530">
        <v>0</v>
      </c>
      <c r="G530">
        <v>2.37227995407352E-3</v>
      </c>
      <c r="H530">
        <v>0.66963212003822103</v>
      </c>
      <c r="I530">
        <v>0</v>
      </c>
    </row>
    <row r="531" spans="1:9" x14ac:dyDescent="0.25">
      <c r="A531" s="1">
        <v>-48.118183016777003</v>
      </c>
      <c r="B531">
        <v>-54.020251618864798</v>
      </c>
      <c r="C531">
        <v>0.36138677453431001</v>
      </c>
      <c r="D531">
        <v>0</v>
      </c>
      <c r="E531">
        <v>0</v>
      </c>
      <c r="F531">
        <v>0</v>
      </c>
      <c r="G531">
        <v>3.1642163262063099E-3</v>
      </c>
      <c r="H531">
        <v>0.67457906497835296</v>
      </c>
      <c r="I531">
        <v>0</v>
      </c>
    </row>
    <row r="532" spans="1:9" x14ac:dyDescent="0.25">
      <c r="A532" s="1">
        <v>-43.236604332923797</v>
      </c>
      <c r="B532">
        <v>-48.539958575161997</v>
      </c>
      <c r="C532">
        <v>0.41565568382889601</v>
      </c>
      <c r="D532">
        <v>0</v>
      </c>
      <c r="E532">
        <v>0</v>
      </c>
      <c r="F532">
        <v>0</v>
      </c>
      <c r="G532">
        <v>4.2016051142695701E-3</v>
      </c>
      <c r="H532">
        <v>0.67818726242850402</v>
      </c>
      <c r="I532">
        <v>0</v>
      </c>
    </row>
    <row r="533" spans="1:9" x14ac:dyDescent="0.25">
      <c r="A533" s="1">
        <v>-38.758049011230398</v>
      </c>
      <c r="B533">
        <v>-43.512164702432997</v>
      </c>
      <c r="C533">
        <v>0.47820598515354201</v>
      </c>
      <c r="D533">
        <v>0</v>
      </c>
      <c r="E533">
        <v>0</v>
      </c>
      <c r="F533">
        <v>0</v>
      </c>
      <c r="G533">
        <v>5.5524674746038703E-3</v>
      </c>
      <c r="H533">
        <v>0.68088324464335603</v>
      </c>
      <c r="I533">
        <v>0</v>
      </c>
    </row>
    <row r="534" spans="1:9" x14ac:dyDescent="0.25">
      <c r="A534" s="1">
        <v>-34.649320244789102</v>
      </c>
      <c r="B534">
        <v>-38.899501108544698</v>
      </c>
      <c r="C534">
        <v>0.54983105945656296</v>
      </c>
      <c r="D534">
        <v>0</v>
      </c>
      <c r="E534">
        <v>0</v>
      </c>
      <c r="F534">
        <v>0</v>
      </c>
      <c r="G534">
        <v>7.2996898291421497E-3</v>
      </c>
      <c r="H534">
        <v>0.68295651650359601</v>
      </c>
      <c r="I534">
        <v>0</v>
      </c>
    </row>
    <row r="535" spans="1:9" x14ac:dyDescent="0.25">
      <c r="A535" s="1">
        <v>-30.879811048507602</v>
      </c>
      <c r="B535">
        <v>-34.667695563080599</v>
      </c>
      <c r="C535">
        <v>0.63135476106865296</v>
      </c>
      <c r="D535">
        <v>0</v>
      </c>
      <c r="E535">
        <v>0</v>
      </c>
      <c r="F535">
        <v>0</v>
      </c>
      <c r="G535">
        <v>9.5427236601608404E-3</v>
      </c>
      <c r="H535">
        <v>0.68461584980989298</v>
      </c>
      <c r="I535">
        <v>0</v>
      </c>
    </row>
    <row r="536" spans="1:9" x14ac:dyDescent="0.25">
      <c r="A536" s="1">
        <v>-27.4215984344482</v>
      </c>
      <c r="B536">
        <v>-30.7852987708327</v>
      </c>
      <c r="C536">
        <v>0.72361664598114595</v>
      </c>
      <c r="D536">
        <v>0</v>
      </c>
      <c r="E536">
        <v>0</v>
      </c>
      <c r="F536">
        <v>0</v>
      </c>
      <c r="G536">
        <v>1.2398895454498401E-2</v>
      </c>
      <c r="H536">
        <v>0.68602207709529095</v>
      </c>
      <c r="I536">
        <v>0</v>
      </c>
    </row>
    <row r="537" spans="1:9" x14ac:dyDescent="0.25">
      <c r="A537" s="1">
        <v>-24.248878359794599</v>
      </c>
      <c r="B537">
        <v>-27.2234618384194</v>
      </c>
      <c r="C537">
        <v>0.82745247889602003</v>
      </c>
      <c r="D537">
        <v>0</v>
      </c>
      <c r="E537">
        <v>0</v>
      </c>
      <c r="F537">
        <v>0</v>
      </c>
      <c r="G537">
        <v>1.60041208086113E-2</v>
      </c>
      <c r="H537">
        <v>0.68730607235555596</v>
      </c>
      <c r="I537">
        <v>0</v>
      </c>
    </row>
    <row r="538" spans="1:9" x14ac:dyDescent="0.25">
      <c r="A538" s="1">
        <v>-21.3381540775299</v>
      </c>
      <c r="B538">
        <v>-23.955717919933502</v>
      </c>
      <c r="C538">
        <v>0.94367109205406396</v>
      </c>
      <c r="D538">
        <v>0</v>
      </c>
      <c r="E538">
        <v>0</v>
      </c>
      <c r="F538">
        <v>0</v>
      </c>
      <c r="G538">
        <v>2.0512787747975301E-2</v>
      </c>
      <c r="H538">
        <v>0.68857790860824997</v>
      </c>
      <c r="I538">
        <v>0</v>
      </c>
    </row>
    <row r="539" spans="1:9" x14ac:dyDescent="0.25">
      <c r="A539" s="1">
        <v>-18.6677181720733</v>
      </c>
      <c r="B539">
        <v>-20.957784757743401</v>
      </c>
      <c r="C539">
        <v>1.0730270951048799</v>
      </c>
      <c r="D539">
        <v>0</v>
      </c>
      <c r="E539">
        <v>0</v>
      </c>
      <c r="F539">
        <v>0</v>
      </c>
      <c r="G539">
        <v>2.6096673412212099E-2</v>
      </c>
      <c r="H539">
        <v>0.68993131513110395</v>
      </c>
      <c r="I539">
        <v>0</v>
      </c>
    </row>
    <row r="540" spans="1:9" x14ac:dyDescent="0.25">
      <c r="A540" s="1">
        <v>-16.2178409099578</v>
      </c>
      <c r="B540">
        <v>-18.207385506554399</v>
      </c>
      <c r="C540">
        <v>1.21619111706213</v>
      </c>
      <c r="D540">
        <v>0</v>
      </c>
      <c r="E540">
        <v>0</v>
      </c>
      <c r="F540">
        <v>0</v>
      </c>
      <c r="G540">
        <v>3.2942886297314497E-2</v>
      </c>
      <c r="H540">
        <v>0.69144638696664495</v>
      </c>
      <c r="I540">
        <v>0</v>
      </c>
    </row>
    <row r="541" spans="1:9" x14ac:dyDescent="0.25">
      <c r="A541" s="1">
        <v>-13.9702051877975</v>
      </c>
      <c r="B541">
        <v>-15.6840807886131</v>
      </c>
      <c r="C541">
        <v>1.3737186175835101</v>
      </c>
      <c r="D541">
        <v>0</v>
      </c>
      <c r="E541">
        <v>0</v>
      </c>
      <c r="F541">
        <v>0</v>
      </c>
      <c r="G541">
        <v>4.1250977131858199E-2</v>
      </c>
      <c r="H541">
        <v>0.69319139065087998</v>
      </c>
      <c r="I541">
        <v>0</v>
      </c>
    </row>
    <row r="542" spans="1:9" x14ac:dyDescent="0.25">
      <c r="A542" s="1">
        <v>-11.908189058303799</v>
      </c>
      <c r="B542">
        <v>-13.3691208604992</v>
      </c>
      <c r="C542">
        <v>1.54601826904824</v>
      </c>
      <c r="D542">
        <v>0</v>
      </c>
      <c r="E542">
        <v>0</v>
      </c>
      <c r="F542">
        <v>0</v>
      </c>
      <c r="G542">
        <v>5.1229583579697598E-2</v>
      </c>
      <c r="H542">
        <v>0.69522498216010298</v>
      </c>
      <c r="I542">
        <v>0</v>
      </c>
    </row>
    <row r="543" spans="1:9" x14ac:dyDescent="0.25">
      <c r="A543" s="1">
        <v>-10.016394853591899</v>
      </c>
      <c r="B543">
        <v>-11.2453026772163</v>
      </c>
      <c r="C543">
        <v>1.7333242729913201</v>
      </c>
      <c r="D543">
        <v>0</v>
      </c>
      <c r="E543">
        <v>0</v>
      </c>
      <c r="F543">
        <v>0</v>
      </c>
      <c r="G543">
        <v>6.3093145509264995E-2</v>
      </c>
      <c r="H543">
        <v>0.69759838660323503</v>
      </c>
      <c r="I543">
        <v>0</v>
      </c>
    </row>
    <row r="544" spans="1:9" x14ac:dyDescent="0.25">
      <c r="A544" s="1">
        <v>-8.2808375358581507</v>
      </c>
      <c r="B544">
        <v>-9.2968440641918093</v>
      </c>
      <c r="C544">
        <v>1.9356731116310899</v>
      </c>
      <c r="D544">
        <v>0</v>
      </c>
      <c r="E544">
        <v>0</v>
      </c>
      <c r="F544">
        <v>0</v>
      </c>
      <c r="G544">
        <v>7.7059380390710405E-2</v>
      </c>
      <c r="H544">
        <v>0.70035785735350498</v>
      </c>
      <c r="I544">
        <v>0</v>
      </c>
    </row>
    <row r="545" spans="1:9" x14ac:dyDescent="0.25">
      <c r="A545" s="1">
        <v>-6.6885209083557102</v>
      </c>
      <c r="B545">
        <v>-7.5092665738229503</v>
      </c>
      <c r="C545">
        <v>2.1528876673741801</v>
      </c>
      <c r="D545">
        <v>0</v>
      </c>
      <c r="E545">
        <v>0</v>
      </c>
      <c r="F545">
        <v>0</v>
      </c>
      <c r="G545">
        <v>9.3346850582020094E-2</v>
      </c>
      <c r="H545">
        <v>0.70354218192895102</v>
      </c>
      <c r="I545">
        <v>0</v>
      </c>
    </row>
    <row r="546" spans="1:9" x14ac:dyDescent="0.25">
      <c r="A546" s="1">
        <v>-5.2277201414108196</v>
      </c>
      <c r="B546">
        <v>-5.8692859165173799</v>
      </c>
      <c r="C546">
        <v>2.3845702125069002</v>
      </c>
      <c r="D546">
        <v>0</v>
      </c>
      <c r="E546">
        <v>0</v>
      </c>
      <c r="F546">
        <v>0</v>
      </c>
      <c r="G546">
        <v>0.112190966914931</v>
      </c>
      <c r="H546">
        <v>0.70722714935110698</v>
      </c>
      <c r="I546">
        <v>0</v>
      </c>
    </row>
    <row r="547" spans="1:9" x14ac:dyDescent="0.25">
      <c r="A547" s="1">
        <v>-3.88755798339843</v>
      </c>
      <c r="B547">
        <v>-4.36471577769042</v>
      </c>
      <c r="C547">
        <v>2.6300895331181602</v>
      </c>
      <c r="D547">
        <v>0</v>
      </c>
      <c r="E547">
        <v>0</v>
      </c>
      <c r="F547">
        <v>0</v>
      </c>
      <c r="G547">
        <v>0.133829253112344</v>
      </c>
      <c r="H547">
        <v>0.71145729168758598</v>
      </c>
      <c r="I547">
        <v>0</v>
      </c>
    </row>
    <row r="548" spans="1:9" x14ac:dyDescent="0.25">
      <c r="A548" s="1">
        <v>-2.6580518484115601</v>
      </c>
      <c r="B548">
        <v>-2.9843756831985799</v>
      </c>
      <c r="C548">
        <v>2.8886114024818399</v>
      </c>
      <c r="D548">
        <v>0</v>
      </c>
      <c r="E548">
        <v>0</v>
      </c>
      <c r="F548">
        <v>0</v>
      </c>
      <c r="G548">
        <v>0.15839569345553101</v>
      </c>
      <c r="H548">
        <v>0.716059598879488</v>
      </c>
      <c r="I548">
        <v>0</v>
      </c>
    </row>
    <row r="549" spans="1:9" x14ac:dyDescent="0.25">
      <c r="A549" s="1">
        <v>-1.5300196409225399</v>
      </c>
      <c r="B549">
        <v>-1.7180071575370499</v>
      </c>
      <c r="C549">
        <v>3.1591815602201301</v>
      </c>
      <c r="D549">
        <v>0</v>
      </c>
      <c r="E549">
        <v>0</v>
      </c>
      <c r="F549">
        <v>0</v>
      </c>
      <c r="G549">
        <v>0.18575408226170101</v>
      </c>
      <c r="H549">
        <v>0.72054460985826296</v>
      </c>
      <c r="I549">
        <v>0</v>
      </c>
    </row>
    <row r="550" spans="1:9" x14ac:dyDescent="0.25">
      <c r="A550" s="1">
        <v>-0.49517393112182601</v>
      </c>
      <c r="B550">
        <v>-0.55620006842435699</v>
      </c>
      <c r="C550">
        <v>3.44057534833687</v>
      </c>
      <c r="D550">
        <v>0</v>
      </c>
      <c r="E550">
        <v>0</v>
      </c>
      <c r="F550">
        <v>0</v>
      </c>
      <c r="G550">
        <v>0.22397499493381401</v>
      </c>
      <c r="H550">
        <v>0.73482639415351603</v>
      </c>
      <c r="I550">
        <v>0</v>
      </c>
    </row>
    <row r="551" spans="1:9" x14ac:dyDescent="0.25">
      <c r="A551" s="1">
        <v>0.49376130104064903</v>
      </c>
      <c r="B551">
        <v>0.35026929231463499</v>
      </c>
      <c r="C551">
        <v>3.6873857102749001</v>
      </c>
      <c r="D551">
        <v>0.29143476063702201</v>
      </c>
      <c r="E551">
        <v>-4.1931577015325797E-4</v>
      </c>
      <c r="F551">
        <v>1.3187425324505999E-4</v>
      </c>
      <c r="G551">
        <v>1.9834870788724999E-2</v>
      </c>
      <c r="H551">
        <v>0.66638802522334595</v>
      </c>
      <c r="I551" s="1">
        <v>5.6771191710518001E-7</v>
      </c>
    </row>
    <row r="552" spans="1:9" x14ac:dyDescent="0.25">
      <c r="A552" s="1">
        <v>1.5257111191749499</v>
      </c>
      <c r="B552">
        <v>1.0815390613126601</v>
      </c>
      <c r="C552">
        <v>3.9218464836350702</v>
      </c>
      <c r="D552">
        <v>0.95579187071188498</v>
      </c>
      <c r="E552">
        <v>-3.7989553257955699E-3</v>
      </c>
      <c r="F552">
        <v>4.23129579422256E-4</v>
      </c>
      <c r="G552">
        <v>3.8850155984774697E-2</v>
      </c>
      <c r="H552">
        <v>0.81228157059625405</v>
      </c>
      <c r="I552" s="1">
        <v>2.4185228438438101E-5</v>
      </c>
    </row>
    <row r="553" spans="1:9" x14ac:dyDescent="0.25">
      <c r="A553" s="1">
        <v>2.6505178213119498</v>
      </c>
      <c r="B553">
        <v>1.8722419595542401</v>
      </c>
      <c r="C553">
        <v>4.2366059071755</v>
      </c>
      <c r="D553">
        <v>1.7769885158882801</v>
      </c>
      <c r="E553">
        <v>-1.48018707778552E-2</v>
      </c>
      <c r="F553">
        <v>7.6478503703115595E-4</v>
      </c>
      <c r="G553">
        <v>6.1064888895783299E-2</v>
      </c>
      <c r="H553">
        <v>0.86482548437623197</v>
      </c>
      <c r="I553">
        <v>1.3925328122548299E-4</v>
      </c>
    </row>
    <row r="554" spans="1:9" x14ac:dyDescent="0.25">
      <c r="A554" s="1">
        <v>3.8765159249305698</v>
      </c>
      <c r="B554">
        <v>2.7184079079154002</v>
      </c>
      <c r="C554">
        <v>4.6653666834038798</v>
      </c>
      <c r="D554">
        <v>2.7794674085763398</v>
      </c>
      <c r="E554">
        <v>-3.75461269321649E-2</v>
      </c>
      <c r="F554">
        <v>1.1454919621336E-3</v>
      </c>
      <c r="G554">
        <v>8.1408823571402306E-2</v>
      </c>
      <c r="H554">
        <v>0.881595778757717</v>
      </c>
      <c r="I554">
        <v>3.5424539438331398E-4</v>
      </c>
    </row>
    <row r="555" spans="1:9" x14ac:dyDescent="0.25">
      <c r="A555" s="1">
        <v>5.2129346132278398</v>
      </c>
      <c r="B555">
        <v>3.60969171600519</v>
      </c>
      <c r="C555">
        <v>5.22364190996469</v>
      </c>
      <c r="D555">
        <v>3.9404875730179301</v>
      </c>
      <c r="E555">
        <v>-7.6570646227628603E-2</v>
      </c>
      <c r="F555">
        <v>1.52473641972553E-3</v>
      </c>
      <c r="G555">
        <v>9.5117498029168496E-2</v>
      </c>
      <c r="H555">
        <v>0.87861687000903899</v>
      </c>
      <c r="I555">
        <v>7.2891164296285998E-4</v>
      </c>
    </row>
    <row r="556" spans="1:9" x14ac:dyDescent="0.25">
      <c r="A556" s="1">
        <v>6.6695916652679399</v>
      </c>
      <c r="B556">
        <v>4.5280368371131798</v>
      </c>
      <c r="C556">
        <v>5.88303268355972</v>
      </c>
      <c r="D556">
        <v>5.1635818363358803</v>
      </c>
      <c r="E556">
        <v>-0.13424893694427001</v>
      </c>
      <c r="F556">
        <v>1.83511591338345E-3</v>
      </c>
      <c r="G556">
        <v>0.101304297203287</v>
      </c>
      <c r="H556">
        <v>0.862184292642315</v>
      </c>
      <c r="I556">
        <v>1.6686450773694E-3</v>
      </c>
    </row>
    <row r="557" spans="1:9" x14ac:dyDescent="0.25">
      <c r="A557" s="1">
        <v>8.2573878765106201</v>
      </c>
      <c r="B557">
        <v>5.4486229634108998</v>
      </c>
      <c r="C557">
        <v>6.5625181491530196</v>
      </c>
      <c r="D557">
        <v>6.2917195170847799</v>
      </c>
      <c r="E557">
        <v>-0.20885866077580301</v>
      </c>
      <c r="F557">
        <v>2.0020628793512001E-3</v>
      </c>
      <c r="G557">
        <v>0.10318248295488</v>
      </c>
      <c r="H557">
        <v>0.837236152555632</v>
      </c>
      <c r="I557">
        <v>4.1129813555797401E-3</v>
      </c>
    </row>
    <row r="558" spans="1:9" x14ac:dyDescent="0.25">
      <c r="A558" s="1">
        <v>9.9880245327949506</v>
      </c>
      <c r="B558">
        <v>6.3437817776772203</v>
      </c>
      <c r="C558">
        <v>7.15382079951336</v>
      </c>
      <c r="D558">
        <v>7.1682483113810802</v>
      </c>
      <c r="E558">
        <v>-0.29444014881084801</v>
      </c>
      <c r="F558">
        <v>1.96869533564414E-3</v>
      </c>
      <c r="G558">
        <v>0.10489537158927401</v>
      </c>
      <c r="H558">
        <v>0.80948212647020001</v>
      </c>
      <c r="I558">
        <v>8.0914622825043192E-3</v>
      </c>
    </row>
    <row r="559" spans="1:9" x14ac:dyDescent="0.25">
      <c r="A559" s="1">
        <v>11.874474287032999</v>
      </c>
      <c r="B559">
        <v>7.1889029683741699</v>
      </c>
      <c r="C559">
        <v>7.5674490377081698</v>
      </c>
      <c r="D559">
        <v>7.7025382184828404</v>
      </c>
      <c r="E559">
        <v>-0.38305891812989801</v>
      </c>
      <c r="F559">
        <v>1.7400090964352999E-3</v>
      </c>
      <c r="G559">
        <v>0.10786701953126999</v>
      </c>
      <c r="H559">
        <v>0.78294969741730103</v>
      </c>
      <c r="I559">
        <v>1.08994592631678E-2</v>
      </c>
    </row>
    <row r="560" spans="1:9" x14ac:dyDescent="0.25">
      <c r="A560" s="1">
        <v>13.9306750893592</v>
      </c>
      <c r="B560">
        <v>7.9673080241504097</v>
      </c>
      <c r="C560">
        <v>7.7634984702465504</v>
      </c>
      <c r="D560">
        <v>7.89027269933377</v>
      </c>
      <c r="E560">
        <v>-0.46771249919294799</v>
      </c>
      <c r="F560">
        <v>1.3922407335427601E-3</v>
      </c>
      <c r="G560">
        <v>0.110687561680747</v>
      </c>
      <c r="H560">
        <v>0.75834671258571995</v>
      </c>
      <c r="I560">
        <v>9.9311590342482294E-3</v>
      </c>
    </row>
    <row r="561" spans="1:9" x14ac:dyDescent="0.25">
      <c r="A561" s="1">
        <v>16.171883344650201</v>
      </c>
      <c r="B561">
        <v>8.6716188663813298</v>
      </c>
      <c r="C561">
        <v>7.75034942035066</v>
      </c>
      <c r="D561">
        <v>7.78761162339541</v>
      </c>
      <c r="E561">
        <v>-0.54385549795662402</v>
      </c>
      <c r="F561">
        <v>1.0470899571752301E-3</v>
      </c>
      <c r="G561">
        <v>0.111505669882194</v>
      </c>
      <c r="H561">
        <v>0.73472246811569897</v>
      </c>
      <c r="I561">
        <v>5.5993896307046402E-3</v>
      </c>
    </row>
    <row r="562" spans="1:9" x14ac:dyDescent="0.25">
      <c r="A562" s="1">
        <v>18.614838719367899</v>
      </c>
      <c r="B562">
        <v>9.3019942982318806</v>
      </c>
      <c r="C562">
        <v>7.5649436392469198</v>
      </c>
      <c r="D562">
        <v>7.4734015958758802</v>
      </c>
      <c r="E562">
        <v>-0.60939629779382298</v>
      </c>
      <c r="F562">
        <v>8.3038305287341698E-4</v>
      </c>
      <c r="G562">
        <v>0.109562360187389</v>
      </c>
      <c r="H562">
        <v>0.71123079090476904</v>
      </c>
      <c r="I562" s="1">
        <v>4.6974124684184199E-6</v>
      </c>
    </row>
    <row r="563" spans="1:9" x14ac:dyDescent="0.25">
      <c r="A563" s="1">
        <v>21.2777170538902</v>
      </c>
      <c r="B563">
        <v>9.8632673686566807</v>
      </c>
      <c r="C563">
        <v>7.2534307039364201</v>
      </c>
      <c r="D563">
        <v>7.0230181957945703</v>
      </c>
      <c r="E563">
        <v>-0.66398859902631102</v>
      </c>
      <c r="F563">
        <v>8.3126901665363099E-4</v>
      </c>
      <c r="G563">
        <v>0.10517912178976301</v>
      </c>
      <c r="H563">
        <v>0.68760398908392795</v>
      </c>
      <c r="I563">
        <v>-5.1503997353439098E-3</v>
      </c>
    </row>
    <row r="564" spans="1:9" x14ac:dyDescent="0.25">
      <c r="A564" s="1">
        <v>24.180224537849401</v>
      </c>
      <c r="B564">
        <v>10.3624985499504</v>
      </c>
      <c r="C564">
        <v>6.8596035831828699</v>
      </c>
      <c r="D564">
        <v>6.4974551316591604</v>
      </c>
      <c r="E564">
        <v>-0.70827436155923595</v>
      </c>
      <c r="F564">
        <v>1.08594173354555E-3</v>
      </c>
      <c r="G564">
        <v>9.9142391095213001E-2</v>
      </c>
      <c r="H564">
        <v>0.66397529179499604</v>
      </c>
      <c r="I564">
        <v>-9.1313311383371693E-3</v>
      </c>
    </row>
    <row r="565" spans="1:9" x14ac:dyDescent="0.25">
      <c r="A565" s="1">
        <v>27.343950867652801</v>
      </c>
      <c r="B565">
        <v>10.8074336754354</v>
      </c>
      <c r="C565">
        <v>6.42012132678739</v>
      </c>
      <c r="D565">
        <v>5.9418165390384097</v>
      </c>
      <c r="E565">
        <v>-0.74332934405602102</v>
      </c>
      <c r="F565">
        <v>1.52798987443095E-3</v>
      </c>
      <c r="G565">
        <v>9.2198497284316006E-2</v>
      </c>
      <c r="H565">
        <v>0.64068327834805705</v>
      </c>
      <c r="I565">
        <v>-1.1837603043981799E-2</v>
      </c>
    </row>
    <row r="566" spans="1:9" x14ac:dyDescent="0.25">
      <c r="A566" s="1">
        <v>30.7923927903175</v>
      </c>
      <c r="B566">
        <v>11.205743355882399</v>
      </c>
      <c r="C566">
        <v>5.9634623835909704</v>
      </c>
      <c r="D566">
        <v>5.3876048723682004</v>
      </c>
      <c r="E566">
        <v>-0.77034117422326798</v>
      </c>
      <c r="F566">
        <v>2.06656709799406E-3</v>
      </c>
      <c r="G566">
        <v>8.4865433786799005E-2</v>
      </c>
      <c r="H566">
        <v>0.61814393219455199</v>
      </c>
      <c r="I566">
        <v>-1.34103071922013E-2</v>
      </c>
    </row>
    <row r="567" spans="1:9" x14ac:dyDescent="0.25">
      <c r="A567" s="1">
        <v>34.551213085651298</v>
      </c>
      <c r="B567">
        <v>11.564628061113</v>
      </c>
      <c r="C567">
        <v>5.5104178982934302</v>
      </c>
      <c r="D567">
        <v>4.8556157135904803</v>
      </c>
      <c r="E567">
        <v>-0.79045541472497005</v>
      </c>
      <c r="F567">
        <v>2.6452050308712E-3</v>
      </c>
      <c r="G567">
        <v>7.7445090447630899E-2</v>
      </c>
      <c r="H567">
        <v>0.596765267020687</v>
      </c>
      <c r="I567">
        <v>-1.4048165888391501E-2</v>
      </c>
    </row>
    <row r="568" spans="1:9" x14ac:dyDescent="0.25">
      <c r="A568" s="1">
        <v>38.6483111977577</v>
      </c>
      <c r="B568">
        <v>11.8906196160438</v>
      </c>
      <c r="C568">
        <v>5.0751046295156401</v>
      </c>
      <c r="D568">
        <v>4.3585249485355702</v>
      </c>
      <c r="E568">
        <v>-0.80467261981257798</v>
      </c>
      <c r="F568">
        <v>3.1312954224387902E-3</v>
      </c>
      <c r="G568">
        <v>7.0117092739908807E-2</v>
      </c>
      <c r="H568">
        <v>0.57693061956690195</v>
      </c>
      <c r="I568">
        <v>-1.3949920603638101E-2</v>
      </c>
    </row>
    <row r="569" spans="1:9" x14ac:dyDescent="0.25">
      <c r="A569" s="1">
        <v>43.1141293048858</v>
      </c>
      <c r="B569">
        <v>12.1895289628031</v>
      </c>
      <c r="C569">
        <v>4.6662737314991496</v>
      </c>
      <c r="D569">
        <v>3.9035421788659401</v>
      </c>
      <c r="E569">
        <v>-0.81381681599769295</v>
      </c>
      <c r="F569">
        <v>3.4765584888802898E-3</v>
      </c>
      <c r="G569">
        <v>6.3003248318882807E-2</v>
      </c>
      <c r="H569">
        <v>0.55890628768714701</v>
      </c>
      <c r="I569">
        <v>-1.33023142317977E-2</v>
      </c>
    </row>
    <row r="570" spans="1:9" x14ac:dyDescent="0.25">
      <c r="A570" s="1">
        <v>47.981887757778097</v>
      </c>
      <c r="B570">
        <v>12.4663479535105</v>
      </c>
      <c r="C570">
        <v>4.28865787790191</v>
      </c>
      <c r="D570">
        <v>3.4936734195262198</v>
      </c>
      <c r="E570">
        <v>-0.81857956638046103</v>
      </c>
      <c r="F570">
        <v>3.6228467573986602E-3</v>
      </c>
      <c r="G570">
        <v>5.6191158400364101E-2</v>
      </c>
      <c r="H570">
        <v>0.54271642941199905</v>
      </c>
      <c r="I570">
        <v>-1.22860598032591E-2</v>
      </c>
    </row>
    <row r="571" spans="1:9" x14ac:dyDescent="0.25">
      <c r="A571" s="1">
        <v>53.287820518016801</v>
      </c>
      <c r="B571">
        <v>12.7252597978535</v>
      </c>
      <c r="C571">
        <v>3.9438013395662601</v>
      </c>
      <c r="D571">
        <v>3.1288451835876598</v>
      </c>
      <c r="E571">
        <v>-0.81948567871591804</v>
      </c>
      <c r="F571">
        <v>3.51657349228549E-3</v>
      </c>
      <c r="G571">
        <v>4.9776742865127503E-2</v>
      </c>
      <c r="H571">
        <v>0.52835394005838698</v>
      </c>
      <c r="I571">
        <v>-1.1065134084347301E-2</v>
      </c>
    </row>
    <row r="572" spans="1:9" x14ac:dyDescent="0.25">
      <c r="A572" s="1">
        <v>59.071175158023799</v>
      </c>
      <c r="B572">
        <v>12.9697623444917</v>
      </c>
      <c r="C572">
        <v>3.6312417222581299</v>
      </c>
      <c r="D572">
        <v>2.8068637266557599</v>
      </c>
      <c r="E572">
        <v>-0.81693658876130903</v>
      </c>
      <c r="F572">
        <v>3.1092715463202402E-3</v>
      </c>
      <c r="G572">
        <v>4.3857260845596401E-2</v>
      </c>
      <c r="H572">
        <v>0.515712501180701</v>
      </c>
      <c r="I572">
        <v>-9.7921740319800808E-3</v>
      </c>
    </row>
    <row r="573" spans="1:9" x14ac:dyDescent="0.25">
      <c r="A573" s="1">
        <v>65.375131070613804</v>
      </c>
      <c r="B573">
        <v>13.2027391245785</v>
      </c>
      <c r="C573">
        <v>3.3495411973722602</v>
      </c>
      <c r="D573">
        <v>2.5246569436639699</v>
      </c>
      <c r="E573">
        <v>-0.81123262032493704</v>
      </c>
      <c r="F573">
        <v>2.4908645423085702E-3</v>
      </c>
      <c r="G573">
        <v>3.8482394333093001E-2</v>
      </c>
      <c r="H573">
        <v>0.50438903254805101</v>
      </c>
      <c r="I573">
        <v>-8.5664791532333202E-3</v>
      </c>
    </row>
    <row r="574" spans="1:9" x14ac:dyDescent="0.25">
      <c r="A574" s="1">
        <v>72.246375679969702</v>
      </c>
      <c r="B574">
        <v>13.426563827526801</v>
      </c>
      <c r="C574">
        <v>3.0960352753619098</v>
      </c>
      <c r="D574">
        <v>2.2783709006503599</v>
      </c>
      <c r="E574">
        <v>-0.80260795571374999</v>
      </c>
      <c r="F574">
        <v>1.7607587556011299E-3</v>
      </c>
      <c r="G574">
        <v>3.3678040094614302E-2</v>
      </c>
      <c r="H574">
        <v>0.49411986089142601</v>
      </c>
      <c r="I574">
        <v>-7.4496819718085404E-3</v>
      </c>
    </row>
    <row r="575" spans="1:9" x14ac:dyDescent="0.25">
      <c r="A575" s="1">
        <v>79.736069738864799</v>
      </c>
      <c r="B575">
        <v>13.6431943291994</v>
      </c>
      <c r="C575">
        <v>2.8673424122554998</v>
      </c>
      <c r="D575">
        <v>2.0633404464769001</v>
      </c>
      <c r="E575">
        <v>-0.79120352402846805</v>
      </c>
      <c r="F575">
        <v>1.0955133826073299E-3</v>
      </c>
      <c r="G575">
        <v>2.9404700303163101E-2</v>
      </c>
      <c r="H575">
        <v>0.48446109060125903</v>
      </c>
      <c r="I575">
        <v>-6.4493928558550699E-3</v>
      </c>
    </row>
    <row r="576" spans="1:9" x14ac:dyDescent="0.25">
      <c r="A576" s="1">
        <v>87.899753153324099</v>
      </c>
      <c r="B576">
        <v>13.8541977660927</v>
      </c>
      <c r="C576">
        <v>2.6598341295369199</v>
      </c>
      <c r="D576">
        <v>1.8750562885366999</v>
      </c>
      <c r="E576">
        <v>-0.77706663940813703</v>
      </c>
      <c r="F576">
        <v>7.0662414524954198E-4</v>
      </c>
      <c r="G576">
        <v>2.56248098480664E-2</v>
      </c>
      <c r="H576">
        <v>0.47529601705767399</v>
      </c>
      <c r="I576">
        <v>-5.5723531656025199E-3</v>
      </c>
    </row>
    <row r="577" spans="1:9" x14ac:dyDescent="0.25">
      <c r="A577" s="1">
        <v>96.798263192176805</v>
      </c>
      <c r="B577">
        <v>14.0608090417656</v>
      </c>
      <c r="C577">
        <v>2.4702135792081501</v>
      </c>
      <c r="D577">
        <v>1.70942611330683</v>
      </c>
      <c r="E577">
        <v>-0.76027732851437202</v>
      </c>
      <c r="F577">
        <v>7.8059379889453603E-4</v>
      </c>
      <c r="G577">
        <v>2.2293304358850002E-2</v>
      </c>
      <c r="H577">
        <v>0.466378708617676</v>
      </c>
      <c r="I577">
        <v>-4.8080160542224703E-3</v>
      </c>
    </row>
    <row r="578" spans="1:9" x14ac:dyDescent="0.25">
      <c r="A578" s="1">
        <v>106.497616767883</v>
      </c>
      <c r="B578">
        <v>14.264077092913</v>
      </c>
      <c r="C578">
        <v>2.2951500062682699</v>
      </c>
      <c r="D578">
        <v>1.5626687685803999</v>
      </c>
      <c r="E578">
        <v>-0.74074975617958605</v>
      </c>
      <c r="F578">
        <v>1.0491150474865501E-3</v>
      </c>
      <c r="G578">
        <v>1.9371592846085601E-2</v>
      </c>
      <c r="H578">
        <v>0.45770023487156503</v>
      </c>
      <c r="I578">
        <v>-4.1487131641772899E-3</v>
      </c>
    </row>
    <row r="579" spans="1:9" x14ac:dyDescent="0.25">
      <c r="A579" s="1">
        <v>117.06990510225199</v>
      </c>
      <c r="B579">
        <v>14.465165779573001</v>
      </c>
      <c r="C579">
        <v>2.1306881659788099</v>
      </c>
      <c r="D579">
        <v>1.4307620595407999</v>
      </c>
      <c r="E579">
        <v>-0.71824960545496297</v>
      </c>
      <c r="F579">
        <v>1.2370602205404699E-3</v>
      </c>
      <c r="G579">
        <v>1.68164726774339E-2</v>
      </c>
      <c r="H579">
        <v>0.44986399265259702</v>
      </c>
      <c r="I579">
        <v>-3.5809660613037998E-3</v>
      </c>
    </row>
    <row r="580" spans="1:9" x14ac:dyDescent="0.25">
      <c r="A580" s="1">
        <v>128.593670427799</v>
      </c>
      <c r="B580">
        <v>14.665032099765799</v>
      </c>
      <c r="C580">
        <v>1.9748454286072501</v>
      </c>
      <c r="D580">
        <v>1.3109946295674699</v>
      </c>
      <c r="E580">
        <v>-0.69281643724744102</v>
      </c>
      <c r="F580">
        <v>1.53374575395698E-3</v>
      </c>
      <c r="G580">
        <v>1.45519338478715E-2</v>
      </c>
      <c r="H580">
        <v>0.442463236647404</v>
      </c>
      <c r="I580">
        <v>-3.0748361189302902E-3</v>
      </c>
    </row>
    <row r="581" spans="1:9" x14ac:dyDescent="0.25">
      <c r="A581" s="1">
        <v>141.15461230278001</v>
      </c>
      <c r="B581">
        <v>14.8641085831645</v>
      </c>
      <c r="C581">
        <v>1.8257622024907501</v>
      </c>
      <c r="D581">
        <v>1.2010393698799899</v>
      </c>
      <c r="E581">
        <v>-0.66423502954557201</v>
      </c>
      <c r="F581">
        <v>2.1651342055872599E-3</v>
      </c>
      <c r="G581">
        <v>1.2529528254213501E-2</v>
      </c>
      <c r="H581">
        <v>0.43528689649028801</v>
      </c>
      <c r="I581">
        <v>-2.6213978680163798E-3</v>
      </c>
    </row>
    <row r="582" spans="1:9" x14ac:dyDescent="0.25">
      <c r="A582" s="1">
        <v>154.84601140022201</v>
      </c>
      <c r="B582">
        <v>15.0621967258128</v>
      </c>
      <c r="C582">
        <v>1.6819618877253499</v>
      </c>
      <c r="D582">
        <v>1.0988093704100399</v>
      </c>
      <c r="E582">
        <v>-0.63232904270461698</v>
      </c>
      <c r="F582">
        <v>2.2820401839136E-3</v>
      </c>
      <c r="G582">
        <v>1.07143752169676E-2</v>
      </c>
      <c r="H582">
        <v>0.42783893867149297</v>
      </c>
      <c r="I582">
        <v>-2.2136817461599402E-3</v>
      </c>
    </row>
    <row r="583" spans="1:9" x14ac:dyDescent="0.25">
      <c r="A583" s="1">
        <v>169.76969480514501</v>
      </c>
      <c r="B583">
        <v>15.259246379342899</v>
      </c>
      <c r="C583">
        <v>1.5411252166970899</v>
      </c>
      <c r="D583">
        <v>1.00193256643815</v>
      </c>
      <c r="E583">
        <v>-0.59663203672888199</v>
      </c>
      <c r="F583">
        <v>1.89895831410762E-3</v>
      </c>
      <c r="G583">
        <v>9.0896281164093307E-3</v>
      </c>
      <c r="H583">
        <v>0.42040887416010903</v>
      </c>
      <c r="I583">
        <v>-1.84868874485798E-3</v>
      </c>
    </row>
    <row r="584" spans="1:9" x14ac:dyDescent="0.25">
      <c r="A584" s="1">
        <v>186.03645980358101</v>
      </c>
      <c r="B584">
        <v>15.4557861911329</v>
      </c>
      <c r="C584">
        <v>1.4014247879358099</v>
      </c>
      <c r="D584">
        <v>0.90870961809582096</v>
      </c>
      <c r="E584">
        <v>-0.5566638323516</v>
      </c>
      <c r="F584">
        <v>1.71430128948494E-3</v>
      </c>
      <c r="G584">
        <v>7.6357092414699101E-3</v>
      </c>
      <c r="H584">
        <v>0.41352749734094502</v>
      </c>
      <c r="I584">
        <v>-1.5248751456512499E-3</v>
      </c>
    </row>
    <row r="585" spans="1:9" x14ac:dyDescent="0.25">
      <c r="A585" s="1">
        <v>203.76720398664401</v>
      </c>
      <c r="B585">
        <v>15.6513648258718</v>
      </c>
      <c r="C585">
        <v>1.26281725198206</v>
      </c>
      <c r="D585">
        <v>0.81745668191044296</v>
      </c>
      <c r="E585">
        <v>-0.51231531181057799</v>
      </c>
      <c r="F585">
        <v>1.47375886221441E-3</v>
      </c>
      <c r="G585">
        <v>6.3279271775160103E-3</v>
      </c>
      <c r="H585">
        <v>0.40627009278809401</v>
      </c>
      <c r="I585">
        <v>-1.23595268271089E-3</v>
      </c>
    </row>
    <row r="586" spans="1:9" x14ac:dyDescent="0.25">
      <c r="A586" s="1">
        <v>223.09376105666101</v>
      </c>
      <c r="B586">
        <v>15.844319029358299</v>
      </c>
      <c r="C586">
        <v>1.12431851887948</v>
      </c>
      <c r="D586">
        <v>0.72721062426186001</v>
      </c>
      <c r="E586">
        <v>-0.46313061308669601</v>
      </c>
      <c r="F586">
        <v>1.1498169612787E-3</v>
      </c>
      <c r="G586">
        <v>5.1412053220089397E-3</v>
      </c>
      <c r="H586">
        <v>0.39891566944085699</v>
      </c>
      <c r="I586">
        <v>-9.7191619923590801E-4</v>
      </c>
    </row>
    <row r="587" spans="1:9" x14ac:dyDescent="0.25">
      <c r="A587" s="1">
        <v>244.15970131754801</v>
      </c>
      <c r="B587">
        <v>16.033238378745601</v>
      </c>
      <c r="C587">
        <v>0.98497110923098696</v>
      </c>
      <c r="D587">
        <v>0.63630898768361599</v>
      </c>
      <c r="E587">
        <v>-0.40850479948178903</v>
      </c>
      <c r="F587">
        <v>3.6417957173231499E-4</v>
      </c>
      <c r="G587">
        <v>4.0757872089151803E-3</v>
      </c>
      <c r="H587">
        <v>0.39209572565374701</v>
      </c>
      <c r="I587">
        <v>-7.3681871272722704E-4</v>
      </c>
    </row>
    <row r="588" spans="1:9" x14ac:dyDescent="0.25">
      <c r="A588" s="1">
        <v>267.12157949805197</v>
      </c>
      <c r="B588">
        <v>16.215239342880501</v>
      </c>
      <c r="C588">
        <v>0.845656676646522</v>
      </c>
      <c r="D588">
        <v>0.54538734478092998</v>
      </c>
      <c r="E588">
        <v>-0.34807608607303903</v>
      </c>
      <c r="F588">
        <v>-6.6276317156758395E-4</v>
      </c>
      <c r="G588">
        <v>3.1420440776077801E-3</v>
      </c>
      <c r="H588">
        <v>0.38632537450607302</v>
      </c>
      <c r="I588">
        <v>-5.3853853875134603E-4</v>
      </c>
    </row>
    <row r="589" spans="1:9" x14ac:dyDescent="0.25">
      <c r="A589" s="1">
        <v>292.15002954006098</v>
      </c>
      <c r="B589">
        <v>16.3855473792377</v>
      </c>
      <c r="C589">
        <v>0.70680649817390895</v>
      </c>
      <c r="D589">
        <v>0.45349175298621203</v>
      </c>
      <c r="E589">
        <v>-0.28133043869507002</v>
      </c>
      <c r="F589">
        <v>-1.21606046850504E-3</v>
      </c>
      <c r="G589">
        <v>2.34471947003703E-3</v>
      </c>
      <c r="H589">
        <v>0.382856259471615</v>
      </c>
      <c r="I589">
        <v>-3.7837270928382203E-4</v>
      </c>
    </row>
    <row r="590" spans="1:9" x14ac:dyDescent="0.25">
      <c r="A590" s="1">
        <v>319.43101242184599</v>
      </c>
      <c r="B590">
        <v>16.534611313250899</v>
      </c>
      <c r="C590">
        <v>0.57575596761482795</v>
      </c>
      <c r="D590">
        <v>0.36508433917107103</v>
      </c>
      <c r="E590">
        <v>-0.20794405802900501</v>
      </c>
      <c r="F590">
        <v>-9.0325986392004597E-4</v>
      </c>
      <c r="G590">
        <v>1.7004368703772399E-3</v>
      </c>
      <c r="H590">
        <v>0.38301457131198702</v>
      </c>
      <c r="I590">
        <v>-2.6080482663254101E-4</v>
      </c>
    </row>
    <row r="591" spans="1:9" x14ac:dyDescent="0.25">
      <c r="A591" s="1">
        <v>349.16732590645501</v>
      </c>
      <c r="B591">
        <v>16.650301508438801</v>
      </c>
      <c r="C591">
        <v>0.466816987691407</v>
      </c>
      <c r="D591">
        <v>0.28949747207912702</v>
      </c>
      <c r="E591">
        <v>-0.126606300118938</v>
      </c>
      <c r="F591">
        <v>-1.01297416758899E-3</v>
      </c>
      <c r="G591">
        <v>1.25586183757999E-3</v>
      </c>
      <c r="H591">
        <v>0.38799289357236699</v>
      </c>
      <c r="I591">
        <v>-1.9108190200633801E-4</v>
      </c>
    </row>
    <row r="592" spans="1:9" x14ac:dyDescent="0.25">
      <c r="A592" s="1">
        <v>379.83785875141598</v>
      </c>
      <c r="B592">
        <v>16.711411473733399</v>
      </c>
      <c r="C592">
        <v>0.40460715130441299</v>
      </c>
      <c r="D592">
        <v>0.24530369231296301</v>
      </c>
      <c r="E592">
        <v>-4.1792247198872999E-2</v>
      </c>
      <c r="F592">
        <v>-1.36527566895026E-3</v>
      </c>
      <c r="G592">
        <v>1.02487215663016E-3</v>
      </c>
      <c r="H592">
        <v>0.40920894484890102</v>
      </c>
      <c r="I592">
        <v>-1.5164157557187E-4</v>
      </c>
    </row>
    <row r="593" spans="1:9" x14ac:dyDescent="0.25">
      <c r="A593" s="1" t="s">
        <v>531</v>
      </c>
      <c r="B593" s="1" t="s">
        <v>614</v>
      </c>
      <c r="C593" s="1" t="s">
        <v>615</v>
      </c>
      <c r="D593" s="1" t="s">
        <v>616</v>
      </c>
      <c r="E593" s="1" t="s">
        <v>617</v>
      </c>
      <c r="F593" s="1" t="s">
        <v>618</v>
      </c>
      <c r="G593" s="1" t="s">
        <v>400</v>
      </c>
      <c r="H593" s="1" t="s">
        <v>619</v>
      </c>
      <c r="I593" s="1" t="s">
        <v>613</v>
      </c>
    </row>
    <row r="594" spans="1:9" x14ac:dyDescent="0.25">
      <c r="A594" s="1">
        <v>-141.555516719818</v>
      </c>
      <c r="B594">
        <v>-317.84373603842499</v>
      </c>
      <c r="C594">
        <v>0.142151577806193</v>
      </c>
      <c r="D594">
        <v>0</v>
      </c>
      <c r="E594">
        <v>0</v>
      </c>
      <c r="F594">
        <v>0</v>
      </c>
      <c r="G594">
        <v>1.27383902638911E-4</v>
      </c>
      <c r="H594">
        <v>2.5141611633716799E-2</v>
      </c>
      <c r="I594">
        <v>0</v>
      </c>
    </row>
    <row r="595" spans="1:9" x14ac:dyDescent="0.25">
      <c r="A595" s="1">
        <v>-128.95890593528699</v>
      </c>
      <c r="B595">
        <v>-289.56134369454702</v>
      </c>
      <c r="C595">
        <v>0.14519633188710801</v>
      </c>
      <c r="D595">
        <v>0</v>
      </c>
      <c r="E595">
        <v>0</v>
      </c>
      <c r="F595">
        <v>0</v>
      </c>
      <c r="G595">
        <v>1.5905521986070401E-4</v>
      </c>
      <c r="H595">
        <v>0.174823394295439</v>
      </c>
      <c r="I595">
        <v>0</v>
      </c>
    </row>
    <row r="596" spans="1:9" x14ac:dyDescent="0.25">
      <c r="A596" s="1">
        <v>-117.402367591857</v>
      </c>
      <c r="B596">
        <v>-263.61390950761103</v>
      </c>
      <c r="C596">
        <v>0.15116725495588401</v>
      </c>
      <c r="D596">
        <v>0</v>
      </c>
      <c r="E596">
        <v>0</v>
      </c>
      <c r="F596">
        <v>0</v>
      </c>
      <c r="G596">
        <v>2.1989402811826099E-4</v>
      </c>
      <c r="H596">
        <v>0.33811550652974798</v>
      </c>
      <c r="I596">
        <v>0</v>
      </c>
    </row>
    <row r="597" spans="1:9" x14ac:dyDescent="0.25">
      <c r="A597" s="1">
        <v>-106.80001378059301</v>
      </c>
      <c r="B597">
        <v>-239.80871329984899</v>
      </c>
      <c r="C597">
        <v>0.16033187433864701</v>
      </c>
      <c r="D597">
        <v>0</v>
      </c>
      <c r="E597">
        <v>0</v>
      </c>
      <c r="F597">
        <v>0</v>
      </c>
      <c r="G597">
        <v>3.1136183320299397E-4</v>
      </c>
      <c r="H597">
        <v>0.45863430902041402</v>
      </c>
      <c r="I597">
        <v>0</v>
      </c>
    </row>
    <row r="598" spans="1:9" x14ac:dyDescent="0.25">
      <c r="A598" s="1">
        <v>-97.073161005973802</v>
      </c>
      <c r="B598">
        <v>-217.968898493865</v>
      </c>
      <c r="C598">
        <v>0.17313226868119999</v>
      </c>
      <c r="D598">
        <v>0</v>
      </c>
      <c r="E598">
        <v>0</v>
      </c>
      <c r="F598">
        <v>0</v>
      </c>
      <c r="G598">
        <v>4.3893032379997899E-4</v>
      </c>
      <c r="H598">
        <v>0.53799313480835098</v>
      </c>
      <c r="I598">
        <v>0</v>
      </c>
    </row>
    <row r="599" spans="1:9" x14ac:dyDescent="0.25">
      <c r="A599" s="1">
        <v>-88.149435520172105</v>
      </c>
      <c r="B599">
        <v>-197.93221840343699</v>
      </c>
      <c r="C599">
        <v>0.19009213665116501</v>
      </c>
      <c r="D599">
        <v>0</v>
      </c>
      <c r="E599">
        <v>0</v>
      </c>
      <c r="F599">
        <v>0</v>
      </c>
      <c r="G599">
        <v>6.12176808259334E-4</v>
      </c>
      <c r="H599">
        <v>0.58880844939590204</v>
      </c>
      <c r="I599">
        <v>0</v>
      </c>
    </row>
    <row r="600" spans="1:9" x14ac:dyDescent="0.25">
      <c r="A600" s="1">
        <v>-79.962490797042804</v>
      </c>
      <c r="B600">
        <v>-179.549815956571</v>
      </c>
      <c r="C600">
        <v>0.211783354904507</v>
      </c>
      <c r="D600">
        <v>0</v>
      </c>
      <c r="E600">
        <v>0</v>
      </c>
      <c r="F600">
        <v>0</v>
      </c>
      <c r="G600">
        <v>8.4526512135312199E-4</v>
      </c>
      <c r="H600">
        <v>0.62137119641765004</v>
      </c>
      <c r="I600">
        <v>0</v>
      </c>
    </row>
    <row r="601" spans="1:9" x14ac:dyDescent="0.25">
      <c r="A601" s="1">
        <v>-72.451583743095298</v>
      </c>
      <c r="B601">
        <v>-162.68510371527901</v>
      </c>
      <c r="C601">
        <v>0.238820452102458</v>
      </c>
      <c r="D601">
        <v>0</v>
      </c>
      <c r="E601">
        <v>0</v>
      </c>
      <c r="F601">
        <v>0</v>
      </c>
      <c r="G601">
        <v>1.15777638843894E-3</v>
      </c>
      <c r="H601">
        <v>0.64247349761530104</v>
      </c>
      <c r="I601">
        <v>0</v>
      </c>
    </row>
    <row r="602" spans="1:9" x14ac:dyDescent="0.25">
      <c r="A602" s="1">
        <v>-65.560821294784503</v>
      </c>
      <c r="B602">
        <v>-147.21279434047</v>
      </c>
      <c r="C602">
        <v>0.27186643891307799</v>
      </c>
      <c r="D602">
        <v>0</v>
      </c>
      <c r="E602">
        <v>0</v>
      </c>
      <c r="F602">
        <v>0</v>
      </c>
      <c r="G602">
        <v>1.57589311274364E-3</v>
      </c>
      <c r="H602">
        <v>0.65637125630624304</v>
      </c>
      <c r="I602">
        <v>0</v>
      </c>
    </row>
    <row r="603" spans="1:9" x14ac:dyDescent="0.25">
      <c r="A603" s="1">
        <v>-59.238972067832897</v>
      </c>
      <c r="B603">
        <v>-133.01794777295899</v>
      </c>
      <c r="C603">
        <v>0.31164194644927901</v>
      </c>
      <c r="D603">
        <v>0</v>
      </c>
      <c r="E603">
        <v>0</v>
      </c>
      <c r="F603">
        <v>0</v>
      </c>
      <c r="G603">
        <v>2.1339348450908299E-3</v>
      </c>
      <c r="H603">
        <v>0.66569914777662997</v>
      </c>
      <c r="I603">
        <v>0</v>
      </c>
    </row>
    <row r="604" spans="1:9" x14ac:dyDescent="0.25">
      <c r="A604" s="1">
        <v>-53.439136743545497</v>
      </c>
      <c r="B604">
        <v>-119.995085278967</v>
      </c>
      <c r="C604">
        <v>0.35893359571891997</v>
      </c>
      <c r="D604">
        <v>0</v>
      </c>
      <c r="E604">
        <v>0</v>
      </c>
      <c r="F604">
        <v>0</v>
      </c>
      <c r="G604">
        <v>2.8762351957766401E-3</v>
      </c>
      <c r="H604">
        <v>0.67208762631460295</v>
      </c>
      <c r="I604">
        <v>0</v>
      </c>
    </row>
    <row r="605" spans="1:9" x14ac:dyDescent="0.25">
      <c r="A605" s="1">
        <v>-48.118183016777003</v>
      </c>
      <c r="B605">
        <v>-108.04743722460501</v>
      </c>
      <c r="C605">
        <v>0.41459934477346699</v>
      </c>
      <c r="D605">
        <v>0</v>
      </c>
      <c r="E605">
        <v>0</v>
      </c>
      <c r="F605">
        <v>0</v>
      </c>
      <c r="G605">
        <v>3.8593342917465599E-3</v>
      </c>
      <c r="H605">
        <v>0.67655210756748996</v>
      </c>
      <c r="I605">
        <v>0</v>
      </c>
    </row>
    <row r="606" spans="1:9" x14ac:dyDescent="0.25">
      <c r="A606" s="1">
        <v>-43.236604332923797</v>
      </c>
      <c r="B606">
        <v>-97.086249356785601</v>
      </c>
      <c r="C606">
        <v>0.47957020551828</v>
      </c>
      <c r="D606">
        <v>0</v>
      </c>
      <c r="E606">
        <v>0</v>
      </c>
      <c r="F606">
        <v>0</v>
      </c>
      <c r="G606">
        <v>5.1544461052344497E-3</v>
      </c>
      <c r="H606">
        <v>0.67973568435445797</v>
      </c>
      <c r="I606">
        <v>0</v>
      </c>
    </row>
    <row r="607" spans="1:9" x14ac:dyDescent="0.25">
      <c r="A607" s="1">
        <v>-38.758049011230398</v>
      </c>
      <c r="B607">
        <v>-87.030076547035705</v>
      </c>
      <c r="C607">
        <v>0.55484740024558199</v>
      </c>
      <c r="D607">
        <v>0</v>
      </c>
      <c r="E607">
        <v>0</v>
      </c>
      <c r="F607">
        <v>0</v>
      </c>
      <c r="G607">
        <v>6.8501234343102601E-3</v>
      </c>
      <c r="H607">
        <v>0.68205950749950095</v>
      </c>
      <c r="I607">
        <v>0</v>
      </c>
    </row>
    <row r="608" spans="1:9" x14ac:dyDescent="0.25">
      <c r="A608" s="1">
        <v>-34.649320244789102</v>
      </c>
      <c r="B608">
        <v>-77.804197727212497</v>
      </c>
      <c r="C608">
        <v>0.64149495789015998</v>
      </c>
      <c r="D608">
        <v>0</v>
      </c>
      <c r="E608">
        <v>0</v>
      </c>
      <c r="F608">
        <v>0</v>
      </c>
      <c r="G608">
        <v>9.0550059834640702E-3</v>
      </c>
      <c r="H608">
        <v>0.68381513318715503</v>
      </c>
      <c r="I608">
        <v>0</v>
      </c>
    </row>
    <row r="609" spans="1:9" x14ac:dyDescent="0.25">
      <c r="A609" s="1">
        <v>-30.879811048507602</v>
      </c>
      <c r="B609">
        <v>-69.340062167936694</v>
      </c>
      <c r="C609">
        <v>0.74062708832046098</v>
      </c>
      <c r="D609">
        <v>0</v>
      </c>
      <c r="E609">
        <v>0</v>
      </c>
      <c r="F609">
        <v>0</v>
      </c>
      <c r="G609">
        <v>1.19004706486975E-2</v>
      </c>
      <c r="H609">
        <v>0.68521907153822703</v>
      </c>
      <c r="I609">
        <v>0</v>
      </c>
    </row>
    <row r="610" spans="1:9" x14ac:dyDescent="0.25">
      <c r="A610" s="1">
        <v>-27.4215984344482</v>
      </c>
      <c r="B610">
        <v>-61.574769189277497</v>
      </c>
      <c r="C610">
        <v>0.85339033466510905</v>
      </c>
      <c r="D610">
        <v>0</v>
      </c>
      <c r="E610">
        <v>0</v>
      </c>
      <c r="F610">
        <v>0</v>
      </c>
      <c r="G610">
        <v>1.5542960715856599E-2</v>
      </c>
      <c r="H610">
        <v>0.68644393336292198</v>
      </c>
      <c r="I610">
        <v>0</v>
      </c>
    </row>
    <row r="611" spans="1:9" x14ac:dyDescent="0.25">
      <c r="A611" s="1">
        <v>-24.248878359794599</v>
      </c>
      <c r="B611">
        <v>-54.450629362532702</v>
      </c>
      <c r="C611">
        <v>0.98094032484043503</v>
      </c>
      <c r="D611">
        <v>0</v>
      </c>
      <c r="E611">
        <v>0</v>
      </c>
      <c r="F611">
        <v>0</v>
      </c>
      <c r="G611">
        <v>2.01657422041535E-2</v>
      </c>
      <c r="H611">
        <v>0.68763466911791804</v>
      </c>
      <c r="I611">
        <v>0</v>
      </c>
    </row>
    <row r="612" spans="1:9" x14ac:dyDescent="0.25">
      <c r="A612" s="1">
        <v>-21.3381540775299</v>
      </c>
      <c r="B612">
        <v>-47.914702727341798</v>
      </c>
      <c r="C612">
        <v>1.12441308651212</v>
      </c>
      <c r="D612">
        <v>0</v>
      </c>
      <c r="E612">
        <v>0</v>
      </c>
      <c r="F612">
        <v>0</v>
      </c>
      <c r="G612">
        <v>2.5979838248895201E-2</v>
      </c>
      <c r="H612">
        <v>0.68891622138396702</v>
      </c>
      <c r="I612">
        <v>0</v>
      </c>
    </row>
    <row r="613" spans="1:9" x14ac:dyDescent="0.25">
      <c r="A613" s="1">
        <v>-18.6677181720733</v>
      </c>
      <c r="B613">
        <v>-41.918424246063303</v>
      </c>
      <c r="C613">
        <v>1.28489185542992</v>
      </c>
      <c r="D613">
        <v>0</v>
      </c>
      <c r="E613">
        <v>0</v>
      </c>
      <c r="F613">
        <v>0</v>
      </c>
      <c r="G613">
        <v>3.3223974617067102E-2</v>
      </c>
      <c r="H613">
        <v>0.69039684499701504</v>
      </c>
      <c r="I613">
        <v>0</v>
      </c>
    </row>
    <row r="614" spans="1:9" x14ac:dyDescent="0.25">
      <c r="A614" s="1">
        <v>-16.2178409099578</v>
      </c>
      <c r="B614">
        <v>-36.417240097512298</v>
      </c>
      <c r="C614">
        <v>1.4633695917366001</v>
      </c>
      <c r="D614">
        <v>0</v>
      </c>
      <c r="E614">
        <v>0</v>
      </c>
      <c r="F614">
        <v>0</v>
      </c>
      <c r="G614">
        <v>4.2163536906264197E-2</v>
      </c>
      <c r="H614">
        <v>0.69216963862064396</v>
      </c>
      <c r="I614">
        <v>0</v>
      </c>
    </row>
    <row r="615" spans="1:9" x14ac:dyDescent="0.25">
      <c r="A615" s="1">
        <v>-13.9702051877975</v>
      </c>
      <c r="B615">
        <v>-31.3702708732093</v>
      </c>
      <c r="C615">
        <v>1.6607093502641399</v>
      </c>
      <c r="D615">
        <v>0</v>
      </c>
      <c r="E615">
        <v>0</v>
      </c>
      <c r="F615">
        <v>0</v>
      </c>
      <c r="G615">
        <v>5.3088720389496302E-2</v>
      </c>
      <c r="H615">
        <v>0.69431372856873697</v>
      </c>
      <c r="I615">
        <v>0</v>
      </c>
    </row>
    <row r="616" spans="1:9" x14ac:dyDescent="0.25">
      <c r="A616" s="1">
        <v>-11.908189058303799</v>
      </c>
      <c r="B616">
        <v>-26.740015127392301</v>
      </c>
      <c r="C616">
        <v>1.8776040070260001</v>
      </c>
      <c r="D616">
        <v>0</v>
      </c>
      <c r="E616">
        <v>0</v>
      </c>
      <c r="F616">
        <v>0</v>
      </c>
      <c r="G616">
        <v>6.6312378134170999E-2</v>
      </c>
      <c r="H616">
        <v>0.69689601225157805</v>
      </c>
      <c r="I616">
        <v>0</v>
      </c>
    </row>
    <row r="617" spans="1:9" x14ac:dyDescent="0.25">
      <c r="A617" s="1">
        <v>-10.016394853591899</v>
      </c>
      <c r="B617">
        <v>-22.492065986500901</v>
      </c>
      <c r="C617">
        <v>2.1145394193299998</v>
      </c>
      <c r="D617">
        <v>0</v>
      </c>
      <c r="E617">
        <v>0</v>
      </c>
      <c r="F617">
        <v>0</v>
      </c>
      <c r="G617">
        <v>8.2168326086321006E-2</v>
      </c>
      <c r="H617">
        <v>0.699973552157092</v>
      </c>
      <c r="I617">
        <v>0</v>
      </c>
    </row>
    <row r="618" spans="1:9" x14ac:dyDescent="0.25">
      <c r="A618" s="1">
        <v>-8.2808375358581507</v>
      </c>
      <c r="B618">
        <v>-18.594856620089899</v>
      </c>
      <c r="C618">
        <v>2.3717623786531599</v>
      </c>
      <c r="D618">
        <v>0</v>
      </c>
      <c r="E618">
        <v>0</v>
      </c>
      <c r="F618">
        <v>0</v>
      </c>
      <c r="G618">
        <v>0.101011657946946</v>
      </c>
      <c r="H618">
        <v>0.70359777259702905</v>
      </c>
      <c r="I618">
        <v>0</v>
      </c>
    </row>
    <row r="619" spans="1:9" x14ac:dyDescent="0.25">
      <c r="A619" s="1">
        <v>-6.6885209083557102</v>
      </c>
      <c r="B619">
        <v>-15.0194294799806</v>
      </c>
      <c r="C619">
        <v>2.6492537139474002</v>
      </c>
      <c r="D619">
        <v>0</v>
      </c>
      <c r="E619">
        <v>0</v>
      </c>
      <c r="F619">
        <v>0</v>
      </c>
      <c r="G619">
        <v>0.123219973203958</v>
      </c>
      <c r="H619">
        <v>0.70781344175421501</v>
      </c>
      <c r="I619">
        <v>0</v>
      </c>
    </row>
    <row r="620" spans="1:9" x14ac:dyDescent="0.25">
      <c r="A620" s="1">
        <v>-5.2277201414108196</v>
      </c>
      <c r="B620">
        <v>-11.739216378772401</v>
      </c>
      <c r="C620">
        <v>2.9467214243984801</v>
      </c>
      <c r="D620">
        <v>0</v>
      </c>
      <c r="E620">
        <v>0</v>
      </c>
      <c r="F620">
        <v>0</v>
      </c>
      <c r="G620">
        <v>0.14919144967207101</v>
      </c>
      <c r="H620">
        <v>0.71264550971068996</v>
      </c>
      <c r="I620">
        <v>0</v>
      </c>
    </row>
    <row r="621" spans="1:9" x14ac:dyDescent="0.25">
      <c r="A621" s="1">
        <v>-3.88755798339843</v>
      </c>
      <c r="B621">
        <v>-8.7298420754017592</v>
      </c>
      <c r="C621">
        <v>3.2636111233550902</v>
      </c>
      <c r="D621">
        <v>0</v>
      </c>
      <c r="E621">
        <v>0</v>
      </c>
      <c r="F621">
        <v>0</v>
      </c>
      <c r="G621">
        <v>0.179437369559309</v>
      </c>
      <c r="H621">
        <v>0.71824221441580005</v>
      </c>
      <c r="I621">
        <v>0</v>
      </c>
    </row>
    <row r="622" spans="1:9" x14ac:dyDescent="0.25">
      <c r="A622" s="1">
        <v>-2.6580518484115601</v>
      </c>
      <c r="B622">
        <v>-5.9689424873085999</v>
      </c>
      <c r="C622">
        <v>3.5990409426059999</v>
      </c>
      <c r="D622">
        <v>0</v>
      </c>
      <c r="E622">
        <v>0</v>
      </c>
      <c r="F622">
        <v>0</v>
      </c>
      <c r="G622">
        <v>0.21447399363532901</v>
      </c>
      <c r="H622">
        <v>0.72461463922239999</v>
      </c>
      <c r="I622">
        <v>0</v>
      </c>
    </row>
    <row r="623" spans="1:9" x14ac:dyDescent="0.25">
      <c r="A623" s="1">
        <v>-1.5300196409225399</v>
      </c>
      <c r="B623">
        <v>-3.4360048425140199</v>
      </c>
      <c r="C623">
        <v>3.9519410232148702</v>
      </c>
      <c r="D623">
        <v>0</v>
      </c>
      <c r="E623">
        <v>0</v>
      </c>
      <c r="F623">
        <v>0</v>
      </c>
      <c r="G623">
        <v>0.25394567154435199</v>
      </c>
      <c r="H623">
        <v>0.73076305481655102</v>
      </c>
      <c r="I623">
        <v>0</v>
      </c>
    </row>
    <row r="624" spans="1:9" x14ac:dyDescent="0.25">
      <c r="A624" s="1">
        <v>-0.49517393112182601</v>
      </c>
      <c r="B624">
        <v>-1.11220469742439</v>
      </c>
      <c r="C624">
        <v>4.3211281967672104</v>
      </c>
      <c r="D624">
        <v>0</v>
      </c>
      <c r="E624">
        <v>0</v>
      </c>
      <c r="F624">
        <v>0</v>
      </c>
      <c r="G624">
        <v>0.31238001204765098</v>
      </c>
      <c r="H624">
        <v>0.74883778132918</v>
      </c>
      <c r="I624">
        <v>0</v>
      </c>
    </row>
    <row r="625" spans="1:9" x14ac:dyDescent="0.25">
      <c r="A625" s="1">
        <v>0.49376130104064903</v>
      </c>
      <c r="B625">
        <v>0.35027633414246301</v>
      </c>
      <c r="C625">
        <v>4.5820973791778403</v>
      </c>
      <c r="D625">
        <v>0.32442033705409501</v>
      </c>
      <c r="E625">
        <v>-4.6234084089709202E-4</v>
      </c>
      <c r="F625">
        <v>1.4774772050639301E-4</v>
      </c>
      <c r="G625">
        <v>1.6096154103147998E-2</v>
      </c>
      <c r="H625">
        <v>0.466916505440861</v>
      </c>
      <c r="I625" s="1">
        <v>5.1516786993324499E-7</v>
      </c>
    </row>
    <row r="626" spans="1:9" x14ac:dyDescent="0.25">
      <c r="A626" s="1">
        <v>1.5257111191749499</v>
      </c>
      <c r="B626">
        <v>1.08151684992589</v>
      </c>
      <c r="C626">
        <v>4.7441296467931897</v>
      </c>
      <c r="D626">
        <v>1.0417468018593801</v>
      </c>
      <c r="E626">
        <v>-4.0740778234033097E-3</v>
      </c>
      <c r="F626">
        <v>4.6448539821013403E-4</v>
      </c>
      <c r="G626">
        <v>3.5196672984033103E-2</v>
      </c>
      <c r="H626">
        <v>0.74226736391785597</v>
      </c>
      <c r="I626" s="1">
        <v>2.3813204491800399E-5</v>
      </c>
    </row>
    <row r="627" spans="1:9" x14ac:dyDescent="0.25">
      <c r="A627" s="1">
        <v>2.6505178213119498</v>
      </c>
      <c r="B627">
        <v>1.8719094551412001</v>
      </c>
      <c r="C627">
        <v>4.97419967787516</v>
      </c>
      <c r="D627">
        <v>1.89873755347796</v>
      </c>
      <c r="E627">
        <v>-1.55238637285914E-2</v>
      </c>
      <c r="F627">
        <v>8.2355267694312305E-4</v>
      </c>
      <c r="G627">
        <v>5.9663112349779203E-2</v>
      </c>
      <c r="H627">
        <v>0.83537466068075505</v>
      </c>
      <c r="I627">
        <v>1.4317065997825201E-4</v>
      </c>
    </row>
    <row r="628" spans="1:9" x14ac:dyDescent="0.25">
      <c r="A628" s="1">
        <v>3.8765159249305698</v>
      </c>
      <c r="B628">
        <v>2.7173607892600402</v>
      </c>
      <c r="C628">
        <v>5.3076179677539201</v>
      </c>
      <c r="D628">
        <v>2.9187757143209301</v>
      </c>
      <c r="E628">
        <v>-3.8740981655144599E-2</v>
      </c>
      <c r="F628">
        <v>1.21296349495398E-3</v>
      </c>
      <c r="G628">
        <v>8.2705666066289096E-2</v>
      </c>
      <c r="H628">
        <v>0.86728637349270699</v>
      </c>
      <c r="I628">
        <v>3.71304330274339E-4</v>
      </c>
    </row>
    <row r="629" spans="1:9" x14ac:dyDescent="0.25">
      <c r="A629" s="1">
        <v>5.2129346132278398</v>
      </c>
      <c r="B629">
        <v>3.6075110352841699</v>
      </c>
      <c r="C629">
        <v>5.7651690800232203</v>
      </c>
      <c r="D629">
        <v>4.0806343873672004</v>
      </c>
      <c r="E629">
        <v>-7.8126349479960097E-2</v>
      </c>
      <c r="F629">
        <v>1.5927876298667001E-3</v>
      </c>
      <c r="G629">
        <v>9.8527102780621295E-2</v>
      </c>
      <c r="H629">
        <v>0.87162557188296397</v>
      </c>
      <c r="I629">
        <v>7.7382095613570201E-4</v>
      </c>
    </row>
    <row r="630" spans="1:9" x14ac:dyDescent="0.25">
      <c r="A630" s="1">
        <v>6.6695916652679399</v>
      </c>
      <c r="B630">
        <v>4.5244196146038904</v>
      </c>
      <c r="C630">
        <v>6.3256944725844102</v>
      </c>
      <c r="D630">
        <v>5.29201044697417</v>
      </c>
      <c r="E630">
        <v>-0.135962755846709</v>
      </c>
      <c r="F630">
        <v>1.8984383538788101E-3</v>
      </c>
      <c r="G630">
        <v>0.10574615294456299</v>
      </c>
      <c r="H630">
        <v>0.85960324257915</v>
      </c>
      <c r="I630">
        <v>1.7593562650147501E-3</v>
      </c>
    </row>
    <row r="631" spans="1:9" x14ac:dyDescent="0.25">
      <c r="A631" s="1">
        <v>8.2573878765106201</v>
      </c>
      <c r="B631">
        <v>5.4434803947118597</v>
      </c>
      <c r="C631">
        <v>6.9149752927109498</v>
      </c>
      <c r="D631">
        <v>6.4014180097654396</v>
      </c>
      <c r="E631">
        <v>-0.21051551006960401</v>
      </c>
      <c r="F631">
        <v>2.0590622225840601E-3</v>
      </c>
      <c r="G631">
        <v>0.10768233674631</v>
      </c>
      <c r="H631">
        <v>0.83750982210278901</v>
      </c>
      <c r="I631">
        <v>4.2451660476282797E-3</v>
      </c>
    </row>
    <row r="632" spans="1:9" x14ac:dyDescent="0.25">
      <c r="A632" s="1">
        <v>9.9880245327949506</v>
      </c>
      <c r="B632">
        <v>6.3372037119475699</v>
      </c>
      <c r="C632">
        <v>7.4289173275415603</v>
      </c>
      <c r="D632">
        <v>7.2572283050027604</v>
      </c>
      <c r="E632">
        <v>-0.29587436382412102</v>
      </c>
      <c r="F632">
        <v>2.02042234101814E-3</v>
      </c>
      <c r="G632">
        <v>0.108895975274985</v>
      </c>
      <c r="H632">
        <v>0.81129492916304102</v>
      </c>
      <c r="I632">
        <v>8.2068591975451403E-3</v>
      </c>
    </row>
    <row r="633" spans="1:9" x14ac:dyDescent="0.25">
      <c r="A633" s="1">
        <v>11.874474287032999</v>
      </c>
      <c r="B633">
        <v>7.1810628353861699</v>
      </c>
      <c r="C633">
        <v>7.7789823821163901</v>
      </c>
      <c r="D633">
        <v>7.7718960320572501</v>
      </c>
      <c r="E633">
        <v>-0.38416603155276502</v>
      </c>
      <c r="F633">
        <v>1.78859311931978E-3</v>
      </c>
      <c r="G633">
        <v>0.111193078484429</v>
      </c>
      <c r="H633">
        <v>0.78527322464048299</v>
      </c>
      <c r="I633">
        <v>1.09295215704869E-2</v>
      </c>
    </row>
    <row r="634" spans="1:9" x14ac:dyDescent="0.25">
      <c r="A634" s="1">
        <v>13.9306750893592</v>
      </c>
      <c r="B634">
        <v>7.9583332843390799</v>
      </c>
      <c r="C634">
        <v>7.9240042073924197</v>
      </c>
      <c r="D634">
        <v>7.9424391290851899</v>
      </c>
      <c r="E634">
        <v>-0.46842574696866002</v>
      </c>
      <c r="F634">
        <v>1.43886164519683E-3</v>
      </c>
      <c r="G634">
        <v>0.113354726791331</v>
      </c>
      <c r="H634">
        <v>0.76063692275470995</v>
      </c>
      <c r="I634">
        <v>9.8607238211518896E-3</v>
      </c>
    </row>
    <row r="635" spans="1:9" x14ac:dyDescent="0.25">
      <c r="A635" s="1">
        <v>16.171883344650201</v>
      </c>
      <c r="B635">
        <v>8.6615220568386402</v>
      </c>
      <c r="C635">
        <v>7.87029379794041</v>
      </c>
      <c r="D635">
        <v>7.8254330200784601</v>
      </c>
      <c r="E635">
        <v>-0.54412305047251797</v>
      </c>
      <c r="F635">
        <v>1.09087904506929E-3</v>
      </c>
      <c r="G635">
        <v>0.113590968059607</v>
      </c>
      <c r="H635">
        <v>0.736793501056761</v>
      </c>
      <c r="I635">
        <v>5.4595182564100599E-3</v>
      </c>
    </row>
    <row r="636" spans="1:9" x14ac:dyDescent="0.25">
      <c r="A636" s="1">
        <v>18.614838719367899</v>
      </c>
      <c r="B636">
        <v>9.2907169125286497</v>
      </c>
      <c r="C636">
        <v>7.6527808033445197</v>
      </c>
      <c r="D636">
        <v>7.4994807534108601</v>
      </c>
      <c r="E636">
        <v>-0.60917540598475195</v>
      </c>
      <c r="F636">
        <v>8.6885349229115104E-4</v>
      </c>
      <c r="G636">
        <v>0.111155000413144</v>
      </c>
      <c r="H636">
        <v>0.71305174901075496</v>
      </c>
      <c r="I636">
        <v>-1.61843300546975E-4</v>
      </c>
    </row>
    <row r="637" spans="1:9" x14ac:dyDescent="0.25">
      <c r="A637" s="1">
        <v>21.2777170538902</v>
      </c>
      <c r="B637">
        <v>9.85070284151114</v>
      </c>
      <c r="C637">
        <v>7.3159271761055704</v>
      </c>
      <c r="D637">
        <v>7.0396005830796202</v>
      </c>
      <c r="E637">
        <v>-0.66324930904363899</v>
      </c>
      <c r="F637">
        <v>8.6126286012969003E-4</v>
      </c>
      <c r="G637">
        <v>0.106365732700739</v>
      </c>
      <c r="H637">
        <v>0.68918891560008499</v>
      </c>
      <c r="I637">
        <v>-5.30985187710148E-3</v>
      </c>
    </row>
    <row r="638" spans="1:9" x14ac:dyDescent="0.25">
      <c r="A638" s="1">
        <v>24.180224537849401</v>
      </c>
      <c r="B638">
        <v>10.348521510442801</v>
      </c>
      <c r="C638">
        <v>6.9021724662204997</v>
      </c>
      <c r="D638">
        <v>6.5066999064035604</v>
      </c>
      <c r="E638">
        <v>-0.70700244164221704</v>
      </c>
      <c r="F638">
        <v>1.10586766684369E-3</v>
      </c>
      <c r="G638">
        <v>0.100001715020285</v>
      </c>
      <c r="H638">
        <v>0.66534719026582601</v>
      </c>
      <c r="I638">
        <v>-9.2643775050740198E-3</v>
      </c>
    </row>
    <row r="639" spans="1:9" x14ac:dyDescent="0.25">
      <c r="A639" s="1">
        <v>27.343950867652801</v>
      </c>
      <c r="B639">
        <v>10.791941737314801</v>
      </c>
      <c r="C639">
        <v>6.44709356074714</v>
      </c>
      <c r="D639">
        <v>5.9452442354936004</v>
      </c>
      <c r="E639">
        <v>-0.74152687311905596</v>
      </c>
      <c r="F639">
        <v>1.53861726310121E-3</v>
      </c>
      <c r="G639">
        <v>9.2798918350091505E-2</v>
      </c>
      <c r="H639">
        <v>0.64186683292423596</v>
      </c>
      <c r="I639">
        <v>-1.19369211133674E-2</v>
      </c>
    </row>
    <row r="640" spans="1:9" x14ac:dyDescent="0.25">
      <c r="A640" s="1">
        <v>30.7923927903175</v>
      </c>
      <c r="B640">
        <v>11.1886404014436</v>
      </c>
      <c r="C640">
        <v>5.97829963025724</v>
      </c>
      <c r="D640">
        <v>5.3866918563781896</v>
      </c>
      <c r="E640">
        <v>-0.76802408606042705</v>
      </c>
      <c r="F640">
        <v>2.0683428442070401E-3</v>
      </c>
      <c r="G640">
        <v>8.5264128177916801E-2</v>
      </c>
      <c r="H640">
        <v>0.61916462730921396</v>
      </c>
      <c r="I640">
        <v>-1.3476234902264199E-2</v>
      </c>
    </row>
    <row r="641" spans="1:9" x14ac:dyDescent="0.25">
      <c r="A641" s="1">
        <v>34.551213085651298</v>
      </c>
      <c r="B641">
        <v>11.5458388678041</v>
      </c>
      <c r="C641">
        <v>5.5158842222088902</v>
      </c>
      <c r="D641">
        <v>4.8514185867959796</v>
      </c>
      <c r="E641">
        <v>-0.78765084267587204</v>
      </c>
      <c r="F641">
        <v>2.6377888392879298E-3</v>
      </c>
      <c r="G641">
        <v>7.7688713266294396E-2</v>
      </c>
      <c r="H641">
        <v>0.59764815118711601</v>
      </c>
      <c r="I641">
        <v>-1.40850153932001E-2</v>
      </c>
    </row>
    <row r="642" spans="1:9" x14ac:dyDescent="0.25">
      <c r="A642" s="1">
        <v>38.6483111977577</v>
      </c>
      <c r="B642">
        <v>11.8700856774357</v>
      </c>
      <c r="C642">
        <v>5.0734124268546203</v>
      </c>
      <c r="D642">
        <v>4.3519301214806099</v>
      </c>
      <c r="E642">
        <v>-0.80141673465228302</v>
      </c>
      <c r="F642">
        <v>3.11606525068464E-3</v>
      </c>
      <c r="G642">
        <v>7.0242725237835105E-2</v>
      </c>
      <c r="H642">
        <v>0.577695201608589</v>
      </c>
      <c r="I642">
        <v>-1.3963302845371599E-2</v>
      </c>
    </row>
    <row r="643" spans="1:9" x14ac:dyDescent="0.25">
      <c r="A643" s="1">
        <v>43.1141293048858</v>
      </c>
      <c r="B643">
        <v>12.1671980410126</v>
      </c>
      <c r="C643">
        <v>4.6591930336551304</v>
      </c>
      <c r="D643">
        <v>3.8953524284678398</v>
      </c>
      <c r="E643">
        <v>-0.81015354694192099</v>
      </c>
      <c r="F643">
        <v>3.4564478555284498E-3</v>
      </c>
      <c r="G643">
        <v>6.3040769046981707E-2</v>
      </c>
      <c r="H643">
        <v>0.55956878076316796</v>
      </c>
      <c r="I643">
        <v>-1.32980160960267E-2</v>
      </c>
    </row>
    <row r="644" spans="1:9" x14ac:dyDescent="0.25">
      <c r="A644" s="1">
        <v>47.981887757778097</v>
      </c>
      <c r="B644">
        <v>12.4421866162923</v>
      </c>
      <c r="C644">
        <v>4.2775978999755901</v>
      </c>
      <c r="D644">
        <v>3.4843385882791198</v>
      </c>
      <c r="E644">
        <v>-0.81455991091918101</v>
      </c>
      <c r="F644">
        <v>3.60048848049256E-3</v>
      </c>
      <c r="G644">
        <v>5.6164993297904003E-2</v>
      </c>
      <c r="H644">
        <v>0.54329269583949802</v>
      </c>
      <c r="I644">
        <v>-1.2269585938616301E-2</v>
      </c>
    </row>
    <row r="645" spans="1:9" x14ac:dyDescent="0.25">
      <c r="A645" s="1">
        <v>53.287820518016801</v>
      </c>
      <c r="B645">
        <v>12.6992346129623</v>
      </c>
      <c r="C645">
        <v>3.9298748607508598</v>
      </c>
      <c r="D645">
        <v>3.1188443729391002</v>
      </c>
      <c r="E645">
        <v>-0.81516510605888504</v>
      </c>
      <c r="F645">
        <v>3.4935353816504199E-3</v>
      </c>
      <c r="G645">
        <v>4.9706428995867698E-2</v>
      </c>
      <c r="H645">
        <v>0.52885757668656797</v>
      </c>
      <c r="I645">
        <v>-1.10411020438004E-2</v>
      </c>
    </row>
    <row r="646" spans="1:9" x14ac:dyDescent="0.25">
      <c r="A646" s="1">
        <v>59.071175158023799</v>
      </c>
      <c r="B646">
        <v>12.941852416774401</v>
      </c>
      <c r="C646">
        <v>3.6153160178775399</v>
      </c>
      <c r="D646">
        <v>2.7963807966395202</v>
      </c>
      <c r="E646">
        <v>-0.81237289652634803</v>
      </c>
      <c r="F646">
        <v>3.0863691883957901E-3</v>
      </c>
      <c r="G646">
        <v>4.3758437264619601E-2</v>
      </c>
      <c r="H646">
        <v>0.51615884853100702</v>
      </c>
      <c r="I646">
        <v>-9.7641954672943107E-3</v>
      </c>
    </row>
    <row r="647" spans="1:9" x14ac:dyDescent="0.25">
      <c r="A647" s="1">
        <v>65.375131070613804</v>
      </c>
      <c r="B647">
        <v>13.172919379851001</v>
      </c>
      <c r="C647">
        <v>3.3322932629449098</v>
      </c>
      <c r="D647">
        <v>2.51409499734641</v>
      </c>
      <c r="E647">
        <v>-0.80648412600140496</v>
      </c>
      <c r="F647">
        <v>2.4693734247020899E-3</v>
      </c>
      <c r="G647">
        <v>3.83670587674321E-2</v>
      </c>
      <c r="H647">
        <v>0.50479008716743901</v>
      </c>
      <c r="I647">
        <v>-8.5371148849790694E-3</v>
      </c>
    </row>
    <row r="648" spans="1:9" x14ac:dyDescent="0.25">
      <c r="A648" s="1">
        <v>72.246375679969702</v>
      </c>
      <c r="B648">
        <v>13.394821728697099</v>
      </c>
      <c r="C648">
        <v>3.0779941745875199</v>
      </c>
      <c r="D648">
        <v>2.2678802289336</v>
      </c>
      <c r="E648">
        <v>-0.79773062181718302</v>
      </c>
      <c r="F648">
        <v>1.7422787293868401E-3</v>
      </c>
      <c r="G648">
        <v>3.3555161065804903E-2</v>
      </c>
      <c r="H648">
        <v>0.49448406856600002</v>
      </c>
      <c r="I648">
        <v>-7.4206784610080199E-3</v>
      </c>
    </row>
    <row r="649" spans="1:9" x14ac:dyDescent="0.25">
      <c r="A649" s="1">
        <v>79.736069738864799</v>
      </c>
      <c r="B649">
        <v>13.609511070629701</v>
      </c>
      <c r="C649">
        <v>2.8489224686804402</v>
      </c>
      <c r="D649">
        <v>2.05302453335376</v>
      </c>
      <c r="E649">
        <v>-0.78625006335749303</v>
      </c>
      <c r="F649">
        <v>1.08243689188409E-3</v>
      </c>
      <c r="G649">
        <v>2.9280823861196799E-2</v>
      </c>
      <c r="H649">
        <v>0.48479489007065302</v>
      </c>
      <c r="I649">
        <v>-6.4217578048233696E-3</v>
      </c>
    </row>
    <row r="650" spans="1:9" x14ac:dyDescent="0.25">
      <c r="A650" s="1">
        <v>87.899753153324099</v>
      </c>
      <c r="B650">
        <v>13.818558721175499</v>
      </c>
      <c r="C650">
        <v>2.6413655430040701</v>
      </c>
      <c r="D650">
        <v>1.86502162737861</v>
      </c>
      <c r="E650">
        <v>-0.77208462976944703</v>
      </c>
      <c r="F650">
        <v>7.0013062339016705E-4</v>
      </c>
      <c r="G650">
        <v>2.5504543646392899E-2</v>
      </c>
      <c r="H650">
        <v>0.47560265935495999</v>
      </c>
      <c r="I650">
        <v>-5.5466516260227099E-3</v>
      </c>
    </row>
    <row r="651" spans="1:9" x14ac:dyDescent="0.25">
      <c r="A651" s="1">
        <v>96.798263192176805</v>
      </c>
      <c r="B651">
        <v>14.0231933153478</v>
      </c>
      <c r="C651">
        <v>2.45196617506573</v>
      </c>
      <c r="D651">
        <v>1.69960834827333</v>
      </c>
      <c r="E651">
        <v>-0.75530972042445399</v>
      </c>
      <c r="F651">
        <v>7.7801777031261999E-4</v>
      </c>
      <c r="G651">
        <v>2.21798823711753E-2</v>
      </c>
      <c r="H651">
        <v>0.466658372734023</v>
      </c>
      <c r="I651">
        <v>-4.78466882135699E-3</v>
      </c>
    </row>
    <row r="652" spans="1:9" x14ac:dyDescent="0.25">
      <c r="A652" s="1">
        <v>106.497616767883</v>
      </c>
      <c r="B652">
        <v>14.2244596108106</v>
      </c>
      <c r="C652">
        <v>2.27734096101605</v>
      </c>
      <c r="D652">
        <v>1.55322576998533</v>
      </c>
      <c r="E652">
        <v>-0.73583403640044298</v>
      </c>
      <c r="F652">
        <v>1.0472640484512901E-3</v>
      </c>
      <c r="G652">
        <v>1.9267313689968001E-2</v>
      </c>
      <c r="H652">
        <v>0.45795691766028301</v>
      </c>
      <c r="I652">
        <v>-4.1279866317769096E-3</v>
      </c>
    </row>
    <row r="653" spans="1:9" x14ac:dyDescent="0.25">
      <c r="A653" s="1">
        <v>117.06990510225199</v>
      </c>
      <c r="B653">
        <v>14.4235193780867</v>
      </c>
      <c r="C653">
        <v>2.1135023228563998</v>
      </c>
      <c r="D653">
        <v>1.42166984735615</v>
      </c>
      <c r="E653">
        <v>-0.71342201665206595</v>
      </c>
      <c r="F653">
        <v>1.2365730056885899E-3</v>
      </c>
      <c r="G653">
        <v>1.6722556014323001E-2</v>
      </c>
      <c r="H653">
        <v>0.45009499475583598</v>
      </c>
      <c r="I653">
        <v>-3.5628442191087501E-3</v>
      </c>
    </row>
    <row r="654" spans="1:9" x14ac:dyDescent="0.25">
      <c r="A654" s="1">
        <v>128.593670427799</v>
      </c>
      <c r="B654">
        <v>14.621317078104299</v>
      </c>
      <c r="C654">
        <v>1.95843029023077</v>
      </c>
      <c r="D654">
        <v>1.3022640495326601</v>
      </c>
      <c r="E654">
        <v>-0.68811059131855701</v>
      </c>
      <c r="F654">
        <v>1.53409157784137E-3</v>
      </c>
      <c r="G654">
        <v>1.4469051850903801E-2</v>
      </c>
      <c r="H654">
        <v>0.442666602137056</v>
      </c>
      <c r="I654">
        <v>-3.0592950117640499E-3</v>
      </c>
    </row>
    <row r="655" spans="1:9" x14ac:dyDescent="0.25">
      <c r="A655" s="1">
        <v>141.15461230278001</v>
      </c>
      <c r="B655">
        <v>14.818278971990701</v>
      </c>
      <c r="C655">
        <v>1.8102426668077201</v>
      </c>
      <c r="D655">
        <v>1.19279870197988</v>
      </c>
      <c r="E655">
        <v>-0.65968387322626398</v>
      </c>
      <c r="F655">
        <v>2.1654854741352402E-3</v>
      </c>
      <c r="G655">
        <v>1.24579824754749E-2</v>
      </c>
      <c r="H655">
        <v>0.43546425330336203</v>
      </c>
      <c r="I655">
        <v>-2.6084269899850402E-3</v>
      </c>
    </row>
    <row r="656" spans="1:9" x14ac:dyDescent="0.25">
      <c r="A656" s="1">
        <v>154.84601140022201</v>
      </c>
      <c r="B656">
        <v>15.0142128243354</v>
      </c>
      <c r="C656">
        <v>1.6674607066704099</v>
      </c>
      <c r="D656">
        <v>1.0909526113214401</v>
      </c>
      <c r="E656">
        <v>-0.62796452171365902</v>
      </c>
      <c r="F656">
        <v>2.2816060773285501E-3</v>
      </c>
      <c r="G656">
        <v>1.0654037606359201E-2</v>
      </c>
      <c r="H656">
        <v>0.42798638121440202</v>
      </c>
      <c r="I656">
        <v>-2.20317744217632E-3</v>
      </c>
    </row>
    <row r="657" spans="1:9" x14ac:dyDescent="0.25">
      <c r="A657" s="1">
        <v>169.76969480514501</v>
      </c>
      <c r="B657">
        <v>15.2090643077401</v>
      </c>
      <c r="C657">
        <v>1.52775355373555</v>
      </c>
      <c r="D657">
        <v>0.99447971760462806</v>
      </c>
      <c r="E657">
        <v>-0.59248900691278095</v>
      </c>
      <c r="F657">
        <v>1.89980468530232E-3</v>
      </c>
      <c r="G657">
        <v>9.0401256563557002E-3</v>
      </c>
      <c r="H657">
        <v>0.42052727563771403</v>
      </c>
      <c r="I657">
        <v>-1.8405592271001101E-3</v>
      </c>
    </row>
    <row r="658" spans="1:9" x14ac:dyDescent="0.25">
      <c r="A658" s="1">
        <v>186.03645980358101</v>
      </c>
      <c r="B658">
        <v>15.403351622005999</v>
      </c>
      <c r="C658">
        <v>1.38927620922765</v>
      </c>
      <c r="D658">
        <v>0.90179489017901804</v>
      </c>
      <c r="E658">
        <v>-0.55277816885479703</v>
      </c>
      <c r="F658">
        <v>1.7200848063508301E-3</v>
      </c>
      <c r="G658">
        <v>7.5963660014731101E-3</v>
      </c>
      <c r="H658">
        <v>0.41362023751069998</v>
      </c>
      <c r="I658">
        <v>-1.5188967855121901E-3</v>
      </c>
    </row>
    <row r="659" spans="1:9" x14ac:dyDescent="0.25">
      <c r="A659" s="1">
        <v>203.76720398664401</v>
      </c>
      <c r="B659">
        <v>15.5966359689144</v>
      </c>
      <c r="C659">
        <v>1.2519967690891001</v>
      </c>
      <c r="D659">
        <v>0.81112674440949195</v>
      </c>
      <c r="E659">
        <v>-0.50872489984503</v>
      </c>
      <c r="F659">
        <v>1.48267468119917E-3</v>
      </c>
      <c r="G659">
        <v>6.2978509358378202E-3</v>
      </c>
      <c r="H659">
        <v>0.40632502200861198</v>
      </c>
      <c r="I659">
        <v>-1.23184913237961E-3</v>
      </c>
    </row>
    <row r="660" spans="1:9" x14ac:dyDescent="0.25">
      <c r="A660" s="1">
        <v>223.09376105666101</v>
      </c>
      <c r="B660">
        <v>15.787262452325001</v>
      </c>
      <c r="C660">
        <v>1.11491461906464</v>
      </c>
      <c r="D660">
        <v>0.72144965221757695</v>
      </c>
      <c r="E660">
        <v>-0.45987449615818599</v>
      </c>
      <c r="F660">
        <v>1.15842056691492E-3</v>
      </c>
      <c r="G660">
        <v>5.1195428528831204E-3</v>
      </c>
      <c r="H660">
        <v>0.398926579747378</v>
      </c>
      <c r="I660">
        <v>-9.6945950474096895E-4</v>
      </c>
    </row>
    <row r="661" spans="1:9" x14ac:dyDescent="0.25">
      <c r="A661" s="1">
        <v>244.15970131754801</v>
      </c>
      <c r="B661">
        <v>15.973822738906501</v>
      </c>
      <c r="C661">
        <v>0.97707084908196695</v>
      </c>
      <c r="D661">
        <v>0.631183116755623</v>
      </c>
      <c r="E661">
        <v>-0.40562669656372302</v>
      </c>
      <c r="F661">
        <v>3.7213945193404998E-4</v>
      </c>
      <c r="G661">
        <v>4.06140183859787E-3</v>
      </c>
      <c r="H661">
        <v>0.39204044229108798</v>
      </c>
      <c r="I661">
        <v>-7.3565040907116097E-4</v>
      </c>
    </row>
    <row r="662" spans="1:9" x14ac:dyDescent="0.25">
      <c r="A662" s="1">
        <v>267.12157949805197</v>
      </c>
      <c r="B662">
        <v>16.153479266842901</v>
      </c>
      <c r="C662">
        <v>0.83934403679926795</v>
      </c>
      <c r="D662">
        <v>0.540985416958081</v>
      </c>
      <c r="E662">
        <v>-0.34562040809153699</v>
      </c>
      <c r="F662">
        <v>-6.5514553207370204E-4</v>
      </c>
      <c r="G662">
        <v>3.1337140658156E-3</v>
      </c>
      <c r="H662">
        <v>0.38616465955470902</v>
      </c>
      <c r="I662">
        <v>-5.3827543015827299E-4</v>
      </c>
    </row>
    <row r="663" spans="1:9" x14ac:dyDescent="0.25">
      <c r="A663" s="1">
        <v>292.15002954006098</v>
      </c>
      <c r="B663">
        <v>16.321526447614801</v>
      </c>
      <c r="C663">
        <v>0.70217790613886499</v>
      </c>
      <c r="D663">
        <v>0.44991762209821201</v>
      </c>
      <c r="E663">
        <v>-0.27934331883187202</v>
      </c>
      <c r="F663">
        <v>-1.2169409248233599E-3</v>
      </c>
      <c r="G663">
        <v>2.3412429132989702E-3</v>
      </c>
      <c r="H663">
        <v>0.382520884446856</v>
      </c>
      <c r="I663">
        <v>-3.7867802644533499E-4</v>
      </c>
    </row>
    <row r="664" spans="1:9" x14ac:dyDescent="0.25">
      <c r="A664" s="1">
        <v>319.43101242184599</v>
      </c>
      <c r="B664">
        <v>16.468536388060201</v>
      </c>
      <c r="C664">
        <v>0.57280276780685702</v>
      </c>
      <c r="D664">
        <v>0.36241936431459498</v>
      </c>
      <c r="E664">
        <v>-0.206474773969063</v>
      </c>
      <c r="F664">
        <v>-9.2047663088655896E-4</v>
      </c>
      <c r="G664">
        <v>1.7005779334204E-3</v>
      </c>
      <c r="H664">
        <v>0.38240371752839097</v>
      </c>
      <c r="I664">
        <v>-2.6136323394156699E-4</v>
      </c>
    </row>
    <row r="665" spans="1:9" x14ac:dyDescent="0.25">
      <c r="A665" s="1">
        <v>349.16732590645501</v>
      </c>
      <c r="B665">
        <v>16.582590492746</v>
      </c>
      <c r="C665">
        <v>0.46534493018127399</v>
      </c>
      <c r="D665">
        <v>0.28770806298695101</v>
      </c>
      <c r="E665">
        <v>-0.125713833878766</v>
      </c>
      <c r="F665">
        <v>-1.0411553248001299E-3</v>
      </c>
      <c r="G665">
        <v>1.25828545927699E-3</v>
      </c>
      <c r="H665">
        <v>0.38691850979471598</v>
      </c>
      <c r="I665">
        <v>-1.91684569658361E-4</v>
      </c>
    </row>
    <row r="666" spans="1:9" x14ac:dyDescent="0.25">
      <c r="A666" s="1">
        <v>379.83785875141598</v>
      </c>
      <c r="B666">
        <v>16.642806145480002</v>
      </c>
      <c r="C666">
        <v>0.40398942150735501</v>
      </c>
      <c r="D666">
        <v>0.24401946539456601</v>
      </c>
      <c r="E666">
        <v>-4.14978499858644E-2</v>
      </c>
      <c r="F666">
        <v>-1.3697611441049601E-3</v>
      </c>
      <c r="G666">
        <v>1.0282328554264699E-3</v>
      </c>
      <c r="H666">
        <v>0.40771080804759602</v>
      </c>
      <c r="I666">
        <v>-1.52174012831E-4</v>
      </c>
    </row>
    <row r="667" spans="1:9" x14ac:dyDescent="0.25">
      <c r="A667" s="1" t="s">
        <v>532</v>
      </c>
      <c r="B667" s="1" t="s">
        <v>614</v>
      </c>
      <c r="C667" s="1" t="s">
        <v>615</v>
      </c>
      <c r="D667" s="1" t="s">
        <v>616</v>
      </c>
      <c r="E667" s="1" t="s">
        <v>617</v>
      </c>
      <c r="F667" s="1" t="s">
        <v>618</v>
      </c>
      <c r="G667" s="1" t="s">
        <v>400</v>
      </c>
      <c r="H667" s="1" t="s">
        <v>619</v>
      </c>
      <c r="I667" s="1" t="s">
        <v>613</v>
      </c>
    </row>
    <row r="668" spans="1:9" x14ac:dyDescent="0.25">
      <c r="A668" s="1">
        <v>-141.555516719818</v>
      </c>
      <c r="B668">
        <v>-4.49773995085022</v>
      </c>
      <c r="C668">
        <v>4.8396222199160698E-3</v>
      </c>
      <c r="D668">
        <v>0</v>
      </c>
      <c r="E668">
        <v>0</v>
      </c>
      <c r="F668">
        <v>0</v>
      </c>
      <c r="G668" s="1">
        <v>1.3332447986846799E-6</v>
      </c>
      <c r="H668">
        <v>1.89253949546388E-2</v>
      </c>
      <c r="I668">
        <v>0</v>
      </c>
    </row>
    <row r="669" spans="1:9" x14ac:dyDescent="0.25">
      <c r="A669" s="1">
        <v>-128.95890593528699</v>
      </c>
      <c r="B669">
        <v>-4.0977262706529203</v>
      </c>
      <c r="C669">
        <v>4.9054416633187402E-3</v>
      </c>
      <c r="D669">
        <v>0</v>
      </c>
      <c r="E669">
        <v>0</v>
      </c>
      <c r="F669">
        <v>0</v>
      </c>
      <c r="G669" s="1">
        <v>1.57761219750085E-6</v>
      </c>
      <c r="H669">
        <v>0.13823274372517799</v>
      </c>
      <c r="I669">
        <v>0</v>
      </c>
    </row>
    <row r="670" spans="1:9" x14ac:dyDescent="0.25">
      <c r="A670" s="1">
        <v>-117.402367591857</v>
      </c>
      <c r="B670">
        <v>-3.7307060374911698</v>
      </c>
      <c r="C670">
        <v>5.0306615127483799E-3</v>
      </c>
      <c r="D670">
        <v>0</v>
      </c>
      <c r="E670">
        <v>0</v>
      </c>
      <c r="F670">
        <v>0</v>
      </c>
      <c r="G670" s="1">
        <v>2.0386148044670901E-6</v>
      </c>
      <c r="H670">
        <v>0.28326522532551701</v>
      </c>
      <c r="I670">
        <v>0</v>
      </c>
    </row>
    <row r="671" spans="1:9" x14ac:dyDescent="0.25">
      <c r="A671" s="1">
        <v>-106.80001378059301</v>
      </c>
      <c r="B671">
        <v>-3.3939587024073901</v>
      </c>
      <c r="C671">
        <v>5.2153655968317E-3</v>
      </c>
      <c r="D671">
        <v>0</v>
      </c>
      <c r="E671">
        <v>0</v>
      </c>
      <c r="F671">
        <v>0</v>
      </c>
      <c r="G671" s="1">
        <v>2.7110682207842599E-6</v>
      </c>
      <c r="H671">
        <v>0.40280631774463999</v>
      </c>
      <c r="I671">
        <v>0</v>
      </c>
    </row>
    <row r="672" spans="1:9" x14ac:dyDescent="0.25">
      <c r="A672" s="1">
        <v>-97.073161005973802</v>
      </c>
      <c r="B672">
        <v>-3.0849904288571102</v>
      </c>
      <c r="C672">
        <v>5.4624258843196704E-3</v>
      </c>
      <c r="D672">
        <v>0</v>
      </c>
      <c r="E672">
        <v>0</v>
      </c>
      <c r="F672">
        <v>0</v>
      </c>
      <c r="G672" s="1">
        <v>3.6107007709951202E-6</v>
      </c>
      <c r="H672">
        <v>0.48926111742071798</v>
      </c>
      <c r="I672">
        <v>0</v>
      </c>
    </row>
    <row r="673" spans="1:9" x14ac:dyDescent="0.25">
      <c r="A673" s="1">
        <v>-88.149435520172105</v>
      </c>
      <c r="B673">
        <v>-2.8015111080404198</v>
      </c>
      <c r="C673">
        <v>5.7756867560330698E-3</v>
      </c>
      <c r="D673">
        <v>0</v>
      </c>
      <c r="E673">
        <v>0</v>
      </c>
      <c r="F673">
        <v>0</v>
      </c>
      <c r="G673" s="1">
        <v>4.7716800893882203E-6</v>
      </c>
      <c r="H673">
        <v>0.54919444268029805</v>
      </c>
      <c r="I673">
        <v>0</v>
      </c>
    </row>
    <row r="674" spans="1:9" x14ac:dyDescent="0.25">
      <c r="A674" s="1">
        <v>-79.962490797042804</v>
      </c>
      <c r="B674">
        <v>-2.54141868753692</v>
      </c>
      <c r="C674">
        <v>6.1591311894555103E-3</v>
      </c>
      <c r="D674">
        <v>0</v>
      </c>
      <c r="E674">
        <v>0</v>
      </c>
      <c r="F674">
        <v>0</v>
      </c>
      <c r="G674" s="1">
        <v>6.2462605832758198E-6</v>
      </c>
      <c r="H674">
        <v>0.59042165232196397</v>
      </c>
      <c r="I674">
        <v>0</v>
      </c>
    </row>
    <row r="675" spans="1:9" x14ac:dyDescent="0.25">
      <c r="A675" s="1">
        <v>-72.451583743095298</v>
      </c>
      <c r="B675">
        <v>-2.3027876789714998</v>
      </c>
      <c r="C675">
        <v>6.6165582979493204E-3</v>
      </c>
      <c r="D675">
        <v>0</v>
      </c>
      <c r="E675">
        <v>0</v>
      </c>
      <c r="F675">
        <v>0</v>
      </c>
      <c r="G675" s="1">
        <v>8.1061990228059599E-6</v>
      </c>
      <c r="H675">
        <v>0.61900651475444501</v>
      </c>
      <c r="I675">
        <v>0</v>
      </c>
    </row>
    <row r="676" spans="1:9" x14ac:dyDescent="0.25">
      <c r="A676" s="1">
        <v>-65.560821294784503</v>
      </c>
      <c r="B676">
        <v>-2.0838461733456501</v>
      </c>
      <c r="C676">
        <v>7.1515050907040396E-3</v>
      </c>
      <c r="D676">
        <v>0</v>
      </c>
      <c r="E676">
        <v>0</v>
      </c>
      <c r="F676">
        <v>0</v>
      </c>
      <c r="G676" s="1">
        <v>1.0445962952654301E-5</v>
      </c>
      <c r="H676">
        <v>0.639188614984605</v>
      </c>
      <c r="I676">
        <v>0</v>
      </c>
    </row>
    <row r="677" spans="1:9" x14ac:dyDescent="0.25">
      <c r="A677" s="1">
        <v>-59.238972067832897</v>
      </c>
      <c r="B677">
        <v>-1.88297061724922</v>
      </c>
      <c r="C677">
        <v>7.7672900636222399E-3</v>
      </c>
      <c r="D677">
        <v>0</v>
      </c>
      <c r="E677">
        <v>0</v>
      </c>
      <c r="F677">
        <v>0</v>
      </c>
      <c r="G677" s="1">
        <v>1.3387837767408999E-5</v>
      </c>
      <c r="H677">
        <v>0.65384829905045505</v>
      </c>
      <c r="I677">
        <v>0</v>
      </c>
    </row>
    <row r="678" spans="1:9" x14ac:dyDescent="0.25">
      <c r="A678" s="1">
        <v>-53.439136743545497</v>
      </c>
      <c r="B678">
        <v>-1.6986722310107001</v>
      </c>
      <c r="C678">
        <v>8.46710708738143E-3</v>
      </c>
      <c r="D678">
        <v>0</v>
      </c>
      <c r="E678">
        <v>0</v>
      </c>
      <c r="F678">
        <v>0</v>
      </c>
      <c r="G678" s="1">
        <v>1.7089001532033501E-5</v>
      </c>
      <c r="H678">
        <v>0.66493142438331099</v>
      </c>
      <c r="I678">
        <v>0</v>
      </c>
    </row>
    <row r="679" spans="1:9" x14ac:dyDescent="0.25">
      <c r="A679" s="1">
        <v>-48.118183016777003</v>
      </c>
      <c r="B679">
        <v>-1.5295823820900001</v>
      </c>
      <c r="C679">
        <v>9.2541455617990692E-3</v>
      </c>
      <c r="D679">
        <v>0</v>
      </c>
      <c r="E679">
        <v>0</v>
      </c>
      <c r="F679">
        <v>0</v>
      </c>
      <c r="G679" s="1">
        <v>2.17506000047329E-5</v>
      </c>
      <c r="H679">
        <v>0.67375079054912601</v>
      </c>
      <c r="I679">
        <v>0</v>
      </c>
    </row>
    <row r="680" spans="1:9" x14ac:dyDescent="0.25">
      <c r="A680" s="1">
        <v>-43.236604332923797</v>
      </c>
      <c r="B680">
        <v>-1.3744473612900601</v>
      </c>
      <c r="C680">
        <v>1.0131708893624899E-2</v>
      </c>
      <c r="D680">
        <v>0</v>
      </c>
      <c r="E680">
        <v>0</v>
      </c>
      <c r="F680">
        <v>0</v>
      </c>
      <c r="G680" s="1">
        <v>2.7628727482476E-5</v>
      </c>
      <c r="H680">
        <v>0.68118671492781102</v>
      </c>
      <c r="I680">
        <v>0</v>
      </c>
    </row>
    <row r="681" spans="1:9" x14ac:dyDescent="0.25">
      <c r="A681" s="1">
        <v>-38.758049011230398</v>
      </c>
      <c r="B681">
        <v>-1.2321158456649399</v>
      </c>
      <c r="C681">
        <v>1.1103325150328301E-2</v>
      </c>
      <c r="D681">
        <v>0</v>
      </c>
      <c r="E681">
        <v>0</v>
      </c>
      <c r="F681">
        <v>0</v>
      </c>
      <c r="G681" s="1">
        <v>3.5047117389908E-5</v>
      </c>
      <c r="H681">
        <v>0.68781994724950901</v>
      </c>
      <c r="I681">
        <v>0</v>
      </c>
    </row>
    <row r="682" spans="1:9" x14ac:dyDescent="0.25">
      <c r="A682" s="1">
        <v>-34.649320244789102</v>
      </c>
      <c r="B682">
        <v>-1.10153158521613</v>
      </c>
      <c r="C682">
        <v>1.21728364772999E-2</v>
      </c>
      <c r="D682">
        <v>0</v>
      </c>
      <c r="E682">
        <v>0</v>
      </c>
      <c r="F682">
        <v>0</v>
      </c>
      <c r="G682" s="1">
        <v>4.4411153256174101E-5</v>
      </c>
      <c r="H682">
        <v>0.69402178124420499</v>
      </c>
      <c r="I682">
        <v>0</v>
      </c>
    </row>
    <row r="683" spans="1:9" x14ac:dyDescent="0.25">
      <c r="A683" s="1">
        <v>-30.879811048507602</v>
      </c>
      <c r="B683">
        <v>-0.98172608958891205</v>
      </c>
      <c r="C683">
        <v>1.33444577778907E-2</v>
      </c>
      <c r="D683">
        <v>0</v>
      </c>
      <c r="E683">
        <v>0</v>
      </c>
      <c r="F683">
        <v>0</v>
      </c>
      <c r="G683" s="1">
        <v>5.6222578507991699E-5</v>
      </c>
      <c r="H683">
        <v>0.700017842568886</v>
      </c>
      <c r="I683">
        <v>0</v>
      </c>
    </row>
    <row r="684" spans="1:9" x14ac:dyDescent="0.25">
      <c r="A684" s="1">
        <v>-27.4215984344482</v>
      </c>
      <c r="B684">
        <v>-0.87180818049570996</v>
      </c>
      <c r="C684">
        <v>1.46227873317041E-2</v>
      </c>
      <c r="D684">
        <v>0</v>
      </c>
      <c r="E684">
        <v>0</v>
      </c>
      <c r="F684">
        <v>0</v>
      </c>
      <c r="G684" s="1">
        <v>7.1093966849744504E-5</v>
      </c>
      <c r="H684">
        <v>0.70593468019531902</v>
      </c>
      <c r="I684">
        <v>0</v>
      </c>
    </row>
    <row r="685" spans="1:9" x14ac:dyDescent="0.25">
      <c r="A685" s="1">
        <v>-24.248878359794599</v>
      </c>
      <c r="B685">
        <v>-0.77096399171611796</v>
      </c>
      <c r="C685">
        <v>1.6012772145430999E-2</v>
      </c>
      <c r="D685">
        <v>0</v>
      </c>
      <c r="E685">
        <v>0</v>
      </c>
      <c r="F685">
        <v>0</v>
      </c>
      <c r="G685" s="1">
        <v>8.9761863671533607E-5</v>
      </c>
      <c r="H685">
        <v>0.71183464946960995</v>
      </c>
      <c r="I685">
        <v>0</v>
      </c>
    </row>
    <row r="686" spans="1:9" x14ac:dyDescent="0.25">
      <c r="A686" s="1">
        <v>-21.3381540775299</v>
      </c>
      <c r="B686">
        <v>-0.67844338724723596</v>
      </c>
      <c r="C686">
        <v>1.7519615182502401E-2</v>
      </c>
      <c r="D686">
        <v>0</v>
      </c>
      <c r="E686">
        <v>0</v>
      </c>
      <c r="F686">
        <v>0</v>
      </c>
      <c r="G686">
        <v>1.13097132911121E-4</v>
      </c>
      <c r="H686">
        <v>0.71774142497466997</v>
      </c>
      <c r="I686">
        <v>0</v>
      </c>
    </row>
    <row r="687" spans="1:9" x14ac:dyDescent="0.25">
      <c r="A687" s="1">
        <v>-18.6677181720733</v>
      </c>
      <c r="B687">
        <v>-0.59355996130368205</v>
      </c>
      <c r="C687">
        <v>1.9148615529840901E-2</v>
      </c>
      <c r="D687">
        <v>0</v>
      </c>
      <c r="E687">
        <v>0</v>
      </c>
      <c r="F687">
        <v>0</v>
      </c>
      <c r="G687">
        <v>1.4211110630775101E-4</v>
      </c>
      <c r="H687">
        <v>0.72365804643482601</v>
      </c>
      <c r="I687">
        <v>0</v>
      </c>
    </row>
    <row r="688" spans="1:9" x14ac:dyDescent="0.25">
      <c r="A688" s="1">
        <v>-16.2178409099578</v>
      </c>
      <c r="B688">
        <v>-0.515683725013943</v>
      </c>
      <c r="C688">
        <v>2.09049593851524E-2</v>
      </c>
      <c r="D688">
        <v>0</v>
      </c>
      <c r="E688">
        <v>0</v>
      </c>
      <c r="F688">
        <v>0</v>
      </c>
      <c r="G688">
        <v>1.7795633966350899E-4</v>
      </c>
      <c r="H688">
        <v>0.72957894359649</v>
      </c>
      <c r="I688">
        <v>0</v>
      </c>
    </row>
    <row r="689" spans="1:9" x14ac:dyDescent="0.25">
      <c r="A689" s="1">
        <v>-13.9702051877975</v>
      </c>
      <c r="B689">
        <v>-0.444235882632048</v>
      </c>
      <c r="C689">
        <v>2.27934618647548E-2</v>
      </c>
      <c r="D689">
        <v>0</v>
      </c>
      <c r="E689">
        <v>0</v>
      </c>
      <c r="F689">
        <v>0</v>
      </c>
      <c r="G689">
        <v>2.2192135478178401E-4</v>
      </c>
      <c r="H689">
        <v>0.73549751550169196</v>
      </c>
      <c r="I689">
        <v>0</v>
      </c>
    </row>
    <row r="690" spans="1:9" x14ac:dyDescent="0.25">
      <c r="A690" s="1">
        <v>-11.908189058303799</v>
      </c>
      <c r="B690">
        <v>-0.37868569726458301</v>
      </c>
      <c r="C690">
        <v>2.4818258514232298E-2</v>
      </c>
      <c r="D690">
        <v>0</v>
      </c>
      <c r="E690">
        <v>0</v>
      </c>
      <c r="F690">
        <v>0</v>
      </c>
      <c r="G690">
        <v>2.7541997476063701E-4</v>
      </c>
      <c r="H690">
        <v>0.741410747435717</v>
      </c>
      <c r="I690">
        <v>0</v>
      </c>
    </row>
    <row r="691" spans="1:9" x14ac:dyDescent="0.25">
      <c r="A691" s="1">
        <v>-10.016394853591899</v>
      </c>
      <c r="B691">
        <v>-0.31854735659769301</v>
      </c>
      <c r="C691">
        <v>2.69825035253792E-2</v>
      </c>
      <c r="D691">
        <v>0</v>
      </c>
      <c r="E691">
        <v>0</v>
      </c>
      <c r="F691">
        <v>0</v>
      </c>
      <c r="G691">
        <v>3.3997737514965802E-4</v>
      </c>
      <c r="H691">
        <v>0.74732200224785605</v>
      </c>
      <c r="I691">
        <v>0</v>
      </c>
    </row>
    <row r="692" spans="1:9" x14ac:dyDescent="0.25">
      <c r="A692" s="1">
        <v>-8.2808375358581507</v>
      </c>
      <c r="B692">
        <v>-0.26337370435109903</v>
      </c>
      <c r="C692">
        <v>2.9288052305133198E-2</v>
      </c>
      <c r="D692">
        <v>0</v>
      </c>
      <c r="E692">
        <v>0</v>
      </c>
      <c r="F692">
        <v>0</v>
      </c>
      <c r="G692">
        <v>4.1721705561599201E-4</v>
      </c>
      <c r="H692">
        <v>0.75324313911077601</v>
      </c>
      <c r="I692">
        <v>0</v>
      </c>
    </row>
    <row r="693" spans="1:9" x14ac:dyDescent="0.25">
      <c r="A693" s="1">
        <v>-6.6885209083557102</v>
      </c>
      <c r="B693">
        <v>-0.21275415076276799</v>
      </c>
      <c r="C693">
        <v>3.1735199930260402E-2</v>
      </c>
      <c r="D693">
        <v>0</v>
      </c>
      <c r="E693">
        <v>0</v>
      </c>
      <c r="F693">
        <v>0</v>
      </c>
      <c r="G693">
        <v>5.0885269459968101E-4</v>
      </c>
      <c r="H693">
        <v>0.75919488625773501</v>
      </c>
      <c r="I693">
        <v>0</v>
      </c>
    </row>
    <row r="694" spans="1:9" x14ac:dyDescent="0.25">
      <c r="A694" s="1">
        <v>-5.2277201414108196</v>
      </c>
      <c r="B694">
        <v>-0.166314672588916</v>
      </c>
      <c r="C694">
        <v>3.4322477723220703E-2</v>
      </c>
      <c r="D694">
        <v>0</v>
      </c>
      <c r="E694">
        <v>0</v>
      </c>
      <c r="F694">
        <v>0</v>
      </c>
      <c r="G694">
        <v>6.1672787354893899E-4</v>
      </c>
      <c r="H694">
        <v>0.76522057010726097</v>
      </c>
      <c r="I694">
        <v>0</v>
      </c>
    </row>
    <row r="695" spans="1:9" x14ac:dyDescent="0.25">
      <c r="A695" s="1">
        <v>-3.88755798339843</v>
      </c>
      <c r="B695">
        <v>-0.12370841028502701</v>
      </c>
      <c r="C695">
        <v>3.7046440886314203E-2</v>
      </c>
      <c r="D695">
        <v>0</v>
      </c>
      <c r="E695">
        <v>0</v>
      </c>
      <c r="F695">
        <v>0</v>
      </c>
      <c r="G695">
        <v>7.4267928092694999E-4</v>
      </c>
      <c r="H695">
        <v>0.77132524861282903</v>
      </c>
      <c r="I695">
        <v>0</v>
      </c>
    </row>
    <row r="696" spans="1:9" x14ac:dyDescent="0.25">
      <c r="A696" s="1">
        <v>-2.6580518484115601</v>
      </c>
      <c r="B696">
        <v>-8.4618802278848104E-2</v>
      </c>
      <c r="C696">
        <v>3.9901907692695297E-2</v>
      </c>
      <c r="D696">
        <v>0</v>
      </c>
      <c r="E696">
        <v>0</v>
      </c>
      <c r="F696">
        <v>0</v>
      </c>
      <c r="G696">
        <v>8.8874300262489195E-4</v>
      </c>
      <c r="H696">
        <v>0.77755038715129199</v>
      </c>
      <c r="I696">
        <v>0</v>
      </c>
    </row>
    <row r="697" spans="1:9" x14ac:dyDescent="0.25">
      <c r="A697" s="1">
        <v>-1.5300196409225399</v>
      </c>
      <c r="B697">
        <v>-4.87574954550581E-2</v>
      </c>
      <c r="C697">
        <v>4.2881852185730901E-2</v>
      </c>
      <c r="D697">
        <v>0</v>
      </c>
      <c r="E697">
        <v>0</v>
      </c>
      <c r="F697">
        <v>0</v>
      </c>
      <c r="G697">
        <v>1.05596388348203E-3</v>
      </c>
      <c r="H697">
        <v>0.78369680472638004</v>
      </c>
      <c r="I697">
        <v>0</v>
      </c>
    </row>
    <row r="698" spans="1:9" x14ac:dyDescent="0.25">
      <c r="A698" s="1">
        <v>-0.49517393112182601</v>
      </c>
      <c r="B698">
        <v>-1.5857031851621101E-2</v>
      </c>
      <c r="C698">
        <v>4.5977574071683798E-2</v>
      </c>
      <c r="D698">
        <v>0</v>
      </c>
      <c r="E698">
        <v>0</v>
      </c>
      <c r="F698">
        <v>0</v>
      </c>
      <c r="G698">
        <v>1.24647026664206E-3</v>
      </c>
      <c r="H698">
        <v>0.78987447990655102</v>
      </c>
      <c r="I698">
        <v>0</v>
      </c>
    </row>
    <row r="699" spans="1:9" x14ac:dyDescent="0.25">
      <c r="A699" s="1">
        <v>0.49376130104064903</v>
      </c>
      <c r="B699">
        <v>0.35089574334808998</v>
      </c>
      <c r="C699">
        <v>0.103473773722982</v>
      </c>
      <c r="D699">
        <v>5.3430843372551197E-2</v>
      </c>
      <c r="E699">
        <v>-1.01321961749175E-4</v>
      </c>
      <c r="F699" s="1">
        <v>1.5691676362268899E-5</v>
      </c>
      <c r="G699">
        <v>0.109100247556136</v>
      </c>
      <c r="H699">
        <v>0.99822805541565496</v>
      </c>
      <c r="I699" s="1">
        <v>1.04060372993696E-6</v>
      </c>
    </row>
    <row r="700" spans="1:9" x14ac:dyDescent="0.25">
      <c r="A700" s="1">
        <v>1.5257111191749499</v>
      </c>
      <c r="B700">
        <v>1.08387473588475</v>
      </c>
      <c r="C700">
        <v>0.342745040531859</v>
      </c>
      <c r="D700">
        <v>0.32962381128058699</v>
      </c>
      <c r="E700">
        <v>-1.7577275059163101E-3</v>
      </c>
      <c r="F700">
        <v>1.19804630781877E-4</v>
      </c>
      <c r="G700">
        <v>0.111926166862271</v>
      </c>
      <c r="H700">
        <v>0.99257850574926798</v>
      </c>
      <c r="I700" s="1">
        <v>2.53620034402014E-5</v>
      </c>
    </row>
    <row r="701" spans="1:9" x14ac:dyDescent="0.25">
      <c r="A701" s="1">
        <v>2.6505178213119498</v>
      </c>
      <c r="B701">
        <v>1.87872323253789</v>
      </c>
      <c r="C701">
        <v>0.79069864686094404</v>
      </c>
      <c r="D701">
        <v>0.881411327735522</v>
      </c>
      <c r="E701">
        <v>-9.4109570221396106E-3</v>
      </c>
      <c r="F701">
        <v>3.3402386295937401E-4</v>
      </c>
      <c r="G701">
        <v>0.112431817992752</v>
      </c>
      <c r="H701">
        <v>0.98158845464322997</v>
      </c>
      <c r="I701">
        <v>1.15340027723285E-4</v>
      </c>
    </row>
    <row r="702" spans="1:9" x14ac:dyDescent="0.25">
      <c r="A702" s="1">
        <v>3.8765159249305698</v>
      </c>
      <c r="B702">
        <v>2.7325326279703601</v>
      </c>
      <c r="C702">
        <v>1.4778856518139301</v>
      </c>
      <c r="D702">
        <v>1.74465820275578</v>
      </c>
      <c r="E702">
        <v>-2.8584086742555099E-2</v>
      </c>
      <c r="F702">
        <v>6.5653101022400396E-4</v>
      </c>
      <c r="G702">
        <v>0.109880499094128</v>
      </c>
      <c r="H702">
        <v>0.96339038580186998</v>
      </c>
      <c r="I702">
        <v>2.6366005392900398E-4</v>
      </c>
    </row>
    <row r="703" spans="1:9" x14ac:dyDescent="0.25">
      <c r="A703" s="1">
        <v>5.2129346132278398</v>
      </c>
      <c r="B703">
        <v>3.6351290720481502</v>
      </c>
      <c r="C703">
        <v>2.3954597970134301</v>
      </c>
      <c r="D703">
        <v>2.8900137454119101</v>
      </c>
      <c r="E703">
        <v>-6.4901392785981699E-2</v>
      </c>
      <c r="F703">
        <v>1.04641946651639E-3</v>
      </c>
      <c r="G703">
        <v>0.10423384337750501</v>
      </c>
      <c r="H703">
        <v>0.93567446794150799</v>
      </c>
      <c r="I703">
        <v>4.8718092860761402E-4</v>
      </c>
    </row>
    <row r="704" spans="1:9" x14ac:dyDescent="0.25">
      <c r="A704" s="1">
        <v>6.6695916652679399</v>
      </c>
      <c r="B704">
        <v>4.5675220047090299</v>
      </c>
      <c r="C704">
        <v>3.4715506115877299</v>
      </c>
      <c r="D704">
        <v>4.1924140686452702</v>
      </c>
      <c r="E704">
        <v>-0.121452526355948</v>
      </c>
      <c r="F704">
        <v>1.4173876044720501E-3</v>
      </c>
      <c r="G704">
        <v>9.74755263870586E-2</v>
      </c>
      <c r="H704">
        <v>0.89762841143903505</v>
      </c>
      <c r="I704">
        <v>1.13082723567105E-3</v>
      </c>
    </row>
    <row r="705" spans="1:9" x14ac:dyDescent="0.25">
      <c r="A705" s="1">
        <v>8.2573878765106201</v>
      </c>
      <c r="B705">
        <v>5.5030732397887903</v>
      </c>
      <c r="C705">
        <v>4.5742318129031299</v>
      </c>
      <c r="D705">
        <v>5.4529645533761304</v>
      </c>
      <c r="E705">
        <v>-0.19656336514858599</v>
      </c>
      <c r="F705">
        <v>1.66704856909143E-3</v>
      </c>
      <c r="G705">
        <v>9.3028341745552606E-2</v>
      </c>
      <c r="H705">
        <v>0.853649994516401</v>
      </c>
      <c r="I705">
        <v>3.2221492050064802E-3</v>
      </c>
    </row>
    <row r="706" spans="1:9" x14ac:dyDescent="0.25">
      <c r="A706" s="1">
        <v>9.9880245327949506</v>
      </c>
      <c r="B706">
        <v>6.4121850538499698</v>
      </c>
      <c r="C706">
        <v>5.5531538841978296</v>
      </c>
      <c r="D706">
        <v>6.4758526556895797</v>
      </c>
      <c r="E706">
        <v>-0.283744261930576</v>
      </c>
      <c r="F706">
        <v>1.7160905136440201E-3</v>
      </c>
      <c r="G706">
        <v>9.3184673265813103E-2</v>
      </c>
      <c r="H706">
        <v>0.812663267991238</v>
      </c>
      <c r="I706">
        <v>7.1586620236085098E-3</v>
      </c>
    </row>
    <row r="707" spans="1:9" x14ac:dyDescent="0.25">
      <c r="A707" s="1">
        <v>11.874474287032999</v>
      </c>
      <c r="B707">
        <v>7.2690736113082703</v>
      </c>
      <c r="C707">
        <v>6.2960337137340803</v>
      </c>
      <c r="D707">
        <v>7.1453396650703196</v>
      </c>
      <c r="E707">
        <v>-0.3743809035533</v>
      </c>
      <c r="F707">
        <v>1.5569381087470499E-3</v>
      </c>
      <c r="G707">
        <v>9.7045593028854196E-2</v>
      </c>
      <c r="H707">
        <v>0.77975204410764098</v>
      </c>
      <c r="I707">
        <v>1.0410373934686801E-2</v>
      </c>
    </row>
    <row r="708" spans="1:9" x14ac:dyDescent="0.25">
      <c r="A708" s="1">
        <v>13.9306750893592</v>
      </c>
      <c r="B708">
        <v>8.0568732585957292</v>
      </c>
      <c r="C708">
        <v>6.7583117769604302</v>
      </c>
      <c r="D708">
        <v>7.4466560639293498</v>
      </c>
      <c r="E708">
        <v>-0.46099418842464202</v>
      </c>
      <c r="F708">
        <v>1.26468688179216E-3</v>
      </c>
      <c r="G708">
        <v>0.101618086659071</v>
      </c>
      <c r="H708">
        <v>0.75325186297651403</v>
      </c>
      <c r="I708">
        <v>1.00752118154706E-2</v>
      </c>
    </row>
    <row r="709" spans="1:9" x14ac:dyDescent="0.25">
      <c r="A709" s="1">
        <v>16.171883344650201</v>
      </c>
      <c r="B709">
        <v>8.7685969176435901</v>
      </c>
      <c r="C709">
        <v>6.9543085606503796</v>
      </c>
      <c r="D709">
        <v>7.4347826166074</v>
      </c>
      <c r="E709">
        <v>-0.53882503043841701</v>
      </c>
      <c r="F709">
        <v>9.6835936388898905E-4</v>
      </c>
      <c r="G709">
        <v>0.10427017767525899</v>
      </c>
      <c r="H709">
        <v>0.72969337092693998</v>
      </c>
      <c r="I709">
        <v>6.2422890269678497E-3</v>
      </c>
    </row>
    <row r="710" spans="1:9" x14ac:dyDescent="0.25">
      <c r="A710" s="1">
        <v>18.614838719367899</v>
      </c>
      <c r="B710">
        <v>9.4049163676299194</v>
      </c>
      <c r="C710">
        <v>6.9308214515488</v>
      </c>
      <c r="D710">
        <v>7.19134346113061</v>
      </c>
      <c r="E710">
        <v>-0.60573463623421198</v>
      </c>
      <c r="F710">
        <v>8.01651589471538E-4</v>
      </c>
      <c r="G710">
        <v>0.103927070571724</v>
      </c>
      <c r="H710">
        <v>0.70689910134650602</v>
      </c>
      <c r="I710">
        <v>9.1002007441581205E-4</v>
      </c>
    </row>
    <row r="711" spans="1:9" x14ac:dyDescent="0.25">
      <c r="A711" s="1">
        <v>21.2777170538902</v>
      </c>
      <c r="B711">
        <v>9.9710738923512707</v>
      </c>
      <c r="C711">
        <v>6.7440771307006804</v>
      </c>
      <c r="D711">
        <v>6.7956044733591199</v>
      </c>
      <c r="E711">
        <v>-0.66140130124246499</v>
      </c>
      <c r="F711">
        <v>8.5825465298400197E-4</v>
      </c>
      <c r="G711">
        <v>0.100824076269317</v>
      </c>
      <c r="H711">
        <v>0.68407674127666995</v>
      </c>
      <c r="I711">
        <v>-4.1754751585641597E-3</v>
      </c>
    </row>
    <row r="712" spans="1:9" x14ac:dyDescent="0.25">
      <c r="A712" s="1">
        <v>24.180224537849401</v>
      </c>
      <c r="B712">
        <v>10.4744003114722</v>
      </c>
      <c r="C712">
        <v>6.4466403228345497</v>
      </c>
      <c r="D712">
        <v>6.3122783764285204</v>
      </c>
      <c r="E712">
        <v>-0.70651406151894303</v>
      </c>
      <c r="F712">
        <v>1.1675709340598799E-3</v>
      </c>
      <c r="G712">
        <v>9.5766132034484905E-2</v>
      </c>
      <c r="H712">
        <v>0.66117927490597395</v>
      </c>
      <c r="I712">
        <v>-8.2007213287966993E-3</v>
      </c>
    </row>
    <row r="713" spans="1:9" x14ac:dyDescent="0.25">
      <c r="A713" s="1">
        <v>27.343950867652801</v>
      </c>
      <c r="B713">
        <v>10.9228228380404</v>
      </c>
      <c r="C713">
        <v>6.0822124334994401</v>
      </c>
      <c r="D713">
        <v>5.7895467594309604</v>
      </c>
      <c r="E713">
        <v>-0.74219832478252301</v>
      </c>
      <c r="F713">
        <v>1.6477418980098599E-3</v>
      </c>
      <c r="G713">
        <v>8.9554664375231699E-2</v>
      </c>
      <c r="H713">
        <v>0.638489077159901</v>
      </c>
      <c r="I713">
        <v>-1.10029538652168E-2</v>
      </c>
    </row>
    <row r="714" spans="1:9" x14ac:dyDescent="0.25">
      <c r="A714" s="1">
        <v>30.7923927903175</v>
      </c>
      <c r="B714">
        <v>11.324132148336</v>
      </c>
      <c r="C714">
        <v>5.6846615512594996</v>
      </c>
      <c r="D714">
        <v>5.2612634011746904</v>
      </c>
      <c r="E714">
        <v>-0.76968605387790501</v>
      </c>
      <c r="F714">
        <v>2.2032573941869202E-3</v>
      </c>
      <c r="G714">
        <v>8.2768273784544794E-2</v>
      </c>
      <c r="H714">
        <v>0.61641627316745695</v>
      </c>
      <c r="I714">
        <v>-1.2686975349736101E-2</v>
      </c>
    </row>
    <row r="715" spans="1:9" x14ac:dyDescent="0.25">
      <c r="A715" s="1">
        <v>34.551213085651298</v>
      </c>
      <c r="B715">
        <v>11.6856190837187</v>
      </c>
      <c r="C715">
        <v>5.2787663988131799</v>
      </c>
      <c r="D715">
        <v>4.7499848925612103</v>
      </c>
      <c r="E715">
        <v>-0.79015974686852397</v>
      </c>
      <c r="F715">
        <v>2.78674087943271E-3</v>
      </c>
      <c r="G715">
        <v>7.5761384717165897E-2</v>
      </c>
      <c r="H715">
        <v>0.59538801851638301</v>
      </c>
      <c r="I715">
        <v>-1.3434519294039099E-2</v>
      </c>
    </row>
    <row r="716" spans="1:9" x14ac:dyDescent="0.25">
      <c r="A716" s="1">
        <v>38.6483111977577</v>
      </c>
      <c r="B716">
        <v>12.0138872961945</v>
      </c>
      <c r="C716">
        <v>4.8815125247508098</v>
      </c>
      <c r="D716">
        <v>4.2697345677868004</v>
      </c>
      <c r="E716">
        <v>-0.80464866958631398</v>
      </c>
      <c r="F716">
        <v>3.2658987428199498E-3</v>
      </c>
      <c r="G716">
        <v>6.8756350879394801E-2</v>
      </c>
      <c r="H716">
        <v>0.575832885752252</v>
      </c>
      <c r="I716">
        <v>-1.3439818250213899E-2</v>
      </c>
    </row>
    <row r="717" spans="1:9" x14ac:dyDescent="0.25">
      <c r="A717" s="1">
        <v>43.1141293048858</v>
      </c>
      <c r="B717">
        <v>12.314807540267999</v>
      </c>
      <c r="C717">
        <v>4.5037161199396598</v>
      </c>
      <c r="D717">
        <v>3.82847200758866</v>
      </c>
      <c r="E717">
        <v>-0.81399802580742198</v>
      </c>
      <c r="F717">
        <v>3.5918621501636301E-3</v>
      </c>
      <c r="G717">
        <v>6.1902777403381001E-2</v>
      </c>
      <c r="H717">
        <v>0.55804757265006999</v>
      </c>
      <c r="I717">
        <v>-1.2888332023827101E-2</v>
      </c>
    </row>
    <row r="718" spans="1:9" x14ac:dyDescent="0.25">
      <c r="A718" s="1">
        <v>47.981887757778097</v>
      </c>
      <c r="B718">
        <v>12.593422469400201</v>
      </c>
      <c r="C718">
        <v>4.1516521259346897</v>
      </c>
      <c r="D718">
        <v>3.4299897283912002</v>
      </c>
      <c r="E718">
        <v>-0.81891332601538402</v>
      </c>
      <c r="F718">
        <v>3.7070741537489501E-3</v>
      </c>
      <c r="G718">
        <v>5.5303884568870101E-2</v>
      </c>
      <c r="H718">
        <v>0.542061082028783</v>
      </c>
      <c r="I718">
        <v>-1.19585199484944E-2</v>
      </c>
    </row>
    <row r="719" spans="1:9" x14ac:dyDescent="0.25">
      <c r="A719" s="1">
        <v>53.287820518016801</v>
      </c>
      <c r="B719">
        <v>12.8539568223957</v>
      </c>
      <c r="C719">
        <v>3.8280176516778699</v>
      </c>
      <c r="D719">
        <v>3.074644173657</v>
      </c>
      <c r="E719">
        <v>-0.819929683352558</v>
      </c>
      <c r="F719">
        <v>3.55817251650923E-3</v>
      </c>
      <c r="G719">
        <v>4.9065979995137003E-2</v>
      </c>
      <c r="H719">
        <v>0.52787008432809801</v>
      </c>
      <c r="I719">
        <v>-1.08127399629397E-2</v>
      </c>
    </row>
    <row r="720" spans="1:9" x14ac:dyDescent="0.25">
      <c r="A720" s="1">
        <v>59.071175158023799</v>
      </c>
      <c r="B720">
        <v>13.0999463203795</v>
      </c>
      <c r="C720">
        <v>3.5332061328572002</v>
      </c>
      <c r="D720">
        <v>2.76061042467951</v>
      </c>
      <c r="E720">
        <v>-0.81745881835323397</v>
      </c>
      <c r="F720">
        <v>3.1021715960453801E-3</v>
      </c>
      <c r="G720">
        <v>4.3291801442690202E-2</v>
      </c>
      <c r="H720">
        <v>0.51536296144687199</v>
      </c>
      <c r="I720">
        <v>-9.60260785677222E-3</v>
      </c>
    </row>
    <row r="721" spans="1:9" x14ac:dyDescent="0.25">
      <c r="A721" s="1">
        <v>65.375131070613804</v>
      </c>
      <c r="B721">
        <v>13.3343008746359</v>
      </c>
      <c r="C721">
        <v>3.2663912114603399</v>
      </c>
      <c r="D721">
        <v>2.48510607115746</v>
      </c>
      <c r="E721">
        <v>-0.81181088622290998</v>
      </c>
      <c r="F721">
        <v>2.4336709006476899E-3</v>
      </c>
      <c r="G721">
        <v>3.8035791858844703E-2</v>
      </c>
      <c r="H721">
        <v>0.504148417864136</v>
      </c>
      <c r="I721">
        <v>-8.4276033235404207E-3</v>
      </c>
    </row>
    <row r="722" spans="1:9" x14ac:dyDescent="0.25">
      <c r="A722" s="1">
        <v>72.246375679969702</v>
      </c>
      <c r="B722">
        <v>13.5594140249736</v>
      </c>
      <c r="C722">
        <v>3.0254251578333098</v>
      </c>
      <c r="D722">
        <v>2.2444619230171199</v>
      </c>
      <c r="E722">
        <v>-0.80322827385584605</v>
      </c>
      <c r="F722">
        <v>1.6619708219436701E-3</v>
      </c>
      <c r="G722">
        <v>3.3326478883348901E-2</v>
      </c>
      <c r="H722">
        <v>0.49395382921918402</v>
      </c>
      <c r="I722">
        <v>-7.3491956324819897E-3</v>
      </c>
    </row>
    <row r="723" spans="1:9" x14ac:dyDescent="0.25">
      <c r="A723" s="1">
        <v>79.736069738864799</v>
      </c>
      <c r="B723">
        <v>13.7772608857568</v>
      </c>
      <c r="C723">
        <v>2.8073427544962302</v>
      </c>
      <c r="D723">
        <v>2.0342471914389302</v>
      </c>
      <c r="E723">
        <v>-0.79185277818234501</v>
      </c>
      <c r="F723">
        <v>9.8059752710419508E-4</v>
      </c>
      <c r="G723">
        <v>2.91295266701454E-2</v>
      </c>
      <c r="H723">
        <v>0.48434904880177698</v>
      </c>
      <c r="I723">
        <v>-6.3778402258747799E-3</v>
      </c>
    </row>
    <row r="724" spans="1:9" x14ac:dyDescent="0.25">
      <c r="A724" s="1">
        <v>87.899753153324099</v>
      </c>
      <c r="B724">
        <v>13.989423220089</v>
      </c>
      <c r="C724">
        <v>2.6088214012969502</v>
      </c>
      <c r="D724">
        <v>1.85000857620087</v>
      </c>
      <c r="E724">
        <v>-0.77773223240297695</v>
      </c>
      <c r="F724">
        <v>5.9133380105185298E-4</v>
      </c>
      <c r="G724">
        <v>2.54112211804077E-2</v>
      </c>
      <c r="H724">
        <v>0.47522570803926301</v>
      </c>
      <c r="I724">
        <v>-5.52242251595447E-3</v>
      </c>
    </row>
    <row r="725" spans="1:9" x14ac:dyDescent="0.25">
      <c r="A725" s="1">
        <v>96.798263192176805</v>
      </c>
      <c r="B725">
        <v>14.197151602894399</v>
      </c>
      <c r="C725">
        <v>2.4267891523834901</v>
      </c>
      <c r="D725">
        <v>1.68784424015167</v>
      </c>
      <c r="E725">
        <v>-0.76094807745163495</v>
      </c>
      <c r="F725">
        <v>6.5497128374875503E-4</v>
      </c>
      <c r="G725">
        <v>2.2128865509315501E-2</v>
      </c>
      <c r="H725">
        <v>0.46634968819599298</v>
      </c>
      <c r="I725">
        <v>-4.7736023340448196E-3</v>
      </c>
    </row>
    <row r="726" spans="1:9" x14ac:dyDescent="0.25">
      <c r="A726" s="1">
        <v>106.497616767883</v>
      </c>
      <c r="B726">
        <v>14.401502545360801</v>
      </c>
      <c r="C726">
        <v>2.2581513141677299</v>
      </c>
      <c r="D726">
        <v>1.5440640349729899</v>
      </c>
      <c r="E726">
        <v>-0.74142338910726102</v>
      </c>
      <c r="F726">
        <v>9.2106130974890896E-4</v>
      </c>
      <c r="G726">
        <v>1.9244463914528599E-2</v>
      </c>
      <c r="H726">
        <v>0.45767075179399702</v>
      </c>
      <c r="I726">
        <v>-4.1246489290784798E-3</v>
      </c>
    </row>
    <row r="727" spans="1:9" x14ac:dyDescent="0.25">
      <c r="A727" s="1">
        <v>117.06990510225199</v>
      </c>
      <c r="B727">
        <v>14.6036286763813</v>
      </c>
      <c r="C727">
        <v>2.0991655263852902</v>
      </c>
      <c r="D727">
        <v>1.41462770245083</v>
      </c>
      <c r="E727">
        <v>-0.71892393663829002</v>
      </c>
      <c r="F727">
        <v>1.14353102123773E-3</v>
      </c>
      <c r="G727">
        <v>1.6717934686151199E-2</v>
      </c>
      <c r="H727">
        <v>0.44983259428144601</v>
      </c>
      <c r="I727">
        <v>-3.5639930190215201E-3</v>
      </c>
    </row>
    <row r="728" spans="1:9" x14ac:dyDescent="0.25">
      <c r="A728" s="1">
        <v>128.593670427799</v>
      </c>
      <c r="B728">
        <v>14.8044843820821</v>
      </c>
      <c r="C728">
        <v>1.9479882209359201</v>
      </c>
      <c r="D728">
        <v>1.2970591536477201</v>
      </c>
      <c r="E728">
        <v>-0.69348492811173101</v>
      </c>
      <c r="F728">
        <v>1.5040913620728499E-3</v>
      </c>
      <c r="G728">
        <v>1.4476367880512601E-2</v>
      </c>
      <c r="H728">
        <v>0.442441064474072</v>
      </c>
      <c r="I728">
        <v>-3.0633751354930301E-3</v>
      </c>
    </row>
    <row r="729" spans="1:9" x14ac:dyDescent="0.25">
      <c r="A729" s="1">
        <v>141.15461230278001</v>
      </c>
      <c r="B729">
        <v>15.004520475395401</v>
      </c>
      <c r="C729">
        <v>1.8028495094936601</v>
      </c>
      <c r="D729">
        <v>1.18897505353182</v>
      </c>
      <c r="E729">
        <v>-0.66488890120202904</v>
      </c>
      <c r="F729">
        <v>2.1723418599771099E-3</v>
      </c>
      <c r="G729">
        <v>1.2471727363189199E-2</v>
      </c>
      <c r="H729">
        <v>0.43526969550888001</v>
      </c>
      <c r="I729">
        <v>-2.6139444737626602E-3</v>
      </c>
    </row>
    <row r="730" spans="1:9" x14ac:dyDescent="0.25">
      <c r="A730" s="1">
        <v>154.84601140022201</v>
      </c>
      <c r="B730">
        <v>15.2035327061977</v>
      </c>
      <c r="C730">
        <v>1.6623685043273599</v>
      </c>
      <c r="D730">
        <v>1.08841054253795</v>
      </c>
      <c r="E730">
        <v>-0.63296353210904099</v>
      </c>
      <c r="F730">
        <v>2.2921574915009801E-3</v>
      </c>
      <c r="G730">
        <v>1.06698132050631E-2</v>
      </c>
      <c r="H730">
        <v>0.42781660267690003</v>
      </c>
      <c r="I730">
        <v>-2.2089601674759899E-3</v>
      </c>
    </row>
    <row r="731" spans="1:9" x14ac:dyDescent="0.25">
      <c r="A731" s="1">
        <v>169.76969480514501</v>
      </c>
      <c r="B731">
        <v>15.4014693589847</v>
      </c>
      <c r="C731">
        <v>1.52433724435591</v>
      </c>
      <c r="D731">
        <v>0.99301420045928401</v>
      </c>
      <c r="E731">
        <v>-0.597242715287433</v>
      </c>
      <c r="F731">
        <v>1.9081978602822601E-3</v>
      </c>
      <c r="G731">
        <v>9.0547886399527898E-3</v>
      </c>
      <c r="H731">
        <v>0.420359259977376</v>
      </c>
      <c r="I731">
        <v>-1.8455302154321001E-3</v>
      </c>
    </row>
    <row r="732" spans="1:9" x14ac:dyDescent="0.25">
      <c r="A732" s="1">
        <v>186.03645980358101</v>
      </c>
      <c r="B732">
        <v>15.598851245452099</v>
      </c>
      <c r="C732">
        <v>1.3869566554786601</v>
      </c>
      <c r="D732">
        <v>0.90099644067996099</v>
      </c>
      <c r="E732">
        <v>-0.55724711909803104</v>
      </c>
      <c r="F732">
        <v>1.7513147462848099E-3</v>
      </c>
      <c r="G732">
        <v>7.6084451124121596E-3</v>
      </c>
      <c r="H732">
        <v>0.41345439014799301</v>
      </c>
      <c r="I732">
        <v>-1.5226466267803801E-3</v>
      </c>
    </row>
    <row r="733" spans="1:9" x14ac:dyDescent="0.25">
      <c r="A733" s="1">
        <v>203.76720398664401</v>
      </c>
      <c r="B733">
        <v>15.7952218065004</v>
      </c>
      <c r="C733">
        <v>1.2501509119084699</v>
      </c>
      <c r="D733">
        <v>0.81081312810720896</v>
      </c>
      <c r="E733">
        <v>-0.51286605333059998</v>
      </c>
      <c r="F733">
        <v>1.56697852659593E-3</v>
      </c>
      <c r="G733">
        <v>6.30663648796468E-3</v>
      </c>
      <c r="H733">
        <v>0.40618732622324899</v>
      </c>
      <c r="I733">
        <v>-1.2343791772487099E-3</v>
      </c>
    </row>
    <row r="734" spans="1:9" x14ac:dyDescent="0.25">
      <c r="A734" s="1">
        <v>223.09376105666101</v>
      </c>
      <c r="B734">
        <v>15.9889251012321</v>
      </c>
      <c r="C734">
        <v>1.11310917845924</v>
      </c>
      <c r="D734">
        <v>0.72141378814063595</v>
      </c>
      <c r="E734">
        <v>-0.46364148526758697</v>
      </c>
      <c r="F734">
        <v>1.27754776398902E-3</v>
      </c>
      <c r="G734">
        <v>5.1242817034846001E-3</v>
      </c>
      <c r="H734">
        <v>0.39881353423780802</v>
      </c>
      <c r="I734">
        <v>-9.7075116607348597E-4</v>
      </c>
    </row>
    <row r="735" spans="1:9" x14ac:dyDescent="0.25">
      <c r="A735" s="1">
        <v>244.15970131754801</v>
      </c>
      <c r="B735">
        <v>16.178550184421599</v>
      </c>
      <c r="C735">
        <v>0.97494407882010303</v>
      </c>
      <c r="D735">
        <v>0.63126810100152597</v>
      </c>
      <c r="E735">
        <v>-0.408970806151842</v>
      </c>
      <c r="F735">
        <v>5.0246816508280198E-4</v>
      </c>
      <c r="G735">
        <v>4.06207232247231E-3</v>
      </c>
      <c r="H735">
        <v>0.39201150680534202</v>
      </c>
      <c r="I735">
        <v>-7.3590028093603404E-4</v>
      </c>
    </row>
    <row r="736" spans="1:9" x14ac:dyDescent="0.25">
      <c r="A736" s="1">
        <v>267.12157949805197</v>
      </c>
      <c r="B736">
        <v>16.3612328529324</v>
      </c>
      <c r="C736">
        <v>0.83654363310576796</v>
      </c>
      <c r="D736">
        <v>0.54088102242000402</v>
      </c>
      <c r="E736">
        <v>-0.34848731378222603</v>
      </c>
      <c r="F736">
        <v>-4.9907175213669604E-4</v>
      </c>
      <c r="G736">
        <v>3.1303385778077598E-3</v>
      </c>
      <c r="H736">
        <v>0.38623136163286298</v>
      </c>
      <c r="I736">
        <v>-5.3769162244342403E-4</v>
      </c>
    </row>
    <row r="737" spans="1:9" x14ac:dyDescent="0.25">
      <c r="A737" s="1">
        <v>292.15002954006098</v>
      </c>
      <c r="B737">
        <v>16.5321437144618</v>
      </c>
      <c r="C737">
        <v>0.69834362499103397</v>
      </c>
      <c r="D737">
        <v>0.44939910067288402</v>
      </c>
      <c r="E737">
        <v>-0.281692980350019</v>
      </c>
      <c r="F737">
        <v>-1.0577720087176601E-3</v>
      </c>
      <c r="G737">
        <v>2.33430953143972E-3</v>
      </c>
      <c r="H737">
        <v>0.382756317919972</v>
      </c>
      <c r="I737">
        <v>-3.7745812728019003E-4</v>
      </c>
    </row>
    <row r="738" spans="1:9" x14ac:dyDescent="0.25">
      <c r="A738" s="1">
        <v>319.43101242184599</v>
      </c>
      <c r="B738">
        <v>16.6816830132123</v>
      </c>
      <c r="C738">
        <v>0.56766546342721502</v>
      </c>
      <c r="D738">
        <v>0.36134327987458498</v>
      </c>
      <c r="E738">
        <v>-0.20824387013411899</v>
      </c>
      <c r="F738">
        <v>-8.0090268990602102E-4</v>
      </c>
      <c r="G738">
        <v>1.6909079166608E-3</v>
      </c>
      <c r="H738">
        <v>0.38295878032139702</v>
      </c>
      <c r="I738">
        <v>-2.5978647982926602E-4</v>
      </c>
    </row>
    <row r="739" spans="1:9" x14ac:dyDescent="0.25">
      <c r="A739" s="1">
        <v>349.16732590645501</v>
      </c>
      <c r="B739">
        <v>16.7977232022177</v>
      </c>
      <c r="C739">
        <v>0.45888589649119998</v>
      </c>
      <c r="D739">
        <v>0.28593896915216899</v>
      </c>
      <c r="E739">
        <v>-0.12683446605557</v>
      </c>
      <c r="F739">
        <v>-9.5991877509024603E-4</v>
      </c>
      <c r="G739">
        <v>1.2468218491997799E-3</v>
      </c>
      <c r="H739">
        <v>0.38808559837225698</v>
      </c>
      <c r="I739">
        <v>-1.89987046663746E-4</v>
      </c>
    </row>
    <row r="740" spans="1:9" x14ac:dyDescent="0.25">
      <c r="A740" s="1">
        <v>379.83785875141598</v>
      </c>
      <c r="B740">
        <v>16.859024358164898</v>
      </c>
      <c r="C740">
        <v>0.39670764225988903</v>
      </c>
      <c r="D740">
        <v>0.24190322881783499</v>
      </c>
      <c r="E740">
        <v>-4.1937514698339E-2</v>
      </c>
      <c r="F740">
        <v>-1.3210433694591101E-3</v>
      </c>
      <c r="G740">
        <v>1.0159298690457701E-3</v>
      </c>
      <c r="H740">
        <v>0.40941211004498601</v>
      </c>
      <c r="I740">
        <v>-1.5050927175102601E-4</v>
      </c>
    </row>
    <row r="741" spans="1:9" x14ac:dyDescent="0.25">
      <c r="A741" s="1" t="s">
        <v>533</v>
      </c>
      <c r="B741" s="1" t="s">
        <v>614</v>
      </c>
      <c r="C741" s="1" t="s">
        <v>615</v>
      </c>
      <c r="D741" s="1" t="s">
        <v>616</v>
      </c>
      <c r="E741" s="1" t="s">
        <v>617</v>
      </c>
      <c r="F741" s="1" t="s">
        <v>618</v>
      </c>
      <c r="G741" s="1" t="s">
        <v>400</v>
      </c>
      <c r="H741" s="1" t="s">
        <v>619</v>
      </c>
      <c r="I741" s="1" t="s">
        <v>613</v>
      </c>
    </row>
    <row r="742" spans="1:9" x14ac:dyDescent="0.25">
      <c r="A742" s="1">
        <v>-141.555516719818</v>
      </c>
      <c r="B742">
        <v>-8.9930605056540198</v>
      </c>
      <c r="C742">
        <v>1.20662086995588E-2</v>
      </c>
      <c r="D742">
        <v>0</v>
      </c>
      <c r="E742">
        <v>0</v>
      </c>
      <c r="F742">
        <v>0</v>
      </c>
      <c r="G742" s="1">
        <v>3.7951129837177E-6</v>
      </c>
      <c r="H742">
        <v>2.0906039476548299E-2</v>
      </c>
      <c r="I742">
        <v>0</v>
      </c>
    </row>
    <row r="743" spans="1:9" x14ac:dyDescent="0.25">
      <c r="A743" s="1">
        <v>-128.95890593528699</v>
      </c>
      <c r="B743">
        <v>-8.1930686670200092</v>
      </c>
      <c r="C743">
        <v>1.22506104417285E-2</v>
      </c>
      <c r="D743">
        <v>0</v>
      </c>
      <c r="E743">
        <v>0</v>
      </c>
      <c r="F743">
        <v>0</v>
      </c>
      <c r="G743" s="1">
        <v>4.5607173932538101E-6</v>
      </c>
      <c r="H743">
        <v>0.15043495987460001</v>
      </c>
      <c r="I743">
        <v>0</v>
      </c>
    </row>
    <row r="744" spans="1:9" x14ac:dyDescent="0.25">
      <c r="A744" s="1">
        <v>-117.402367591857</v>
      </c>
      <c r="B744">
        <v>-7.45908775188337</v>
      </c>
      <c r="C744">
        <v>1.26045740237107E-2</v>
      </c>
      <c r="D744">
        <v>0</v>
      </c>
      <c r="E744">
        <v>0</v>
      </c>
      <c r="F744">
        <v>0</v>
      </c>
      <c r="G744" s="1">
        <v>6.0084337588861504E-6</v>
      </c>
      <c r="H744">
        <v>0.30269924443093699</v>
      </c>
      <c r="I744">
        <v>0</v>
      </c>
    </row>
    <row r="745" spans="1:9" x14ac:dyDescent="0.25">
      <c r="A745" s="1">
        <v>-106.80001378059301</v>
      </c>
      <c r="B745">
        <v>-6.7856735280559501</v>
      </c>
      <c r="C745">
        <v>1.31327804360206E-2</v>
      </c>
      <c r="D745">
        <v>0</v>
      </c>
      <c r="E745">
        <v>0</v>
      </c>
      <c r="F745">
        <v>0</v>
      </c>
      <c r="G745" s="1">
        <v>8.1280780870329699E-6</v>
      </c>
      <c r="H745">
        <v>0.42386674695135201</v>
      </c>
      <c r="I745">
        <v>0</v>
      </c>
    </row>
    <row r="746" spans="1:9" x14ac:dyDescent="0.25">
      <c r="A746" s="1">
        <v>-97.073161005973802</v>
      </c>
      <c r="B746">
        <v>-6.1678299643875203</v>
      </c>
      <c r="C746">
        <v>1.384807669513E-2</v>
      </c>
      <c r="D746">
        <v>0</v>
      </c>
      <c r="E746">
        <v>0</v>
      </c>
      <c r="F746">
        <v>0</v>
      </c>
      <c r="G746" s="1">
        <v>1.09779932845999E-5</v>
      </c>
      <c r="H746">
        <v>0.508873803023833</v>
      </c>
      <c r="I746">
        <v>0</v>
      </c>
    </row>
    <row r="747" spans="1:9" x14ac:dyDescent="0.25">
      <c r="A747" s="1">
        <v>-88.149435520172105</v>
      </c>
      <c r="B747">
        <v>-5.6009757985205502</v>
      </c>
      <c r="C747">
        <v>1.4765992333565001E-2</v>
      </c>
      <c r="D747">
        <v>0</v>
      </c>
      <c r="E747">
        <v>0</v>
      </c>
      <c r="F747">
        <v>0</v>
      </c>
      <c r="G747" s="1">
        <v>1.4678033014892101E-5</v>
      </c>
      <c r="H747">
        <v>0.56629791042416899</v>
      </c>
      <c r="I747">
        <v>0</v>
      </c>
    </row>
    <row r="748" spans="1:9" x14ac:dyDescent="0.25">
      <c r="A748" s="1">
        <v>-79.962490797042804</v>
      </c>
      <c r="B748">
        <v>-5.0809027465836198</v>
      </c>
      <c r="C748">
        <v>1.5902297192581599E-2</v>
      </c>
      <c r="D748">
        <v>0</v>
      </c>
      <c r="E748">
        <v>0</v>
      </c>
      <c r="F748">
        <v>0</v>
      </c>
      <c r="G748" s="1">
        <v>1.9409555331639699E-5</v>
      </c>
      <c r="H748">
        <v>0.60490655676041805</v>
      </c>
      <c r="I748">
        <v>0</v>
      </c>
    </row>
    <row r="749" spans="1:9" x14ac:dyDescent="0.25">
      <c r="A749" s="1">
        <v>-72.451583743095298</v>
      </c>
      <c r="B749">
        <v>-4.6037525185228398</v>
      </c>
      <c r="C749">
        <v>1.7272105014717699E-2</v>
      </c>
      <c r="D749">
        <v>0</v>
      </c>
      <c r="E749">
        <v>0</v>
      </c>
      <c r="F749">
        <v>0</v>
      </c>
      <c r="G749" s="1">
        <v>2.5421409349801702E-5</v>
      </c>
      <c r="H749">
        <v>0.63112931155853602</v>
      </c>
      <c r="I749">
        <v>0</v>
      </c>
    </row>
    <row r="750" spans="1:9" x14ac:dyDescent="0.25">
      <c r="A750" s="1">
        <v>-65.560821294784503</v>
      </c>
      <c r="B750">
        <v>-4.16598338585655</v>
      </c>
      <c r="C750">
        <v>1.8889714728259399E-2</v>
      </c>
      <c r="D750">
        <v>0</v>
      </c>
      <c r="E750">
        <v>0</v>
      </c>
      <c r="F750">
        <v>0</v>
      </c>
      <c r="G750" s="1">
        <v>3.3042132036342702E-5</v>
      </c>
      <c r="H750">
        <v>0.64931399451267402</v>
      </c>
      <c r="I750">
        <v>0</v>
      </c>
    </row>
    <row r="751" spans="1:9" x14ac:dyDescent="0.25">
      <c r="A751" s="1">
        <v>-59.238972067832897</v>
      </c>
      <c r="B751">
        <v>-3.7643482417644099</v>
      </c>
      <c r="C751">
        <v>2.0768812753660298E-2</v>
      </c>
      <c r="D751">
        <v>0</v>
      </c>
      <c r="E751">
        <v>0</v>
      </c>
      <c r="F751">
        <v>0</v>
      </c>
      <c r="G751" s="1">
        <v>4.2698767383253503E-5</v>
      </c>
      <c r="H751">
        <v>0.66234456585896395</v>
      </c>
      <c r="I751">
        <v>0</v>
      </c>
    </row>
    <row r="752" spans="1:9" x14ac:dyDescent="0.25">
      <c r="A752" s="1">
        <v>-53.439136743545497</v>
      </c>
      <c r="B752">
        <v>-3.39586221359979</v>
      </c>
      <c r="C752">
        <v>2.2922817259768701E-2</v>
      </c>
      <c r="D752">
        <v>0</v>
      </c>
      <c r="E752">
        <v>0</v>
      </c>
      <c r="F752">
        <v>0</v>
      </c>
      <c r="G752" s="1">
        <v>5.4942632318510903E-5</v>
      </c>
      <c r="H752">
        <v>0.67213065290572005</v>
      </c>
      <c r="I752">
        <v>0</v>
      </c>
    </row>
    <row r="753" spans="1:9" x14ac:dyDescent="0.25">
      <c r="A753" s="1">
        <v>-48.118183016777003</v>
      </c>
      <c r="B753">
        <v>-3.0577932600707798</v>
      </c>
      <c r="C753">
        <v>2.53652861298105E-2</v>
      </c>
      <c r="D753">
        <v>0</v>
      </c>
      <c r="E753">
        <v>0</v>
      </c>
      <c r="F753">
        <v>0</v>
      </c>
      <c r="G753" s="1">
        <v>7.0482102079694206E-5</v>
      </c>
      <c r="H753">
        <v>0.67993539547816095</v>
      </c>
      <c r="I753">
        <v>0</v>
      </c>
    </row>
    <row r="754" spans="1:9" x14ac:dyDescent="0.25">
      <c r="A754" s="1">
        <v>-43.236604332923797</v>
      </c>
      <c r="B754">
        <v>-2.747628738995</v>
      </c>
      <c r="C754">
        <v>2.81103293982332E-2</v>
      </c>
      <c r="D754">
        <v>0</v>
      </c>
      <c r="E754">
        <v>0</v>
      </c>
      <c r="F754">
        <v>0</v>
      </c>
      <c r="G754" s="1">
        <v>9.0222183188792794E-5</v>
      </c>
      <c r="H754">
        <v>0.68658726112930502</v>
      </c>
      <c r="I754">
        <v>0</v>
      </c>
    </row>
    <row r="755" spans="1:9" x14ac:dyDescent="0.25">
      <c r="A755" s="1">
        <v>-38.758049011230398</v>
      </c>
      <c r="B755">
        <v>-2.46306809399585</v>
      </c>
      <c r="C755">
        <v>3.1172975861232698E-2</v>
      </c>
      <c r="D755">
        <v>0</v>
      </c>
      <c r="E755">
        <v>0</v>
      </c>
      <c r="F755">
        <v>0</v>
      </c>
      <c r="G755">
        <v>1.15310066088625E-4</v>
      </c>
      <c r="H755">
        <v>0.69261764555785199</v>
      </c>
      <c r="I755">
        <v>0</v>
      </c>
    </row>
    <row r="756" spans="1:9" x14ac:dyDescent="0.25">
      <c r="A756" s="1">
        <v>-34.649320244789102</v>
      </c>
      <c r="B756">
        <v>-2.201996735561</v>
      </c>
      <c r="C756">
        <v>3.4569456976369602E-2</v>
      </c>
      <c r="D756">
        <v>0</v>
      </c>
      <c r="E756">
        <v>0</v>
      </c>
      <c r="F756">
        <v>0</v>
      </c>
      <c r="G756">
        <v>1.4718526445278699E-4</v>
      </c>
      <c r="H756">
        <v>0.69835342737611905</v>
      </c>
      <c r="I756">
        <v>0</v>
      </c>
    </row>
    <row r="757" spans="1:9" x14ac:dyDescent="0.25">
      <c r="A757" s="1">
        <v>-30.879811048507602</v>
      </c>
      <c r="B757">
        <v>-1.9624766382233301</v>
      </c>
      <c r="C757">
        <v>3.8317385696972302E-2</v>
      </c>
      <c r="D757">
        <v>0</v>
      </c>
      <c r="E757">
        <v>0</v>
      </c>
      <c r="F757">
        <v>0</v>
      </c>
      <c r="G757">
        <v>1.8763192117816601E-4</v>
      </c>
      <c r="H757">
        <v>0.70398200287039903</v>
      </c>
      <c r="I757">
        <v>0</v>
      </c>
    </row>
    <row r="758" spans="1:9" x14ac:dyDescent="0.25">
      <c r="A758" s="1">
        <v>-27.4215984344482</v>
      </c>
      <c r="B758">
        <v>-1.7427296244383901</v>
      </c>
      <c r="C758">
        <v>4.2435767649287998E-2</v>
      </c>
      <c r="D758">
        <v>0</v>
      </c>
      <c r="E758">
        <v>0</v>
      </c>
      <c r="F758">
        <v>0</v>
      </c>
      <c r="G758">
        <v>2.3882985431811199E-4</v>
      </c>
      <c r="H758">
        <v>0.70959843083776197</v>
      </c>
      <c r="I758">
        <v>0</v>
      </c>
    </row>
    <row r="759" spans="1:9" x14ac:dyDescent="0.25">
      <c r="A759" s="1">
        <v>-24.248878359794599</v>
      </c>
      <c r="B759">
        <v>-1.54112273797701</v>
      </c>
      <c r="C759">
        <v>4.69448312397985E-2</v>
      </c>
      <c r="D759">
        <v>0</v>
      </c>
      <c r="E759">
        <v>0</v>
      </c>
      <c r="F759">
        <v>0</v>
      </c>
      <c r="G759">
        <v>3.0339986467140499E-4</v>
      </c>
      <c r="H759">
        <v>0.71524008591530797</v>
      </c>
      <c r="I759">
        <v>0</v>
      </c>
    </row>
    <row r="760" spans="1:9" x14ac:dyDescent="0.25">
      <c r="A760" s="1">
        <v>-21.3381540775299</v>
      </c>
      <c r="B760">
        <v>-1.35615988586406</v>
      </c>
      <c r="C760">
        <v>5.1865661044693E-2</v>
      </c>
      <c r="D760">
        <v>0</v>
      </c>
      <c r="E760">
        <v>0</v>
      </c>
      <c r="F760">
        <v>0</v>
      </c>
      <c r="G760">
        <v>3.8443760243822502E-4</v>
      </c>
      <c r="H760">
        <v>0.72091126405012396</v>
      </c>
      <c r="I760">
        <v>0</v>
      </c>
    </row>
    <row r="761" spans="1:9" x14ac:dyDescent="0.25">
      <c r="A761" s="1">
        <v>-18.6677181720733</v>
      </c>
      <c r="B761">
        <v>-1.18646616701345</v>
      </c>
      <c r="C761">
        <v>5.7219587537465998E-2</v>
      </c>
      <c r="D761">
        <v>0</v>
      </c>
      <c r="E761">
        <v>0</v>
      </c>
      <c r="F761">
        <v>0</v>
      </c>
      <c r="G761">
        <v>4.8552974374444998E-4</v>
      </c>
      <c r="H761">
        <v>0.72659976145753402</v>
      </c>
      <c r="I761">
        <v>0</v>
      </c>
    </row>
    <row r="762" spans="1:9" x14ac:dyDescent="0.25">
      <c r="A762" s="1">
        <v>-16.2178409099578</v>
      </c>
      <c r="B762">
        <v>-1.03078160368214</v>
      </c>
      <c r="C762">
        <v>6.3027395746680606E-2</v>
      </c>
      <c r="D762">
        <v>0</v>
      </c>
      <c r="E762">
        <v>0</v>
      </c>
      <c r="F762">
        <v>0</v>
      </c>
      <c r="G762">
        <v>6.1074635671900504E-4</v>
      </c>
      <c r="H762">
        <v>0.73228717591118497</v>
      </c>
      <c r="I762">
        <v>0</v>
      </c>
    </row>
    <row r="763" spans="1:9" x14ac:dyDescent="0.25">
      <c r="A763" s="1">
        <v>-13.9702051877975</v>
      </c>
      <c r="B763">
        <v>-0.88795069389353998</v>
      </c>
      <c r="C763">
        <v>6.9308332725028801E-2</v>
      </c>
      <c r="D763">
        <v>0</v>
      </c>
      <c r="E763">
        <v>0</v>
      </c>
      <c r="F763">
        <v>0</v>
      </c>
      <c r="G763">
        <v>7.6460516819167805E-4</v>
      </c>
      <c r="H763">
        <v>0.73795485537635597</v>
      </c>
      <c r="I763">
        <v>0</v>
      </c>
    </row>
    <row r="764" spans="1:9" x14ac:dyDescent="0.25">
      <c r="A764" s="1">
        <v>-11.908189058303799</v>
      </c>
      <c r="B764">
        <v>-0.75691091910313402</v>
      </c>
      <c r="C764">
        <v>7.6078954067427498E-2</v>
      </c>
      <c r="D764">
        <v>0</v>
      </c>
      <c r="E764">
        <v>0</v>
      </c>
      <c r="F764">
        <v>0</v>
      </c>
      <c r="G764">
        <v>9.5200538243034305E-4</v>
      </c>
      <c r="H764">
        <v>0.74358685515845102</v>
      </c>
      <c r="I764">
        <v>0</v>
      </c>
    </row>
    <row r="765" spans="1:9" x14ac:dyDescent="0.25">
      <c r="A765" s="1">
        <v>-10.016394853591899</v>
      </c>
      <c r="B765">
        <v>-0.63668960992555701</v>
      </c>
      <c r="C765">
        <v>8.3351979370835896E-2</v>
      </c>
      <c r="D765">
        <v>0</v>
      </c>
      <c r="E765">
        <v>0</v>
      </c>
      <c r="F765">
        <v>0</v>
      </c>
      <c r="G765">
        <v>1.1781348484220099E-3</v>
      </c>
      <c r="H765">
        <v>0.74917150494479101</v>
      </c>
      <c r="I765">
        <v>0</v>
      </c>
    </row>
    <row r="766" spans="1:9" x14ac:dyDescent="0.25">
      <c r="A766" s="1">
        <v>-8.2808375358581507</v>
      </c>
      <c r="B766">
        <v>-0.52639349855791395</v>
      </c>
      <c r="C766">
        <v>9.1135022509988894E-2</v>
      </c>
      <c r="D766">
        <v>0</v>
      </c>
      <c r="E766">
        <v>0</v>
      </c>
      <c r="F766">
        <v>0</v>
      </c>
      <c r="G766">
        <v>1.4483607602983201E-3</v>
      </c>
      <c r="H766">
        <v>0.75470295718839497</v>
      </c>
      <c r="I766">
        <v>0</v>
      </c>
    </row>
    <row r="767" spans="1:9" x14ac:dyDescent="0.25">
      <c r="A767" s="1">
        <v>-6.6885209083557102</v>
      </c>
      <c r="B767">
        <v>-0.42520349499146998</v>
      </c>
      <c r="C767">
        <v>9.94295678104367E-2</v>
      </c>
      <c r="D767">
        <v>0</v>
      </c>
      <c r="E767">
        <v>0</v>
      </c>
      <c r="F767">
        <v>0</v>
      </c>
      <c r="G767">
        <v>1.7681123152556201E-3</v>
      </c>
      <c r="H767">
        <v>0.76018140701133596</v>
      </c>
      <c r="I767">
        <v>0</v>
      </c>
    </row>
    <row r="768" spans="1:9" x14ac:dyDescent="0.25">
      <c r="A768" s="1">
        <v>-5.2277201414108196</v>
      </c>
      <c r="B768">
        <v>-0.33236841846566201</v>
      </c>
      <c r="C768">
        <v>0.10823013399770701</v>
      </c>
      <c r="D768">
        <v>0</v>
      </c>
      <c r="E768">
        <v>0</v>
      </c>
      <c r="F768">
        <v>0</v>
      </c>
      <c r="G768">
        <v>2.1428231955667302E-3</v>
      </c>
      <c r="H768">
        <v>0.76561844573736904</v>
      </c>
      <c r="I768">
        <v>0</v>
      </c>
    </row>
    <row r="769" spans="1:9" x14ac:dyDescent="0.25">
      <c r="A769" s="1">
        <v>-3.88755798339843</v>
      </c>
      <c r="B769">
        <v>-0.24719768416445301</v>
      </c>
      <c r="C769">
        <v>0.117523540976253</v>
      </c>
      <c r="D769">
        <v>0</v>
      </c>
      <c r="E769">
        <v>0</v>
      </c>
      <c r="F769">
        <v>0</v>
      </c>
      <c r="G769">
        <v>2.5776372375048602E-3</v>
      </c>
      <c r="H769">
        <v>0.77101343978826098</v>
      </c>
      <c r="I769">
        <v>0</v>
      </c>
    </row>
    <row r="770" spans="1:9" x14ac:dyDescent="0.25">
      <c r="A770" s="1">
        <v>-2.6580518484115601</v>
      </c>
      <c r="B770">
        <v>-0.169059213700998</v>
      </c>
      <c r="C770">
        <v>0.12728914231417399</v>
      </c>
      <c r="D770">
        <v>0</v>
      </c>
      <c r="E770">
        <v>0</v>
      </c>
      <c r="F770">
        <v>0</v>
      </c>
      <c r="G770">
        <v>3.0783907702470899E-3</v>
      </c>
      <c r="H770">
        <v>0.77644051883213205</v>
      </c>
      <c r="I770">
        <v>0</v>
      </c>
    </row>
    <row r="771" spans="1:9" x14ac:dyDescent="0.25">
      <c r="A771" s="1">
        <v>-1.5300196409225399</v>
      </c>
      <c r="B771">
        <v>-9.7371077056337102E-2</v>
      </c>
      <c r="C771">
        <v>0.13749824403140501</v>
      </c>
      <c r="D771">
        <v>0</v>
      </c>
      <c r="E771">
        <v>0</v>
      </c>
      <c r="F771">
        <v>0</v>
      </c>
      <c r="G771">
        <v>3.64816248259103E-3</v>
      </c>
      <c r="H771">
        <v>0.78178488465369</v>
      </c>
      <c r="I771">
        <v>0</v>
      </c>
    </row>
    <row r="772" spans="1:9" x14ac:dyDescent="0.25">
      <c r="A772" s="1">
        <v>-0.49517393112182601</v>
      </c>
      <c r="B772">
        <v>-3.16025373370536E-2</v>
      </c>
      <c r="C772">
        <v>0.14811473052012999</v>
      </c>
      <c r="D772">
        <v>0</v>
      </c>
      <c r="E772">
        <v>0</v>
      </c>
      <c r="F772">
        <v>0</v>
      </c>
      <c r="G772">
        <v>4.2930858911859101E-3</v>
      </c>
      <c r="H772">
        <v>0.787178011777807</v>
      </c>
      <c r="I772">
        <v>0</v>
      </c>
    </row>
    <row r="773" spans="1:9" x14ac:dyDescent="0.25">
      <c r="A773" s="1">
        <v>0.49376130104064903</v>
      </c>
      <c r="B773">
        <v>0.350698321421336</v>
      </c>
      <c r="C773">
        <v>0.23360903874594699</v>
      </c>
      <c r="D773">
        <v>7.6200164118772007E-2</v>
      </c>
      <c r="E773">
        <v>-1.33781455519773E-4</v>
      </c>
      <c r="F773" s="1">
        <v>2.63203288628715E-5</v>
      </c>
      <c r="G773">
        <v>9.4638398581764802E-2</v>
      </c>
      <c r="H773">
        <v>0.99588833265967902</v>
      </c>
      <c r="I773" s="1">
        <v>9.6993862329042393E-7</v>
      </c>
    </row>
    <row r="774" spans="1:9" x14ac:dyDescent="0.25">
      <c r="A774" s="1">
        <v>1.5257111191749499</v>
      </c>
      <c r="B774">
        <v>1.0832249338894</v>
      </c>
      <c r="C774">
        <v>0.50726571734011705</v>
      </c>
      <c r="D774">
        <v>0.38863498062749702</v>
      </c>
      <c r="E774">
        <v>-1.9567694116412698E-3</v>
      </c>
      <c r="F774">
        <v>1.5179801342907399E-4</v>
      </c>
      <c r="G774">
        <v>9.9440822196752002E-2</v>
      </c>
      <c r="H774">
        <v>0.98891934451616403</v>
      </c>
      <c r="I774" s="1">
        <v>2.4060232832627198E-5</v>
      </c>
    </row>
    <row r="775" spans="1:9" x14ac:dyDescent="0.25">
      <c r="A775" s="1">
        <v>2.6505178213119498</v>
      </c>
      <c r="B775">
        <v>1.87736978625569</v>
      </c>
      <c r="C775">
        <v>0.97088210570955602</v>
      </c>
      <c r="D775">
        <v>0.963647623287886</v>
      </c>
      <c r="E775">
        <v>-9.9115880269594094E-3</v>
      </c>
      <c r="F775">
        <v>3.8725369303624401E-4</v>
      </c>
      <c r="G775">
        <v>0.10245419287473199</v>
      </c>
      <c r="H775">
        <v>0.97689714476049005</v>
      </c>
      <c r="I775">
        <v>1.12815304688523E-4</v>
      </c>
    </row>
    <row r="776" spans="1:9" x14ac:dyDescent="0.25">
      <c r="A776" s="1">
        <v>3.8765159249305698</v>
      </c>
      <c r="B776">
        <v>2.7301558415560798</v>
      </c>
      <c r="C776">
        <v>1.6543794707803801</v>
      </c>
      <c r="D776">
        <v>1.8358595340109001</v>
      </c>
      <c r="E776">
        <v>-2.9352855027403198E-2</v>
      </c>
      <c r="F776">
        <v>7.2790125148255601E-4</v>
      </c>
      <c r="G776">
        <v>0.102520604550855</v>
      </c>
      <c r="H776">
        <v>0.95809750903089597</v>
      </c>
      <c r="I776">
        <v>2.6317427218096301E-4</v>
      </c>
    </row>
    <row r="777" spans="1:9" x14ac:dyDescent="0.25">
      <c r="A777" s="1">
        <v>5.2129346132278398</v>
      </c>
      <c r="B777">
        <v>3.6314682784645602</v>
      </c>
      <c r="C777">
        <v>2.5512704872598602</v>
      </c>
      <c r="D777">
        <v>2.9773284818976098</v>
      </c>
      <c r="E777">
        <v>-6.5759257751189903E-2</v>
      </c>
      <c r="F777">
        <v>1.1292039026921301E-3</v>
      </c>
      <c r="G777">
        <v>9.9219626593910801E-2</v>
      </c>
      <c r="H777">
        <v>0.93033462044142101</v>
      </c>
      <c r="I777">
        <v>4.95155891800206E-4</v>
      </c>
    </row>
    <row r="778" spans="1:9" x14ac:dyDescent="0.25">
      <c r="A778" s="1">
        <v>6.6695916652679399</v>
      </c>
      <c r="B778">
        <v>4.5625448164685398</v>
      </c>
      <c r="C778">
        <v>3.5958133392890801</v>
      </c>
      <c r="D778">
        <v>4.2676300674123997</v>
      </c>
      <c r="E778">
        <v>-0.122103914859921</v>
      </c>
      <c r="F778">
        <v>1.5021841814619201E-3</v>
      </c>
      <c r="G778">
        <v>9.4244284679157894E-2</v>
      </c>
      <c r="H778">
        <v>0.89290543149215196</v>
      </c>
      <c r="I778">
        <v>1.1437129825481E-3</v>
      </c>
    </row>
    <row r="779" spans="1:9" x14ac:dyDescent="0.25">
      <c r="A779" s="1">
        <v>8.2573878765106201</v>
      </c>
      <c r="B779">
        <v>5.49713435211841</v>
      </c>
      <c r="C779">
        <v>4.6648896962824802</v>
      </c>
      <c r="D779">
        <v>5.51441844477388</v>
      </c>
      <c r="E779">
        <v>-0.19667074567411999</v>
      </c>
      <c r="F779">
        <v>1.74306096864344E-3</v>
      </c>
      <c r="G779">
        <v>9.0938314195080097E-2</v>
      </c>
      <c r="H779">
        <v>0.85013673909297405</v>
      </c>
      <c r="I779">
        <v>3.2217430591027999E-3</v>
      </c>
    </row>
    <row r="780" spans="1:9" x14ac:dyDescent="0.25">
      <c r="A780" s="1">
        <v>9.9880245327949506</v>
      </c>
      <c r="B780">
        <v>6.4060954598865303</v>
      </c>
      <c r="C780">
        <v>5.6167330913803903</v>
      </c>
      <c r="D780">
        <v>6.5277101932240003</v>
      </c>
      <c r="E780">
        <v>-0.28302591303122399</v>
      </c>
      <c r="F780">
        <v>1.7757399877642601E-3</v>
      </c>
      <c r="G780">
        <v>9.1721076660689502E-2</v>
      </c>
      <c r="H780">
        <v>0.81049981587803299</v>
      </c>
      <c r="I780">
        <v>7.1371393908520502E-3</v>
      </c>
    </row>
    <row r="781" spans="1:9" x14ac:dyDescent="0.25">
      <c r="A781" s="1">
        <v>11.874474287032999</v>
      </c>
      <c r="B781">
        <v>7.2640460135104901</v>
      </c>
      <c r="C781">
        <v>6.3444775215326201</v>
      </c>
      <c r="D781">
        <v>7.1948422884540699</v>
      </c>
      <c r="E781">
        <v>-0.37268442166252602</v>
      </c>
      <c r="F781">
        <v>1.59976147084038E-3</v>
      </c>
      <c r="G781">
        <v>9.5926605289300498E-2</v>
      </c>
      <c r="H781">
        <v>0.77859516892304304</v>
      </c>
      <c r="I781">
        <v>1.04004194181449E-2</v>
      </c>
    </row>
    <row r="782" spans="1:9" x14ac:dyDescent="0.25">
      <c r="A782" s="1">
        <v>13.9306750893592</v>
      </c>
      <c r="B782">
        <v>8.0543697953146705</v>
      </c>
      <c r="C782">
        <v>6.8047291763644298</v>
      </c>
      <c r="D782">
        <v>7.50108086522041</v>
      </c>
      <c r="E782">
        <v>-0.45832273286965203</v>
      </c>
      <c r="F782">
        <v>1.2976367101768199E-3</v>
      </c>
      <c r="G782">
        <v>0.10077969104427401</v>
      </c>
      <c r="H782">
        <v>0.75267434098265296</v>
      </c>
      <c r="I782">
        <v>1.01237084616463E-2</v>
      </c>
    </row>
    <row r="783" spans="1:9" x14ac:dyDescent="0.25">
      <c r="A783" s="1">
        <v>16.171883344650201</v>
      </c>
      <c r="B783">
        <v>8.7701415638245397</v>
      </c>
      <c r="C783">
        <v>7.00956352707977</v>
      </c>
      <c r="D783">
        <v>7.4994227310488304</v>
      </c>
      <c r="E783">
        <v>-0.53531269520905</v>
      </c>
      <c r="F783">
        <v>1.0009964397668001E-3</v>
      </c>
      <c r="G783">
        <v>0.103776232613155</v>
      </c>
      <c r="H783">
        <v>0.72942987613997901</v>
      </c>
      <c r="I783">
        <v>6.3507390019097798E-3</v>
      </c>
    </row>
    <row r="784" spans="1:9" x14ac:dyDescent="0.25">
      <c r="A784" s="1">
        <v>18.614838719367899</v>
      </c>
      <c r="B784">
        <v>9.4119254881787793</v>
      </c>
      <c r="C784">
        <v>7.0018218572799</v>
      </c>
      <c r="D784">
        <v>7.2687780722705</v>
      </c>
      <c r="E784">
        <v>-0.60158503398713303</v>
      </c>
      <c r="F784">
        <v>8.3948394850437695E-4</v>
      </c>
      <c r="G784">
        <v>0.103866463749917</v>
      </c>
      <c r="H784">
        <v>0.70683967652157598</v>
      </c>
      <c r="I784">
        <v>1.0252188850145201E-3</v>
      </c>
    </row>
    <row r="785" spans="1:9" x14ac:dyDescent="0.25">
      <c r="A785" s="1">
        <v>21.2777170538902</v>
      </c>
      <c r="B785">
        <v>9.9847394741412092</v>
      </c>
      <c r="C785">
        <v>6.8335990579481001</v>
      </c>
      <c r="D785">
        <v>6.8859067427707599</v>
      </c>
      <c r="E785">
        <v>-0.65682613184267202</v>
      </c>
      <c r="F785">
        <v>9.0114182600127795E-4</v>
      </c>
      <c r="G785">
        <v>0.10124332179079</v>
      </c>
      <c r="H785">
        <v>0.68418435059424798</v>
      </c>
      <c r="I785">
        <v>-4.1269907063563498E-3</v>
      </c>
    </row>
    <row r="786" spans="1:9" x14ac:dyDescent="0.25">
      <c r="A786" s="1">
        <v>24.180224537849401</v>
      </c>
      <c r="B786">
        <v>10.4956294979939</v>
      </c>
      <c r="C786">
        <v>6.5540250887228098</v>
      </c>
      <c r="D786">
        <v>6.4136391287662002</v>
      </c>
      <c r="E786">
        <v>-0.70169708375468098</v>
      </c>
      <c r="F786">
        <v>1.2097675419268099E-3</v>
      </c>
      <c r="G786">
        <v>9.6649501854903105E-2</v>
      </c>
      <c r="H786">
        <v>0.66142652023716997</v>
      </c>
      <c r="I786">
        <v>-8.2765933295096007E-3</v>
      </c>
    </row>
    <row r="787" spans="1:9" x14ac:dyDescent="0.25">
      <c r="A787" s="1">
        <v>27.343950867652801</v>
      </c>
      <c r="B787">
        <v>10.9522241843088</v>
      </c>
      <c r="C787">
        <v>6.2043652013728696</v>
      </c>
      <c r="D787">
        <v>5.8989907775503703</v>
      </c>
      <c r="E787">
        <v>-0.737287516184157</v>
      </c>
      <c r="F787">
        <v>1.67908091590953E-3</v>
      </c>
      <c r="G787">
        <v>9.0838961758997805E-2</v>
      </c>
      <c r="H787">
        <v>0.63884289991020804</v>
      </c>
      <c r="I787">
        <v>-1.1230253287204599E-2</v>
      </c>
    </row>
    <row r="788" spans="1:9" x14ac:dyDescent="0.25">
      <c r="A788" s="1">
        <v>30.7923927903175</v>
      </c>
      <c r="B788">
        <v>11.3620311616609</v>
      </c>
      <c r="C788">
        <v>5.8170362075100197</v>
      </c>
      <c r="D788">
        <v>5.3752695701899604</v>
      </c>
      <c r="E788">
        <v>-0.76479527887777099</v>
      </c>
      <c r="F788">
        <v>2.2222519800068302E-3</v>
      </c>
      <c r="G788">
        <v>8.4361395550923299E-2</v>
      </c>
      <c r="H788">
        <v>0.61683177405087597</v>
      </c>
      <c r="I788">
        <v>-1.30640748130696E-2</v>
      </c>
    </row>
    <row r="789" spans="1:9" x14ac:dyDescent="0.25">
      <c r="A789" s="1">
        <v>34.551213085651298</v>
      </c>
      <c r="B789">
        <v>11.7320911172467</v>
      </c>
      <c r="C789">
        <v>5.4162165185065696</v>
      </c>
      <c r="D789">
        <v>4.8649647427969098</v>
      </c>
      <c r="E789">
        <v>-0.78537683448788698</v>
      </c>
      <c r="F789">
        <v>2.7874569223748698E-3</v>
      </c>
      <c r="G789">
        <v>7.7557799286947296E-2</v>
      </c>
      <c r="H789">
        <v>0.59580420320111005</v>
      </c>
      <c r="I789">
        <v>-1.3936744822854801E-2</v>
      </c>
    </row>
    <row r="790" spans="1:9" x14ac:dyDescent="0.25">
      <c r="A790" s="1">
        <v>38.6483111977577</v>
      </c>
      <c r="B790">
        <v>12.068799012728601</v>
      </c>
      <c r="C790">
        <v>5.0189082787854904</v>
      </c>
      <c r="D790">
        <v>4.3823436723343603</v>
      </c>
      <c r="E790">
        <v>-0.80004836290261605</v>
      </c>
      <c r="F790">
        <v>3.2225681519669801E-3</v>
      </c>
      <c r="G790">
        <v>7.0649908767094094E-2</v>
      </c>
      <c r="H790">
        <v>0.57618716533124004</v>
      </c>
      <c r="I790">
        <v>-1.40271166812692E-2</v>
      </c>
    </row>
    <row r="791" spans="1:9" x14ac:dyDescent="0.25">
      <c r="A791" s="1">
        <v>43.1141293048858</v>
      </c>
      <c r="B791">
        <v>12.377847732618999</v>
      </c>
      <c r="C791">
        <v>4.6363860675574697</v>
      </c>
      <c r="D791">
        <v>3.9358468791016001</v>
      </c>
      <c r="E791">
        <v>-0.80965610574388802</v>
      </c>
      <c r="F791">
        <v>3.4899195593663399E-3</v>
      </c>
      <c r="G791">
        <v>6.3793583505006302E-2</v>
      </c>
      <c r="H791">
        <v>0.55827176289561098</v>
      </c>
      <c r="I791">
        <v>-1.35136085249141E-2</v>
      </c>
    </row>
    <row r="792" spans="1:9" x14ac:dyDescent="0.25">
      <c r="A792" s="1">
        <v>47.981887757778097</v>
      </c>
      <c r="B792">
        <v>12.6641317053853</v>
      </c>
      <c r="C792">
        <v>4.2757128422936903</v>
      </c>
      <c r="D792">
        <v>3.5298398474176702</v>
      </c>
      <c r="E792">
        <v>-0.81490796759323603</v>
      </c>
      <c r="F792">
        <v>3.5790356679209598E-3</v>
      </c>
      <c r="G792">
        <v>5.7105977066459201E-2</v>
      </c>
      <c r="H792">
        <v>0.542069460054176</v>
      </c>
      <c r="I792">
        <v>-1.25763528123502E-2</v>
      </c>
    </row>
    <row r="793" spans="1:9" x14ac:dyDescent="0.25">
      <c r="A793" s="1">
        <v>53.287820518016801</v>
      </c>
      <c r="B793">
        <v>12.931744291555701</v>
      </c>
      <c r="C793">
        <v>3.9404552763403702</v>
      </c>
      <c r="D793">
        <v>3.16531113822036</v>
      </c>
      <c r="E793">
        <v>-0.81633465072839795</v>
      </c>
      <c r="F793">
        <v>3.42367175029375E-3</v>
      </c>
      <c r="G793">
        <v>5.0719157185359097E-2</v>
      </c>
      <c r="H793">
        <v>0.52762313851785603</v>
      </c>
      <c r="I793">
        <v>-1.13891953603417E-2</v>
      </c>
    </row>
    <row r="794" spans="1:9" x14ac:dyDescent="0.25">
      <c r="A794" s="1">
        <v>59.071175158023799</v>
      </c>
      <c r="B794">
        <v>13.184121960277301</v>
      </c>
      <c r="C794">
        <v>3.6318715054939998</v>
      </c>
      <c r="D794">
        <v>2.84102182807796</v>
      </c>
      <c r="E794">
        <v>-0.81433012284787498</v>
      </c>
      <c r="F794">
        <v>2.9571735487558901E-3</v>
      </c>
      <c r="G794">
        <v>4.4759842388735802E-2</v>
      </c>
      <c r="H794">
        <v>0.51486857370501804</v>
      </c>
      <c r="I794">
        <v>-1.0114628256036999E-2</v>
      </c>
    </row>
    <row r="795" spans="1:9" x14ac:dyDescent="0.25">
      <c r="A795" s="1">
        <v>65.375131070613804</v>
      </c>
      <c r="B795">
        <v>13.4241012286084</v>
      </c>
      <c r="C795">
        <v>3.3500445089178701</v>
      </c>
      <c r="D795">
        <v>2.5548479923963301</v>
      </c>
      <c r="E795">
        <v>-0.80918536605524605</v>
      </c>
      <c r="F795">
        <v>2.31171809160842E-3</v>
      </c>
      <c r="G795">
        <v>3.9300610948353298E-2</v>
      </c>
      <c r="H795">
        <v>0.50340173847521297</v>
      </c>
      <c r="I795">
        <v>-8.8638284868854094E-3</v>
      </c>
    </row>
    <row r="796" spans="1:9" x14ac:dyDescent="0.25">
      <c r="A796" s="1">
        <v>72.246375679969702</v>
      </c>
      <c r="B796">
        <v>13.6540173911179</v>
      </c>
      <c r="C796">
        <v>3.0936408972984299</v>
      </c>
      <c r="D796">
        <v>2.3036487561622301</v>
      </c>
      <c r="E796">
        <v>-0.80111393600459102</v>
      </c>
      <c r="F796">
        <v>1.5923939801834599E-3</v>
      </c>
      <c r="G796">
        <v>3.4388807841215702E-2</v>
      </c>
      <c r="H796">
        <v>0.49297707735922902</v>
      </c>
      <c r="I796">
        <v>-7.70857978504552E-3</v>
      </c>
    </row>
    <row r="797" spans="1:9" x14ac:dyDescent="0.25">
      <c r="A797" s="1">
        <v>79.736069738864799</v>
      </c>
      <c r="B797">
        <v>13.8758408607604</v>
      </c>
      <c r="C797">
        <v>2.8604190886866898</v>
      </c>
      <c r="D797">
        <v>2.0834033629661701</v>
      </c>
      <c r="E797">
        <v>-0.79021834855274398</v>
      </c>
      <c r="F797">
        <v>9.70026218003981E-4</v>
      </c>
      <c r="G797">
        <v>3.00005483138653E-2</v>
      </c>
      <c r="H797">
        <v>0.48315997053078802</v>
      </c>
      <c r="I797">
        <v>-6.6648496263634104E-3</v>
      </c>
    </row>
    <row r="798" spans="1:9" x14ac:dyDescent="0.25">
      <c r="A798" s="1">
        <v>87.899753153324099</v>
      </c>
      <c r="B798">
        <v>14.091160452753901</v>
      </c>
      <c r="C798">
        <v>2.6476487824753701</v>
      </c>
      <c r="D798">
        <v>1.8898949413577</v>
      </c>
      <c r="E798">
        <v>-0.77653529882957795</v>
      </c>
      <c r="F798">
        <v>6.3386945304925004E-4</v>
      </c>
      <c r="G798">
        <v>2.61095420111719E-2</v>
      </c>
      <c r="H798">
        <v>0.47384824672128001</v>
      </c>
      <c r="I798">
        <v>-5.7460399918835003E-3</v>
      </c>
    </row>
    <row r="799" spans="1:9" x14ac:dyDescent="0.25">
      <c r="A799" s="1">
        <v>96.798263192176805</v>
      </c>
      <c r="B799">
        <v>14.301231443431799</v>
      </c>
      <c r="C799">
        <v>2.45263315585755</v>
      </c>
      <c r="D799">
        <v>1.7194440418128401</v>
      </c>
      <c r="E799">
        <v>-0.76014274173981899</v>
      </c>
      <c r="F799">
        <v>7.7019060732153402E-4</v>
      </c>
      <c r="G799">
        <v>2.26784632078081E-2</v>
      </c>
      <c r="H799">
        <v>0.46481616975263101</v>
      </c>
      <c r="I799">
        <v>-4.9453487127441801E-3</v>
      </c>
    </row>
    <row r="800" spans="1:9" x14ac:dyDescent="0.25">
      <c r="A800" s="1">
        <v>106.497616767883</v>
      </c>
      <c r="B800">
        <v>14.5071343734084</v>
      </c>
      <c r="C800">
        <v>2.2725005575133301</v>
      </c>
      <c r="D800">
        <v>1.5683757966431999</v>
      </c>
      <c r="E800">
        <v>-0.74095793075571903</v>
      </c>
      <c r="F800">
        <v>1.0465576237096499E-3</v>
      </c>
      <c r="G800">
        <v>1.9672360141261301E-2</v>
      </c>
      <c r="H800">
        <v>0.45606574942723699</v>
      </c>
      <c r="I800">
        <v>-4.2552842681739898E-3</v>
      </c>
    </row>
    <row r="801" spans="1:9" x14ac:dyDescent="0.25">
      <c r="A801" s="1">
        <v>117.06990510225199</v>
      </c>
      <c r="B801">
        <v>14.710125041395999</v>
      </c>
      <c r="C801">
        <v>2.1039594329430602</v>
      </c>
      <c r="D801">
        <v>1.4326481194726599</v>
      </c>
      <c r="E801">
        <v>-0.71872626115913396</v>
      </c>
      <c r="F801">
        <v>1.1584103133374199E-3</v>
      </c>
      <c r="G801">
        <v>1.7044203756710799E-2</v>
      </c>
      <c r="H801">
        <v>0.44807579160427302</v>
      </c>
      <c r="I801">
        <v>-3.6605547282909899E-3</v>
      </c>
    </row>
    <row r="802" spans="1:9" x14ac:dyDescent="0.25">
      <c r="A802" s="1">
        <v>128.593670427799</v>
      </c>
      <c r="B802">
        <v>14.9112884282289</v>
      </c>
      <c r="C802">
        <v>1.94531486120276</v>
      </c>
      <c r="D802">
        <v>1.30992450210347</v>
      </c>
      <c r="E802">
        <v>-0.69348553809409896</v>
      </c>
      <c r="F802">
        <v>1.3316910458239699E-3</v>
      </c>
      <c r="G802">
        <v>1.47199376616201E-2</v>
      </c>
      <c r="H802">
        <v>0.440476898953851</v>
      </c>
      <c r="I802">
        <v>-3.1323755595261699E-3</v>
      </c>
    </row>
    <row r="803" spans="1:9" x14ac:dyDescent="0.25">
      <c r="A803" s="1">
        <v>141.15461230278001</v>
      </c>
      <c r="B803">
        <v>15.111285343129801</v>
      </c>
      <c r="C803">
        <v>1.7947125441279801</v>
      </c>
      <c r="D803">
        <v>1.1977959614850799</v>
      </c>
      <c r="E803">
        <v>-0.66501726664041905</v>
      </c>
      <c r="F803">
        <v>1.7558155969734999E-3</v>
      </c>
      <c r="G803">
        <v>1.26521486022766E-2</v>
      </c>
      <c r="H803">
        <v>0.43311178952638302</v>
      </c>
      <c r="I803">
        <v>-2.6620578534770302E-3</v>
      </c>
    </row>
    <row r="804" spans="1:9" x14ac:dyDescent="0.25">
      <c r="A804" s="1">
        <v>154.84601140022201</v>
      </c>
      <c r="B804">
        <v>15.3101157860985</v>
      </c>
      <c r="C804">
        <v>1.6506878994866501</v>
      </c>
      <c r="D804">
        <v>1.0941703757707899</v>
      </c>
      <c r="E804">
        <v>-0.633172202984713</v>
      </c>
      <c r="F804">
        <v>1.84800048154197E-3</v>
      </c>
      <c r="G804">
        <v>1.0802495378138001E-2</v>
      </c>
      <c r="H804">
        <v>0.425376757080694</v>
      </c>
      <c r="I804">
        <v>-2.2418389763343202E-3</v>
      </c>
    </row>
    <row r="805" spans="1:9" x14ac:dyDescent="0.25">
      <c r="A805" s="1">
        <v>169.76969480514501</v>
      </c>
      <c r="B805">
        <v>15.5077301311462</v>
      </c>
      <c r="C805">
        <v>1.5107183607147701</v>
      </c>
      <c r="D805">
        <v>0.99682873389118098</v>
      </c>
      <c r="E805">
        <v>-0.59755509115215699</v>
      </c>
      <c r="F805">
        <v>1.6731817922446999E-3</v>
      </c>
      <c r="G805">
        <v>9.1512220775345002E-3</v>
      </c>
      <c r="H805">
        <v>0.417673584125062</v>
      </c>
      <c r="I805">
        <v>-1.86697125592072E-3</v>
      </c>
    </row>
    <row r="806" spans="1:9" x14ac:dyDescent="0.25">
      <c r="A806" s="1">
        <v>186.03645980358101</v>
      </c>
      <c r="B806">
        <v>15.7045353113829</v>
      </c>
      <c r="C806">
        <v>1.37309956441187</v>
      </c>
      <c r="D806">
        <v>0.90372908709106703</v>
      </c>
      <c r="E806">
        <v>-0.55765349140706999</v>
      </c>
      <c r="F806">
        <v>1.62286443243854E-3</v>
      </c>
      <c r="G806">
        <v>7.6792129306429901E-3</v>
      </c>
      <c r="H806">
        <v>0.41037899293527302</v>
      </c>
      <c r="I806">
        <v>-1.5361138380066599E-3</v>
      </c>
    </row>
    <row r="807" spans="1:9" x14ac:dyDescent="0.25">
      <c r="A807" s="1">
        <v>203.76720398664401</v>
      </c>
      <c r="B807">
        <v>15.9002455855875</v>
      </c>
      <c r="C807">
        <v>1.23681430049004</v>
      </c>
      <c r="D807">
        <v>0.81294279180442497</v>
      </c>
      <c r="E807">
        <v>-0.51327460883752096</v>
      </c>
      <c r="F807">
        <v>1.52213950078369E-3</v>
      </c>
      <c r="G807">
        <v>6.3618000521149303E-3</v>
      </c>
      <c r="H807">
        <v>0.40283521342009199</v>
      </c>
      <c r="I807">
        <v>-1.24251412637961E-3</v>
      </c>
    </row>
    <row r="808" spans="1:9" x14ac:dyDescent="0.25">
      <c r="A808" s="1">
        <v>223.09376105666101</v>
      </c>
      <c r="B808">
        <v>16.0934823960221</v>
      </c>
      <c r="C808">
        <v>1.1010440796506999</v>
      </c>
      <c r="D808">
        <v>0.72333436447891997</v>
      </c>
      <c r="E808">
        <v>-0.46402620726773403</v>
      </c>
      <c r="F808">
        <v>1.1759352134420599E-3</v>
      </c>
      <c r="G808">
        <v>5.1678495196328597E-3</v>
      </c>
      <c r="H808">
        <v>0.39521498299782698</v>
      </c>
      <c r="I808">
        <v>-9.7370194720003704E-4</v>
      </c>
    </row>
    <row r="809" spans="1:9" x14ac:dyDescent="0.25">
      <c r="A809" s="1">
        <v>244.15970131754801</v>
      </c>
      <c r="B809">
        <v>16.282969571199899</v>
      </c>
      <c r="C809">
        <v>0.96520604480550398</v>
      </c>
      <c r="D809">
        <v>0.63346291283370504</v>
      </c>
      <c r="E809">
        <v>-0.409330426270063</v>
      </c>
      <c r="F809">
        <v>4.6052900121863798E-4</v>
      </c>
      <c r="G809">
        <v>4.0983544077763598E-3</v>
      </c>
      <c r="H809">
        <v>0.38818538628330801</v>
      </c>
      <c r="I809">
        <v>-7.3616252193044998E-4</v>
      </c>
    </row>
    <row r="810" spans="1:9" x14ac:dyDescent="0.25">
      <c r="A810" s="1">
        <v>267.12157949805197</v>
      </c>
      <c r="B810">
        <v>16.46564806068</v>
      </c>
      <c r="C810">
        <v>0.83013685482843802</v>
      </c>
      <c r="D810">
        <v>0.54372482685030699</v>
      </c>
      <c r="E810">
        <v>-0.348830003032642</v>
      </c>
      <c r="F810">
        <v>-3.6505494636123598E-4</v>
      </c>
      <c r="G810">
        <v>3.1621285862592301E-3</v>
      </c>
      <c r="H810">
        <v>0.382157159928185</v>
      </c>
      <c r="I810">
        <v>-5.3599425504746701E-4</v>
      </c>
    </row>
    <row r="811" spans="1:9" x14ac:dyDescent="0.25">
      <c r="A811" s="1">
        <v>292.15002954006098</v>
      </c>
      <c r="B811">
        <v>16.636933467832101</v>
      </c>
      <c r="C811">
        <v>0.69521695581153098</v>
      </c>
      <c r="D811">
        <v>0.452627796747751</v>
      </c>
      <c r="E811">
        <v>-0.28189849295560798</v>
      </c>
      <c r="F811">
        <v>-8.0306087204275796E-4</v>
      </c>
      <c r="G811">
        <v>2.36452187407582E-3</v>
      </c>
      <c r="H811">
        <v>0.37853462259244203</v>
      </c>
      <c r="I811">
        <v>-3.7529328610680699E-4</v>
      </c>
    </row>
    <row r="812" spans="1:9" x14ac:dyDescent="0.25">
      <c r="A812" s="1">
        <v>319.43101242184599</v>
      </c>
      <c r="B812">
        <v>16.7876470741971</v>
      </c>
      <c r="C812">
        <v>0.56749417583540696</v>
      </c>
      <c r="D812">
        <v>0.36353289092310598</v>
      </c>
      <c r="E812">
        <v>-0.208300055672026</v>
      </c>
      <c r="F812">
        <v>-8.5471907337524304E-4</v>
      </c>
      <c r="G812">
        <v>1.7212713664179499E-3</v>
      </c>
      <c r="H812">
        <v>0.37782198350159901</v>
      </c>
      <c r="I812">
        <v>-2.58315883817233E-4</v>
      </c>
    </row>
    <row r="813" spans="1:9" x14ac:dyDescent="0.25">
      <c r="A813" s="1">
        <v>349.16732590645501</v>
      </c>
      <c r="B813">
        <v>16.905378203482002</v>
      </c>
      <c r="C813">
        <v>0.46105068694727802</v>
      </c>
      <c r="D813">
        <v>0.28663190524155202</v>
      </c>
      <c r="E813">
        <v>-0.12668156926785601</v>
      </c>
      <c r="F813">
        <v>-1.0884443719504299E-3</v>
      </c>
      <c r="G813">
        <v>1.27730225020804E-3</v>
      </c>
      <c r="H813">
        <v>0.38185646100912701</v>
      </c>
      <c r="I813">
        <v>-1.8852312833130401E-4</v>
      </c>
    </row>
    <row r="814" spans="1:9" x14ac:dyDescent="0.25">
      <c r="A814" s="1">
        <v>379.83785875141598</v>
      </c>
      <c r="B814">
        <v>16.968111722186801</v>
      </c>
      <c r="C814">
        <v>0.40036212329829901</v>
      </c>
      <c r="D814">
        <v>0.241448518934094</v>
      </c>
      <c r="E814">
        <v>-4.1824681003000901E-2</v>
      </c>
      <c r="F814">
        <v>-1.61133968013946E-3</v>
      </c>
      <c r="G814">
        <v>1.04631244932259E-3</v>
      </c>
      <c r="H814">
        <v>0.40243691599581599</v>
      </c>
      <c r="I814">
        <v>-1.4921190420079901E-4</v>
      </c>
    </row>
    <row r="815" spans="1:9" x14ac:dyDescent="0.25">
      <c r="A815" s="1" t="s">
        <v>534</v>
      </c>
      <c r="B815" s="1" t="s">
        <v>614</v>
      </c>
      <c r="C815" s="1" t="s">
        <v>615</v>
      </c>
      <c r="D815" s="1" t="s">
        <v>616</v>
      </c>
      <c r="E815" s="1" t="s">
        <v>617</v>
      </c>
      <c r="F815" s="1" t="s">
        <v>618</v>
      </c>
      <c r="G815" s="1" t="s">
        <v>400</v>
      </c>
      <c r="H815" s="1" t="s">
        <v>619</v>
      </c>
      <c r="I815" s="1" t="s">
        <v>613</v>
      </c>
    </row>
    <row r="816" spans="1:9" x14ac:dyDescent="0.25">
      <c r="A816" s="1">
        <v>-141.555516719818</v>
      </c>
      <c r="B816">
        <v>-22.4754043755546</v>
      </c>
      <c r="C816">
        <v>3.0285563783483901E-2</v>
      </c>
      <c r="D816">
        <v>0</v>
      </c>
      <c r="E816">
        <v>0</v>
      </c>
      <c r="F816">
        <v>0</v>
      </c>
      <c r="G816" s="1">
        <v>1.14664877312264E-5</v>
      </c>
      <c r="H816">
        <v>2.4632939334471599E-2</v>
      </c>
      <c r="I816">
        <v>0</v>
      </c>
    </row>
    <row r="817" spans="1:9" x14ac:dyDescent="0.25">
      <c r="A817" s="1">
        <v>-128.95890593528699</v>
      </c>
      <c r="B817">
        <v>-20.475535523282002</v>
      </c>
      <c r="C817">
        <v>3.0837576408063599E-2</v>
      </c>
      <c r="D817">
        <v>0</v>
      </c>
      <c r="E817">
        <v>0</v>
      </c>
      <c r="F817">
        <v>0</v>
      </c>
      <c r="G817" s="1">
        <v>1.41637224673196E-5</v>
      </c>
      <c r="H817">
        <v>0.17256278493351099</v>
      </c>
      <c r="I817">
        <v>0</v>
      </c>
    </row>
    <row r="818" spans="1:9" x14ac:dyDescent="0.25">
      <c r="A818" s="1">
        <v>-117.402367591857</v>
      </c>
      <c r="B818">
        <v>-18.6407718141988</v>
      </c>
      <c r="C818">
        <v>3.1912907677158701E-2</v>
      </c>
      <c r="D818">
        <v>0</v>
      </c>
      <c r="E818">
        <v>0</v>
      </c>
      <c r="F818">
        <v>0</v>
      </c>
      <c r="G818" s="1">
        <v>1.92815428728288E-5</v>
      </c>
      <c r="H818">
        <v>0.33653525278431101</v>
      </c>
      <c r="I818">
        <v>0</v>
      </c>
    </row>
    <row r="819" spans="1:9" x14ac:dyDescent="0.25">
      <c r="A819" s="1">
        <v>-106.80001378059301</v>
      </c>
      <c r="B819">
        <v>-16.957483339817799</v>
      </c>
      <c r="C819">
        <v>3.3547901212449299E-2</v>
      </c>
      <c r="D819">
        <v>0</v>
      </c>
      <c r="E819">
        <v>0</v>
      </c>
      <c r="F819">
        <v>0</v>
      </c>
      <c r="G819" s="1">
        <v>2.681804524709E-5</v>
      </c>
      <c r="H819">
        <v>0.45951768804234799</v>
      </c>
      <c r="I819">
        <v>0</v>
      </c>
    </row>
    <row r="820" spans="1:9" x14ac:dyDescent="0.25">
      <c r="A820" s="1">
        <v>-97.073161005973802</v>
      </c>
      <c r="B820">
        <v>-15.4131685299292</v>
      </c>
      <c r="C820">
        <v>3.5805303299882997E-2</v>
      </c>
      <c r="D820">
        <v>0</v>
      </c>
      <c r="E820">
        <v>0</v>
      </c>
      <c r="F820">
        <v>0</v>
      </c>
      <c r="G820" s="1">
        <v>3.7034476826480703E-5</v>
      </c>
      <c r="H820">
        <v>0.54161677238332595</v>
      </c>
      <c r="I820">
        <v>0</v>
      </c>
    </row>
    <row r="821" spans="1:9" x14ac:dyDescent="0.25">
      <c r="A821" s="1">
        <v>-88.149435520172105</v>
      </c>
      <c r="B821">
        <v>-13.996351766349401</v>
      </c>
      <c r="C821">
        <v>3.8756129081145702E-2</v>
      </c>
      <c r="D821">
        <v>0</v>
      </c>
      <c r="E821">
        <v>0</v>
      </c>
      <c r="F821">
        <v>0</v>
      </c>
      <c r="G821" s="1">
        <v>5.0437182435914003E-5</v>
      </c>
      <c r="H821">
        <v>0.59480334516171895</v>
      </c>
      <c r="I821">
        <v>0</v>
      </c>
    </row>
    <row r="822" spans="1:9" x14ac:dyDescent="0.25">
      <c r="A822" s="1">
        <v>-79.962490797042804</v>
      </c>
      <c r="B822">
        <v>-12.696510249884399</v>
      </c>
      <c r="C822">
        <v>4.2472053149786797E-2</v>
      </c>
      <c r="D822">
        <v>0</v>
      </c>
      <c r="E822">
        <v>0</v>
      </c>
      <c r="F822">
        <v>0</v>
      </c>
      <c r="G822" s="1">
        <v>6.7786411819170593E-5</v>
      </c>
      <c r="H822">
        <v>0.62925418103595199</v>
      </c>
      <c r="I822">
        <v>0</v>
      </c>
    </row>
    <row r="823" spans="1:9" x14ac:dyDescent="0.25">
      <c r="A823" s="1">
        <v>-72.451583743095298</v>
      </c>
      <c r="B823">
        <v>-11.503984151171201</v>
      </c>
      <c r="C823">
        <v>4.70229997576301E-2</v>
      </c>
      <c r="D823">
        <v>0</v>
      </c>
      <c r="E823">
        <v>0</v>
      </c>
      <c r="F823">
        <v>0</v>
      </c>
      <c r="G823" s="1">
        <v>9.0129655481696594E-5</v>
      </c>
      <c r="H823">
        <v>0.65186390681536399</v>
      </c>
      <c r="I823">
        <v>0</v>
      </c>
    </row>
    <row r="824" spans="1:9" x14ac:dyDescent="0.25">
      <c r="A824" s="1">
        <v>-65.560821294784503</v>
      </c>
      <c r="B824">
        <v>-10.409916014732399</v>
      </c>
      <c r="C824">
        <v>5.2477207642244901E-2</v>
      </c>
      <c r="D824">
        <v>0</v>
      </c>
      <c r="E824">
        <v>0</v>
      </c>
      <c r="F824">
        <v>0</v>
      </c>
      <c r="G824">
        <v>1.18861286593663E-4</v>
      </c>
      <c r="H824">
        <v>0.66707238086697995</v>
      </c>
      <c r="I824">
        <v>0</v>
      </c>
    </row>
    <row r="825" spans="1:9" x14ac:dyDescent="0.25">
      <c r="A825" s="1">
        <v>-59.238972067832897</v>
      </c>
      <c r="B825">
        <v>-9.4061765811831197</v>
      </c>
      <c r="C825">
        <v>5.89023924505701E-2</v>
      </c>
      <c r="D825">
        <v>0</v>
      </c>
      <c r="E825">
        <v>0</v>
      </c>
      <c r="F825">
        <v>0</v>
      </c>
      <c r="G825">
        <v>1.5581087128157999E-4</v>
      </c>
      <c r="H825">
        <v>0.67771948148461703</v>
      </c>
      <c r="I825">
        <v>0</v>
      </c>
    </row>
    <row r="826" spans="1:9" x14ac:dyDescent="0.25">
      <c r="A826" s="1">
        <v>-53.439136743545497</v>
      </c>
      <c r="B826">
        <v>-8.4853083703160799</v>
      </c>
      <c r="C826">
        <v>6.6367333894246205E-2</v>
      </c>
      <c r="D826">
        <v>0</v>
      </c>
      <c r="E826">
        <v>0</v>
      </c>
      <c r="F826">
        <v>0</v>
      </c>
      <c r="G826">
        <v>2.0336180729856301E-4</v>
      </c>
      <c r="H826">
        <v>0.68562567025209997</v>
      </c>
      <c r="I826">
        <v>0</v>
      </c>
    </row>
    <row r="827" spans="1:9" x14ac:dyDescent="0.25">
      <c r="A827" s="1">
        <v>-48.118183016777003</v>
      </c>
      <c r="B827">
        <v>-7.64046926418846</v>
      </c>
      <c r="C827">
        <v>7.4943601501610196E-2</v>
      </c>
      <c r="D827">
        <v>0</v>
      </c>
      <c r="E827">
        <v>0</v>
      </c>
      <c r="F827">
        <v>0</v>
      </c>
      <c r="G827">
        <v>2.6460090918760599E-4</v>
      </c>
      <c r="H827">
        <v>0.69195519069968803</v>
      </c>
      <c r="I827">
        <v>0</v>
      </c>
    </row>
    <row r="828" spans="1:9" x14ac:dyDescent="0.25">
      <c r="A828" s="1">
        <v>-43.236604332923797</v>
      </c>
      <c r="B828">
        <v>-6.8653823587537302</v>
      </c>
      <c r="C828">
        <v>8.4707177539909501E-2</v>
      </c>
      <c r="D828">
        <v>0</v>
      </c>
      <c r="E828">
        <v>0</v>
      </c>
      <c r="F828">
        <v>0</v>
      </c>
      <c r="G828">
        <v>3.4349800622379602E-4</v>
      </c>
      <c r="H828">
        <v>0.69744158165717396</v>
      </c>
      <c r="I828">
        <v>0</v>
      </c>
    </row>
    <row r="829" spans="1:9" x14ac:dyDescent="0.25">
      <c r="A829" s="1">
        <v>-38.758049011230398</v>
      </c>
      <c r="B829">
        <v>-6.1542899945244702</v>
      </c>
      <c r="C829">
        <v>9.5739874277949694E-2</v>
      </c>
      <c r="D829">
        <v>0</v>
      </c>
      <c r="E829">
        <v>0</v>
      </c>
      <c r="F829">
        <v>0</v>
      </c>
      <c r="G829">
        <v>4.45111759544403E-4</v>
      </c>
      <c r="H829">
        <v>0.70253183171175704</v>
      </c>
      <c r="I829">
        <v>0</v>
      </c>
    </row>
    <row r="830" spans="1:9" x14ac:dyDescent="0.25">
      <c r="A830" s="1">
        <v>-34.649320244789102</v>
      </c>
      <c r="B830">
        <v>-5.5019077872351296</v>
      </c>
      <c r="C830">
        <v>0.108130335458755</v>
      </c>
      <c r="D830">
        <v>0</v>
      </c>
      <c r="E830">
        <v>0</v>
      </c>
      <c r="F830">
        <v>0</v>
      </c>
      <c r="G830">
        <v>5.7581567184712397E-4</v>
      </c>
      <c r="H830">
        <v>0.70748220854392097</v>
      </c>
      <c r="I830">
        <v>0</v>
      </c>
    </row>
    <row r="831" spans="1:9" x14ac:dyDescent="0.25">
      <c r="A831" s="1">
        <v>-30.879811048507602</v>
      </c>
      <c r="B831">
        <v>-4.9033891060814696</v>
      </c>
      <c r="C831">
        <v>0.121974550448482</v>
      </c>
      <c r="D831">
        <v>0</v>
      </c>
      <c r="E831">
        <v>0</v>
      </c>
      <c r="F831">
        <v>0</v>
      </c>
      <c r="G831">
        <v>7.4353269012590302E-4</v>
      </c>
      <c r="H831">
        <v>0.71242475515677195</v>
      </c>
      <c r="I831">
        <v>0</v>
      </c>
    </row>
    <row r="832" spans="1:9" x14ac:dyDescent="0.25">
      <c r="A832" s="1">
        <v>-27.4215984344482</v>
      </c>
      <c r="B832">
        <v>-4.35428641768699</v>
      </c>
      <c r="C832">
        <v>0.13737556363050701</v>
      </c>
      <c r="D832">
        <v>0</v>
      </c>
      <c r="E832">
        <v>0</v>
      </c>
      <c r="F832">
        <v>0</v>
      </c>
      <c r="G832">
        <v>9.5796261323499699E-4</v>
      </c>
      <c r="H832">
        <v>0.71741448249362905</v>
      </c>
      <c r="I832">
        <v>0</v>
      </c>
    </row>
    <row r="833" spans="1:9" x14ac:dyDescent="0.25">
      <c r="A833" s="1">
        <v>-24.248878359794599</v>
      </c>
      <c r="B833">
        <v>-3.8505209881306199</v>
      </c>
      <c r="C833">
        <v>0.15444244610761099</v>
      </c>
      <c r="D833">
        <v>0</v>
      </c>
      <c r="E833">
        <v>0</v>
      </c>
      <c r="F833">
        <v>0</v>
      </c>
      <c r="G833">
        <v>1.2307809125388701E-3</v>
      </c>
      <c r="H833">
        <v>0.72246238816782105</v>
      </c>
      <c r="I833">
        <v>0</v>
      </c>
    </row>
    <row r="834" spans="1:9" x14ac:dyDescent="0.25">
      <c r="A834" s="1">
        <v>-21.3381540775299</v>
      </c>
      <c r="B834">
        <v>-3.38834840594386</v>
      </c>
      <c r="C834">
        <v>0.17328824804805601</v>
      </c>
      <c r="D834">
        <v>0</v>
      </c>
      <c r="E834">
        <v>0</v>
      </c>
      <c r="F834">
        <v>0</v>
      </c>
      <c r="G834">
        <v>1.57578167374765E-3</v>
      </c>
      <c r="H834">
        <v>0.72755740232147104</v>
      </c>
      <c r="I834">
        <v>0</v>
      </c>
    </row>
    <row r="835" spans="1:9" x14ac:dyDescent="0.25">
      <c r="A835" s="1">
        <v>-18.6677181720733</v>
      </c>
      <c r="B835">
        <v>-2.9643345526844702</v>
      </c>
      <c r="C835">
        <v>0.19402704791792499</v>
      </c>
      <c r="D835">
        <v>0</v>
      </c>
      <c r="E835">
        <v>0</v>
      </c>
      <c r="F835">
        <v>0</v>
      </c>
      <c r="G835">
        <v>2.00893482341371E-3</v>
      </c>
      <c r="H835">
        <v>0.732679863062077</v>
      </c>
      <c r="I835">
        <v>0</v>
      </c>
    </row>
    <row r="836" spans="1:9" x14ac:dyDescent="0.25">
      <c r="A836" s="1">
        <v>-16.2178409099578</v>
      </c>
      <c r="B836">
        <v>-2.5753305287525499</v>
      </c>
      <c r="C836">
        <v>0.216769991299082</v>
      </c>
      <c r="D836">
        <v>0</v>
      </c>
      <c r="E836">
        <v>0</v>
      </c>
      <c r="F836">
        <v>0</v>
      </c>
      <c r="G836">
        <v>2.5483275496071601E-3</v>
      </c>
      <c r="H836">
        <v>0.73780860871319698</v>
      </c>
      <c r="I836">
        <v>0</v>
      </c>
    </row>
    <row r="837" spans="1:9" x14ac:dyDescent="0.25">
      <c r="A837" s="1">
        <v>-13.9702051877975</v>
      </c>
      <c r="B837">
        <v>-2.2184444449335801</v>
      </c>
      <c r="C837">
        <v>0.24162055177747199</v>
      </c>
      <c r="D837">
        <v>0</v>
      </c>
      <c r="E837">
        <v>0</v>
      </c>
      <c r="F837">
        <v>0</v>
      </c>
      <c r="G837">
        <v>3.2139625708396099E-3</v>
      </c>
      <c r="H837">
        <v>0.74292408554540601</v>
      </c>
      <c r="I837">
        <v>0</v>
      </c>
    </row>
    <row r="838" spans="1:9" x14ac:dyDescent="0.25">
      <c r="A838" s="1">
        <v>-11.908189058303799</v>
      </c>
      <c r="B838">
        <v>-1.8910247062758101</v>
      </c>
      <c r="C838">
        <v>0.268669076493815</v>
      </c>
      <c r="D838">
        <v>0</v>
      </c>
      <c r="E838">
        <v>0</v>
      </c>
      <c r="F838">
        <v>0</v>
      </c>
      <c r="G838">
        <v>4.0274020725291799E-3</v>
      </c>
      <c r="H838">
        <v>0.74800923126500796</v>
      </c>
      <c r="I838">
        <v>0</v>
      </c>
    </row>
    <row r="839" spans="1:9" x14ac:dyDescent="0.25">
      <c r="A839" s="1">
        <v>-10.016394853591899</v>
      </c>
      <c r="B839">
        <v>-1.59063911693697</v>
      </c>
      <c r="C839">
        <v>0.29798715285989003</v>
      </c>
      <c r="D839">
        <v>0</v>
      </c>
      <c r="E839">
        <v>0</v>
      </c>
      <c r="F839">
        <v>0</v>
      </c>
      <c r="G839">
        <v>5.0112572620719196E-3</v>
      </c>
      <c r="H839">
        <v>0.75304954900770804</v>
      </c>
      <c r="I839">
        <v>0</v>
      </c>
    </row>
    <row r="840" spans="1:9" x14ac:dyDescent="0.25">
      <c r="A840" s="1">
        <v>-8.2808375358581507</v>
      </c>
      <c r="B840">
        <v>-1.31505607454633</v>
      </c>
      <c r="C840">
        <v>0.329621921624495</v>
      </c>
      <c r="D840">
        <v>0</v>
      </c>
      <c r="E840">
        <v>0</v>
      </c>
      <c r="F840">
        <v>0</v>
      </c>
      <c r="G840">
        <v>6.1885570962431297E-3</v>
      </c>
      <c r="H840">
        <v>0.75803340502759198</v>
      </c>
      <c r="I840">
        <v>0</v>
      </c>
    </row>
    <row r="841" spans="1:9" x14ac:dyDescent="0.25">
      <c r="A841" s="1">
        <v>-6.6885209083557102</v>
      </c>
      <c r="B841">
        <v>-1.0622257645667099</v>
      </c>
      <c r="C841">
        <v>0.36359087279230801</v>
      </c>
      <c r="D841">
        <v>0</v>
      </c>
      <c r="E841">
        <v>0</v>
      </c>
      <c r="F841">
        <v>0</v>
      </c>
      <c r="G841">
        <v>7.5820484768882998E-3</v>
      </c>
      <c r="H841">
        <v>0.76295268606099498</v>
      </c>
      <c r="I841">
        <v>0</v>
      </c>
    </row>
    <row r="842" spans="1:9" x14ac:dyDescent="0.25">
      <c r="A842" s="1">
        <v>-5.2277201414108196</v>
      </c>
      <c r="B842">
        <v>-0.83027127985437998</v>
      </c>
      <c r="C842">
        <v>0.39987762513195402</v>
      </c>
      <c r="D842">
        <v>0</v>
      </c>
      <c r="E842">
        <v>0</v>
      </c>
      <c r="F842">
        <v>0</v>
      </c>
      <c r="G842">
        <v>9.2134528380938708E-3</v>
      </c>
      <c r="H842">
        <v>0.76780221784420499</v>
      </c>
      <c r="I842">
        <v>0</v>
      </c>
    </row>
    <row r="843" spans="1:9" x14ac:dyDescent="0.25">
      <c r="A843" s="1">
        <v>-3.88755798339843</v>
      </c>
      <c r="B843">
        <v>-0.61746877026339697</v>
      </c>
      <c r="C843">
        <v>0.43842920789307499</v>
      </c>
      <c r="D843">
        <v>0</v>
      </c>
      <c r="E843">
        <v>0</v>
      </c>
      <c r="F843">
        <v>0</v>
      </c>
      <c r="G843">
        <v>1.11039371789047E-2</v>
      </c>
      <c r="H843">
        <v>0.77260357838054505</v>
      </c>
      <c r="I843">
        <v>0</v>
      </c>
    </row>
    <row r="844" spans="1:9" x14ac:dyDescent="0.25">
      <c r="A844" s="1">
        <v>-2.6580518484115601</v>
      </c>
      <c r="B844">
        <v>-0.42223699506898998</v>
      </c>
      <c r="C844">
        <v>0.47915316368898803</v>
      </c>
      <c r="D844">
        <v>0</v>
      </c>
      <c r="E844">
        <v>0</v>
      </c>
      <c r="F844">
        <v>0</v>
      </c>
      <c r="G844">
        <v>1.32729783723789E-2</v>
      </c>
      <c r="H844">
        <v>0.77737603465822602</v>
      </c>
      <c r="I844">
        <v>0</v>
      </c>
    </row>
    <row r="845" spans="1:9" x14ac:dyDescent="0.25">
      <c r="A845" s="1">
        <v>-1.5300196409225399</v>
      </c>
      <c r="B845">
        <v>-0.24312478587558201</v>
      </c>
      <c r="C845">
        <v>0.52192123248540201</v>
      </c>
      <c r="D845">
        <v>0</v>
      </c>
      <c r="E845">
        <v>0</v>
      </c>
      <c r="F845">
        <v>0</v>
      </c>
      <c r="G845">
        <v>1.5736165754969899E-2</v>
      </c>
      <c r="H845">
        <v>0.78210813927649003</v>
      </c>
      <c r="I845">
        <v>0</v>
      </c>
    </row>
    <row r="846" spans="1:9" x14ac:dyDescent="0.25">
      <c r="A846" s="1">
        <v>-0.49517393112182601</v>
      </c>
      <c r="B846">
        <v>-7.8801643797808602E-2</v>
      </c>
      <c r="C846">
        <v>0.56657307135601198</v>
      </c>
      <c r="D846">
        <v>0</v>
      </c>
      <c r="E846">
        <v>0</v>
      </c>
      <c r="F846">
        <v>0</v>
      </c>
      <c r="G846">
        <v>1.85310842014587E-2</v>
      </c>
      <c r="H846">
        <v>0.78707961166249596</v>
      </c>
      <c r="I846">
        <v>0</v>
      </c>
    </row>
    <row r="847" spans="1:9" x14ac:dyDescent="0.25">
      <c r="A847" s="1">
        <v>0.49376130104064903</v>
      </c>
      <c r="B847">
        <v>0.35044122157091501</v>
      </c>
      <c r="C847">
        <v>0.70922348090600196</v>
      </c>
      <c r="D847">
        <v>0.128505318359597</v>
      </c>
      <c r="E847">
        <v>-2.0589527326339799E-4</v>
      </c>
      <c r="F847" s="1">
        <v>4.4021495663342602E-5</v>
      </c>
      <c r="G847">
        <v>6.8661092785921293E-2</v>
      </c>
      <c r="H847">
        <v>0.98342639842809498</v>
      </c>
      <c r="I847" s="1">
        <v>8.4043013584924696E-7</v>
      </c>
    </row>
    <row r="848" spans="1:9" x14ac:dyDescent="0.25">
      <c r="A848" s="1">
        <v>1.5257111191749499</v>
      </c>
      <c r="B848">
        <v>1.08234045706162</v>
      </c>
      <c r="C848">
        <v>1.03672571411101</v>
      </c>
      <c r="D848">
        <v>0.52671621495978804</v>
      </c>
      <c r="E848">
        <v>-2.4149104404793701E-3</v>
      </c>
      <c r="F848">
        <v>1.9545109429234999E-4</v>
      </c>
      <c r="G848">
        <v>7.7897907727969895E-2</v>
      </c>
      <c r="H848">
        <v>0.97455062966898298</v>
      </c>
      <c r="I848" s="1">
        <v>2.3326977842101199E-5</v>
      </c>
    </row>
    <row r="849" spans="1:9" x14ac:dyDescent="0.25">
      <c r="A849" s="1">
        <v>2.6505178213119498</v>
      </c>
      <c r="B849">
        <v>1.87529010666007</v>
      </c>
      <c r="C849">
        <v>1.52106672078211</v>
      </c>
      <c r="D849">
        <v>1.16159107547339</v>
      </c>
      <c r="E849">
        <v>-1.1114092451655899E-2</v>
      </c>
      <c r="F849">
        <v>4.4420304126007999E-4</v>
      </c>
      <c r="G849">
        <v>8.6237886395056099E-2</v>
      </c>
      <c r="H849">
        <v>0.96180942400459901</v>
      </c>
      <c r="I849">
        <v>1.1640930972307199E-4</v>
      </c>
    </row>
    <row r="850" spans="1:9" x14ac:dyDescent="0.25">
      <c r="A850" s="1">
        <v>3.8765159249305698</v>
      </c>
      <c r="B850">
        <v>2.72608171957949</v>
      </c>
      <c r="C850">
        <v>2.19169687897719</v>
      </c>
      <c r="D850">
        <v>2.0647219243019799</v>
      </c>
      <c r="E850">
        <v>-3.1335928777354798E-2</v>
      </c>
      <c r="F850">
        <v>7.8323076545656195E-4</v>
      </c>
      <c r="G850">
        <v>9.1813105057250599E-2</v>
      </c>
      <c r="H850">
        <v>0.94351470058740905</v>
      </c>
      <c r="I850">
        <v>2.79220413457583E-4</v>
      </c>
    </row>
    <row r="851" spans="1:9" x14ac:dyDescent="0.25">
      <c r="A851" s="1">
        <v>5.2129346132278398</v>
      </c>
      <c r="B851">
        <v>3.6245782733935301</v>
      </c>
      <c r="C851">
        <v>3.0462792522432101</v>
      </c>
      <c r="D851">
        <v>3.2093682092365299</v>
      </c>
      <c r="E851">
        <v>-6.8305979394935906E-2</v>
      </c>
      <c r="F851">
        <v>1.16827513081677E-3</v>
      </c>
      <c r="G851">
        <v>9.33493363796251E-2</v>
      </c>
      <c r="H851">
        <v>0.91751662097481201</v>
      </c>
      <c r="I851">
        <v>5.4008564486167398E-4</v>
      </c>
    </row>
    <row r="852" spans="1:9" x14ac:dyDescent="0.25">
      <c r="A852" s="1">
        <v>6.6695916652679399</v>
      </c>
      <c r="B852">
        <v>4.5522585654206003</v>
      </c>
      <c r="C852">
        <v>4.0282372163741202</v>
      </c>
      <c r="D852">
        <v>4.4816349299482701</v>
      </c>
      <c r="E852">
        <v>-0.124821750779212</v>
      </c>
      <c r="F852">
        <v>1.5155245840678499E-3</v>
      </c>
      <c r="G852">
        <v>9.1894227683523302E-2</v>
      </c>
      <c r="H852">
        <v>0.88313961999629897</v>
      </c>
      <c r="I852">
        <v>1.24606901997721E-3</v>
      </c>
    </row>
    <row r="853" spans="1:9" x14ac:dyDescent="0.25">
      <c r="A853" s="1">
        <v>8.2573878765106201</v>
      </c>
      <c r="B853">
        <v>5.4833349728298701</v>
      </c>
      <c r="C853">
        <v>5.0265572408305097</v>
      </c>
      <c r="D853">
        <v>5.6990417511852396</v>
      </c>
      <c r="E853">
        <v>-0.19914230169411501</v>
      </c>
      <c r="F853">
        <v>1.72881069676285E-3</v>
      </c>
      <c r="G853">
        <v>9.0641381924409098E-2</v>
      </c>
      <c r="H853">
        <v>0.84416231445518697</v>
      </c>
      <c r="I853">
        <v>3.39610464084993E-3</v>
      </c>
    </row>
    <row r="854" spans="1:9" x14ac:dyDescent="0.25">
      <c r="A854" s="1">
        <v>9.9880245327949506</v>
      </c>
      <c r="B854">
        <v>6.3891798296750899</v>
      </c>
      <c r="C854">
        <v>5.9106395650511097</v>
      </c>
      <c r="D854">
        <v>6.68094512221945</v>
      </c>
      <c r="E854">
        <v>-0.28495174439608101</v>
      </c>
      <c r="F854">
        <v>1.73848360196818E-3</v>
      </c>
      <c r="G854">
        <v>9.2321617931884994E-2</v>
      </c>
      <c r="H854">
        <v>0.80775245564450404</v>
      </c>
      <c r="I854">
        <v>7.3326412781757801E-3</v>
      </c>
    </row>
    <row r="855" spans="1:9" x14ac:dyDescent="0.25">
      <c r="A855" s="1">
        <v>11.874474287032999</v>
      </c>
      <c r="B855">
        <v>7.2447681535716102</v>
      </c>
      <c r="C855">
        <v>6.58070260358536</v>
      </c>
      <c r="D855">
        <v>7.3206083711522796</v>
      </c>
      <c r="E855">
        <v>-0.37393559390870701</v>
      </c>
      <c r="F855">
        <v>1.54813517740737E-3</v>
      </c>
      <c r="G855">
        <v>9.6762422790601196E-2</v>
      </c>
      <c r="H855">
        <v>0.77773510836117399</v>
      </c>
      <c r="I855">
        <v>1.05332099678138E-2</v>
      </c>
    </row>
    <row r="856" spans="1:9" x14ac:dyDescent="0.25">
      <c r="A856" s="1">
        <v>13.9306750893592</v>
      </c>
      <c r="B856">
        <v>8.0336106649000101</v>
      </c>
      <c r="C856">
        <v>6.9958639533557099</v>
      </c>
      <c r="D856">
        <v>7.6055302839858303</v>
      </c>
      <c r="E856">
        <v>-0.45890941063683899</v>
      </c>
      <c r="F856">
        <v>1.24141533440031E-3</v>
      </c>
      <c r="G856">
        <v>0.10157636321115</v>
      </c>
      <c r="H856">
        <v>0.75263647222575603</v>
      </c>
      <c r="I856">
        <v>1.01628311346808E-2</v>
      </c>
    </row>
    <row r="857" spans="1:9" x14ac:dyDescent="0.25">
      <c r="A857" s="1">
        <v>16.171883344650201</v>
      </c>
      <c r="B857">
        <v>8.74874327026013</v>
      </c>
      <c r="C857">
        <v>7.1675295295588803</v>
      </c>
      <c r="D857">
        <v>7.5885319534582001</v>
      </c>
      <c r="E857">
        <v>-0.53532600740882397</v>
      </c>
      <c r="F857">
        <v>9.4763569744120901E-4</v>
      </c>
      <c r="G857">
        <v>0.104473451690095</v>
      </c>
      <c r="H857">
        <v>0.72967105122778098</v>
      </c>
      <c r="I857">
        <v>6.3147412648222297E-3</v>
      </c>
    </row>
    <row r="858" spans="1:9" x14ac:dyDescent="0.25">
      <c r="A858" s="1">
        <v>18.614838719367899</v>
      </c>
      <c r="B858">
        <v>9.3906172396655503</v>
      </c>
      <c r="C858">
        <v>7.1363316532423697</v>
      </c>
      <c r="D858">
        <v>7.34729479926155</v>
      </c>
      <c r="E858">
        <v>-0.60114701377286095</v>
      </c>
      <c r="F858">
        <v>7.9446705399294996E-4</v>
      </c>
      <c r="G858">
        <v>0.104493198737536</v>
      </c>
      <c r="H858">
        <v>0.70714177069583795</v>
      </c>
      <c r="I858">
        <v>9.3993217938930103E-4</v>
      </c>
    </row>
    <row r="859" spans="1:9" x14ac:dyDescent="0.25">
      <c r="A859" s="1">
        <v>21.2777170538902</v>
      </c>
      <c r="B859">
        <v>9.9641202433075193</v>
      </c>
      <c r="C859">
        <v>6.95177168733409</v>
      </c>
      <c r="D859">
        <v>6.9571320999913002</v>
      </c>
      <c r="E859">
        <v>-0.65605787092372603</v>
      </c>
      <c r="F859">
        <v>8.7106281537178705E-4</v>
      </c>
      <c r="G859">
        <v>0.101847751641838</v>
      </c>
      <c r="H859">
        <v>0.68447665388063506</v>
      </c>
      <c r="I859">
        <v>-4.2475842576511803E-3</v>
      </c>
    </row>
    <row r="860" spans="1:9" x14ac:dyDescent="0.25">
      <c r="A860" s="1">
        <v>24.180224537849401</v>
      </c>
      <c r="B860">
        <v>10.4761719070881</v>
      </c>
      <c r="C860">
        <v>6.66063385636678</v>
      </c>
      <c r="D860">
        <v>6.4796213081616996</v>
      </c>
      <c r="E860">
        <v>-0.70070368365753299</v>
      </c>
      <c r="F860">
        <v>1.2025715747157699E-3</v>
      </c>
      <c r="G860">
        <v>9.7267417296660802E-2</v>
      </c>
      <c r="H860">
        <v>0.66169188791332101</v>
      </c>
      <c r="I860">
        <v>-8.4282918208740606E-3</v>
      </c>
    </row>
    <row r="861" spans="1:9" x14ac:dyDescent="0.25">
      <c r="A861" s="1">
        <v>27.343950867652801</v>
      </c>
      <c r="B861">
        <v>10.9342837774235</v>
      </c>
      <c r="C861">
        <v>6.3023252511217098</v>
      </c>
      <c r="D861">
        <v>5.9608176753018398</v>
      </c>
      <c r="E861">
        <v>-0.73615439473309396</v>
      </c>
      <c r="F861">
        <v>1.7077526848312901E-3</v>
      </c>
      <c r="G861">
        <v>9.1487459155554202E-2</v>
      </c>
      <c r="H861">
        <v>0.63908451229413199</v>
      </c>
      <c r="I861">
        <v>-1.14126518318692E-2</v>
      </c>
    </row>
    <row r="862" spans="1:9" x14ac:dyDescent="0.25">
      <c r="A862" s="1">
        <v>30.7923927903175</v>
      </c>
      <c r="B862">
        <v>11.3458561340387</v>
      </c>
      <c r="C862">
        <v>5.9079115535242002</v>
      </c>
      <c r="D862">
        <v>5.4333846068188301</v>
      </c>
      <c r="E862">
        <v>-0.76358836297805999</v>
      </c>
      <c r="F862">
        <v>2.3049695834558999E-3</v>
      </c>
      <c r="G862">
        <v>8.50403552629031E-2</v>
      </c>
      <c r="H862">
        <v>0.61705307661369702</v>
      </c>
      <c r="I862">
        <v>-1.32745751030832E-2</v>
      </c>
    </row>
    <row r="863" spans="1:9" x14ac:dyDescent="0.25">
      <c r="A863" s="1">
        <v>34.551213085651298</v>
      </c>
      <c r="B863">
        <v>11.717839749673701</v>
      </c>
      <c r="C863">
        <v>5.5006790058736899</v>
      </c>
      <c r="D863">
        <v>4.9194089415002402</v>
      </c>
      <c r="E863">
        <v>-0.78414491346436999</v>
      </c>
      <c r="F863">
        <v>2.9329664851697498E-3</v>
      </c>
      <c r="G863">
        <v>7.8254154485388597E-2</v>
      </c>
      <c r="H863">
        <v>0.59599477619978602</v>
      </c>
      <c r="I863">
        <v>-1.41686842039848E-2</v>
      </c>
    </row>
    <row r="864" spans="1:9" x14ac:dyDescent="0.25">
      <c r="A864" s="1">
        <v>38.6483111977577</v>
      </c>
      <c r="B864">
        <v>12.056554885818</v>
      </c>
      <c r="C864">
        <v>5.0971227212919601</v>
      </c>
      <c r="D864">
        <v>4.4329779217955299</v>
      </c>
      <c r="E864">
        <v>-0.79883219497418501</v>
      </c>
      <c r="F864">
        <v>3.42650942635166E-3</v>
      </c>
      <c r="G864">
        <v>7.13437856374807E-2</v>
      </c>
      <c r="H864">
        <v>0.57632638694556604</v>
      </c>
      <c r="I864">
        <v>-1.4270473481481199E-2</v>
      </c>
    </row>
    <row r="865" spans="1:9" x14ac:dyDescent="0.25">
      <c r="A865" s="1">
        <v>43.1141293048858</v>
      </c>
      <c r="B865">
        <v>12.3676267789251</v>
      </c>
      <c r="C865">
        <v>4.7082460229662404</v>
      </c>
      <c r="D865">
        <v>3.9824712312112802</v>
      </c>
      <c r="E865">
        <v>-0.80849235436468003</v>
      </c>
      <c r="F865">
        <v>3.7371052276042199E-3</v>
      </c>
      <c r="G865">
        <v>6.4463349807678094E-2</v>
      </c>
      <c r="H865">
        <v>0.55833981307814695</v>
      </c>
      <c r="I865">
        <v>-1.3755788991417901E-2</v>
      </c>
    </row>
    <row r="866" spans="1:9" x14ac:dyDescent="0.25">
      <c r="A866" s="1">
        <v>47.981887757778097</v>
      </c>
      <c r="B866">
        <v>12.6558890003285</v>
      </c>
      <c r="C866">
        <v>4.3409785294363497</v>
      </c>
      <c r="D866">
        <v>3.5722748762379899</v>
      </c>
      <c r="E866">
        <v>-0.81382888771805695</v>
      </c>
      <c r="F866">
        <v>3.8545225341897198E-3</v>
      </c>
      <c r="G866">
        <v>5.7733637118457103E-2</v>
      </c>
      <c r="H866">
        <v>0.54206356226989305</v>
      </c>
      <c r="I866">
        <v>-1.2806195143210901E-2</v>
      </c>
    </row>
    <row r="867" spans="1:9" x14ac:dyDescent="0.25">
      <c r="A867" s="1">
        <v>53.287820518016801</v>
      </c>
      <c r="B867">
        <v>12.925385284567501</v>
      </c>
      <c r="C867">
        <v>3.9988734657013598</v>
      </c>
      <c r="D867">
        <v>3.2034333810130602</v>
      </c>
      <c r="E867">
        <v>-0.81536755921429105</v>
      </c>
      <c r="F867">
        <v>3.7198133920666901E-3</v>
      </c>
      <c r="G867">
        <v>5.1290399651092201E-2</v>
      </c>
      <c r="H867">
        <v>0.52755093680732801</v>
      </c>
      <c r="I867">
        <v>-1.1597531210327101E-2</v>
      </c>
    </row>
    <row r="868" spans="1:9" x14ac:dyDescent="0.25">
      <c r="A868" s="1">
        <v>59.071175158023799</v>
      </c>
      <c r="B868">
        <v>13.1795163178391</v>
      </c>
      <c r="C868">
        <v>3.6832822475827101</v>
      </c>
      <c r="D868">
        <v>2.8747777303201798</v>
      </c>
      <c r="E868">
        <v>-0.81350104819651603</v>
      </c>
      <c r="F868">
        <v>3.25576720627029E-3</v>
      </c>
      <c r="G868">
        <v>4.5264424690846301E-2</v>
      </c>
      <c r="H868">
        <v>0.51472671347951604</v>
      </c>
      <c r="I868">
        <v>-1.0295613332510299E-2</v>
      </c>
    </row>
    <row r="869" spans="1:9" x14ac:dyDescent="0.25">
      <c r="A869" s="1">
        <v>65.375131070613804</v>
      </c>
      <c r="B869">
        <v>13.421071603106601</v>
      </c>
      <c r="C869">
        <v>3.3944789924542902</v>
      </c>
      <c r="D869">
        <v>2.5843008895036799</v>
      </c>
      <c r="E869">
        <v>-0.80851264847138804</v>
      </c>
      <c r="F869">
        <v>2.5690806199107899E-3</v>
      </c>
      <c r="G869">
        <v>3.9735016291005801E-2</v>
      </c>
      <c r="H869">
        <v>0.50318632736132596</v>
      </c>
      <c r="I869">
        <v>-9.0163526260653108E-3</v>
      </c>
    </row>
    <row r="870" spans="1:9" x14ac:dyDescent="0.25">
      <c r="A870" s="1">
        <v>72.246375679969702</v>
      </c>
      <c r="B870">
        <v>13.6523496072314</v>
      </c>
      <c r="C870">
        <v>3.1313348975603299</v>
      </c>
      <c r="D870">
        <v>2.32900125593354</v>
      </c>
      <c r="E870">
        <v>-0.80059806045084203</v>
      </c>
      <c r="F870">
        <v>1.77558716487486E-3</v>
      </c>
      <c r="G870">
        <v>3.4754199429023198E-2</v>
      </c>
      <c r="H870">
        <v>0.49268140568052798</v>
      </c>
      <c r="I870">
        <v>-7.8334899457856606E-3</v>
      </c>
    </row>
    <row r="871" spans="1:9" x14ac:dyDescent="0.25">
      <c r="A871" s="1">
        <v>79.736069738864799</v>
      </c>
      <c r="B871">
        <v>13.8753071613184</v>
      </c>
      <c r="C871">
        <v>2.8917697611176698</v>
      </c>
      <c r="D871">
        <v>2.1049491941405098</v>
      </c>
      <c r="E871">
        <v>-0.78984836258577895</v>
      </c>
      <c r="F871">
        <v>1.08453850759945E-3</v>
      </c>
      <c r="G871">
        <v>3.0302717034830999E-2</v>
      </c>
      <c r="H871">
        <v>0.48281066513682702</v>
      </c>
      <c r="I871">
        <v>-6.7648432197641604E-3</v>
      </c>
    </row>
    <row r="872" spans="1:9" x14ac:dyDescent="0.25">
      <c r="A872" s="1">
        <v>87.899753153324099</v>
      </c>
      <c r="B872">
        <v>14.0915469236246</v>
      </c>
      <c r="C872">
        <v>2.6732126597395598</v>
      </c>
      <c r="D872">
        <v>1.9079905561173001</v>
      </c>
      <c r="E872">
        <v>-0.77629643253824798</v>
      </c>
      <c r="F872">
        <v>6.77435123032365E-4</v>
      </c>
      <c r="G872">
        <v>2.63546461190373E-2</v>
      </c>
      <c r="H872">
        <v>0.47345237389408801</v>
      </c>
      <c r="I872">
        <v>-5.8240504649583998E-3</v>
      </c>
    </row>
    <row r="873" spans="1:9" x14ac:dyDescent="0.25">
      <c r="A873" s="1">
        <v>96.798263192176805</v>
      </c>
      <c r="B873">
        <v>14.302328871893</v>
      </c>
      <c r="C873">
        <v>2.4731656344759401</v>
      </c>
      <c r="D873">
        <v>1.7345236734828</v>
      </c>
      <c r="E873">
        <v>-0.76001945426561801</v>
      </c>
      <c r="F873">
        <v>7.4303965918356605E-4</v>
      </c>
      <c r="G873">
        <v>2.2873693447773399E-2</v>
      </c>
      <c r="H873">
        <v>0.46435678071193998</v>
      </c>
      <c r="I873">
        <v>-5.0049951349671398E-3</v>
      </c>
    </row>
    <row r="874" spans="1:9" x14ac:dyDescent="0.25">
      <c r="A874" s="1">
        <v>106.497616767883</v>
      </c>
      <c r="B874">
        <v>14.5087797772645</v>
      </c>
      <c r="C874">
        <v>2.2887211240586498</v>
      </c>
      <c r="D874">
        <v>1.5808611528551799</v>
      </c>
      <c r="E874">
        <v>-0.74092084400003799</v>
      </c>
      <c r="F874">
        <v>9.6206607826501104E-4</v>
      </c>
      <c r="G874">
        <v>1.9827973450086502E-2</v>
      </c>
      <c r="H874">
        <v>0.45557456407188801</v>
      </c>
      <c r="I874">
        <v>-4.3011257437610296E-3</v>
      </c>
    </row>
    <row r="875" spans="1:9" x14ac:dyDescent="0.25">
      <c r="A875" s="1">
        <v>117.06990510225199</v>
      </c>
      <c r="B875">
        <v>14.712183646908301</v>
      </c>
      <c r="C875">
        <v>2.1165467997439902</v>
      </c>
      <c r="D875">
        <v>1.4429287990495201</v>
      </c>
      <c r="E875">
        <v>-0.71875994377533503</v>
      </c>
      <c r="F875">
        <v>1.0408958041657299E-3</v>
      </c>
      <c r="G875">
        <v>1.71677900752263E-2</v>
      </c>
      <c r="H875">
        <v>0.44753026464668699</v>
      </c>
      <c r="I875">
        <v>-3.6956959934946799E-3</v>
      </c>
    </row>
    <row r="876" spans="1:9" x14ac:dyDescent="0.25">
      <c r="A876" s="1">
        <v>128.593670427799</v>
      </c>
      <c r="B876">
        <v>14.9136552372522</v>
      </c>
      <c r="C876">
        <v>1.95489208732161</v>
      </c>
      <c r="D876">
        <v>1.3183241313929199</v>
      </c>
      <c r="E876">
        <v>-0.69356855229439895</v>
      </c>
      <c r="F876">
        <v>1.21281886027037E-3</v>
      </c>
      <c r="G876">
        <v>1.48174665701747E-2</v>
      </c>
      <c r="H876">
        <v>0.43987495726299403</v>
      </c>
      <c r="I876">
        <v>-3.1594642176447402E-3</v>
      </c>
    </row>
    <row r="877" spans="1:9" x14ac:dyDescent="0.25">
      <c r="A877" s="1">
        <v>141.15461230278001</v>
      </c>
      <c r="B877">
        <v>15.1138887897639</v>
      </c>
      <c r="C877">
        <v>1.8018405973220799</v>
      </c>
      <c r="D877">
        <v>1.2046185460442</v>
      </c>
      <c r="E877">
        <v>-0.66513841216897596</v>
      </c>
      <c r="F877">
        <v>1.69077645421379E-3</v>
      </c>
      <c r="G877">
        <v>1.2726868544299601E-2</v>
      </c>
      <c r="H877">
        <v>0.432382957051065</v>
      </c>
      <c r="I877">
        <v>-2.6816419130864201E-3</v>
      </c>
    </row>
    <row r="878" spans="1:9" x14ac:dyDescent="0.25">
      <c r="A878" s="1">
        <v>154.84601140022201</v>
      </c>
      <c r="B878">
        <v>15.3128691554575</v>
      </c>
      <c r="C878">
        <v>1.65566421713614</v>
      </c>
      <c r="D878">
        <v>1.09965287685335</v>
      </c>
      <c r="E878">
        <v>-0.63333107476313799</v>
      </c>
      <c r="F878">
        <v>1.84012692666503E-3</v>
      </c>
      <c r="G878">
        <v>1.0860345113028099E-2</v>
      </c>
      <c r="H878">
        <v>0.42462982868404803</v>
      </c>
      <c r="I878">
        <v>-2.2560936681370598E-3</v>
      </c>
    </row>
    <row r="879" spans="1:9" x14ac:dyDescent="0.25">
      <c r="A879" s="1">
        <v>169.76969480514501</v>
      </c>
      <c r="B879">
        <v>15.510584319619699</v>
      </c>
      <c r="C879">
        <v>1.51403824258396</v>
      </c>
      <c r="D879">
        <v>1.0012621677181199</v>
      </c>
      <c r="E879">
        <v>-0.59772447415246899</v>
      </c>
      <c r="F879">
        <v>1.6785251131164001E-3</v>
      </c>
      <c r="G879">
        <v>9.1954171019402592E-3</v>
      </c>
      <c r="H879">
        <v>0.41687949323503898</v>
      </c>
      <c r="I879">
        <v>-1.8769389993500501E-3</v>
      </c>
    </row>
    <row r="880" spans="1:9" x14ac:dyDescent="0.25">
      <c r="A880" s="1">
        <v>186.03645980358101</v>
      </c>
      <c r="B880">
        <v>15.7075347211718</v>
      </c>
      <c r="C880">
        <v>1.37551812088671</v>
      </c>
      <c r="D880">
        <v>0.90748831603588098</v>
      </c>
      <c r="E880">
        <v>-0.55781699553469899</v>
      </c>
      <c r="F880">
        <v>1.60265339098668E-3</v>
      </c>
      <c r="G880">
        <v>7.7129451566245802E-3</v>
      </c>
      <c r="H880">
        <v>0.40951383903084698</v>
      </c>
      <c r="I880">
        <v>-1.54310670425846E-3</v>
      </c>
    </row>
    <row r="881" spans="1:9" x14ac:dyDescent="0.25">
      <c r="A881" s="1">
        <v>203.76720398664401</v>
      </c>
      <c r="B881">
        <v>15.9033667096442</v>
      </c>
      <c r="C881">
        <v>1.2390133913847401</v>
      </c>
      <c r="D881">
        <v>0.81632246309120404</v>
      </c>
      <c r="E881">
        <v>-0.51347870429049702</v>
      </c>
      <c r="F881">
        <v>1.3498403832399E-3</v>
      </c>
      <c r="G881">
        <v>6.3885534523895502E-3</v>
      </c>
      <c r="H881">
        <v>0.401911751863674</v>
      </c>
      <c r="I881">
        <v>-1.2476757331506101E-3</v>
      </c>
    </row>
    <row r="882" spans="1:9" x14ac:dyDescent="0.25">
      <c r="A882" s="1">
        <v>223.09376105666101</v>
      </c>
      <c r="B882">
        <v>16.0967294133774</v>
      </c>
      <c r="C882">
        <v>1.1033690699655601</v>
      </c>
      <c r="D882">
        <v>0.72658498278713302</v>
      </c>
      <c r="E882">
        <v>-0.46419667041631701</v>
      </c>
      <c r="F882">
        <v>9.1021986794202997E-4</v>
      </c>
      <c r="G882">
        <v>5.1896140365947198E-3</v>
      </c>
      <c r="H882">
        <v>0.39417471513723301</v>
      </c>
      <c r="I882">
        <v>-9.7701396567814193E-4</v>
      </c>
    </row>
    <row r="883" spans="1:9" x14ac:dyDescent="0.25">
      <c r="A883" s="1">
        <v>244.15970131754801</v>
      </c>
      <c r="B883">
        <v>16.286548821492399</v>
      </c>
      <c r="C883">
        <v>0.96790014932947899</v>
      </c>
      <c r="D883">
        <v>0.63671791950752998</v>
      </c>
      <c r="E883">
        <v>-0.40942681088480498</v>
      </c>
      <c r="F883">
        <v>2.5566325608671297E-4</v>
      </c>
      <c r="G883">
        <v>4.1173179783400302E-3</v>
      </c>
      <c r="H883">
        <v>0.38709312097007498</v>
      </c>
      <c r="I883">
        <v>-7.3832215697120602E-4</v>
      </c>
    </row>
    <row r="884" spans="1:9" x14ac:dyDescent="0.25">
      <c r="A884" s="1">
        <v>267.12157949805197</v>
      </c>
      <c r="B884">
        <v>16.4699455818667</v>
      </c>
      <c r="C884">
        <v>0.83330422671821003</v>
      </c>
      <c r="D884">
        <v>0.54680901591204301</v>
      </c>
      <c r="E884">
        <v>-0.34887500965469198</v>
      </c>
      <c r="F884">
        <v>-6.4809614324944195E-4</v>
      </c>
      <c r="G884">
        <v>3.1798187634197199E-3</v>
      </c>
      <c r="H884">
        <v>0.38111005299385797</v>
      </c>
      <c r="I884">
        <v>-5.3740864504351303E-4</v>
      </c>
    </row>
    <row r="885" spans="1:9" x14ac:dyDescent="0.25">
      <c r="A885" s="1">
        <v>292.15002954006098</v>
      </c>
      <c r="B885">
        <v>16.642113286866099</v>
      </c>
      <c r="C885">
        <v>0.699009318175149</v>
      </c>
      <c r="D885">
        <v>0.45549651751950698</v>
      </c>
      <c r="E885">
        <v>-0.28192696259009198</v>
      </c>
      <c r="F885">
        <v>-1.1830305827456699E-3</v>
      </c>
      <c r="G885">
        <v>2.3800833062070101E-3</v>
      </c>
      <c r="H885">
        <v>0.37736344617414402</v>
      </c>
      <c r="I885">
        <v>-3.7611907107749698E-4</v>
      </c>
    </row>
    <row r="886" spans="1:9" x14ac:dyDescent="0.25">
      <c r="A886" s="1">
        <v>319.43101242184599</v>
      </c>
      <c r="B886">
        <v>16.793604192933302</v>
      </c>
      <c r="C886">
        <v>0.57156974036063102</v>
      </c>
      <c r="D886">
        <v>0.36587044236184502</v>
      </c>
      <c r="E886">
        <v>-0.20833431741917399</v>
      </c>
      <c r="F886">
        <v>-1.10193781615862E-3</v>
      </c>
      <c r="G886">
        <v>1.7355342856665999E-3</v>
      </c>
      <c r="H886">
        <v>0.37659039576132203</v>
      </c>
      <c r="I886">
        <v>-2.5901242871816099E-4</v>
      </c>
    </row>
    <row r="887" spans="1:9" x14ac:dyDescent="0.25">
      <c r="A887" s="1">
        <v>349.16732590645501</v>
      </c>
      <c r="B887">
        <v>16.9120588169007</v>
      </c>
      <c r="C887">
        <v>0.46509946207883601</v>
      </c>
      <c r="D887">
        <v>0.28814213707047698</v>
      </c>
      <c r="E887">
        <v>-0.126645232200677</v>
      </c>
      <c r="F887">
        <v>-1.19665929064737E-3</v>
      </c>
      <c r="G887">
        <v>1.29072987215002E-3</v>
      </c>
      <c r="H887">
        <v>0.38044529309729702</v>
      </c>
      <c r="I887">
        <v>-1.89252795130072E-4</v>
      </c>
    </row>
    <row r="888" spans="1:9" x14ac:dyDescent="0.25">
      <c r="A888" s="1">
        <v>379.83785875141598</v>
      </c>
      <c r="B888">
        <v>16.975202925367601</v>
      </c>
      <c r="C888">
        <v>0.404510974162135</v>
      </c>
      <c r="D888">
        <v>0.24225763349483201</v>
      </c>
      <c r="E888">
        <v>-4.1815886342923499E-2</v>
      </c>
      <c r="F888">
        <v>-1.8660169097946199E-3</v>
      </c>
      <c r="G888">
        <v>1.05912311906668E-3</v>
      </c>
      <c r="H888">
        <v>0.40077535380197898</v>
      </c>
      <c r="I888">
        <v>-1.4964428191245201E-4</v>
      </c>
    </row>
    <row r="889" spans="1:9" x14ac:dyDescent="0.25">
      <c r="A889" s="1" t="s">
        <v>535</v>
      </c>
      <c r="B889" s="1" t="s">
        <v>614</v>
      </c>
      <c r="C889" s="1" t="s">
        <v>615</v>
      </c>
      <c r="D889" s="1" t="s">
        <v>616</v>
      </c>
      <c r="E889" s="1" t="s">
        <v>617</v>
      </c>
      <c r="F889" s="1" t="s">
        <v>618</v>
      </c>
      <c r="G889" s="1" t="s">
        <v>400</v>
      </c>
      <c r="H889" s="1" t="s">
        <v>619</v>
      </c>
      <c r="I889" s="1" t="s">
        <v>613</v>
      </c>
    </row>
    <row r="890" spans="1:9" x14ac:dyDescent="0.25">
      <c r="A890" s="1">
        <v>-141.555516719818</v>
      </c>
      <c r="B890">
        <v>-44.951927631967202</v>
      </c>
      <c r="C890">
        <v>4.9820577867552403E-2</v>
      </c>
      <c r="D890">
        <v>0</v>
      </c>
      <c r="E890">
        <v>0</v>
      </c>
      <c r="F890">
        <v>0</v>
      </c>
      <c r="G890" s="1">
        <v>2.06078748121285E-5</v>
      </c>
      <c r="H890">
        <v>2.7689958110766699E-2</v>
      </c>
      <c r="I890">
        <v>0</v>
      </c>
    </row>
    <row r="891" spans="1:9" x14ac:dyDescent="0.25">
      <c r="A891" s="1">
        <v>-128.95890593528699</v>
      </c>
      <c r="B891">
        <v>-40.952164853238003</v>
      </c>
      <c r="C891">
        <v>5.0809505294528302E-2</v>
      </c>
      <c r="D891">
        <v>0</v>
      </c>
      <c r="E891">
        <v>0</v>
      </c>
      <c r="F891">
        <v>0</v>
      </c>
      <c r="G891" s="1">
        <v>2.6018249193704399E-5</v>
      </c>
      <c r="H891">
        <v>0.189906210634737</v>
      </c>
      <c r="I891">
        <v>0</v>
      </c>
    </row>
    <row r="892" spans="1:9" x14ac:dyDescent="0.25">
      <c r="A892" s="1">
        <v>-117.402367591857</v>
      </c>
      <c r="B892">
        <v>-37.282599823795699</v>
      </c>
      <c r="C892">
        <v>5.2758339795629099E-2</v>
      </c>
      <c r="D892">
        <v>0</v>
      </c>
      <c r="E892">
        <v>0</v>
      </c>
      <c r="F892">
        <v>0</v>
      </c>
      <c r="G892" s="1">
        <v>3.6316736619390602E-5</v>
      </c>
      <c r="H892">
        <v>0.361748182716227</v>
      </c>
      <c r="I892">
        <v>0</v>
      </c>
    </row>
    <row r="893" spans="1:9" x14ac:dyDescent="0.25">
      <c r="A893" s="1">
        <v>-106.80001378059301</v>
      </c>
      <c r="B893">
        <v>-33.9159810847272</v>
      </c>
      <c r="C893">
        <v>5.5764420936756903E-2</v>
      </c>
      <c r="D893">
        <v>0</v>
      </c>
      <c r="E893">
        <v>0</v>
      </c>
      <c r="F893">
        <v>0</v>
      </c>
      <c r="G893" s="1">
        <v>5.1565612185022698E-5</v>
      </c>
      <c r="H893">
        <v>0.48509108212684199</v>
      </c>
      <c r="I893">
        <v>0</v>
      </c>
    </row>
    <row r="894" spans="1:9" x14ac:dyDescent="0.25">
      <c r="A894" s="1">
        <v>-97.073161005973802</v>
      </c>
      <c r="B894">
        <v>-30.8272929585208</v>
      </c>
      <c r="C894">
        <v>5.9976073972291703E-2</v>
      </c>
      <c r="D894">
        <v>0</v>
      </c>
      <c r="E894">
        <v>0</v>
      </c>
      <c r="F894">
        <v>0</v>
      </c>
      <c r="G894" s="1">
        <v>7.2400773371228397E-5</v>
      </c>
      <c r="H894">
        <v>0.56452156337982196</v>
      </c>
      <c r="I894">
        <v>0</v>
      </c>
    </row>
    <row r="895" spans="1:9" x14ac:dyDescent="0.25">
      <c r="A895" s="1">
        <v>-88.149435520172105</v>
      </c>
      <c r="B895">
        <v>-27.993603014447199</v>
      </c>
      <c r="C895">
        <v>6.55582065766913E-2</v>
      </c>
      <c r="D895">
        <v>0</v>
      </c>
      <c r="E895">
        <v>0</v>
      </c>
      <c r="F895">
        <v>0</v>
      </c>
      <c r="G895">
        <v>1.0001145355271701E-4</v>
      </c>
      <c r="H895">
        <v>0.61444759438260299</v>
      </c>
      <c r="I895">
        <v>0</v>
      </c>
    </row>
    <row r="896" spans="1:9" x14ac:dyDescent="0.25">
      <c r="A896" s="1">
        <v>-79.962490797042804</v>
      </c>
      <c r="B896">
        <v>-25.393857296057501</v>
      </c>
      <c r="C896">
        <v>7.2678744254974795E-2</v>
      </c>
      <c r="D896">
        <v>0</v>
      </c>
      <c r="E896">
        <v>0</v>
      </c>
      <c r="F896">
        <v>0</v>
      </c>
      <c r="G896">
        <v>1.36179210845277E-4</v>
      </c>
      <c r="H896">
        <v>0.645921519344971</v>
      </c>
      <c r="I896">
        <v>0</v>
      </c>
    </row>
    <row r="897" spans="1:9" x14ac:dyDescent="0.25">
      <c r="A897" s="1">
        <v>-72.451583743095298</v>
      </c>
      <c r="B897">
        <v>-23.008742413171099</v>
      </c>
      <c r="C897">
        <v>8.1505228018193598E-2</v>
      </c>
      <c r="D897">
        <v>0</v>
      </c>
      <c r="E897">
        <v>0</v>
      </c>
      <c r="F897">
        <v>0</v>
      </c>
      <c r="G897">
        <v>1.8337438586719601E-4</v>
      </c>
      <c r="H897">
        <v>0.66607068125389401</v>
      </c>
      <c r="I897">
        <v>0</v>
      </c>
    </row>
    <row r="898" spans="1:9" x14ac:dyDescent="0.25">
      <c r="A898" s="1">
        <v>-65.560821294784503</v>
      </c>
      <c r="B898">
        <v>-20.820541365318402</v>
      </c>
      <c r="C898">
        <v>9.2206070695116799E-2</v>
      </c>
      <c r="D898">
        <v>0</v>
      </c>
      <c r="E898">
        <v>0</v>
      </c>
      <c r="F898">
        <v>0</v>
      </c>
      <c r="G898">
        <v>2.44916095015312E-4</v>
      </c>
      <c r="H898">
        <v>0.67933984187579399</v>
      </c>
      <c r="I898">
        <v>0</v>
      </c>
    </row>
    <row r="899" spans="1:9" x14ac:dyDescent="0.25">
      <c r="A899" s="1">
        <v>-59.238972067832897</v>
      </c>
      <c r="B899">
        <v>-18.812999812759902</v>
      </c>
      <c r="C899">
        <v>0.104953869839558</v>
      </c>
      <c r="D899">
        <v>0</v>
      </c>
      <c r="E899">
        <v>0</v>
      </c>
      <c r="F899">
        <v>0</v>
      </c>
      <c r="G899">
        <v>3.2520237986908201E-4</v>
      </c>
      <c r="H899">
        <v>0.68849904309383003</v>
      </c>
      <c r="I899">
        <v>0</v>
      </c>
    </row>
    <row r="900" spans="1:9" x14ac:dyDescent="0.25">
      <c r="A900" s="1">
        <v>-53.439136743545497</v>
      </c>
      <c r="B900">
        <v>-16.971200705566002</v>
      </c>
      <c r="C900">
        <v>0.11992939126672</v>
      </c>
      <c r="D900">
        <v>0</v>
      </c>
      <c r="E900">
        <v>0</v>
      </c>
      <c r="F900">
        <v>0</v>
      </c>
      <c r="G900">
        <v>4.3001540899254503E-4</v>
      </c>
      <c r="H900">
        <v>0.69527849484146298</v>
      </c>
      <c r="I900">
        <v>0</v>
      </c>
    </row>
    <row r="901" spans="1:9" x14ac:dyDescent="0.25">
      <c r="A901" s="1">
        <v>-48.118183016777003</v>
      </c>
      <c r="B901">
        <v>-15.281461897366199</v>
      </c>
      <c r="C901">
        <v>0.13732564200673</v>
      </c>
      <c r="D901">
        <v>0</v>
      </c>
      <c r="E901">
        <v>0</v>
      </c>
      <c r="F901">
        <v>0</v>
      </c>
      <c r="G901">
        <v>5.6690347207890505E-4</v>
      </c>
      <c r="H901">
        <v>0.70075159391832897</v>
      </c>
      <c r="I901">
        <v>0</v>
      </c>
    </row>
    <row r="902" spans="1:9" x14ac:dyDescent="0.25">
      <c r="A902" s="1">
        <v>-43.236604332923797</v>
      </c>
      <c r="B902">
        <v>-13.7312316695829</v>
      </c>
      <c r="C902">
        <v>0.157351616885405</v>
      </c>
      <c r="D902">
        <v>0</v>
      </c>
      <c r="E902">
        <v>0</v>
      </c>
      <c r="F902">
        <v>0</v>
      </c>
      <c r="G902">
        <v>7.4563780958953902E-4</v>
      </c>
      <c r="H902">
        <v>0.70556927427350502</v>
      </c>
      <c r="I902">
        <v>0</v>
      </c>
    </row>
    <row r="903" spans="1:9" x14ac:dyDescent="0.25">
      <c r="A903" s="1">
        <v>-38.758049011230398</v>
      </c>
      <c r="B903">
        <v>-12.308992613725801</v>
      </c>
      <c r="C903">
        <v>0.18023542812630999</v>
      </c>
      <c r="D903">
        <v>0</v>
      </c>
      <c r="E903">
        <v>0</v>
      </c>
      <c r="F903">
        <v>0</v>
      </c>
      <c r="G903">
        <v>9.7873497660287906E-4</v>
      </c>
      <c r="H903">
        <v>0.71010851437475597</v>
      </c>
      <c r="I903">
        <v>0</v>
      </c>
    </row>
    <row r="904" spans="1:9" x14ac:dyDescent="0.25">
      <c r="A904" s="1">
        <v>-34.649320244789102</v>
      </c>
      <c r="B904">
        <v>-11.0041770060216</v>
      </c>
      <c r="C904">
        <v>0.20622636194639901</v>
      </c>
      <c r="D904">
        <v>0</v>
      </c>
      <c r="E904">
        <v>0</v>
      </c>
      <c r="F904">
        <v>0</v>
      </c>
      <c r="G904">
        <v>1.2820287483094701E-3</v>
      </c>
      <c r="H904">
        <v>0.71457086101864897</v>
      </c>
      <c r="I904">
        <v>0</v>
      </c>
    </row>
    <row r="905" spans="1:9" x14ac:dyDescent="0.25">
      <c r="A905" s="1">
        <v>-30.879811048507602</v>
      </c>
      <c r="B905">
        <v>-9.8070915848617695</v>
      </c>
      <c r="C905">
        <v>0.23559547765127301</v>
      </c>
      <c r="D905">
        <v>0</v>
      </c>
      <c r="E905">
        <v>0</v>
      </c>
      <c r="F905">
        <v>0</v>
      </c>
      <c r="G905">
        <v>1.6752623643128499E-3</v>
      </c>
      <c r="H905">
        <v>0.71904958118094597</v>
      </c>
      <c r="I905">
        <v>0</v>
      </c>
    </row>
    <row r="906" spans="1:9" x14ac:dyDescent="0.25">
      <c r="A906" s="1">
        <v>-27.4215984344482</v>
      </c>
      <c r="B906">
        <v>-8.7088412834932303</v>
      </c>
      <c r="C906">
        <v>0.26863448992015099</v>
      </c>
      <c r="D906">
        <v>0</v>
      </c>
      <c r="E906">
        <v>0</v>
      </c>
      <c r="F906">
        <v>0</v>
      </c>
      <c r="G906">
        <v>2.1826581879793101E-3</v>
      </c>
      <c r="H906">
        <v>0.72357586767723803</v>
      </c>
      <c r="I906">
        <v>0</v>
      </c>
    </row>
    <row r="907" spans="1:9" x14ac:dyDescent="0.25">
      <c r="A907" s="1">
        <v>-24.248878359794599</v>
      </c>
      <c r="B907">
        <v>-7.7012665445586004</v>
      </c>
      <c r="C907">
        <v>0.30565228153500201</v>
      </c>
      <c r="D907">
        <v>0</v>
      </c>
      <c r="E907">
        <v>0</v>
      </c>
      <c r="F907">
        <v>0</v>
      </c>
      <c r="G907">
        <v>2.8334125463231798E-3</v>
      </c>
      <c r="H907">
        <v>0.72814945530342301</v>
      </c>
      <c r="I907">
        <v>0</v>
      </c>
    </row>
    <row r="908" spans="1:9" x14ac:dyDescent="0.25">
      <c r="A908" s="1">
        <v>-21.3381540775299</v>
      </c>
      <c r="B908">
        <v>-6.7768806346361803</v>
      </c>
      <c r="C908">
        <v>0.34696935951403202</v>
      </c>
      <c r="D908">
        <v>0</v>
      </c>
      <c r="E908">
        <v>0</v>
      </c>
      <c r="F908">
        <v>0</v>
      </c>
      <c r="G908">
        <v>3.66204159032577E-3</v>
      </c>
      <c r="H908">
        <v>0.732757251567005</v>
      </c>
      <c r="I908">
        <v>0</v>
      </c>
    </row>
    <row r="909" spans="1:9" x14ac:dyDescent="0.25">
      <c r="A909" s="1">
        <v>-18.6677181720733</v>
      </c>
      <c r="B909">
        <v>-5.9288163615991598</v>
      </c>
      <c r="C909">
        <v>0.39290948566159301</v>
      </c>
      <c r="D909">
        <v>0</v>
      </c>
      <c r="E909">
        <v>0</v>
      </c>
      <c r="F909">
        <v>0</v>
      </c>
      <c r="G909">
        <v>4.7085057508638702E-3</v>
      </c>
      <c r="H909">
        <v>0.73738357210808103</v>
      </c>
      <c r="I909">
        <v>0</v>
      </c>
    </row>
    <row r="910" spans="1:9" x14ac:dyDescent="0.25">
      <c r="A910" s="1">
        <v>-16.2178409099578</v>
      </c>
      <c r="B910">
        <v>-5.1507727919747301</v>
      </c>
      <c r="C910">
        <v>0.44378912533837001</v>
      </c>
      <c r="D910">
        <v>0</v>
      </c>
      <c r="E910">
        <v>0</v>
      </c>
      <c r="F910">
        <v>0</v>
      </c>
      <c r="G910">
        <v>6.0180361105949404E-3</v>
      </c>
      <c r="H910">
        <v>0.74201433653958804</v>
      </c>
      <c r="I910">
        <v>0</v>
      </c>
    </row>
    <row r="911" spans="1:9" x14ac:dyDescent="0.25">
      <c r="A911" s="1">
        <v>-13.9702051877975</v>
      </c>
      <c r="B911">
        <v>-4.43696928160686</v>
      </c>
      <c r="C911">
        <v>0.49990471445183698</v>
      </c>
      <c r="D911">
        <v>0</v>
      </c>
      <c r="E911">
        <v>0</v>
      </c>
      <c r="F911">
        <v>0</v>
      </c>
      <c r="G911">
        <v>7.6406045216117499E-3</v>
      </c>
      <c r="H911">
        <v>0.74663822407201297</v>
      </c>
      <c r="I911">
        <v>0</v>
      </c>
    </row>
    <row r="912" spans="1:9" x14ac:dyDescent="0.25">
      <c r="A912" s="1">
        <v>-11.908189058303799</v>
      </c>
      <c r="B912">
        <v>-3.7821005510767201</v>
      </c>
      <c r="C912">
        <v>0.56151853153837505</v>
      </c>
      <c r="D912">
        <v>0</v>
      </c>
      <c r="E912">
        <v>0</v>
      </c>
      <c r="F912">
        <v>0</v>
      </c>
      <c r="G912">
        <v>9.6300111637901802E-3</v>
      </c>
      <c r="H912">
        <v>0.75124640152059596</v>
      </c>
      <c r="I912">
        <v>0</v>
      </c>
    </row>
    <row r="913" spans="1:9" x14ac:dyDescent="0.25">
      <c r="A913" s="1">
        <v>-10.016394853591899</v>
      </c>
      <c r="B913">
        <v>-3.18130168632094</v>
      </c>
      <c r="C913">
        <v>0.62884356837272204</v>
      </c>
      <c r="D913">
        <v>0</v>
      </c>
      <c r="E913">
        <v>0</v>
      </c>
      <c r="F913">
        <v>0</v>
      </c>
      <c r="G913">
        <v>1.2042627353594E-2</v>
      </c>
      <c r="H913">
        <v>0.75583221145413804</v>
      </c>
      <c r="I913">
        <v>0</v>
      </c>
    </row>
    <row r="914" spans="1:9" x14ac:dyDescent="0.25">
      <c r="A914" s="1">
        <v>-8.2808375358581507</v>
      </c>
      <c r="B914">
        <v>-2.6301079154615499</v>
      </c>
      <c r="C914">
        <v>0.70202882977999004</v>
      </c>
      <c r="D914">
        <v>0</v>
      </c>
      <c r="E914">
        <v>0</v>
      </c>
      <c r="F914">
        <v>0</v>
      </c>
      <c r="G914">
        <v>1.49358888392725E-2</v>
      </c>
      <c r="H914">
        <v>0.76039169313006405</v>
      </c>
      <c r="I914">
        <v>0</v>
      </c>
    </row>
    <row r="915" spans="1:9" x14ac:dyDescent="0.25">
      <c r="A915" s="1">
        <v>-6.6885209083557102</v>
      </c>
      <c r="B915">
        <v>-2.1244248332125402</v>
      </c>
      <c r="C915">
        <v>0.78114624295732404</v>
      </c>
      <c r="D915">
        <v>0</v>
      </c>
      <c r="E915">
        <v>0</v>
      </c>
      <c r="F915">
        <v>0</v>
      </c>
      <c r="G915">
        <v>1.83666829636422E-2</v>
      </c>
      <c r="H915">
        <v>0.76492413904410195</v>
      </c>
      <c r="I915">
        <v>0</v>
      </c>
    </row>
    <row r="916" spans="1:9" x14ac:dyDescent="0.25">
      <c r="A916" s="1">
        <v>-5.2277201414108196</v>
      </c>
      <c r="B916">
        <v>-1.6604934014980901</v>
      </c>
      <c r="C916">
        <v>0.86617949820711304</v>
      </c>
      <c r="D916">
        <v>0</v>
      </c>
      <c r="E916">
        <v>0</v>
      </c>
      <c r="F916">
        <v>0</v>
      </c>
      <c r="G916">
        <v>2.2389726332858101E-2</v>
      </c>
      <c r="H916">
        <v>0.76943181846508202</v>
      </c>
      <c r="I916">
        <v>0</v>
      </c>
    </row>
    <row r="917" spans="1:9" x14ac:dyDescent="0.25">
      <c r="A917" s="1">
        <v>-3.88755798339843</v>
      </c>
      <c r="B917">
        <v>-1.23486800954167</v>
      </c>
      <c r="C917">
        <v>0.95701836200295198</v>
      </c>
      <c r="D917">
        <v>0</v>
      </c>
      <c r="E917">
        <v>0</v>
      </c>
      <c r="F917">
        <v>0</v>
      </c>
      <c r="G917">
        <v>2.70553893238684E-2</v>
      </c>
      <c r="H917">
        <v>0.77391311561170695</v>
      </c>
      <c r="I917">
        <v>0</v>
      </c>
    </row>
    <row r="918" spans="1:9" x14ac:dyDescent="0.25">
      <c r="A918" s="1">
        <v>-2.6580518484115601</v>
      </c>
      <c r="B918">
        <v>-0.84438460875724297</v>
      </c>
      <c r="C918">
        <v>1.0534548857002799</v>
      </c>
      <c r="D918">
        <v>0</v>
      </c>
      <c r="E918">
        <v>0</v>
      </c>
      <c r="F918">
        <v>0</v>
      </c>
      <c r="G918">
        <v>3.2438499404634002E-2</v>
      </c>
      <c r="H918">
        <v>0.77857291484315705</v>
      </c>
      <c r="I918">
        <v>0</v>
      </c>
    </row>
    <row r="919" spans="1:9" x14ac:dyDescent="0.25">
      <c r="A919" s="1">
        <v>-1.5300196409225399</v>
      </c>
      <c r="B919">
        <v>-0.48614190711130301</v>
      </c>
      <c r="C919">
        <v>1.1551716739995299</v>
      </c>
      <c r="D919">
        <v>0</v>
      </c>
      <c r="E919">
        <v>0</v>
      </c>
      <c r="F919">
        <v>0</v>
      </c>
      <c r="G919">
        <v>3.8571351379505299E-2</v>
      </c>
      <c r="H919">
        <v>0.783275845972212</v>
      </c>
      <c r="I919">
        <v>0</v>
      </c>
    </row>
    <row r="920" spans="1:9" x14ac:dyDescent="0.25">
      <c r="A920" s="1">
        <v>-0.49517393112182601</v>
      </c>
      <c r="B920">
        <v>-0.15747890683312801</v>
      </c>
      <c r="C920">
        <v>1.26179818201635</v>
      </c>
      <c r="D920">
        <v>0</v>
      </c>
      <c r="E920">
        <v>0</v>
      </c>
      <c r="F920">
        <v>0</v>
      </c>
      <c r="G920">
        <v>4.56430554002508E-2</v>
      </c>
      <c r="H920">
        <v>0.78870343598482995</v>
      </c>
      <c r="I920">
        <v>0</v>
      </c>
    </row>
    <row r="921" spans="1:9" x14ac:dyDescent="0.25">
      <c r="A921" s="1">
        <v>0.49376130104064903</v>
      </c>
      <c r="B921">
        <v>0.35041514382275801</v>
      </c>
      <c r="C921">
        <v>1.4548059990176001</v>
      </c>
      <c r="D921">
        <v>0.183207959325947</v>
      </c>
      <c r="E921">
        <v>-2.79436915282037E-4</v>
      </c>
      <c r="F921" s="1">
        <v>7.0957481397003401E-5</v>
      </c>
      <c r="G921">
        <v>4.70115633095156E-2</v>
      </c>
      <c r="H921">
        <v>0.94864799669373401</v>
      </c>
      <c r="I921" s="1">
        <v>7.2249763879211797E-7</v>
      </c>
    </row>
    <row r="922" spans="1:9" x14ac:dyDescent="0.25">
      <c r="A922" s="1">
        <v>1.5257111191749499</v>
      </c>
      <c r="B922">
        <v>1.0821673296722301</v>
      </c>
      <c r="C922">
        <v>1.79584907253</v>
      </c>
      <c r="D922">
        <v>0.67100163650336098</v>
      </c>
      <c r="E922">
        <v>-2.88739672142125E-3</v>
      </c>
      <c r="F922">
        <v>2.6495945639514102E-4</v>
      </c>
      <c r="G922">
        <v>6.0115862119779997E-2</v>
      </c>
      <c r="H922">
        <v>0.94498511527476603</v>
      </c>
      <c r="I922" s="1">
        <v>2.3035498608873701E-5</v>
      </c>
    </row>
    <row r="923" spans="1:9" x14ac:dyDescent="0.25">
      <c r="A923" s="1">
        <v>2.6505178213119498</v>
      </c>
      <c r="B923">
        <v>1.8744292675382099</v>
      </c>
      <c r="C923">
        <v>2.2637189298894098</v>
      </c>
      <c r="D923">
        <v>1.3685474265972</v>
      </c>
      <c r="E923">
        <v>-1.23643980636765E-2</v>
      </c>
      <c r="F923">
        <v>5.4182818019599696E-4</v>
      </c>
      <c r="G923">
        <v>7.3516008790747295E-2</v>
      </c>
      <c r="H923">
        <v>0.93754517257104797</v>
      </c>
      <c r="I923">
        <v>1.22058687546308E-4</v>
      </c>
    </row>
    <row r="924" spans="1:9" x14ac:dyDescent="0.25">
      <c r="A924" s="1">
        <v>3.8765159249305698</v>
      </c>
      <c r="B924">
        <v>2.7237421565786599</v>
      </c>
      <c r="C924">
        <v>2.8882860669347399</v>
      </c>
      <c r="D924">
        <v>2.3046364342630499</v>
      </c>
      <c r="E924">
        <v>-3.3421958447407002E-2</v>
      </c>
      <c r="F924">
        <v>8.9274016408698905E-4</v>
      </c>
      <c r="G924">
        <v>8.4398573769528501E-2</v>
      </c>
      <c r="H924">
        <v>0.924321563084052</v>
      </c>
      <c r="I924">
        <v>3.0024829746405098E-4</v>
      </c>
    </row>
    <row r="925" spans="1:9" x14ac:dyDescent="0.25">
      <c r="A925" s="1">
        <v>5.2129346132278398</v>
      </c>
      <c r="B925">
        <v>3.6199226785432201</v>
      </c>
      <c r="C925">
        <v>3.6722317121128998</v>
      </c>
      <c r="D925">
        <v>3.4538283849910099</v>
      </c>
      <c r="E925">
        <v>-7.1036091158839895E-2</v>
      </c>
      <c r="F925">
        <v>1.27379525226926E-3</v>
      </c>
      <c r="G925">
        <v>9.0481798739122807E-2</v>
      </c>
      <c r="H925">
        <v>0.90327810226553995</v>
      </c>
      <c r="I925">
        <v>5.9537912168568003E-4</v>
      </c>
    </row>
    <row r="926" spans="1:9" x14ac:dyDescent="0.25">
      <c r="A926" s="1">
        <v>6.6695916652679399</v>
      </c>
      <c r="B926">
        <v>4.5446579129852704</v>
      </c>
      <c r="C926">
        <v>4.5684495958970803</v>
      </c>
      <c r="D926">
        <v>4.7086577186255596</v>
      </c>
      <c r="E926">
        <v>-0.127837424961362</v>
      </c>
      <c r="F926">
        <v>1.60567711447074E-3</v>
      </c>
      <c r="G926">
        <v>9.2168264573524103E-2</v>
      </c>
      <c r="H926">
        <v>0.873959978013224</v>
      </c>
      <c r="I926">
        <v>1.3712816407848601E-3</v>
      </c>
    </row>
    <row r="927" spans="1:9" x14ac:dyDescent="0.25">
      <c r="A927" s="1">
        <v>8.2573878765106201</v>
      </c>
      <c r="B927">
        <v>5.4725708105116802</v>
      </c>
      <c r="C927">
        <v>5.4773567105585004</v>
      </c>
      <c r="D927">
        <v>5.8962025693545401</v>
      </c>
      <c r="E927">
        <v>-0.202070589605016</v>
      </c>
      <c r="F927">
        <v>1.7987804722052699E-3</v>
      </c>
      <c r="G927">
        <v>9.2555009390429793E-2</v>
      </c>
      <c r="H927">
        <v>0.83969665092636503</v>
      </c>
      <c r="I927">
        <v>3.6109933467637898E-3</v>
      </c>
    </row>
    <row r="928" spans="1:9" x14ac:dyDescent="0.25">
      <c r="A928" s="1">
        <v>9.9880245327949506</v>
      </c>
      <c r="B928">
        <v>6.3754704302041496</v>
      </c>
      <c r="C928">
        <v>6.2780621437758404</v>
      </c>
      <c r="D928">
        <v>6.84479115769608</v>
      </c>
      <c r="E928">
        <v>-0.28753828385934699</v>
      </c>
      <c r="F928">
        <v>1.7887242199040199E-3</v>
      </c>
      <c r="G928">
        <v>9.4754776545739799E-2</v>
      </c>
      <c r="H928">
        <v>0.80662041757196101</v>
      </c>
      <c r="I928">
        <v>7.5718677421062596E-3</v>
      </c>
    </row>
    <row r="929" spans="1:9" x14ac:dyDescent="0.25">
      <c r="A929" s="1">
        <v>11.874474287032999</v>
      </c>
      <c r="B929">
        <v>7.22859394223007</v>
      </c>
      <c r="C929">
        <v>6.8762852563545298</v>
      </c>
      <c r="D929">
        <v>7.4534465498298301</v>
      </c>
      <c r="E929">
        <v>-0.376079279057768</v>
      </c>
      <c r="F929">
        <v>1.5819476181298999E-3</v>
      </c>
      <c r="G929">
        <v>9.9114632692905005E-2</v>
      </c>
      <c r="H929">
        <v>0.77823901477319801</v>
      </c>
      <c r="I929">
        <v>1.06827786387914E-2</v>
      </c>
    </row>
    <row r="930" spans="1:9" x14ac:dyDescent="0.25">
      <c r="A930" s="1">
        <v>13.9306750893592</v>
      </c>
      <c r="B930">
        <v>8.0154873928385495</v>
      </c>
      <c r="C930">
        <v>7.2325806154171701</v>
      </c>
      <c r="D930">
        <v>7.7120891535928804</v>
      </c>
      <c r="E930">
        <v>-0.46061590870144098</v>
      </c>
      <c r="F930">
        <v>1.26228679711181E-3</v>
      </c>
      <c r="G930">
        <v>0.10361471253054599</v>
      </c>
      <c r="H930">
        <v>0.75366956470965296</v>
      </c>
      <c r="I930">
        <v>1.01695086606937E-2</v>
      </c>
    </row>
    <row r="931" spans="1:9" x14ac:dyDescent="0.25">
      <c r="A931" s="1">
        <v>16.171883344650201</v>
      </c>
      <c r="B931">
        <v>8.7290900485454692</v>
      </c>
      <c r="C931">
        <v>7.35736353663183</v>
      </c>
      <c r="D931">
        <v>7.6738700877836301</v>
      </c>
      <c r="E931">
        <v>-0.53664817701240197</v>
      </c>
      <c r="F931">
        <v>9.5729675660863702E-4</v>
      </c>
      <c r="G931">
        <v>0.10615080421322701</v>
      </c>
      <c r="H931">
        <v>0.73074581369088698</v>
      </c>
      <c r="I931">
        <v>6.2003575510048703E-3</v>
      </c>
    </row>
    <row r="932" spans="1:9" x14ac:dyDescent="0.25">
      <c r="A932" s="1">
        <v>18.614838719367899</v>
      </c>
      <c r="B932">
        <v>9.3697320527727399</v>
      </c>
      <c r="C932">
        <v>7.2893337849464999</v>
      </c>
      <c r="D932">
        <v>7.415886727867</v>
      </c>
      <c r="E932">
        <v>-0.60214790527386397</v>
      </c>
      <c r="F932">
        <v>7.9272114547218001E-4</v>
      </c>
      <c r="G932">
        <v>0.105840631020321</v>
      </c>
      <c r="H932">
        <v>0.70809378317231697</v>
      </c>
      <c r="I932">
        <v>7.5470242148461403E-4</v>
      </c>
    </row>
    <row r="933" spans="1:9" x14ac:dyDescent="0.25">
      <c r="A933" s="1">
        <v>21.2777170538902</v>
      </c>
      <c r="B933">
        <v>9.94220805963079</v>
      </c>
      <c r="C933">
        <v>7.0759462854413302</v>
      </c>
      <c r="D933">
        <v>7.0126107720337698</v>
      </c>
      <c r="E933">
        <v>-0.65679568014549605</v>
      </c>
      <c r="F933">
        <v>8.5657870491167405E-4</v>
      </c>
      <c r="G933">
        <v>0.102921626442946</v>
      </c>
      <c r="H933">
        <v>0.68526920166300898</v>
      </c>
      <c r="I933">
        <v>-4.4591699942388404E-3</v>
      </c>
    </row>
    <row r="934" spans="1:9" x14ac:dyDescent="0.25">
      <c r="A934" s="1">
        <v>24.180224537849401</v>
      </c>
      <c r="B934">
        <v>10.453375597238001</v>
      </c>
      <c r="C934">
        <v>6.7621763168893603</v>
      </c>
      <c r="D934">
        <v>6.5248364082573902</v>
      </c>
      <c r="E934">
        <v>-0.70122745730348801</v>
      </c>
      <c r="F934">
        <v>1.17561004776908E-3</v>
      </c>
      <c r="G934">
        <v>9.8125107695845107E-2</v>
      </c>
      <c r="H934">
        <v>0.66233403983585404</v>
      </c>
      <c r="I934">
        <v>-8.6379039635407998E-3</v>
      </c>
    </row>
    <row r="935" spans="1:9" x14ac:dyDescent="0.25">
      <c r="A935" s="1">
        <v>27.343950867652801</v>
      </c>
      <c r="B935">
        <v>10.910709906681801</v>
      </c>
      <c r="C935">
        <v>6.3859608082064003</v>
      </c>
      <c r="D935">
        <v>5.9979224881290003</v>
      </c>
      <c r="E935">
        <v>-0.736503859018245</v>
      </c>
      <c r="F935">
        <v>1.67221723275436E-3</v>
      </c>
      <c r="G935">
        <v>9.2177950954941995E-2</v>
      </c>
      <c r="H935">
        <v>0.63960087260764398</v>
      </c>
      <c r="I935">
        <v>-1.16058883017871E-2</v>
      </c>
    </row>
    <row r="936" spans="1:9" x14ac:dyDescent="0.25">
      <c r="A936" s="1">
        <v>30.7923927903175</v>
      </c>
      <c r="B936">
        <v>11.3215880218292</v>
      </c>
      <c r="C936">
        <v>5.9772277683755703</v>
      </c>
      <c r="D936">
        <v>5.4640168023243501</v>
      </c>
      <c r="E936">
        <v>-0.76379476076517205</v>
      </c>
      <c r="F936">
        <v>2.2657780674129801E-3</v>
      </c>
      <c r="G936">
        <v>8.5601901590738994E-2</v>
      </c>
      <c r="H936">
        <v>0.61747175453514802</v>
      </c>
      <c r="I936">
        <v>-1.34458115106672E-2</v>
      </c>
    </row>
    <row r="937" spans="1:9" x14ac:dyDescent="0.25">
      <c r="A937" s="1">
        <v>34.551213085651298</v>
      </c>
      <c r="B937">
        <v>11.692943476918501</v>
      </c>
      <c r="C937">
        <v>5.55841476315039</v>
      </c>
      <c r="D937">
        <v>4.9448283638972299</v>
      </c>
      <c r="E937">
        <v>-0.78423295618005995</v>
      </c>
      <c r="F937">
        <v>2.89281693392658E-3</v>
      </c>
      <c r="G937">
        <v>7.8714971065081699E-2</v>
      </c>
      <c r="H937">
        <v>0.59634066496772997</v>
      </c>
      <c r="I937">
        <v>-1.43167777428902E-2</v>
      </c>
    </row>
    <row r="938" spans="1:9" x14ac:dyDescent="0.25">
      <c r="A938" s="1">
        <v>38.6483111977577</v>
      </c>
      <c r="B938">
        <v>12.0310850411052</v>
      </c>
      <c r="C938">
        <v>5.1453988539536404</v>
      </c>
      <c r="D938">
        <v>4.4541432083733499</v>
      </c>
      <c r="E938">
        <v>-0.79882143851812304</v>
      </c>
      <c r="F938">
        <v>3.3880999513275002E-3</v>
      </c>
      <c r="G938">
        <v>7.1723392254456494E-2</v>
      </c>
      <c r="H938">
        <v>0.57661362485099799</v>
      </c>
      <c r="I938">
        <v>-1.4395742985428501E-2</v>
      </c>
    </row>
    <row r="939" spans="1:9" x14ac:dyDescent="0.25">
      <c r="A939" s="1">
        <v>43.1141293048858</v>
      </c>
      <c r="B939">
        <v>12.3416267196978</v>
      </c>
      <c r="C939">
        <v>4.74873155673522</v>
      </c>
      <c r="D939">
        <v>4.00016135958204</v>
      </c>
      <c r="E939">
        <v>-0.80839889083017102</v>
      </c>
      <c r="F939">
        <v>3.7032437919818201E-3</v>
      </c>
      <c r="G939">
        <v>6.4775750578981994E-2</v>
      </c>
      <c r="H939">
        <v>0.55857585607387505</v>
      </c>
      <c r="I939">
        <v>-1.38592057667874E-2</v>
      </c>
    </row>
    <row r="940" spans="1:9" x14ac:dyDescent="0.25">
      <c r="A940" s="1">
        <v>47.981887757778097</v>
      </c>
      <c r="B940">
        <v>12.6293942483472</v>
      </c>
      <c r="C940">
        <v>4.3749971250346098</v>
      </c>
      <c r="D940">
        <v>3.5870832475381098</v>
      </c>
      <c r="E940">
        <v>-0.81366662243601895</v>
      </c>
      <c r="F940">
        <v>3.8279054709451899E-3</v>
      </c>
      <c r="G940">
        <v>5.7989931535922398E-2</v>
      </c>
      <c r="H940">
        <v>0.54225659763282996</v>
      </c>
      <c r="I940">
        <v>-1.28895785007605E-2</v>
      </c>
    </row>
    <row r="941" spans="1:9" x14ac:dyDescent="0.25">
      <c r="A941" s="1">
        <v>53.287820518016801</v>
      </c>
      <c r="B941">
        <v>12.8984235259103</v>
      </c>
      <c r="C941">
        <v>4.0274875425540602</v>
      </c>
      <c r="D941">
        <v>3.2158353966807098</v>
      </c>
      <c r="E941">
        <v>-0.81514871919635901</v>
      </c>
      <c r="F941">
        <v>3.7037564790292298E-3</v>
      </c>
      <c r="G941">
        <v>5.14995059892406E-2</v>
      </c>
      <c r="H941">
        <v>0.52770812934106104</v>
      </c>
      <c r="I941">
        <v>-1.1663228258220399E-2</v>
      </c>
    </row>
    <row r="942" spans="1:9" x14ac:dyDescent="0.25">
      <c r="A942" s="1">
        <v>59.071175158023799</v>
      </c>
      <c r="B942">
        <v>13.1521094924169</v>
      </c>
      <c r="C942">
        <v>3.70735965328383</v>
      </c>
      <c r="D942">
        <v>2.8851729482556601</v>
      </c>
      <c r="E942">
        <v>-0.81323628159789796</v>
      </c>
      <c r="F942">
        <v>3.2521226457680298E-3</v>
      </c>
      <c r="G942">
        <v>4.54339732131568E-2</v>
      </c>
      <c r="H942">
        <v>0.51485414511551697</v>
      </c>
      <c r="I942">
        <v>-1.03462697673532E-2</v>
      </c>
    </row>
    <row r="943" spans="1:9" x14ac:dyDescent="0.25">
      <c r="A943" s="1">
        <v>65.375131070613804</v>
      </c>
      <c r="B943">
        <v>13.393236949420899</v>
      </c>
      <c r="C943">
        <v>3.4147459377501499</v>
      </c>
      <c r="D943">
        <v>2.5930201469839398</v>
      </c>
      <c r="E943">
        <v>-0.80821102825943902</v>
      </c>
      <c r="F943">
        <v>2.5780192915316699E-3</v>
      </c>
      <c r="G943">
        <v>3.9871725415867497E-2</v>
      </c>
      <c r="H943">
        <v>0.50328793231563995</v>
      </c>
      <c r="I943">
        <v>-9.0547083362717603E-3</v>
      </c>
    </row>
    <row r="944" spans="1:9" x14ac:dyDescent="0.25">
      <c r="A944" s="1">
        <v>72.246375679969702</v>
      </c>
      <c r="B944">
        <v>13.624100184753001</v>
      </c>
      <c r="C944">
        <v>3.1483945551275299</v>
      </c>
      <c r="D944">
        <v>2.3363292707065799</v>
      </c>
      <c r="E944">
        <v>-0.80026690952592605</v>
      </c>
      <c r="F944">
        <v>1.7950174413896001E-3</v>
      </c>
      <c r="G944">
        <v>3.4864252097225899E-2</v>
      </c>
      <c r="H944">
        <v>0.49276348831786398</v>
      </c>
      <c r="I944">
        <v>-7.8623623507421796E-3</v>
      </c>
    </row>
    <row r="945" spans="1:9" x14ac:dyDescent="0.25">
      <c r="A945" s="1">
        <v>79.736069738864799</v>
      </c>
      <c r="B945">
        <v>13.846653417623999</v>
      </c>
      <c r="C945">
        <v>2.9061228672863999</v>
      </c>
      <c r="D945">
        <v>2.1111219466271698</v>
      </c>
      <c r="E945">
        <v>-0.78949450276899502</v>
      </c>
      <c r="F945">
        <v>1.1084508501658301E-3</v>
      </c>
      <c r="G945">
        <v>3.0391041720745401E-2</v>
      </c>
      <c r="H945">
        <v>0.48287562801810002</v>
      </c>
      <c r="I945">
        <v>-6.7864367951605701E-3</v>
      </c>
    </row>
    <row r="946" spans="1:9" x14ac:dyDescent="0.25">
      <c r="A946" s="1">
        <v>87.899753153324099</v>
      </c>
      <c r="B946">
        <v>14.062498261533101</v>
      </c>
      <c r="C946">
        <v>2.6852829805126901</v>
      </c>
      <c r="D946">
        <v>1.91316395725509</v>
      </c>
      <c r="E946">
        <v>-0.77592676210934297</v>
      </c>
      <c r="F946">
        <v>7.0228694536953102E-4</v>
      </c>
      <c r="G946">
        <v>2.6425265213749102E-2</v>
      </c>
      <c r="H946">
        <v>0.47350177521001602</v>
      </c>
      <c r="I946">
        <v>-5.8401194872279303E-3</v>
      </c>
    </row>
    <row r="947" spans="1:9" x14ac:dyDescent="0.25">
      <c r="A947" s="1">
        <v>96.798263192176805</v>
      </c>
      <c r="B947">
        <v>14.2728884256775</v>
      </c>
      <c r="C947">
        <v>2.4833142722813002</v>
      </c>
      <c r="D947">
        <v>1.73889573174807</v>
      </c>
      <c r="E947">
        <v>-0.75964002394155705</v>
      </c>
      <c r="F947">
        <v>7.7116519389478205E-4</v>
      </c>
      <c r="G947">
        <v>2.2930064754196601E-2</v>
      </c>
      <c r="H947">
        <v>0.46439214097403902</v>
      </c>
      <c r="I947">
        <v>-5.01698441986634E-3</v>
      </c>
    </row>
    <row r="948" spans="1:9" x14ac:dyDescent="0.25">
      <c r="A948" s="1">
        <v>106.497616767883</v>
      </c>
      <c r="B948">
        <v>14.478951203576701</v>
      </c>
      <c r="C948">
        <v>2.2972486637618799</v>
      </c>
      <c r="D948">
        <v>1.5845190912774501</v>
      </c>
      <c r="E948">
        <v>-0.74053565694107404</v>
      </c>
      <c r="F948">
        <v>9.9097936003101792E-4</v>
      </c>
      <c r="G948">
        <v>1.98732287680389E-2</v>
      </c>
      <c r="H948">
        <v>0.45560340407173899</v>
      </c>
      <c r="I948">
        <v>-4.3102562135608003E-3</v>
      </c>
    </row>
    <row r="949" spans="1:9" x14ac:dyDescent="0.25">
      <c r="A949" s="1">
        <v>117.06990510225199</v>
      </c>
      <c r="B949">
        <v>14.681970602400099</v>
      </c>
      <c r="C949">
        <v>2.1237001758896401</v>
      </c>
      <c r="D949">
        <v>1.44601599270253</v>
      </c>
      <c r="E949">
        <v>-0.71837259318953195</v>
      </c>
      <c r="F949">
        <v>1.0615516768995999E-3</v>
      </c>
      <c r="G949">
        <v>1.72043276685215E-2</v>
      </c>
      <c r="H949">
        <v>0.447553316640596</v>
      </c>
      <c r="I949">
        <v>-3.7027705349994399E-3</v>
      </c>
    </row>
    <row r="950" spans="1:9" x14ac:dyDescent="0.25">
      <c r="A950" s="1">
        <v>128.593670427799</v>
      </c>
      <c r="B950">
        <v>14.883062423333</v>
      </c>
      <c r="C950">
        <v>1.96088275370855</v>
      </c>
      <c r="D950">
        <v>1.32091717605006</v>
      </c>
      <c r="E950">
        <v>-0.69318289339933403</v>
      </c>
      <c r="F950">
        <v>1.2167763304824499E-3</v>
      </c>
      <c r="G950">
        <v>1.48469056165157E-2</v>
      </c>
      <c r="H950">
        <v>0.43988885911456099</v>
      </c>
      <c r="I950">
        <v>-3.1648938281503098E-3</v>
      </c>
    </row>
    <row r="951" spans="1:9" x14ac:dyDescent="0.25">
      <c r="A951" s="1">
        <v>141.15461230278001</v>
      </c>
      <c r="B951">
        <v>15.0829193407068</v>
      </c>
      <c r="C951">
        <v>1.80685311105486</v>
      </c>
      <c r="D951">
        <v>1.20676918628705</v>
      </c>
      <c r="E951">
        <v>-0.66475914093036204</v>
      </c>
      <c r="F951">
        <v>1.6838067157453199E-3</v>
      </c>
      <c r="G951">
        <v>1.27506984195612E-2</v>
      </c>
      <c r="H951">
        <v>0.43239013939802401</v>
      </c>
      <c r="I951">
        <v>-2.6858128048069499E-3</v>
      </c>
    </row>
    <row r="952" spans="1:9" x14ac:dyDescent="0.25">
      <c r="A952" s="1">
        <v>154.84601140022201</v>
      </c>
      <c r="B952">
        <v>15.281526727914301</v>
      </c>
      <c r="C952">
        <v>1.6598641073387701</v>
      </c>
      <c r="D952">
        <v>1.10144203570765</v>
      </c>
      <c r="E952">
        <v>-0.63296180867101604</v>
      </c>
      <c r="F952">
        <v>1.8320208416393001E-3</v>
      </c>
      <c r="G952">
        <v>1.08797651936994E-2</v>
      </c>
      <c r="H952">
        <v>0.42463292780678302</v>
      </c>
      <c r="I952">
        <v>-2.2593240995005702E-3</v>
      </c>
    </row>
    <row r="953" spans="1:9" x14ac:dyDescent="0.25">
      <c r="A953" s="1">
        <v>169.76969480514501</v>
      </c>
      <c r="B953">
        <v>15.478873092621001</v>
      </c>
      <c r="C953">
        <v>1.5175572744450601</v>
      </c>
      <c r="D953">
        <v>1.0027458787457699</v>
      </c>
      <c r="E953">
        <v>-0.59736855828614899</v>
      </c>
      <c r="F953">
        <v>1.67277686890798E-3</v>
      </c>
      <c r="G953">
        <v>9.2113223516466294E-3</v>
      </c>
      <c r="H953">
        <v>0.41688345030313001</v>
      </c>
      <c r="I953">
        <v>-1.87948910341213E-3</v>
      </c>
    </row>
    <row r="954" spans="1:9" x14ac:dyDescent="0.25">
      <c r="A954" s="1">
        <v>186.03645980358101</v>
      </c>
      <c r="B954">
        <v>15.6754609632636</v>
      </c>
      <c r="C954">
        <v>1.3784793324759701</v>
      </c>
      <c r="D954">
        <v>0.90872034442772698</v>
      </c>
      <c r="E954">
        <v>-0.55747863671581499</v>
      </c>
      <c r="F954">
        <v>1.59406186774992E-3</v>
      </c>
      <c r="G954">
        <v>7.7259546726930698E-3</v>
      </c>
      <c r="H954">
        <v>0.40951454774672802</v>
      </c>
      <c r="I954">
        <v>-1.5451650035738201E-3</v>
      </c>
    </row>
    <row r="955" spans="1:9" x14ac:dyDescent="0.25">
      <c r="A955" s="1">
        <v>203.76720398664401</v>
      </c>
      <c r="B955">
        <v>15.870938256509101</v>
      </c>
      <c r="C955">
        <v>1.2415476894856201</v>
      </c>
      <c r="D955">
        <v>0.81734063986951999</v>
      </c>
      <c r="E955">
        <v>-0.51316176175051198</v>
      </c>
      <c r="F955">
        <v>1.3339742997760899E-3</v>
      </c>
      <c r="G955">
        <v>6.39918876385251E-3</v>
      </c>
      <c r="H955">
        <v>0.40190506418174199</v>
      </c>
      <c r="I955">
        <v>-1.2493317077641999E-3</v>
      </c>
    </row>
    <row r="956" spans="1:9" x14ac:dyDescent="0.25">
      <c r="A956" s="1">
        <v>223.09376105666101</v>
      </c>
      <c r="B956">
        <v>16.063952011182401</v>
      </c>
      <c r="C956">
        <v>1.10557710258044</v>
      </c>
      <c r="D956">
        <v>0.72744840815911305</v>
      </c>
      <c r="E956">
        <v>-0.46390636965058202</v>
      </c>
      <c r="F956">
        <v>8.8758289235128199E-4</v>
      </c>
      <c r="G956">
        <v>5.1983218937788102E-3</v>
      </c>
      <c r="H956">
        <v>0.394160101315782</v>
      </c>
      <c r="I956">
        <v>-9.7832539585382405E-4</v>
      </c>
    </row>
    <row r="957" spans="1:9" x14ac:dyDescent="0.25">
      <c r="A957" s="1">
        <v>244.15970131754801</v>
      </c>
      <c r="B957">
        <v>16.253430305919998</v>
      </c>
      <c r="C957">
        <v>0.96985752764421396</v>
      </c>
      <c r="D957">
        <v>0.63745581389401795</v>
      </c>
      <c r="E957">
        <v>-0.40916646408591201</v>
      </c>
      <c r="F957">
        <v>2.2766682921197199E-4</v>
      </c>
      <c r="G957">
        <v>4.1244564656675604E-3</v>
      </c>
      <c r="H957">
        <v>0.38706032684635799</v>
      </c>
      <c r="I957">
        <v>-7.3935232083255299E-4</v>
      </c>
    </row>
    <row r="958" spans="1:9" x14ac:dyDescent="0.25">
      <c r="A958" s="1">
        <v>267.12157949805197</v>
      </c>
      <c r="B958">
        <v>16.4364979676301</v>
      </c>
      <c r="C958">
        <v>0.83507103909242397</v>
      </c>
      <c r="D958">
        <v>0.54746424536327698</v>
      </c>
      <c r="E958">
        <v>-0.34864927578865001</v>
      </c>
      <c r="F958">
        <v>-6.83927605971404E-4</v>
      </c>
      <c r="G958">
        <v>3.1856952762538198E-3</v>
      </c>
      <c r="H958">
        <v>0.38106369189310502</v>
      </c>
      <c r="I958">
        <v>-5.3821741438704802E-4</v>
      </c>
    </row>
    <row r="959" spans="1:9" x14ac:dyDescent="0.25">
      <c r="A959" s="1">
        <v>292.15002954006098</v>
      </c>
      <c r="B959">
        <v>16.6083647824222</v>
      </c>
      <c r="C959">
        <v>0.70066310720626201</v>
      </c>
      <c r="D959">
        <v>0.45611073064269098</v>
      </c>
      <c r="E959">
        <v>-0.28173938254448899</v>
      </c>
      <c r="F959">
        <v>-1.21981783200955E-3</v>
      </c>
      <c r="G959">
        <v>2.3849104304580599E-3</v>
      </c>
      <c r="H959">
        <v>0.37729069839218898</v>
      </c>
      <c r="I959">
        <v>-3.7674759152805199E-4</v>
      </c>
    </row>
    <row r="960" spans="1:9" x14ac:dyDescent="0.25">
      <c r="A960" s="1">
        <v>319.43101242184599</v>
      </c>
      <c r="B960">
        <v>16.759598678103998</v>
      </c>
      <c r="C960">
        <v>0.57318397122165898</v>
      </c>
      <c r="D960">
        <v>0.36646790206366597</v>
      </c>
      <c r="E960">
        <v>-0.208190263182681</v>
      </c>
      <c r="F960">
        <v>-1.13043372665543E-3</v>
      </c>
      <c r="G960">
        <v>1.7395517386225999E-3</v>
      </c>
      <c r="H960">
        <v>0.37647702475751199</v>
      </c>
      <c r="I960">
        <v>-2.5951805228234499E-4</v>
      </c>
    </row>
    <row r="961" spans="1:9" x14ac:dyDescent="0.25">
      <c r="A961" s="1">
        <v>349.16732590645501</v>
      </c>
      <c r="B961">
        <v>16.877860021903601</v>
      </c>
      <c r="C961">
        <v>0.46672149011986303</v>
      </c>
      <c r="D961">
        <v>0.28875437480143601</v>
      </c>
      <c r="E961">
        <v>-0.12655046854385599</v>
      </c>
      <c r="F961">
        <v>-1.2163839735680601E-3</v>
      </c>
      <c r="G961">
        <v>1.2941908234509101E-3</v>
      </c>
      <c r="H961">
        <v>0.380254376160577</v>
      </c>
      <c r="I961">
        <v>-1.89678389694139E-4</v>
      </c>
    </row>
    <row r="962" spans="1:9" x14ac:dyDescent="0.25">
      <c r="A962" s="1">
        <v>379.83785875141598</v>
      </c>
      <c r="B962">
        <v>16.940904878392299</v>
      </c>
      <c r="C962">
        <v>0.40614072784939897</v>
      </c>
      <c r="D962">
        <v>0.24285023758392299</v>
      </c>
      <c r="E962">
        <v>-4.1775953018089299E-2</v>
      </c>
      <c r="F962">
        <v>-1.8826980454461899E-3</v>
      </c>
      <c r="G962">
        <v>1.0622844272513399E-3</v>
      </c>
      <c r="H962">
        <v>0.40052721601450803</v>
      </c>
      <c r="I962">
        <v>-1.5001861768012601E-4</v>
      </c>
    </row>
    <row r="963" spans="1:9" x14ac:dyDescent="0.25">
      <c r="A963" s="1" t="s">
        <v>536</v>
      </c>
      <c r="B963" s="1" t="s">
        <v>614</v>
      </c>
      <c r="C963" s="1" t="s">
        <v>615</v>
      </c>
      <c r="D963" s="1" t="s">
        <v>616</v>
      </c>
      <c r="E963" s="1" t="s">
        <v>617</v>
      </c>
      <c r="F963" s="1" t="s">
        <v>618</v>
      </c>
      <c r="G963" s="1" t="s">
        <v>400</v>
      </c>
      <c r="H963" s="1" t="s">
        <v>619</v>
      </c>
      <c r="I963" s="1" t="s">
        <v>613</v>
      </c>
    </row>
    <row r="964" spans="1:9" x14ac:dyDescent="0.25">
      <c r="A964" s="1">
        <v>-141.555516719818</v>
      </c>
      <c r="B964">
        <v>-89.900821985582994</v>
      </c>
      <c r="C964">
        <v>6.8855470364687907E-2</v>
      </c>
      <c r="D964">
        <v>0</v>
      </c>
      <c r="E964">
        <v>0</v>
      </c>
      <c r="F964">
        <v>0</v>
      </c>
      <c r="G964" s="1">
        <v>3.0035423308305498E-5</v>
      </c>
      <c r="H964">
        <v>3.06303562086114E-2</v>
      </c>
      <c r="I964">
        <v>0</v>
      </c>
    </row>
    <row r="965" spans="1:9" x14ac:dyDescent="0.25">
      <c r="A965" s="1">
        <v>-128.95890593528699</v>
      </c>
      <c r="B965">
        <v>-81.901338218431107</v>
      </c>
      <c r="C965">
        <v>7.02956238172113E-2</v>
      </c>
      <c r="D965">
        <v>0</v>
      </c>
      <c r="E965">
        <v>0</v>
      </c>
      <c r="F965">
        <v>0</v>
      </c>
      <c r="G965" s="1">
        <v>3.8682518337118602E-5</v>
      </c>
      <c r="H965">
        <v>0.206029480818958</v>
      </c>
      <c r="I965">
        <v>0</v>
      </c>
    </row>
    <row r="966" spans="1:9" x14ac:dyDescent="0.25">
      <c r="A966" s="1">
        <v>-117.402367591857</v>
      </c>
      <c r="B966">
        <v>-74.5622833820983</v>
      </c>
      <c r="C966">
        <v>7.3163340780241795E-2</v>
      </c>
      <c r="D966">
        <v>0</v>
      </c>
      <c r="E966">
        <v>0</v>
      </c>
      <c r="F966">
        <v>0</v>
      </c>
      <c r="G966" s="1">
        <v>5.5183196185559697E-5</v>
      </c>
      <c r="H966">
        <v>0.38444434736188199</v>
      </c>
      <c r="I966">
        <v>0</v>
      </c>
    </row>
    <row r="967" spans="1:9" x14ac:dyDescent="0.25">
      <c r="A967" s="1">
        <v>-106.80001378059301</v>
      </c>
      <c r="B967">
        <v>-67.829133663605106</v>
      </c>
      <c r="C967">
        <v>7.7643218596078006E-2</v>
      </c>
      <c r="D967">
        <v>0</v>
      </c>
      <c r="E967">
        <v>0</v>
      </c>
      <c r="F967">
        <v>0</v>
      </c>
      <c r="G967" s="1">
        <v>7.9728461953543201E-5</v>
      </c>
      <c r="H967">
        <v>0.50773180044178601</v>
      </c>
      <c r="I967">
        <v>0</v>
      </c>
    </row>
    <row r="968" spans="1:9" x14ac:dyDescent="0.25">
      <c r="A968" s="1">
        <v>-97.073161005973802</v>
      </c>
      <c r="B968">
        <v>-61.651874424050703</v>
      </c>
      <c r="C968">
        <v>8.3999467212659606E-2</v>
      </c>
      <c r="D968">
        <v>0</v>
      </c>
      <c r="E968">
        <v>0</v>
      </c>
      <c r="F968">
        <v>0</v>
      </c>
      <c r="G968">
        <v>1.13501854259112E-4</v>
      </c>
      <c r="H968">
        <v>0.58475749748655603</v>
      </c>
      <c r="I968">
        <v>0</v>
      </c>
    </row>
    <row r="969" spans="1:9" x14ac:dyDescent="0.25">
      <c r="A969" s="1">
        <v>-88.149435520172105</v>
      </c>
      <c r="B969">
        <v>-55.984619906823298</v>
      </c>
      <c r="C969">
        <v>9.2523823663506699E-2</v>
      </c>
      <c r="D969">
        <v>0</v>
      </c>
      <c r="E969">
        <v>0</v>
      </c>
      <c r="F969">
        <v>0</v>
      </c>
      <c r="G969">
        <v>1.5867596199417E-4</v>
      </c>
      <c r="H969">
        <v>0.63196162093169195</v>
      </c>
      <c r="I969">
        <v>0</v>
      </c>
    </row>
    <row r="970" spans="1:9" x14ac:dyDescent="0.25">
      <c r="A970" s="1">
        <v>-79.962490797042804</v>
      </c>
      <c r="B970">
        <v>-50.785258019994103</v>
      </c>
      <c r="C970">
        <v>0.103516631387814</v>
      </c>
      <c r="D970">
        <v>0</v>
      </c>
      <c r="E970">
        <v>0</v>
      </c>
      <c r="F970">
        <v>0</v>
      </c>
      <c r="G970">
        <v>2.1851191358876999E-4</v>
      </c>
      <c r="H970">
        <v>0.66104156452713303</v>
      </c>
      <c r="I970">
        <v>0</v>
      </c>
    </row>
    <row r="971" spans="1:9" x14ac:dyDescent="0.25">
      <c r="A971" s="1">
        <v>-72.451583743095298</v>
      </c>
      <c r="B971">
        <v>-46.015161983202297</v>
      </c>
      <c r="C971">
        <v>0.11728372404097</v>
      </c>
      <c r="D971">
        <v>0</v>
      </c>
      <c r="E971">
        <v>0</v>
      </c>
      <c r="F971">
        <v>0</v>
      </c>
      <c r="G971">
        <v>2.9756452872504698E-4</v>
      </c>
      <c r="H971">
        <v>0.67925597290348205</v>
      </c>
      <c r="I971">
        <v>0</v>
      </c>
    </row>
    <row r="972" spans="1:9" x14ac:dyDescent="0.25">
      <c r="A972" s="1">
        <v>-65.560821294784503</v>
      </c>
      <c r="B972">
        <v>-41.638897795508697</v>
      </c>
      <c r="C972">
        <v>0.13414058339443799</v>
      </c>
      <c r="D972">
        <v>0</v>
      </c>
      <c r="E972">
        <v>0</v>
      </c>
      <c r="F972">
        <v>0</v>
      </c>
      <c r="G972">
        <v>4.0200711332829501E-4</v>
      </c>
      <c r="H972">
        <v>0.69101442626007403</v>
      </c>
      <c r="I972">
        <v>0</v>
      </c>
    </row>
    <row r="973" spans="1:9" x14ac:dyDescent="0.25">
      <c r="A973" s="1">
        <v>-59.238972067832897</v>
      </c>
      <c r="B973">
        <v>-37.623952598403299</v>
      </c>
      <c r="C973">
        <v>0.15441930493577999</v>
      </c>
      <c r="D973">
        <v>0</v>
      </c>
      <c r="E973">
        <v>0</v>
      </c>
      <c r="F973">
        <v>0</v>
      </c>
      <c r="G973">
        <v>5.4008970225680696E-4</v>
      </c>
      <c r="H973">
        <v>0.69900343317013003</v>
      </c>
      <c r="I973">
        <v>0</v>
      </c>
    </row>
    <row r="974" spans="1:9" x14ac:dyDescent="0.25">
      <c r="A974" s="1">
        <v>-53.439136743545497</v>
      </c>
      <c r="B974">
        <v>-33.940492292027102</v>
      </c>
      <c r="C974">
        <v>0.17847639504865401</v>
      </c>
      <c r="D974">
        <v>0</v>
      </c>
      <c r="E974">
        <v>0</v>
      </c>
      <c r="F974">
        <v>0</v>
      </c>
      <c r="G974">
        <v>7.2274032260253305E-4</v>
      </c>
      <c r="H974">
        <v>0.70486113665612504</v>
      </c>
      <c r="I974">
        <v>0</v>
      </c>
    </row>
    <row r="975" spans="1:9" x14ac:dyDescent="0.25">
      <c r="A975" s="1">
        <v>-48.118183016777003</v>
      </c>
      <c r="B975">
        <v>-30.561150494123901</v>
      </c>
      <c r="C975">
        <v>0.206700434067012</v>
      </c>
      <c r="D975">
        <v>0</v>
      </c>
      <c r="E975">
        <v>0</v>
      </c>
      <c r="F975">
        <v>0</v>
      </c>
      <c r="G975">
        <v>9.64313695040175E-4</v>
      </c>
      <c r="H975">
        <v>0.70957574370559795</v>
      </c>
      <c r="I975">
        <v>0</v>
      </c>
    </row>
    <row r="976" spans="1:9" x14ac:dyDescent="0.25">
      <c r="A976" s="1">
        <v>-43.236604332923797</v>
      </c>
      <c r="B976">
        <v>-27.4608195885077</v>
      </c>
      <c r="C976">
        <v>0.23951892563276</v>
      </c>
      <c r="D976">
        <v>0</v>
      </c>
      <c r="E976">
        <v>0</v>
      </c>
      <c r="F976">
        <v>0</v>
      </c>
      <c r="G976">
        <v>1.28348291943893E-3</v>
      </c>
      <c r="H976">
        <v>0.71372656569112303</v>
      </c>
      <c r="I976">
        <v>0</v>
      </c>
    </row>
    <row r="977" spans="1:9" x14ac:dyDescent="0.25">
      <c r="A977" s="1">
        <v>-38.758049011230398</v>
      </c>
      <c r="B977">
        <v>-24.6164647581979</v>
      </c>
      <c r="C977">
        <v>0.277403706436464</v>
      </c>
      <c r="D977">
        <v>0</v>
      </c>
      <c r="E977">
        <v>0</v>
      </c>
      <c r="F977">
        <v>0</v>
      </c>
      <c r="G977">
        <v>1.7042567230418999E-3</v>
      </c>
      <c r="H977">
        <v>0.71763617831408599</v>
      </c>
      <c r="I977">
        <v>0</v>
      </c>
    </row>
    <row r="978" spans="1:9" x14ac:dyDescent="0.25">
      <c r="A978" s="1">
        <v>-34.649320244789102</v>
      </c>
      <c r="B978">
        <v>-22.006954734678501</v>
      </c>
      <c r="C978">
        <v>0.32087412946973898</v>
      </c>
      <c r="D978">
        <v>0</v>
      </c>
      <c r="E978">
        <v>0</v>
      </c>
      <c r="F978">
        <v>0</v>
      </c>
      <c r="G978">
        <v>2.2570902510238898E-3</v>
      </c>
      <c r="H978">
        <v>0.72146986959250603</v>
      </c>
      <c r="I978">
        <v>0</v>
      </c>
    </row>
    <row r="979" spans="1:9" x14ac:dyDescent="0.25">
      <c r="A979" s="1">
        <v>-30.879811048507602</v>
      </c>
      <c r="B979">
        <v>-19.612897770944201</v>
      </c>
      <c r="C979">
        <v>0.37049752899469601</v>
      </c>
      <c r="D979">
        <v>0</v>
      </c>
      <c r="E979">
        <v>0</v>
      </c>
      <c r="F979">
        <v>0</v>
      </c>
      <c r="G979">
        <v>2.9800319156436201E-3</v>
      </c>
      <c r="H979">
        <v>0.72530196572106198</v>
      </c>
      <c r="I979">
        <v>0</v>
      </c>
    </row>
    <row r="980" spans="1:9" x14ac:dyDescent="0.25">
      <c r="A980" s="1">
        <v>-27.4215984344482</v>
      </c>
      <c r="B980">
        <v>-17.416505823004201</v>
      </c>
      <c r="C980">
        <v>0.42688587634059699</v>
      </c>
      <c r="D980">
        <v>0</v>
      </c>
      <c r="E980">
        <v>0</v>
      </c>
      <c r="F980">
        <v>0</v>
      </c>
      <c r="G980">
        <v>3.91982714206733E-3</v>
      </c>
      <c r="H980">
        <v>0.72915909099614795</v>
      </c>
      <c r="I980">
        <v>0</v>
      </c>
    </row>
    <row r="981" spans="1:9" x14ac:dyDescent="0.25">
      <c r="A981" s="1">
        <v>-24.248878359794599</v>
      </c>
      <c r="B981">
        <v>-15.401458731386001</v>
      </c>
      <c r="C981">
        <v>0.490688304625779</v>
      </c>
      <c r="D981">
        <v>0</v>
      </c>
      <c r="E981">
        <v>0</v>
      </c>
      <c r="F981">
        <v>0</v>
      </c>
      <c r="G981">
        <v>5.1328729179999696E-3</v>
      </c>
      <c r="H981">
        <v>0.73304711725249005</v>
      </c>
      <c r="I981">
        <v>0</v>
      </c>
    </row>
    <row r="982" spans="1:9" x14ac:dyDescent="0.25">
      <c r="A982" s="1">
        <v>-21.3381540775299</v>
      </c>
      <c r="B982">
        <v>-13.552786163519301</v>
      </c>
      <c r="C982">
        <v>0.56257916261949104</v>
      </c>
      <c r="D982">
        <v>0</v>
      </c>
      <c r="E982">
        <v>0</v>
      </c>
      <c r="F982">
        <v>0</v>
      </c>
      <c r="G982">
        <v>6.6859005405376596E-3</v>
      </c>
      <c r="H982">
        <v>0.736966112284826</v>
      </c>
      <c r="I982">
        <v>0</v>
      </c>
    </row>
    <row r="983" spans="1:9" x14ac:dyDescent="0.25">
      <c r="A983" s="1">
        <v>-18.6677181720733</v>
      </c>
      <c r="B983">
        <v>-11.8567495561197</v>
      </c>
      <c r="C983">
        <v>0.64324073933850701</v>
      </c>
      <c r="D983">
        <v>0</v>
      </c>
      <c r="E983">
        <v>0</v>
      </c>
      <c r="F983">
        <v>0</v>
      </c>
      <c r="G983">
        <v>8.6562595516170397E-3</v>
      </c>
      <c r="H983">
        <v>0.74091751329323097</v>
      </c>
      <c r="I983">
        <v>0</v>
      </c>
    </row>
    <row r="984" spans="1:9" x14ac:dyDescent="0.25">
      <c r="A984" s="1">
        <v>-16.2178409099578</v>
      </c>
      <c r="B984">
        <v>-10.3007486093781</v>
      </c>
      <c r="C984">
        <v>0.73334216158748999</v>
      </c>
      <c r="D984">
        <v>0</v>
      </c>
      <c r="E984">
        <v>0</v>
      </c>
      <c r="F984">
        <v>0</v>
      </c>
      <c r="G984">
        <v>1.1131704220042501E-2</v>
      </c>
      <c r="H984">
        <v>0.74490634440737802</v>
      </c>
      <c r="I984">
        <v>0</v>
      </c>
    </row>
    <row r="985" spans="1:9" x14ac:dyDescent="0.25">
      <c r="A985" s="1">
        <v>-13.9702051877975</v>
      </c>
      <c r="B985">
        <v>-8.8732209902249206</v>
      </c>
      <c r="C985">
        <v>0.83351360603799296</v>
      </c>
      <c r="D985">
        <v>0</v>
      </c>
      <c r="E985">
        <v>0</v>
      </c>
      <c r="F985">
        <v>0</v>
      </c>
      <c r="G985">
        <v>1.42096347462938E-2</v>
      </c>
      <c r="H985">
        <v>0.74894155200829504</v>
      </c>
      <c r="I985">
        <v>0</v>
      </c>
    </row>
    <row r="986" spans="1:9" x14ac:dyDescent="0.25">
      <c r="A986" s="1">
        <v>-11.908189058303799</v>
      </c>
      <c r="B986">
        <v>-7.5635592740952902</v>
      </c>
      <c r="C986">
        <v>0.94431875873029103</v>
      </c>
      <c r="D986">
        <v>0</v>
      </c>
      <c r="E986">
        <v>0</v>
      </c>
      <c r="F986">
        <v>0</v>
      </c>
      <c r="G986">
        <v>1.7995848238342601E-2</v>
      </c>
      <c r="H986">
        <v>0.75303560511344703</v>
      </c>
      <c r="I986">
        <v>0</v>
      </c>
    </row>
    <row r="987" spans="1:9" x14ac:dyDescent="0.25">
      <c r="A987" s="1">
        <v>-10.016394853591899</v>
      </c>
      <c r="B987">
        <v>-6.3620318045366497</v>
      </c>
      <c r="C987">
        <v>1.0662257365993499</v>
      </c>
      <c r="D987">
        <v>0</v>
      </c>
      <c r="E987">
        <v>0</v>
      </c>
      <c r="F987">
        <v>0</v>
      </c>
      <c r="G987">
        <v>2.2602983158139901E-2</v>
      </c>
      <c r="H987">
        <v>0.75720460118655397</v>
      </c>
      <c r="I987">
        <v>0</v>
      </c>
    </row>
    <row r="988" spans="1:9" x14ac:dyDescent="0.25">
      <c r="A988" s="1">
        <v>-8.2808375358581507</v>
      </c>
      <c r="B988">
        <v>-5.2597103437401298</v>
      </c>
      <c r="C988">
        <v>1.19957976157798</v>
      </c>
      <c r="D988">
        <v>0</v>
      </c>
      <c r="E988">
        <v>0</v>
      </c>
      <c r="F988">
        <v>0</v>
      </c>
      <c r="G988">
        <v>2.8148963727744499E-2</v>
      </c>
      <c r="H988">
        <v>0.76146908429203497</v>
      </c>
      <c r="I988">
        <v>0</v>
      </c>
    </row>
    <row r="989" spans="1:9" x14ac:dyDescent="0.25">
      <c r="A989" s="1">
        <v>-6.6885209083557102</v>
      </c>
      <c r="B989">
        <v>-4.2484045139972002</v>
      </c>
      <c r="C989">
        <v>1.3445789106516299</v>
      </c>
      <c r="D989">
        <v>0</v>
      </c>
      <c r="E989">
        <v>0</v>
      </c>
      <c r="F989">
        <v>0</v>
      </c>
      <c r="G989">
        <v>3.4755822885108499E-2</v>
      </c>
      <c r="H989">
        <v>0.76585447983801902</v>
      </c>
      <c r="I989">
        <v>0</v>
      </c>
    </row>
    <row r="990" spans="1:9" x14ac:dyDescent="0.25">
      <c r="A990" s="1">
        <v>-5.2277201414108196</v>
      </c>
      <c r="B990">
        <v>-3.3205992428345499</v>
      </c>
      <c r="C990">
        <v>1.5012564470193901</v>
      </c>
      <c r="D990">
        <v>0</v>
      </c>
      <c r="E990">
        <v>0</v>
      </c>
      <c r="F990">
        <v>0</v>
      </c>
      <c r="G990">
        <v>4.2551191850907298E-2</v>
      </c>
      <c r="H990">
        <v>0.77040145443574803</v>
      </c>
      <c r="I990">
        <v>0</v>
      </c>
    </row>
    <row r="991" spans="1:9" x14ac:dyDescent="0.25">
      <c r="A991" s="1">
        <v>-3.88755798339843</v>
      </c>
      <c r="B991">
        <v>-2.4694000438313801</v>
      </c>
      <c r="C991">
        <v>1.6694656549365099</v>
      </c>
      <c r="D991">
        <v>0</v>
      </c>
      <c r="E991">
        <v>0</v>
      </c>
      <c r="F991">
        <v>0</v>
      </c>
      <c r="G991">
        <v>5.1666240753183899E-2</v>
      </c>
      <c r="H991">
        <v>0.77514448034802497</v>
      </c>
      <c r="I991">
        <v>0</v>
      </c>
    </row>
    <row r="992" spans="1:9" x14ac:dyDescent="0.25">
      <c r="A992" s="1">
        <v>-2.6580518484115601</v>
      </c>
      <c r="B992">
        <v>-1.6884821173319999</v>
      </c>
      <c r="C992">
        <v>1.8488839171388201</v>
      </c>
      <c r="D992">
        <v>0</v>
      </c>
      <c r="E992">
        <v>0</v>
      </c>
      <c r="F992">
        <v>0</v>
      </c>
      <c r="G992">
        <v>6.2217814719042502E-2</v>
      </c>
      <c r="H992">
        <v>0.78004565628537803</v>
      </c>
      <c r="I992">
        <v>0</v>
      </c>
    </row>
    <row r="993" spans="1:9" x14ac:dyDescent="0.25">
      <c r="A993" s="1">
        <v>-1.5300196409225399</v>
      </c>
      <c r="B993">
        <v>-0.97204252013395998</v>
      </c>
      <c r="C993">
        <v>2.0390412568135599</v>
      </c>
      <c r="D993">
        <v>0</v>
      </c>
      <c r="E993">
        <v>0</v>
      </c>
      <c r="F993">
        <v>0</v>
      </c>
      <c r="G993">
        <v>7.4260268229409093E-2</v>
      </c>
      <c r="H993">
        <v>0.78490703551059604</v>
      </c>
      <c r="I993">
        <v>0</v>
      </c>
    </row>
    <row r="994" spans="1:9" x14ac:dyDescent="0.25">
      <c r="A994" s="1">
        <v>-0.49517393112182601</v>
      </c>
      <c r="B994">
        <v>-0.31475726512651497</v>
      </c>
      <c r="C994">
        <v>2.2392734114518298</v>
      </c>
      <c r="D994">
        <v>0</v>
      </c>
      <c r="E994">
        <v>0</v>
      </c>
      <c r="F994">
        <v>0</v>
      </c>
      <c r="G994">
        <v>9.0382778965431496E-2</v>
      </c>
      <c r="H994">
        <v>0.79557412235365599</v>
      </c>
      <c r="I994">
        <v>0</v>
      </c>
    </row>
    <row r="995" spans="1:9" x14ac:dyDescent="0.25">
      <c r="A995" s="1">
        <v>0.49376130104064903</v>
      </c>
      <c r="B995">
        <v>0.35035074348636303</v>
      </c>
      <c r="C995">
        <v>2.4723138104445201</v>
      </c>
      <c r="D995">
        <v>0.236497656110396</v>
      </c>
      <c r="E995">
        <v>-3.4753684976217698E-4</v>
      </c>
      <c r="F995" s="1">
        <v>9.8886769753249397E-5</v>
      </c>
      <c r="G995">
        <v>3.1345901513090697E-2</v>
      </c>
      <c r="H995">
        <v>0.86283711456154999</v>
      </c>
      <c r="I995" s="1">
        <v>6.7484669560267396E-7</v>
      </c>
    </row>
    <row r="996" spans="1:9" x14ac:dyDescent="0.25">
      <c r="A996" s="1">
        <v>1.5257111191749499</v>
      </c>
      <c r="B996">
        <v>1.0818817019004401</v>
      </c>
      <c r="C996">
        <v>2.7771454924349701</v>
      </c>
      <c r="D996">
        <v>0.81171616992449902</v>
      </c>
      <c r="E996">
        <v>-3.3348404778345601E-3</v>
      </c>
      <c r="F996">
        <v>3.3488673808726498E-4</v>
      </c>
      <c r="G996">
        <v>4.92136288740729E-2</v>
      </c>
      <c r="H996">
        <v>0.89591207779959503</v>
      </c>
      <c r="I996" s="1">
        <v>2.4850907796196902E-5</v>
      </c>
    </row>
    <row r="997" spans="1:9" x14ac:dyDescent="0.25">
      <c r="A997" s="1">
        <v>2.6505178213119498</v>
      </c>
      <c r="B997">
        <v>1.8733916754376101</v>
      </c>
      <c r="C997">
        <v>3.1864138909365298</v>
      </c>
      <c r="D997">
        <v>1.5718355206263299</v>
      </c>
      <c r="E997">
        <v>-1.3573166559233E-2</v>
      </c>
      <c r="F997">
        <v>6.3574106120508202E-4</v>
      </c>
      <c r="G997">
        <v>6.7568060006507599E-2</v>
      </c>
      <c r="H997">
        <v>0.90697603969879004</v>
      </c>
      <c r="I997">
        <v>1.34280614628002E-4</v>
      </c>
    </row>
    <row r="998" spans="1:9" x14ac:dyDescent="0.25">
      <c r="A998" s="1">
        <v>3.8765159249305698</v>
      </c>
      <c r="B998">
        <v>2.7211511404261</v>
      </c>
      <c r="C998">
        <v>3.7325449738823999</v>
      </c>
      <c r="D998">
        <v>2.5438424413529099</v>
      </c>
      <c r="E998">
        <v>-3.5502475036817402E-2</v>
      </c>
      <c r="F998">
        <v>9.9254774559730404E-4</v>
      </c>
      <c r="G998">
        <v>8.33784934767344E-2</v>
      </c>
      <c r="H998">
        <v>0.90500902254304905</v>
      </c>
      <c r="I998">
        <v>3.3210536858692999E-4</v>
      </c>
    </row>
    <row r="999" spans="1:9" x14ac:dyDescent="0.25">
      <c r="A999" s="1">
        <v>5.2129346132278398</v>
      </c>
      <c r="B999">
        <v>3.6148504282355298</v>
      </c>
      <c r="C999">
        <v>4.4240873119016699</v>
      </c>
      <c r="D999">
        <v>3.7031941442601499</v>
      </c>
      <c r="E999">
        <v>-7.3912898283388595E-2</v>
      </c>
      <c r="F999">
        <v>1.3651600350103499E-3</v>
      </c>
      <c r="G999">
        <v>9.3321337835729101E-2</v>
      </c>
      <c r="H999">
        <v>0.89171850600310898</v>
      </c>
      <c r="I999">
        <v>6.6834732569652001E-4</v>
      </c>
    </row>
    <row r="1000" spans="1:9" x14ac:dyDescent="0.25">
      <c r="A1000" s="1">
        <v>6.6695916652679399</v>
      </c>
      <c r="B1000">
        <v>4.53621019758359</v>
      </c>
      <c r="C1000">
        <v>5.2213448178168003</v>
      </c>
      <c r="D1000">
        <v>4.9464026696078598</v>
      </c>
      <c r="E1000">
        <v>-0.13134322630627701</v>
      </c>
      <c r="F1000">
        <v>1.6826108788119199E-3</v>
      </c>
      <c r="G1000">
        <v>9.7268479886692294E-2</v>
      </c>
      <c r="H1000">
        <v>0.86843690766460402</v>
      </c>
      <c r="I1000">
        <v>1.5381505105667001E-3</v>
      </c>
    </row>
    <row r="1001" spans="1:9" x14ac:dyDescent="0.25">
      <c r="A1001" s="1">
        <v>8.2573878765106201</v>
      </c>
      <c r="B1001">
        <v>5.4599817899994498</v>
      </c>
      <c r="C1001">
        <v>6.03108410670096</v>
      </c>
      <c r="D1001">
        <v>6.10641133730382</v>
      </c>
      <c r="E1001">
        <v>-0.20607991717053201</v>
      </c>
      <c r="F1001">
        <v>1.8648107987818E-3</v>
      </c>
      <c r="G1001">
        <v>9.8419921717568304E-2</v>
      </c>
      <c r="H1001">
        <v>0.83872364055562398</v>
      </c>
      <c r="I1001">
        <v>3.9106531046939003E-3</v>
      </c>
    </row>
    <row r="1002" spans="1:9" x14ac:dyDescent="0.25">
      <c r="A1002" s="1">
        <v>9.9880245327949506</v>
      </c>
      <c r="B1002">
        <v>6.3580486872240902</v>
      </c>
      <c r="C1002">
        <v>6.7359068306021603</v>
      </c>
      <c r="D1002">
        <v>7.0173498780769101</v>
      </c>
      <c r="E1002">
        <v>-0.29203755627927303</v>
      </c>
      <c r="F1002">
        <v>1.8500537374621501E-3</v>
      </c>
      <c r="G1002">
        <v>0.100396663827369</v>
      </c>
      <c r="H1002">
        <v>0.80823313738089497</v>
      </c>
      <c r="I1002">
        <v>7.9070325378543301E-3</v>
      </c>
    </row>
    <row r="1003" spans="1:9" x14ac:dyDescent="0.25">
      <c r="A1003" s="1">
        <v>11.874474287032999</v>
      </c>
      <c r="B1003">
        <v>7.2055372987881299</v>
      </c>
      <c r="C1003">
        <v>7.2424471240673398</v>
      </c>
      <c r="D1003">
        <v>7.5828497175141401</v>
      </c>
      <c r="E1003">
        <v>-0.38112259761612299</v>
      </c>
      <c r="F1003">
        <v>1.64010204736048E-3</v>
      </c>
      <c r="G1003">
        <v>0.10405090320221801</v>
      </c>
      <c r="H1003">
        <v>0.78068466017274096</v>
      </c>
      <c r="I1003">
        <v>1.0849338230098701E-2</v>
      </c>
    </row>
    <row r="1004" spans="1:9" x14ac:dyDescent="0.25">
      <c r="A1004" s="1">
        <v>13.9306750893592</v>
      </c>
      <c r="B1004">
        <v>7.9857403825044599</v>
      </c>
      <c r="C1004">
        <v>7.5114175007644102</v>
      </c>
      <c r="D1004">
        <v>7.79633759743301</v>
      </c>
      <c r="E1004">
        <v>-0.46622256177003601</v>
      </c>
      <c r="F1004">
        <v>1.3101652558166999E-3</v>
      </c>
      <c r="G1004">
        <v>0.107626603916914</v>
      </c>
      <c r="H1004">
        <v>0.75602816165933096</v>
      </c>
      <c r="I1004">
        <v>1.00464653153996E-2</v>
      </c>
    </row>
    <row r="1005" spans="1:9" x14ac:dyDescent="0.25">
      <c r="A1005" s="1">
        <v>16.171883344650201</v>
      </c>
      <c r="B1005">
        <v>8.6913853802725693</v>
      </c>
      <c r="C1005">
        <v>7.5541380353763401</v>
      </c>
      <c r="D1005">
        <v>7.7139363019986398</v>
      </c>
      <c r="E1005">
        <v>-0.54274408936834095</v>
      </c>
      <c r="F1005">
        <v>9.8223329667682709E-4</v>
      </c>
      <c r="G1005">
        <v>0.109123053165054</v>
      </c>
      <c r="H1005">
        <v>0.73270295878690705</v>
      </c>
      <c r="I1005">
        <v>5.8337497683692398E-3</v>
      </c>
    </row>
    <row r="1006" spans="1:9" x14ac:dyDescent="0.25">
      <c r="A1006" s="1">
        <v>18.614838719367899</v>
      </c>
      <c r="B1006">
        <v>9.3227627347230904</v>
      </c>
      <c r="C1006">
        <v>7.4110773797044001</v>
      </c>
      <c r="D1006">
        <v>7.4152782994377402</v>
      </c>
      <c r="E1006">
        <v>-0.60858618358537397</v>
      </c>
      <c r="F1006">
        <v>7.8238264108423396E-4</v>
      </c>
      <c r="G1006">
        <v>0.10773367936276</v>
      </c>
      <c r="H1006">
        <v>0.70957398698105201</v>
      </c>
      <c r="I1006">
        <v>2.9383704340042E-4</v>
      </c>
    </row>
    <row r="1007" spans="1:9" x14ac:dyDescent="0.25">
      <c r="A1007" s="1">
        <v>21.2777170538902</v>
      </c>
      <c r="B1007">
        <v>9.8848120600923899</v>
      </c>
      <c r="C1007">
        <v>7.1316087081759703</v>
      </c>
      <c r="D1007">
        <v>6.9767057914949504</v>
      </c>
      <c r="E1007">
        <v>-0.66340984793096802</v>
      </c>
      <c r="F1007">
        <v>8.0016449296197204E-4</v>
      </c>
      <c r="G1007">
        <v>0.103779430972786</v>
      </c>
      <c r="H1007">
        <v>0.68627599177822296</v>
      </c>
      <c r="I1007">
        <v>-4.8549875450150598E-3</v>
      </c>
    </row>
    <row r="1008" spans="1:9" x14ac:dyDescent="0.25">
      <c r="A1008" s="1">
        <v>24.180224537849401</v>
      </c>
      <c r="B1008">
        <v>10.384656514134999</v>
      </c>
      <c r="C1008">
        <v>6.7621568597062396</v>
      </c>
      <c r="D1008">
        <v>6.4601878648185602</v>
      </c>
      <c r="E1008">
        <v>-0.70786893658536698</v>
      </c>
      <c r="F1008">
        <v>1.0706954558055001E-3</v>
      </c>
      <c r="G1008">
        <v>9.8065684570060097E-2</v>
      </c>
      <c r="H1008">
        <v>0.66291954376510998</v>
      </c>
      <c r="I1008">
        <v>-8.8566596184516504E-3</v>
      </c>
    </row>
    <row r="1009" spans="1:9" x14ac:dyDescent="0.25">
      <c r="A1009" s="1">
        <v>27.343950867652801</v>
      </c>
      <c r="B1009">
        <v>10.8300910337835</v>
      </c>
      <c r="C1009">
        <v>6.34139870843953</v>
      </c>
      <c r="D1009">
        <v>5.9114892012897498</v>
      </c>
      <c r="E1009">
        <v>-0.74305183991260304</v>
      </c>
      <c r="F1009">
        <v>1.5252308481873201E-3</v>
      </c>
      <c r="G1009">
        <v>9.1362395777701097E-2</v>
      </c>
      <c r="H1009">
        <v>0.63984378185170798</v>
      </c>
      <c r="I1009">
        <v>-1.1595032329549599E-2</v>
      </c>
    </row>
    <row r="1010" spans="1:9" x14ac:dyDescent="0.25">
      <c r="A1010" s="1">
        <v>30.7923927903175</v>
      </c>
      <c r="B1010">
        <v>11.228811303992501</v>
      </c>
      <c r="C1010">
        <v>5.8993069004261196</v>
      </c>
      <c r="D1010">
        <v>5.3627260266980397</v>
      </c>
      <c r="E1010">
        <v>-0.77015694950031499</v>
      </c>
      <c r="F1010">
        <v>2.0730865456842201E-3</v>
      </c>
      <c r="G1010">
        <v>8.4209292204723799E-2</v>
      </c>
      <c r="H1010">
        <v>0.61747233290354098</v>
      </c>
      <c r="I1010">
        <v>-1.3202542325639201E-2</v>
      </c>
    </row>
    <row r="1011" spans="1:9" x14ac:dyDescent="0.25">
      <c r="A1011" s="1">
        <v>34.551213085651298</v>
      </c>
      <c r="B1011">
        <v>11.588040779252299</v>
      </c>
      <c r="C1011">
        <v>5.4577495926783097</v>
      </c>
      <c r="D1011">
        <v>4.8350309965220104</v>
      </c>
      <c r="E1011">
        <v>-0.79033886302400802</v>
      </c>
      <c r="F1011">
        <v>2.6600665830323099E-3</v>
      </c>
      <c r="G1011">
        <v>7.6925502780569394E-2</v>
      </c>
      <c r="H1011">
        <v>0.59622275795574797</v>
      </c>
      <c r="I1011">
        <v>-1.3873905065446101E-2</v>
      </c>
    </row>
    <row r="1012" spans="1:9" x14ac:dyDescent="0.25">
      <c r="A1012" s="1">
        <v>38.6483111977577</v>
      </c>
      <c r="B1012">
        <v>11.914325911086801</v>
      </c>
      <c r="C1012">
        <v>5.0316046630388804</v>
      </c>
      <c r="D1012">
        <v>4.3414417357723902</v>
      </c>
      <c r="E1012">
        <v>-0.80460492836881004</v>
      </c>
      <c r="F1012">
        <v>3.1535370833519101E-3</v>
      </c>
      <c r="G1012">
        <v>6.9703874493184104E-2</v>
      </c>
      <c r="H1012">
        <v>0.57649171040027003</v>
      </c>
      <c r="I1012">
        <v>-1.3806749205216899E-2</v>
      </c>
    </row>
    <row r="1013" spans="1:9" x14ac:dyDescent="0.25">
      <c r="A1013" s="1">
        <v>43.1141293048858</v>
      </c>
      <c r="B1013">
        <v>12.2134891339585</v>
      </c>
      <c r="C1013">
        <v>4.6301649193911203</v>
      </c>
      <c r="D1013">
        <v>3.8892611348717399</v>
      </c>
      <c r="E1013">
        <v>-0.81378409823771702</v>
      </c>
      <c r="F1013">
        <v>3.5050765786954902E-3</v>
      </c>
      <c r="G1013">
        <v>6.2674733114364195E-2</v>
      </c>
      <c r="H1013">
        <v>0.55855389661879196</v>
      </c>
      <c r="I1013">
        <v>-1.31873366126321E-2</v>
      </c>
    </row>
    <row r="1014" spans="1:9" x14ac:dyDescent="0.25">
      <c r="A1014" s="1">
        <v>47.981887757778097</v>
      </c>
      <c r="B1014">
        <v>12.490533792321299</v>
      </c>
      <c r="C1014">
        <v>4.2585581878912802</v>
      </c>
      <c r="D1014">
        <v>3.4816791508312601</v>
      </c>
      <c r="E1014">
        <v>-0.81857162799663796</v>
      </c>
      <c r="F1014">
        <v>3.6565762277475699E-3</v>
      </c>
      <c r="G1014">
        <v>5.5930928466514603E-2</v>
      </c>
      <c r="H1014">
        <v>0.54243673651711199</v>
      </c>
      <c r="I1014">
        <v>-1.21958584239044E-2</v>
      </c>
    </row>
    <row r="1015" spans="1:9" x14ac:dyDescent="0.25">
      <c r="A1015" s="1">
        <v>53.287820518016801</v>
      </c>
      <c r="B1015">
        <v>12.7496451853781</v>
      </c>
      <c r="C1015">
        <v>3.9186246030190701</v>
      </c>
      <c r="D1015">
        <v>3.1187562475189599</v>
      </c>
      <c r="E1015">
        <v>-0.81949466848078201</v>
      </c>
      <c r="F1015">
        <v>3.5531209756896102E-3</v>
      </c>
      <c r="G1015">
        <v>4.9571742620811599E-2</v>
      </c>
      <c r="H1015">
        <v>0.52813400493860096</v>
      </c>
      <c r="I1015">
        <v>-1.0995907580129799E-2</v>
      </c>
    </row>
    <row r="1016" spans="1:9" x14ac:dyDescent="0.25">
      <c r="A1016" s="1">
        <v>59.071175158023799</v>
      </c>
      <c r="B1016">
        <v>12.994330564607599</v>
      </c>
      <c r="C1016">
        <v>3.6101246697411198</v>
      </c>
      <c r="D1016">
        <v>2.7983277691477801</v>
      </c>
      <c r="E1016">
        <v>-0.81695697984190496</v>
      </c>
      <c r="F1016">
        <v>3.14605323016814E-3</v>
      </c>
      <c r="G1016">
        <v>4.3696700109308401E-2</v>
      </c>
      <c r="H1016">
        <v>0.51554011213987605</v>
      </c>
      <c r="I1016">
        <v>-9.7401328679251296E-3</v>
      </c>
    </row>
    <row r="1017" spans="1:9" x14ac:dyDescent="0.25">
      <c r="A1017" s="1">
        <v>65.375131070613804</v>
      </c>
      <c r="B1017">
        <v>13.227478684951301</v>
      </c>
      <c r="C1017">
        <v>3.3317810812128799</v>
      </c>
      <c r="D1017">
        <v>2.5174215123036001</v>
      </c>
      <c r="E1017">
        <v>-0.81126071266454103</v>
      </c>
      <c r="F1017">
        <v>2.5253398083859E-3</v>
      </c>
      <c r="G1017">
        <v>3.83574325003894E-2</v>
      </c>
      <c r="H1017">
        <v>0.50425625927872098</v>
      </c>
      <c r="I1017">
        <v>-8.5281120036917006E-3</v>
      </c>
    </row>
    <row r="1018" spans="1:9" x14ac:dyDescent="0.25">
      <c r="A1018" s="1">
        <v>72.246375679969702</v>
      </c>
      <c r="B1018">
        <v>13.451463235822301</v>
      </c>
      <c r="C1018">
        <v>3.0810589670633699</v>
      </c>
      <c r="D1018">
        <v>2.2722179314212401</v>
      </c>
      <c r="E1018">
        <v>-0.802641524257099</v>
      </c>
      <c r="F1018">
        <v>1.7910066189220999E-3</v>
      </c>
      <c r="G1018">
        <v>3.3581119985263599E-2</v>
      </c>
      <c r="H1018">
        <v>0.49401806758665801</v>
      </c>
      <c r="I1018">
        <v>-7.4216722354746301E-3</v>
      </c>
    </row>
    <row r="1019" spans="1:9" x14ac:dyDescent="0.25">
      <c r="A1019" s="1">
        <v>79.736069738864799</v>
      </c>
      <c r="B1019">
        <v>13.668247316871501</v>
      </c>
      <c r="C1019">
        <v>2.8546815087477801</v>
      </c>
      <c r="D1019">
        <v>2.0581281166826702</v>
      </c>
      <c r="E1019">
        <v>-0.791240717353759</v>
      </c>
      <c r="F1019">
        <v>1.1224752404244099E-3</v>
      </c>
      <c r="G1019">
        <v>2.93298630756916E-2</v>
      </c>
      <c r="H1019">
        <v>0.48438320235198401</v>
      </c>
      <c r="I1019">
        <v>-6.4291679589007803E-3</v>
      </c>
    </row>
    <row r="1020" spans="1:9" x14ac:dyDescent="0.25">
      <c r="A1020" s="1">
        <v>87.899753153324099</v>
      </c>
      <c r="B1020">
        <v>13.8794022436261</v>
      </c>
      <c r="C1020">
        <v>2.64909805648248</v>
      </c>
      <c r="D1020">
        <v>1.8705499982175899</v>
      </c>
      <c r="E1020">
        <v>-0.77710589087649595</v>
      </c>
      <c r="F1020">
        <v>7.2996447788870999E-4</v>
      </c>
      <c r="G1020">
        <v>2.5567355211214102E-2</v>
      </c>
      <c r="H1020">
        <v>0.47523707242705798</v>
      </c>
      <c r="I1020">
        <v>-5.55791304124872E-3</v>
      </c>
    </row>
    <row r="1021" spans="1:9" x14ac:dyDescent="0.25">
      <c r="A1021" s="1">
        <v>96.798263192176805</v>
      </c>
      <c r="B1021">
        <v>14.086159785372001</v>
      </c>
      <c r="C1021">
        <v>2.4610718506290499</v>
      </c>
      <c r="D1021">
        <v>1.70555499049891</v>
      </c>
      <c r="E1021">
        <v>-0.76031736734869904</v>
      </c>
      <c r="F1021">
        <v>7.9607225167796698E-4</v>
      </c>
      <c r="G1021">
        <v>2.2249438937320402E-2</v>
      </c>
      <c r="H1021">
        <v>0.46633815636897502</v>
      </c>
      <c r="I1021">
        <v>-4.7977503578425802E-3</v>
      </c>
    </row>
    <row r="1022" spans="1:9" x14ac:dyDescent="0.25">
      <c r="A1022" s="1">
        <v>106.497616767883</v>
      </c>
      <c r="B1022">
        <v>14.2895741025924</v>
      </c>
      <c r="C1022">
        <v>2.2873376611120801</v>
      </c>
      <c r="D1022">
        <v>1.5593317268902001</v>
      </c>
      <c r="E1022">
        <v>-0.74079109769177598</v>
      </c>
      <c r="F1022">
        <v>1.0550777416554499E-3</v>
      </c>
      <c r="G1022">
        <v>1.9337890014672201E-2</v>
      </c>
      <c r="H1022">
        <v>0.45766822614288</v>
      </c>
      <c r="I1022">
        <v>-4.1413076106710904E-3</v>
      </c>
    </row>
    <row r="1023" spans="1:9" x14ac:dyDescent="0.25">
      <c r="A1023" s="1">
        <v>117.06990510225199</v>
      </c>
      <c r="B1023">
        <v>14.4908048762947</v>
      </c>
      <c r="C1023">
        <v>2.12399317817657</v>
      </c>
      <c r="D1023">
        <v>1.4278242862056101</v>
      </c>
      <c r="E1023">
        <v>-0.71829227831959197</v>
      </c>
      <c r="F1023">
        <v>1.23591921854443E-3</v>
      </c>
      <c r="G1023">
        <v>1.67904356345497E-2</v>
      </c>
      <c r="H1023">
        <v>0.44983852600265201</v>
      </c>
      <c r="I1023">
        <v>-3.5755745886460301E-3</v>
      </c>
    </row>
    <row r="1024" spans="1:9" x14ac:dyDescent="0.25">
      <c r="A1024" s="1">
        <v>128.593670427799</v>
      </c>
      <c r="B1024">
        <v>14.690808059741499</v>
      </c>
      <c r="C1024">
        <v>1.9690906805655899</v>
      </c>
      <c r="D1024">
        <v>1.30845644771973</v>
      </c>
      <c r="E1024">
        <v>-0.69285960061235397</v>
      </c>
      <c r="F1024">
        <v>1.53138544888331E-3</v>
      </c>
      <c r="G1024">
        <v>1.4531937332875101E-2</v>
      </c>
      <c r="H1024">
        <v>0.44244575589256602</v>
      </c>
      <c r="I1024">
        <v>-3.0709993746113498E-3</v>
      </c>
    </row>
    <row r="1025" spans="1:9" x14ac:dyDescent="0.25">
      <c r="A1025" s="1">
        <v>141.15461230278001</v>
      </c>
      <c r="B1025">
        <v>14.890019316878901</v>
      </c>
      <c r="C1025">
        <v>1.82079375355503</v>
      </c>
      <c r="D1025">
        <v>1.1987947569591599</v>
      </c>
      <c r="E1025">
        <v>-0.66427744950126</v>
      </c>
      <c r="F1025">
        <v>2.1622756049820401E-3</v>
      </c>
      <c r="G1025">
        <v>1.2514171112843199E-2</v>
      </c>
      <c r="H1025">
        <v>0.43527461226526398</v>
      </c>
      <c r="I1025">
        <v>-2.6187087971833302E-3</v>
      </c>
    </row>
    <row r="1026" spans="1:9" x14ac:dyDescent="0.25">
      <c r="A1026" s="1">
        <v>154.84601140022201</v>
      </c>
      <c r="B1026">
        <v>15.0882380542352</v>
      </c>
      <c r="C1026">
        <v>1.6776459697616299</v>
      </c>
      <c r="D1026">
        <v>1.0968513243715701</v>
      </c>
      <c r="E1026">
        <v>-0.63237051388002696</v>
      </c>
      <c r="F1026">
        <v>2.2782992398418999E-3</v>
      </c>
      <c r="G1026">
        <v>1.07024960370126E-2</v>
      </c>
      <c r="H1026">
        <v>0.42782808337054701</v>
      </c>
      <c r="I1026">
        <v>-2.21181114805393E-3</v>
      </c>
    </row>
    <row r="1027" spans="1:9" x14ac:dyDescent="0.25">
      <c r="A1027" s="1">
        <v>169.76969480514501</v>
      </c>
      <c r="B1027">
        <v>15.285413078685099</v>
      </c>
      <c r="C1027">
        <v>1.53735324145549</v>
      </c>
      <c r="D1027">
        <v>1.00028736771627</v>
      </c>
      <c r="E1027">
        <v>-0.59667243306987905</v>
      </c>
      <c r="F1027">
        <v>1.8938228243415801E-3</v>
      </c>
      <c r="G1027">
        <v>9.0802991943914509E-3</v>
      </c>
      <c r="H1027">
        <v>0.42039340832595201</v>
      </c>
      <c r="I1027">
        <v>-1.8473143970704801E-3</v>
      </c>
    </row>
    <row r="1028" spans="1:9" x14ac:dyDescent="0.25">
      <c r="A1028" s="1">
        <v>186.03645980358101</v>
      </c>
      <c r="B1028">
        <v>15.4820719928488</v>
      </c>
      <c r="C1028">
        <v>1.3981009001759701</v>
      </c>
      <c r="D1028">
        <v>0.90720177119757495</v>
      </c>
      <c r="E1028">
        <v>-0.55670334467349902</v>
      </c>
      <c r="F1028">
        <v>1.7108589393279199E-3</v>
      </c>
      <c r="G1028">
        <v>7.6283477457352198E-3</v>
      </c>
      <c r="H1028">
        <v>0.41350563052887102</v>
      </c>
      <c r="I1028">
        <v>-1.5238262713051E-3</v>
      </c>
    </row>
    <row r="1029" spans="1:9" x14ac:dyDescent="0.25">
      <c r="A1029" s="1">
        <v>203.76720398664401</v>
      </c>
      <c r="B1029">
        <v>15.6777592823848</v>
      </c>
      <c r="C1029">
        <v>1.25984030296528</v>
      </c>
      <c r="D1029">
        <v>0.81619986362540398</v>
      </c>
      <c r="E1029">
        <v>-0.51235326641039003</v>
      </c>
      <c r="F1029">
        <v>1.47700363859207E-3</v>
      </c>
      <c r="G1029">
        <v>6.3221430583523999E-3</v>
      </c>
      <c r="H1029">
        <v>0.40624496002031302</v>
      </c>
      <c r="I1029">
        <v>-1.2351699232799099E-3</v>
      </c>
    </row>
    <row r="1030" spans="1:9" x14ac:dyDescent="0.25">
      <c r="A1030" s="1">
        <v>223.09376105666101</v>
      </c>
      <c r="B1030">
        <v>15.8708179616376</v>
      </c>
      <c r="C1030">
        <v>1.1216243428217401</v>
      </c>
      <c r="D1030">
        <v>0.72603076349480999</v>
      </c>
      <c r="E1030">
        <v>-0.46316602883129099</v>
      </c>
      <c r="F1030">
        <v>1.1568002508174199E-3</v>
      </c>
      <c r="G1030">
        <v>5.1366609895562602E-3</v>
      </c>
      <c r="H1030">
        <v>0.39888876937141499</v>
      </c>
      <c r="I1030">
        <v>-9.7134087407524698E-4</v>
      </c>
    </row>
    <row r="1031" spans="1:9" x14ac:dyDescent="0.25">
      <c r="A1031" s="1">
        <v>244.15970131754801</v>
      </c>
      <c r="B1031">
        <v>16.059833428729998</v>
      </c>
      <c r="C1031">
        <v>0.98251392452495501</v>
      </c>
      <c r="D1031">
        <v>0.63527373720609304</v>
      </c>
      <c r="E1031">
        <v>-0.408536818612241</v>
      </c>
      <c r="F1031">
        <v>3.7446130395568102E-4</v>
      </c>
      <c r="G1031">
        <v>4.0721966355697003E-3</v>
      </c>
      <c r="H1031">
        <v>0.39207341984056798</v>
      </c>
      <c r="I1031">
        <v>-7.3639413232325698E-4</v>
      </c>
    </row>
    <row r="1032" spans="1:9" x14ac:dyDescent="0.25">
      <c r="A1032" s="1">
        <v>267.12157949805197</v>
      </c>
      <c r="B1032">
        <v>16.2419305105701</v>
      </c>
      <c r="C1032">
        <v>0.84339835579733902</v>
      </c>
      <c r="D1032">
        <v>0.54442957781035095</v>
      </c>
      <c r="E1032">
        <v>-0.34810428736316301</v>
      </c>
      <c r="F1032">
        <v>-6.4165109745684004E-4</v>
      </c>
      <c r="G1032">
        <v>3.1391279850040798E-3</v>
      </c>
      <c r="H1032">
        <v>0.38630377910566299</v>
      </c>
      <c r="I1032">
        <v>-5.3820631164773795E-4</v>
      </c>
    </row>
    <row r="1033" spans="1:9" x14ac:dyDescent="0.25">
      <c r="A1033" s="1">
        <v>292.15002954006098</v>
      </c>
      <c r="B1033">
        <v>16.412324217055701</v>
      </c>
      <c r="C1033">
        <v>0.704690601043787</v>
      </c>
      <c r="D1033">
        <v>0.45266191391241201</v>
      </c>
      <c r="E1033">
        <v>-0.28135551478230802</v>
      </c>
      <c r="F1033">
        <v>-1.1951399058999E-3</v>
      </c>
      <c r="G1033">
        <v>2.3422857600808502E-3</v>
      </c>
      <c r="H1033">
        <v>0.38283643532533601</v>
      </c>
      <c r="I1033">
        <v>-3.7808960004474302E-4</v>
      </c>
    </row>
    <row r="1034" spans="1:9" x14ac:dyDescent="0.25">
      <c r="A1034" s="1">
        <v>319.43101242184599</v>
      </c>
      <c r="B1034">
        <v>16.561452926044101</v>
      </c>
      <c r="C1034">
        <v>0.57372744897432504</v>
      </c>
      <c r="D1034">
        <v>0.36430352838594698</v>
      </c>
      <c r="E1034">
        <v>-0.20796524396139601</v>
      </c>
      <c r="F1034">
        <v>-8.88552438551972E-4</v>
      </c>
      <c r="G1034">
        <v>1.6983416013371701E-3</v>
      </c>
      <c r="H1034">
        <v>0.383001025543242</v>
      </c>
      <c r="I1034">
        <v>-2.6055035048768701E-4</v>
      </c>
    </row>
    <row r="1035" spans="1:9" x14ac:dyDescent="0.25">
      <c r="A1035" s="1">
        <v>349.16732590645501</v>
      </c>
      <c r="B1035">
        <v>16.677191180084598</v>
      </c>
      <c r="C1035">
        <v>0.46484798514043602</v>
      </c>
      <c r="D1035">
        <v>0.288718660315673</v>
      </c>
      <c r="E1035">
        <v>-0.126621508330204</v>
      </c>
      <c r="F1035">
        <v>-1.0041125584345E-3</v>
      </c>
      <c r="G1035">
        <v>1.25397868007714E-3</v>
      </c>
      <c r="H1035">
        <v>0.38800576207201998</v>
      </c>
      <c r="I1035">
        <v>-1.9084437712324701E-4</v>
      </c>
    </row>
    <row r="1036" spans="1:9" x14ac:dyDescent="0.25">
      <c r="A1036" s="1">
        <v>379.83785875141598</v>
      </c>
      <c r="B1036">
        <v>16.7383199510172</v>
      </c>
      <c r="C1036">
        <v>0.40267309299591297</v>
      </c>
      <c r="D1036">
        <v>0.24459669793282399</v>
      </c>
      <c r="E1036">
        <v>-4.1801354046278903E-2</v>
      </c>
      <c r="F1036">
        <v>-1.35878467694057E-3</v>
      </c>
      <c r="G1036">
        <v>1.0230791665179601E-3</v>
      </c>
      <c r="H1036">
        <v>0.409243417673749</v>
      </c>
      <c r="I1036">
        <v>-1.5140921459022E-4</v>
      </c>
    </row>
    <row r="1037" spans="1:9" x14ac:dyDescent="0.25">
      <c r="A1037" s="1" t="s">
        <v>537</v>
      </c>
      <c r="B1037" s="1" t="s">
        <v>614</v>
      </c>
      <c r="C1037" s="1" t="s">
        <v>615</v>
      </c>
      <c r="D1037" s="1" t="s">
        <v>616</v>
      </c>
      <c r="E1037" s="1" t="s">
        <v>617</v>
      </c>
      <c r="F1037" s="1" t="s">
        <v>618</v>
      </c>
      <c r="G1037" s="1" t="s">
        <v>400</v>
      </c>
      <c r="H1037" s="1" t="s">
        <v>619</v>
      </c>
      <c r="I1037" s="1" t="s">
        <v>613</v>
      </c>
    </row>
    <row r="1038" spans="1:9" x14ac:dyDescent="0.25">
      <c r="A1038" s="1">
        <v>-141.555516719818</v>
      </c>
      <c r="B1038">
        <v>-224.75711991634901</v>
      </c>
      <c r="C1038">
        <v>8.5885588959263501E-2</v>
      </c>
      <c r="D1038">
        <v>0</v>
      </c>
      <c r="E1038">
        <v>0</v>
      </c>
      <c r="F1038">
        <v>0</v>
      </c>
      <c r="G1038" s="1">
        <v>3.9471631118814797E-5</v>
      </c>
      <c r="H1038">
        <v>3.3145561666317901E-2</v>
      </c>
      <c r="I1038">
        <v>0</v>
      </c>
    </row>
    <row r="1039" spans="1:9" x14ac:dyDescent="0.25">
      <c r="A1039" s="1">
        <v>-128.95890593528699</v>
      </c>
      <c r="B1039">
        <v>-204.75833527591701</v>
      </c>
      <c r="C1039">
        <v>8.7785266353663405E-2</v>
      </c>
      <c r="D1039">
        <v>0</v>
      </c>
      <c r="E1039">
        <v>0</v>
      </c>
      <c r="F1039">
        <v>0</v>
      </c>
      <c r="G1039" s="1">
        <v>5.1718277193479801E-5</v>
      </c>
      <c r="H1039">
        <v>0.21929377838984901</v>
      </c>
      <c r="I1039">
        <v>0</v>
      </c>
    </row>
    <row r="1040" spans="1:9" x14ac:dyDescent="0.25">
      <c r="A1040" s="1">
        <v>-117.402367591857</v>
      </c>
      <c r="B1040">
        <v>-186.41053520289</v>
      </c>
      <c r="C1040">
        <v>9.16006536467497E-2</v>
      </c>
      <c r="D1040">
        <v>0</v>
      </c>
      <c r="E1040">
        <v>0</v>
      </c>
      <c r="F1040">
        <v>0</v>
      </c>
      <c r="G1040" s="1">
        <v>7.5163095513452994E-5</v>
      </c>
      <c r="H1040">
        <v>0.402321804674101</v>
      </c>
      <c r="I1040">
        <v>0</v>
      </c>
    </row>
    <row r="1041" spans="1:9" x14ac:dyDescent="0.25">
      <c r="A1041" s="1">
        <v>-106.80001378059301</v>
      </c>
      <c r="B1041">
        <v>-169.577449865609</v>
      </c>
      <c r="C1041">
        <v>9.7623474459462303E-2</v>
      </c>
      <c r="D1041">
        <v>0</v>
      </c>
      <c r="E1041">
        <v>0</v>
      </c>
      <c r="F1041">
        <v>0</v>
      </c>
      <c r="G1041">
        <v>1.1023984470757099E-4</v>
      </c>
      <c r="H1041">
        <v>0.52493336335124396</v>
      </c>
      <c r="I1041">
        <v>0</v>
      </c>
    </row>
    <row r="1042" spans="1:9" x14ac:dyDescent="0.25">
      <c r="A1042" s="1">
        <v>-97.073161005973802</v>
      </c>
      <c r="B1042">
        <v>-154.13406774100599</v>
      </c>
      <c r="C1042">
        <v>0.106258931783571</v>
      </c>
      <c r="D1042">
        <v>0</v>
      </c>
      <c r="E1042">
        <v>0</v>
      </c>
      <c r="F1042">
        <v>0</v>
      </c>
      <c r="G1042">
        <v>1.5891678360908601E-4</v>
      </c>
      <c r="H1042">
        <v>0.59969226123645103</v>
      </c>
      <c r="I1042">
        <v>0</v>
      </c>
    </row>
    <row r="1043" spans="1:9" x14ac:dyDescent="0.25">
      <c r="A1043" s="1">
        <v>-88.149435520172105</v>
      </c>
      <c r="B1043">
        <v>-139.96564936336799</v>
      </c>
      <c r="C1043">
        <v>0.117956266582744</v>
      </c>
      <c r="D1043">
        <v>0</v>
      </c>
      <c r="E1043">
        <v>0</v>
      </c>
      <c r="F1043">
        <v>0</v>
      </c>
      <c r="G1043">
        <v>2.2474669790142299E-4</v>
      </c>
      <c r="H1043">
        <v>0.64460110278439298</v>
      </c>
      <c r="I1043">
        <v>0</v>
      </c>
    </row>
    <row r="1044" spans="1:9" x14ac:dyDescent="0.25">
      <c r="A1044" s="1">
        <v>-79.962490797042804</v>
      </c>
      <c r="B1044">
        <v>-126.96696674075601</v>
      </c>
      <c r="C1044">
        <v>0.133186054765003</v>
      </c>
      <c r="D1044">
        <v>0</v>
      </c>
      <c r="E1044">
        <v>0</v>
      </c>
      <c r="F1044">
        <v>0</v>
      </c>
      <c r="G1044">
        <v>3.1308475076237099E-4</v>
      </c>
      <c r="H1044">
        <v>0.67179999005164703</v>
      </c>
      <c r="I1044">
        <v>0</v>
      </c>
    </row>
    <row r="1045" spans="1:9" x14ac:dyDescent="0.25">
      <c r="A1045" s="1">
        <v>-72.451583743095298</v>
      </c>
      <c r="B1045">
        <v>-115.041442474692</v>
      </c>
      <c r="C1045">
        <v>0.152439912105957</v>
      </c>
      <c r="D1045">
        <v>0</v>
      </c>
      <c r="E1045">
        <v>0</v>
      </c>
      <c r="F1045">
        <v>0</v>
      </c>
      <c r="G1045">
        <v>4.31488268831969E-4</v>
      </c>
      <c r="H1045">
        <v>0.68860892366899296</v>
      </c>
      <c r="I1045">
        <v>0</v>
      </c>
    </row>
    <row r="1046" spans="1:9" x14ac:dyDescent="0.25">
      <c r="A1046" s="1">
        <v>-65.560821294784503</v>
      </c>
      <c r="B1046">
        <v>-104.100497831374</v>
      </c>
      <c r="C1046">
        <v>0.17623999929735801</v>
      </c>
      <c r="D1046">
        <v>0</v>
      </c>
      <c r="E1046">
        <v>0</v>
      </c>
      <c r="F1046">
        <v>0</v>
      </c>
      <c r="G1046">
        <v>5.9032834789149999E-4</v>
      </c>
      <c r="H1046">
        <v>0.69938173368594103</v>
      </c>
      <c r="I1046">
        <v>0</v>
      </c>
    </row>
    <row r="1047" spans="1:9" x14ac:dyDescent="0.25">
      <c r="A1047" s="1">
        <v>-59.238972067832897</v>
      </c>
      <c r="B1047">
        <v>-94.062850664525797</v>
      </c>
      <c r="C1047">
        <v>0.20515246135253301</v>
      </c>
      <c r="D1047">
        <v>0</v>
      </c>
      <c r="E1047">
        <v>0</v>
      </c>
      <c r="F1047">
        <v>0</v>
      </c>
      <c r="G1047">
        <v>8.0364068805209804E-4</v>
      </c>
      <c r="H1047">
        <v>0.70671575642407503</v>
      </c>
      <c r="I1047">
        <v>0</v>
      </c>
    </row>
    <row r="1048" spans="1:9" x14ac:dyDescent="0.25">
      <c r="A1048" s="1">
        <v>-53.439136743545497</v>
      </c>
      <c r="B1048">
        <v>-84.853917814016</v>
      </c>
      <c r="C1048">
        <v>0.239801984726843</v>
      </c>
      <c r="D1048">
        <v>0</v>
      </c>
      <c r="E1048">
        <v>0</v>
      </c>
      <c r="F1048">
        <v>0</v>
      </c>
      <c r="G1048">
        <v>1.09023657326758E-3</v>
      </c>
      <c r="H1048">
        <v>0.71215503469226105</v>
      </c>
      <c r="I1048">
        <v>0</v>
      </c>
    </row>
    <row r="1049" spans="1:9" x14ac:dyDescent="0.25">
      <c r="A1049" s="1">
        <v>-48.118183016777003</v>
      </c>
      <c r="B1049">
        <v>-76.405296906053593</v>
      </c>
      <c r="C1049">
        <v>0.280885862643525</v>
      </c>
      <c r="D1049">
        <v>0</v>
      </c>
      <c r="E1049">
        <v>0</v>
      </c>
      <c r="F1049">
        <v>0</v>
      </c>
      <c r="G1049">
        <v>1.4750853938664901E-3</v>
      </c>
      <c r="H1049">
        <v>0.71660026551457401</v>
      </c>
      <c r="I1049">
        <v>0</v>
      </c>
    </row>
    <row r="1050" spans="1:9" x14ac:dyDescent="0.25">
      <c r="A1050" s="1">
        <v>-43.236604332923797</v>
      </c>
      <c r="B1050">
        <v>-68.654218900173504</v>
      </c>
      <c r="C1050">
        <v>0.32918645985162898</v>
      </c>
      <c r="D1050">
        <v>0</v>
      </c>
      <c r="E1050">
        <v>0</v>
      </c>
      <c r="F1050">
        <v>0</v>
      </c>
      <c r="G1050">
        <v>1.9909645365032702E-3</v>
      </c>
      <c r="H1050">
        <v>0.72055678967836001</v>
      </c>
      <c r="I1050">
        <v>0</v>
      </c>
    </row>
    <row r="1051" spans="1:9" x14ac:dyDescent="0.25">
      <c r="A1051" s="1">
        <v>-38.758049011230398</v>
      </c>
      <c r="B1051">
        <v>-61.543092574893997</v>
      </c>
      <c r="C1051">
        <v>0.385581173702299</v>
      </c>
      <c r="D1051">
        <v>0</v>
      </c>
      <c r="E1051">
        <v>0</v>
      </c>
      <c r="F1051">
        <v>0</v>
      </c>
      <c r="G1051">
        <v>2.6803521220528999E-3</v>
      </c>
      <c r="H1051">
        <v>0.72429080356887099</v>
      </c>
      <c r="I1051">
        <v>0</v>
      </c>
    </row>
    <row r="1052" spans="1:9" x14ac:dyDescent="0.25">
      <c r="A1052" s="1">
        <v>-34.649320244789102</v>
      </c>
      <c r="B1052">
        <v>-55.019088714167097</v>
      </c>
      <c r="C1052">
        <v>0.45104840721785799</v>
      </c>
      <c r="D1052">
        <v>0</v>
      </c>
      <c r="E1052">
        <v>0</v>
      </c>
      <c r="F1052">
        <v>0</v>
      </c>
      <c r="G1052">
        <v>3.5975042567997599E-3</v>
      </c>
      <c r="H1052">
        <v>0.72793025711016701</v>
      </c>
      <c r="I1052">
        <v>0</v>
      </c>
    </row>
    <row r="1053" spans="1:9" x14ac:dyDescent="0.25">
      <c r="A1053" s="1">
        <v>-30.879811048507602</v>
      </c>
      <c r="B1053">
        <v>-49.0337284728583</v>
      </c>
      <c r="C1053">
        <v>0.52666810559501498</v>
      </c>
      <c r="D1053">
        <v>0</v>
      </c>
      <c r="E1053">
        <v>0</v>
      </c>
      <c r="F1053">
        <v>0</v>
      </c>
      <c r="G1053">
        <v>4.8106236327043897E-3</v>
      </c>
      <c r="H1053">
        <v>0.73153022460864303</v>
      </c>
      <c r="I1053">
        <v>0</v>
      </c>
    </row>
    <row r="1054" spans="1:9" x14ac:dyDescent="0.25">
      <c r="A1054" s="1">
        <v>-27.4215984344482</v>
      </c>
      <c r="B1054">
        <v>-43.542546964779099</v>
      </c>
      <c r="C1054">
        <v>0.61361589043642595</v>
      </c>
      <c r="D1054">
        <v>0</v>
      </c>
      <c r="E1054">
        <v>0</v>
      </c>
      <c r="F1054">
        <v>0</v>
      </c>
      <c r="G1054">
        <v>6.40397162389945E-3</v>
      </c>
      <c r="H1054">
        <v>0.73511295330152104</v>
      </c>
      <c r="I1054">
        <v>0</v>
      </c>
    </row>
    <row r="1055" spans="1:9" x14ac:dyDescent="0.25">
      <c r="A1055" s="1">
        <v>-24.248878359794599</v>
      </c>
      <c r="B1055">
        <v>-38.504743268869397</v>
      </c>
      <c r="C1055">
        <v>0.71314911066721298</v>
      </c>
      <c r="D1055">
        <v>0</v>
      </c>
      <c r="E1055">
        <v>0</v>
      </c>
      <c r="F1055">
        <v>0</v>
      </c>
      <c r="G1055">
        <v>8.4797484167893292E-3</v>
      </c>
      <c r="H1055">
        <v>0.73869087361195496</v>
      </c>
      <c r="I1055">
        <v>0</v>
      </c>
    </row>
    <row r="1056" spans="1:9" x14ac:dyDescent="0.25">
      <c r="A1056" s="1">
        <v>-21.3381540775299</v>
      </c>
      <c r="B1056">
        <v>-33.882884762778502</v>
      </c>
      <c r="C1056">
        <v>0.82658477436955302</v>
      </c>
      <c r="D1056">
        <v>0</v>
      </c>
      <c r="E1056">
        <v>0</v>
      </c>
      <c r="F1056">
        <v>0</v>
      </c>
      <c r="G1056">
        <v>1.11595184535644E-2</v>
      </c>
      <c r="H1056">
        <v>0.74227735554311403</v>
      </c>
      <c r="I1056">
        <v>0</v>
      </c>
    </row>
    <row r="1057" spans="1:9" x14ac:dyDescent="0.25">
      <c r="A1057" s="1">
        <v>-18.6677181720733</v>
      </c>
      <c r="B1057">
        <v>-29.642632873978101</v>
      </c>
      <c r="C1057">
        <v>0.95526793086011097</v>
      </c>
      <c r="D1057">
        <v>0</v>
      </c>
      <c r="E1057">
        <v>0</v>
      </c>
      <c r="F1057">
        <v>0</v>
      </c>
      <c r="G1057">
        <v>1.4584972748298199E-2</v>
      </c>
      <c r="H1057">
        <v>0.74589035146605898</v>
      </c>
      <c r="I1057">
        <v>0</v>
      </c>
    </row>
    <row r="1058" spans="1:9" x14ac:dyDescent="0.25">
      <c r="A1058" s="1">
        <v>-16.2178409099578</v>
      </c>
      <c r="B1058">
        <v>-25.752480323210001</v>
      </c>
      <c r="C1058">
        <v>1.1005321125199601</v>
      </c>
      <c r="D1058">
        <v>0</v>
      </c>
      <c r="E1058">
        <v>0</v>
      </c>
      <c r="F1058">
        <v>0</v>
      </c>
      <c r="G1058">
        <v>1.8917876778050399E-2</v>
      </c>
      <c r="H1058">
        <v>0.74955233342080696</v>
      </c>
      <c r="I1058">
        <v>0</v>
      </c>
    </row>
    <row r="1059" spans="1:9" x14ac:dyDescent="0.25">
      <c r="A1059" s="1">
        <v>-13.9702051877975</v>
      </c>
      <c r="B1059">
        <v>-22.183522126665402</v>
      </c>
      <c r="C1059">
        <v>1.2636523371132999</v>
      </c>
      <c r="D1059">
        <v>0</v>
      </c>
      <c r="E1059">
        <v>0</v>
      </c>
      <c r="F1059">
        <v>0</v>
      </c>
      <c r="G1059">
        <v>2.4339152451921101E-2</v>
      </c>
      <c r="H1059">
        <v>0.75328886702136999</v>
      </c>
      <c r="I1059">
        <v>0</v>
      </c>
    </row>
    <row r="1060" spans="1:9" x14ac:dyDescent="0.25">
      <c r="A1060" s="1">
        <v>-11.908189058303799</v>
      </c>
      <c r="B1060">
        <v>-18.909240049419498</v>
      </c>
      <c r="C1060">
        <v>1.44579346041169</v>
      </c>
      <c r="D1060">
        <v>0</v>
      </c>
      <c r="E1060">
        <v>0</v>
      </c>
      <c r="F1060">
        <v>0</v>
      </c>
      <c r="G1060">
        <v>3.1047242913427898E-2</v>
      </c>
      <c r="H1060">
        <v>0.75712777831495903</v>
      </c>
      <c r="I1060">
        <v>0</v>
      </c>
    </row>
    <row r="1061" spans="1:9" x14ac:dyDescent="0.25">
      <c r="A1061" s="1">
        <v>-10.016394853591899</v>
      </c>
      <c r="B1061">
        <v>-15.905304493259299</v>
      </c>
      <c r="C1061">
        <v>1.64795631127167</v>
      </c>
      <c r="D1061">
        <v>0</v>
      </c>
      <c r="E1061">
        <v>0</v>
      </c>
      <c r="F1061">
        <v>0</v>
      </c>
      <c r="G1061">
        <v>3.9256121457128701E-2</v>
      </c>
      <c r="H1061">
        <v>0.76109874094443497</v>
      </c>
      <c r="I1061">
        <v>0</v>
      </c>
    </row>
    <row r="1062" spans="1:9" x14ac:dyDescent="0.25">
      <c r="A1062" s="1">
        <v>-8.2808375358581507</v>
      </c>
      <c r="B1062">
        <v>-13.149394145391501</v>
      </c>
      <c r="C1062">
        <v>1.8709271887991701</v>
      </c>
      <c r="D1062">
        <v>0</v>
      </c>
      <c r="E1062">
        <v>0</v>
      </c>
      <c r="F1062">
        <v>0</v>
      </c>
      <c r="G1062">
        <v>4.9193583798114497E-2</v>
      </c>
      <c r="H1062">
        <v>0.76523405611239803</v>
      </c>
      <c r="I1062">
        <v>0</v>
      </c>
    </row>
    <row r="1063" spans="1:9" x14ac:dyDescent="0.25">
      <c r="A1063" s="1">
        <v>-6.6885209083557102</v>
      </c>
      <c r="B1063">
        <v>-10.6210325391661</v>
      </c>
      <c r="C1063">
        <v>2.1152321522759401</v>
      </c>
      <c r="D1063">
        <v>0</v>
      </c>
      <c r="E1063">
        <v>0</v>
      </c>
      <c r="F1063">
        <v>0</v>
      </c>
      <c r="G1063">
        <v>6.1100520631589397E-2</v>
      </c>
      <c r="H1063">
        <v>0.76956923432800095</v>
      </c>
      <c r="I1063">
        <v>0</v>
      </c>
    </row>
    <row r="1064" spans="1:9" x14ac:dyDescent="0.25">
      <c r="A1064" s="1">
        <v>-5.2277201414108196</v>
      </c>
      <c r="B1064">
        <v>-8.30143231988664</v>
      </c>
      <c r="C1064">
        <v>2.3811041156292898</v>
      </c>
      <c r="D1064">
        <v>0</v>
      </c>
      <c r="E1064">
        <v>0</v>
      </c>
      <c r="F1064">
        <v>0</v>
      </c>
      <c r="G1064">
        <v>7.5233110311819396E-2</v>
      </c>
      <c r="H1064">
        <v>0.774146524559849</v>
      </c>
      <c r="I1064">
        <v>0</v>
      </c>
    </row>
    <row r="1065" spans="1:9" x14ac:dyDescent="0.25">
      <c r="A1065" s="1">
        <v>-3.88755798339843</v>
      </c>
      <c r="B1065">
        <v>-6.17335707560893</v>
      </c>
      <c r="C1065">
        <v>2.6684608150335301</v>
      </c>
      <c r="D1065">
        <v>0</v>
      </c>
      <c r="E1065">
        <v>0</v>
      </c>
      <c r="F1065">
        <v>0</v>
      </c>
      <c r="G1065">
        <v>9.1873578954619006E-2</v>
      </c>
      <c r="H1065">
        <v>0.77902834603358495</v>
      </c>
      <c r="I1065">
        <v>0</v>
      </c>
    </row>
    <row r="1066" spans="1:9" x14ac:dyDescent="0.25">
      <c r="A1066" s="1">
        <v>-2.6580518484115601</v>
      </c>
      <c r="B1066">
        <v>-4.2209933543276401</v>
      </c>
      <c r="C1066">
        <v>2.97688835614488</v>
      </c>
      <c r="D1066">
        <v>0</v>
      </c>
      <c r="E1066">
        <v>0</v>
      </c>
      <c r="F1066">
        <v>0</v>
      </c>
      <c r="G1066">
        <v>0.111296798535477</v>
      </c>
      <c r="H1066">
        <v>0.78420172347387596</v>
      </c>
      <c r="I1066">
        <v>0</v>
      </c>
    </row>
    <row r="1067" spans="1:9" x14ac:dyDescent="0.25">
      <c r="A1067" s="1">
        <v>-1.5300196409225399</v>
      </c>
      <c r="B1067">
        <v>-2.4298346958753001</v>
      </c>
      <c r="C1067">
        <v>3.3057013024610602</v>
      </c>
      <c r="D1067">
        <v>0</v>
      </c>
      <c r="E1067">
        <v>0</v>
      </c>
      <c r="F1067">
        <v>0</v>
      </c>
      <c r="G1067">
        <v>0.13358666734638899</v>
      </c>
      <c r="H1067">
        <v>0.78933189363368805</v>
      </c>
      <c r="I1067">
        <v>0</v>
      </c>
    </row>
    <row r="1068" spans="1:9" x14ac:dyDescent="0.25">
      <c r="A1068" s="1">
        <v>-0.49517393112182601</v>
      </c>
      <c r="B1068">
        <v>-0.78656879809465097</v>
      </c>
      <c r="C1068">
        <v>3.65392193053049</v>
      </c>
      <c r="D1068">
        <v>0</v>
      </c>
      <c r="E1068">
        <v>0</v>
      </c>
      <c r="F1068">
        <v>0</v>
      </c>
      <c r="G1068">
        <v>0.165793837946694</v>
      </c>
      <c r="H1068">
        <v>0.80294256196762803</v>
      </c>
      <c r="I1068">
        <v>0</v>
      </c>
    </row>
    <row r="1069" spans="1:9" x14ac:dyDescent="0.25">
      <c r="A1069" s="1">
        <v>0.49376130104064903</v>
      </c>
      <c r="B1069">
        <v>0.35031141790781201</v>
      </c>
      <c r="C1069">
        <v>3.9279972425801399</v>
      </c>
      <c r="D1069">
        <v>0.29952283603806901</v>
      </c>
      <c r="E1069">
        <v>-4.3042580651050699E-4</v>
      </c>
      <c r="F1069">
        <v>1.3426237031604799E-4</v>
      </c>
      <c r="G1069">
        <v>1.9117776731044801E-2</v>
      </c>
      <c r="H1069">
        <v>0.61973339762618695</v>
      </c>
      <c r="I1069" s="1">
        <v>5.5777662278219298E-7</v>
      </c>
    </row>
    <row r="1070" spans="1:9" x14ac:dyDescent="0.25">
      <c r="A1070" s="1">
        <v>1.5257111191749499</v>
      </c>
      <c r="B1070">
        <v>1.0816605884883099</v>
      </c>
      <c r="C1070">
        <v>4.14014921095744</v>
      </c>
      <c r="D1070">
        <v>0.97670728746188695</v>
      </c>
      <c r="E1070">
        <v>-3.8686618430725499E-3</v>
      </c>
      <c r="F1070">
        <v>4.2843547118142598E-4</v>
      </c>
      <c r="G1070">
        <v>3.8294158377031498E-2</v>
      </c>
      <c r="H1070">
        <v>0.79437306663190699</v>
      </c>
      <c r="I1070" s="1">
        <v>2.41573563980866E-5</v>
      </c>
    </row>
    <row r="1071" spans="1:9" x14ac:dyDescent="0.25">
      <c r="A1071" s="1">
        <v>2.6505178213119498</v>
      </c>
      <c r="B1071">
        <v>1.8723833371255101</v>
      </c>
      <c r="C1071">
        <v>4.4299788324952303</v>
      </c>
      <c r="D1071">
        <v>1.8064560675758301</v>
      </c>
      <c r="E1071">
        <v>-1.49826369126024E-2</v>
      </c>
      <c r="F1071">
        <v>7.7107184199238198E-4</v>
      </c>
      <c r="G1071">
        <v>6.1156036616804098E-2</v>
      </c>
      <c r="H1071">
        <v>0.85678319222074795</v>
      </c>
      <c r="I1071">
        <v>1.40414556247681E-4</v>
      </c>
    </row>
    <row r="1072" spans="1:9" x14ac:dyDescent="0.25">
      <c r="A1072" s="1">
        <v>3.8765159249305698</v>
      </c>
      <c r="B1072">
        <v>2.7184803314808299</v>
      </c>
      <c r="C1072">
        <v>4.8319012859652997</v>
      </c>
      <c r="D1072">
        <v>2.8131334172768101</v>
      </c>
      <c r="E1072">
        <v>-3.7844221599260902E-2</v>
      </c>
      <c r="F1072">
        <v>1.1511847330840401E-3</v>
      </c>
      <c r="G1072">
        <v>8.2171009717848201E-2</v>
      </c>
      <c r="H1072">
        <v>0.87753595677446905</v>
      </c>
      <c r="I1072">
        <v>3.5872234348918302E-4</v>
      </c>
    </row>
    <row r="1073" spans="1:9" x14ac:dyDescent="0.25">
      <c r="A1073" s="1">
        <v>5.2129346132278398</v>
      </c>
      <c r="B1073">
        <v>3.6096084706786602</v>
      </c>
      <c r="C1073">
        <v>5.3629004031476999</v>
      </c>
      <c r="D1073">
        <v>3.9744527118286599</v>
      </c>
      <c r="E1073">
        <v>-7.6961675843932598E-2</v>
      </c>
      <c r="F1073">
        <v>1.52885182004127E-3</v>
      </c>
      <c r="G1073">
        <v>9.6355896033853694E-2</v>
      </c>
      <c r="H1073">
        <v>0.876588621383251</v>
      </c>
      <c r="I1073">
        <v>7.4013239766656603E-4</v>
      </c>
    </row>
    <row r="1074" spans="1:9" x14ac:dyDescent="0.25">
      <c r="A1074" s="1">
        <v>6.6695916652679399</v>
      </c>
      <c r="B1074">
        <v>4.52773314791951</v>
      </c>
      <c r="C1074">
        <v>5.9963261381442798</v>
      </c>
      <c r="D1074">
        <v>5.1949425846472703</v>
      </c>
      <c r="E1074">
        <v>-0.134688388723613</v>
      </c>
      <c r="F1074">
        <v>1.8376555864868999E-3</v>
      </c>
      <c r="G1074">
        <v>0.102726627561271</v>
      </c>
      <c r="H1074">
        <v>0.86140865979233905</v>
      </c>
      <c r="I1074">
        <v>1.6904400733277699E-3</v>
      </c>
    </row>
    <row r="1075" spans="1:9" x14ac:dyDescent="0.25">
      <c r="A1075" s="1">
        <v>8.2573878765106201</v>
      </c>
      <c r="B1075">
        <v>5.4480706218931401</v>
      </c>
      <c r="C1075">
        <v>6.6525997565500798</v>
      </c>
      <c r="D1075">
        <v>6.3187924056504201</v>
      </c>
      <c r="E1075">
        <v>-0.20929720176906899</v>
      </c>
      <c r="F1075">
        <v>2.0040644478728198E-3</v>
      </c>
      <c r="G1075">
        <v>0.10454749113367801</v>
      </c>
      <c r="H1075">
        <v>0.83727122930451103</v>
      </c>
      <c r="I1075">
        <v>4.1436935159369697E-3</v>
      </c>
    </row>
    <row r="1076" spans="1:9" x14ac:dyDescent="0.25">
      <c r="A1076" s="1">
        <v>9.9880245327949506</v>
      </c>
      <c r="B1076">
        <v>6.3429786943200597</v>
      </c>
      <c r="C1076">
        <v>7.2241390592952097</v>
      </c>
      <c r="D1076">
        <v>7.1904189937725</v>
      </c>
      <c r="E1076">
        <v>-0.294834400274955</v>
      </c>
      <c r="F1076">
        <v>1.9717845369328899E-3</v>
      </c>
      <c r="G1076">
        <v>0.106080141350712</v>
      </c>
      <c r="H1076">
        <v>0.80995281685961895</v>
      </c>
      <c r="I1076">
        <v>8.1179479973986501E-3</v>
      </c>
    </row>
    <row r="1077" spans="1:9" x14ac:dyDescent="0.25">
      <c r="A1077" s="1">
        <v>11.874474287032999</v>
      </c>
      <c r="B1077">
        <v>7.1878491431776004</v>
      </c>
      <c r="C1077">
        <v>7.6213957947080404</v>
      </c>
      <c r="D1077">
        <v>7.7198041663583199</v>
      </c>
      <c r="E1077">
        <v>-0.38337250709551302</v>
      </c>
      <c r="F1077">
        <v>1.74598215731795E-3</v>
      </c>
      <c r="G1077">
        <v>0.108845387852733</v>
      </c>
      <c r="H1077">
        <v>0.783572841299083</v>
      </c>
      <c r="I1077">
        <v>1.09067900819294E-2</v>
      </c>
    </row>
    <row r="1078" spans="1:9" x14ac:dyDescent="0.25">
      <c r="A1078" s="1">
        <v>13.9306750893592</v>
      </c>
      <c r="B1078">
        <v>7.9659783829304898</v>
      </c>
      <c r="C1078">
        <v>7.8040037473336898</v>
      </c>
      <c r="D1078">
        <v>7.9029930231502501</v>
      </c>
      <c r="E1078">
        <v>-0.46791159580124603</v>
      </c>
      <c r="F1078">
        <v>1.4023460293552299E-3</v>
      </c>
      <c r="G1078">
        <v>0.11147470843464501</v>
      </c>
      <c r="H1078">
        <v>0.75897891785560601</v>
      </c>
      <c r="I1078">
        <v>9.9160753539270698E-3</v>
      </c>
    </row>
    <row r="1079" spans="1:9" x14ac:dyDescent="0.25">
      <c r="A1079" s="1">
        <v>16.171883344650201</v>
      </c>
      <c r="B1079">
        <v>8.6699507236782001</v>
      </c>
      <c r="C1079">
        <v>7.7798247636913</v>
      </c>
      <c r="D1079">
        <v>7.7963366175892599</v>
      </c>
      <c r="E1079">
        <v>-0.54390637866687097</v>
      </c>
      <c r="F1079">
        <v>1.0612602180514899E-3</v>
      </c>
      <c r="G1079">
        <v>0.112125165604368</v>
      </c>
      <c r="H1079">
        <v>0.735315614637715</v>
      </c>
      <c r="I1079">
        <v>5.56875701840907E-3</v>
      </c>
    </row>
    <row r="1080" spans="1:9" x14ac:dyDescent="0.25">
      <c r="A1080" s="1">
        <v>18.614838719367899</v>
      </c>
      <c r="B1080">
        <v>9.2999103419783999</v>
      </c>
      <c r="C1080">
        <v>7.5853851269207304</v>
      </c>
      <c r="D1080">
        <v>7.4786397841388297</v>
      </c>
      <c r="E1080">
        <v>-0.60926771811039604</v>
      </c>
      <c r="F1080">
        <v>8.4730781804586298E-4</v>
      </c>
      <c r="G1080">
        <v>0.110036898056454</v>
      </c>
      <c r="H1080">
        <v>0.71177379530137896</v>
      </c>
      <c r="I1080" s="1">
        <v>-3.1388122024781703E-5</v>
      </c>
    </row>
    <row r="1081" spans="1:9" x14ac:dyDescent="0.25">
      <c r="A1081" s="1">
        <v>21.2777170538902</v>
      </c>
      <c r="B1081">
        <v>9.86067983920905</v>
      </c>
      <c r="C1081">
        <v>7.26652023774278</v>
      </c>
      <c r="D1081">
        <v>7.0254384988840801</v>
      </c>
      <c r="E1081">
        <v>-0.66365594487822899</v>
      </c>
      <c r="F1081">
        <v>8.4943440314742596E-4</v>
      </c>
      <c r="G1081">
        <v>0.10553016209553499</v>
      </c>
      <c r="H1081">
        <v>0.68809508606534397</v>
      </c>
      <c r="I1081">
        <v>-5.1833368467137601E-3</v>
      </c>
    </row>
    <row r="1082" spans="1:9" x14ac:dyDescent="0.25">
      <c r="A1082" s="1">
        <v>24.180224537849401</v>
      </c>
      <c r="B1082">
        <v>10.3593322247568</v>
      </c>
      <c r="C1082">
        <v>6.8667735551611804</v>
      </c>
      <c r="D1082">
        <v>6.4975247018604199</v>
      </c>
      <c r="E1082">
        <v>-0.70772186747311105</v>
      </c>
      <c r="F1082">
        <v>1.1048676975622901E-3</v>
      </c>
      <c r="G1082">
        <v>9.9390466598340402E-2</v>
      </c>
      <c r="H1082">
        <v>0.66441464998418398</v>
      </c>
      <c r="I1082">
        <v>-9.1558687638722495E-3</v>
      </c>
    </row>
    <row r="1083" spans="1:9" x14ac:dyDescent="0.25">
      <c r="A1083" s="1">
        <v>27.343950867652801</v>
      </c>
      <c r="B1083">
        <v>10.8036216900054</v>
      </c>
      <c r="C1083">
        <v>6.4225912445029598</v>
      </c>
      <c r="D1083">
        <v>5.9400094773701602</v>
      </c>
      <c r="E1083">
        <v>-0.74255061368000497</v>
      </c>
      <c r="F1083">
        <v>1.54836002927557E-3</v>
      </c>
      <c r="G1083">
        <v>9.23627900825153E-2</v>
      </c>
      <c r="H1083">
        <v>0.64107250281349004</v>
      </c>
      <c r="I1083">
        <v>-1.1851697420352801E-2</v>
      </c>
    </row>
    <row r="1084" spans="1:9" x14ac:dyDescent="0.25">
      <c r="A1084" s="1">
        <v>30.7923927903175</v>
      </c>
      <c r="B1084">
        <v>11.201225114271301</v>
      </c>
      <c r="C1084">
        <v>5.9622600441284099</v>
      </c>
      <c r="D1084">
        <v>5.3844874354535497</v>
      </c>
      <c r="E1084">
        <v>-0.76933785938238997</v>
      </c>
      <c r="F1084">
        <v>2.0888159642498301E-3</v>
      </c>
      <c r="G1084">
        <v>8.4963217070201505E-2</v>
      </c>
      <c r="H1084">
        <v>0.618486800063344</v>
      </c>
      <c r="I1084">
        <v>-1.34142464146353E-2</v>
      </c>
    </row>
    <row r="1085" spans="1:9" x14ac:dyDescent="0.25">
      <c r="A1085" s="1">
        <v>34.551213085651298</v>
      </c>
      <c r="B1085">
        <v>11.5593638625297</v>
      </c>
      <c r="C1085">
        <v>5.5063977008995701</v>
      </c>
      <c r="D1085">
        <v>4.8514562876113798</v>
      </c>
      <c r="E1085">
        <v>-0.78923570651620201</v>
      </c>
      <c r="F1085">
        <v>2.6692531359279498E-3</v>
      </c>
      <c r="G1085">
        <v>7.7491373239298694E-2</v>
      </c>
      <c r="H1085">
        <v>0.59706737310702995</v>
      </c>
      <c r="I1085">
        <v>-1.40435472046262E-2</v>
      </c>
    </row>
    <row r="1086" spans="1:9" x14ac:dyDescent="0.25">
      <c r="A1086" s="1">
        <v>38.6483111977577</v>
      </c>
      <c r="B1086">
        <v>11.884576028243</v>
      </c>
      <c r="C1086">
        <v>5.0689710386733102</v>
      </c>
      <c r="D1086">
        <v>4.35368723281751</v>
      </c>
      <c r="E1086">
        <v>-0.80325003695423103</v>
      </c>
      <c r="F1086">
        <v>3.15750674650609E-3</v>
      </c>
      <c r="G1086">
        <v>7.012438831218E-2</v>
      </c>
      <c r="H1086">
        <v>0.57719703948235501</v>
      </c>
      <c r="I1086">
        <v>-1.3938807646448099E-2</v>
      </c>
    </row>
    <row r="1087" spans="1:9" x14ac:dyDescent="0.25">
      <c r="A1087" s="1">
        <v>43.1141293048858</v>
      </c>
      <c r="B1087">
        <v>12.182676732570201</v>
      </c>
      <c r="C1087">
        <v>4.6586015925154101</v>
      </c>
      <c r="D1087">
        <v>3.8982540655554998</v>
      </c>
      <c r="E1087">
        <v>-0.81220929524182806</v>
      </c>
      <c r="F1087">
        <v>3.5054674012810799E-3</v>
      </c>
      <c r="G1087">
        <v>6.2981970537015597E-2</v>
      </c>
      <c r="H1087">
        <v>0.55914198535455695</v>
      </c>
      <c r="I1087">
        <v>-1.32868676508223E-2</v>
      </c>
    </row>
    <row r="1088" spans="1:9" x14ac:dyDescent="0.25">
      <c r="A1088" s="1">
        <v>47.981887757778097</v>
      </c>
      <c r="B1088">
        <v>12.458674543753601</v>
      </c>
      <c r="C1088">
        <v>4.2799113018210999</v>
      </c>
      <c r="D1088">
        <v>3.4880794879577199</v>
      </c>
      <c r="E1088">
        <v>-0.81680901066638201</v>
      </c>
      <c r="F1088">
        <v>3.6547158824558898E-3</v>
      </c>
      <c r="G1088">
        <v>5.6149940764900701E-2</v>
      </c>
      <c r="H1088">
        <v>0.54292619144854004</v>
      </c>
      <c r="I1088">
        <v>-1.22682208426229E-2</v>
      </c>
    </row>
    <row r="1089" spans="1:9" x14ac:dyDescent="0.25">
      <c r="A1089" s="1">
        <v>53.287820518016801</v>
      </c>
      <c r="B1089">
        <v>12.7167443134192</v>
      </c>
      <c r="C1089">
        <v>3.93434715151712</v>
      </c>
      <c r="D1089">
        <v>3.1231568352202701</v>
      </c>
      <c r="E1089">
        <v>-0.81757602445745003</v>
      </c>
      <c r="F1089">
        <v>3.5504573223429999E-3</v>
      </c>
      <c r="G1089">
        <v>4.9722453784106301E-2</v>
      </c>
      <c r="H1089">
        <v>0.52854100490929101</v>
      </c>
      <c r="I1089">
        <v>-1.10464106342759E-2</v>
      </c>
    </row>
    <row r="1090" spans="1:9" x14ac:dyDescent="0.25">
      <c r="A1090" s="1">
        <v>59.071175158023799</v>
      </c>
      <c r="B1090">
        <v>12.9603901587728</v>
      </c>
      <c r="C1090">
        <v>3.6213634820710801</v>
      </c>
      <c r="D1090">
        <v>2.8011764892953699</v>
      </c>
      <c r="E1090">
        <v>-0.81491351071044305</v>
      </c>
      <c r="F1090">
        <v>3.1427057435587801E-3</v>
      </c>
      <c r="G1090">
        <v>4.3795461674056797E-2</v>
      </c>
      <c r="H1090">
        <v>0.51588183425190304</v>
      </c>
      <c r="I1090">
        <v>-9.7737031576111601E-3</v>
      </c>
    </row>
    <row r="1091" spans="1:9" x14ac:dyDescent="0.25">
      <c r="A1091" s="1">
        <v>65.375131070613804</v>
      </c>
      <c r="B1091">
        <v>13.192508148059501</v>
      </c>
      <c r="C1091">
        <v>3.3394566538171602</v>
      </c>
      <c r="D1091">
        <v>2.5190249974217198</v>
      </c>
      <c r="E1091">
        <v>-0.80912227162336303</v>
      </c>
      <c r="F1091">
        <v>2.52166877407732E-3</v>
      </c>
      <c r="G1091">
        <v>3.8417382884326903E-2</v>
      </c>
      <c r="H1091">
        <v>0.50454543419856601</v>
      </c>
      <c r="I1091">
        <v>-8.5490028286050491E-3</v>
      </c>
    </row>
    <row r="1092" spans="1:9" x14ac:dyDescent="0.25">
      <c r="A1092" s="1">
        <v>72.246375679969702</v>
      </c>
      <c r="B1092">
        <v>13.415459433600599</v>
      </c>
      <c r="C1092">
        <v>3.0859129619807599</v>
      </c>
      <c r="D1092">
        <v>2.2729298740191801</v>
      </c>
      <c r="E1092">
        <v>-0.80043577456930104</v>
      </c>
      <c r="F1092">
        <v>1.78741256165473E-3</v>
      </c>
      <c r="G1092">
        <v>3.3612888306697397E-2</v>
      </c>
      <c r="H1092">
        <v>0.49426550511373302</v>
      </c>
      <c r="I1092">
        <v>-7.43357768896188E-3</v>
      </c>
    </row>
    <row r="1093" spans="1:9" x14ac:dyDescent="0.25">
      <c r="A1093" s="1">
        <v>79.736069738864799</v>
      </c>
      <c r="B1093">
        <v>13.6312165178659</v>
      </c>
      <c r="C1093">
        <v>2.85730994527874</v>
      </c>
      <c r="D1093">
        <v>2.0579709219767901</v>
      </c>
      <c r="E1093">
        <v>-0.78899334759236905</v>
      </c>
      <c r="F1093">
        <v>1.1177985287798601E-3</v>
      </c>
      <c r="G1093">
        <v>2.9341681508023999E-2</v>
      </c>
      <c r="H1093">
        <v>0.48459856239400001</v>
      </c>
      <c r="I1093">
        <v>-6.4348444172770804E-3</v>
      </c>
    </row>
    <row r="1094" spans="1:9" x14ac:dyDescent="0.25">
      <c r="A1094" s="1">
        <v>87.899753153324099</v>
      </c>
      <c r="B1094">
        <v>13.841338179290601</v>
      </c>
      <c r="C1094">
        <v>2.64998908101518</v>
      </c>
      <c r="D1094">
        <v>1.86988358763777</v>
      </c>
      <c r="E1094">
        <v>-0.77484021483138699</v>
      </c>
      <c r="F1094">
        <v>7.2592561159952405E-4</v>
      </c>
      <c r="G1094">
        <v>2.55653726929304E-2</v>
      </c>
      <c r="H1094">
        <v>0.47542521380587799</v>
      </c>
      <c r="I1094">
        <v>-5.5593626021448097E-3</v>
      </c>
    </row>
    <row r="1095" spans="1:9" x14ac:dyDescent="0.25">
      <c r="A1095" s="1">
        <v>96.798263192176805</v>
      </c>
      <c r="B1095">
        <v>14.0470551424029</v>
      </c>
      <c r="C1095">
        <v>2.4606334917388502</v>
      </c>
      <c r="D1095">
        <v>1.7044453732375899</v>
      </c>
      <c r="E1095">
        <v>-0.75805432145139395</v>
      </c>
      <c r="F1095">
        <v>7.9618834709826699E-4</v>
      </c>
      <c r="G1095">
        <v>2.2238415567265999E-2</v>
      </c>
      <c r="H1095">
        <v>0.46649936469533998</v>
      </c>
      <c r="I1095">
        <v>-4.7965851481118404E-3</v>
      </c>
    </row>
    <row r="1096" spans="1:9" x14ac:dyDescent="0.25">
      <c r="A1096" s="1">
        <v>106.497616767883</v>
      </c>
      <c r="B1096">
        <v>14.249420522928499</v>
      </c>
      <c r="C1096">
        <v>2.2858989741016602</v>
      </c>
      <c r="D1096">
        <v>1.5578683496124399</v>
      </c>
      <c r="E1096">
        <v>-0.73854750090994703</v>
      </c>
      <c r="F1096">
        <v>1.0574176326594699E-3</v>
      </c>
      <c r="G1096">
        <v>1.9321878185693801E-2</v>
      </c>
      <c r="H1096">
        <v>0.45781274308027098</v>
      </c>
      <c r="I1096">
        <v>-4.1388287996802801E-3</v>
      </c>
    </row>
    <row r="1097" spans="1:9" x14ac:dyDescent="0.25">
      <c r="A1097" s="1">
        <v>117.06990510225199</v>
      </c>
      <c r="B1097">
        <v>14.449591912359301</v>
      </c>
      <c r="C1097">
        <v>2.1218209839761801</v>
      </c>
      <c r="D1097">
        <v>1.4261721178851301</v>
      </c>
      <c r="E1097">
        <v>-0.71608439595610096</v>
      </c>
      <c r="F1097">
        <v>1.23592010490782E-3</v>
      </c>
      <c r="G1097">
        <v>1.6772178161677299E-2</v>
      </c>
      <c r="H1097">
        <v>0.44996693746484401</v>
      </c>
      <c r="I1097">
        <v>-3.5724956255980202E-3</v>
      </c>
    </row>
    <row r="1098" spans="1:9" x14ac:dyDescent="0.25">
      <c r="A1098" s="1">
        <v>128.593670427799</v>
      </c>
      <c r="B1098">
        <v>14.648526308715599</v>
      </c>
      <c r="C1098">
        <v>1.9664063046331699</v>
      </c>
      <c r="D1098">
        <v>1.30659328540216</v>
      </c>
      <c r="E1098">
        <v>-0.690703865603151</v>
      </c>
      <c r="F1098">
        <v>1.5240760470648001E-3</v>
      </c>
      <c r="G1098">
        <v>1.4513217434034199E-2</v>
      </c>
      <c r="H1098">
        <v>0.442557369800475</v>
      </c>
      <c r="I1098">
        <v>-3.0677160636485099E-3</v>
      </c>
    </row>
    <row r="1099" spans="1:9" x14ac:dyDescent="0.25">
      <c r="A1099" s="1">
        <v>141.15461230278001</v>
      </c>
      <c r="B1099">
        <v>14.846649973124601</v>
      </c>
      <c r="C1099">
        <v>1.8177950582747699</v>
      </c>
      <c r="D1099">
        <v>1.19681377246756</v>
      </c>
      <c r="E1099">
        <v>-0.66219053516100301</v>
      </c>
      <c r="F1099">
        <v>2.1496286390961699E-3</v>
      </c>
      <c r="G1099">
        <v>1.2496289163160999E-2</v>
      </c>
      <c r="H1099">
        <v>0.435369586971603</v>
      </c>
      <c r="I1099">
        <v>-2.6155481980941202E-3</v>
      </c>
    </row>
    <row r="1100" spans="1:9" x14ac:dyDescent="0.25">
      <c r="A1100" s="1">
        <v>154.84601140022201</v>
      </c>
      <c r="B1100">
        <v>15.043762312114501</v>
      </c>
      <c r="C1100">
        <v>1.6745064960388301</v>
      </c>
      <c r="D1100">
        <v>1.0947975856265599</v>
      </c>
      <c r="E1100">
        <v>-0.63036749087547095</v>
      </c>
      <c r="F1100">
        <v>2.2635575290888802E-3</v>
      </c>
      <c r="G1100">
        <v>1.06864110666E-2</v>
      </c>
      <c r="H1100">
        <v>0.42790628307911799</v>
      </c>
      <c r="I1100">
        <v>-2.2090087441576501E-3</v>
      </c>
    </row>
    <row r="1101" spans="1:9" x14ac:dyDescent="0.25">
      <c r="A1101" s="1">
        <v>169.76969480514501</v>
      </c>
      <c r="B1101">
        <v>15.2398131773177</v>
      </c>
      <c r="C1101">
        <v>1.5342169152181899</v>
      </c>
      <c r="D1101">
        <v>0.99823289350144195</v>
      </c>
      <c r="E1101">
        <v>-0.59476885300076998</v>
      </c>
      <c r="F1101">
        <v>1.88085995418492E-3</v>
      </c>
      <c r="G1101">
        <v>9.0667048536429793E-3</v>
      </c>
      <c r="H1101">
        <v>0.42046059608185599</v>
      </c>
      <c r="I1101">
        <v>-1.8451168964069499E-3</v>
      </c>
    </row>
    <row r="1102" spans="1:9" x14ac:dyDescent="0.25">
      <c r="A1102" s="1">
        <v>186.03645980358101</v>
      </c>
      <c r="B1102">
        <v>15.435329126596701</v>
      </c>
      <c r="C1102">
        <v>1.39508646746819</v>
      </c>
      <c r="D1102">
        <v>0.90525726651009697</v>
      </c>
      <c r="E1102">
        <v>-0.55491528598457196</v>
      </c>
      <c r="F1102">
        <v>1.6999121360012201E-3</v>
      </c>
      <c r="G1102">
        <v>7.6174604315714899E-3</v>
      </c>
      <c r="H1102">
        <v>0.41356449437112103</v>
      </c>
      <c r="I1102">
        <v>-1.5222721114794601E-3</v>
      </c>
    </row>
    <row r="1103" spans="1:9" x14ac:dyDescent="0.25">
      <c r="A1103" s="1">
        <v>203.76720398664401</v>
      </c>
      <c r="B1103">
        <v>15.629863003671501</v>
      </c>
      <c r="C1103">
        <v>1.25707323400462</v>
      </c>
      <c r="D1103">
        <v>0.81426655368817902</v>
      </c>
      <c r="E1103">
        <v>-0.51069893403445099</v>
      </c>
      <c r="F1103">
        <v>1.46360731520687E-3</v>
      </c>
      <c r="G1103">
        <v>6.31392683679539E-3</v>
      </c>
      <c r="H1103">
        <v>0.40628904626687801</v>
      </c>
      <c r="I1103">
        <v>-1.23419698857192E-3</v>
      </c>
    </row>
    <row r="1104" spans="1:9" x14ac:dyDescent="0.25">
      <c r="A1104" s="1">
        <v>223.09376105666101</v>
      </c>
      <c r="B1104">
        <v>15.8217557333711</v>
      </c>
      <c r="C1104">
        <v>1.11919934830837</v>
      </c>
      <c r="D1104">
        <v>0.72431185925621899</v>
      </c>
      <c r="E1104">
        <v>-0.46166447926778897</v>
      </c>
      <c r="F1104">
        <v>1.13962818605626E-3</v>
      </c>
      <c r="G1104">
        <v>5.1310658274370501E-3</v>
      </c>
      <c r="H1104">
        <v>0.39891855856392</v>
      </c>
      <c r="I1104">
        <v>-9.7091860863178904E-4</v>
      </c>
    </row>
    <row r="1105" spans="1:9" x14ac:dyDescent="0.25">
      <c r="A1105" s="1">
        <v>244.15970131754801</v>
      </c>
      <c r="B1105">
        <v>16.009598982364199</v>
      </c>
      <c r="C1105">
        <v>0.98051834718160302</v>
      </c>
      <c r="D1105">
        <v>0.63365012739809401</v>
      </c>
      <c r="E1105">
        <v>-0.407207332681359</v>
      </c>
      <c r="F1105">
        <v>3.55587790434254E-4</v>
      </c>
      <c r="G1105">
        <v>4.0689543261464099E-3</v>
      </c>
      <c r="H1105">
        <v>0.39207361770052102</v>
      </c>
      <c r="I1105">
        <v>-7.3638379353026804E-4</v>
      </c>
    </row>
    <row r="1106" spans="1:9" x14ac:dyDescent="0.25">
      <c r="A1106" s="1">
        <v>267.12157949805197</v>
      </c>
      <c r="B1106">
        <v>16.190534293681701</v>
      </c>
      <c r="C1106">
        <v>0.84192740706050895</v>
      </c>
      <c r="D1106">
        <v>0.54312222207394001</v>
      </c>
      <c r="E1106">
        <v>-0.34696972767683498</v>
      </c>
      <c r="F1106">
        <v>-6.59608544574669E-4</v>
      </c>
      <c r="G1106">
        <v>3.1379492411294499E-3</v>
      </c>
      <c r="H1106">
        <v>0.38625071487662499</v>
      </c>
      <c r="I1106">
        <v>-5.3848107172843899E-4</v>
      </c>
    </row>
    <row r="1107" spans="1:9" x14ac:dyDescent="0.25">
      <c r="A1107" s="1">
        <v>292.15002954006098</v>
      </c>
      <c r="B1107">
        <v>16.359814288497301</v>
      </c>
      <c r="C1107">
        <v>0.70383741787089504</v>
      </c>
      <c r="D1107">
        <v>0.45162335322394598</v>
      </c>
      <c r="E1107">
        <v>-0.280434102542158</v>
      </c>
      <c r="F1107">
        <v>-1.21232151276462E-3</v>
      </c>
      <c r="G1107">
        <v>2.34280439329784E-3</v>
      </c>
      <c r="H1107">
        <v>0.38269694130586901</v>
      </c>
      <c r="I1107">
        <v>-3.7853410244063901E-4</v>
      </c>
    </row>
    <row r="1108" spans="1:9" x14ac:dyDescent="0.25">
      <c r="A1108" s="1">
        <v>319.43101242184599</v>
      </c>
      <c r="B1108">
        <v>16.507948388189401</v>
      </c>
      <c r="C1108">
        <v>0.57353416475086905</v>
      </c>
      <c r="D1108">
        <v>0.36358750222709801</v>
      </c>
      <c r="E1108">
        <v>-0.20728157747196199</v>
      </c>
      <c r="F1108">
        <v>-9.0757488441208097E-4</v>
      </c>
      <c r="G1108">
        <v>1.70017515429443E-3</v>
      </c>
      <c r="H1108">
        <v>0.38273625050566701</v>
      </c>
      <c r="I1108">
        <v>-2.6107470881894102E-4</v>
      </c>
    </row>
    <row r="1109" spans="1:9" x14ac:dyDescent="0.25">
      <c r="A1109" s="1">
        <v>349.16732590645501</v>
      </c>
      <c r="B1109">
        <v>16.622892626405001</v>
      </c>
      <c r="C1109">
        <v>0.46527590010146902</v>
      </c>
      <c r="D1109">
        <v>0.28844020526908998</v>
      </c>
      <c r="E1109">
        <v>-0.126203233620964</v>
      </c>
      <c r="F1109">
        <v>-1.01764537269716E-3</v>
      </c>
      <c r="G1109">
        <v>1.2566363115763201E-3</v>
      </c>
      <c r="H1109">
        <v>0.38750092561423599</v>
      </c>
      <c r="I1109">
        <v>-1.91356812025645E-4</v>
      </c>
    </row>
    <row r="1110" spans="1:9" x14ac:dyDescent="0.25">
      <c r="A1110" s="1">
        <v>379.83785875141598</v>
      </c>
      <c r="B1110">
        <v>16.6835930466953</v>
      </c>
      <c r="C1110">
        <v>0.40346686737991599</v>
      </c>
      <c r="D1110">
        <v>0.24442802081736101</v>
      </c>
      <c r="E1110">
        <v>-4.1660225320544503E-2</v>
      </c>
      <c r="F1110">
        <v>-1.35363445981687E-3</v>
      </c>
      <c r="G1110">
        <v>1.0260747789252E-3</v>
      </c>
      <c r="H1110">
        <v>0.40852194221459198</v>
      </c>
      <c r="I1110">
        <v>-1.5187623049739299E-4</v>
      </c>
    </row>
    <row r="1111" spans="1:9" x14ac:dyDescent="0.25">
      <c r="A1111" s="1" t="s">
        <v>538</v>
      </c>
      <c r="B1111" s="1" t="s">
        <v>614</v>
      </c>
      <c r="C1111" s="1" t="s">
        <v>615</v>
      </c>
      <c r="D1111" s="1" t="s">
        <v>616</v>
      </c>
      <c r="E1111" s="1" t="s">
        <v>617</v>
      </c>
      <c r="F1111" s="1" t="s">
        <v>618</v>
      </c>
      <c r="G1111" s="1" t="s">
        <v>400</v>
      </c>
      <c r="H1111" s="1" t="s">
        <v>619</v>
      </c>
      <c r="I1111" s="1" t="s">
        <v>613</v>
      </c>
    </row>
    <row r="1112" spans="1:9" x14ac:dyDescent="0.25">
      <c r="A1112" s="1">
        <v>-141.555516719818</v>
      </c>
      <c r="B1112">
        <v>-449.51029074784901</v>
      </c>
      <c r="C1112">
        <v>9.3165383144849706E-2</v>
      </c>
      <c r="D1112">
        <v>0</v>
      </c>
      <c r="E1112">
        <v>0</v>
      </c>
      <c r="F1112">
        <v>0</v>
      </c>
      <c r="G1112" s="1">
        <v>4.3614392319035697E-5</v>
      </c>
      <c r="H1112">
        <v>3.4401894067824797E-2</v>
      </c>
      <c r="I1112">
        <v>0</v>
      </c>
    </row>
    <row r="1113" spans="1:9" x14ac:dyDescent="0.25">
      <c r="A1113" s="1">
        <v>-128.95890593528699</v>
      </c>
      <c r="B1113">
        <v>-409.51275489923199</v>
      </c>
      <c r="C1113">
        <v>9.5256136157820206E-2</v>
      </c>
      <c r="D1113">
        <v>0</v>
      </c>
      <c r="E1113">
        <v>0</v>
      </c>
      <c r="F1113">
        <v>0</v>
      </c>
      <c r="G1113" s="1">
        <v>5.7623981492227397E-5</v>
      </c>
      <c r="H1113">
        <v>0.22577814163036999</v>
      </c>
      <c r="I1113">
        <v>0</v>
      </c>
    </row>
    <row r="1114" spans="1:9" x14ac:dyDescent="0.25">
      <c r="A1114" s="1">
        <v>-117.402367591857</v>
      </c>
      <c r="B1114">
        <v>-372.81722161766697</v>
      </c>
      <c r="C1114">
        <v>9.9475689203135806E-2</v>
      </c>
      <c r="D1114">
        <v>0</v>
      </c>
      <c r="E1114">
        <v>0</v>
      </c>
      <c r="F1114">
        <v>0</v>
      </c>
      <c r="G1114" s="1">
        <v>8.4478921846020702E-5</v>
      </c>
      <c r="H1114">
        <v>0.41089594319519701</v>
      </c>
      <c r="I1114">
        <v>0</v>
      </c>
    </row>
    <row r="1115" spans="1:9" x14ac:dyDescent="0.25">
      <c r="A1115" s="1">
        <v>-106.80001378059301</v>
      </c>
      <c r="B1115">
        <v>-339.15121810433101</v>
      </c>
      <c r="C1115">
        <v>0.106175049506543</v>
      </c>
      <c r="D1115">
        <v>0</v>
      </c>
      <c r="E1115">
        <v>0</v>
      </c>
      <c r="F1115">
        <v>0</v>
      </c>
      <c r="G1115">
        <v>1.24757105577799E-4</v>
      </c>
      <c r="H1115">
        <v>0.53311088987223498</v>
      </c>
      <c r="I1115">
        <v>0</v>
      </c>
    </row>
    <row r="1116" spans="1:9" x14ac:dyDescent="0.25">
      <c r="A1116" s="1">
        <v>-97.073161005973802</v>
      </c>
      <c r="B1116">
        <v>-308.26457086798399</v>
      </c>
      <c r="C1116">
        <v>0.11583496865363201</v>
      </c>
      <c r="D1116">
        <v>0</v>
      </c>
      <c r="E1116">
        <v>0</v>
      </c>
      <c r="F1116">
        <v>0</v>
      </c>
      <c r="G1116">
        <v>1.8086470448555001E-4</v>
      </c>
      <c r="H1116">
        <v>0.60679524832302201</v>
      </c>
      <c r="I1116">
        <v>0</v>
      </c>
    </row>
    <row r="1117" spans="1:9" x14ac:dyDescent="0.25">
      <c r="A1117" s="1">
        <v>-88.149435520172105</v>
      </c>
      <c r="B1117">
        <v>-279.92790127393403</v>
      </c>
      <c r="C1117">
        <v>0.12898902591282599</v>
      </c>
      <c r="D1117">
        <v>0</v>
      </c>
      <c r="E1117">
        <v>0</v>
      </c>
      <c r="F1117">
        <v>0</v>
      </c>
      <c r="G1117">
        <v>2.57127434721127E-4</v>
      </c>
      <c r="H1117">
        <v>0.65065865789990796</v>
      </c>
      <c r="I1117">
        <v>0</v>
      </c>
    </row>
    <row r="1118" spans="1:9" x14ac:dyDescent="0.25">
      <c r="A1118" s="1">
        <v>-79.962490797042804</v>
      </c>
      <c r="B1118">
        <v>-253.93070318993699</v>
      </c>
      <c r="C1118">
        <v>0.14620018304506799</v>
      </c>
      <c r="D1118">
        <v>0</v>
      </c>
      <c r="E1118">
        <v>0</v>
      </c>
      <c r="F1118">
        <v>0</v>
      </c>
      <c r="G1118">
        <v>3.60087595855418E-4</v>
      </c>
      <c r="H1118">
        <v>0.67702352797234999</v>
      </c>
      <c r="I1118">
        <v>0</v>
      </c>
    </row>
    <row r="1119" spans="1:9" x14ac:dyDescent="0.25">
      <c r="A1119" s="1">
        <v>-72.451583743095298</v>
      </c>
      <c r="B1119">
        <v>-230.07983853515799</v>
      </c>
      <c r="C1119">
        <v>0.168062939258382</v>
      </c>
      <c r="D1119">
        <v>0</v>
      </c>
      <c r="E1119">
        <v>0</v>
      </c>
      <c r="F1119">
        <v>0</v>
      </c>
      <c r="G1119">
        <v>4.9903036614367096E-4</v>
      </c>
      <c r="H1119">
        <v>0.69322457265322102</v>
      </c>
      <c r="I1119">
        <v>0</v>
      </c>
    </row>
    <row r="1120" spans="1:9" x14ac:dyDescent="0.25">
      <c r="A1120" s="1">
        <v>-65.560821294784503</v>
      </c>
      <c r="B1120">
        <v>-208.19813312586899</v>
      </c>
      <c r="C1120">
        <v>0.19521667225438799</v>
      </c>
      <c r="D1120">
        <v>0</v>
      </c>
      <c r="E1120">
        <v>0</v>
      </c>
      <c r="F1120">
        <v>0</v>
      </c>
      <c r="G1120">
        <v>6.8678008308538103E-4</v>
      </c>
      <c r="H1120">
        <v>0.70358207201577805</v>
      </c>
      <c r="I1120">
        <v>0</v>
      </c>
    </row>
    <row r="1121" spans="1:9" x14ac:dyDescent="0.25">
      <c r="A1121" s="1">
        <v>-59.238972067832897</v>
      </c>
      <c r="B1121">
        <v>-188.12301431146099</v>
      </c>
      <c r="C1121">
        <v>0.22836353955210201</v>
      </c>
      <c r="D1121">
        <v>0</v>
      </c>
      <c r="E1121">
        <v>0</v>
      </c>
      <c r="F1121">
        <v>0</v>
      </c>
      <c r="G1121">
        <v>9.4080401065070802E-4</v>
      </c>
      <c r="H1121">
        <v>0.71064761285071998</v>
      </c>
      <c r="I1121">
        <v>0</v>
      </c>
    </row>
    <row r="1122" spans="1:9" x14ac:dyDescent="0.25">
      <c r="A1122" s="1">
        <v>-53.439136743545497</v>
      </c>
      <c r="B1122">
        <v>-169.70534920391199</v>
      </c>
      <c r="C1122">
        <v>0.26828749752676601</v>
      </c>
      <c r="D1122">
        <v>0</v>
      </c>
      <c r="E1122">
        <v>0</v>
      </c>
      <c r="F1122">
        <v>0</v>
      </c>
      <c r="G1122">
        <v>1.28465275647471E-3</v>
      </c>
      <c r="H1122">
        <v>0.71591893930496697</v>
      </c>
      <c r="I1122">
        <v>0</v>
      </c>
    </row>
    <row r="1123" spans="1:9" x14ac:dyDescent="0.25">
      <c r="A1123" s="1">
        <v>-48.118183016777003</v>
      </c>
      <c r="B1123">
        <v>-152.808291265337</v>
      </c>
      <c r="C1123">
        <v>0.31587284653750602</v>
      </c>
      <c r="D1123">
        <v>0</v>
      </c>
      <c r="E1123">
        <v>0</v>
      </c>
      <c r="F1123">
        <v>0</v>
      </c>
      <c r="G1123">
        <v>1.7497554908686599E-3</v>
      </c>
      <c r="H1123">
        <v>0.72025529157197099</v>
      </c>
      <c r="I1123">
        <v>0</v>
      </c>
    </row>
    <row r="1124" spans="1:9" x14ac:dyDescent="0.25">
      <c r="A1124" s="1">
        <v>-43.236604332923797</v>
      </c>
      <c r="B1124">
        <v>-137.30630241480301</v>
      </c>
      <c r="C1124">
        <v>0.37212070157590599</v>
      </c>
      <c r="D1124">
        <v>0</v>
      </c>
      <c r="E1124">
        <v>0</v>
      </c>
      <c r="F1124">
        <v>0</v>
      </c>
      <c r="G1124">
        <v>2.37756969900999E-3</v>
      </c>
      <c r="H1124">
        <v>0.72412837425242305</v>
      </c>
      <c r="I1124">
        <v>0</v>
      </c>
    </row>
    <row r="1125" spans="1:9" x14ac:dyDescent="0.25">
      <c r="A1125" s="1">
        <v>-38.758049011230398</v>
      </c>
      <c r="B1125">
        <v>-123.084221104501</v>
      </c>
      <c r="C1125">
        <v>0.43816235119596098</v>
      </c>
      <c r="D1125">
        <v>0</v>
      </c>
      <c r="E1125">
        <v>0</v>
      </c>
      <c r="F1125">
        <v>0</v>
      </c>
      <c r="G1125">
        <v>3.22205624510729E-3</v>
      </c>
      <c r="H1125">
        <v>0.72778017524693095</v>
      </c>
      <c r="I1125">
        <v>0</v>
      </c>
    </row>
    <row r="1126" spans="1:9" x14ac:dyDescent="0.25">
      <c r="A1126" s="1">
        <v>-34.649320244789102</v>
      </c>
      <c r="B1126">
        <v>-110.03637636524201</v>
      </c>
      <c r="C1126">
        <v>0.51526734082911996</v>
      </c>
      <c r="D1126">
        <v>0</v>
      </c>
      <c r="E1126">
        <v>0</v>
      </c>
      <c r="F1126">
        <v>0</v>
      </c>
      <c r="G1126">
        <v>4.3524161231516699E-3</v>
      </c>
      <c r="H1126">
        <v>0.73132447107284804</v>
      </c>
      <c r="I1126">
        <v>0</v>
      </c>
    </row>
    <row r="1127" spans="1:9" x14ac:dyDescent="0.25">
      <c r="A1127" s="1">
        <v>-30.879811048507602</v>
      </c>
      <c r="B1127">
        <v>-98.065818864820898</v>
      </c>
      <c r="C1127">
        <v>0.60484492134295798</v>
      </c>
      <c r="D1127">
        <v>0</v>
      </c>
      <c r="E1127">
        <v>0</v>
      </c>
      <c r="F1127">
        <v>0</v>
      </c>
      <c r="G1127">
        <v>5.8559692572202901E-3</v>
      </c>
      <c r="H1127">
        <v>0.73481094983195006</v>
      </c>
      <c r="I1127">
        <v>0</v>
      </c>
    </row>
    <row r="1128" spans="1:9" x14ac:dyDescent="0.25">
      <c r="A1128" s="1">
        <v>-27.4215984344482</v>
      </c>
      <c r="B1128">
        <v>-87.083608383281501</v>
      </c>
      <c r="C1128">
        <v>0.70843703873254904</v>
      </c>
      <c r="D1128">
        <v>0</v>
      </c>
      <c r="E1128">
        <v>0</v>
      </c>
      <c r="F1128">
        <v>0</v>
      </c>
      <c r="G1128">
        <v>7.8410081645870402E-3</v>
      </c>
      <c r="H1128">
        <v>0.73826373017232705</v>
      </c>
      <c r="I1128">
        <v>0</v>
      </c>
    </row>
    <row r="1129" spans="1:9" x14ac:dyDescent="0.25">
      <c r="A1129" s="1">
        <v>-24.248878359794599</v>
      </c>
      <c r="B1129">
        <v>-77.008143078504503</v>
      </c>
      <c r="C1129">
        <v>0.82770113025084302</v>
      </c>
      <c r="D1129">
        <v>0</v>
      </c>
      <c r="E1129">
        <v>0</v>
      </c>
      <c r="F1129">
        <v>0</v>
      </c>
      <c r="G1129">
        <v>1.0439400416612401E-2</v>
      </c>
      <c r="H1129">
        <v>0.741702050714523</v>
      </c>
      <c r="I1129">
        <v>0</v>
      </c>
    </row>
    <row r="1130" spans="1:9" x14ac:dyDescent="0.25">
      <c r="A1130" s="1">
        <v>-21.3381540775299</v>
      </c>
      <c r="B1130">
        <v>-67.764561884819003</v>
      </c>
      <c r="C1130">
        <v>0.96438226200857102</v>
      </c>
      <c r="D1130">
        <v>0</v>
      </c>
      <c r="E1130">
        <v>0</v>
      </c>
      <c r="F1130">
        <v>0</v>
      </c>
      <c r="G1130">
        <v>1.3808698651109799E-2</v>
      </c>
      <c r="H1130">
        <v>0.74514924258063497</v>
      </c>
      <c r="I1130">
        <v>0</v>
      </c>
    </row>
    <row r="1131" spans="1:9" x14ac:dyDescent="0.25">
      <c r="A1131" s="1">
        <v>-18.6677181720733</v>
      </c>
      <c r="B1131">
        <v>-59.284182955759</v>
      </c>
      <c r="C1131">
        <v>1.12027299853407</v>
      </c>
      <c r="D1131">
        <v>0</v>
      </c>
      <c r="E1131">
        <v>0</v>
      </c>
      <c r="F1131">
        <v>0</v>
      </c>
      <c r="G1131">
        <v>1.8133508727714801E-2</v>
      </c>
      <c r="H1131">
        <v>0.74863473226875499</v>
      </c>
      <c r="I1131">
        <v>0</v>
      </c>
    </row>
    <row r="1132" spans="1:9" x14ac:dyDescent="0.25">
      <c r="A1132" s="1">
        <v>-16.2178409099578</v>
      </c>
      <c r="B1132">
        <v>-51.5039959118388</v>
      </c>
      <c r="C1132">
        <v>1.2971636152753101</v>
      </c>
      <c r="D1132">
        <v>0</v>
      </c>
      <c r="E1132">
        <v>0</v>
      </c>
      <c r="F1132">
        <v>0</v>
      </c>
      <c r="G1132">
        <v>2.36259836367935E-2</v>
      </c>
      <c r="H1132">
        <v>0.75219315076323701</v>
      </c>
      <c r="I1132">
        <v>0</v>
      </c>
    </row>
    <row r="1133" spans="1:9" x14ac:dyDescent="0.25">
      <c r="A1133" s="1">
        <v>-13.9702051877975</v>
      </c>
      <c r="B1133">
        <v>-44.366188042952103</v>
      </c>
      <c r="C1133">
        <v>1.49678186717276</v>
      </c>
      <c r="D1133">
        <v>0</v>
      </c>
      <c r="E1133">
        <v>0</v>
      </c>
      <c r="F1133">
        <v>0</v>
      </c>
      <c r="G1133">
        <v>3.0525444873910599E-2</v>
      </c>
      <c r="H1133">
        <v>0.75586225629773796</v>
      </c>
      <c r="I1133">
        <v>0</v>
      </c>
    </row>
    <row r="1134" spans="1:9" x14ac:dyDescent="0.25">
      <c r="A1134" s="1">
        <v>-11.908189058303799</v>
      </c>
      <c r="B1134">
        <v>-37.817723271033103</v>
      </c>
      <c r="C1134">
        <v>1.72072732066635</v>
      </c>
      <c r="D1134">
        <v>0</v>
      </c>
      <c r="E1134">
        <v>0</v>
      </c>
      <c r="F1134">
        <v>0</v>
      </c>
      <c r="G1134">
        <v>3.9097395400130998E-2</v>
      </c>
      <c r="H1134">
        <v>0.759681746961274</v>
      </c>
      <c r="I1134">
        <v>0</v>
      </c>
    </row>
    <row r="1135" spans="1:9" x14ac:dyDescent="0.25">
      <c r="A1135" s="1">
        <v>-10.016394853591899</v>
      </c>
      <c r="B1135">
        <v>-31.809943575008202</v>
      </c>
      <c r="C1135">
        <v>1.9704036112233601</v>
      </c>
      <c r="D1135">
        <v>0</v>
      </c>
      <c r="E1135">
        <v>0</v>
      </c>
      <c r="F1135">
        <v>0</v>
      </c>
      <c r="G1135">
        <v>4.9632467991068498E-2</v>
      </c>
      <c r="H1135">
        <v>0.76369270084887197</v>
      </c>
      <c r="I1135">
        <v>0</v>
      </c>
    </row>
    <row r="1136" spans="1:9" x14ac:dyDescent="0.25">
      <c r="A1136" s="1">
        <v>-8.2808375358581507</v>
      </c>
      <c r="B1136">
        <v>-26.2982033256128</v>
      </c>
      <c r="C1136">
        <v>2.24695384835189</v>
      </c>
      <c r="D1136">
        <v>0</v>
      </c>
      <c r="E1136">
        <v>0</v>
      </c>
      <c r="F1136">
        <v>0</v>
      </c>
      <c r="G1136">
        <v>6.2446192124298201E-2</v>
      </c>
      <c r="H1136">
        <v>0.76793793742413896</v>
      </c>
      <c r="I1136">
        <v>0</v>
      </c>
    </row>
    <row r="1137" spans="1:9" x14ac:dyDescent="0.25">
      <c r="A1137" s="1">
        <v>-6.6885209083557102</v>
      </c>
      <c r="B1137">
        <v>-21.241553246198599</v>
      </c>
      <c r="C1137">
        <v>2.5512026732540001</v>
      </c>
      <c r="D1137">
        <v>0</v>
      </c>
      <c r="E1137">
        <v>0</v>
      </c>
      <c r="F1137">
        <v>0</v>
      </c>
      <c r="G1137">
        <v>7.78806246697058E-2</v>
      </c>
      <c r="H1137">
        <v>0.77246252520945502</v>
      </c>
      <c r="I1137">
        <v>0</v>
      </c>
    </row>
    <row r="1138" spans="1:9" x14ac:dyDescent="0.25">
      <c r="A1138" s="1">
        <v>-5.2277201414108196</v>
      </c>
      <c r="B1138">
        <v>-16.6024154930994</v>
      </c>
      <c r="C1138">
        <v>2.8836149123116299</v>
      </c>
      <c r="D1138">
        <v>0</v>
      </c>
      <c r="E1138">
        <v>0</v>
      </c>
      <c r="F1138">
        <v>0</v>
      </c>
      <c r="G1138">
        <v>9.6307167755730894E-2</v>
      </c>
      <c r="H1138">
        <v>0.77730937050505999</v>
      </c>
      <c r="I1138">
        <v>0</v>
      </c>
    </row>
    <row r="1139" spans="1:9" x14ac:dyDescent="0.25">
      <c r="A1139" s="1">
        <v>-3.88755798339843</v>
      </c>
      <c r="B1139">
        <v>-12.346315152911799</v>
      </c>
      <c r="C1139">
        <v>3.2442772644436699</v>
      </c>
      <c r="D1139">
        <v>0</v>
      </c>
      <c r="E1139">
        <v>0</v>
      </c>
      <c r="F1139">
        <v>0</v>
      </c>
      <c r="G1139">
        <v>0.118155444509466</v>
      </c>
      <c r="H1139">
        <v>0.78255871311381797</v>
      </c>
      <c r="I1139">
        <v>0</v>
      </c>
    </row>
    <row r="1140" spans="1:9" x14ac:dyDescent="0.25">
      <c r="A1140" s="1">
        <v>-2.6580518484115601</v>
      </c>
      <c r="B1140">
        <v>-8.4416295006558499</v>
      </c>
      <c r="C1140">
        <v>3.6328518041610001</v>
      </c>
      <c r="D1140">
        <v>0</v>
      </c>
      <c r="E1140">
        <v>0</v>
      </c>
      <c r="F1140">
        <v>0</v>
      </c>
      <c r="G1140">
        <v>0.143910981336375</v>
      </c>
      <c r="H1140">
        <v>0.78827140383695804</v>
      </c>
      <c r="I1140">
        <v>0</v>
      </c>
    </row>
    <row r="1141" spans="1:9" x14ac:dyDescent="0.25">
      <c r="A1141" s="1">
        <v>-1.5300196409225399</v>
      </c>
      <c r="B1141">
        <v>-4.85934352648112</v>
      </c>
      <c r="C1141">
        <v>4.0486292026850101</v>
      </c>
      <c r="D1141">
        <v>0</v>
      </c>
      <c r="E1141">
        <v>0</v>
      </c>
      <c r="F1141">
        <v>0</v>
      </c>
      <c r="G1141">
        <v>0.17364780172429101</v>
      </c>
      <c r="H1141">
        <v>0.79391422798544897</v>
      </c>
      <c r="I1141">
        <v>0</v>
      </c>
    </row>
    <row r="1142" spans="1:9" x14ac:dyDescent="0.25">
      <c r="A1142" s="1">
        <v>-0.49517393112182601</v>
      </c>
      <c r="B1142">
        <v>-1.57283680510374</v>
      </c>
      <c r="C1142">
        <v>4.4906843854125604</v>
      </c>
      <c r="D1142">
        <v>0</v>
      </c>
      <c r="E1142">
        <v>0</v>
      </c>
      <c r="F1142">
        <v>0</v>
      </c>
      <c r="G1142">
        <v>0.21851764345337801</v>
      </c>
      <c r="H1142">
        <v>0.80944833256152204</v>
      </c>
      <c r="I1142">
        <v>0</v>
      </c>
    </row>
    <row r="1143" spans="1:9" x14ac:dyDescent="0.25">
      <c r="A1143" s="1">
        <v>0.49376130104064903</v>
      </c>
      <c r="B1143">
        <v>0.35028623867181102</v>
      </c>
      <c r="C1143">
        <v>4.7843041517673601</v>
      </c>
      <c r="D1143">
        <v>0.331487869203556</v>
      </c>
      <c r="E1143">
        <v>-4.7229834943692298E-4</v>
      </c>
      <c r="F1143">
        <v>1.4898454227833E-4</v>
      </c>
      <c r="G1143">
        <v>1.5796425690770201E-2</v>
      </c>
      <c r="H1143">
        <v>0.42209536459943903</v>
      </c>
      <c r="I1143" s="1">
        <v>5.0470061769300205E-7</v>
      </c>
    </row>
    <row r="1144" spans="1:9" x14ac:dyDescent="0.25">
      <c r="A1144" s="1">
        <v>1.5257111191749499</v>
      </c>
      <c r="B1144">
        <v>1.0815372020318801</v>
      </c>
      <c r="C1144">
        <v>4.9278606794737199</v>
      </c>
      <c r="D1144">
        <v>1.0602563447395501</v>
      </c>
      <c r="E1144">
        <v>-4.1378400754290504E-3</v>
      </c>
      <c r="F1144">
        <v>4.6704824927997201E-4</v>
      </c>
      <c r="G1144">
        <v>3.4726652203741701E-2</v>
      </c>
      <c r="H1144">
        <v>0.72472857881247998</v>
      </c>
      <c r="I1144" s="1">
        <v>2.3634770195456699E-5</v>
      </c>
    </row>
    <row r="1145" spans="1:9" x14ac:dyDescent="0.25">
      <c r="A1145" s="1">
        <v>2.6505178213119498</v>
      </c>
      <c r="B1145">
        <v>1.8718671217873399</v>
      </c>
      <c r="C1145">
        <v>5.1372503001186098</v>
      </c>
      <c r="D1145">
        <v>1.92502476208308</v>
      </c>
      <c r="E1145">
        <v>-1.56918489820514E-2</v>
      </c>
      <c r="F1145">
        <v>8.2607604991195404E-4</v>
      </c>
      <c r="G1145">
        <v>5.9557692955163603E-2</v>
      </c>
      <c r="H1145">
        <v>0.82797989322772902</v>
      </c>
      <c r="I1145">
        <v>1.4361644019497E-4</v>
      </c>
    </row>
    <row r="1146" spans="1:9" x14ac:dyDescent="0.25">
      <c r="A1146" s="1">
        <v>3.8765159249305698</v>
      </c>
      <c r="B1146">
        <v>2.7171512946799101</v>
      </c>
      <c r="C1146">
        <v>5.4480473255444402</v>
      </c>
      <c r="D1146">
        <v>2.9488558777157099</v>
      </c>
      <c r="E1146">
        <v>-3.9020225193453197E-2</v>
      </c>
      <c r="F1146">
        <v>1.2141703878068601E-3</v>
      </c>
      <c r="G1146">
        <v>8.3096195689721097E-2</v>
      </c>
      <c r="H1146">
        <v>0.86363784851603798</v>
      </c>
      <c r="I1146">
        <v>3.74227203721061E-4</v>
      </c>
    </row>
    <row r="1147" spans="1:9" x14ac:dyDescent="0.25">
      <c r="A1147" s="1">
        <v>5.2129346132278398</v>
      </c>
      <c r="B1147">
        <v>3.6070257246806898</v>
      </c>
      <c r="C1147">
        <v>5.8821010278505099</v>
      </c>
      <c r="D1147">
        <v>4.1107730733848902</v>
      </c>
      <c r="E1147">
        <v>-7.8490782584631297E-2</v>
      </c>
      <c r="F1147">
        <v>1.59162511570261E-3</v>
      </c>
      <c r="G1147">
        <v>9.9309973968645798E-2</v>
      </c>
      <c r="H1147">
        <v>0.86974260843125795</v>
      </c>
      <c r="I1147">
        <v>7.8242361768218597E-4</v>
      </c>
    </row>
    <row r="1148" spans="1:9" x14ac:dyDescent="0.25">
      <c r="A1148" s="1">
        <v>6.6695916652679399</v>
      </c>
      <c r="B1148">
        <v>4.5235832654252297</v>
      </c>
      <c r="C1148">
        <v>6.4198443480630303</v>
      </c>
      <c r="D1148">
        <v>5.3194228772312204</v>
      </c>
      <c r="E1148">
        <v>-0.13636427201510601</v>
      </c>
      <c r="F1148">
        <v>1.8944567785090199E-3</v>
      </c>
      <c r="G1148">
        <v>0.106706631787349</v>
      </c>
      <c r="H1148">
        <v>0.85875377487360705</v>
      </c>
      <c r="I1148">
        <v>1.77766082334155E-3</v>
      </c>
    </row>
    <row r="1149" spans="1:9" x14ac:dyDescent="0.25">
      <c r="A1149" s="1">
        <v>8.2573878765106201</v>
      </c>
      <c r="B1149">
        <v>5.4422637537434397</v>
      </c>
      <c r="C1149">
        <v>6.9886396157186903</v>
      </c>
      <c r="D1149">
        <v>6.4246407333391504</v>
      </c>
      <c r="E1149">
        <v>-0.21090464900549899</v>
      </c>
      <c r="F1149">
        <v>2.0525824754814401E-3</v>
      </c>
      <c r="G1149">
        <v>0.10862141423417999</v>
      </c>
      <c r="H1149">
        <v>0.83731566992703799</v>
      </c>
      <c r="I1149">
        <v>4.2721146431432804E-3</v>
      </c>
    </row>
    <row r="1150" spans="1:9" x14ac:dyDescent="0.25">
      <c r="A1150" s="1">
        <v>9.9880245327949506</v>
      </c>
      <c r="B1150">
        <v>6.3356485694959401</v>
      </c>
      <c r="C1150">
        <v>7.4854192705006604</v>
      </c>
      <c r="D1150">
        <v>7.2760079292755</v>
      </c>
      <c r="E1150">
        <v>-0.29621829629847501</v>
      </c>
      <c r="F1150">
        <v>2.01224579565959E-3</v>
      </c>
      <c r="G1150">
        <v>0.109701726166005</v>
      </c>
      <c r="H1150">
        <v>0.81145656096372198</v>
      </c>
      <c r="I1150">
        <v>8.2291784284700808E-3</v>
      </c>
    </row>
    <row r="1151" spans="1:9" x14ac:dyDescent="0.25">
      <c r="A1151" s="1">
        <v>11.874474287032999</v>
      </c>
      <c r="B1151">
        <v>7.1792360559418498</v>
      </c>
      <c r="C1151">
        <v>7.8218934826688304</v>
      </c>
      <c r="D1151">
        <v>7.7866572617859298</v>
      </c>
      <c r="E1151">
        <v>-0.38445306330378098</v>
      </c>
      <c r="F1151">
        <v>1.77977493889789E-3</v>
      </c>
      <c r="G1151">
        <v>0.111836129290347</v>
      </c>
      <c r="H1151">
        <v>0.78556068806558799</v>
      </c>
      <c r="I1151">
        <v>1.0932409761269499E-2</v>
      </c>
    </row>
    <row r="1152" spans="1:9" x14ac:dyDescent="0.25">
      <c r="A1152" s="1">
        <v>13.9306750893592</v>
      </c>
      <c r="B1152">
        <v>7.9563017323925802</v>
      </c>
      <c r="C1152">
        <v>7.95654749069441</v>
      </c>
      <c r="D1152">
        <v>7.95396817752275</v>
      </c>
      <c r="E1152">
        <v>-0.46865861678805498</v>
      </c>
      <c r="F1152">
        <v>1.43035367351293E-3</v>
      </c>
      <c r="G1152">
        <v>0.113848515963845</v>
      </c>
      <c r="H1152">
        <v>0.76092594850473005</v>
      </c>
      <c r="I1152">
        <v>9.8419198223755801E-3</v>
      </c>
    </row>
    <row r="1153" spans="1:9" x14ac:dyDescent="0.25">
      <c r="A1153" s="1">
        <v>16.171883344650201</v>
      </c>
      <c r="B1153">
        <v>8.6593484178498095</v>
      </c>
      <c r="C1153">
        <v>7.89508968874161</v>
      </c>
      <c r="D1153">
        <v>7.8343660302723803</v>
      </c>
      <c r="E1153">
        <v>-0.54431056857621196</v>
      </c>
      <c r="F1153">
        <v>1.0831897387265799E-3</v>
      </c>
      <c r="G1153">
        <v>0.113962845207299</v>
      </c>
      <c r="H1153">
        <v>0.73704011264677405</v>
      </c>
      <c r="I1153">
        <v>5.4263403875005802E-3</v>
      </c>
    </row>
    <row r="1154" spans="1:9" x14ac:dyDescent="0.25">
      <c r="A1154" s="1">
        <v>18.614838719367899</v>
      </c>
      <c r="B1154">
        <v>9.2884346187427305</v>
      </c>
      <c r="C1154">
        <v>7.67183625285635</v>
      </c>
      <c r="D1154">
        <v>7.5065078661040596</v>
      </c>
      <c r="E1154">
        <v>-0.60932729117959195</v>
      </c>
      <c r="F1154">
        <v>8.6222777372640599E-4</v>
      </c>
      <c r="G1154">
        <v>0.111433266392811</v>
      </c>
      <c r="H1154">
        <v>0.71324947174127595</v>
      </c>
      <c r="I1154">
        <v>-2.0079108140132901E-4</v>
      </c>
    </row>
    <row r="1155" spans="1:9" x14ac:dyDescent="0.25">
      <c r="A1155" s="1">
        <v>21.2777170538902</v>
      </c>
      <c r="B1155">
        <v>9.8483411461427508</v>
      </c>
      <c r="C1155">
        <v>7.3307272252158802</v>
      </c>
      <c r="D1155">
        <v>7.0452000803443804</v>
      </c>
      <c r="E1155">
        <v>-0.66337403099509595</v>
      </c>
      <c r="F1155">
        <v>8.5593555956470701E-4</v>
      </c>
      <c r="G1155">
        <v>0.106574651643688</v>
      </c>
      <c r="H1155">
        <v>0.68934351592174803</v>
      </c>
      <c r="I1155">
        <v>-5.3486147492228598E-3</v>
      </c>
    </row>
    <row r="1156" spans="1:9" x14ac:dyDescent="0.25">
      <c r="A1156" s="1">
        <v>24.180224537849401</v>
      </c>
      <c r="B1156">
        <v>10.3460971296146</v>
      </c>
      <c r="C1156">
        <v>6.9137969885922299</v>
      </c>
      <c r="D1156">
        <v>6.5110934972050503</v>
      </c>
      <c r="E1156">
        <v>-0.70710686461217098</v>
      </c>
      <c r="F1156">
        <v>1.10232368502867E-3</v>
      </c>
      <c r="G1156">
        <v>0.100160174498665</v>
      </c>
      <c r="H1156">
        <v>0.66546694369434101</v>
      </c>
      <c r="I1156">
        <v>-9.2998780951431392E-3</v>
      </c>
    </row>
    <row r="1157" spans="1:9" x14ac:dyDescent="0.25">
      <c r="A1157" s="1">
        <v>27.343950867652801</v>
      </c>
      <c r="B1157">
        <v>10.789463029087999</v>
      </c>
      <c r="C1157">
        <v>6.4563208437049404</v>
      </c>
      <c r="D1157">
        <v>5.9488763366294801</v>
      </c>
      <c r="E1157">
        <v>-0.74161595558077198</v>
      </c>
      <c r="F1157">
        <v>1.53761636709255E-3</v>
      </c>
      <c r="G1157">
        <v>9.2920766519366205E-2</v>
      </c>
      <c r="H1157">
        <v>0.64195955184182996</v>
      </c>
      <c r="I1157">
        <v>-1.19680141701773E-2</v>
      </c>
    </row>
    <row r="1158" spans="1:9" x14ac:dyDescent="0.25">
      <c r="A1158" s="1">
        <v>30.7923927903175</v>
      </c>
      <c r="B1158">
        <v>11.1861199029102</v>
      </c>
      <c r="C1158">
        <v>5.9856910707610202</v>
      </c>
      <c r="D1158">
        <v>5.3896565436347403</v>
      </c>
      <c r="E1158">
        <v>-0.76810165064981195</v>
      </c>
      <c r="F1158">
        <v>2.0706087103370499E-3</v>
      </c>
      <c r="G1158">
        <v>8.5359165488825703E-2</v>
      </c>
      <c r="H1158">
        <v>0.61923686019892099</v>
      </c>
      <c r="I1158">
        <v>-1.3502769601426899E-2</v>
      </c>
    </row>
    <row r="1159" spans="1:9" x14ac:dyDescent="0.25">
      <c r="A1159" s="1">
        <v>34.551213085651298</v>
      </c>
      <c r="B1159">
        <v>11.543284937025501</v>
      </c>
      <c r="C1159">
        <v>5.5218489933741797</v>
      </c>
      <c r="D1159">
        <v>4.8538383130126297</v>
      </c>
      <c r="E1159">
        <v>-0.787719754921542</v>
      </c>
      <c r="F1159">
        <v>2.6440393941962199E-3</v>
      </c>
      <c r="G1159">
        <v>7.7763745774092993E-2</v>
      </c>
      <c r="H1159">
        <v>0.597705044748019</v>
      </c>
      <c r="I1159">
        <v>-1.41072642615118E-2</v>
      </c>
    </row>
    <row r="1160" spans="1:9" x14ac:dyDescent="0.25">
      <c r="A1160" s="1">
        <v>38.6483111977577</v>
      </c>
      <c r="B1160">
        <v>11.867502493442499</v>
      </c>
      <c r="C1160">
        <v>5.0782521150197297</v>
      </c>
      <c r="D1160">
        <v>4.3539530918467699</v>
      </c>
      <c r="E1160">
        <v>-0.80147893780870105</v>
      </c>
      <c r="F1160">
        <v>3.1270938889652001E-3</v>
      </c>
      <c r="G1160">
        <v>7.0302414471180005E-2</v>
      </c>
      <c r="H1160">
        <v>0.57774024151898495</v>
      </c>
      <c r="I1160">
        <v>-1.3981626268486799E-2</v>
      </c>
    </row>
    <row r="1161" spans="1:9" x14ac:dyDescent="0.25">
      <c r="A1161" s="1">
        <v>43.1141293048858</v>
      </c>
      <c r="B1161">
        <v>12.1645981408968</v>
      </c>
      <c r="C1161">
        <v>4.66313454391139</v>
      </c>
      <c r="D1161">
        <v>3.8968574913266898</v>
      </c>
      <c r="E1161">
        <v>-0.81021056730463303</v>
      </c>
      <c r="F1161">
        <v>3.4725920644746102E-3</v>
      </c>
      <c r="G1161">
        <v>6.3088408061473103E-2</v>
      </c>
      <c r="H1161">
        <v>0.559604627372293</v>
      </c>
      <c r="I1161">
        <v>-1.33128105574391E-2</v>
      </c>
    </row>
    <row r="1162" spans="1:9" x14ac:dyDescent="0.25">
      <c r="A1162" s="1">
        <v>47.981887757778097</v>
      </c>
      <c r="B1162">
        <v>12.4395658210232</v>
      </c>
      <c r="C1162">
        <v>4.2808140578906801</v>
      </c>
      <c r="D1162">
        <v>3.48569817761217</v>
      </c>
      <c r="E1162">
        <v>-0.81461291287582205</v>
      </c>
      <c r="F1162">
        <v>3.6216248015781701E-3</v>
      </c>
      <c r="G1162">
        <v>5.6202974733273903E-2</v>
      </c>
      <c r="H1162">
        <v>0.54332117788510104</v>
      </c>
      <c r="I1162">
        <v>-1.2281271595657801E-2</v>
      </c>
    </row>
    <row r="1163" spans="1:9" x14ac:dyDescent="0.25">
      <c r="A1163" s="1">
        <v>53.287820518016801</v>
      </c>
      <c r="B1163">
        <v>12.6966012806012</v>
      </c>
      <c r="C1163">
        <v>3.93250043593136</v>
      </c>
      <c r="D1163">
        <v>3.11990840628525</v>
      </c>
      <c r="E1163">
        <v>-0.81521491503588095</v>
      </c>
      <c r="F1163">
        <v>3.5186460028262998E-3</v>
      </c>
      <c r="G1163">
        <v>4.9736568119080102E-2</v>
      </c>
      <c r="H1163">
        <v>0.52887970253224303</v>
      </c>
      <c r="I1163">
        <v>-1.10501179141137E-2</v>
      </c>
    </row>
    <row r="1164" spans="1:9" x14ac:dyDescent="0.25">
      <c r="A1164" s="1">
        <v>59.071175158023799</v>
      </c>
      <c r="B1164">
        <v>12.9392023682906</v>
      </c>
      <c r="C1164">
        <v>3.6174545912100502</v>
      </c>
      <c r="D1164">
        <v>2.7973636354178</v>
      </c>
      <c r="E1164">
        <v>-0.81242018497880597</v>
      </c>
      <c r="F1164">
        <v>3.1137589132362599E-3</v>
      </c>
      <c r="G1164">
        <v>4.3782277937329299E-2</v>
      </c>
      <c r="H1164">
        <v>0.51617618837637602</v>
      </c>
      <c r="I1164">
        <v>-9.7710311848101701E-3</v>
      </c>
    </row>
    <row r="1165" spans="1:9" x14ac:dyDescent="0.25">
      <c r="A1165" s="1">
        <v>65.375131070613804</v>
      </c>
      <c r="B1165">
        <v>13.170265152336601</v>
      </c>
      <c r="C1165">
        <v>3.3340269551875701</v>
      </c>
      <c r="D1165">
        <v>2.5148463437676201</v>
      </c>
      <c r="E1165">
        <v>-0.80652921303292102</v>
      </c>
      <c r="F1165">
        <v>2.49760719777456E-3</v>
      </c>
      <c r="G1165">
        <v>3.8385851317185901E-2</v>
      </c>
      <c r="H1165">
        <v>0.50480394418787999</v>
      </c>
      <c r="I1165">
        <v>-8.5422284257557404E-3</v>
      </c>
    </row>
    <row r="1166" spans="1:9" x14ac:dyDescent="0.25">
      <c r="A1166" s="1">
        <v>72.246375679969702</v>
      </c>
      <c r="B1166">
        <v>13.3921591431215</v>
      </c>
      <c r="C1166">
        <v>3.0793887968008802</v>
      </c>
      <c r="D1166">
        <v>2.2685058818122301</v>
      </c>
      <c r="E1166">
        <v>-0.79777381332995401</v>
      </c>
      <c r="F1166">
        <v>1.77028587933204E-3</v>
      </c>
      <c r="G1166">
        <v>3.3569940707602698E-2</v>
      </c>
      <c r="H1166">
        <v>0.49449539171602902</v>
      </c>
      <c r="I1166">
        <v>-7.4244898251815596E-3</v>
      </c>
    </row>
    <row r="1167" spans="1:9" x14ac:dyDescent="0.25">
      <c r="A1167" s="1">
        <v>79.736069738864799</v>
      </c>
      <c r="B1167">
        <v>13.6068443060233</v>
      </c>
      <c r="C1167">
        <v>2.8500315281180701</v>
      </c>
      <c r="D1167">
        <v>2.0535217027586299</v>
      </c>
      <c r="E1167">
        <v>-0.78629146993078503</v>
      </c>
      <c r="F1167">
        <v>1.1088678024292599E-3</v>
      </c>
      <c r="G1167">
        <v>2.9292402309607501E-2</v>
      </c>
      <c r="H1167">
        <v>0.48480398572125</v>
      </c>
      <c r="I1167">
        <v>-6.4245822650631397E-3</v>
      </c>
    </row>
    <row r="1168" spans="1:9" x14ac:dyDescent="0.25">
      <c r="A1168" s="1">
        <v>87.899753153324099</v>
      </c>
      <c r="B1168">
        <v>13.8158919565692</v>
      </c>
      <c r="C1168">
        <v>2.6422325321929199</v>
      </c>
      <c r="D1168">
        <v>1.86534115004464</v>
      </c>
      <c r="E1168">
        <v>-0.77212446131852996</v>
      </c>
      <c r="F1168">
        <v>7.2389281237406598E-4</v>
      </c>
      <c r="G1168">
        <v>2.5513585286683401E-2</v>
      </c>
      <c r="H1168">
        <v>0.47560999127296599</v>
      </c>
      <c r="I1168">
        <v>-5.5487427579931298E-3</v>
      </c>
    </row>
    <row r="1169" spans="1:9" x14ac:dyDescent="0.25">
      <c r="A1169" s="1">
        <v>96.798263192176805</v>
      </c>
      <c r="B1169">
        <v>14.020522371710801</v>
      </c>
      <c r="C1169">
        <v>2.45262857769682</v>
      </c>
      <c r="D1169">
        <v>1.6999060084342601</v>
      </c>
      <c r="E1169">
        <v>-0.75534800200679597</v>
      </c>
      <c r="F1169">
        <v>7.9795280840670897E-4</v>
      </c>
      <c r="G1169">
        <v>2.21869231163529E-2</v>
      </c>
      <c r="H1169">
        <v>0.46666431272272602</v>
      </c>
      <c r="I1169">
        <v>-4.7862221096284397E-3</v>
      </c>
    </row>
    <row r="1170" spans="1:9" x14ac:dyDescent="0.25">
      <c r="A1170" s="1">
        <v>106.497616767883</v>
      </c>
      <c r="B1170">
        <v>14.2217844881429</v>
      </c>
      <c r="C1170">
        <v>2.2778312534170801</v>
      </c>
      <c r="D1170">
        <v>1.55349429095665</v>
      </c>
      <c r="E1170">
        <v>-0.73587078597372801</v>
      </c>
      <c r="F1170">
        <v>1.06084744561054E-3</v>
      </c>
      <c r="G1170">
        <v>1.9272800574221899E-2</v>
      </c>
      <c r="H1170">
        <v>0.45796203528058099</v>
      </c>
      <c r="I1170">
        <v>-4.1291528430066997E-3</v>
      </c>
    </row>
    <row r="1171" spans="1:9" x14ac:dyDescent="0.25">
      <c r="A1171" s="1">
        <v>117.06990510225199</v>
      </c>
      <c r="B1171">
        <v>14.420844255419</v>
      </c>
      <c r="C1171">
        <v>2.1138458279789201</v>
      </c>
      <c r="D1171">
        <v>1.4219091726738999</v>
      </c>
      <c r="E1171">
        <v>-0.71345715472442595</v>
      </c>
      <c r="F1171">
        <v>1.2419298241643101E-3</v>
      </c>
      <c r="G1171">
        <v>1.6726838038531099E-2</v>
      </c>
      <c r="H1171">
        <v>0.450099214219984</v>
      </c>
      <c r="I1171">
        <v>-3.5637263064241301E-3</v>
      </c>
    </row>
    <row r="1172" spans="1:9" x14ac:dyDescent="0.25">
      <c r="A1172" s="1">
        <v>128.593670427799</v>
      </c>
      <c r="B1172">
        <v>14.6186461344673</v>
      </c>
      <c r="C1172">
        <v>1.9586483251356901</v>
      </c>
      <c r="D1172">
        <v>1.30241599606128</v>
      </c>
      <c r="E1172">
        <v>-0.68814421051427799</v>
      </c>
      <c r="F1172">
        <v>1.53278926717558E-3</v>
      </c>
      <c r="G1172">
        <v>1.4472391021093701E-2</v>
      </c>
      <c r="H1172">
        <v>0.44267024736042798</v>
      </c>
      <c r="I1172">
        <v>-3.0599610711355301E-3</v>
      </c>
    </row>
    <row r="1173" spans="1:9" x14ac:dyDescent="0.25">
      <c r="A1173" s="1">
        <v>141.15461230278001</v>
      </c>
      <c r="B1173">
        <v>14.8156122073843</v>
      </c>
      <c r="C1173">
        <v>1.81035397334054</v>
      </c>
      <c r="D1173">
        <v>1.19286075470206</v>
      </c>
      <c r="E1173">
        <v>-0.65971577296719097</v>
      </c>
      <c r="F1173">
        <v>2.1610346908657999E-3</v>
      </c>
      <c r="G1173">
        <v>1.24605826615206E-2</v>
      </c>
      <c r="H1173">
        <v>0.43546737531690899</v>
      </c>
      <c r="I1173">
        <v>-2.6089268524968098E-3</v>
      </c>
    </row>
    <row r="1174" spans="1:9" x14ac:dyDescent="0.25">
      <c r="A1174" s="1">
        <v>154.84601140022201</v>
      </c>
      <c r="B1174">
        <v>15.0115502387597</v>
      </c>
      <c r="C1174">
        <v>1.6674793054483901</v>
      </c>
      <c r="D1174">
        <v>1.09097927841952</v>
      </c>
      <c r="E1174">
        <v>-0.62799467528623698</v>
      </c>
      <c r="F1174">
        <v>2.27732335297255E-3</v>
      </c>
      <c r="G1174">
        <v>1.0656060453392501E-2</v>
      </c>
      <c r="H1174">
        <v>0.42798877060683299</v>
      </c>
      <c r="I1174">
        <v>-2.2035543907884601E-3</v>
      </c>
    </row>
    <row r="1175" spans="1:9" x14ac:dyDescent="0.25">
      <c r="A1175" s="1">
        <v>169.76969480514501</v>
      </c>
      <c r="B1175">
        <v>15.206401722164401</v>
      </c>
      <c r="C1175">
        <v>1.5276906040254601</v>
      </c>
      <c r="D1175">
        <v>0.99452794053714899</v>
      </c>
      <c r="E1175">
        <v>-0.59251726953880401</v>
      </c>
      <c r="F1175">
        <v>1.89712230355952E-3</v>
      </c>
      <c r="G1175">
        <v>9.0417058776456095E-3</v>
      </c>
      <c r="H1175">
        <v>0.42052930158767099</v>
      </c>
      <c r="I1175">
        <v>-1.84084865905396E-3</v>
      </c>
    </row>
    <row r="1176" spans="1:9" x14ac:dyDescent="0.25">
      <c r="A1176" s="1">
        <v>186.03645980358101</v>
      </c>
      <c r="B1176">
        <v>15.400697394491701</v>
      </c>
      <c r="C1176">
        <v>1.38913471544748</v>
      </c>
      <c r="D1176">
        <v>0.90176064617865603</v>
      </c>
      <c r="E1176">
        <v>-0.55280453366401305</v>
      </c>
      <c r="F1176">
        <v>1.7190477553495501E-3</v>
      </c>
      <c r="G1176">
        <v>7.5976021229807802E-3</v>
      </c>
      <c r="H1176">
        <v>0.41362222347748001</v>
      </c>
      <c r="I1176">
        <v>-1.5191199730502901E-3</v>
      </c>
    </row>
    <row r="1177" spans="1:9" x14ac:dyDescent="0.25">
      <c r="A1177" s="1">
        <v>203.76720398664401</v>
      </c>
      <c r="B1177">
        <v>15.593985920430599</v>
      </c>
      <c r="C1177">
        <v>1.2517754436311499</v>
      </c>
      <c r="D1177">
        <v>0.81103405784399696</v>
      </c>
      <c r="E1177">
        <v>-0.50874884703063605</v>
      </c>
      <c r="F1177">
        <v>1.48239638454302E-3</v>
      </c>
      <c r="G1177">
        <v>6.2988124216877099E-3</v>
      </c>
      <c r="H1177">
        <v>0.40632675736684998</v>
      </c>
      <c r="I1177">
        <v>-1.23201929096351E-3</v>
      </c>
    </row>
    <row r="1178" spans="1:9" x14ac:dyDescent="0.25">
      <c r="A1178" s="1">
        <v>223.09376105666101</v>
      </c>
      <c r="B1178">
        <v>15.7846165828719</v>
      </c>
      <c r="C1178">
        <v>1.1146216167777201</v>
      </c>
      <c r="D1178">
        <v>0.72133948904544998</v>
      </c>
      <c r="E1178">
        <v>-0.45989625202865603</v>
      </c>
      <c r="F1178">
        <v>1.1569830334701801E-3</v>
      </c>
      <c r="G1178">
        <v>5.1202840317795002E-3</v>
      </c>
      <c r="H1178">
        <v>0.39892792592984899</v>
      </c>
      <c r="I1178">
        <v>-9.6958859477110602E-4</v>
      </c>
    </row>
    <row r="1179" spans="1:9" x14ac:dyDescent="0.25">
      <c r="A1179" s="1">
        <v>244.15970131754801</v>
      </c>
      <c r="B1179">
        <v>15.971185227514701</v>
      </c>
      <c r="C1179">
        <v>0.97672133512349002</v>
      </c>
      <c r="D1179">
        <v>0.63101056499008601</v>
      </c>
      <c r="E1179">
        <v>-0.40564557987495697</v>
      </c>
      <c r="F1179">
        <v>3.7034924593754199E-4</v>
      </c>
      <c r="G1179">
        <v>4.0619621465893098E-3</v>
      </c>
      <c r="H1179">
        <v>0.392041066257522</v>
      </c>
      <c r="I1179">
        <v>-7.3574430168360701E-4</v>
      </c>
    </row>
    <row r="1180" spans="1:9" x14ac:dyDescent="0.25">
      <c r="A1180" s="1">
        <v>267.12157949805197</v>
      </c>
      <c r="B1180">
        <v>16.150845934481801</v>
      </c>
      <c r="C1180">
        <v>0.83895610921088903</v>
      </c>
      <c r="D1180">
        <v>0.54089396981176197</v>
      </c>
      <c r="E1180">
        <v>-0.34563691600394297</v>
      </c>
      <c r="F1180">
        <v>-6.4941666268353998E-4</v>
      </c>
      <c r="G1180">
        <v>3.1341297732413202E-3</v>
      </c>
      <c r="H1180">
        <v>0.38616523745684</v>
      </c>
      <c r="I1180">
        <v>-5.3834159751917304E-4</v>
      </c>
    </row>
    <row r="1181" spans="1:9" x14ac:dyDescent="0.25">
      <c r="A1181" s="1">
        <v>292.15002954006098</v>
      </c>
      <c r="B1181">
        <v>16.318897294284302</v>
      </c>
      <c r="C1181">
        <v>0.70175256639324501</v>
      </c>
      <c r="D1181">
        <v>0.449885464837043</v>
      </c>
      <c r="E1181">
        <v>-0.279356354463136</v>
      </c>
      <c r="F1181">
        <v>-1.2104888371799901E-3</v>
      </c>
      <c r="G1181">
        <v>2.3415464410615002E-3</v>
      </c>
      <c r="H1181">
        <v>0.38252157019822303</v>
      </c>
      <c r="I1181">
        <v>-3.7872344881233899E-4</v>
      </c>
    </row>
    <row r="1182" spans="1:9" x14ac:dyDescent="0.25">
      <c r="A1182" s="1">
        <v>319.43101242184599</v>
      </c>
      <c r="B1182">
        <v>16.465915592791099</v>
      </c>
      <c r="C1182">
        <v>0.57233786989115099</v>
      </c>
      <c r="D1182">
        <v>0.36230373193681897</v>
      </c>
      <c r="E1182">
        <v>-0.20648487527232201</v>
      </c>
      <c r="F1182">
        <v>-9.1838735345203999E-4</v>
      </c>
      <c r="G1182">
        <v>1.70079580798622E-3</v>
      </c>
      <c r="H1182">
        <v>0.382404438949208</v>
      </c>
      <c r="I1182">
        <v>-2.6139405797524502E-4</v>
      </c>
    </row>
    <row r="1183" spans="1:9" x14ac:dyDescent="0.25">
      <c r="A1183" s="1">
        <v>349.16732590645501</v>
      </c>
      <c r="B1183">
        <v>16.579973876507498</v>
      </c>
      <c r="C1183">
        <v>0.46485703416126001</v>
      </c>
      <c r="D1183">
        <v>0.28755539635699701</v>
      </c>
      <c r="E1183">
        <v>-0.12571984149610499</v>
      </c>
      <c r="F1183">
        <v>-1.0430020543741501E-3</v>
      </c>
      <c r="G1183">
        <v>1.25844550326779E-3</v>
      </c>
      <c r="H1183">
        <v>0.386918932704654</v>
      </c>
      <c r="I1183">
        <v>-1.9170691488871699E-4</v>
      </c>
    </row>
    <row r="1184" spans="1:9" x14ac:dyDescent="0.25">
      <c r="A1184" s="1">
        <v>379.83785875141598</v>
      </c>
      <c r="B1184">
        <v>16.6401937082722</v>
      </c>
      <c r="C1184">
        <v>0.40349480131376397</v>
      </c>
      <c r="D1184">
        <v>0.243817133482919</v>
      </c>
      <c r="E1184">
        <v>-4.1500575869937502E-2</v>
      </c>
      <c r="F1184">
        <v>-1.37606061216229E-3</v>
      </c>
      <c r="G1184">
        <v>1.0283636169881199E-3</v>
      </c>
      <c r="H1184">
        <v>0.407710563942495</v>
      </c>
      <c r="I1184">
        <v>-1.5219194453855699E-4</v>
      </c>
    </row>
    <row r="1185" spans="1:9" x14ac:dyDescent="0.25">
      <c r="A1185" s="1" t="s">
        <v>539</v>
      </c>
      <c r="B1185" s="1" t="s">
        <v>614</v>
      </c>
      <c r="C1185" s="1" t="s">
        <v>615</v>
      </c>
      <c r="D1185" s="1" t="s">
        <v>616</v>
      </c>
      <c r="E1185" s="1" t="s">
        <v>617</v>
      </c>
      <c r="F1185" s="1" t="s">
        <v>618</v>
      </c>
      <c r="G1185" s="1" t="s">
        <v>400</v>
      </c>
      <c r="H1185" s="1" t="s">
        <v>619</v>
      </c>
      <c r="I1185" s="1" t="s">
        <v>613</v>
      </c>
    </row>
    <row r="1186" spans="1:9" x14ac:dyDescent="0.25">
      <c r="A1186" s="1">
        <v>-141.555516719818</v>
      </c>
      <c r="B1186">
        <v>-7.1363360576636801</v>
      </c>
      <c r="C1186">
        <v>3.7391219645096902E-3</v>
      </c>
      <c r="D1186">
        <v>0</v>
      </c>
      <c r="E1186">
        <v>0</v>
      </c>
      <c r="F1186">
        <v>0</v>
      </c>
      <c r="G1186" s="1">
        <v>4.6788363931682399E-7</v>
      </c>
      <c r="H1186">
        <v>2.6353024382707799E-2</v>
      </c>
      <c r="I1186">
        <v>0</v>
      </c>
    </row>
    <row r="1187" spans="1:9" x14ac:dyDescent="0.25">
      <c r="A1187" s="1">
        <v>-128.95890593528699</v>
      </c>
      <c r="B1187">
        <v>-6.5034845501489702</v>
      </c>
      <c r="C1187">
        <v>3.7982571926475101E-3</v>
      </c>
      <c r="D1187">
        <v>0</v>
      </c>
      <c r="E1187">
        <v>0</v>
      </c>
      <c r="F1187">
        <v>0</v>
      </c>
      <c r="G1187" s="1">
        <v>5.8189440320432998E-7</v>
      </c>
      <c r="H1187">
        <v>0.18318412631962799</v>
      </c>
      <c r="I1187">
        <v>0</v>
      </c>
    </row>
    <row r="1188" spans="1:9" x14ac:dyDescent="0.25">
      <c r="A1188" s="1">
        <v>-117.402367591857</v>
      </c>
      <c r="B1188">
        <v>-5.9225115292079504</v>
      </c>
      <c r="C1188">
        <v>3.9133234393816602E-3</v>
      </c>
      <c r="D1188">
        <v>0</v>
      </c>
      <c r="E1188">
        <v>0</v>
      </c>
      <c r="F1188">
        <v>0</v>
      </c>
      <c r="G1188" s="1">
        <v>7.9767953873321999E-7</v>
      </c>
      <c r="H1188">
        <v>0.35425195245543201</v>
      </c>
      <c r="I1188">
        <v>0</v>
      </c>
    </row>
    <row r="1189" spans="1:9" x14ac:dyDescent="0.25">
      <c r="A1189" s="1">
        <v>-106.80001378059301</v>
      </c>
      <c r="B1189">
        <v>-5.3891940843619102</v>
      </c>
      <c r="C1189">
        <v>4.0879926779906501E-3</v>
      </c>
      <c r="D1189">
        <v>0</v>
      </c>
      <c r="E1189">
        <v>0</v>
      </c>
      <c r="F1189">
        <v>0</v>
      </c>
      <c r="G1189" s="1">
        <v>1.1144843323629401E-6</v>
      </c>
      <c r="H1189">
        <v>0.480808006263928</v>
      </c>
      <c r="I1189">
        <v>0</v>
      </c>
    </row>
    <row r="1190" spans="1:9" x14ac:dyDescent="0.25">
      <c r="A1190" s="1">
        <v>-97.073161005973802</v>
      </c>
      <c r="B1190">
        <v>-4.8996467618576904</v>
      </c>
      <c r="C1190">
        <v>4.3286800338476102E-3</v>
      </c>
      <c r="D1190">
        <v>0</v>
      </c>
      <c r="E1190">
        <v>0</v>
      </c>
      <c r="F1190">
        <v>0</v>
      </c>
      <c r="G1190" s="1">
        <v>1.54280340916468E-6</v>
      </c>
      <c r="H1190">
        <v>0.56462811261889601</v>
      </c>
      <c r="I1190">
        <v>0</v>
      </c>
    </row>
    <row r="1191" spans="1:9" x14ac:dyDescent="0.25">
      <c r="A1191" s="1">
        <v>-88.149435520172105</v>
      </c>
      <c r="B1191">
        <v>-4.4502985799990302</v>
      </c>
      <c r="C1191">
        <v>4.64262047629485E-3</v>
      </c>
      <c r="D1191">
        <v>0</v>
      </c>
      <c r="E1191">
        <v>0</v>
      </c>
      <c r="F1191">
        <v>0</v>
      </c>
      <c r="G1191" s="1">
        <v>2.1033831625594201E-6</v>
      </c>
      <c r="H1191">
        <v>0.61879837581401897</v>
      </c>
      <c r="I1191">
        <v>0</v>
      </c>
    </row>
    <row r="1192" spans="1:9" x14ac:dyDescent="0.25">
      <c r="A1192" s="1">
        <v>-79.962490797042804</v>
      </c>
      <c r="B1192">
        <v>-4.0378648206896797</v>
      </c>
      <c r="C1192">
        <v>5.0370660198287799E-3</v>
      </c>
      <c r="D1192">
        <v>0</v>
      </c>
      <c r="E1192">
        <v>0</v>
      </c>
      <c r="F1192">
        <v>0</v>
      </c>
      <c r="G1192" s="1">
        <v>2.8269796763957801E-6</v>
      </c>
      <c r="H1192">
        <v>0.65394847506665299</v>
      </c>
      <c r="I1192">
        <v>0</v>
      </c>
    </row>
    <row r="1193" spans="1:9" x14ac:dyDescent="0.25">
      <c r="A1193" s="1">
        <v>-72.451583743095298</v>
      </c>
      <c r="B1193">
        <v>-3.6593271790377502</v>
      </c>
      <c r="C1193">
        <v>5.51901467820689E-3</v>
      </c>
      <c r="D1193">
        <v>0</v>
      </c>
      <c r="E1193">
        <v>0</v>
      </c>
      <c r="F1193">
        <v>0</v>
      </c>
      <c r="G1193" s="1">
        <v>3.75481888652551E-6</v>
      </c>
      <c r="H1193">
        <v>0.67710545947059497</v>
      </c>
      <c r="I1193">
        <v>0</v>
      </c>
    </row>
    <row r="1194" spans="1:9" x14ac:dyDescent="0.25">
      <c r="A1194" s="1">
        <v>-65.560821294784503</v>
      </c>
      <c r="B1194">
        <v>-3.3119128682024499</v>
      </c>
      <c r="C1194">
        <v>6.0951665941331003E-3</v>
      </c>
      <c r="D1194">
        <v>0</v>
      </c>
      <c r="E1194">
        <v>0</v>
      </c>
      <c r="F1194">
        <v>0</v>
      </c>
      <c r="G1194" s="1">
        <v>4.9398975387759898E-6</v>
      </c>
      <c r="H1194">
        <v>0.69271504604023604</v>
      </c>
      <c r="I1194">
        <v>0</v>
      </c>
    </row>
    <row r="1195" spans="1:9" x14ac:dyDescent="0.25">
      <c r="A1195" s="1">
        <v>-59.238972067832897</v>
      </c>
      <c r="B1195">
        <v>-2.99307163472545</v>
      </c>
      <c r="C1195">
        <v>6.7719653947136199E-3</v>
      </c>
      <c r="D1195">
        <v>0</v>
      </c>
      <c r="E1195">
        <v>0</v>
      </c>
      <c r="F1195">
        <v>0</v>
      </c>
      <c r="G1195" s="1">
        <v>6.4493422692990502E-6</v>
      </c>
      <c r="H1195">
        <v>0.70358835542460296</v>
      </c>
      <c r="I1195">
        <v>0</v>
      </c>
    </row>
    <row r="1196" spans="1:9" x14ac:dyDescent="0.25">
      <c r="A1196" s="1">
        <v>-53.439136743545497</v>
      </c>
      <c r="B1196">
        <v>-2.7004632214389499</v>
      </c>
      <c r="C1196">
        <v>7.5556652543582797E-3</v>
      </c>
      <c r="D1196">
        <v>0</v>
      </c>
      <c r="E1196">
        <v>0</v>
      </c>
      <c r="F1196">
        <v>0</v>
      </c>
      <c r="G1196" s="1">
        <v>8.3681238709676301E-6</v>
      </c>
      <c r="H1196">
        <v>0.71152963874201702</v>
      </c>
      <c r="I1196">
        <v>0</v>
      </c>
    </row>
    <row r="1197" spans="1:9" x14ac:dyDescent="0.25">
      <c r="A1197" s="1">
        <v>-48.118183016777003</v>
      </c>
      <c r="B1197">
        <v>-2.4319354275546701</v>
      </c>
      <c r="C1197">
        <v>8.4524208708399006E-3</v>
      </c>
      <c r="D1197">
        <v>0</v>
      </c>
      <c r="E1197">
        <v>0</v>
      </c>
      <c r="F1197">
        <v>0</v>
      </c>
      <c r="G1197" s="1">
        <v>1.0804542565026E-5</v>
      </c>
      <c r="H1197">
        <v>0.71772476780788796</v>
      </c>
      <c r="I1197">
        <v>0</v>
      </c>
    </row>
    <row r="1198" spans="1:9" x14ac:dyDescent="0.25">
      <c r="A1198" s="1">
        <v>-43.236604332923797</v>
      </c>
      <c r="B1198">
        <v>-2.1855126163296101</v>
      </c>
      <c r="C1198">
        <v>9.4683908539338908E-3</v>
      </c>
      <c r="D1198">
        <v>0</v>
      </c>
      <c r="E1198">
        <v>0</v>
      </c>
      <c r="F1198">
        <v>0</v>
      </c>
      <c r="G1198" s="1">
        <v>1.3897963138003101E-5</v>
      </c>
      <c r="H1198">
        <v>0.72297730193375698</v>
      </c>
      <c r="I1198">
        <v>0</v>
      </c>
    </row>
    <row r="1199" spans="1:9" x14ac:dyDescent="0.25">
      <c r="A1199" s="1">
        <v>-38.758049011230398</v>
      </c>
      <c r="B1199">
        <v>-1.95938004370106</v>
      </c>
      <c r="C1199">
        <v>1.0609881910656101E-2</v>
      </c>
      <c r="D1199">
        <v>0</v>
      </c>
      <c r="E1199">
        <v>0</v>
      </c>
      <c r="F1199">
        <v>0</v>
      </c>
      <c r="G1199" s="1">
        <v>1.78293506136029E-5</v>
      </c>
      <c r="H1199">
        <v>0.72784975224785198</v>
      </c>
      <c r="I1199">
        <v>0</v>
      </c>
    </row>
    <row r="1200" spans="1:9" x14ac:dyDescent="0.25">
      <c r="A1200" s="1">
        <v>-34.649320244789102</v>
      </c>
      <c r="B1200">
        <v>-1.7518723659522599</v>
      </c>
      <c r="C1200">
        <v>1.18835293562392E-2</v>
      </c>
      <c r="D1200">
        <v>0</v>
      </c>
      <c r="E1200">
        <v>0</v>
      </c>
      <c r="F1200">
        <v>0</v>
      </c>
      <c r="G1200" s="1">
        <v>2.2835141651675799E-5</v>
      </c>
      <c r="H1200">
        <v>0.73274517092771896</v>
      </c>
      <c r="I1200">
        <v>0</v>
      </c>
    </row>
    <row r="1201" spans="1:9" x14ac:dyDescent="0.25">
      <c r="A1201" s="1">
        <v>-30.879811048507602</v>
      </c>
      <c r="B1201">
        <v>-1.5614579683474901</v>
      </c>
      <c r="C1201">
        <v>1.32965055679843E-2</v>
      </c>
      <c r="D1201">
        <v>0</v>
      </c>
      <c r="E1201">
        <v>0</v>
      </c>
      <c r="F1201">
        <v>0</v>
      </c>
      <c r="G1201" s="1">
        <v>2.92249011524248E-5</v>
      </c>
      <c r="H1201">
        <v>0.73795142909604405</v>
      </c>
      <c r="I1201">
        <v>0</v>
      </c>
    </row>
    <row r="1202" spans="1:9" x14ac:dyDescent="0.25">
      <c r="A1202" s="1">
        <v>-27.4215984344482</v>
      </c>
      <c r="B1202">
        <v>-1.3867316518284101</v>
      </c>
      <c r="C1202">
        <v>1.4856761970563201E-2</v>
      </c>
      <c r="D1202">
        <v>0</v>
      </c>
      <c r="E1202">
        <v>0</v>
      </c>
      <c r="F1202">
        <v>0</v>
      </c>
      <c r="G1202" s="1">
        <v>3.7403087112402003E-5</v>
      </c>
      <c r="H1202">
        <v>0.74366352443856998</v>
      </c>
      <c r="I1202">
        <v>0</v>
      </c>
    </row>
    <row r="1203" spans="1:9" x14ac:dyDescent="0.25">
      <c r="A1203" s="1">
        <v>-24.248878359794599</v>
      </c>
      <c r="B1203">
        <v>-1.2264041854373799</v>
      </c>
      <c r="C1203">
        <v>1.6573260403028301E-2</v>
      </c>
      <c r="D1203">
        <v>0</v>
      </c>
      <c r="E1203">
        <v>0</v>
      </c>
      <c r="F1203">
        <v>0</v>
      </c>
      <c r="G1203" s="1">
        <v>4.7895178776755601E-5</v>
      </c>
      <c r="H1203">
        <v>0.74999530652373203</v>
      </c>
      <c r="I1203">
        <v>0</v>
      </c>
    </row>
    <row r="1204" spans="1:9" x14ac:dyDescent="0.25">
      <c r="A1204" s="1">
        <v>-21.3381540775299</v>
      </c>
      <c r="B1204">
        <v>-1.0792897692255401</v>
      </c>
      <c r="C1204">
        <v>1.8456193308672299E-2</v>
      </c>
      <c r="D1204">
        <v>0</v>
      </c>
      <c r="E1204">
        <v>0</v>
      </c>
      <c r="F1204">
        <v>0</v>
      </c>
      <c r="G1204" s="1">
        <v>6.1378208990134898E-5</v>
      </c>
      <c r="H1204">
        <v>0.75698812022895201</v>
      </c>
      <c r="I1204">
        <v>0</v>
      </c>
    </row>
    <row r="1205" spans="1:9" x14ac:dyDescent="0.25">
      <c r="A1205" s="1">
        <v>-18.6677181720733</v>
      </c>
      <c r="B1205">
        <v>-0.94430289997977701</v>
      </c>
      <c r="C1205">
        <v>2.0517141332845899E-2</v>
      </c>
      <c r="D1205">
        <v>0</v>
      </c>
      <c r="E1205">
        <v>0</v>
      </c>
      <c r="F1205">
        <v>0</v>
      </c>
      <c r="G1205" s="1">
        <v>7.87157526414006E-5</v>
      </c>
      <c r="H1205">
        <v>0.76462145614672605</v>
      </c>
      <c r="I1205">
        <v>0</v>
      </c>
    </row>
    <row r="1206" spans="1:9" x14ac:dyDescent="0.25">
      <c r="A1206" s="1">
        <v>-16.2178409099578</v>
      </c>
      <c r="B1206">
        <v>-0.82044478937310705</v>
      </c>
      <c r="C1206">
        <v>2.2769153798439901E-2</v>
      </c>
      <c r="D1206">
        <v>0</v>
      </c>
      <c r="E1206">
        <v>0</v>
      </c>
      <c r="F1206">
        <v>0</v>
      </c>
      <c r="G1206" s="1">
        <v>1.00997452504998E-4</v>
      </c>
      <c r="H1206">
        <v>0.77282716011143204</v>
      </c>
      <c r="I1206">
        <v>0</v>
      </c>
    </row>
    <row r="1207" spans="1:9" x14ac:dyDescent="0.25">
      <c r="A1207" s="1">
        <v>-13.9702051877975</v>
      </c>
      <c r="B1207">
        <v>-0.70679918493402705</v>
      </c>
      <c r="C1207">
        <v>2.52267386464495E-2</v>
      </c>
      <c r="D1207">
        <v>0</v>
      </c>
      <c r="E1207">
        <v>0</v>
      </c>
      <c r="F1207">
        <v>0</v>
      </c>
      <c r="G1207">
        <v>1.2958321236126801E-4</v>
      </c>
      <c r="H1207">
        <v>0.78150560897795895</v>
      </c>
      <c r="I1207">
        <v>0</v>
      </c>
    </row>
    <row r="1208" spans="1:9" x14ac:dyDescent="0.25">
      <c r="A1208" s="1">
        <v>-11.908189058303799</v>
      </c>
      <c r="B1208">
        <v>-0.60252505674285395</v>
      </c>
      <c r="C1208">
        <v>2.79057316633173E-2</v>
      </c>
      <c r="D1208">
        <v>0</v>
      </c>
      <c r="E1208">
        <v>0</v>
      </c>
      <c r="F1208">
        <v>0</v>
      </c>
      <c r="G1208">
        <v>1.66152499859606E-4</v>
      </c>
      <c r="H1208">
        <v>0.79054209640456397</v>
      </c>
      <c r="I1208">
        <v>0</v>
      </c>
    </row>
    <row r="1209" spans="1:9" x14ac:dyDescent="0.25">
      <c r="A1209" s="1">
        <v>-10.016394853591899</v>
      </c>
      <c r="B1209">
        <v>-0.50684928412807695</v>
      </c>
      <c r="C1209">
        <v>3.0823055054487899E-2</v>
      </c>
      <c r="D1209">
        <v>0</v>
      </c>
      <c r="E1209">
        <v>0</v>
      </c>
      <c r="F1209">
        <v>0</v>
      </c>
      <c r="G1209">
        <v>2.12759572241338E-4</v>
      </c>
      <c r="H1209">
        <v>0.79982066349408198</v>
      </c>
      <c r="I1209">
        <v>0</v>
      </c>
    </row>
    <row r="1210" spans="1:9" x14ac:dyDescent="0.25">
      <c r="A1210" s="1">
        <v>-8.2808375358581507</v>
      </c>
      <c r="B1210">
        <v>-0.41906561090869399</v>
      </c>
      <c r="C1210">
        <v>3.3996373188180801E-2</v>
      </c>
      <c r="D1210">
        <v>0</v>
      </c>
      <c r="E1210">
        <v>0</v>
      </c>
      <c r="F1210">
        <v>0</v>
      </c>
      <c r="G1210">
        <v>2.7189617326854398E-4</v>
      </c>
      <c r="H1210">
        <v>0.80923418864266605</v>
      </c>
      <c r="I1210">
        <v>0</v>
      </c>
    </row>
    <row r="1211" spans="1:9" x14ac:dyDescent="0.25">
      <c r="A1211" s="1">
        <v>-6.6885209083557102</v>
      </c>
      <c r="B1211">
        <v>-0.33852315305990699</v>
      </c>
      <c r="C1211">
        <v>3.7443683511692603E-2</v>
      </c>
      <c r="D1211">
        <v>0</v>
      </c>
      <c r="E1211">
        <v>0</v>
      </c>
      <c r="F1211">
        <v>0</v>
      </c>
      <c r="G1211">
        <v>3.4656404569716399E-4</v>
      </c>
      <c r="H1211">
        <v>0.81869040093991396</v>
      </c>
      <c r="I1211">
        <v>0</v>
      </c>
    </row>
    <row r="1212" spans="1:9" x14ac:dyDescent="0.25">
      <c r="A1212" s="1">
        <v>-5.2277201414108196</v>
      </c>
      <c r="B1212">
        <v>-0.26462430919779001</v>
      </c>
      <c r="C1212">
        <v>4.1182822521356403E-2</v>
      </c>
      <c r="D1212">
        <v>0</v>
      </c>
      <c r="E1212">
        <v>0</v>
      </c>
      <c r="F1212">
        <v>0</v>
      </c>
      <c r="G1212">
        <v>4.4036152270507498E-4</v>
      </c>
      <c r="H1212">
        <v>0.82811432950486796</v>
      </c>
      <c r="I1212">
        <v>0</v>
      </c>
    </row>
    <row r="1213" spans="1:9" x14ac:dyDescent="0.25">
      <c r="A1213" s="1">
        <v>-3.88755798339843</v>
      </c>
      <c r="B1213">
        <v>-0.196822671063966</v>
      </c>
      <c r="C1213">
        <v>4.5230985145082302E-2</v>
      </c>
      <c r="D1213">
        <v>0</v>
      </c>
      <c r="E1213">
        <v>0</v>
      </c>
      <c r="F1213">
        <v>0</v>
      </c>
      <c r="G1213">
        <v>5.5761472400717995E-4</v>
      </c>
      <c r="H1213">
        <v>0.837455614561183</v>
      </c>
      <c r="I1213">
        <v>0</v>
      </c>
    </row>
    <row r="1214" spans="1:9" x14ac:dyDescent="0.25">
      <c r="A1214" s="1">
        <v>-2.6580518484115601</v>
      </c>
      <c r="B1214">
        <v>-0.134613620706625</v>
      </c>
      <c r="C1214">
        <v>4.9604143530545597E-2</v>
      </c>
      <c r="D1214">
        <v>0</v>
      </c>
      <c r="E1214">
        <v>0</v>
      </c>
      <c r="F1214">
        <v>0</v>
      </c>
      <c r="G1214">
        <v>7.0328674508346001E-4</v>
      </c>
      <c r="H1214">
        <v>0.846629204117747</v>
      </c>
      <c r="I1214">
        <v>0</v>
      </c>
    </row>
    <row r="1215" spans="1:9" x14ac:dyDescent="0.25">
      <c r="A1215" s="1">
        <v>-1.5300196409225399</v>
      </c>
      <c r="B1215">
        <v>-7.7538509511180104E-2</v>
      </c>
      <c r="C1215">
        <v>5.4317091753787398E-2</v>
      </c>
      <c r="D1215">
        <v>0</v>
      </c>
      <c r="E1215">
        <v>0</v>
      </c>
      <c r="F1215">
        <v>0</v>
      </c>
      <c r="G1215">
        <v>8.8294266573257102E-4</v>
      </c>
      <c r="H1215">
        <v>0.85553419857284596</v>
      </c>
      <c r="I1215">
        <v>0</v>
      </c>
    </row>
    <row r="1216" spans="1:9" x14ac:dyDescent="0.25">
      <c r="A1216" s="1">
        <v>-0.49517393112182601</v>
      </c>
      <c r="B1216">
        <v>-2.5172121108300801E-2</v>
      </c>
      <c r="C1216">
        <v>5.9382200684679698E-2</v>
      </c>
      <c r="D1216">
        <v>0</v>
      </c>
      <c r="E1216">
        <v>0</v>
      </c>
      <c r="F1216">
        <v>0</v>
      </c>
      <c r="G1216">
        <v>1.10485942860805E-3</v>
      </c>
      <c r="H1216">
        <v>0.86434719734618004</v>
      </c>
      <c r="I1216">
        <v>0</v>
      </c>
    </row>
    <row r="1217" spans="1:9" x14ac:dyDescent="0.25">
      <c r="A1217" s="1">
        <v>0.49376130104064903</v>
      </c>
      <c r="B1217">
        <v>0.35324014962392303</v>
      </c>
      <c r="C1217">
        <v>0.12075110852629101</v>
      </c>
      <c r="D1217">
        <v>5.6095748096716601E-2</v>
      </c>
      <c r="E1217">
        <v>-1.04958325138053E-4</v>
      </c>
      <c r="F1217" s="1">
        <v>6.8149434728179796E-6</v>
      </c>
      <c r="G1217">
        <v>0.10949429030352099</v>
      </c>
      <c r="H1217">
        <v>0.99793085674555404</v>
      </c>
      <c r="I1217" s="1">
        <v>1.05193546394883E-6</v>
      </c>
    </row>
    <row r="1218" spans="1:9" x14ac:dyDescent="0.25">
      <c r="A1218" s="1">
        <v>1.5257111191749499</v>
      </c>
      <c r="B1218">
        <v>1.0911164437115399</v>
      </c>
      <c r="C1218">
        <v>0.36633240420012902</v>
      </c>
      <c r="D1218">
        <v>0.33807867918680101</v>
      </c>
      <c r="E1218">
        <v>-1.78645211185591E-3</v>
      </c>
      <c r="F1218" s="1">
        <v>9.4743211022771005E-5</v>
      </c>
      <c r="G1218">
        <v>0.112715777937439</v>
      </c>
      <c r="H1218">
        <v>0.99218026550096605</v>
      </c>
      <c r="I1218" s="1">
        <v>2.5799175340717699E-5</v>
      </c>
    </row>
    <row r="1219" spans="1:9" x14ac:dyDescent="0.25">
      <c r="A1219" s="1">
        <v>2.6505178213119498</v>
      </c>
      <c r="B1219">
        <v>1.89126760788934</v>
      </c>
      <c r="C1219">
        <v>0.82239339668453104</v>
      </c>
      <c r="D1219">
        <v>0.89665790054914296</v>
      </c>
      <c r="E1219">
        <v>-9.51494865763532E-3</v>
      </c>
      <c r="F1219">
        <v>2.9494846268408398E-4</v>
      </c>
      <c r="G1219">
        <v>0.113543937975406</v>
      </c>
      <c r="H1219">
        <v>0.981127798013265</v>
      </c>
      <c r="I1219">
        <v>1.17898814979191E-4</v>
      </c>
    </row>
    <row r="1220" spans="1:9" x14ac:dyDescent="0.25">
      <c r="A1220" s="1">
        <v>3.8765159249305698</v>
      </c>
      <c r="B1220">
        <v>2.75076414166691</v>
      </c>
      <c r="C1220">
        <v>1.5200327717940201</v>
      </c>
      <c r="D1220">
        <v>1.7678231872786501</v>
      </c>
      <c r="E1220">
        <v>-2.8841515556299799E-2</v>
      </c>
      <c r="F1220">
        <v>6.06545420088872E-4</v>
      </c>
      <c r="G1220">
        <v>0.111268013206563</v>
      </c>
      <c r="H1220">
        <v>0.96293260871226904</v>
      </c>
      <c r="I1220">
        <v>2.7033407007880501E-4</v>
      </c>
    </row>
    <row r="1221" spans="1:9" x14ac:dyDescent="0.25">
      <c r="A1221" s="1">
        <v>5.2129346132278398</v>
      </c>
      <c r="B1221">
        <v>3.6593611513890498</v>
      </c>
      <c r="C1221">
        <v>2.45039844114965</v>
      </c>
      <c r="D1221">
        <v>2.9219326738178601</v>
      </c>
      <c r="E1221">
        <v>-6.5425702739033503E-2</v>
      </c>
      <c r="F1221">
        <v>9.8939021080414209E-4</v>
      </c>
      <c r="G1221">
        <v>0.105812252963273</v>
      </c>
      <c r="H1221">
        <v>0.93532223198133402</v>
      </c>
      <c r="I1221">
        <v>5.0096528715577997E-4</v>
      </c>
    </row>
    <row r="1222" spans="1:9" x14ac:dyDescent="0.25">
      <c r="A1222" s="1">
        <v>6.6695916652679399</v>
      </c>
      <c r="B1222">
        <v>4.5979301689818701</v>
      </c>
      <c r="C1222">
        <v>3.54063934907767</v>
      </c>
      <c r="D1222">
        <v>4.2330192062176097</v>
      </c>
      <c r="E1222">
        <v>-0.12237323086882899</v>
      </c>
      <c r="F1222">
        <v>1.3575649174708401E-3</v>
      </c>
      <c r="G1222">
        <v>9.9145846825035397E-2</v>
      </c>
      <c r="H1222">
        <v>0.89750798258320497</v>
      </c>
      <c r="I1222">
        <v>1.1607913044713199E-3</v>
      </c>
    </row>
    <row r="1223" spans="1:9" x14ac:dyDescent="0.25">
      <c r="A1223" s="1">
        <v>8.2573878765106201</v>
      </c>
      <c r="B1223">
        <v>5.5396282357789701</v>
      </c>
      <c r="C1223">
        <v>4.6568146791542304</v>
      </c>
      <c r="D1223">
        <v>5.5008262657906002</v>
      </c>
      <c r="E1223">
        <v>-0.197985878278644</v>
      </c>
      <c r="F1223">
        <v>1.6085675278015401E-3</v>
      </c>
      <c r="G1223">
        <v>9.4729814260036099E-2</v>
      </c>
      <c r="H1223">
        <v>0.85383549095553601</v>
      </c>
      <c r="I1223">
        <v>3.29031116150471E-3</v>
      </c>
    </row>
    <row r="1224" spans="1:9" x14ac:dyDescent="0.25">
      <c r="A1224" s="1">
        <v>9.9880245327949506</v>
      </c>
      <c r="B1224">
        <v>6.4546162893224697</v>
      </c>
      <c r="C1224">
        <v>5.6462027120201101</v>
      </c>
      <c r="D1224">
        <v>6.5282813187234403</v>
      </c>
      <c r="E1224">
        <v>-0.28570839371844903</v>
      </c>
      <c r="F1224">
        <v>1.662086951598E-3</v>
      </c>
      <c r="G1224">
        <v>9.4914544329957301E-2</v>
      </c>
      <c r="H1224">
        <v>0.81310888232619405</v>
      </c>
      <c r="I1224">
        <v>7.2896014425549403E-3</v>
      </c>
    </row>
    <row r="1225" spans="1:9" x14ac:dyDescent="0.25">
      <c r="A1225" s="1">
        <v>11.874474287032999</v>
      </c>
      <c r="B1225">
        <v>7.3168874382667397</v>
      </c>
      <c r="C1225">
        <v>6.3948372895980103</v>
      </c>
      <c r="D1225">
        <v>7.1990723968596901</v>
      </c>
      <c r="E1225">
        <v>-0.37684396433408601</v>
      </c>
      <c r="F1225">
        <v>1.50908751828768E-3</v>
      </c>
      <c r="G1225">
        <v>9.8816347524044904E-2</v>
      </c>
      <c r="H1225">
        <v>0.78035596294811105</v>
      </c>
      <c r="I1225">
        <v>1.0589924394926099E-2</v>
      </c>
    </row>
    <row r="1226" spans="1:9" x14ac:dyDescent="0.25">
      <c r="A1226" s="1">
        <v>13.9306750893592</v>
      </c>
      <c r="B1226">
        <v>8.1094165729053493</v>
      </c>
      <c r="C1226">
        <v>6.8577522894363696</v>
      </c>
      <c r="D1226">
        <v>7.4986525062017</v>
      </c>
      <c r="E1226">
        <v>-0.46384412438710299</v>
      </c>
      <c r="F1226">
        <v>1.2231002201007501E-3</v>
      </c>
      <c r="G1226">
        <v>0.103410937581149</v>
      </c>
      <c r="H1226">
        <v>0.75394238213838105</v>
      </c>
      <c r="I1226">
        <v>1.02485453567615E-2</v>
      </c>
    </row>
    <row r="1227" spans="1:9" x14ac:dyDescent="0.25">
      <c r="A1227" s="1">
        <v>16.171883344650201</v>
      </c>
      <c r="B1227">
        <v>8.8251394336970694</v>
      </c>
      <c r="C1227">
        <v>7.0499675123606904</v>
      </c>
      <c r="D1227">
        <v>7.4827699353217598</v>
      </c>
      <c r="E1227">
        <v>-0.54191036045559804</v>
      </c>
      <c r="F1227">
        <v>9.3181810985911698E-4</v>
      </c>
      <c r="G1227">
        <v>0.10603124772770101</v>
      </c>
      <c r="H1227">
        <v>0.73043024343076302</v>
      </c>
      <c r="I1227">
        <v>6.3599716090815897E-3</v>
      </c>
    </row>
    <row r="1228" spans="1:9" x14ac:dyDescent="0.25">
      <c r="A1228" s="1">
        <v>18.614838719367899</v>
      </c>
      <c r="B1228">
        <v>9.4647263306295208</v>
      </c>
      <c r="C1228">
        <v>7.0195341888866203</v>
      </c>
      <c r="D1228">
        <v>7.2339476716032403</v>
      </c>
      <c r="E1228">
        <v>-0.60889669511786604</v>
      </c>
      <c r="F1228">
        <v>7.6807490143973795E-4</v>
      </c>
      <c r="G1228">
        <v>0.105592858748183</v>
      </c>
      <c r="H1228">
        <v>0.70765171794187798</v>
      </c>
      <c r="I1228">
        <v>9.5556854965186705E-4</v>
      </c>
    </row>
    <row r="1229" spans="1:9" x14ac:dyDescent="0.25">
      <c r="A1229" s="1">
        <v>21.2777170538902</v>
      </c>
      <c r="B1229">
        <v>10.0334698591105</v>
      </c>
      <c r="C1229">
        <v>6.82399350445972</v>
      </c>
      <c r="D1229">
        <v>6.8322439930207501</v>
      </c>
      <c r="E1229">
        <v>-0.66449821545156096</v>
      </c>
      <c r="F1229">
        <v>8.2563825274670601E-4</v>
      </c>
      <c r="G1229">
        <v>0.10234549108558399</v>
      </c>
      <c r="H1229">
        <v>0.684817226982118</v>
      </c>
      <c r="I1229">
        <v>-4.1922578696453796E-3</v>
      </c>
    </row>
    <row r="1230" spans="1:9" x14ac:dyDescent="0.25">
      <c r="A1230" s="1">
        <v>24.180224537849401</v>
      </c>
      <c r="B1230">
        <v>10.538779097683401</v>
      </c>
      <c r="C1230">
        <v>6.5170032196835503</v>
      </c>
      <c r="D1230">
        <v>6.3429476861650098</v>
      </c>
      <c r="E1230">
        <v>-0.70943276349589601</v>
      </c>
      <c r="F1230">
        <v>1.13537075412388E-3</v>
      </c>
      <c r="G1230">
        <v>9.7117522703058998E-2</v>
      </c>
      <c r="H1230">
        <v>0.66188493745332999</v>
      </c>
      <c r="I1230">
        <v>-8.2604998443116303E-3</v>
      </c>
    </row>
    <row r="1231" spans="1:9" x14ac:dyDescent="0.25">
      <c r="A1231" s="1">
        <v>27.343950867652801</v>
      </c>
      <c r="B1231">
        <v>10.9886677457412</v>
      </c>
      <c r="C1231">
        <v>6.1430596232644499</v>
      </c>
      <c r="D1231">
        <v>5.81460984638918</v>
      </c>
      <c r="E1231">
        <v>-0.74485675166326504</v>
      </c>
      <c r="F1231">
        <v>1.6166057303013601E-3</v>
      </c>
      <c r="G1231">
        <v>9.07306523469701E-2</v>
      </c>
      <c r="H1231">
        <v>0.63914514711552395</v>
      </c>
      <c r="I1231">
        <v>-1.10874650706106E-2</v>
      </c>
    </row>
    <row r="1232" spans="1:9" x14ac:dyDescent="0.25">
      <c r="A1232" s="1">
        <v>30.7923927903175</v>
      </c>
      <c r="B1232">
        <v>11.3910099295826</v>
      </c>
      <c r="C1232">
        <v>5.7365424132285003</v>
      </c>
      <c r="D1232">
        <v>5.2812819473875603</v>
      </c>
      <c r="E1232">
        <v>-0.77203071808960499</v>
      </c>
      <c r="F1232">
        <v>2.1733177235219499E-3</v>
      </c>
      <c r="G1232">
        <v>8.3776452590674899E-2</v>
      </c>
      <c r="H1232">
        <v>0.61701622999171402</v>
      </c>
      <c r="I1232">
        <v>-1.2782503140159E-2</v>
      </c>
    </row>
    <row r="1233" spans="1:9" x14ac:dyDescent="0.25">
      <c r="A1233" s="1">
        <v>34.551213085651298</v>
      </c>
      <c r="B1233">
        <v>11.7531712560376</v>
      </c>
      <c r="C1233">
        <v>5.3225193086704499</v>
      </c>
      <c r="D1233">
        <v>4.7656150959249599</v>
      </c>
      <c r="E1233">
        <v>-0.79216088422979403</v>
      </c>
      <c r="F1233">
        <v>2.7579341747458099E-3</v>
      </c>
      <c r="G1233">
        <v>7.6615991117560303E-2</v>
      </c>
      <c r="H1233">
        <v>0.59593242325442097</v>
      </c>
      <c r="I1233">
        <v>-1.35318911127527E-2</v>
      </c>
    </row>
    <row r="1234" spans="1:9" x14ac:dyDescent="0.25">
      <c r="A1234" s="1">
        <v>38.6483111977577</v>
      </c>
      <c r="B1234">
        <v>12.0818205438714</v>
      </c>
      <c r="C1234">
        <v>4.91810633576151</v>
      </c>
      <c r="D1234">
        <v>4.2816349170345998</v>
      </c>
      <c r="E1234">
        <v>-0.80629578241330102</v>
      </c>
      <c r="F1234">
        <v>3.2386296813579599E-3</v>
      </c>
      <c r="G1234">
        <v>6.9474042434016003E-2</v>
      </c>
      <c r="H1234">
        <v>0.57632506229001501</v>
      </c>
      <c r="I1234">
        <v>-1.3533269818373E-2</v>
      </c>
    </row>
    <row r="1235" spans="1:9" x14ac:dyDescent="0.25">
      <c r="A1235" s="1">
        <v>43.1141293048858</v>
      </c>
      <c r="B1235">
        <v>12.3828836585555</v>
      </c>
      <c r="C1235">
        <v>4.53414257617262</v>
      </c>
      <c r="D1235">
        <v>3.8372745566440001</v>
      </c>
      <c r="E1235">
        <v>-0.81529666492290698</v>
      </c>
      <c r="F1235">
        <v>3.5679470972704401E-3</v>
      </c>
      <c r="G1235">
        <v>6.2500760308481396E-2</v>
      </c>
      <c r="H1235">
        <v>0.55849248868138701</v>
      </c>
      <c r="I1235">
        <v>-1.29745140525285E-2</v>
      </c>
    </row>
    <row r="1236" spans="1:9" x14ac:dyDescent="0.25">
      <c r="A1236" s="1">
        <v>47.981887757778097</v>
      </c>
      <c r="B1236">
        <v>12.6614484393198</v>
      </c>
      <c r="C1236">
        <v>4.1768569037163701</v>
      </c>
      <c r="D1236">
        <v>3.4362710005181998</v>
      </c>
      <c r="E1236">
        <v>-0.819882284351794</v>
      </c>
      <c r="F1236">
        <v>3.6883691669487E-3</v>
      </c>
      <c r="G1236">
        <v>5.5798854635722601E-2</v>
      </c>
      <c r="H1236">
        <v>0.54246548668114403</v>
      </c>
      <c r="I1236">
        <v>-1.2035872005724599E-2</v>
      </c>
    </row>
    <row r="1237" spans="1:9" x14ac:dyDescent="0.25">
      <c r="A1237" s="1">
        <v>53.287820518016801</v>
      </c>
      <c r="B1237">
        <v>12.9217772362448</v>
      </c>
      <c r="C1237">
        <v>3.8488597284158401</v>
      </c>
      <c r="D1237">
        <v>3.0789125717379</v>
      </c>
      <c r="E1237">
        <v>-0.82059720650932999</v>
      </c>
      <c r="F1237">
        <v>3.54484851448618E-3</v>
      </c>
      <c r="G1237">
        <v>4.94734425720285E-2</v>
      </c>
      <c r="H1237">
        <v>0.52823932978058497</v>
      </c>
      <c r="I1237">
        <v>-1.08807468373917E-2</v>
      </c>
    </row>
    <row r="1238" spans="1:9" x14ac:dyDescent="0.25">
      <c r="A1238" s="1">
        <v>59.071175158023799</v>
      </c>
      <c r="B1238">
        <v>13.1674368519962</v>
      </c>
      <c r="C1238">
        <v>3.5504366130467502</v>
      </c>
      <c r="D1238">
        <v>2.7632803864909201</v>
      </c>
      <c r="E1238">
        <v>-0.81785912688575702</v>
      </c>
      <c r="F1238">
        <v>3.09344349091825E-3</v>
      </c>
      <c r="G1238">
        <v>4.3626251837272402E-2</v>
      </c>
      <c r="H1238">
        <v>0.51570460232419502</v>
      </c>
      <c r="I1238">
        <v>-9.6617250807112792E-3</v>
      </c>
    </row>
    <row r="1239" spans="1:9" x14ac:dyDescent="0.25">
      <c r="A1239" s="1">
        <v>65.375131070613804</v>
      </c>
      <c r="B1239">
        <v>13.4013627944208</v>
      </c>
      <c r="C1239">
        <v>3.2806556157648599</v>
      </c>
      <c r="D1239">
        <v>2.4865305858869999</v>
      </c>
      <c r="E1239">
        <v>-0.81198143405647505</v>
      </c>
      <c r="F1239">
        <v>2.42877571347269E-3</v>
      </c>
      <c r="G1239">
        <v>3.8310140964434199E-2</v>
      </c>
      <c r="H1239">
        <v>0.50446935016940297</v>
      </c>
      <c r="I1239">
        <v>-8.4787216761791802E-3</v>
      </c>
    </row>
    <row r="1240" spans="1:9" x14ac:dyDescent="0.25">
      <c r="A1240" s="1">
        <v>72.246375679969702</v>
      </c>
      <c r="B1240">
        <v>13.6259681925337</v>
      </c>
      <c r="C1240">
        <v>3.0372714348655601</v>
      </c>
      <c r="D1240">
        <v>2.2449249193188701</v>
      </c>
      <c r="E1240">
        <v>-0.80320669465833405</v>
      </c>
      <c r="F1240">
        <v>1.65979013891924E-3</v>
      </c>
      <c r="G1240">
        <v>3.3551823302150001E-2</v>
      </c>
      <c r="H1240">
        <v>0.49425645451092598</v>
      </c>
      <c r="I1240">
        <v>-7.3933156029373703E-3</v>
      </c>
    </row>
    <row r="1241" spans="1:9" x14ac:dyDescent="0.25">
      <c r="A1241" s="1">
        <v>79.736069738864799</v>
      </c>
      <c r="B1241">
        <v>13.8432422649275</v>
      </c>
      <c r="C1241">
        <v>2.8172255728440101</v>
      </c>
      <c r="D1241">
        <v>2.03397795916664</v>
      </c>
      <c r="E1241">
        <v>-0.79167436994435503</v>
      </c>
      <c r="F1241">
        <v>9.8198272919118004E-4</v>
      </c>
      <c r="G1241">
        <v>2.9315139234565999E-2</v>
      </c>
      <c r="H1241">
        <v>0.48463499289949002</v>
      </c>
      <c r="I1241">
        <v>-6.4157914319649002E-3</v>
      </c>
    </row>
    <row r="1242" spans="1:9" x14ac:dyDescent="0.25">
      <c r="A1242" s="1">
        <v>87.899753153324099</v>
      </c>
      <c r="B1242">
        <v>14.054774871577701</v>
      </c>
      <c r="C1242">
        <v>2.6171138810600398</v>
      </c>
      <c r="D1242">
        <v>1.84917973894474</v>
      </c>
      <c r="E1242">
        <v>-0.777427784705642</v>
      </c>
      <c r="F1242">
        <v>5.9674765455472196E-4</v>
      </c>
      <c r="G1242">
        <v>2.5564851752657099E-2</v>
      </c>
      <c r="H1242">
        <v>0.47549501491846002</v>
      </c>
      <c r="I1242">
        <v>-5.5550585077257103E-3</v>
      </c>
    </row>
    <row r="1243" spans="1:9" x14ac:dyDescent="0.25">
      <c r="A1243" s="1">
        <v>96.798263192176805</v>
      </c>
      <c r="B1243">
        <v>14.261822072386</v>
      </c>
      <c r="C1243">
        <v>2.4337963135207299</v>
      </c>
      <c r="D1243">
        <v>1.6865975586291899</v>
      </c>
      <c r="E1243">
        <v>-0.76054418616175101</v>
      </c>
      <c r="F1243">
        <v>6.6180859150905501E-4</v>
      </c>
      <c r="G1243">
        <v>2.22569448688744E-2</v>
      </c>
      <c r="H1243">
        <v>0.46660269014195599</v>
      </c>
      <c r="I1243">
        <v>-4.8017704936982901E-3</v>
      </c>
    </row>
    <row r="1244" spans="1:9" x14ac:dyDescent="0.25">
      <c r="A1244" s="1">
        <v>106.497616767883</v>
      </c>
      <c r="B1244">
        <v>14.465443251623901</v>
      </c>
      <c r="C1244">
        <v>2.2641226664390701</v>
      </c>
      <c r="D1244">
        <v>1.54250335292146</v>
      </c>
      <c r="E1244">
        <v>-0.74094210178118802</v>
      </c>
      <c r="F1244">
        <v>9.2721151729543505E-4</v>
      </c>
      <c r="G1244">
        <v>1.93522593970499E-2</v>
      </c>
      <c r="H1244">
        <v>0.45790672850075798</v>
      </c>
      <c r="I1244">
        <v>-4.1491369698633696E-3</v>
      </c>
    </row>
    <row r="1245" spans="1:9" x14ac:dyDescent="0.25">
      <c r="A1245" s="1">
        <v>117.06990510225199</v>
      </c>
      <c r="B1245">
        <v>14.6667915605634</v>
      </c>
      <c r="C1245">
        <v>2.1043037964707101</v>
      </c>
      <c r="D1245">
        <v>1.4128209827871701</v>
      </c>
      <c r="E1245">
        <v>-0.71838424259582501</v>
      </c>
      <c r="F1245">
        <v>1.15042467024718E-3</v>
      </c>
      <c r="G1245">
        <v>1.6809637892282899E-2</v>
      </c>
      <c r="H1245">
        <v>0.45004742642686701</v>
      </c>
      <c r="I1245">
        <v>-3.5854013674195399E-3</v>
      </c>
    </row>
    <row r="1246" spans="1:9" x14ac:dyDescent="0.25">
      <c r="A1246" s="1">
        <v>128.593670427799</v>
      </c>
      <c r="B1246">
        <v>14.8668198181942</v>
      </c>
      <c r="C1246">
        <v>1.95245607660897</v>
      </c>
      <c r="D1246">
        <v>1.29507174289448</v>
      </c>
      <c r="E1246">
        <v>-0.69290365169319901</v>
      </c>
      <c r="F1246">
        <v>1.5143387533434101E-3</v>
      </c>
      <c r="G1246">
        <v>1.4555229561128801E-2</v>
      </c>
      <c r="H1246">
        <v>0.44263330923643002</v>
      </c>
      <c r="I1246">
        <v>-3.0821634062770799E-3</v>
      </c>
    </row>
    <row r="1247" spans="1:9" x14ac:dyDescent="0.25">
      <c r="A1247" s="1">
        <v>141.15461230278001</v>
      </c>
      <c r="B1247">
        <v>15.065975180796499</v>
      </c>
      <c r="C1247">
        <v>1.8067762837950601</v>
      </c>
      <c r="D1247">
        <v>1.1868643821726099</v>
      </c>
      <c r="E1247">
        <v>-0.664280531067164</v>
      </c>
      <c r="F1247">
        <v>2.1874852917251998E-3</v>
      </c>
      <c r="G1247">
        <v>1.25401988368521E-2</v>
      </c>
      <c r="H1247">
        <v>0.43543964121901402</v>
      </c>
      <c r="I1247">
        <v>-2.63050816113569E-3</v>
      </c>
    </row>
    <row r="1248" spans="1:9" x14ac:dyDescent="0.25">
      <c r="A1248" s="1">
        <v>154.84601140022201</v>
      </c>
      <c r="B1248">
        <v>15.2640518311105</v>
      </c>
      <c r="C1248">
        <v>1.6658735155712101</v>
      </c>
      <c r="D1248">
        <v>1.0862271387946001</v>
      </c>
      <c r="E1248">
        <v>-0.63234169070027202</v>
      </c>
      <c r="F1248">
        <v>2.3089559280478301E-3</v>
      </c>
      <c r="G1248">
        <v>1.0729667058206001E-2</v>
      </c>
      <c r="H1248">
        <v>0.42795888811037502</v>
      </c>
      <c r="I1248">
        <v>-2.22356910868095E-3</v>
      </c>
    </row>
    <row r="1249" spans="1:9" x14ac:dyDescent="0.25">
      <c r="A1249" s="1">
        <v>169.76969480514501</v>
      </c>
      <c r="B1249">
        <v>15.4609964864954</v>
      </c>
      <c r="C1249">
        <v>1.52751949526806</v>
      </c>
      <c r="D1249">
        <v>0.99080109427511498</v>
      </c>
      <c r="E1249">
        <v>-0.59662157581210695</v>
      </c>
      <c r="F1249">
        <v>1.9239399638323301E-3</v>
      </c>
      <c r="G1249">
        <v>9.1074522359698897E-3</v>
      </c>
      <c r="H1249">
        <v>0.42047049441713402</v>
      </c>
      <c r="I1249">
        <v>-1.8584340428672299E-3</v>
      </c>
    </row>
    <row r="1250" spans="1:9" x14ac:dyDescent="0.25">
      <c r="A1250" s="1">
        <v>186.03645980358101</v>
      </c>
      <c r="B1250">
        <v>15.657328913889099</v>
      </c>
      <c r="C1250">
        <v>1.3898896827659</v>
      </c>
      <c r="D1250">
        <v>0.89878713405245902</v>
      </c>
      <c r="E1250">
        <v>-0.55663938463165397</v>
      </c>
      <c r="F1250">
        <v>1.7708784779759E-3</v>
      </c>
      <c r="G1250">
        <v>7.6550069319505703E-3</v>
      </c>
      <c r="H1250">
        <v>0.41353608137147302</v>
      </c>
      <c r="I1250">
        <v>-1.5340405685174601E-3</v>
      </c>
    </row>
    <row r="1251" spans="1:9" x14ac:dyDescent="0.25">
      <c r="A1251" s="1">
        <v>203.76720398664401</v>
      </c>
      <c r="B1251">
        <v>15.8525894199192</v>
      </c>
      <c r="C1251">
        <v>1.25291683632895</v>
      </c>
      <c r="D1251">
        <v>0.80868285850577204</v>
      </c>
      <c r="E1251">
        <v>-0.51228638587459296</v>
      </c>
      <c r="F1251">
        <v>1.5916119976608399E-3</v>
      </c>
      <c r="G1251">
        <v>6.3477803296366703E-3</v>
      </c>
      <c r="H1251">
        <v>0.40623031564163797</v>
      </c>
      <c r="I1251">
        <v>-1.2443724791834699E-3</v>
      </c>
    </row>
    <row r="1252" spans="1:9" x14ac:dyDescent="0.25">
      <c r="A1252" s="1">
        <v>223.09376105666101</v>
      </c>
      <c r="B1252">
        <v>16.045124153203499</v>
      </c>
      <c r="C1252">
        <v>1.11577924763937</v>
      </c>
      <c r="D1252">
        <v>0.71938406325459803</v>
      </c>
      <c r="E1252">
        <v>-0.46310292851017698</v>
      </c>
      <c r="F1252">
        <v>1.30359940869415E-3</v>
      </c>
      <c r="G1252">
        <v>5.1604367189588499E-3</v>
      </c>
      <c r="H1252">
        <v>0.39881053860827298</v>
      </c>
      <c r="I1252">
        <v>-9.7937825318591509E-4</v>
      </c>
    </row>
    <row r="1253" spans="1:9" x14ac:dyDescent="0.25">
      <c r="A1253" s="1">
        <v>244.15970131754801</v>
      </c>
      <c r="B1253">
        <v>16.23352948182</v>
      </c>
      <c r="C1253">
        <v>0.97758067019986805</v>
      </c>
      <c r="D1253">
        <v>0.62940119063801503</v>
      </c>
      <c r="E1253">
        <v>-0.40848820925885498</v>
      </c>
      <c r="F1253">
        <v>5.2737487853200999E-4</v>
      </c>
      <c r="G1253">
        <v>4.0934374381183603E-3</v>
      </c>
      <c r="H1253">
        <v>0.39194209346314102</v>
      </c>
      <c r="I1253">
        <v>-7.4312329723083298E-4</v>
      </c>
    </row>
    <row r="1254" spans="1:9" x14ac:dyDescent="0.25">
      <c r="A1254" s="1">
        <v>267.12157949805197</v>
      </c>
      <c r="B1254">
        <v>16.414962620164399</v>
      </c>
      <c r="C1254">
        <v>0.83921599136626102</v>
      </c>
      <c r="D1254">
        <v>0.53926089395606502</v>
      </c>
      <c r="E1254">
        <v>-0.34807496302045499</v>
      </c>
      <c r="F1254">
        <v>-4.7733810720989401E-4</v>
      </c>
      <c r="G1254">
        <v>3.1571566000764902E-3</v>
      </c>
      <c r="H1254">
        <v>0.38605691805387299</v>
      </c>
      <c r="I1254">
        <v>-5.4354259613929596E-4</v>
      </c>
    </row>
    <row r="1255" spans="1:9" x14ac:dyDescent="0.25">
      <c r="A1255" s="1">
        <v>292.15002954006098</v>
      </c>
      <c r="B1255">
        <v>16.584635966240601</v>
      </c>
      <c r="C1255">
        <v>0.70113122414123297</v>
      </c>
      <c r="D1255">
        <v>0.44812199551384102</v>
      </c>
      <c r="E1255">
        <v>-0.281365099731479</v>
      </c>
      <c r="F1255">
        <v>-1.0492419846574201E-3</v>
      </c>
      <c r="G1255">
        <v>2.3568848750914898E-3</v>
      </c>
      <c r="H1255">
        <v>0.382406786454764</v>
      </c>
      <c r="I1255">
        <v>-3.8202065704184601E-4</v>
      </c>
    </row>
    <row r="1256" spans="1:9" x14ac:dyDescent="0.25">
      <c r="A1256" s="1">
        <v>319.43101242184599</v>
      </c>
      <c r="B1256">
        <v>16.7330265539393</v>
      </c>
      <c r="C1256">
        <v>0.57062270489270805</v>
      </c>
      <c r="D1256">
        <v>0.360461853638254</v>
      </c>
      <c r="E1256">
        <v>-0.20801508059547</v>
      </c>
      <c r="F1256">
        <v>-8.10302511802834E-4</v>
      </c>
      <c r="G1256">
        <v>1.7097055891432101E-3</v>
      </c>
      <c r="H1256">
        <v>0.38233156374247002</v>
      </c>
      <c r="I1256">
        <v>-2.6323286886689203E-4</v>
      </c>
    </row>
    <row r="1257" spans="1:9" x14ac:dyDescent="0.25">
      <c r="A1257" s="1">
        <v>349.16732590645501</v>
      </c>
      <c r="B1257">
        <v>16.8481457890637</v>
      </c>
      <c r="C1257">
        <v>0.46204597193730301</v>
      </c>
      <c r="D1257">
        <v>0.28545196764985897</v>
      </c>
      <c r="E1257">
        <v>-0.12672250652595099</v>
      </c>
      <c r="F1257">
        <v>-9.8285978392580403E-4</v>
      </c>
      <c r="G1257">
        <v>1.26274246628313E-3</v>
      </c>
      <c r="H1257">
        <v>0.387003151009016</v>
      </c>
      <c r="I1257">
        <v>-1.9266129878520901E-4</v>
      </c>
    </row>
    <row r="1258" spans="1:9" x14ac:dyDescent="0.25">
      <c r="A1258" s="1">
        <v>379.83785875141598</v>
      </c>
      <c r="B1258">
        <v>16.9089564312875</v>
      </c>
      <c r="C1258">
        <v>0.39995094723744701</v>
      </c>
      <c r="D1258">
        <v>0.24166387504766801</v>
      </c>
      <c r="E1258">
        <v>-4.1945957132920597E-2</v>
      </c>
      <c r="F1258">
        <v>-1.32395716673548E-3</v>
      </c>
      <c r="G1258">
        <v>1.03001287970109E-3</v>
      </c>
      <c r="H1258">
        <v>0.40792292473459502</v>
      </c>
      <c r="I1258">
        <v>-1.5264773634313E-4</v>
      </c>
    </row>
    <row r="1259" spans="1:9" x14ac:dyDescent="0.25">
      <c r="A1259" s="1" t="s">
        <v>540</v>
      </c>
      <c r="B1259" s="1" t="s">
        <v>614</v>
      </c>
      <c r="C1259" s="1" t="s">
        <v>615</v>
      </c>
      <c r="D1259" s="1" t="s">
        <v>616</v>
      </c>
      <c r="E1259" s="1" t="s">
        <v>617</v>
      </c>
      <c r="F1259" s="1" t="s">
        <v>618</v>
      </c>
      <c r="G1259" s="1" t="s">
        <v>400</v>
      </c>
      <c r="H1259" s="1" t="s">
        <v>619</v>
      </c>
      <c r="I1259" s="1" t="s">
        <v>613</v>
      </c>
    </row>
    <row r="1260" spans="1:9" x14ac:dyDescent="0.25">
      <c r="A1260" s="1">
        <v>-141.555516719818</v>
      </c>
      <c r="B1260">
        <v>-14.221933680190199</v>
      </c>
      <c r="C1260">
        <v>8.2758101612363695E-3</v>
      </c>
      <c r="D1260">
        <v>0</v>
      </c>
      <c r="E1260">
        <v>0</v>
      </c>
      <c r="F1260">
        <v>0</v>
      </c>
      <c r="G1260" s="1">
        <v>1.2045015731487701E-6</v>
      </c>
      <c r="H1260">
        <v>3.03713936033373E-2</v>
      </c>
      <c r="I1260">
        <v>0</v>
      </c>
    </row>
    <row r="1261" spans="1:9" x14ac:dyDescent="0.25">
      <c r="A1261" s="1">
        <v>-128.95890593528699</v>
      </c>
      <c r="B1261">
        <v>-12.9569933382557</v>
      </c>
      <c r="C1261">
        <v>8.4251676254399905E-3</v>
      </c>
      <c r="D1261">
        <v>0</v>
      </c>
      <c r="E1261">
        <v>0</v>
      </c>
      <c r="F1261">
        <v>0</v>
      </c>
      <c r="G1261" s="1">
        <v>1.53924899620072E-6</v>
      </c>
      <c r="H1261">
        <v>0.205514572203608</v>
      </c>
      <c r="I1261">
        <v>0</v>
      </c>
    </row>
    <row r="1262" spans="1:9" x14ac:dyDescent="0.25">
      <c r="A1262" s="1">
        <v>-117.402367591857</v>
      </c>
      <c r="B1262">
        <v>-11.796392944245101</v>
      </c>
      <c r="C1262">
        <v>8.7202354497279595E-3</v>
      </c>
      <c r="D1262">
        <v>0</v>
      </c>
      <c r="E1262">
        <v>0</v>
      </c>
      <c r="F1262">
        <v>0</v>
      </c>
      <c r="G1262" s="1">
        <v>2.1739140658016902E-6</v>
      </c>
      <c r="H1262">
        <v>0.386026390969055</v>
      </c>
      <c r="I1262">
        <v>0</v>
      </c>
    </row>
    <row r="1263" spans="1:9" x14ac:dyDescent="0.25">
      <c r="A1263" s="1">
        <v>-106.80001378059301</v>
      </c>
      <c r="B1263">
        <v>-10.7315320530669</v>
      </c>
      <c r="C1263">
        <v>9.1765560203492403E-3</v>
      </c>
      <c r="D1263">
        <v>0</v>
      </c>
      <c r="E1263">
        <v>0</v>
      </c>
      <c r="F1263">
        <v>0</v>
      </c>
      <c r="G1263" s="1">
        <v>3.10858388323787E-6</v>
      </c>
      <c r="H1263">
        <v>0.51258557552815298</v>
      </c>
      <c r="I1263">
        <v>0</v>
      </c>
    </row>
    <row r="1264" spans="1:9" x14ac:dyDescent="0.25">
      <c r="A1264" s="1">
        <v>-97.073161005973802</v>
      </c>
      <c r="B1264">
        <v>-9.7545206548408796</v>
      </c>
      <c r="C1264">
        <v>9.8170542312781307E-3</v>
      </c>
      <c r="D1264">
        <v>0</v>
      </c>
      <c r="E1264">
        <v>0</v>
      </c>
      <c r="F1264">
        <v>0</v>
      </c>
      <c r="G1264" s="1">
        <v>4.3781170677004097E-6</v>
      </c>
      <c r="H1264">
        <v>0.592879510265374</v>
      </c>
      <c r="I1264">
        <v>0</v>
      </c>
    </row>
    <row r="1265" spans="1:9" x14ac:dyDescent="0.25">
      <c r="A1265" s="1">
        <v>-88.149435520172105</v>
      </c>
      <c r="B1265">
        <v>-8.8581185789541497</v>
      </c>
      <c r="C1265">
        <v>1.06666741286775E-2</v>
      </c>
      <c r="D1265">
        <v>0</v>
      </c>
      <c r="E1265">
        <v>0</v>
      </c>
      <c r="F1265">
        <v>0</v>
      </c>
      <c r="G1265" s="1">
        <v>6.0496875439053301E-6</v>
      </c>
      <c r="H1265">
        <v>0.64295106038643901</v>
      </c>
      <c r="I1265">
        <v>0</v>
      </c>
    </row>
    <row r="1266" spans="1:9" x14ac:dyDescent="0.25">
      <c r="A1266" s="1">
        <v>-79.962490797042804</v>
      </c>
      <c r="B1266">
        <v>-8.0356790771470603</v>
      </c>
      <c r="C1266">
        <v>1.17502563700706E-2</v>
      </c>
      <c r="D1266">
        <v>0</v>
      </c>
      <c r="E1266">
        <v>0</v>
      </c>
      <c r="F1266">
        <v>0</v>
      </c>
      <c r="G1266" s="1">
        <v>8.2226104360039201E-6</v>
      </c>
      <c r="H1266">
        <v>0.674409845147251</v>
      </c>
      <c r="I1266">
        <v>0</v>
      </c>
    </row>
    <row r="1267" spans="1:9" x14ac:dyDescent="0.25">
      <c r="A1267" s="1">
        <v>-72.451583743095298</v>
      </c>
      <c r="B1267">
        <v>-7.2811028541759804</v>
      </c>
      <c r="C1267">
        <v>1.3091912303928499E-2</v>
      </c>
      <c r="D1267">
        <v>0</v>
      </c>
      <c r="E1267">
        <v>0</v>
      </c>
      <c r="F1267">
        <v>0</v>
      </c>
      <c r="G1267" s="1">
        <v>1.1030432956271499E-5</v>
      </c>
      <c r="H1267">
        <v>0.69450578695809895</v>
      </c>
      <c r="I1267">
        <v>0</v>
      </c>
    </row>
    <row r="1268" spans="1:9" x14ac:dyDescent="0.25">
      <c r="A1268" s="1">
        <v>-65.560821294784503</v>
      </c>
      <c r="B1268">
        <v>-6.5887941879914296</v>
      </c>
      <c r="C1268">
        <v>1.4715022293097201E-2</v>
      </c>
      <c r="D1268">
        <v>0</v>
      </c>
      <c r="E1268">
        <v>0</v>
      </c>
      <c r="F1268">
        <v>0</v>
      </c>
      <c r="G1268" s="1">
        <v>1.46458274891614E-5</v>
      </c>
      <c r="H1268">
        <v>0.70766185556838801</v>
      </c>
      <c r="I1268">
        <v>0</v>
      </c>
    </row>
    <row r="1269" spans="1:9" x14ac:dyDescent="0.25">
      <c r="A1269" s="1">
        <v>-59.238972067832897</v>
      </c>
      <c r="B1269">
        <v>-5.9536180946738604</v>
      </c>
      <c r="C1269">
        <v>1.6642444727506998E-2</v>
      </c>
      <c r="D1269">
        <v>0</v>
      </c>
      <c r="E1269">
        <v>0</v>
      </c>
      <c r="F1269">
        <v>0</v>
      </c>
      <c r="G1269" s="1">
        <v>1.9289078433448698E-5</v>
      </c>
      <c r="H1269">
        <v>0.71660026523694798</v>
      </c>
      <c r="I1269">
        <v>0</v>
      </c>
    </row>
    <row r="1270" spans="1:9" x14ac:dyDescent="0.25">
      <c r="A1270" s="1">
        <v>-53.439136743545497</v>
      </c>
      <c r="B1270">
        <v>-5.3708606276423803</v>
      </c>
      <c r="C1270">
        <v>1.8896776451773199E-2</v>
      </c>
      <c r="D1270">
        <v>0</v>
      </c>
      <c r="E1270">
        <v>0</v>
      </c>
      <c r="F1270">
        <v>0</v>
      </c>
      <c r="G1270" s="1">
        <v>2.5241229914456601E-5</v>
      </c>
      <c r="H1270">
        <v>0.72302947691578701</v>
      </c>
      <c r="I1270">
        <v>0</v>
      </c>
    </row>
    <row r="1271" spans="1:9" x14ac:dyDescent="0.25">
      <c r="A1271" s="1">
        <v>-48.118183016777003</v>
      </c>
      <c r="B1271">
        <v>-4.8361985796825202</v>
      </c>
      <c r="C1271">
        <v>2.1500656783681599E-2</v>
      </c>
      <c r="D1271">
        <v>0</v>
      </c>
      <c r="E1271">
        <v>0</v>
      </c>
      <c r="F1271">
        <v>0</v>
      </c>
      <c r="G1271" s="1">
        <v>3.2863325712355599E-5</v>
      </c>
      <c r="H1271">
        <v>0.72805053664519703</v>
      </c>
      <c r="I1271">
        <v>0</v>
      </c>
    </row>
    <row r="1272" spans="1:9" x14ac:dyDescent="0.25">
      <c r="A1272" s="1">
        <v>-43.236604332923797</v>
      </c>
      <c r="B1272">
        <v>-4.3456629164279601</v>
      </c>
      <c r="C1272">
        <v>2.44771363601466E-2</v>
      </c>
      <c r="D1272">
        <v>0</v>
      </c>
      <c r="E1272">
        <v>0</v>
      </c>
      <c r="F1272">
        <v>0</v>
      </c>
      <c r="G1272" s="1">
        <v>4.2623440771087897E-5</v>
      </c>
      <c r="H1272">
        <v>0.73239682603358802</v>
      </c>
      <c r="I1272">
        <v>0</v>
      </c>
    </row>
    <row r="1273" spans="1:9" x14ac:dyDescent="0.25">
      <c r="A1273" s="1">
        <v>-38.758049011230398</v>
      </c>
      <c r="B1273">
        <v>-3.89561579169195</v>
      </c>
      <c r="C1273">
        <v>2.78501544015257E-2</v>
      </c>
      <c r="D1273">
        <v>0</v>
      </c>
      <c r="E1273">
        <v>0</v>
      </c>
      <c r="F1273">
        <v>0</v>
      </c>
      <c r="G1273" s="1">
        <v>5.5133393808759402E-5</v>
      </c>
      <c r="H1273">
        <v>0.73657339125246302</v>
      </c>
      <c r="I1273">
        <v>0</v>
      </c>
    </row>
    <row r="1274" spans="1:9" x14ac:dyDescent="0.25">
      <c r="A1274" s="1">
        <v>-34.649320244789102</v>
      </c>
      <c r="B1274">
        <v>-3.4827139809490402</v>
      </c>
      <c r="C1274">
        <v>3.16451277474364E-2</v>
      </c>
      <c r="D1274">
        <v>0</v>
      </c>
      <c r="E1274">
        <v>0</v>
      </c>
      <c r="F1274">
        <v>0</v>
      </c>
      <c r="G1274" s="1">
        <v>7.11969939411005E-5</v>
      </c>
      <c r="H1274">
        <v>0.74093540678077097</v>
      </c>
      <c r="I1274">
        <v>0</v>
      </c>
    </row>
    <row r="1275" spans="1:9" x14ac:dyDescent="0.25">
      <c r="A1275" s="1">
        <v>-30.879811048507602</v>
      </c>
      <c r="B1275">
        <v>-3.10389320997011</v>
      </c>
      <c r="C1275">
        <v>3.58896639589407E-2</v>
      </c>
      <c r="D1275">
        <v>0</v>
      </c>
      <c r="E1275">
        <v>0</v>
      </c>
      <c r="F1275">
        <v>0</v>
      </c>
      <c r="G1275" s="1">
        <v>9.1871314527765E-5</v>
      </c>
      <c r="H1275">
        <v>0.74572918311763203</v>
      </c>
      <c r="I1275">
        <v>0</v>
      </c>
    </row>
    <row r="1276" spans="1:9" x14ac:dyDescent="0.25">
      <c r="A1276" s="1">
        <v>-27.4215984344482</v>
      </c>
      <c r="B1276">
        <v>-2.75634099112313</v>
      </c>
      <c r="C1276">
        <v>4.06143347773412E-2</v>
      </c>
      <c r="D1276">
        <v>0</v>
      </c>
      <c r="E1276">
        <v>0</v>
      </c>
      <c r="F1276">
        <v>0</v>
      </c>
      <c r="G1276">
        <v>1.18542175638936E-4</v>
      </c>
      <c r="H1276">
        <v>0.75111268417843402</v>
      </c>
      <c r="I1276">
        <v>0</v>
      </c>
    </row>
    <row r="1277" spans="1:9" x14ac:dyDescent="0.25">
      <c r="A1277" s="1">
        <v>-24.248878359794599</v>
      </c>
      <c r="B1277">
        <v>-2.4374778177351901</v>
      </c>
      <c r="C1277">
        <v>4.58534674664169E-2</v>
      </c>
      <c r="D1277">
        <v>0</v>
      </c>
      <c r="E1277">
        <v>0</v>
      </c>
      <c r="F1277">
        <v>0</v>
      </c>
      <c r="G1277">
        <v>1.5301431896133901E-4</v>
      </c>
      <c r="H1277">
        <v>0.75716606778449402</v>
      </c>
      <c r="I1277">
        <v>0</v>
      </c>
    </row>
    <row r="1278" spans="1:9" x14ac:dyDescent="0.25">
      <c r="A1278" s="1">
        <v>-21.3381540775299</v>
      </c>
      <c r="B1278">
        <v>-2.1449352241815198</v>
      </c>
      <c r="C1278">
        <v>5.1645819912296803E-2</v>
      </c>
      <c r="D1278">
        <v>0</v>
      </c>
      <c r="E1278">
        <v>0</v>
      </c>
      <c r="F1278">
        <v>0</v>
      </c>
      <c r="G1278">
        <v>1.97616389669406E-4</v>
      </c>
      <c r="H1278">
        <v>0.76390112455689896</v>
      </c>
      <c r="I1278">
        <v>0</v>
      </c>
    </row>
    <row r="1279" spans="1:9" x14ac:dyDescent="0.25">
      <c r="A1279" s="1">
        <v>-18.6677181720733</v>
      </c>
      <c r="B1279">
        <v>-1.8765411592782599</v>
      </c>
      <c r="C1279">
        <v>5.8035072418070398E-2</v>
      </c>
      <c r="D1279">
        <v>0</v>
      </c>
      <c r="E1279">
        <v>0</v>
      </c>
      <c r="F1279">
        <v>0</v>
      </c>
      <c r="G1279">
        <v>2.5532019138239497E-4</v>
      </c>
      <c r="H1279">
        <v>0.77127275684676999</v>
      </c>
      <c r="I1279">
        <v>0</v>
      </c>
    </row>
    <row r="1280" spans="1:9" x14ac:dyDescent="0.25">
      <c r="A1280" s="1">
        <v>-16.2178409099578</v>
      </c>
      <c r="B1280">
        <v>-1.6303032701597699</v>
      </c>
      <c r="C1280">
        <v>6.5070073601092196E-2</v>
      </c>
      <c r="D1280">
        <v>0</v>
      </c>
      <c r="E1280">
        <v>0</v>
      </c>
      <c r="F1280">
        <v>0</v>
      </c>
      <c r="G1280">
        <v>3.2987327848303498E-4</v>
      </c>
      <c r="H1280">
        <v>0.77919382972483997</v>
      </c>
      <c r="I1280">
        <v>0</v>
      </c>
    </row>
    <row r="1281" spans="1:9" x14ac:dyDescent="0.25">
      <c r="A1281" s="1">
        <v>-13.9702051877975</v>
      </c>
      <c r="B1281">
        <v>-1.4043932309136899</v>
      </c>
      <c r="C1281">
        <v>7.2804674971158903E-2</v>
      </c>
      <c r="D1281">
        <v>0</v>
      </c>
      <c r="E1281">
        <v>0</v>
      </c>
      <c r="F1281">
        <v>0</v>
      </c>
      <c r="G1281">
        <v>4.2594392888986398E-4</v>
      </c>
      <c r="H1281">
        <v>0.78755164215576801</v>
      </c>
      <c r="I1281">
        <v>0</v>
      </c>
    </row>
    <row r="1282" spans="1:9" x14ac:dyDescent="0.25">
      <c r="A1282" s="1">
        <v>-11.908189058303799</v>
      </c>
      <c r="B1282">
        <v>-1.1971310712159799</v>
      </c>
      <c r="C1282">
        <v>8.1297198898157799E-2</v>
      </c>
      <c r="D1282">
        <v>0</v>
      </c>
      <c r="E1282">
        <v>0</v>
      </c>
      <c r="F1282">
        <v>0</v>
      </c>
      <c r="G1282">
        <v>5.4927626655000897E-4</v>
      </c>
      <c r="H1282">
        <v>0.79622313089653196</v>
      </c>
      <c r="I1282">
        <v>0</v>
      </c>
    </row>
    <row r="1283" spans="1:9" x14ac:dyDescent="0.25">
      <c r="A1283" s="1">
        <v>-10.016394853591899</v>
      </c>
      <c r="B1283">
        <v>-1.00697995254259</v>
      </c>
      <c r="C1283">
        <v>9.0609472906287999E-2</v>
      </c>
      <c r="D1283">
        <v>0</v>
      </c>
      <c r="E1283">
        <v>0</v>
      </c>
      <c r="F1283">
        <v>0</v>
      </c>
      <c r="G1283">
        <v>7.0685377722611497E-4</v>
      </c>
      <c r="H1283">
        <v>0.80508736520177104</v>
      </c>
      <c r="I1283">
        <v>0</v>
      </c>
    </row>
    <row r="1284" spans="1:9" x14ac:dyDescent="0.25">
      <c r="A1284" s="1">
        <v>-8.2808375358581507</v>
      </c>
      <c r="B1284">
        <v>-0.83252736253153903</v>
      </c>
      <c r="C1284">
        <v>0.10080551077033199</v>
      </c>
      <c r="D1284">
        <v>0</v>
      </c>
      <c r="E1284">
        <v>0</v>
      </c>
      <c r="F1284">
        <v>0</v>
      </c>
      <c r="G1284">
        <v>9.0706831423403801E-4</v>
      </c>
      <c r="H1284">
        <v>0.81403374292915498</v>
      </c>
      <c r="I1284">
        <v>0</v>
      </c>
    </row>
    <row r="1285" spans="1:9" x14ac:dyDescent="0.25">
      <c r="A1285" s="1">
        <v>-6.6885209083557102</v>
      </c>
      <c r="B1285">
        <v>-0.67247571216386104</v>
      </c>
      <c r="C1285">
        <v>0.111949782292804</v>
      </c>
      <c r="D1285">
        <v>0</v>
      </c>
      <c r="E1285">
        <v>0</v>
      </c>
      <c r="F1285">
        <v>0</v>
      </c>
      <c r="G1285">
        <v>1.1598916483808301E-3</v>
      </c>
      <c r="H1285">
        <v>0.82296653823112698</v>
      </c>
      <c r="I1285">
        <v>0</v>
      </c>
    </row>
    <row r="1286" spans="1:9" x14ac:dyDescent="0.25">
      <c r="A1286" s="1">
        <v>-5.2277201414108196</v>
      </c>
      <c r="B1286">
        <v>-0.52563815673303205</v>
      </c>
      <c r="C1286">
        <v>0.124105290834106</v>
      </c>
      <c r="D1286">
        <v>0</v>
      </c>
      <c r="E1286">
        <v>0</v>
      </c>
      <c r="F1286">
        <v>0</v>
      </c>
      <c r="G1286">
        <v>1.4770531910880799E-3</v>
      </c>
      <c r="H1286">
        <v>0.83180700659180695</v>
      </c>
      <c r="I1286">
        <v>0</v>
      </c>
    </row>
    <row r="1287" spans="1:9" x14ac:dyDescent="0.25">
      <c r="A1287" s="1">
        <v>-3.88755798339843</v>
      </c>
      <c r="B1287">
        <v>-0.39092292447995702</v>
      </c>
      <c r="C1287">
        <v>0.13733137364936701</v>
      </c>
      <c r="D1287">
        <v>0</v>
      </c>
      <c r="E1287">
        <v>0</v>
      </c>
      <c r="F1287">
        <v>0</v>
      </c>
      <c r="G1287">
        <v>1.87216143075374E-3</v>
      </c>
      <c r="H1287">
        <v>0.84048825063869803</v>
      </c>
      <c r="I1287">
        <v>0</v>
      </c>
    </row>
    <row r="1288" spans="1:9" x14ac:dyDescent="0.25">
      <c r="A1288" s="1">
        <v>-2.6580518484115601</v>
      </c>
      <c r="B1288">
        <v>-0.26732913756233001</v>
      </c>
      <c r="C1288">
        <v>0.15168188671924199</v>
      </c>
      <c r="D1288">
        <v>0</v>
      </c>
      <c r="E1288">
        <v>0</v>
      </c>
      <c r="F1288">
        <v>0</v>
      </c>
      <c r="G1288">
        <v>2.3608066635642899E-3</v>
      </c>
      <c r="H1288">
        <v>0.84895346527151305</v>
      </c>
      <c r="I1288">
        <v>0</v>
      </c>
    </row>
    <row r="1289" spans="1:9" x14ac:dyDescent="0.25">
      <c r="A1289" s="1">
        <v>-1.5300196409225399</v>
      </c>
      <c r="B1289">
        <v>-0.15393949875098001</v>
      </c>
      <c r="C1289">
        <v>0.16720279942718799</v>
      </c>
      <c r="D1289">
        <v>0</v>
      </c>
      <c r="E1289">
        <v>0</v>
      </c>
      <c r="F1289">
        <v>0</v>
      </c>
      <c r="G1289">
        <v>2.9599092147373001E-3</v>
      </c>
      <c r="H1289">
        <v>0.85712213852930796</v>
      </c>
      <c r="I1289">
        <v>0</v>
      </c>
    </row>
    <row r="1290" spans="1:9" x14ac:dyDescent="0.25">
      <c r="A1290" s="1">
        <v>-0.49517393112182601</v>
      </c>
      <c r="B1290">
        <v>-4.9911933368559799E-2</v>
      </c>
      <c r="C1290">
        <v>0.18393034362338301</v>
      </c>
      <c r="D1290">
        <v>0</v>
      </c>
      <c r="E1290">
        <v>0</v>
      </c>
      <c r="F1290">
        <v>0</v>
      </c>
      <c r="G1290">
        <v>3.7098991732455E-3</v>
      </c>
      <c r="H1290">
        <v>0.86573762553156097</v>
      </c>
      <c r="I1290">
        <v>0</v>
      </c>
    </row>
    <row r="1291" spans="1:9" x14ac:dyDescent="0.25">
      <c r="A1291" s="1">
        <v>0.49376130104064903</v>
      </c>
      <c r="B1291">
        <v>0.35082628626886297</v>
      </c>
      <c r="C1291">
        <v>0.27497315017313501</v>
      </c>
      <c r="D1291">
        <v>7.9942362257269001E-2</v>
      </c>
      <c r="E1291">
        <v>-1.3805998515780299E-4</v>
      </c>
      <c r="F1291" s="1">
        <v>9.7473682390749003E-6</v>
      </c>
      <c r="G1291">
        <v>9.4238780234876807E-2</v>
      </c>
      <c r="H1291">
        <v>0.99500309870712</v>
      </c>
      <c r="I1291" s="1">
        <v>9.9950577670667611E-7</v>
      </c>
    </row>
    <row r="1292" spans="1:9" x14ac:dyDescent="0.25">
      <c r="A1292" s="1">
        <v>1.5257111191749499</v>
      </c>
      <c r="B1292">
        <v>1.0836146105318101</v>
      </c>
      <c r="C1292">
        <v>0.55296137685790003</v>
      </c>
      <c r="D1292">
        <v>0.39964289871585901</v>
      </c>
      <c r="E1292">
        <v>-1.9913646492791398E-3</v>
      </c>
      <c r="F1292">
        <v>1.00470585402896E-4</v>
      </c>
      <c r="G1292">
        <v>0.100236157149427</v>
      </c>
      <c r="H1292">
        <v>0.98805926331128802</v>
      </c>
      <c r="I1292" s="1">
        <v>2.5547653545494799E-5</v>
      </c>
    </row>
    <row r="1293" spans="1:9" x14ac:dyDescent="0.25">
      <c r="A1293" s="1">
        <v>2.6505178213119498</v>
      </c>
      <c r="B1293">
        <v>1.8779945333725501</v>
      </c>
      <c r="C1293">
        <v>1.02252433105034</v>
      </c>
      <c r="D1293">
        <v>0.98213743043967605</v>
      </c>
      <c r="E1293">
        <v>-1.00270877532393E-2</v>
      </c>
      <c r="F1293">
        <v>2.99124302785436E-4</v>
      </c>
      <c r="G1293">
        <v>0.10376114120709699</v>
      </c>
      <c r="H1293">
        <v>0.97611106327893504</v>
      </c>
      <c r="I1293">
        <v>1.1855981066381499E-4</v>
      </c>
    </row>
    <row r="1294" spans="1:9" x14ac:dyDescent="0.25">
      <c r="A1294" s="1">
        <v>3.8765159249305698</v>
      </c>
      <c r="B1294">
        <v>2.7309357351860699</v>
      </c>
      <c r="C1294">
        <v>1.7142246156148999</v>
      </c>
      <c r="D1294">
        <v>1.8620138480228501</v>
      </c>
      <c r="E1294">
        <v>-2.9611038028273601E-2</v>
      </c>
      <c r="F1294">
        <v>6.0386526012131097E-4</v>
      </c>
      <c r="G1294">
        <v>0.104160571412722</v>
      </c>
      <c r="H1294">
        <v>0.95745859865542005</v>
      </c>
      <c r="I1294">
        <v>2.73517645917389E-4</v>
      </c>
    </row>
    <row r="1295" spans="1:9" x14ac:dyDescent="0.25">
      <c r="A1295" s="1">
        <v>5.2129346132278398</v>
      </c>
      <c r="B1295">
        <v>3.63223772451791</v>
      </c>
      <c r="C1295">
        <v>2.6211429486403102</v>
      </c>
      <c r="D1295">
        <v>3.01050269138514</v>
      </c>
      <c r="E1295">
        <v>-6.62477039405691E-2</v>
      </c>
      <c r="F1295">
        <v>9.7474803326297202E-4</v>
      </c>
      <c r="G1295">
        <v>0.101042662848476</v>
      </c>
      <c r="H1295">
        <v>0.92993998553494495</v>
      </c>
      <c r="I1295">
        <v>5.1198711940500302E-4</v>
      </c>
    </row>
    <row r="1296" spans="1:9" x14ac:dyDescent="0.25">
      <c r="A1296" s="1">
        <v>6.6695916652679399</v>
      </c>
      <c r="B1296">
        <v>4.5630044918744597</v>
      </c>
      <c r="C1296">
        <v>3.6754570263494499</v>
      </c>
      <c r="D1296">
        <v>4.3054329379518999</v>
      </c>
      <c r="E1296">
        <v>-0.12294633613191799</v>
      </c>
      <c r="F1296">
        <v>1.3282931696022499E-3</v>
      </c>
      <c r="G1296">
        <v>9.6123769006641102E-2</v>
      </c>
      <c r="H1296">
        <v>0.89286727540065403</v>
      </c>
      <c r="I1296">
        <v>1.18742444901693E-3</v>
      </c>
    </row>
    <row r="1297" spans="1:9" x14ac:dyDescent="0.25">
      <c r="A1297" s="1">
        <v>8.2573878765106201</v>
      </c>
      <c r="B1297">
        <v>5.49678930293347</v>
      </c>
      <c r="C1297">
        <v>4.7505219037169502</v>
      </c>
      <c r="D1297">
        <v>5.5522812477764596</v>
      </c>
      <c r="E1297">
        <v>-0.19802400363143799</v>
      </c>
      <c r="F1297">
        <v>1.56541128874097E-3</v>
      </c>
      <c r="G1297">
        <v>9.2775551087708796E-2</v>
      </c>
      <c r="H1297">
        <v>0.85045488350987497</v>
      </c>
      <c r="I1297">
        <v>3.3230504849901198E-3</v>
      </c>
    </row>
    <row r="1298" spans="1:9" x14ac:dyDescent="0.25">
      <c r="A1298" s="1">
        <v>9.9880245327949506</v>
      </c>
      <c r="B1298">
        <v>6.4042041693585601</v>
      </c>
      <c r="C1298">
        <v>5.7008808301971099</v>
      </c>
      <c r="D1298">
        <v>6.5594288985807401</v>
      </c>
      <c r="E1298">
        <v>-0.28504566731585801</v>
      </c>
      <c r="F1298">
        <v>1.6084572069460499E-3</v>
      </c>
      <c r="G1298">
        <v>9.3447023442403396E-2</v>
      </c>
      <c r="H1298">
        <v>0.81097636221063396</v>
      </c>
      <c r="I1298">
        <v>7.2802583546280001E-3</v>
      </c>
    </row>
    <row r="1299" spans="1:9" x14ac:dyDescent="0.25">
      <c r="A1299" s="1">
        <v>11.874474287032999</v>
      </c>
      <c r="B1299">
        <v>7.2596005516829596</v>
      </c>
      <c r="C1299">
        <v>6.4174946070667103</v>
      </c>
      <c r="D1299">
        <v>7.2139398663282099</v>
      </c>
      <c r="E1299">
        <v>-0.375469903211269</v>
      </c>
      <c r="F1299">
        <v>1.44955936117561E-3</v>
      </c>
      <c r="G1299">
        <v>9.7476524639150602E-2</v>
      </c>
      <c r="H1299">
        <v>0.779028414138623</v>
      </c>
      <c r="I1299">
        <v>1.0502380407472599E-2</v>
      </c>
    </row>
    <row r="1300" spans="1:9" x14ac:dyDescent="0.25">
      <c r="A1300" s="1">
        <v>13.9306750893592</v>
      </c>
      <c r="B1300">
        <v>8.0461451185289494</v>
      </c>
      <c r="C1300">
        <v>6.8572561312669098</v>
      </c>
      <c r="D1300">
        <v>7.5023254234220502</v>
      </c>
      <c r="E1300">
        <v>-0.461870336699363</v>
      </c>
      <c r="F1300">
        <v>1.1619914414325099E-3</v>
      </c>
      <c r="G1300">
        <v>0.10205507011133901</v>
      </c>
      <c r="H1300">
        <v>0.752995619302674</v>
      </c>
      <c r="I1300">
        <v>1.0109697609526E-2</v>
      </c>
    </row>
    <row r="1301" spans="1:9" x14ac:dyDescent="0.25">
      <c r="A1301" s="1">
        <v>16.171883344650201</v>
      </c>
      <c r="B1301">
        <v>8.7568209346126302</v>
      </c>
      <c r="C1301">
        <v>7.0347342547910001</v>
      </c>
      <c r="D1301">
        <v>7.4798519760637499</v>
      </c>
      <c r="E1301">
        <v>-0.53951278263555402</v>
      </c>
      <c r="F1301">
        <v>8.7176689081163003E-4</v>
      </c>
      <c r="G1301">
        <v>0.10465230099093401</v>
      </c>
      <c r="H1301">
        <v>0.72962929904179796</v>
      </c>
      <c r="I1301">
        <v>6.2247806559256897E-3</v>
      </c>
    </row>
    <row r="1302" spans="1:9" x14ac:dyDescent="0.25">
      <c r="A1302" s="1">
        <v>18.614838719367899</v>
      </c>
      <c r="B1302">
        <v>9.3922543811266994</v>
      </c>
      <c r="C1302">
        <v>6.9963704123868196</v>
      </c>
      <c r="D1302">
        <v>7.2279541996602097</v>
      </c>
      <c r="E1302">
        <v>-0.60626509830869701</v>
      </c>
      <c r="F1302">
        <v>7.09776288663727E-4</v>
      </c>
      <c r="G1302">
        <v>0.104241054191927</v>
      </c>
      <c r="H1302">
        <v>0.70690127713842599</v>
      </c>
      <c r="I1302">
        <v>8.6037927893959699E-4</v>
      </c>
    </row>
    <row r="1303" spans="1:9" x14ac:dyDescent="0.25">
      <c r="A1303" s="1">
        <v>21.2777170538902</v>
      </c>
      <c r="B1303">
        <v>9.9576503917812094</v>
      </c>
      <c r="C1303">
        <v>6.7978155813871801</v>
      </c>
      <c r="D1303">
        <v>6.8255488699630096</v>
      </c>
      <c r="E1303">
        <v>-0.66180421219882901</v>
      </c>
      <c r="F1303">
        <v>7.6849052200481105E-4</v>
      </c>
      <c r="G1303">
        <v>0.10107617986392201</v>
      </c>
      <c r="H1303">
        <v>0.68409192479206304</v>
      </c>
      <c r="I1303">
        <v>-4.2387876756592802E-3</v>
      </c>
    </row>
    <row r="1304" spans="1:9" x14ac:dyDescent="0.25">
      <c r="A1304" s="1">
        <v>24.180224537849401</v>
      </c>
      <c r="B1304">
        <v>10.460314777354199</v>
      </c>
      <c r="C1304">
        <v>6.4910284524935502</v>
      </c>
      <c r="D1304">
        <v>6.3369799768748996</v>
      </c>
      <c r="E1304">
        <v>-0.70681509375274898</v>
      </c>
      <c r="F1304">
        <v>1.0786760841634999E-3</v>
      </c>
      <c r="G1304">
        <v>9.5968468812737295E-2</v>
      </c>
      <c r="H1304">
        <v>0.66118752034490003</v>
      </c>
      <c r="I1304">
        <v>-8.2658582806184808E-3</v>
      </c>
    </row>
    <row r="1305" spans="1:9" x14ac:dyDescent="0.25">
      <c r="A1305" s="1">
        <v>27.343950867652801</v>
      </c>
      <c r="B1305">
        <v>10.9081581163923</v>
      </c>
      <c r="C1305">
        <v>6.1191696360183396</v>
      </c>
      <c r="D1305">
        <v>5.81010209456303</v>
      </c>
      <c r="E1305">
        <v>-0.74241843745064096</v>
      </c>
      <c r="F1305">
        <v>1.5615486682853199E-3</v>
      </c>
      <c r="G1305">
        <v>8.9719326655963896E-2</v>
      </c>
      <c r="H1305">
        <v>0.63848619180797905</v>
      </c>
      <c r="I1305">
        <v>-1.10640180538487E-2</v>
      </c>
    </row>
    <row r="1306" spans="1:9" x14ac:dyDescent="0.25">
      <c r="A1306" s="1">
        <v>30.7923927903175</v>
      </c>
      <c r="B1306">
        <v>11.3089592826789</v>
      </c>
      <c r="C1306">
        <v>5.7156614221242998</v>
      </c>
      <c r="D1306">
        <v>5.2785086323680304</v>
      </c>
      <c r="E1306">
        <v>-0.76984214403197704</v>
      </c>
      <c r="F1306">
        <v>2.1233009177076198E-3</v>
      </c>
      <c r="G1306">
        <v>8.2905097285323595E-2</v>
      </c>
      <c r="H1306">
        <v>0.61640492049277695</v>
      </c>
      <c r="I1306">
        <v>-1.27418020690121E-2</v>
      </c>
    </row>
    <row r="1307" spans="1:9" x14ac:dyDescent="0.25">
      <c r="A1307" s="1">
        <v>34.551213085651298</v>
      </c>
      <c r="B1307">
        <v>11.6699990617814</v>
      </c>
      <c r="C1307">
        <v>5.3049368823745304</v>
      </c>
      <c r="D1307">
        <v>4.7645593676604996</v>
      </c>
      <c r="E1307">
        <v>-0.79026491417081102</v>
      </c>
      <c r="F1307">
        <v>2.71571128843391E-3</v>
      </c>
      <c r="G1307">
        <v>7.5877390370911596E-2</v>
      </c>
      <c r="H1307">
        <v>0.59537271623691201</v>
      </c>
      <c r="I1307">
        <v>-1.34826965506251E-2</v>
      </c>
    </row>
    <row r="1308" spans="1:9" x14ac:dyDescent="0.25">
      <c r="A1308" s="1">
        <v>38.6483111977577</v>
      </c>
      <c r="B1308">
        <v>11.9978727476442</v>
      </c>
      <c r="C1308">
        <v>4.9037228992779198</v>
      </c>
      <c r="D1308">
        <v>4.28211681255494</v>
      </c>
      <c r="E1308">
        <v>-0.80471329548415804</v>
      </c>
      <c r="F1308">
        <v>3.2063293710378302E-3</v>
      </c>
      <c r="G1308">
        <v>6.8855859917209397E-2</v>
      </c>
      <c r="H1308">
        <v>0.57581567645059495</v>
      </c>
      <c r="I1308">
        <v>-1.3481352320877301E-2</v>
      </c>
    </row>
    <row r="1309" spans="1:9" x14ac:dyDescent="0.25">
      <c r="A1309" s="1">
        <v>43.1141293048858</v>
      </c>
      <c r="B1309">
        <v>12.2984432590896</v>
      </c>
      <c r="C1309">
        <v>4.5226456700313298</v>
      </c>
      <c r="D1309">
        <v>3.8390485002153198</v>
      </c>
      <c r="E1309">
        <v>-0.81403032596127001</v>
      </c>
      <c r="F1309">
        <v>3.5463678887441398E-3</v>
      </c>
      <c r="G1309">
        <v>6.1988263501396301E-2</v>
      </c>
      <c r="H1309">
        <v>0.558028424198866</v>
      </c>
      <c r="I1309">
        <v>-1.29232106624963E-2</v>
      </c>
    </row>
    <row r="1310" spans="1:9" x14ac:dyDescent="0.25">
      <c r="A1310" s="1">
        <v>47.981887757778097</v>
      </c>
      <c r="B1310">
        <v>12.5767468504379</v>
      </c>
      <c r="C1310">
        <v>4.1678359241266199</v>
      </c>
      <c r="D1310">
        <v>3.43905109995986</v>
      </c>
      <c r="E1310">
        <v>-0.81892012804181502</v>
      </c>
      <c r="F1310">
        <v>3.6783276496900798E-3</v>
      </c>
      <c r="G1310">
        <v>5.5376918983155998E-2</v>
      </c>
      <c r="H1310">
        <v>0.54203958328074797</v>
      </c>
      <c r="I1310">
        <v>-1.19869094054333E-2</v>
      </c>
    </row>
    <row r="1311" spans="1:9" x14ac:dyDescent="0.25">
      <c r="A1311" s="1">
        <v>53.287820518016801</v>
      </c>
      <c r="B1311">
        <v>12.8370009471899</v>
      </c>
      <c r="C1311">
        <v>3.8418826114584199</v>
      </c>
      <c r="D1311">
        <v>3.0824287091220999</v>
      </c>
      <c r="E1311">
        <v>-0.819916965920783</v>
      </c>
      <c r="F1311">
        <v>3.5481927027177802E-3</v>
      </c>
      <c r="G1311">
        <v>4.9127573955154803E-2</v>
      </c>
      <c r="H1311">
        <v>0.52784433375956596</v>
      </c>
      <c r="I1311">
        <v>-1.08349842174998E-2</v>
      </c>
    </row>
    <row r="1312" spans="1:9" x14ac:dyDescent="0.25">
      <c r="A1312" s="1">
        <v>59.071175158023799</v>
      </c>
      <c r="B1312">
        <v>13.082735785493099</v>
      </c>
      <c r="C1312">
        <v>3.5450979053617302</v>
      </c>
      <c r="D1312">
        <v>2.7673050962597201</v>
      </c>
      <c r="E1312">
        <v>-0.81743114662934702</v>
      </c>
      <c r="F1312">
        <v>3.1115108194441098E-3</v>
      </c>
      <c r="G1312">
        <v>4.3343272748854599E-2</v>
      </c>
      <c r="H1312">
        <v>0.51533521479291999</v>
      </c>
      <c r="I1312">
        <v>-9.6194979195022706E-3</v>
      </c>
    </row>
    <row r="1313" spans="1:9" x14ac:dyDescent="0.25">
      <c r="A1313" s="1">
        <v>65.375131070613804</v>
      </c>
      <c r="B1313">
        <v>13.316857097601</v>
      </c>
      <c r="C1313">
        <v>3.2765985069500898</v>
      </c>
      <c r="D1313">
        <v>2.4908818387124798</v>
      </c>
      <c r="E1313">
        <v>-0.81177148404144495</v>
      </c>
      <c r="F1313">
        <v>2.4612912885125398E-3</v>
      </c>
      <c r="G1313">
        <v>3.8078427135977901E-2</v>
      </c>
      <c r="H1313">
        <v>0.50412073083447495</v>
      </c>
      <c r="I1313">
        <v>-8.4400452208421798E-3</v>
      </c>
    </row>
    <row r="1314" spans="1:9" x14ac:dyDescent="0.25">
      <c r="A1314" s="1">
        <v>72.246375679969702</v>
      </c>
      <c r="B1314">
        <v>13.5417552890493</v>
      </c>
      <c r="C1314">
        <v>3.0341903326920998</v>
      </c>
      <c r="D1314">
        <v>2.2494473924690301</v>
      </c>
      <c r="E1314">
        <v>-0.80317931241464002</v>
      </c>
      <c r="F1314">
        <v>1.7031891157883699E-3</v>
      </c>
      <c r="G1314">
        <v>3.3361600937385903E-2</v>
      </c>
      <c r="H1314">
        <v>0.49392842796277397</v>
      </c>
      <c r="I1314">
        <v>-7.35825075165849E-3</v>
      </c>
    </row>
    <row r="1315" spans="1:9" x14ac:dyDescent="0.25">
      <c r="A1315" s="1">
        <v>79.736069738864799</v>
      </c>
      <c r="B1315">
        <v>13.759402862308001</v>
      </c>
      <c r="C1315">
        <v>2.8148672477963101</v>
      </c>
      <c r="D1315">
        <v>2.0385553933346898</v>
      </c>
      <c r="E1315">
        <v>-0.79179643059395399</v>
      </c>
      <c r="F1315">
        <v>1.02634735865207E-3</v>
      </c>
      <c r="G1315">
        <v>2.9158148890459E-2</v>
      </c>
      <c r="H1315">
        <v>0.484324820911122</v>
      </c>
      <c r="I1315">
        <v>-6.38426574052358E-3</v>
      </c>
    </row>
    <row r="1316" spans="1:9" x14ac:dyDescent="0.25">
      <c r="A1316" s="1">
        <v>87.899753153324099</v>
      </c>
      <c r="B1316">
        <v>13.971378968586601</v>
      </c>
      <c r="C1316">
        <v>2.61527460498547</v>
      </c>
      <c r="D1316">
        <v>1.85372373253722</v>
      </c>
      <c r="E1316">
        <v>-0.77767054849184203</v>
      </c>
      <c r="F1316">
        <v>6.3460198292478003E-4</v>
      </c>
      <c r="G1316">
        <v>2.5434300596401199E-2</v>
      </c>
      <c r="H1316">
        <v>0.47520233971848502</v>
      </c>
      <c r="I1316">
        <v>-5.5268456026376801E-3</v>
      </c>
    </row>
    <row r="1317" spans="1:9" x14ac:dyDescent="0.25">
      <c r="A1317" s="1">
        <v>96.798263192176805</v>
      </c>
      <c r="B1317">
        <v>14.178931570914999</v>
      </c>
      <c r="C1317">
        <v>2.4323141339833501</v>
      </c>
      <c r="D1317">
        <v>1.69105363817479</v>
      </c>
      <c r="E1317">
        <v>-0.76088287818043898</v>
      </c>
      <c r="F1317">
        <v>6.9391614060652798E-4</v>
      </c>
      <c r="G1317">
        <v>2.2147344664686E-2</v>
      </c>
      <c r="H1317">
        <v>0.46632901836743901</v>
      </c>
      <c r="I1317">
        <v>-4.7766079718607303E-3</v>
      </c>
    </row>
    <row r="1318" spans="1:9" x14ac:dyDescent="0.25">
      <c r="A1318" s="1">
        <v>106.497616767883</v>
      </c>
      <c r="B1318">
        <v>14.3831158745339</v>
      </c>
      <c r="C1318">
        <v>2.2628736869640398</v>
      </c>
      <c r="D1318">
        <v>1.54683376294081</v>
      </c>
      <c r="E1318">
        <v>-0.74135549212046903</v>
      </c>
      <c r="F1318">
        <v>9.5200164422352897E-4</v>
      </c>
      <c r="G1318">
        <v>1.92592583562535E-2</v>
      </c>
      <c r="H1318">
        <v>0.45765772501306101</v>
      </c>
      <c r="I1318">
        <v>-4.1267403417765101E-3</v>
      </c>
    </row>
    <row r="1319" spans="1:9" x14ac:dyDescent="0.25">
      <c r="A1319" s="1">
        <v>117.06990510225199</v>
      </c>
      <c r="B1319">
        <v>14.585084769526</v>
      </c>
      <c r="C1319">
        <v>2.10319502316813</v>
      </c>
      <c r="D1319">
        <v>1.41702787787173</v>
      </c>
      <c r="E1319">
        <v>-0.71885396869583096</v>
      </c>
      <c r="F1319">
        <v>1.1597787127120499E-3</v>
      </c>
      <c r="G1319">
        <v>1.67297081380425E-2</v>
      </c>
      <c r="H1319">
        <v>0.44982471039134703</v>
      </c>
      <c r="I1319">
        <v>-3.5654553645597001E-3</v>
      </c>
    </row>
    <row r="1320" spans="1:9" x14ac:dyDescent="0.25">
      <c r="A1320" s="1">
        <v>128.593670427799</v>
      </c>
      <c r="B1320">
        <v>14.7857931643961</v>
      </c>
      <c r="C1320">
        <v>1.95142241375592</v>
      </c>
      <c r="D1320">
        <v>1.29912979618962</v>
      </c>
      <c r="E1320">
        <v>-0.69341375431428798</v>
      </c>
      <c r="F1320">
        <v>1.5045155443239901E-3</v>
      </c>
      <c r="G1320">
        <v>1.4485611555134E-2</v>
      </c>
      <c r="H1320">
        <v>0.442436667768694</v>
      </c>
      <c r="I1320">
        <v>-3.0643318994136898E-3</v>
      </c>
    </row>
    <row r="1321" spans="1:9" x14ac:dyDescent="0.25">
      <c r="A1321" s="1">
        <v>141.15461230278001</v>
      </c>
      <c r="B1321">
        <v>14.9856887378035</v>
      </c>
      <c r="C1321">
        <v>1.80577652794494</v>
      </c>
      <c r="D1321">
        <v>1.19075494395669</v>
      </c>
      <c r="E1321">
        <v>-0.66481758913709199</v>
      </c>
      <c r="F1321">
        <v>2.1667425997644301E-3</v>
      </c>
      <c r="G1321">
        <v>1.2478940804849299E-2</v>
      </c>
      <c r="H1321">
        <v>0.43526719632619798</v>
      </c>
      <c r="I1321">
        <v>-2.6145317413342499E-3</v>
      </c>
    </row>
    <row r="1322" spans="1:9" x14ac:dyDescent="0.25">
      <c r="A1322" s="1">
        <v>154.84601140022201</v>
      </c>
      <c r="B1322">
        <v>15.184567239624799</v>
      </c>
      <c r="C1322">
        <v>1.66486302965688</v>
      </c>
      <c r="D1322">
        <v>1.08994355946687</v>
      </c>
      <c r="E1322">
        <v>-0.63289290019964095</v>
      </c>
      <c r="F1322">
        <v>2.2888427473928001E-3</v>
      </c>
      <c r="G1322">
        <v>1.0675487748112601E-2</v>
      </c>
      <c r="H1322">
        <v>0.42781596613214001</v>
      </c>
      <c r="I1322">
        <v>-2.2093055522692398E-3</v>
      </c>
    </row>
    <row r="1323" spans="1:9" x14ac:dyDescent="0.25">
      <c r="A1323" s="1">
        <v>169.76969480514501</v>
      </c>
      <c r="B1323">
        <v>15.382376954355699</v>
      </c>
      <c r="C1323">
        <v>1.5264613678686001</v>
      </c>
      <c r="D1323">
        <v>0.99432194519309902</v>
      </c>
      <c r="E1323">
        <v>-0.59717371223362303</v>
      </c>
      <c r="F1323">
        <v>1.9057079739210399E-3</v>
      </c>
      <c r="G1323">
        <v>9.0592964655999992E-3</v>
      </c>
      <c r="H1323">
        <v>0.420361981710211</v>
      </c>
      <c r="I1323">
        <v>-1.8457394852332801E-3</v>
      </c>
    </row>
    <row r="1324" spans="1:9" x14ac:dyDescent="0.25">
      <c r="A1324" s="1">
        <v>186.03645980358101</v>
      </c>
      <c r="B1324">
        <v>15.5796381713128</v>
      </c>
      <c r="C1324">
        <v>1.38877633130259</v>
      </c>
      <c r="D1324">
        <v>0.90211722369914604</v>
      </c>
      <c r="E1324">
        <v>-0.55718025913429503</v>
      </c>
      <c r="F1324">
        <v>1.7433909835658399E-3</v>
      </c>
      <c r="G1324">
        <v>7.6120062801604696E-3</v>
      </c>
      <c r="H1324">
        <v>0.41345709324163599</v>
      </c>
      <c r="I1324">
        <v>-1.5227756201170799E-3</v>
      </c>
    </row>
    <row r="1325" spans="1:9" x14ac:dyDescent="0.25">
      <c r="A1325" s="1">
        <v>203.76720398664401</v>
      </c>
      <c r="B1325">
        <v>15.775895898533401</v>
      </c>
      <c r="C1325">
        <v>1.2517353847247299</v>
      </c>
      <c r="D1325">
        <v>0.81176683431800001</v>
      </c>
      <c r="E1325">
        <v>-0.51280199153402395</v>
      </c>
      <c r="F1325">
        <v>1.55028561543425E-3</v>
      </c>
      <c r="G1325">
        <v>6.3094543763679498E-3</v>
      </c>
      <c r="H1325">
        <v>0.40618936062423999</v>
      </c>
      <c r="I1325">
        <v>-1.2344695215461901E-3</v>
      </c>
    </row>
    <row r="1326" spans="1:9" x14ac:dyDescent="0.25">
      <c r="A1326" s="1">
        <v>223.09376105666101</v>
      </c>
      <c r="B1326">
        <v>15.9694921056045</v>
      </c>
      <c r="C1326">
        <v>1.1145019407948</v>
      </c>
      <c r="D1326">
        <v>0.72223242237179197</v>
      </c>
      <c r="E1326">
        <v>-0.46358073227802299</v>
      </c>
      <c r="F1326">
        <v>1.25559274995605E-3</v>
      </c>
      <c r="G1326">
        <v>5.1265765994668797E-3</v>
      </c>
      <c r="H1326">
        <v>0.39881798596587198</v>
      </c>
      <c r="I1326">
        <v>-9.7083586082786903E-4</v>
      </c>
    </row>
    <row r="1327" spans="1:9" x14ac:dyDescent="0.25">
      <c r="A1327" s="1">
        <v>244.15970131754801</v>
      </c>
      <c r="B1327">
        <v>16.159018459194701</v>
      </c>
      <c r="C1327">
        <v>0.97617689166504495</v>
      </c>
      <c r="D1327">
        <v>0.63196923727881404</v>
      </c>
      <c r="E1327">
        <v>-0.40891358909374798</v>
      </c>
      <c r="F1327">
        <v>4.7919336611421099E-4</v>
      </c>
      <c r="G1327">
        <v>4.0639792685453202E-3</v>
      </c>
      <c r="H1327">
        <v>0.392013295393775</v>
      </c>
      <c r="I1327">
        <v>-7.3598410183268103E-4</v>
      </c>
    </row>
    <row r="1328" spans="1:9" x14ac:dyDescent="0.25">
      <c r="A1328" s="1">
        <v>267.12157949805197</v>
      </c>
      <c r="B1328">
        <v>16.341608144273401</v>
      </c>
      <c r="C1328">
        <v>0.837654480887426</v>
      </c>
      <c r="D1328">
        <v>0.54150463533068804</v>
      </c>
      <c r="E1328">
        <v>-0.34843561680349699</v>
      </c>
      <c r="F1328">
        <v>-5.2335172048274304E-4</v>
      </c>
      <c r="G1328">
        <v>3.13201522391379E-3</v>
      </c>
      <c r="H1328">
        <v>0.38623789907518102</v>
      </c>
      <c r="I1328">
        <v>-5.3778341331460998E-4</v>
      </c>
    </row>
    <row r="1329" spans="1:9" x14ac:dyDescent="0.25">
      <c r="A1329" s="1">
        <v>292.15002954006098</v>
      </c>
      <c r="B1329">
        <v>16.5124396042204</v>
      </c>
      <c r="C1329">
        <v>0.69936348182812003</v>
      </c>
      <c r="D1329">
        <v>0.44996091294072099</v>
      </c>
      <c r="E1329">
        <v>-0.28164503484982401</v>
      </c>
      <c r="F1329">
        <v>-1.08058441669781E-3</v>
      </c>
      <c r="G1329">
        <v>2.33583071577728E-3</v>
      </c>
      <c r="H1329">
        <v>0.38276686133181498</v>
      </c>
      <c r="I1329">
        <v>-3.7756953079554501E-4</v>
      </c>
    </row>
    <row r="1330" spans="1:9" x14ac:dyDescent="0.25">
      <c r="A1330" s="1">
        <v>319.43101242184599</v>
      </c>
      <c r="B1330">
        <v>16.6619177846475</v>
      </c>
      <c r="C1330">
        <v>0.56863116920687795</v>
      </c>
      <c r="D1330">
        <v>0.36184205011536102</v>
      </c>
      <c r="E1330">
        <v>-0.208201812222371</v>
      </c>
      <c r="F1330">
        <v>-8.1246056416198404E-4</v>
      </c>
      <c r="G1330">
        <v>1.69230026991944E-3</v>
      </c>
      <c r="H1330">
        <v>0.38296203243076199</v>
      </c>
      <c r="I1330">
        <v>-2.5992175055282099E-4</v>
      </c>
    </row>
    <row r="1331" spans="1:9" x14ac:dyDescent="0.25">
      <c r="A1331" s="1">
        <v>349.16732590645501</v>
      </c>
      <c r="B1331">
        <v>16.777914616209799</v>
      </c>
      <c r="C1331">
        <v>0.45983321809416899</v>
      </c>
      <c r="D1331">
        <v>0.286425663667639</v>
      </c>
      <c r="E1331">
        <v>-0.126799108673808</v>
      </c>
      <c r="F1331">
        <v>-9.6121441744147901E-4</v>
      </c>
      <c r="G1331">
        <v>1.2481374762453299E-3</v>
      </c>
      <c r="H1331">
        <v>0.38806815170113002</v>
      </c>
      <c r="I1331">
        <v>-1.9014172904594699E-4</v>
      </c>
    </row>
    <row r="1332" spans="1:9" x14ac:dyDescent="0.25">
      <c r="A1332" s="1">
        <v>379.83785875141598</v>
      </c>
      <c r="B1332">
        <v>16.8391912203519</v>
      </c>
      <c r="C1332">
        <v>0.39765696680817803</v>
      </c>
      <c r="D1332">
        <v>0.24236916124737801</v>
      </c>
      <c r="E1332">
        <v>-4.1910967340768997E-2</v>
      </c>
      <c r="F1332">
        <v>-1.32268991870295E-3</v>
      </c>
      <c r="G1332">
        <v>1.01722656176121E-3</v>
      </c>
      <c r="H1332">
        <v>0.40938135154199501</v>
      </c>
      <c r="I1332">
        <v>-1.5067033551053699E-4</v>
      </c>
    </row>
    <row r="1333" spans="1:9" x14ac:dyDescent="0.25">
      <c r="A1333" s="1" t="s">
        <v>541</v>
      </c>
      <c r="B1333" s="1" t="s">
        <v>614</v>
      </c>
      <c r="C1333" s="1" t="s">
        <v>615</v>
      </c>
      <c r="D1333" s="1" t="s">
        <v>616</v>
      </c>
      <c r="E1333" s="1" t="s">
        <v>617</v>
      </c>
      <c r="F1333" s="1" t="s">
        <v>618</v>
      </c>
      <c r="G1333" s="1" t="s">
        <v>400</v>
      </c>
      <c r="H1333" s="1" t="s">
        <v>619</v>
      </c>
      <c r="I1333" s="1" t="s">
        <v>613</v>
      </c>
    </row>
    <row r="1334" spans="1:9" x14ac:dyDescent="0.25">
      <c r="A1334" s="1">
        <v>-141.555516719818</v>
      </c>
      <c r="B1334">
        <v>-35.546096393727403</v>
      </c>
      <c r="C1334">
        <v>1.8628861278533099E-2</v>
      </c>
      <c r="D1334">
        <v>0</v>
      </c>
      <c r="E1334">
        <v>0</v>
      </c>
      <c r="F1334">
        <v>0</v>
      </c>
      <c r="G1334" s="1">
        <v>3.1287095383447601E-6</v>
      </c>
      <c r="H1334">
        <v>3.72935028726133E-2</v>
      </c>
      <c r="I1334">
        <v>0</v>
      </c>
    </row>
    <row r="1335" spans="1:9" x14ac:dyDescent="0.25">
      <c r="A1335" s="1">
        <v>-128.95890593528699</v>
      </c>
      <c r="B1335">
        <v>-32.383878223114401</v>
      </c>
      <c r="C1335">
        <v>1.9012569492700901E-2</v>
      </c>
      <c r="D1335">
        <v>0</v>
      </c>
      <c r="E1335">
        <v>0</v>
      </c>
      <c r="F1335">
        <v>0</v>
      </c>
      <c r="G1335" s="1">
        <v>4.1800142670211902E-6</v>
      </c>
      <c r="H1335">
        <v>0.24149508292668501</v>
      </c>
      <c r="I1335">
        <v>0</v>
      </c>
    </row>
    <row r="1336" spans="1:9" x14ac:dyDescent="0.25">
      <c r="A1336" s="1">
        <v>-117.402367591857</v>
      </c>
      <c r="B1336">
        <v>-29.482602905743502</v>
      </c>
      <c r="C1336">
        <v>1.9788882932617598E-2</v>
      </c>
      <c r="D1336">
        <v>0</v>
      </c>
      <c r="E1336">
        <v>0</v>
      </c>
      <c r="F1336">
        <v>0</v>
      </c>
      <c r="G1336" s="1">
        <v>6.1792092740375901E-6</v>
      </c>
      <c r="H1336">
        <v>0.43393182816491799</v>
      </c>
      <c r="I1336">
        <v>0</v>
      </c>
    </row>
    <row r="1337" spans="1:9" x14ac:dyDescent="0.25">
      <c r="A1337" s="1">
        <v>-106.80001378059301</v>
      </c>
      <c r="B1337">
        <v>-26.820750523247501</v>
      </c>
      <c r="C1337">
        <v>2.1023656249709199E-2</v>
      </c>
      <c r="D1337">
        <v>0</v>
      </c>
      <c r="E1337">
        <v>0</v>
      </c>
      <c r="F1337">
        <v>0</v>
      </c>
      <c r="G1337" s="1">
        <v>9.1399401210878692E-6</v>
      </c>
      <c r="H1337">
        <v>0.55842930663175205</v>
      </c>
      <c r="I1337">
        <v>0</v>
      </c>
    </row>
    <row r="1338" spans="1:9" x14ac:dyDescent="0.25">
      <c r="A1338" s="1">
        <v>-97.073161005973802</v>
      </c>
      <c r="B1338">
        <v>-24.3785751557729</v>
      </c>
      <c r="C1338">
        <v>2.2804024271719899E-2</v>
      </c>
      <c r="D1338">
        <v>0</v>
      </c>
      <c r="E1338">
        <v>0</v>
      </c>
      <c r="F1338">
        <v>0</v>
      </c>
      <c r="G1338" s="1">
        <v>1.3196161601722799E-5</v>
      </c>
      <c r="H1338">
        <v>0.63262576592048003</v>
      </c>
      <c r="I1338">
        <v>0</v>
      </c>
    </row>
    <row r="1339" spans="1:9" x14ac:dyDescent="0.25">
      <c r="A1339" s="1">
        <v>-88.149435520172105</v>
      </c>
      <c r="B1339">
        <v>-22.1379607054225</v>
      </c>
      <c r="C1339">
        <v>2.5222862410750599E-2</v>
      </c>
      <c r="D1339">
        <v>0</v>
      </c>
      <c r="E1339">
        <v>0</v>
      </c>
      <c r="F1339">
        <v>0</v>
      </c>
      <c r="G1339" s="1">
        <v>1.8597907011237399E-5</v>
      </c>
      <c r="H1339">
        <v>0.67652944380121105</v>
      </c>
      <c r="I1339">
        <v>0</v>
      </c>
    </row>
    <row r="1340" spans="1:9" x14ac:dyDescent="0.25">
      <c r="A1340" s="1">
        <v>-79.962490797042804</v>
      </c>
      <c r="B1340">
        <v>-20.082270451151501</v>
      </c>
      <c r="C1340">
        <v>2.8373245032176499E-2</v>
      </c>
      <c r="D1340">
        <v>0</v>
      </c>
      <c r="E1340">
        <v>0</v>
      </c>
      <c r="F1340">
        <v>0</v>
      </c>
      <c r="G1340" s="1">
        <v>2.5714886924390601E-5</v>
      </c>
      <c r="H1340">
        <v>0.702790186881316</v>
      </c>
      <c r="I1340">
        <v>0</v>
      </c>
    </row>
    <row r="1341" spans="1:9" x14ac:dyDescent="0.25">
      <c r="A1341" s="1">
        <v>-72.451583743095298</v>
      </c>
      <c r="B1341">
        <v>-18.196253020577799</v>
      </c>
      <c r="C1341">
        <v>3.2347428333976101E-2</v>
      </c>
      <c r="D1341">
        <v>0</v>
      </c>
      <c r="E1341">
        <v>0</v>
      </c>
      <c r="F1341">
        <v>0</v>
      </c>
      <c r="G1341" s="1">
        <v>3.5048849235117498E-5</v>
      </c>
      <c r="H1341">
        <v>0.71876709060706201</v>
      </c>
      <c r="I1341">
        <v>0</v>
      </c>
    </row>
    <row r="1342" spans="1:9" x14ac:dyDescent="0.25">
      <c r="A1342" s="1">
        <v>-65.560821294784503</v>
      </c>
      <c r="B1342">
        <v>-16.4659065714857</v>
      </c>
      <c r="C1342">
        <v>3.7237532152895103E-2</v>
      </c>
      <c r="D1342">
        <v>0</v>
      </c>
      <c r="E1342">
        <v>0</v>
      </c>
      <c r="F1342">
        <v>0</v>
      </c>
      <c r="G1342" s="1">
        <v>4.7257413434102998E-5</v>
      </c>
      <c r="H1342">
        <v>0.72874561834335205</v>
      </c>
      <c r="I1342">
        <v>0</v>
      </c>
    </row>
    <row r="1343" spans="1:9" x14ac:dyDescent="0.25">
      <c r="A1343" s="1">
        <v>-59.238972067832897</v>
      </c>
      <c r="B1343">
        <v>-14.878388942667</v>
      </c>
      <c r="C1343">
        <v>4.3136731448660502E-2</v>
      </c>
      <c r="D1343">
        <v>0</v>
      </c>
      <c r="E1343">
        <v>0</v>
      </c>
      <c r="F1343">
        <v>0</v>
      </c>
      <c r="G1343" s="1">
        <v>6.3192996064671499E-5</v>
      </c>
      <c r="H1343">
        <v>0.73526924536680405</v>
      </c>
      <c r="I1343">
        <v>0</v>
      </c>
    </row>
    <row r="1344" spans="1:9" x14ac:dyDescent="0.25">
      <c r="A1344" s="1">
        <v>-53.439136743545497</v>
      </c>
      <c r="B1344">
        <v>-13.4219110886387</v>
      </c>
      <c r="C1344">
        <v>5.0140521557386901E-2</v>
      </c>
      <c r="D1344">
        <v>0</v>
      </c>
      <c r="E1344">
        <v>0</v>
      </c>
      <c r="F1344">
        <v>0</v>
      </c>
      <c r="G1344" s="1">
        <v>8.3961616413645798E-5</v>
      </c>
      <c r="H1344">
        <v>0.73988381900161104</v>
      </c>
      <c r="I1344">
        <v>0</v>
      </c>
    </row>
    <row r="1345" spans="1:9" x14ac:dyDescent="0.25">
      <c r="A1345" s="1">
        <v>-48.118183016777003</v>
      </c>
      <c r="B1345">
        <v>-12.0856597675762</v>
      </c>
      <c r="C1345">
        <v>5.8348081803903599E-2</v>
      </c>
      <c r="D1345">
        <v>0</v>
      </c>
      <c r="E1345">
        <v>0</v>
      </c>
      <c r="F1345">
        <v>0</v>
      </c>
      <c r="G1345">
        <v>1.11007721774072E-4</v>
      </c>
      <c r="H1345">
        <v>0.74355614631398104</v>
      </c>
      <c r="I1345">
        <v>0</v>
      </c>
    </row>
    <row r="1346" spans="1:9" x14ac:dyDescent="0.25">
      <c r="A1346" s="1">
        <v>-43.236604332923797</v>
      </c>
      <c r="B1346">
        <v>-10.8597118711851</v>
      </c>
      <c r="C1346">
        <v>6.78638648925175E-2</v>
      </c>
      <c r="D1346">
        <v>0</v>
      </c>
      <c r="E1346">
        <v>0</v>
      </c>
      <c r="F1346">
        <v>0</v>
      </c>
      <c r="G1346">
        <v>1.4623251301927099E-4</v>
      </c>
      <c r="H1346">
        <v>0.74691152800279303</v>
      </c>
      <c r="I1346">
        <v>0</v>
      </c>
    </row>
    <row r="1347" spans="1:9" x14ac:dyDescent="0.25">
      <c r="A1347" s="1">
        <v>-38.758049011230398</v>
      </c>
      <c r="B1347">
        <v>-9.7349665154523599</v>
      </c>
      <c r="C1347">
        <v>7.8799597616903402E-2</v>
      </c>
      <c r="D1347">
        <v>0</v>
      </c>
      <c r="E1347">
        <v>0</v>
      </c>
      <c r="F1347">
        <v>0</v>
      </c>
      <c r="G1347">
        <v>1.92153723180013E-4</v>
      </c>
      <c r="H1347">
        <v>0.75036685016943006</v>
      </c>
      <c r="I1347">
        <v>0</v>
      </c>
    </row>
    <row r="1348" spans="1:9" x14ac:dyDescent="0.25">
      <c r="A1348" s="1">
        <v>-34.649320244789102</v>
      </c>
      <c r="B1348">
        <v>-8.7030687733373995</v>
      </c>
      <c r="C1348">
        <v>9.12767487748746E-2</v>
      </c>
      <c r="D1348">
        <v>0</v>
      </c>
      <c r="E1348">
        <v>0</v>
      </c>
      <c r="F1348">
        <v>0</v>
      </c>
      <c r="G1348">
        <v>2.5211458698748803E-4</v>
      </c>
      <c r="H1348">
        <v>0.75420245434932898</v>
      </c>
      <c r="I1348">
        <v>0</v>
      </c>
    </row>
    <row r="1349" spans="1:9" x14ac:dyDescent="0.25">
      <c r="A1349" s="1">
        <v>-30.879811048507602</v>
      </c>
      <c r="B1349">
        <v>-7.7563574368886101</v>
      </c>
      <c r="C1349">
        <v>0.10542934581023999</v>
      </c>
      <c r="D1349">
        <v>0</v>
      </c>
      <c r="E1349">
        <v>0</v>
      </c>
      <c r="F1349">
        <v>0</v>
      </c>
      <c r="G1349">
        <v>3.3054839190725698E-4</v>
      </c>
      <c r="H1349">
        <v>0.75859843788650805</v>
      </c>
      <c r="I1349">
        <v>0</v>
      </c>
    </row>
    <row r="1350" spans="1:9" x14ac:dyDescent="0.25">
      <c r="A1350" s="1">
        <v>-27.4215984344482</v>
      </c>
      <c r="B1350">
        <v>-6.8877991975105699</v>
      </c>
      <c r="C1350">
        <v>0.121407091002288</v>
      </c>
      <c r="D1350">
        <v>0</v>
      </c>
      <c r="E1350">
        <v>0</v>
      </c>
      <c r="F1350">
        <v>0</v>
      </c>
      <c r="G1350">
        <v>4.3330283926536602E-4</v>
      </c>
      <c r="H1350">
        <v>0.76365296585346099</v>
      </c>
      <c r="I1350">
        <v>0</v>
      </c>
    </row>
    <row r="1351" spans="1:9" x14ac:dyDescent="0.25">
      <c r="A1351" s="1">
        <v>-24.248878359794599</v>
      </c>
      <c r="B1351">
        <v>-6.0909437213844999</v>
      </c>
      <c r="C1351">
        <v>0.13937835694204601</v>
      </c>
      <c r="D1351">
        <v>0</v>
      </c>
      <c r="E1351">
        <v>0</v>
      </c>
      <c r="F1351">
        <v>0</v>
      </c>
      <c r="G1351">
        <v>5.6802585501372898E-4</v>
      </c>
      <c r="H1351">
        <v>0.76939371186921901</v>
      </c>
      <c r="I1351">
        <v>0</v>
      </c>
    </row>
    <row r="1352" spans="1:9" x14ac:dyDescent="0.25">
      <c r="A1352" s="1">
        <v>-21.3381540775299</v>
      </c>
      <c r="B1352">
        <v>-5.3598724563426696</v>
      </c>
      <c r="C1352">
        <v>0.15953269915565499</v>
      </c>
      <c r="D1352">
        <v>0</v>
      </c>
      <c r="E1352">
        <v>0</v>
      </c>
      <c r="F1352">
        <v>0</v>
      </c>
      <c r="G1352">
        <v>7.4461185356938103E-4</v>
      </c>
      <c r="H1352">
        <v>0.77578943654848398</v>
      </c>
      <c r="I1352">
        <v>0</v>
      </c>
    </row>
    <row r="1353" spans="1:9" x14ac:dyDescent="0.25">
      <c r="A1353" s="1">
        <v>-18.6677181720733</v>
      </c>
      <c r="B1353">
        <v>-4.6891557968042203</v>
      </c>
      <c r="C1353">
        <v>0.18208246561399799</v>
      </c>
      <c r="D1353">
        <v>0</v>
      </c>
      <c r="E1353">
        <v>0</v>
      </c>
      <c r="F1353">
        <v>0</v>
      </c>
      <c r="G1353">
        <v>9.7570469561560405E-4</v>
      </c>
      <c r="H1353">
        <v>0.78276427813895499</v>
      </c>
      <c r="I1353">
        <v>0</v>
      </c>
    </row>
    <row r="1354" spans="1:9" x14ac:dyDescent="0.25">
      <c r="A1354" s="1">
        <v>-16.2178409099578</v>
      </c>
      <c r="B1354">
        <v>-4.0738123382262303</v>
      </c>
      <c r="C1354">
        <v>0.20726326170215201</v>
      </c>
      <c r="D1354">
        <v>0</v>
      </c>
      <c r="E1354">
        <v>0</v>
      </c>
      <c r="F1354">
        <v>0</v>
      </c>
      <c r="G1354">
        <v>1.27725114987015E-3</v>
      </c>
      <c r="H1354">
        <v>0.79021383672025103</v>
      </c>
      <c r="I1354">
        <v>0</v>
      </c>
    </row>
    <row r="1355" spans="1:9" x14ac:dyDescent="0.25">
      <c r="A1355" s="1">
        <v>-13.9702051877975</v>
      </c>
      <c r="B1355">
        <v>-3.5092691763124799</v>
      </c>
      <c r="C1355">
        <v>0.23533259107792101</v>
      </c>
      <c r="D1355">
        <v>0</v>
      </c>
      <c r="E1355">
        <v>0</v>
      </c>
      <c r="F1355">
        <v>0</v>
      </c>
      <c r="G1355">
        <v>1.6690965727093499E-3</v>
      </c>
      <c r="H1355">
        <v>0.79802094663567602</v>
      </c>
      <c r="I1355">
        <v>0</v>
      </c>
    </row>
    <row r="1356" spans="1:9" x14ac:dyDescent="0.25">
      <c r="A1356" s="1">
        <v>-11.908189058303799</v>
      </c>
      <c r="B1356">
        <v>-2.9913352656930101</v>
      </c>
      <c r="C1356">
        <v>0.26656700326309402</v>
      </c>
      <c r="D1356">
        <v>0</v>
      </c>
      <c r="E1356">
        <v>0</v>
      </c>
      <c r="F1356">
        <v>0</v>
      </c>
      <c r="G1356">
        <v>2.1756124353464602E-3</v>
      </c>
      <c r="H1356">
        <v>0.80606882115800704</v>
      </c>
      <c r="I1356">
        <v>0</v>
      </c>
    </row>
    <row r="1357" spans="1:9" x14ac:dyDescent="0.25">
      <c r="A1357" s="1">
        <v>-10.016394853591899</v>
      </c>
      <c r="B1357">
        <v>-2.5161611967540698</v>
      </c>
      <c r="C1357">
        <v>0.301257175697352</v>
      </c>
      <c r="D1357">
        <v>0</v>
      </c>
      <c r="E1357">
        <v>0</v>
      </c>
      <c r="F1357">
        <v>0</v>
      </c>
      <c r="G1357">
        <v>2.82634370957112E-3</v>
      </c>
      <c r="H1357">
        <v>0.81425005630268499</v>
      </c>
      <c r="I1357">
        <v>0</v>
      </c>
    </row>
    <row r="1358" spans="1:9" x14ac:dyDescent="0.25">
      <c r="A1358" s="1">
        <v>-8.2808375358581507</v>
      </c>
      <c r="B1358">
        <v>-2.0802172557271401</v>
      </c>
      <c r="C1358">
        <v>0.33970142204940701</v>
      </c>
      <c r="D1358">
        <v>0</v>
      </c>
      <c r="E1358">
        <v>0</v>
      </c>
      <c r="F1358">
        <v>0</v>
      </c>
      <c r="G1358">
        <v>3.6566593201541701E-3</v>
      </c>
      <c r="H1358">
        <v>0.82247146056356601</v>
      </c>
      <c r="I1358">
        <v>0</v>
      </c>
    </row>
    <row r="1359" spans="1:9" x14ac:dyDescent="0.25">
      <c r="A1359" s="1">
        <v>-6.6885209083557102</v>
      </c>
      <c r="B1359">
        <v>-1.68026521623203</v>
      </c>
      <c r="C1359">
        <v>0.38219787715357101</v>
      </c>
      <c r="D1359">
        <v>0</v>
      </c>
      <c r="E1359">
        <v>0</v>
      </c>
      <c r="F1359">
        <v>0</v>
      </c>
      <c r="G1359">
        <v>4.7083977671081804E-3</v>
      </c>
      <c r="H1359">
        <v>0.83065580132522798</v>
      </c>
      <c r="I1359">
        <v>0</v>
      </c>
    </row>
    <row r="1360" spans="1:9" x14ac:dyDescent="0.25">
      <c r="A1360" s="1">
        <v>-5.2277201414108196</v>
      </c>
      <c r="B1360">
        <v>-1.3133343098505801</v>
      </c>
      <c r="C1360">
        <v>0.42903528703796201</v>
      </c>
      <c r="D1360">
        <v>0</v>
      </c>
      <c r="E1360">
        <v>0</v>
      </c>
      <c r="F1360">
        <v>0</v>
      </c>
      <c r="G1360">
        <v>6.0305181282637897E-3</v>
      </c>
      <c r="H1360">
        <v>0.83874193236071104</v>
      </c>
      <c r="I1360">
        <v>0</v>
      </c>
    </row>
    <row r="1361" spans="1:9" x14ac:dyDescent="0.25">
      <c r="A1361" s="1">
        <v>-3.88755798339843</v>
      </c>
      <c r="B1361">
        <v>-0.976697719079203</v>
      </c>
      <c r="C1361">
        <v>0.48048322668262999</v>
      </c>
      <c r="D1361">
        <v>0</v>
      </c>
      <c r="E1361">
        <v>0</v>
      </c>
      <c r="F1361">
        <v>0</v>
      </c>
      <c r="G1361">
        <v>7.6795695313921896E-3</v>
      </c>
      <c r="H1361">
        <v>0.84667982757938898</v>
      </c>
      <c r="I1361">
        <v>0</v>
      </c>
    </row>
    <row r="1362" spans="1:9" x14ac:dyDescent="0.25">
      <c r="A1362" s="1">
        <v>-2.6580518484115601</v>
      </c>
      <c r="B1362">
        <v>-0.66785481644863498</v>
      </c>
      <c r="C1362">
        <v>0.53678344443441595</v>
      </c>
      <c r="D1362">
        <v>0</v>
      </c>
      <c r="E1362">
        <v>0</v>
      </c>
      <c r="F1362">
        <v>0</v>
      </c>
      <c r="G1362">
        <v>9.7199160000127401E-3</v>
      </c>
      <c r="H1362">
        <v>0.85442562517813103</v>
      </c>
      <c r="I1362">
        <v>0</v>
      </c>
    </row>
    <row r="1363" spans="1:9" x14ac:dyDescent="0.25">
      <c r="A1363" s="1">
        <v>-1.5300196409225399</v>
      </c>
      <c r="B1363">
        <v>-0.38451079174945402</v>
      </c>
      <c r="C1363">
        <v>0.59814024071604099</v>
      </c>
      <c r="D1363">
        <v>0</v>
      </c>
      <c r="E1363">
        <v>0</v>
      </c>
      <c r="F1363">
        <v>0</v>
      </c>
      <c r="G1363">
        <v>1.22213179648679E-2</v>
      </c>
      <c r="H1363">
        <v>0.86191371261299599</v>
      </c>
      <c r="I1363">
        <v>0</v>
      </c>
    </row>
    <row r="1364" spans="1:9" x14ac:dyDescent="0.25">
      <c r="A1364" s="1">
        <v>-0.49517393112182601</v>
      </c>
      <c r="B1364">
        <v>-0.124560458288289</v>
      </c>
      <c r="C1364">
        <v>0.66471152630592001</v>
      </c>
      <c r="D1364">
        <v>0</v>
      </c>
      <c r="E1364">
        <v>0</v>
      </c>
      <c r="F1364">
        <v>0</v>
      </c>
      <c r="G1364">
        <v>1.5460678437157101E-2</v>
      </c>
      <c r="H1364">
        <v>0.87080058379543301</v>
      </c>
      <c r="I1364">
        <v>0</v>
      </c>
    </row>
    <row r="1365" spans="1:9" x14ac:dyDescent="0.25">
      <c r="A1365" s="1">
        <v>0.49376130104064903</v>
      </c>
      <c r="B1365">
        <v>0.35061883443897202</v>
      </c>
      <c r="C1365">
        <v>0.81793541267056002</v>
      </c>
      <c r="D1365">
        <v>0.133293367823169</v>
      </c>
      <c r="E1365">
        <v>-2.10740933161984E-4</v>
      </c>
      <c r="F1365" s="1">
        <v>2.90375311611599E-5</v>
      </c>
      <c r="G1365">
        <v>6.8117321341695403E-2</v>
      </c>
      <c r="H1365">
        <v>0.97981394494448504</v>
      </c>
      <c r="I1365" s="1">
        <v>8.9377129056270597E-7</v>
      </c>
    </row>
    <row r="1366" spans="1:9" x14ac:dyDescent="0.25">
      <c r="A1366" s="1">
        <v>1.5257111191749499</v>
      </c>
      <c r="B1366">
        <v>1.0828826903544799</v>
      </c>
      <c r="C1366">
        <v>1.14137402748851</v>
      </c>
      <c r="D1366">
        <v>0.540357326246523</v>
      </c>
      <c r="E1366">
        <v>-2.4550602129205898E-3</v>
      </c>
      <c r="F1366">
        <v>1.49015604739971E-4</v>
      </c>
      <c r="G1366">
        <v>7.9462861659214207E-2</v>
      </c>
      <c r="H1366">
        <v>0.97217459815127605</v>
      </c>
      <c r="I1366" s="1">
        <v>2.5540903698606801E-5</v>
      </c>
    </row>
    <row r="1367" spans="1:9" x14ac:dyDescent="0.25">
      <c r="A1367" s="1">
        <v>2.6505178213119498</v>
      </c>
      <c r="B1367">
        <v>1.8761752816562101</v>
      </c>
      <c r="C1367">
        <v>1.62393141135145</v>
      </c>
      <c r="D1367">
        <v>1.18407499219338</v>
      </c>
      <c r="E1367">
        <v>-1.12492692383089E-2</v>
      </c>
      <c r="F1367">
        <v>3.6484470053714502E-4</v>
      </c>
      <c r="G1367">
        <v>8.8616537210601407E-2</v>
      </c>
      <c r="H1367">
        <v>0.96028671784298203</v>
      </c>
      <c r="I1367">
        <v>1.2426965871152501E-4</v>
      </c>
    </row>
    <row r="1368" spans="1:9" x14ac:dyDescent="0.25">
      <c r="A1368" s="1">
        <v>3.8765159249305698</v>
      </c>
      <c r="B1368">
        <v>2.7272246885292701</v>
      </c>
      <c r="C1368">
        <v>2.2964762422056699</v>
      </c>
      <c r="D1368">
        <v>2.0963861271481199</v>
      </c>
      <c r="E1368">
        <v>-3.1641873342073697E-2</v>
      </c>
      <c r="F1368">
        <v>6.7289803604706595E-4</v>
      </c>
      <c r="G1368">
        <v>9.4652820054785203E-2</v>
      </c>
      <c r="H1368">
        <v>0.942732147013291</v>
      </c>
      <c r="I1368">
        <v>2.9297084679165902E-4</v>
      </c>
    </row>
    <row r="1369" spans="1:9" x14ac:dyDescent="0.25">
      <c r="A1369" s="1">
        <v>5.2129346132278398</v>
      </c>
      <c r="B1369">
        <v>3.62578810683382</v>
      </c>
      <c r="C1369">
        <v>3.15662780493613</v>
      </c>
      <c r="D1369">
        <v>3.249785526927</v>
      </c>
      <c r="E1369">
        <v>-6.8894005200179895E-2</v>
      </c>
      <c r="F1369">
        <v>1.0337573719176E-3</v>
      </c>
      <c r="G1369">
        <v>9.6348740915043904E-2</v>
      </c>
      <c r="H1369">
        <v>0.91740824117955799</v>
      </c>
      <c r="I1369">
        <v>5.6293031591311805E-4</v>
      </c>
    </row>
    <row r="1370" spans="1:9" x14ac:dyDescent="0.25">
      <c r="A1370" s="1">
        <v>6.6695916652679399</v>
      </c>
      <c r="B1370">
        <v>4.5531739077942897</v>
      </c>
      <c r="C1370">
        <v>4.1454541547070498</v>
      </c>
      <c r="D1370">
        <v>4.5282119985149301</v>
      </c>
      <c r="E1370">
        <v>-0.12585368974066499</v>
      </c>
      <c r="F1370">
        <v>1.36879568031781E-3</v>
      </c>
      <c r="G1370">
        <v>9.4836845084733404E-2</v>
      </c>
      <c r="H1370">
        <v>0.88365961863020404</v>
      </c>
      <c r="I1370">
        <v>1.3035912111153899E-3</v>
      </c>
    </row>
    <row r="1371" spans="1:9" x14ac:dyDescent="0.25">
      <c r="A1371" s="1">
        <v>8.2573878765106201</v>
      </c>
      <c r="B1371">
        <v>5.4833387151685304</v>
      </c>
      <c r="C1371">
        <v>5.1474201119173602</v>
      </c>
      <c r="D1371">
        <v>5.7462653169862303</v>
      </c>
      <c r="E1371">
        <v>-0.20082500714391899</v>
      </c>
      <c r="F1371">
        <v>1.5857496471183201E-3</v>
      </c>
      <c r="G1371">
        <v>9.3399459455363307E-2</v>
      </c>
      <c r="H1371">
        <v>0.84512603009785403</v>
      </c>
      <c r="I1371">
        <v>3.52446035570546E-3</v>
      </c>
    </row>
    <row r="1372" spans="1:9" x14ac:dyDescent="0.25">
      <c r="A1372" s="1">
        <v>9.9880245327949506</v>
      </c>
      <c r="B1372">
        <v>6.3873266295360001</v>
      </c>
      <c r="C1372">
        <v>6.0269128300029102</v>
      </c>
      <c r="D1372">
        <v>6.7209938249036298</v>
      </c>
      <c r="E1372">
        <v>-0.287489287124719</v>
      </c>
      <c r="F1372">
        <v>1.61200918284149E-3</v>
      </c>
      <c r="G1372">
        <v>9.4837621350093507E-2</v>
      </c>
      <c r="H1372">
        <v>0.80880483093462896</v>
      </c>
      <c r="I1372">
        <v>7.5090480962267904E-3</v>
      </c>
    </row>
    <row r="1373" spans="1:9" x14ac:dyDescent="0.25">
      <c r="A1373" s="1">
        <v>11.874474287032999</v>
      </c>
      <c r="B1373">
        <v>7.2397602750167698</v>
      </c>
      <c r="C1373">
        <v>6.6809528782409799</v>
      </c>
      <c r="D1373">
        <v>7.3451346814914</v>
      </c>
      <c r="E1373">
        <v>-0.37745647623440298</v>
      </c>
      <c r="F1373">
        <v>1.44191588689043E-3</v>
      </c>
      <c r="G1373">
        <v>9.8987588156503298E-2</v>
      </c>
      <c r="H1373">
        <v>0.77861568078478405</v>
      </c>
      <c r="I1373">
        <v>1.0653001238897401E-2</v>
      </c>
    </row>
    <row r="1374" spans="1:9" x14ac:dyDescent="0.25">
      <c r="A1374" s="1">
        <v>13.9306750893592</v>
      </c>
      <c r="B1374">
        <v>8.0238613495782491</v>
      </c>
      <c r="C1374">
        <v>7.06862809550928</v>
      </c>
      <c r="D1374">
        <v>7.60767461699787</v>
      </c>
      <c r="E1374">
        <v>-0.463407708113801</v>
      </c>
      <c r="F1374">
        <v>1.14809427178151E-3</v>
      </c>
      <c r="G1374">
        <v>0.10340900809709</v>
      </c>
      <c r="H1374">
        <v>0.75329249143559596</v>
      </c>
      <c r="I1374">
        <v>1.01319971018798E-2</v>
      </c>
    </row>
    <row r="1375" spans="1:9" x14ac:dyDescent="0.25">
      <c r="A1375" s="1">
        <v>16.171883344650201</v>
      </c>
      <c r="B1375">
        <v>8.7325377117090408</v>
      </c>
      <c r="C1375">
        <v>7.2042377945879101</v>
      </c>
      <c r="D1375">
        <v>7.5643050178177003</v>
      </c>
      <c r="E1375">
        <v>-0.54065820764717498</v>
      </c>
      <c r="F1375">
        <v>8.5351910608794405E-4</v>
      </c>
      <c r="G1375">
        <v>0.105767443542519</v>
      </c>
      <c r="H1375">
        <v>0.73012160544274596</v>
      </c>
      <c r="I1375">
        <v>6.1390432698469203E-3</v>
      </c>
    </row>
    <row r="1376" spans="1:9" x14ac:dyDescent="0.25">
      <c r="A1376" s="1">
        <v>18.614838719367899</v>
      </c>
      <c r="B1376">
        <v>9.3663120014306607</v>
      </c>
      <c r="C1376">
        <v>7.1328602628664104</v>
      </c>
      <c r="D1376">
        <v>7.29594490322346</v>
      </c>
      <c r="E1376">
        <v>-0.60708790813239</v>
      </c>
      <c r="F1376">
        <v>6.8585858537867101E-4</v>
      </c>
      <c r="G1376">
        <v>0.105123347944832</v>
      </c>
      <c r="H1376">
        <v>0.70738605329322701</v>
      </c>
      <c r="I1376">
        <v>7.1310130955324995E-4</v>
      </c>
    </row>
    <row r="1377" spans="1:9" x14ac:dyDescent="0.25">
      <c r="A1377" s="1">
        <v>21.2777170538902</v>
      </c>
      <c r="B1377">
        <v>9.9303043148659604</v>
      </c>
      <c r="C1377">
        <v>6.9084891834921596</v>
      </c>
      <c r="D1377">
        <v>6.8807092746573604</v>
      </c>
      <c r="E1377">
        <v>-0.66236944293603395</v>
      </c>
      <c r="F1377">
        <v>7.3595791590536303E-4</v>
      </c>
      <c r="G1377">
        <v>0.101763511273768</v>
      </c>
      <c r="H1377">
        <v>0.68450154933243101</v>
      </c>
      <c r="I1377">
        <v>-4.4073556024033797E-3</v>
      </c>
    </row>
    <row r="1378" spans="1:9" x14ac:dyDescent="0.25">
      <c r="A1378" s="1">
        <v>24.180224537849401</v>
      </c>
      <c r="B1378">
        <v>10.431762397120901</v>
      </c>
      <c r="C1378">
        <v>6.5815203775463296</v>
      </c>
      <c r="D1378">
        <v>6.3821595143726801</v>
      </c>
      <c r="E1378">
        <v>-0.707178168430452</v>
      </c>
      <c r="F1378">
        <v>1.0364507670533301E-3</v>
      </c>
      <c r="G1378">
        <v>9.6504139257700003E-2</v>
      </c>
      <c r="H1378">
        <v>0.661509098400483</v>
      </c>
      <c r="I1378">
        <v>-8.4310386542710506E-3</v>
      </c>
    </row>
    <row r="1379" spans="1:9" x14ac:dyDescent="0.25">
      <c r="A1379" s="1">
        <v>27.343950867652801</v>
      </c>
      <c r="B1379">
        <v>10.8785592807636</v>
      </c>
      <c r="C1379">
        <v>6.1937936559697802</v>
      </c>
      <c r="D1379">
        <v>5.8474541802932398</v>
      </c>
      <c r="E1379">
        <v>-0.742624336863</v>
      </c>
      <c r="F1379">
        <v>1.51303875176209E-3</v>
      </c>
      <c r="G1379">
        <v>9.0141420723805904E-2</v>
      </c>
      <c r="H1379">
        <v>0.63872964874689797</v>
      </c>
      <c r="I1379">
        <v>-1.12141682710375E-2</v>
      </c>
    </row>
    <row r="1380" spans="1:9" x14ac:dyDescent="0.25">
      <c r="A1380" s="1">
        <v>30.7923927903175</v>
      </c>
      <c r="B1380">
        <v>11.278446545283501</v>
      </c>
      <c r="C1380">
        <v>5.77768519919774</v>
      </c>
      <c r="D1380">
        <v>5.3096661367194997</v>
      </c>
      <c r="E1380">
        <v>-0.76992639274751895</v>
      </c>
      <c r="F1380">
        <v>2.0740545754041502E-3</v>
      </c>
      <c r="G1380">
        <v>8.3243218774263605E-2</v>
      </c>
      <c r="H1380">
        <v>0.616588266570268</v>
      </c>
      <c r="I1380">
        <v>-1.28731677663344E-2</v>
      </c>
    </row>
    <row r="1381" spans="1:9" x14ac:dyDescent="0.25">
      <c r="A1381" s="1">
        <v>34.551213085651298</v>
      </c>
      <c r="B1381">
        <v>11.638684211689201</v>
      </c>
      <c r="C1381">
        <v>5.3568331956359998</v>
      </c>
      <c r="D1381">
        <v>4.7907493402509402</v>
      </c>
      <c r="E1381">
        <v>-0.79025513552228999</v>
      </c>
      <c r="F1381">
        <v>2.6695551202171198E-3</v>
      </c>
      <c r="G1381">
        <v>7.6152734708401199E-2</v>
      </c>
      <c r="H1381">
        <v>0.59551327775159602</v>
      </c>
      <c r="I1381">
        <v>-1.35951954703233E-2</v>
      </c>
    </row>
    <row r="1382" spans="1:9" x14ac:dyDescent="0.25">
      <c r="A1382" s="1">
        <v>38.6483111977577</v>
      </c>
      <c r="B1382">
        <v>11.965849551855801</v>
      </c>
      <c r="C1382">
        <v>4.94738367365043</v>
      </c>
      <c r="D1382">
        <v>4.3042606887525201</v>
      </c>
      <c r="E1382">
        <v>-0.80463061441961403</v>
      </c>
      <c r="F1382">
        <v>3.16716389444312E-3</v>
      </c>
      <c r="G1382">
        <v>6.9082233597589401E-2</v>
      </c>
      <c r="H1382">
        <v>0.57592272979591297</v>
      </c>
      <c r="I1382">
        <v>-1.35757906059318E-2</v>
      </c>
    </row>
    <row r="1383" spans="1:9" x14ac:dyDescent="0.25">
      <c r="A1383" s="1">
        <v>43.1141293048858</v>
      </c>
      <c r="B1383">
        <v>12.2657905968085</v>
      </c>
      <c r="C1383">
        <v>4.5595419257854601</v>
      </c>
      <c r="D1383">
        <v>3.8578674388968102</v>
      </c>
      <c r="E1383">
        <v>-0.81389122262222402</v>
      </c>
      <c r="F1383">
        <v>3.5183599305821101E-3</v>
      </c>
      <c r="G1383">
        <v>6.2174655991253297E-2</v>
      </c>
      <c r="H1383">
        <v>0.55810553364154003</v>
      </c>
      <c r="I1383">
        <v>-1.30004936444479E-2</v>
      </c>
    </row>
    <row r="1384" spans="1:9" x14ac:dyDescent="0.25">
      <c r="A1384" s="1">
        <v>47.981887757778097</v>
      </c>
      <c r="B1384">
        <v>12.5435300190181</v>
      </c>
      <c r="C1384">
        <v>4.1991164934713696</v>
      </c>
      <c r="D1384">
        <v>3.4550969453933602</v>
      </c>
      <c r="E1384">
        <v>-0.81873814149131097</v>
      </c>
      <c r="F1384">
        <v>3.66557033661316E-3</v>
      </c>
      <c r="G1384">
        <v>5.5529902037501203E-2</v>
      </c>
      <c r="H1384">
        <v>0.54209059456043596</v>
      </c>
      <c r="I1384">
        <v>-1.20483914381543E-2</v>
      </c>
    </row>
    <row r="1385" spans="1:9" x14ac:dyDescent="0.25">
      <c r="A1385" s="1">
        <v>53.287820518016801</v>
      </c>
      <c r="B1385">
        <v>12.803272445704</v>
      </c>
      <c r="C1385">
        <v>3.8684574038395199</v>
      </c>
      <c r="D1385">
        <v>3.0961579394426701</v>
      </c>
      <c r="E1385">
        <v>-0.81970324125830396</v>
      </c>
      <c r="F1385">
        <v>3.55376619873727E-3</v>
      </c>
      <c r="G1385">
        <v>4.9252033731663897E-2</v>
      </c>
      <c r="H1385">
        <v>0.52787204227726603</v>
      </c>
      <c r="I1385">
        <v>-1.08823442979485E-2</v>
      </c>
    </row>
    <row r="1386" spans="1:9" x14ac:dyDescent="0.25">
      <c r="A1386" s="1">
        <v>59.071175158023799</v>
      </c>
      <c r="B1386">
        <v>13.048538187816</v>
      </c>
      <c r="C1386">
        <v>3.5677017155768498</v>
      </c>
      <c r="D1386">
        <v>2.7790709113727599</v>
      </c>
      <c r="E1386">
        <v>-0.81719462559633804</v>
      </c>
      <c r="F1386">
        <v>3.1362090563353999E-3</v>
      </c>
      <c r="G1386">
        <v>4.3443600583928002E-2</v>
      </c>
      <c r="H1386">
        <v>0.51534519258034095</v>
      </c>
      <c r="I1386">
        <v>-9.6548341703066205E-3</v>
      </c>
    </row>
    <row r="1387" spans="1:9" x14ac:dyDescent="0.25">
      <c r="A1387" s="1">
        <v>65.375131070613804</v>
      </c>
      <c r="B1387">
        <v>13.282225925493201</v>
      </c>
      <c r="C1387">
        <v>3.2958422333220798</v>
      </c>
      <c r="D1387">
        <v>2.5009808217899199</v>
      </c>
      <c r="E1387">
        <v>-0.81151839709007501</v>
      </c>
      <c r="F1387">
        <v>2.5041737440455402E-3</v>
      </c>
      <c r="G1387">
        <v>3.8158545816244401E-2</v>
      </c>
      <c r="H1387">
        <v>0.50411725665797003</v>
      </c>
      <c r="I1387">
        <v>-8.4655789503938293E-3</v>
      </c>
    </row>
    <row r="1388" spans="1:9" x14ac:dyDescent="0.25">
      <c r="A1388" s="1">
        <v>72.246375679969702</v>
      </c>
      <c r="B1388">
        <v>13.5067192733467</v>
      </c>
      <c r="C1388">
        <v>3.0505758560913301</v>
      </c>
      <c r="D1388">
        <v>2.2581248022820501</v>
      </c>
      <c r="E1388">
        <v>-0.80291374843040497</v>
      </c>
      <c r="F1388">
        <v>1.7598488083019699E-3</v>
      </c>
      <c r="G1388">
        <v>3.3425306141373699E-2</v>
      </c>
      <c r="H1388">
        <v>0.49391877020352698</v>
      </c>
      <c r="I1388">
        <v>-7.37638742878365E-3</v>
      </c>
    </row>
    <row r="1389" spans="1:9" x14ac:dyDescent="0.25">
      <c r="A1389" s="1">
        <v>79.736069738864799</v>
      </c>
      <c r="B1389">
        <v>13.7239865548156</v>
      </c>
      <c r="C1389">
        <v>2.8288083194990499</v>
      </c>
      <c r="D1389">
        <v>2.0460290932174998</v>
      </c>
      <c r="E1389">
        <v>-0.79152245684164801</v>
      </c>
      <c r="F1389">
        <v>1.0877920357088E-3</v>
      </c>
      <c r="G1389">
        <v>2.9208366301879601E-2</v>
      </c>
      <c r="H1389">
        <v>0.48431159710249899</v>
      </c>
      <c r="I1389">
        <v>-6.3968281259761204E-3</v>
      </c>
    </row>
    <row r="1390" spans="1:9" x14ac:dyDescent="0.25">
      <c r="A1390" s="1">
        <v>87.899753153324099</v>
      </c>
      <c r="B1390">
        <v>13.935603264457701</v>
      </c>
      <c r="C1390">
        <v>2.6271214542878001</v>
      </c>
      <c r="D1390">
        <v>1.8601593080284899</v>
      </c>
      <c r="E1390">
        <v>-0.77739214071307206</v>
      </c>
      <c r="F1390">
        <v>6.9484350235436004E-4</v>
      </c>
      <c r="G1390">
        <v>2.5473375324389501E-2</v>
      </c>
      <c r="H1390">
        <v>0.47518661954895702</v>
      </c>
      <c r="I1390">
        <v>-5.53523437410125E-3</v>
      </c>
    </row>
    <row r="1391" spans="1:9" x14ac:dyDescent="0.25">
      <c r="A1391" s="1">
        <v>96.798263192176805</v>
      </c>
      <c r="B1391">
        <v>14.142811619135699</v>
      </c>
      <c r="C1391">
        <v>2.44237292538432</v>
      </c>
      <c r="D1391">
        <v>1.69658795589515</v>
      </c>
      <c r="E1391">
        <v>-0.76060359639608499</v>
      </c>
      <c r="F1391">
        <v>7.5417136704570805E-4</v>
      </c>
      <c r="G1391">
        <v>2.2177357188018901E-2</v>
      </c>
      <c r="H1391">
        <v>0.466310611576431</v>
      </c>
      <c r="I1391">
        <v>-4.7820305732694298E-3</v>
      </c>
    </row>
    <row r="1392" spans="1:9" x14ac:dyDescent="0.25">
      <c r="A1392" s="1">
        <v>106.497616767883</v>
      </c>
      <c r="B1392">
        <v>14.3466642121963</v>
      </c>
      <c r="C1392">
        <v>2.2714062340305698</v>
      </c>
      <c r="D1392">
        <v>1.5516046407725299</v>
      </c>
      <c r="E1392">
        <v>-0.74107686983371601</v>
      </c>
      <c r="F1392">
        <v>1.0081258415226199E-3</v>
      </c>
      <c r="G1392">
        <v>1.92823271425763E-2</v>
      </c>
      <c r="H1392">
        <v>0.45764591938721599</v>
      </c>
      <c r="I1392">
        <v>-4.1302621669905898E-3</v>
      </c>
    </row>
    <row r="1393" spans="1:9" x14ac:dyDescent="0.25">
      <c r="A1393" s="1">
        <v>117.06990510225199</v>
      </c>
      <c r="B1393">
        <v>14.548317067994899</v>
      </c>
      <c r="C1393">
        <v>2.11041878853506</v>
      </c>
      <c r="D1393">
        <v>1.42113278648123</v>
      </c>
      <c r="E1393">
        <v>-0.71857694944780603</v>
      </c>
      <c r="F1393">
        <v>1.19844119223628E-3</v>
      </c>
      <c r="G1393">
        <v>1.6747405561549699E-2</v>
      </c>
      <c r="H1393">
        <v>0.44981860131026802</v>
      </c>
      <c r="I1393">
        <v>-3.56773013032646E-3</v>
      </c>
    </row>
    <row r="1394" spans="1:9" x14ac:dyDescent="0.25">
      <c r="A1394" s="1">
        <v>128.593670427799</v>
      </c>
      <c r="B1394">
        <v>14.748723527900101</v>
      </c>
      <c r="C1394">
        <v>1.9575261034859599</v>
      </c>
      <c r="D1394">
        <v>1.3026715374465001</v>
      </c>
      <c r="E1394">
        <v>-0.69314064078971704</v>
      </c>
      <c r="F1394">
        <v>1.5177502348857699E-3</v>
      </c>
      <c r="G1394">
        <v>1.44989284920533E-2</v>
      </c>
      <c r="H1394">
        <v>0.44243265226077</v>
      </c>
      <c r="I1394">
        <v>-3.06563436860008E-3</v>
      </c>
    </row>
    <row r="1395" spans="1:9" x14ac:dyDescent="0.25">
      <c r="A1395" s="1">
        <v>141.15461230278001</v>
      </c>
      <c r="B1395">
        <v>14.9483286586769</v>
      </c>
      <c r="C1395">
        <v>1.8109316799980699</v>
      </c>
      <c r="D1395">
        <v>1.1938046961715501</v>
      </c>
      <c r="E1395">
        <v>-0.66455090616593004</v>
      </c>
      <c r="F1395">
        <v>2.1653566610800499E-3</v>
      </c>
      <c r="G1395">
        <v>1.24888867930893E-2</v>
      </c>
      <c r="H1395">
        <v>0.435264971082295</v>
      </c>
      <c r="I1395">
        <v>-2.6151551872028401E-3</v>
      </c>
    </row>
    <row r="1396" spans="1:9" x14ac:dyDescent="0.25">
      <c r="A1396" s="1">
        <v>154.84601140022201</v>
      </c>
      <c r="B1396">
        <v>15.146927687823</v>
      </c>
      <c r="C1396">
        <v>1.66921829118939</v>
      </c>
      <c r="D1396">
        <v>1.09255484722079</v>
      </c>
      <c r="E1396">
        <v>-0.63263458727174404</v>
      </c>
      <c r="F1396">
        <v>2.2852327850424702E-3</v>
      </c>
      <c r="G1396">
        <v>1.06829745434628E-2</v>
      </c>
      <c r="H1396">
        <v>0.42781662172409102</v>
      </c>
      <c r="I1396">
        <v>-2.2095050317333699E-3</v>
      </c>
    </row>
    <row r="1397" spans="1:9" x14ac:dyDescent="0.25">
      <c r="A1397" s="1">
        <v>169.76969480514501</v>
      </c>
      <c r="B1397">
        <v>15.344469422213001</v>
      </c>
      <c r="C1397">
        <v>1.5301392046801201</v>
      </c>
      <c r="D1397">
        <v>0.99654623146265697</v>
      </c>
      <c r="E1397">
        <v>-0.59692565490997895</v>
      </c>
      <c r="F1397">
        <v>1.9008905380037901E-3</v>
      </c>
      <c r="G1397">
        <v>9.0650077278732599E-3</v>
      </c>
      <c r="H1397">
        <v>0.42036981142581997</v>
      </c>
      <c r="I1397">
        <v>-1.8457324513192199E-3</v>
      </c>
    </row>
    <row r="1398" spans="1:9" x14ac:dyDescent="0.25">
      <c r="A1398" s="1">
        <v>186.03645980358101</v>
      </c>
      <c r="B1398">
        <v>15.541473106405901</v>
      </c>
      <c r="C1398">
        <v>1.39189606170723</v>
      </c>
      <c r="D1398">
        <v>0.90401780578934299</v>
      </c>
      <c r="E1398">
        <v>-0.55694416445495099</v>
      </c>
      <c r="F1398">
        <v>1.7288584779258001E-3</v>
      </c>
      <c r="G1398">
        <v>7.6163433378497397E-3</v>
      </c>
      <c r="H1398">
        <v>0.41346952536447901</v>
      </c>
      <c r="I1398">
        <v>-1.5226771923189E-3</v>
      </c>
    </row>
    <row r="1399" spans="1:9" x14ac:dyDescent="0.25">
      <c r="A1399" s="1">
        <v>203.76720398664401</v>
      </c>
      <c r="B1399">
        <v>15.7374874050908</v>
      </c>
      <c r="C1399">
        <v>1.25442519722302</v>
      </c>
      <c r="D1399">
        <v>0.81338402930611597</v>
      </c>
      <c r="E1399">
        <v>-0.51257957154978295</v>
      </c>
      <c r="F1399">
        <v>1.51833716326544E-3</v>
      </c>
      <c r="G1399">
        <v>6.3127465356958203E-3</v>
      </c>
      <c r="H1399">
        <v>0.40620310059558801</v>
      </c>
      <c r="I1399">
        <v>-1.2343405802092101E-3</v>
      </c>
    </row>
    <row r="1400" spans="1:9" x14ac:dyDescent="0.25">
      <c r="A1400" s="1">
        <v>223.09376105666101</v>
      </c>
      <c r="B1400">
        <v>15.9308511535816</v>
      </c>
      <c r="C1400">
        <v>1.11684781896801</v>
      </c>
      <c r="D1400">
        <v>0.72362550191655095</v>
      </c>
      <c r="E1400">
        <v>-0.463374235688021</v>
      </c>
      <c r="F1400">
        <v>1.21275393433071E-3</v>
      </c>
      <c r="G1400">
        <v>5.1292065064218002E-3</v>
      </c>
      <c r="H1400">
        <v>0.39883859529230098</v>
      </c>
      <c r="I1400">
        <v>-9.7073325900343295E-4</v>
      </c>
    </row>
    <row r="1401" spans="1:9" x14ac:dyDescent="0.25">
      <c r="A1401" s="1">
        <v>244.15970131754801</v>
      </c>
      <c r="B1401">
        <v>16.1201570633046</v>
      </c>
      <c r="C1401">
        <v>0.97825065540966905</v>
      </c>
      <c r="D1401">
        <v>0.63317512738495296</v>
      </c>
      <c r="E1401">
        <v>-0.40872472604661098</v>
      </c>
      <c r="F1401">
        <v>4.3354537422792097E-4</v>
      </c>
      <c r="G1401">
        <v>4.0661830499416299E-3</v>
      </c>
      <c r="H1401">
        <v>0.39203121886168701</v>
      </c>
      <c r="I1401">
        <v>-7.3593031747972001E-4</v>
      </c>
    </row>
    <row r="1402" spans="1:9" x14ac:dyDescent="0.25">
      <c r="A1402" s="1">
        <v>267.12157949805197</v>
      </c>
      <c r="B1402">
        <v>16.302535184956302</v>
      </c>
      <c r="C1402">
        <v>0.83953166985556804</v>
      </c>
      <c r="D1402">
        <v>0.54258029112517003</v>
      </c>
      <c r="E1402">
        <v>-0.34826812475212499</v>
      </c>
      <c r="F1402">
        <v>-5.7388541918007704E-4</v>
      </c>
      <c r="G1402">
        <v>3.1340388792188601E-3</v>
      </c>
      <c r="H1402">
        <v>0.38626007609597601</v>
      </c>
      <c r="I1402">
        <v>-5.37794773340988E-4</v>
      </c>
    </row>
    <row r="1403" spans="1:9" x14ac:dyDescent="0.25">
      <c r="A1403" s="1">
        <v>292.15002954006098</v>
      </c>
      <c r="B1403">
        <v>16.473179633281401</v>
      </c>
      <c r="C1403">
        <v>0.70110983554655804</v>
      </c>
      <c r="D1403">
        <v>0.45090635135961399</v>
      </c>
      <c r="E1403">
        <v>-0.28149725153657601</v>
      </c>
      <c r="F1403">
        <v>-1.1310943737547199E-3</v>
      </c>
      <c r="G1403">
        <v>2.3378064980689702E-3</v>
      </c>
      <c r="H1403">
        <v>0.38279271461257902</v>
      </c>
      <c r="I1403">
        <v>-3.7766705418282803E-4</v>
      </c>
    </row>
    <row r="1404" spans="1:9" x14ac:dyDescent="0.25">
      <c r="A1404" s="1">
        <v>319.43101242184599</v>
      </c>
      <c r="B1404">
        <v>16.622502667195398</v>
      </c>
      <c r="C1404">
        <v>0.57031893677468304</v>
      </c>
      <c r="D1404">
        <v>0.36272411604788901</v>
      </c>
      <c r="E1404">
        <v>-0.20807904534503899</v>
      </c>
      <c r="F1404">
        <v>-8.4473564394438902E-4</v>
      </c>
      <c r="G1404">
        <v>1.6942767521466E-3</v>
      </c>
      <c r="H1404">
        <v>0.38297580990892199</v>
      </c>
      <c r="I1404">
        <v>-2.60101519807824E-4</v>
      </c>
    </row>
    <row r="1405" spans="1:9" x14ac:dyDescent="0.25">
      <c r="A1405" s="1">
        <v>349.16732590645501</v>
      </c>
      <c r="B1405">
        <v>16.738379874005201</v>
      </c>
      <c r="C1405">
        <v>0.46152531345454201</v>
      </c>
      <c r="D1405">
        <v>0.28725000686025698</v>
      </c>
      <c r="E1405">
        <v>-0.126703460367207</v>
      </c>
      <c r="F1405">
        <v>-9.7700683197156205E-4</v>
      </c>
      <c r="G1405">
        <v>1.2501572279648499E-3</v>
      </c>
      <c r="H1405">
        <v>0.388043678203354</v>
      </c>
      <c r="I1405">
        <v>-1.9037744499844601E-4</v>
      </c>
    </row>
    <row r="1406" spans="1:9" x14ac:dyDescent="0.25">
      <c r="A1406" s="1">
        <v>379.83785875141598</v>
      </c>
      <c r="B1406">
        <v>16.799583867489499</v>
      </c>
      <c r="C1406">
        <v>0.39938343414093103</v>
      </c>
      <c r="D1406">
        <v>0.24317924711146699</v>
      </c>
      <c r="E1406">
        <v>-4.1847067237244198E-2</v>
      </c>
      <c r="F1406">
        <v>-1.3355919050382901E-3</v>
      </c>
      <c r="G1406">
        <v>1.0193277901468401E-3</v>
      </c>
      <c r="H1406">
        <v>0.40932842256271501</v>
      </c>
      <c r="I1406">
        <v>-1.50931729600658E-4</v>
      </c>
    </row>
    <row r="1407" spans="1:9" x14ac:dyDescent="0.25">
      <c r="A1407" s="1" t="s">
        <v>542</v>
      </c>
      <c r="B1407" s="1" t="s">
        <v>614</v>
      </c>
      <c r="C1407" s="1" t="s">
        <v>615</v>
      </c>
      <c r="D1407" s="1" t="s">
        <v>616</v>
      </c>
      <c r="E1407" s="1" t="s">
        <v>617</v>
      </c>
      <c r="F1407" s="1" t="s">
        <v>618</v>
      </c>
      <c r="G1407" s="1" t="s">
        <v>400</v>
      </c>
      <c r="H1407" s="1" t="s">
        <v>619</v>
      </c>
      <c r="I1407" s="1" t="s">
        <v>613</v>
      </c>
    </row>
    <row r="1408" spans="1:9" x14ac:dyDescent="0.25">
      <c r="A1408" s="1">
        <v>-141.555516719818</v>
      </c>
      <c r="B1408">
        <v>-71.082178128093204</v>
      </c>
      <c r="C1408">
        <v>2.7804381735913701E-2</v>
      </c>
      <c r="D1408">
        <v>0</v>
      </c>
      <c r="E1408">
        <v>0</v>
      </c>
      <c r="F1408">
        <v>0</v>
      </c>
      <c r="G1408" s="1">
        <v>5.02527037241407E-6</v>
      </c>
      <c r="H1408">
        <v>4.2762213848570797E-2</v>
      </c>
      <c r="I1408">
        <v>0</v>
      </c>
    </row>
    <row r="1409" spans="1:9" x14ac:dyDescent="0.25">
      <c r="A1409" s="1">
        <v>-128.95890593528699</v>
      </c>
      <c r="B1409">
        <v>-64.757883873909407</v>
      </c>
      <c r="C1409">
        <v>2.8418662264411299E-2</v>
      </c>
      <c r="D1409">
        <v>0</v>
      </c>
      <c r="E1409">
        <v>0</v>
      </c>
      <c r="F1409">
        <v>0</v>
      </c>
      <c r="G1409" s="1">
        <v>6.9421724288076804E-6</v>
      </c>
      <c r="H1409">
        <v>0.26791470595191003</v>
      </c>
      <c r="I1409">
        <v>0</v>
      </c>
    </row>
    <row r="1410" spans="1:9" x14ac:dyDescent="0.25">
      <c r="A1410" s="1">
        <v>-117.402367591857</v>
      </c>
      <c r="B1410">
        <v>-58.955596518099</v>
      </c>
      <c r="C1410">
        <v>2.9683810604961398E-2</v>
      </c>
      <c r="D1410">
        <v>0</v>
      </c>
      <c r="E1410">
        <v>0</v>
      </c>
      <c r="F1410">
        <v>0</v>
      </c>
      <c r="G1410" s="1">
        <v>1.0596490151186799E-5</v>
      </c>
      <c r="H1410">
        <v>0.46677232305057897</v>
      </c>
      <c r="I1410">
        <v>0</v>
      </c>
    </row>
    <row r="1411" spans="1:9" x14ac:dyDescent="0.25">
      <c r="A1411" s="1">
        <v>-106.80001378059301</v>
      </c>
      <c r="B1411">
        <v>-53.632242791682202</v>
      </c>
      <c r="C1411">
        <v>3.1737269938482499E-2</v>
      </c>
      <c r="D1411">
        <v>0</v>
      </c>
      <c r="E1411">
        <v>0</v>
      </c>
      <c r="F1411">
        <v>0</v>
      </c>
      <c r="G1411" s="1">
        <v>1.6034537977844801E-5</v>
      </c>
      <c r="H1411">
        <v>0.58852345352166102</v>
      </c>
      <c r="I1411">
        <v>0</v>
      </c>
    </row>
    <row r="1412" spans="1:9" x14ac:dyDescent="0.25">
      <c r="A1412" s="1">
        <v>-97.073161005973802</v>
      </c>
      <c r="B1412">
        <v>-48.748301601737502</v>
      </c>
      <c r="C1412">
        <v>3.4754081143828802E-2</v>
      </c>
      <c r="D1412">
        <v>0</v>
      </c>
      <c r="E1412">
        <v>0</v>
      </c>
      <c r="F1412">
        <v>0</v>
      </c>
      <c r="G1412" s="1">
        <v>2.3541103269941701E-5</v>
      </c>
      <c r="H1412">
        <v>0.65810999739457998</v>
      </c>
      <c r="I1412">
        <v>0</v>
      </c>
    </row>
    <row r="1413" spans="1:9" x14ac:dyDescent="0.25">
      <c r="A1413" s="1">
        <v>-88.149435520172105</v>
      </c>
      <c r="B1413">
        <v>-44.267511499255598</v>
      </c>
      <c r="C1413">
        <v>3.8920375068309997E-2</v>
      </c>
      <c r="D1413">
        <v>0</v>
      </c>
      <c r="E1413">
        <v>0</v>
      </c>
      <c r="F1413">
        <v>0</v>
      </c>
      <c r="G1413" s="1">
        <v>3.3638658487013999E-5</v>
      </c>
      <c r="H1413">
        <v>0.69784675451664102</v>
      </c>
      <c r="I1413">
        <v>0</v>
      </c>
    </row>
    <row r="1414" spans="1:9" x14ac:dyDescent="0.25">
      <c r="A1414" s="1">
        <v>-79.962490797042804</v>
      </c>
      <c r="B1414">
        <v>-40.156607400208401</v>
      </c>
      <c r="C1414">
        <v>4.4425018725611803E-2</v>
      </c>
      <c r="D1414">
        <v>0</v>
      </c>
      <c r="E1414">
        <v>0</v>
      </c>
      <c r="F1414">
        <v>0</v>
      </c>
      <c r="G1414" s="1">
        <v>4.7102772505382902E-5</v>
      </c>
      <c r="H1414">
        <v>0.72081625471872002</v>
      </c>
      <c r="I1414">
        <v>0</v>
      </c>
    </row>
    <row r="1415" spans="1:9" x14ac:dyDescent="0.25">
      <c r="A1415" s="1">
        <v>-72.451583743095298</v>
      </c>
      <c r="B1415">
        <v>-36.385057306617199</v>
      </c>
      <c r="C1415">
        <v>5.1459215153817302E-2</v>
      </c>
      <c r="D1415">
        <v>0</v>
      </c>
      <c r="E1415">
        <v>0</v>
      </c>
      <c r="F1415">
        <v>0</v>
      </c>
      <c r="G1415" s="1">
        <v>6.49974998310654E-5</v>
      </c>
      <c r="H1415">
        <v>0.73432258217985702</v>
      </c>
      <c r="I1415">
        <v>0</v>
      </c>
    </row>
    <row r="1416" spans="1:9" x14ac:dyDescent="0.25">
      <c r="A1416" s="1">
        <v>-65.560821294784503</v>
      </c>
      <c r="B1416">
        <v>-32.924855444535297</v>
      </c>
      <c r="C1416">
        <v>6.02190428639389E-2</v>
      </c>
      <c r="D1416">
        <v>0</v>
      </c>
      <c r="E1416">
        <v>0</v>
      </c>
      <c r="F1416">
        <v>0</v>
      </c>
      <c r="G1416" s="1">
        <v>8.8738000733314901E-5</v>
      </c>
      <c r="H1416">
        <v>0.74250138480537398</v>
      </c>
      <c r="I1416">
        <v>0</v>
      </c>
    </row>
    <row r="1417" spans="1:9" x14ac:dyDescent="0.25">
      <c r="A1417" s="1">
        <v>-59.238972067832897</v>
      </c>
      <c r="B1417">
        <v>-29.750304954453998</v>
      </c>
      <c r="C1417">
        <v>7.09087620409556E-2</v>
      </c>
      <c r="D1417">
        <v>0</v>
      </c>
      <c r="E1417">
        <v>0</v>
      </c>
      <c r="F1417">
        <v>0</v>
      </c>
      <c r="G1417">
        <v>1.20189671151393E-4</v>
      </c>
      <c r="H1417">
        <v>0.74775043496071603</v>
      </c>
      <c r="I1417">
        <v>0</v>
      </c>
    </row>
    <row r="1418" spans="1:9" x14ac:dyDescent="0.25">
      <c r="A1418" s="1">
        <v>-53.439136743545497</v>
      </c>
      <c r="B1418">
        <v>-26.8378256558922</v>
      </c>
      <c r="C1418">
        <v>8.3744207926622197E-2</v>
      </c>
      <c r="D1418">
        <v>0</v>
      </c>
      <c r="E1418">
        <v>0</v>
      </c>
      <c r="F1418">
        <v>0</v>
      </c>
      <c r="G1418">
        <v>1.6181577589307399E-4</v>
      </c>
      <c r="H1418">
        <v>0.75149456214113997</v>
      </c>
      <c r="I1418">
        <v>0</v>
      </c>
    </row>
    <row r="1419" spans="1:9" x14ac:dyDescent="0.25">
      <c r="A1419" s="1">
        <v>-48.118183016777003</v>
      </c>
      <c r="B1419">
        <v>-24.165786886170199</v>
      </c>
      <c r="C1419">
        <v>9.8956461395603601E-2</v>
      </c>
      <c r="D1419">
        <v>0</v>
      </c>
      <c r="E1419">
        <v>0</v>
      </c>
      <c r="F1419">
        <v>0</v>
      </c>
      <c r="G1419">
        <v>2.16889157926516E-4</v>
      </c>
      <c r="H1419">
        <v>0.75460435671825998</v>
      </c>
      <c r="I1419">
        <v>0</v>
      </c>
    </row>
    <row r="1420" spans="1:9" x14ac:dyDescent="0.25">
      <c r="A1420" s="1">
        <v>-43.236604332923797</v>
      </c>
      <c r="B1420">
        <v>-21.714340339183501</v>
      </c>
      <c r="C1420">
        <v>0.116796087330841</v>
      </c>
      <c r="D1420">
        <v>0</v>
      </c>
      <c r="E1420">
        <v>0</v>
      </c>
      <c r="F1420">
        <v>0</v>
      </c>
      <c r="G1420">
        <v>2.8978623241982801E-4</v>
      </c>
      <c r="H1420">
        <v>0.75762784902667701</v>
      </c>
      <c r="I1420">
        <v>0</v>
      </c>
    </row>
    <row r="1421" spans="1:9" x14ac:dyDescent="0.25">
      <c r="A1421" s="1">
        <v>-38.758049011230398</v>
      </c>
      <c r="B1421">
        <v>-19.465277978360401</v>
      </c>
      <c r="C1421">
        <v>0.13753829399609999</v>
      </c>
      <c r="D1421">
        <v>0</v>
      </c>
      <c r="E1421">
        <v>0</v>
      </c>
      <c r="F1421">
        <v>0</v>
      </c>
      <c r="G1421">
        <v>3.8638318007713199E-4</v>
      </c>
      <c r="H1421">
        <v>0.76091710939937396</v>
      </c>
      <c r="I1421">
        <v>0</v>
      </c>
    </row>
    <row r="1422" spans="1:9" x14ac:dyDescent="0.25">
      <c r="A1422" s="1">
        <v>-34.649320244789102</v>
      </c>
      <c r="B1422">
        <v>-17.401896218165501</v>
      </c>
      <c r="C1422">
        <v>0.16148914753149099</v>
      </c>
      <c r="D1422">
        <v>0</v>
      </c>
      <c r="E1422">
        <v>0</v>
      </c>
      <c r="F1422">
        <v>0</v>
      </c>
      <c r="G1422">
        <v>5.1457294375779796E-4</v>
      </c>
      <c r="H1422">
        <v>0.76469452465479604</v>
      </c>
      <c r="I1422">
        <v>0</v>
      </c>
    </row>
    <row r="1423" spans="1:9" x14ac:dyDescent="0.25">
      <c r="A1423" s="1">
        <v>-30.879811048507602</v>
      </c>
      <c r="B1423">
        <v>-15.508862195119001</v>
      </c>
      <c r="C1423">
        <v>0.18899260908725801</v>
      </c>
      <c r="D1423">
        <v>0</v>
      </c>
      <c r="E1423">
        <v>0</v>
      </c>
      <c r="F1423">
        <v>0</v>
      </c>
      <c r="G1423">
        <v>6.8491848574922195E-4</v>
      </c>
      <c r="H1423">
        <v>0.76908626552942105</v>
      </c>
      <c r="I1423">
        <v>0</v>
      </c>
    </row>
    <row r="1424" spans="1:9" x14ac:dyDescent="0.25">
      <c r="A1424" s="1">
        <v>-27.4215984344482</v>
      </c>
      <c r="B1424">
        <v>-13.772115560575999</v>
      </c>
      <c r="C1424">
        <v>0.22043793856808599</v>
      </c>
      <c r="D1424">
        <v>0</v>
      </c>
      <c r="E1424">
        <v>0</v>
      </c>
      <c r="F1424">
        <v>0</v>
      </c>
      <c r="G1424">
        <v>9.1145196543720899E-4</v>
      </c>
      <c r="H1424">
        <v>0.77414077588757602</v>
      </c>
      <c r="I1424">
        <v>0</v>
      </c>
    </row>
    <row r="1425" spans="1:9" x14ac:dyDescent="0.25">
      <c r="A1425" s="1">
        <v>-24.248878359794599</v>
      </c>
      <c r="B1425">
        <v>-12.178754602141399</v>
      </c>
      <c r="C1425">
        <v>0.25626673176688702</v>
      </c>
      <c r="D1425">
        <v>0</v>
      </c>
      <c r="E1425">
        <v>0</v>
      </c>
      <c r="F1425">
        <v>0</v>
      </c>
      <c r="G1425">
        <v>1.21262295506312E-3</v>
      </c>
      <c r="H1425">
        <v>0.77984267259347095</v>
      </c>
      <c r="I1425">
        <v>0</v>
      </c>
    </row>
    <row r="1426" spans="1:9" x14ac:dyDescent="0.25">
      <c r="A1426" s="1">
        <v>-21.3381540775299</v>
      </c>
      <c r="B1426">
        <v>-10.7169422154796</v>
      </c>
      <c r="C1426">
        <v>0.29697859835711399</v>
      </c>
      <c r="D1426">
        <v>0</v>
      </c>
      <c r="E1426">
        <v>0</v>
      </c>
      <c r="F1426">
        <v>0</v>
      </c>
      <c r="G1426">
        <v>1.6123908370286699E-3</v>
      </c>
      <c r="H1426">
        <v>0.78612776835562004</v>
      </c>
      <c r="I1426">
        <v>0</v>
      </c>
    </row>
    <row r="1427" spans="1:9" x14ac:dyDescent="0.25">
      <c r="A1427" s="1">
        <v>-18.6677181720733</v>
      </c>
      <c r="B1427">
        <v>-9.3758181446713795</v>
      </c>
      <c r="C1427">
        <v>0.343134470329229</v>
      </c>
      <c r="D1427">
        <v>0</v>
      </c>
      <c r="E1427">
        <v>0</v>
      </c>
      <c r="F1427">
        <v>0</v>
      </c>
      <c r="G1427">
        <v>2.1414479309896698E-3</v>
      </c>
      <c r="H1427">
        <v>0.79289960347056099</v>
      </c>
      <c r="I1427">
        <v>0</v>
      </c>
    </row>
    <row r="1428" spans="1:9" x14ac:dyDescent="0.25">
      <c r="A1428" s="1">
        <v>-16.2178409099578</v>
      </c>
      <c r="B1428">
        <v>-8.1454206253883896</v>
      </c>
      <c r="C1428">
        <v>0.39535651257349802</v>
      </c>
      <c r="D1428">
        <v>0</v>
      </c>
      <c r="E1428">
        <v>0</v>
      </c>
      <c r="F1428">
        <v>0</v>
      </c>
      <c r="G1428">
        <v>2.8385562103448998E-3</v>
      </c>
      <c r="H1428">
        <v>0.80004634103157701</v>
      </c>
      <c r="I1428">
        <v>0</v>
      </c>
    </row>
    <row r="1429" spans="1:9" x14ac:dyDescent="0.25">
      <c r="A1429" s="1">
        <v>-13.9702051877975</v>
      </c>
      <c r="B1429">
        <v>-7.0166064609324099</v>
      </c>
      <c r="C1429">
        <v>0.45432426005687898</v>
      </c>
      <c r="D1429">
        <v>0</v>
      </c>
      <c r="E1429">
        <v>0</v>
      </c>
      <c r="F1429">
        <v>0</v>
      </c>
      <c r="G1429">
        <v>3.7519666532625701E-3</v>
      </c>
      <c r="H1429">
        <v>0.80745475383408405</v>
      </c>
      <c r="I1429">
        <v>0</v>
      </c>
    </row>
    <row r="1430" spans="1:9" x14ac:dyDescent="0.25">
      <c r="A1430" s="1">
        <v>-11.908189058303799</v>
      </c>
      <c r="B1430">
        <v>-5.98098990391171</v>
      </c>
      <c r="C1430">
        <v>0.52076578340347601</v>
      </c>
      <c r="D1430">
        <v>0</v>
      </c>
      <c r="E1430">
        <v>0</v>
      </c>
      <c r="F1430">
        <v>0</v>
      </c>
      <c r="G1430">
        <v>4.9408940338207599E-3</v>
      </c>
      <c r="H1430">
        <v>0.815020476674581</v>
      </c>
      <c r="I1430">
        <v>0</v>
      </c>
    </row>
    <row r="1431" spans="1:9" x14ac:dyDescent="0.25">
      <c r="A1431" s="1">
        <v>-10.016394853591899</v>
      </c>
      <c r="B1431">
        <v>-5.0308773588871096</v>
      </c>
      <c r="C1431">
        <v>0.59544484858435998</v>
      </c>
      <c r="D1431">
        <v>0</v>
      </c>
      <c r="E1431">
        <v>0</v>
      </c>
      <c r="F1431">
        <v>0</v>
      </c>
      <c r="G1431">
        <v>6.4770045572640801E-3</v>
      </c>
      <c r="H1431">
        <v>0.82265340924394503</v>
      </c>
      <c r="I1431">
        <v>0</v>
      </c>
    </row>
    <row r="1432" spans="1:9" x14ac:dyDescent="0.25">
      <c r="A1432" s="1">
        <v>-8.2808375358581507</v>
      </c>
      <c r="B1432">
        <v>-4.1592093983215701</v>
      </c>
      <c r="C1432">
        <v>0.67914310501096598</v>
      </c>
      <c r="D1432">
        <v>0</v>
      </c>
      <c r="E1432">
        <v>0</v>
      </c>
      <c r="F1432">
        <v>0</v>
      </c>
      <c r="G1432">
        <v>8.4458783580066595E-3</v>
      </c>
      <c r="H1432">
        <v>0.83027952741566602</v>
      </c>
      <c r="I1432">
        <v>0</v>
      </c>
    </row>
    <row r="1433" spans="1:9" x14ac:dyDescent="0.25">
      <c r="A1433" s="1">
        <v>-6.6885209083557102</v>
      </c>
      <c r="B1433">
        <v>-3.3595098306441198</v>
      </c>
      <c r="C1433">
        <v>0.772639376511153</v>
      </c>
      <c r="D1433">
        <v>0</v>
      </c>
      <c r="E1433">
        <v>0</v>
      </c>
      <c r="F1433">
        <v>0</v>
      </c>
      <c r="G1433">
        <v>1.0948415526272501E-2</v>
      </c>
      <c r="H1433">
        <v>0.83784025050025901</v>
      </c>
      <c r="I1433">
        <v>0</v>
      </c>
    </row>
    <row r="1434" spans="1:9" x14ac:dyDescent="0.25">
      <c r="A1434" s="1">
        <v>-5.2277201414108196</v>
      </c>
      <c r="B1434">
        <v>-2.6258368578290101</v>
      </c>
      <c r="C1434">
        <v>0.87668573328599397</v>
      </c>
      <c r="D1434">
        <v>0</v>
      </c>
      <c r="E1434">
        <v>0</v>
      </c>
      <c r="F1434">
        <v>0</v>
      </c>
      <c r="G1434">
        <v>1.4102213517744501E-2</v>
      </c>
      <c r="H1434">
        <v>0.84529122357348296</v>
      </c>
      <c r="I1434">
        <v>0</v>
      </c>
    </row>
    <row r="1435" spans="1:9" x14ac:dyDescent="0.25">
      <c r="A1435" s="1">
        <v>-3.88755798339843</v>
      </c>
      <c r="B1435">
        <v>-1.9527394567632499</v>
      </c>
      <c r="C1435">
        <v>0.99198234779262495</v>
      </c>
      <c r="D1435">
        <v>0</v>
      </c>
      <c r="E1435">
        <v>0</v>
      </c>
      <c r="F1435">
        <v>0</v>
      </c>
      <c r="G1435">
        <v>1.8042643124099401E-2</v>
      </c>
      <c r="H1435">
        <v>0.852597936185299</v>
      </c>
      <c r="I1435">
        <v>0</v>
      </c>
    </row>
    <row r="1436" spans="1:9" x14ac:dyDescent="0.25">
      <c r="A1436" s="1">
        <v>-2.6580518484115601</v>
      </c>
      <c r="B1436">
        <v>-1.3352161113189001</v>
      </c>
      <c r="C1436">
        <v>1.1191534236335099</v>
      </c>
      <c r="D1436">
        <v>0</v>
      </c>
      <c r="E1436">
        <v>0</v>
      </c>
      <c r="F1436">
        <v>0</v>
      </c>
      <c r="G1436">
        <v>2.2922843476262601E-2</v>
      </c>
      <c r="H1436">
        <v>0.85972754887589498</v>
      </c>
      <c r="I1436">
        <v>0</v>
      </c>
    </row>
    <row r="1437" spans="1:9" x14ac:dyDescent="0.25">
      <c r="A1437" s="1">
        <v>-1.5300196409225399</v>
      </c>
      <c r="B1437">
        <v>-0.76867863761889899</v>
      </c>
      <c r="C1437">
        <v>1.25872666536693</v>
      </c>
      <c r="D1437">
        <v>0</v>
      </c>
      <c r="E1437">
        <v>0</v>
      </c>
      <c r="F1437">
        <v>0</v>
      </c>
      <c r="G1437">
        <v>2.89086320556089E-2</v>
      </c>
      <c r="H1437">
        <v>0.86662716274873197</v>
      </c>
      <c r="I1437">
        <v>0</v>
      </c>
    </row>
    <row r="1438" spans="1:9" x14ac:dyDescent="0.25">
      <c r="A1438" s="1">
        <v>-0.49517393112182601</v>
      </c>
      <c r="B1438">
        <v>-0.248917641736801</v>
      </c>
      <c r="C1438">
        <v>1.41110588107629</v>
      </c>
      <c r="D1438">
        <v>0</v>
      </c>
      <c r="E1438">
        <v>0</v>
      </c>
      <c r="F1438">
        <v>0</v>
      </c>
      <c r="G1438">
        <v>3.69576328873518E-2</v>
      </c>
      <c r="H1438">
        <v>0.87592816298952902</v>
      </c>
      <c r="I1438">
        <v>0</v>
      </c>
    </row>
    <row r="1439" spans="1:9" x14ac:dyDescent="0.25">
      <c r="A1439" s="1">
        <v>0.49376130104064903</v>
      </c>
      <c r="B1439">
        <v>0.350478750125154</v>
      </c>
      <c r="C1439">
        <v>1.62364155655003</v>
      </c>
      <c r="D1439">
        <v>0.188087715334192</v>
      </c>
      <c r="E1439">
        <v>-2.8434115500591898E-4</v>
      </c>
      <c r="F1439" s="1">
        <v>5.9291958706305002E-5</v>
      </c>
      <c r="G1439">
        <v>4.6730875435797001E-2</v>
      </c>
      <c r="H1439">
        <v>0.93957520471832701</v>
      </c>
      <c r="I1439" s="1">
        <v>7.8265684026235095E-7</v>
      </c>
    </row>
    <row r="1440" spans="1:9" x14ac:dyDescent="0.25">
      <c r="A1440" s="1">
        <v>1.5257111191749499</v>
      </c>
      <c r="B1440">
        <v>1.0823577597604499</v>
      </c>
      <c r="C1440">
        <v>1.95021578226767</v>
      </c>
      <c r="D1440">
        <v>0.68450013289445999</v>
      </c>
      <c r="E1440">
        <v>-2.9267305123083301E-3</v>
      </c>
      <c r="F1440">
        <v>2.2767092194004199E-4</v>
      </c>
      <c r="G1440">
        <v>6.2164151090205302E-2</v>
      </c>
      <c r="H1440">
        <v>0.94086210405338899</v>
      </c>
      <c r="I1440" s="1">
        <v>2.5328339104753499E-5</v>
      </c>
    </row>
    <row r="1441" spans="1:9" x14ac:dyDescent="0.25">
      <c r="A1441" s="1">
        <v>2.6505178213119498</v>
      </c>
      <c r="B1441">
        <v>1.87470386591576</v>
      </c>
      <c r="C1441">
        <v>2.40591846214094</v>
      </c>
      <c r="D1441">
        <v>1.3902613405170201</v>
      </c>
      <c r="E1441">
        <v>-1.24939917493834E-2</v>
      </c>
      <c r="F1441">
        <v>4.76355498813642E-4</v>
      </c>
      <c r="G1441">
        <v>7.6470937712147899E-2</v>
      </c>
      <c r="H1441">
        <v>0.93557816825020501</v>
      </c>
      <c r="I1441">
        <v>1.29795860193445E-4</v>
      </c>
    </row>
    <row r="1442" spans="1:9" x14ac:dyDescent="0.25">
      <c r="A1442" s="1">
        <v>3.8765159249305698</v>
      </c>
      <c r="B1442">
        <v>2.7240000388335801</v>
      </c>
      <c r="C1442">
        <v>3.0224539315174499</v>
      </c>
      <c r="D1442">
        <v>2.3347337680110298</v>
      </c>
      <c r="E1442">
        <v>-3.3710644369169103E-2</v>
      </c>
      <c r="F1442">
        <v>7.9956773588658805E-4</v>
      </c>
      <c r="G1442">
        <v>8.7825224564849105E-2</v>
      </c>
      <c r="H1442">
        <v>0.92369117629965503</v>
      </c>
      <c r="I1442">
        <v>3.1336572701735497E-4</v>
      </c>
    </row>
    <row r="1443" spans="1:9" x14ac:dyDescent="0.25">
      <c r="A1443" s="1">
        <v>5.2129346132278398</v>
      </c>
      <c r="B1443">
        <v>3.6199642306643001</v>
      </c>
      <c r="C1443">
        <v>3.8029565136891899</v>
      </c>
      <c r="D1443">
        <v>3.4919356519123501</v>
      </c>
      <c r="E1443">
        <v>-7.1588504021447202E-2</v>
      </c>
      <c r="F1443">
        <v>1.1581396310880901E-3</v>
      </c>
      <c r="G1443">
        <v>9.4001695678726196E-2</v>
      </c>
      <c r="H1443">
        <v>0.90357382038966105</v>
      </c>
      <c r="I1443">
        <v>6.1705230753734399E-4</v>
      </c>
    </row>
    <row r="1444" spans="1:9" x14ac:dyDescent="0.25">
      <c r="A1444" s="1">
        <v>6.6695916652679399</v>
      </c>
      <c r="B1444">
        <v>4.5441179431958503</v>
      </c>
      <c r="C1444">
        <v>4.6983514730815701</v>
      </c>
      <c r="D1444">
        <v>4.7523421792887097</v>
      </c>
      <c r="E1444">
        <v>-0.12881107570082301</v>
      </c>
      <c r="F1444">
        <v>1.4781182470809499E-3</v>
      </c>
      <c r="G1444">
        <v>9.5505218832474398E-2</v>
      </c>
      <c r="H1444">
        <v>0.87492511350294599</v>
      </c>
      <c r="I1444">
        <v>1.42442872161333E-3</v>
      </c>
    </row>
    <row r="1445" spans="1:9" x14ac:dyDescent="0.25">
      <c r="A1445" s="1">
        <v>8.2573878765106201</v>
      </c>
      <c r="B1445">
        <v>5.4708334015200304</v>
      </c>
      <c r="C1445">
        <v>5.6047337320986301</v>
      </c>
      <c r="D1445">
        <v>5.9401287585803297</v>
      </c>
      <c r="E1445">
        <v>-0.20367101488900499</v>
      </c>
      <c r="F1445">
        <v>1.67413427496076E-3</v>
      </c>
      <c r="G1445">
        <v>9.5569474575039601E-2</v>
      </c>
      <c r="H1445">
        <v>0.84101440033761599</v>
      </c>
      <c r="I1445">
        <v>3.72577633205377E-3</v>
      </c>
    </row>
    <row r="1446" spans="1:9" x14ac:dyDescent="0.25">
      <c r="A1446" s="1">
        <v>9.9880245327949506</v>
      </c>
      <c r="B1446">
        <v>6.3715983854124696</v>
      </c>
      <c r="C1446">
        <v>6.3961987201460504</v>
      </c>
      <c r="D1446">
        <v>6.8813007835385296</v>
      </c>
      <c r="E1446">
        <v>-0.28997097538961503</v>
      </c>
      <c r="F1446">
        <v>1.67925628080287E-3</v>
      </c>
      <c r="G1446">
        <v>9.7409878057712104E-2</v>
      </c>
      <c r="H1446">
        <v>0.80789900438197804</v>
      </c>
      <c r="I1446">
        <v>7.72134564594545E-3</v>
      </c>
    </row>
    <row r="1447" spans="1:9" x14ac:dyDescent="0.25">
      <c r="A1447" s="1">
        <v>11.874474287032999</v>
      </c>
      <c r="B1447">
        <v>7.2213050174976203</v>
      </c>
      <c r="C1447">
        <v>6.9751266020445097</v>
      </c>
      <c r="D1447">
        <v>7.4743771793729801</v>
      </c>
      <c r="E1447">
        <v>-0.37947688309870797</v>
      </c>
      <c r="F1447">
        <v>1.49115600410671E-3</v>
      </c>
      <c r="G1447">
        <v>0.101390470866319</v>
      </c>
      <c r="H1447">
        <v>0.77924530936277903</v>
      </c>
      <c r="I1447">
        <v>1.07657262028406E-2</v>
      </c>
    </row>
    <row r="1448" spans="1:9" x14ac:dyDescent="0.25">
      <c r="A1448" s="1">
        <v>13.9306750893592</v>
      </c>
      <c r="B1448">
        <v>8.0032199366467491</v>
      </c>
      <c r="C1448">
        <v>7.3018241519669003</v>
      </c>
      <c r="D1448">
        <v>7.7107501746420297</v>
      </c>
      <c r="E1448">
        <v>-0.46497940351231098</v>
      </c>
      <c r="F1448">
        <v>1.18298687841998E-3</v>
      </c>
      <c r="G1448">
        <v>0.105434927408378</v>
      </c>
      <c r="H1448">
        <v>0.75438483225397501</v>
      </c>
      <c r="I1448">
        <v>1.0101054301413399E-2</v>
      </c>
    </row>
    <row r="1449" spans="1:9" x14ac:dyDescent="0.25">
      <c r="A1449" s="1">
        <v>16.171883344650201</v>
      </c>
      <c r="B1449">
        <v>8.7101625234337892</v>
      </c>
      <c r="C1449">
        <v>7.3893574406458296</v>
      </c>
      <c r="D1449">
        <v>7.6464311621405496</v>
      </c>
      <c r="E1449">
        <v>-0.54184293255476501</v>
      </c>
      <c r="F1449">
        <v>8.7604760146936403E-4</v>
      </c>
      <c r="G1449">
        <v>0.107390290784337</v>
      </c>
      <c r="H1449">
        <v>0.73121285223277099</v>
      </c>
      <c r="I1449">
        <v>5.9942423564622697E-3</v>
      </c>
    </row>
    <row r="1450" spans="1:9" x14ac:dyDescent="0.25">
      <c r="A1450" s="1">
        <v>18.614838719367899</v>
      </c>
      <c r="B1450">
        <v>9.3425397109689605</v>
      </c>
      <c r="C1450">
        <v>7.2806392854440301</v>
      </c>
      <c r="D1450">
        <v>7.3616924565165904</v>
      </c>
      <c r="E1450">
        <v>-0.60795833313146197</v>
      </c>
      <c r="F1450">
        <v>6.9612414249416903E-4</v>
      </c>
      <c r="G1450">
        <v>0.106391467727648</v>
      </c>
      <c r="H1450">
        <v>0.708327203520704</v>
      </c>
      <c r="I1450">
        <v>5.0797951448524595E-4</v>
      </c>
    </row>
    <row r="1451" spans="1:9" x14ac:dyDescent="0.25">
      <c r="A1451" s="1">
        <v>21.2777170538902</v>
      </c>
      <c r="B1451">
        <v>9.9053788731324008</v>
      </c>
      <c r="C1451">
        <v>7.0274120589683102</v>
      </c>
      <c r="D1451">
        <v>6.93379131691231</v>
      </c>
      <c r="E1451">
        <v>-0.66299260813445704</v>
      </c>
      <c r="F1451">
        <v>7.3306208432173399E-4</v>
      </c>
      <c r="G1451">
        <v>0.10274657114291801</v>
      </c>
      <c r="H1451">
        <v>0.68526608971074399</v>
      </c>
      <c r="I1451">
        <v>-4.6288924255554198E-3</v>
      </c>
    </row>
    <row r="1452" spans="1:9" x14ac:dyDescent="0.25">
      <c r="A1452" s="1">
        <v>24.180224537849401</v>
      </c>
      <c r="B1452">
        <v>10.405865853138399</v>
      </c>
      <c r="C1452">
        <v>6.6780949614032696</v>
      </c>
      <c r="D1452">
        <v>6.4254269992851798</v>
      </c>
      <c r="E1452">
        <v>-0.70761041726281004</v>
      </c>
      <c r="F1452">
        <v>1.02105700044222E-3</v>
      </c>
      <c r="G1452">
        <v>9.7268694487499904E-2</v>
      </c>
      <c r="H1452">
        <v>0.66211251549959105</v>
      </c>
      <c r="I1452">
        <v>-8.6429595990519404E-3</v>
      </c>
    </row>
    <row r="1453" spans="1:9" x14ac:dyDescent="0.25">
      <c r="A1453" s="1">
        <v>27.343950867652801</v>
      </c>
      <c r="B1453">
        <v>10.851833199195701</v>
      </c>
      <c r="C1453">
        <v>6.27292888105372</v>
      </c>
      <c r="D1453">
        <v>5.8830635643982196</v>
      </c>
      <c r="E1453">
        <v>-0.74291082793733998</v>
      </c>
      <c r="F1453">
        <v>1.48914812438926E-3</v>
      </c>
      <c r="G1453">
        <v>9.07422219302641E-2</v>
      </c>
      <c r="H1453">
        <v>0.63920073029258295</v>
      </c>
      <c r="I1453">
        <v>-1.14046324233657E-2</v>
      </c>
    </row>
    <row r="1454" spans="1:9" x14ac:dyDescent="0.25">
      <c r="A1454" s="1">
        <v>30.7923927903175</v>
      </c>
      <c r="B1454">
        <v>11.2510048047157</v>
      </c>
      <c r="C1454">
        <v>5.8430607621980002</v>
      </c>
      <c r="D1454">
        <v>5.3392527435974699</v>
      </c>
      <c r="E1454">
        <v>-0.77010212322735005</v>
      </c>
      <c r="F1454">
        <v>2.0465676551174E-3</v>
      </c>
      <c r="G1454">
        <v>8.3721646265541405E-2</v>
      </c>
      <c r="H1454">
        <v>0.61695736042888805</v>
      </c>
      <c r="I1454">
        <v>-1.30386144040705E-2</v>
      </c>
    </row>
    <row r="1455" spans="1:9" x14ac:dyDescent="0.25">
      <c r="A1455" s="1">
        <v>34.551213085651298</v>
      </c>
      <c r="B1455">
        <v>11.610620840311199</v>
      </c>
      <c r="C1455">
        <v>5.4112160224457098</v>
      </c>
      <c r="D1455">
        <v>4.8154910713059698</v>
      </c>
      <c r="E1455">
        <v>-0.79034665491699896</v>
      </c>
      <c r="F1455">
        <v>2.6413358811343802E-3</v>
      </c>
      <c r="G1455">
        <v>7.6538457887292605E-2</v>
      </c>
      <c r="H1455">
        <v>0.59580638666699204</v>
      </c>
      <c r="I1455">
        <v>-1.3735933971471799E-2</v>
      </c>
    </row>
    <row r="1456" spans="1:9" x14ac:dyDescent="0.25">
      <c r="A1456" s="1">
        <v>38.6483111977577</v>
      </c>
      <c r="B1456">
        <v>11.937242384113601</v>
      </c>
      <c r="C1456">
        <v>4.99288086274706</v>
      </c>
      <c r="D1456">
        <v>4.3250692005634299</v>
      </c>
      <c r="E1456">
        <v>-0.80465809198472704</v>
      </c>
      <c r="F1456">
        <v>3.1409804460587501E-3</v>
      </c>
      <c r="G1456">
        <v>6.9395352653080097E-2</v>
      </c>
      <c r="H1456">
        <v>0.57615527659565202</v>
      </c>
      <c r="I1456">
        <v>-1.3693143280569401E-2</v>
      </c>
    </row>
    <row r="1457" spans="1:9" x14ac:dyDescent="0.25">
      <c r="A1457" s="1">
        <v>43.1141293048858</v>
      </c>
      <c r="B1457">
        <v>12.2367023181619</v>
      </c>
      <c r="C1457">
        <v>4.5977821578498501</v>
      </c>
      <c r="D1457">
        <v>3.87547472031968</v>
      </c>
      <c r="E1457">
        <v>-0.81387005216677399</v>
      </c>
      <c r="F1457">
        <v>3.49704184241378E-3</v>
      </c>
      <c r="G1457">
        <v>6.2429028485212999E-2</v>
      </c>
      <c r="H1457">
        <v>0.55828608344257302</v>
      </c>
      <c r="I1457">
        <v>-1.30960442949162E-2</v>
      </c>
    </row>
    <row r="1458" spans="1:9" x14ac:dyDescent="0.25">
      <c r="A1458" s="1">
        <v>47.981887757778097</v>
      </c>
      <c r="B1458">
        <v>12.5140123449715</v>
      </c>
      <c r="C1458">
        <v>4.2313722110523004</v>
      </c>
      <c r="D1458">
        <v>3.4700559811209701</v>
      </c>
      <c r="E1458">
        <v>-0.81868046408078698</v>
      </c>
      <c r="F1458">
        <v>3.6518713164697398E-3</v>
      </c>
      <c r="G1458">
        <v>5.5735992438399697E-2</v>
      </c>
      <c r="H1458">
        <v>0.54222726149631695</v>
      </c>
      <c r="I1458">
        <v>-1.2124269879478801E-2</v>
      </c>
    </row>
    <row r="1459" spans="1:9" x14ac:dyDescent="0.25">
      <c r="A1459" s="1">
        <v>53.287820518016801</v>
      </c>
      <c r="B1459">
        <v>12.773368211321699</v>
      </c>
      <c r="C1459">
        <v>3.8957332270828902</v>
      </c>
      <c r="D1459">
        <v>3.10886580647731</v>
      </c>
      <c r="E1459">
        <v>-0.81961899337164001</v>
      </c>
      <c r="F1459">
        <v>3.5500796463805999E-3</v>
      </c>
      <c r="G1459">
        <v>4.9417949856720302E-2</v>
      </c>
      <c r="H1459">
        <v>0.527971926687685</v>
      </c>
      <c r="I1459">
        <v>-1.09410388857284E-2</v>
      </c>
    </row>
    <row r="1460" spans="1:9" x14ac:dyDescent="0.25">
      <c r="A1460" s="1">
        <v>59.071175158023799</v>
      </c>
      <c r="B1460">
        <v>13.0182792582067</v>
      </c>
      <c r="C1460">
        <v>3.5908051175819899</v>
      </c>
      <c r="D1460">
        <v>2.7899255033576602</v>
      </c>
      <c r="E1460">
        <v>-0.81709131855280004</v>
      </c>
      <c r="F1460">
        <v>3.1432358363985102E-3</v>
      </c>
      <c r="G1460">
        <v>4.3576216519278899E-2</v>
      </c>
      <c r="H1460">
        <v>0.51541623739751896</v>
      </c>
      <c r="I1460">
        <v>-9.6990656976380096E-3</v>
      </c>
    </row>
    <row r="1461" spans="1:9" x14ac:dyDescent="0.25">
      <c r="A1461" s="1">
        <v>65.375131070613804</v>
      </c>
      <c r="B1461">
        <v>13.251639464356201</v>
      </c>
      <c r="C1461">
        <v>3.3154401948808001</v>
      </c>
      <c r="D1461">
        <v>2.51026004407256</v>
      </c>
      <c r="E1461">
        <v>-0.81140127415483099</v>
      </c>
      <c r="F1461">
        <v>2.5216997173480001E-3</v>
      </c>
      <c r="G1461">
        <v>3.8263770386887698E-2</v>
      </c>
      <c r="H1461">
        <v>0.50416497756423395</v>
      </c>
      <c r="I1461">
        <v>-8.4980952501896006E-3</v>
      </c>
    </row>
    <row r="1462" spans="1:9" x14ac:dyDescent="0.25">
      <c r="A1462" s="1">
        <v>72.246375679969702</v>
      </c>
      <c r="B1462">
        <v>13.475826698214</v>
      </c>
      <c r="C1462">
        <v>3.0672151812762101</v>
      </c>
      <c r="D1462">
        <v>2.2660885825524701</v>
      </c>
      <c r="E1462">
        <v>-0.80278609644591903</v>
      </c>
      <c r="F1462">
        <v>1.7858791331651399E-3</v>
      </c>
      <c r="G1462">
        <v>3.3508516781933201E-2</v>
      </c>
      <c r="H1462">
        <v>0.49395097109456299</v>
      </c>
      <c r="I1462">
        <v>-7.4000057316545602E-3</v>
      </c>
    </row>
    <row r="1463" spans="1:9" x14ac:dyDescent="0.25">
      <c r="A1463" s="1">
        <v>79.736069738864799</v>
      </c>
      <c r="B1463">
        <v>13.6928071937041</v>
      </c>
      <c r="C1463">
        <v>2.8429396710072701</v>
      </c>
      <c r="D1463">
        <v>2.0528464424004902</v>
      </c>
      <c r="E1463">
        <v>-0.79138741882835195</v>
      </c>
      <c r="F1463">
        <v>1.1170828108174799E-3</v>
      </c>
      <c r="G1463">
        <v>2.92738097621584E-2</v>
      </c>
      <c r="H1463">
        <v>0.48433302548785301</v>
      </c>
      <c r="I1463">
        <v>-6.4137337250023399E-3</v>
      </c>
    </row>
    <row r="1464" spans="1:9" x14ac:dyDescent="0.25">
      <c r="A1464" s="1">
        <v>87.899753153324099</v>
      </c>
      <c r="B1464">
        <v>13.9041512215959</v>
      </c>
      <c r="C1464">
        <v>2.6391228165148899</v>
      </c>
      <c r="D1464">
        <v>1.8660147323080301</v>
      </c>
      <c r="E1464">
        <v>-0.77725267276013299</v>
      </c>
      <c r="F1464">
        <v>7.2469278435979996E-4</v>
      </c>
      <c r="G1464">
        <v>2.55244190561827E-2</v>
      </c>
      <c r="H1464">
        <v>0.475200089459691</v>
      </c>
      <c r="I1464">
        <v>-5.5471111588855301E-3</v>
      </c>
    </row>
    <row r="1465" spans="1:9" x14ac:dyDescent="0.25">
      <c r="A1465" s="1">
        <v>96.798263192176805</v>
      </c>
      <c r="B1465">
        <v>14.1110968197213</v>
      </c>
      <c r="C1465">
        <v>2.4525733536329701</v>
      </c>
      <c r="D1465">
        <v>1.7016270195934899</v>
      </c>
      <c r="E1465">
        <v>-0.76046242313831702</v>
      </c>
      <c r="F1465">
        <v>7.8756179342314E-4</v>
      </c>
      <c r="G1465">
        <v>2.2216830012504001E-2</v>
      </c>
      <c r="H1465">
        <v>0.46631547429717202</v>
      </c>
      <c r="I1465">
        <v>-4.7902711099371397E-3</v>
      </c>
    </row>
    <row r="1466" spans="1:9" x14ac:dyDescent="0.25">
      <c r="A1466" s="1">
        <v>106.497616767883</v>
      </c>
      <c r="B1466">
        <v>14.314695014290701</v>
      </c>
      <c r="C1466">
        <v>2.2800805610123098</v>
      </c>
      <c r="D1466">
        <v>1.5559422556717899</v>
      </c>
      <c r="E1466">
        <v>-0.74093455992298796</v>
      </c>
      <c r="F1466">
        <v>1.0433474231563099E-3</v>
      </c>
      <c r="G1466">
        <v>1.9312960310966101E-2</v>
      </c>
      <c r="H1466">
        <v>0.45765121798397002</v>
      </c>
      <c r="I1466">
        <v>-4.1360600575877102E-3</v>
      </c>
    </row>
    <row r="1467" spans="1:9" x14ac:dyDescent="0.25">
      <c r="A1467" s="1">
        <v>117.06990510225199</v>
      </c>
      <c r="B1467">
        <v>14.5161065310689</v>
      </c>
      <c r="C1467">
        <v>2.1177906287882</v>
      </c>
      <c r="D1467">
        <v>1.42487666459106</v>
      </c>
      <c r="E1467">
        <v>-0.71843411289598003</v>
      </c>
      <c r="F1467">
        <v>1.2258192375462201E-3</v>
      </c>
      <c r="G1467">
        <v>1.6771240607661001E-2</v>
      </c>
      <c r="H1467">
        <v>0.44982470967416399</v>
      </c>
      <c r="I1467">
        <v>-3.5718499345365399E-3</v>
      </c>
    </row>
    <row r="1468" spans="1:9" x14ac:dyDescent="0.25">
      <c r="A1468" s="1">
        <v>128.593670427799</v>
      </c>
      <c r="B1468">
        <v>14.7162831442879</v>
      </c>
      <c r="C1468">
        <v>1.9637868813561601</v>
      </c>
      <c r="D1468">
        <v>1.3059064479374201</v>
      </c>
      <c r="E1468">
        <v>-0.69299867396693005</v>
      </c>
      <c r="F1468">
        <v>1.5293788106412001E-3</v>
      </c>
      <c r="G1468">
        <v>1.45172860205861E-2</v>
      </c>
      <c r="H1468">
        <v>0.44243693925828598</v>
      </c>
      <c r="I1468">
        <v>-3.0684503564098299E-3</v>
      </c>
    </row>
    <row r="1469" spans="1:9" x14ac:dyDescent="0.25">
      <c r="A1469" s="1">
        <v>141.15461230278001</v>
      </c>
      <c r="B1469">
        <v>14.915665741682201</v>
      </c>
      <c r="C1469">
        <v>1.81625193197263</v>
      </c>
      <c r="D1469">
        <v>1.19659075967894</v>
      </c>
      <c r="E1469">
        <v>-0.66441198270294299</v>
      </c>
      <c r="F1469">
        <v>2.16706634475681E-3</v>
      </c>
      <c r="G1469">
        <v>1.25030019306996E-2</v>
      </c>
      <c r="H1469">
        <v>0.43526871664271299</v>
      </c>
      <c r="I1469">
        <v>-2.6170212606473498E-3</v>
      </c>
    </row>
    <row r="1470" spans="1:9" x14ac:dyDescent="0.25">
      <c r="A1470" s="1">
        <v>154.84601140022201</v>
      </c>
      <c r="B1470">
        <v>15.114051640264901</v>
      </c>
      <c r="C1470">
        <v>1.6737452337494101</v>
      </c>
      <c r="D1470">
        <v>1.09495610998751</v>
      </c>
      <c r="E1470">
        <v>-0.632499742541341</v>
      </c>
      <c r="F1470">
        <v>2.2853180313950998E-3</v>
      </c>
      <c r="G1470">
        <v>1.06939111801941E-2</v>
      </c>
      <c r="H1470">
        <v>0.42782188786804298</v>
      </c>
      <c r="I1470">
        <v>-2.21072041280144E-3</v>
      </c>
    </row>
    <row r="1471" spans="1:9" x14ac:dyDescent="0.25">
      <c r="A1471" s="1">
        <v>169.76969480514501</v>
      </c>
      <c r="B1471">
        <v>15.3113896469103</v>
      </c>
      <c r="C1471">
        <v>1.53399372988244</v>
      </c>
      <c r="D1471">
        <v>0.99861031588328397</v>
      </c>
      <c r="E1471">
        <v>-0.59679599832687202</v>
      </c>
      <c r="F1471">
        <v>1.9009126229865201E-3</v>
      </c>
      <c r="G1471">
        <v>9.0735841899772206E-3</v>
      </c>
      <c r="H1471">
        <v>0.42038136930208497</v>
      </c>
      <c r="I1471">
        <v>-1.8465638811714299E-3</v>
      </c>
    </row>
    <row r="1472" spans="1:9" x14ac:dyDescent="0.25">
      <c r="A1472" s="1">
        <v>186.03645980358101</v>
      </c>
      <c r="B1472">
        <v>15.508201095693</v>
      </c>
      <c r="C1472">
        <v>1.39518775927441</v>
      </c>
      <c r="D1472">
        <v>0.90577684370313205</v>
      </c>
      <c r="E1472">
        <v>-0.55682063047512598</v>
      </c>
      <c r="F1472">
        <v>1.7230697611073701E-3</v>
      </c>
      <c r="G1472">
        <v>7.6230748976686604E-3</v>
      </c>
      <c r="H1472">
        <v>0.41348704799545</v>
      </c>
      <c r="I1472">
        <v>-1.5232777728609499E-3</v>
      </c>
    </row>
    <row r="1473" spans="1:9" x14ac:dyDescent="0.25">
      <c r="A1473" s="1">
        <v>203.76720398664401</v>
      </c>
      <c r="B1473">
        <v>15.704034651302001</v>
      </c>
      <c r="C1473">
        <v>1.25726966571358</v>
      </c>
      <c r="D1473">
        <v>0.81491568848158902</v>
      </c>
      <c r="E1473">
        <v>-0.51246320393932498</v>
      </c>
      <c r="F1473">
        <v>1.4997390055054901E-3</v>
      </c>
      <c r="G1473">
        <v>6.31801159358324E-3</v>
      </c>
      <c r="H1473">
        <v>0.40622335309144603</v>
      </c>
      <c r="I1473">
        <v>-1.2347723427224499E-3</v>
      </c>
    </row>
    <row r="1474" spans="1:9" x14ac:dyDescent="0.25">
      <c r="A1474" s="1">
        <v>223.09376105666101</v>
      </c>
      <c r="B1474">
        <v>15.8972281042935</v>
      </c>
      <c r="C1474">
        <v>1.11932775141018</v>
      </c>
      <c r="D1474">
        <v>0.72494974614871199</v>
      </c>
      <c r="E1474">
        <v>-0.46326699990197001</v>
      </c>
      <c r="F1474">
        <v>1.1855256018798101E-3</v>
      </c>
      <c r="G1474">
        <v>5.1333808901760898E-3</v>
      </c>
      <c r="H1474">
        <v>0.39886292184245797</v>
      </c>
      <c r="I1474">
        <v>-9.71052128383233E-4</v>
      </c>
    </row>
    <row r="1475" spans="1:9" x14ac:dyDescent="0.25">
      <c r="A1475" s="1">
        <v>244.15970131754801</v>
      </c>
      <c r="B1475">
        <v>16.086374166093901</v>
      </c>
      <c r="C1475">
        <v>0.98043586875464295</v>
      </c>
      <c r="D1475">
        <v>0.63430319015924297</v>
      </c>
      <c r="E1475">
        <v>-0.40862757590335602</v>
      </c>
      <c r="F1475">
        <v>4.0350740594745599E-4</v>
      </c>
      <c r="G1475">
        <v>4.0695491836068498E-3</v>
      </c>
      <c r="H1475">
        <v>0.39205078466788701</v>
      </c>
      <c r="I1475">
        <v>-7.3617761967121503E-4</v>
      </c>
    </row>
    <row r="1476" spans="1:9" x14ac:dyDescent="0.25">
      <c r="A1476" s="1">
        <v>267.12157949805197</v>
      </c>
      <c r="B1476">
        <v>16.268597663611398</v>
      </c>
      <c r="C1476">
        <v>0.84149047884553196</v>
      </c>
      <c r="D1476">
        <v>0.54355569151799599</v>
      </c>
      <c r="E1476">
        <v>-0.34818347642696801</v>
      </c>
      <c r="F1476">
        <v>-6.0879329379003098E-4</v>
      </c>
      <c r="G1476">
        <v>3.1368865934200199E-3</v>
      </c>
      <c r="H1476">
        <v>0.38628086901431802</v>
      </c>
      <c r="I1476">
        <v>-5.3801574938200803E-4</v>
      </c>
    </row>
    <row r="1477" spans="1:9" x14ac:dyDescent="0.25">
      <c r="A1477" s="1">
        <v>292.15002954006098</v>
      </c>
      <c r="B1477">
        <v>16.439105248682399</v>
      </c>
      <c r="C1477">
        <v>0.70290347308131895</v>
      </c>
      <c r="D1477">
        <v>0.45179874977249901</v>
      </c>
      <c r="E1477">
        <v>-0.28142342367504702</v>
      </c>
      <c r="F1477">
        <v>-1.1667215670234099E-3</v>
      </c>
      <c r="G1477">
        <v>2.3403124442412599E-3</v>
      </c>
      <c r="H1477">
        <v>0.382814454240959</v>
      </c>
      <c r="I1477">
        <v>-3.7789496049854603E-4</v>
      </c>
    </row>
    <row r="1478" spans="1:9" x14ac:dyDescent="0.25">
      <c r="A1478" s="1">
        <v>319.43101242184599</v>
      </c>
      <c r="B1478">
        <v>16.5883206725569</v>
      </c>
      <c r="C1478">
        <v>0.57200877882157097</v>
      </c>
      <c r="D1478">
        <v>0.36354172753399899</v>
      </c>
      <c r="E1478">
        <v>-0.20801965649281401</v>
      </c>
      <c r="F1478">
        <v>-8.6997597706824298E-4</v>
      </c>
      <c r="G1478">
        <v>1.6965460542355099E-3</v>
      </c>
      <c r="H1478">
        <v>0.38298676417854699</v>
      </c>
      <c r="I1478">
        <v>-2.60346858661291E-4</v>
      </c>
    </row>
    <row r="1479" spans="1:9" x14ac:dyDescent="0.25">
      <c r="A1479" s="1">
        <v>349.16732590645501</v>
      </c>
      <c r="B1479">
        <v>16.704120567299601</v>
      </c>
      <c r="C1479">
        <v>0.463163400825016</v>
      </c>
      <c r="D1479">
        <v>0.28802738600064398</v>
      </c>
      <c r="E1479">
        <v>-0.12665999571404499</v>
      </c>
      <c r="F1479">
        <v>-9.9230523696776309E-4</v>
      </c>
      <c r="G1479">
        <v>1.2522870816837799E-3</v>
      </c>
      <c r="H1479">
        <v>0.38802019032271801</v>
      </c>
      <c r="I1479">
        <v>-1.9063566768995501E-4</v>
      </c>
    </row>
    <row r="1480" spans="1:9" x14ac:dyDescent="0.25">
      <c r="A1480" s="1">
        <v>379.83785875141598</v>
      </c>
      <c r="B1480">
        <v>16.7652848599927</v>
      </c>
      <c r="C1480">
        <v>0.40100446070929802</v>
      </c>
      <c r="D1480">
        <v>0.24390477244532899</v>
      </c>
      <c r="E1480">
        <v>-4.1822526440873302E-2</v>
      </c>
      <c r="F1480">
        <v>-1.3495357165644801E-3</v>
      </c>
      <c r="G1480">
        <v>1.0214129065725199E-3</v>
      </c>
      <c r="H1480">
        <v>0.40928014056442202</v>
      </c>
      <c r="I1480">
        <v>-1.51196441639888E-4</v>
      </c>
    </row>
    <row r="1481" spans="1:9" x14ac:dyDescent="0.25">
      <c r="A1481" s="1" t="s">
        <v>543</v>
      </c>
      <c r="B1481" s="1" t="s">
        <v>614</v>
      </c>
      <c r="C1481" s="1" t="s">
        <v>615</v>
      </c>
      <c r="D1481" s="1" t="s">
        <v>616</v>
      </c>
      <c r="E1481" s="1" t="s">
        <v>617</v>
      </c>
      <c r="F1481" s="1" t="s">
        <v>618</v>
      </c>
      <c r="G1481" s="1" t="s">
        <v>400</v>
      </c>
      <c r="H1481" s="1" t="s">
        <v>619</v>
      </c>
      <c r="I1481" s="1" t="s">
        <v>613</v>
      </c>
    </row>
    <row r="1482" spans="1:9" x14ac:dyDescent="0.25">
      <c r="A1482" s="1">
        <v>-141.555516719818</v>
      </c>
      <c r="B1482">
        <v>-142.151100503279</v>
      </c>
      <c r="C1482">
        <v>3.5520364209131301E-2</v>
      </c>
      <c r="D1482">
        <v>0</v>
      </c>
      <c r="E1482">
        <v>0</v>
      </c>
      <c r="F1482">
        <v>0</v>
      </c>
      <c r="G1482" s="1">
        <v>6.7317922023057899E-6</v>
      </c>
      <c r="H1482">
        <v>4.7331976072868202E-2</v>
      </c>
      <c r="I1482">
        <v>0</v>
      </c>
    </row>
    <row r="1483" spans="1:9" x14ac:dyDescent="0.25">
      <c r="A1483" s="1">
        <v>-128.95890593528699</v>
      </c>
      <c r="B1483">
        <v>-129.50271258838299</v>
      </c>
      <c r="C1483">
        <v>3.6342090410422703E-2</v>
      </c>
      <c r="D1483">
        <v>0</v>
      </c>
      <c r="E1483">
        <v>0</v>
      </c>
      <c r="F1483">
        <v>0</v>
      </c>
      <c r="G1483" s="1">
        <v>9.5538509874160104E-6</v>
      </c>
      <c r="H1483">
        <v>0.28876692074070898</v>
      </c>
      <c r="I1483">
        <v>0</v>
      </c>
    </row>
    <row r="1484" spans="1:9" x14ac:dyDescent="0.25">
      <c r="A1484" s="1">
        <v>-117.402367591857</v>
      </c>
      <c r="B1484">
        <v>-117.898480557276</v>
      </c>
      <c r="C1484">
        <v>3.8059104109513402E-2</v>
      </c>
      <c r="D1484">
        <v>0</v>
      </c>
      <c r="E1484">
        <v>0</v>
      </c>
      <c r="F1484">
        <v>0</v>
      </c>
      <c r="G1484" s="1">
        <v>1.4945486592647901E-5</v>
      </c>
      <c r="H1484">
        <v>0.49142903085670597</v>
      </c>
      <c r="I1484">
        <v>0</v>
      </c>
    </row>
    <row r="1485" spans="1:9" x14ac:dyDescent="0.25">
      <c r="A1485" s="1">
        <v>-106.80001378059301</v>
      </c>
      <c r="B1485">
        <v>-107.252232797815</v>
      </c>
      <c r="C1485">
        <v>4.0890817236230802E-2</v>
      </c>
      <c r="D1485">
        <v>0</v>
      </c>
      <c r="E1485">
        <v>0</v>
      </c>
      <c r="F1485">
        <v>0</v>
      </c>
      <c r="G1485" s="1">
        <v>2.3003801161074398E-5</v>
      </c>
      <c r="H1485">
        <v>0.61046092753363701</v>
      </c>
      <c r="I1485">
        <v>0</v>
      </c>
    </row>
    <row r="1486" spans="1:9" x14ac:dyDescent="0.25">
      <c r="A1486" s="1">
        <v>-97.073161005973802</v>
      </c>
      <c r="B1486">
        <v>-97.484885333849604</v>
      </c>
      <c r="C1486">
        <v>4.5111541646890303E-2</v>
      </c>
      <c r="D1486">
        <v>0</v>
      </c>
      <c r="E1486">
        <v>0</v>
      </c>
      <c r="F1486">
        <v>0</v>
      </c>
      <c r="G1486" s="1">
        <v>3.4204202951606502E-5</v>
      </c>
      <c r="H1486">
        <v>0.67641684326973694</v>
      </c>
      <c r="I1486">
        <v>0</v>
      </c>
    </row>
    <row r="1487" spans="1:9" x14ac:dyDescent="0.25">
      <c r="A1487" s="1">
        <v>-88.149435520172105</v>
      </c>
      <c r="B1487">
        <v>-88.523898551239199</v>
      </c>
      <c r="C1487">
        <v>5.1013859367569199E-2</v>
      </c>
      <c r="D1487">
        <v>0</v>
      </c>
      <c r="E1487">
        <v>0</v>
      </c>
      <c r="F1487">
        <v>0</v>
      </c>
      <c r="G1487" s="1">
        <v>4.9410415884381101E-5</v>
      </c>
      <c r="H1487">
        <v>0.71309567915896499</v>
      </c>
      <c r="I1487">
        <v>0</v>
      </c>
    </row>
    <row r="1488" spans="1:9" x14ac:dyDescent="0.25">
      <c r="A1488" s="1">
        <v>-79.962490797042804</v>
      </c>
      <c r="B1488">
        <v>-80.302717207743299</v>
      </c>
      <c r="C1488">
        <v>5.88986235155134E-2</v>
      </c>
      <c r="D1488">
        <v>0</v>
      </c>
      <c r="E1488">
        <v>0</v>
      </c>
      <c r="F1488">
        <v>0</v>
      </c>
      <c r="G1488" s="1">
        <v>6.9912330070813703E-5</v>
      </c>
      <c r="H1488">
        <v>0.73376688361947395</v>
      </c>
      <c r="I1488">
        <v>0</v>
      </c>
    </row>
    <row r="1489" spans="1:9" x14ac:dyDescent="0.25">
      <c r="A1489" s="1">
        <v>-72.451583743095298</v>
      </c>
      <c r="B1489">
        <v>-72.760252233220697</v>
      </c>
      <c r="C1489">
        <v>6.90766125173706E-2</v>
      </c>
      <c r="D1489">
        <v>0</v>
      </c>
      <c r="E1489">
        <v>0</v>
      </c>
      <c r="F1489">
        <v>0</v>
      </c>
      <c r="G1489" s="1">
        <v>9.75010668047105E-5</v>
      </c>
      <c r="H1489">
        <v>0.745635541219142</v>
      </c>
      <c r="I1489">
        <v>0</v>
      </c>
    </row>
    <row r="1490" spans="1:9" x14ac:dyDescent="0.25">
      <c r="A1490" s="1">
        <v>-65.560821294784503</v>
      </c>
      <c r="B1490">
        <v>-65.840492079778102</v>
      </c>
      <c r="C1490">
        <v>8.1874342227309202E-2</v>
      </c>
      <c r="D1490">
        <v>0</v>
      </c>
      <c r="E1490">
        <v>0</v>
      </c>
      <c r="F1490">
        <v>0</v>
      </c>
      <c r="G1490">
        <v>1.3459612340781699E-4</v>
      </c>
      <c r="H1490">
        <v>0.75270181077940501</v>
      </c>
      <c r="I1490">
        <v>0</v>
      </c>
    </row>
    <row r="1491" spans="1:9" x14ac:dyDescent="0.25">
      <c r="A1491" s="1">
        <v>-59.238972067832897</v>
      </c>
      <c r="B1491">
        <v>-59.492030491305997</v>
      </c>
      <c r="C1491">
        <v>9.7640973405858603E-2</v>
      </c>
      <c r="D1491">
        <v>0</v>
      </c>
      <c r="E1491">
        <v>0</v>
      </c>
      <c r="F1491">
        <v>0</v>
      </c>
      <c r="G1491">
        <v>1.8444363145675801E-4</v>
      </c>
      <c r="H1491">
        <v>0.75724453824022098</v>
      </c>
      <c r="I1491">
        <v>0</v>
      </c>
    </row>
    <row r="1492" spans="1:9" x14ac:dyDescent="0.25">
      <c r="A1492" s="1">
        <v>-53.439136743545497</v>
      </c>
      <c r="B1492">
        <v>-53.667702927811597</v>
      </c>
      <c r="C1492">
        <v>0.11675564393045799</v>
      </c>
      <c r="D1492">
        <v>0</v>
      </c>
      <c r="E1492">
        <v>0</v>
      </c>
      <c r="F1492">
        <v>0</v>
      </c>
      <c r="G1492">
        <v>2.5141012625852E-4</v>
      </c>
      <c r="H1492">
        <v>0.76059348555502504</v>
      </c>
      <c r="I1492">
        <v>0</v>
      </c>
    </row>
    <row r="1493" spans="1:9" x14ac:dyDescent="0.25">
      <c r="A1493" s="1">
        <v>-48.118183016777003</v>
      </c>
      <c r="B1493">
        <v>-48.324235526843502</v>
      </c>
      <c r="C1493">
        <v>0.13963541351384001</v>
      </c>
      <c r="D1493">
        <v>0</v>
      </c>
      <c r="E1493">
        <v>0</v>
      </c>
      <c r="F1493">
        <v>0</v>
      </c>
      <c r="G1493">
        <v>3.4140314839561302E-4</v>
      </c>
      <c r="H1493">
        <v>0.76354372769864798</v>
      </c>
      <c r="I1493">
        <v>0</v>
      </c>
    </row>
    <row r="1494" spans="1:9" x14ac:dyDescent="0.25">
      <c r="A1494" s="1">
        <v>-43.236604332923797</v>
      </c>
      <c r="B1494">
        <v>-43.421935855223303</v>
      </c>
      <c r="C1494">
        <v>0.166744589918179</v>
      </c>
      <c r="D1494">
        <v>0</v>
      </c>
      <c r="E1494">
        <v>0</v>
      </c>
      <c r="F1494">
        <v>0</v>
      </c>
      <c r="G1494">
        <v>4.6245563306911201E-4</v>
      </c>
      <c r="H1494">
        <v>0.76658092462229899</v>
      </c>
      <c r="I1494">
        <v>0</v>
      </c>
    </row>
    <row r="1495" spans="1:9" x14ac:dyDescent="0.25">
      <c r="A1495" s="1">
        <v>-38.758049011230398</v>
      </c>
      <c r="B1495">
        <v>-38.924381571261698</v>
      </c>
      <c r="C1495">
        <v>0.198605888221877</v>
      </c>
      <c r="D1495">
        <v>0</v>
      </c>
      <c r="E1495">
        <v>0</v>
      </c>
      <c r="F1495">
        <v>0</v>
      </c>
      <c r="G1495">
        <v>6.2551350398848599E-4</v>
      </c>
      <c r="H1495">
        <v>0.770001510115356</v>
      </c>
      <c r="I1495">
        <v>0</v>
      </c>
    </row>
    <row r="1496" spans="1:9" x14ac:dyDescent="0.25">
      <c r="A1496" s="1">
        <v>-34.649320244789102</v>
      </c>
      <c r="B1496">
        <v>-34.798159235341998</v>
      </c>
      <c r="C1496">
        <v>0.23581353043963299</v>
      </c>
      <c r="D1496">
        <v>0</v>
      </c>
      <c r="E1496">
        <v>0</v>
      </c>
      <c r="F1496">
        <v>0</v>
      </c>
      <c r="G1496">
        <v>8.4546409045287802E-4</v>
      </c>
      <c r="H1496">
        <v>0.77397488154044003</v>
      </c>
      <c r="I1496">
        <v>0</v>
      </c>
    </row>
    <row r="1497" spans="1:9" x14ac:dyDescent="0.25">
      <c r="A1497" s="1">
        <v>-30.879811048507602</v>
      </c>
      <c r="B1497">
        <v>-31.012607299535102</v>
      </c>
      <c r="C1497">
        <v>0.27904798147730298</v>
      </c>
      <c r="D1497">
        <v>0</v>
      </c>
      <c r="E1497">
        <v>0</v>
      </c>
      <c r="F1497">
        <v>0</v>
      </c>
      <c r="G1497">
        <v>1.1424364123501999E-3</v>
      </c>
      <c r="H1497">
        <v>0.77857625308563405</v>
      </c>
      <c r="I1497">
        <v>0</v>
      </c>
    </row>
    <row r="1498" spans="1:9" x14ac:dyDescent="0.25">
      <c r="A1498" s="1">
        <v>-27.4215984344482</v>
      </c>
      <c r="B1498">
        <v>-27.539605066551399</v>
      </c>
      <c r="C1498">
        <v>0.32909092651320399</v>
      </c>
      <c r="D1498">
        <v>0</v>
      </c>
      <c r="E1498">
        <v>0</v>
      </c>
      <c r="F1498">
        <v>0</v>
      </c>
      <c r="G1498">
        <v>1.5433925585261899E-3</v>
      </c>
      <c r="H1498">
        <v>0.78380718183945897</v>
      </c>
      <c r="I1498">
        <v>0</v>
      </c>
    </row>
    <row r="1499" spans="1:9" x14ac:dyDescent="0.25">
      <c r="A1499" s="1">
        <v>-24.248878359794599</v>
      </c>
      <c r="B1499">
        <v>-24.353347022085</v>
      </c>
      <c r="C1499">
        <v>0.38683941679943901</v>
      </c>
      <c r="D1499">
        <v>0</v>
      </c>
      <c r="E1499">
        <v>0</v>
      </c>
      <c r="F1499">
        <v>0</v>
      </c>
      <c r="G1499">
        <v>2.0840147936337398E-3</v>
      </c>
      <c r="H1499">
        <v>0.78961350358474203</v>
      </c>
      <c r="I1499">
        <v>0</v>
      </c>
    </row>
    <row r="1500" spans="1:9" x14ac:dyDescent="0.25">
      <c r="A1500" s="1">
        <v>-21.3381540775299</v>
      </c>
      <c r="B1500">
        <v>-21.430157912707401</v>
      </c>
      <c r="C1500">
        <v>0.45331702892869002</v>
      </c>
      <c r="D1500">
        <v>0</v>
      </c>
      <c r="E1500">
        <v>0</v>
      </c>
      <c r="F1500">
        <v>0</v>
      </c>
      <c r="G1500">
        <v>2.8108784133905802E-3</v>
      </c>
      <c r="H1500">
        <v>0.79590404880134802</v>
      </c>
      <c r="I1500">
        <v>0</v>
      </c>
    </row>
    <row r="1501" spans="1:9" x14ac:dyDescent="0.25">
      <c r="A1501" s="1">
        <v>-18.6677181720733</v>
      </c>
      <c r="B1501">
        <v>-18.748320360852901</v>
      </c>
      <c r="C1501">
        <v>0.52968003462114199</v>
      </c>
      <c r="D1501">
        <v>0</v>
      </c>
      <c r="E1501">
        <v>0</v>
      </c>
      <c r="F1501">
        <v>0</v>
      </c>
      <c r="G1501">
        <v>3.78387690030194E-3</v>
      </c>
      <c r="H1501">
        <v>0.80256906877730905</v>
      </c>
      <c r="I1501">
        <v>0</v>
      </c>
    </row>
    <row r="1502" spans="1:9" x14ac:dyDescent="0.25">
      <c r="A1502" s="1">
        <v>-16.2178409099578</v>
      </c>
      <c r="B1502">
        <v>-16.287908225970799</v>
      </c>
      <c r="C1502">
        <v>0.61721647078557895</v>
      </c>
      <c r="D1502">
        <v>0</v>
      </c>
      <c r="E1502">
        <v>0</v>
      </c>
      <c r="F1502">
        <v>0</v>
      </c>
      <c r="G1502">
        <v>5.07885705812896E-3</v>
      </c>
      <c r="H1502">
        <v>0.809496328894453</v>
      </c>
      <c r="I1502">
        <v>0</v>
      </c>
    </row>
    <row r="1503" spans="1:9" x14ac:dyDescent="0.25">
      <c r="A1503" s="1">
        <v>-13.9702051877975</v>
      </c>
      <c r="B1503">
        <v>-14.030640338453001</v>
      </c>
      <c r="C1503">
        <v>0.71733734086673095</v>
      </c>
      <c r="D1503">
        <v>0</v>
      </c>
      <c r="E1503">
        <v>0</v>
      </c>
      <c r="F1503">
        <v>0</v>
      </c>
      <c r="G1503">
        <v>6.79039990783167E-3</v>
      </c>
      <c r="H1503">
        <v>0.81658264123364599</v>
      </c>
      <c r="I1503">
        <v>0</v>
      </c>
    </row>
    <row r="1504" spans="1:9" x14ac:dyDescent="0.25">
      <c r="A1504" s="1">
        <v>-11.908189058303799</v>
      </c>
      <c r="B1504">
        <v>-11.9597441587583</v>
      </c>
      <c r="C1504">
        <v>0.83155794453353304</v>
      </c>
      <c r="D1504">
        <v>0</v>
      </c>
      <c r="E1504">
        <v>0</v>
      </c>
      <c r="F1504">
        <v>0</v>
      </c>
      <c r="G1504">
        <v>9.03466631745687E-3</v>
      </c>
      <c r="H1504">
        <v>0.82374016110168002</v>
      </c>
      <c r="I1504">
        <v>0</v>
      </c>
    </row>
    <row r="1505" spans="1:9" x14ac:dyDescent="0.25">
      <c r="A1505" s="1">
        <v>-10.016394853591899</v>
      </c>
      <c r="B1505">
        <v>-10.059832430710999</v>
      </c>
      <c r="C1505">
        <v>0.96147033718095998</v>
      </c>
      <c r="D1505">
        <v>0</v>
      </c>
      <c r="E1505">
        <v>0</v>
      </c>
      <c r="F1505">
        <v>0</v>
      </c>
      <c r="G1505">
        <v>1.1952226087651001E-2</v>
      </c>
      <c r="H1505">
        <v>0.83089834045738098</v>
      </c>
      <c r="I1505">
        <v>0</v>
      </c>
    </row>
    <row r="1506" spans="1:9" x14ac:dyDescent="0.25">
      <c r="A1506" s="1">
        <v>-8.2808375358581507</v>
      </c>
      <c r="B1506">
        <v>-8.3167884540497905</v>
      </c>
      <c r="C1506">
        <v>1.10870634697535</v>
      </c>
      <c r="D1506">
        <v>0</v>
      </c>
      <c r="E1506">
        <v>0</v>
      </c>
      <c r="F1506">
        <v>0</v>
      </c>
      <c r="G1506">
        <v>1.5710768613880599E-2</v>
      </c>
      <c r="H1506">
        <v>0.83800290625124396</v>
      </c>
      <c r="I1506">
        <v>0</v>
      </c>
    </row>
    <row r="1507" spans="1:9" x14ac:dyDescent="0.25">
      <c r="A1507" s="1">
        <v>-6.6885209083557102</v>
      </c>
      <c r="B1507">
        <v>-6.71766082509287</v>
      </c>
      <c r="C1507">
        <v>1.27489372465867</v>
      </c>
      <c r="D1507">
        <v>0</v>
      </c>
      <c r="E1507">
        <v>0</v>
      </c>
      <c r="F1507">
        <v>0</v>
      </c>
      <c r="G1507">
        <v>2.0507643344499199E-2</v>
      </c>
      <c r="H1507">
        <v>0.84501342951584102</v>
      </c>
      <c r="I1507">
        <v>0</v>
      </c>
    </row>
    <row r="1508" spans="1:9" x14ac:dyDescent="0.25">
      <c r="A1508" s="1">
        <v>-5.2277201414108196</v>
      </c>
      <c r="B1508">
        <v>-5.2505669272491398</v>
      </c>
      <c r="C1508">
        <v>1.4616067137192701</v>
      </c>
      <c r="D1508">
        <v>0</v>
      </c>
      <c r="E1508">
        <v>0</v>
      </c>
      <c r="F1508">
        <v>0</v>
      </c>
      <c r="G1508">
        <v>2.6572248201300601E-2</v>
      </c>
      <c r="H1508">
        <v>0.85190103152487895</v>
      </c>
      <c r="I1508">
        <v>0</v>
      </c>
    </row>
    <row r="1509" spans="1:9" x14ac:dyDescent="0.25">
      <c r="A1509" s="1">
        <v>-3.88755798339843</v>
      </c>
      <c r="B1509">
        <v>-3.9046056284555801</v>
      </c>
      <c r="C1509">
        <v>1.6703129008072</v>
      </c>
      <c r="D1509">
        <v>0</v>
      </c>
      <c r="E1509">
        <v>0</v>
      </c>
      <c r="F1509">
        <v>0</v>
      </c>
      <c r="G1509">
        <v>3.4168118708694198E-2</v>
      </c>
      <c r="H1509">
        <v>0.85864531059149296</v>
      </c>
      <c r="I1509">
        <v>0</v>
      </c>
    </row>
    <row r="1510" spans="1:9" x14ac:dyDescent="0.25">
      <c r="A1510" s="1">
        <v>-2.6580518484115601</v>
      </c>
      <c r="B1510">
        <v>-2.66977624716103</v>
      </c>
      <c r="C1510">
        <v>1.9023222121622601</v>
      </c>
      <c r="D1510">
        <v>0</v>
      </c>
      <c r="E1510">
        <v>0</v>
      </c>
      <c r="F1510">
        <v>0</v>
      </c>
      <c r="G1510">
        <v>4.3591718367970302E-2</v>
      </c>
      <c r="H1510">
        <v>0.86522235660618596</v>
      </c>
      <c r="I1510">
        <v>0</v>
      </c>
    </row>
    <row r="1511" spans="1:9" x14ac:dyDescent="0.25">
      <c r="A1511" s="1">
        <v>-1.5300196409225399</v>
      </c>
      <c r="B1511">
        <v>-1.5369021544219601</v>
      </c>
      <c r="C1511">
        <v>2.1587485715178398</v>
      </c>
      <c r="D1511">
        <v>0</v>
      </c>
      <c r="E1511">
        <v>0</v>
      </c>
      <c r="F1511">
        <v>0</v>
      </c>
      <c r="G1511">
        <v>5.5163656275544697E-2</v>
      </c>
      <c r="H1511">
        <v>0.87158923968865598</v>
      </c>
      <c r="I1511">
        <v>0</v>
      </c>
    </row>
    <row r="1512" spans="1:9" x14ac:dyDescent="0.25">
      <c r="A1512" s="1">
        <v>-0.49517393112182601</v>
      </c>
      <c r="B1512">
        <v>-0.49756573773787299</v>
      </c>
      <c r="C1512">
        <v>2.4404475226609601</v>
      </c>
      <c r="D1512">
        <v>0</v>
      </c>
      <c r="E1512">
        <v>0</v>
      </c>
      <c r="F1512">
        <v>0</v>
      </c>
      <c r="G1512">
        <v>7.1393943001312396E-2</v>
      </c>
      <c r="H1512">
        <v>0.881423344019307</v>
      </c>
      <c r="I1512">
        <v>0</v>
      </c>
    </row>
    <row r="1513" spans="1:9" x14ac:dyDescent="0.25">
      <c r="A1513" s="1">
        <v>0.49376130104064903</v>
      </c>
      <c r="B1513">
        <v>0.35036794059111698</v>
      </c>
      <c r="C1513">
        <v>2.7130498114947001</v>
      </c>
      <c r="D1513">
        <v>0.24562943501961099</v>
      </c>
      <c r="E1513">
        <v>-3.6077242906271302E-4</v>
      </c>
      <c r="F1513" s="1">
        <v>9.4922666254593606E-5</v>
      </c>
      <c r="G1513">
        <v>3.0029457907247498E-2</v>
      </c>
      <c r="H1513">
        <v>0.83595192414116104</v>
      </c>
      <c r="I1513" s="1">
        <v>6.6569329094099404E-7</v>
      </c>
    </row>
    <row r="1514" spans="1:9" x14ac:dyDescent="0.25">
      <c r="A1514" s="1">
        <v>1.5257111191749499</v>
      </c>
      <c r="B1514">
        <v>1.08191874940081</v>
      </c>
      <c r="C1514">
        <v>2.9986712449135302</v>
      </c>
      <c r="D1514">
        <v>0.83555676787829902</v>
      </c>
      <c r="E1514">
        <v>-3.41849733877318E-3</v>
      </c>
      <c r="F1514">
        <v>3.2167215211361397E-4</v>
      </c>
      <c r="G1514">
        <v>4.8136928428715503E-2</v>
      </c>
      <c r="H1514">
        <v>0.88182297770705398</v>
      </c>
      <c r="I1514" s="1">
        <v>2.48376277614772E-5</v>
      </c>
    </row>
    <row r="1515" spans="1:9" x14ac:dyDescent="0.25">
      <c r="A1515" s="1">
        <v>2.6505178213119498</v>
      </c>
      <c r="B1515">
        <v>1.8733571570379901</v>
      </c>
      <c r="C1515">
        <v>3.3854660246458201</v>
      </c>
      <c r="D1515">
        <v>1.60570835996969</v>
      </c>
      <c r="E1515">
        <v>-1.37930718091481E-2</v>
      </c>
      <c r="F1515">
        <v>6.1196502861951801E-4</v>
      </c>
      <c r="G1515">
        <v>6.7146207597890098E-2</v>
      </c>
      <c r="H1515">
        <v>0.89898795400592602</v>
      </c>
      <c r="I1515">
        <v>1.3523036381842899E-4</v>
      </c>
    </row>
    <row r="1516" spans="1:9" x14ac:dyDescent="0.25">
      <c r="A1516" s="1">
        <v>3.8765159249305698</v>
      </c>
      <c r="B1516">
        <v>2.7209094988195499</v>
      </c>
      <c r="C1516">
        <v>3.9064029168066998</v>
      </c>
      <c r="D1516">
        <v>2.5828070129214802</v>
      </c>
      <c r="E1516">
        <v>-3.5869462572353697E-2</v>
      </c>
      <c r="F1516">
        <v>9.5762447154652396E-4</v>
      </c>
      <c r="G1516">
        <v>8.3613401930195994E-2</v>
      </c>
      <c r="H1516">
        <v>0.90022438491564705</v>
      </c>
      <c r="I1516">
        <v>3.3554531878991198E-4</v>
      </c>
    </row>
    <row r="1517" spans="1:9" x14ac:dyDescent="0.25">
      <c r="A1517" s="1">
        <v>5.2129346132278398</v>
      </c>
      <c r="B1517">
        <v>3.6142556585384802</v>
      </c>
      <c r="C1517">
        <v>4.57127689628489</v>
      </c>
      <c r="D1517">
        <v>3.7426627224448499</v>
      </c>
      <c r="E1517">
        <v>-7.4396870551448405E-2</v>
      </c>
      <c r="F1517">
        <v>1.31946129824292E-3</v>
      </c>
      <c r="G1517">
        <v>9.4046884262340702E-2</v>
      </c>
      <c r="H1517">
        <v>0.88886882480565299</v>
      </c>
      <c r="I1517">
        <v>6.7695524173026897E-4</v>
      </c>
    </row>
    <row r="1518" spans="1:9" x14ac:dyDescent="0.25">
      <c r="A1518" s="1">
        <v>6.6695916652679399</v>
      </c>
      <c r="B1518">
        <v>4.5351478988318004</v>
      </c>
      <c r="C1518">
        <v>5.34217049134769</v>
      </c>
      <c r="D1518">
        <v>4.9828946469756197</v>
      </c>
      <c r="E1518">
        <v>-0.131885994698657</v>
      </c>
      <c r="F1518">
        <v>1.6279275839425999E-3</v>
      </c>
      <c r="G1518">
        <v>9.8234715032844394E-2</v>
      </c>
      <c r="H1518">
        <v>0.86692543579537695</v>
      </c>
      <c r="I1518">
        <v>1.5555928795645099E-3</v>
      </c>
    </row>
    <row r="1519" spans="1:9" x14ac:dyDescent="0.25">
      <c r="A1519" s="1">
        <v>8.2573878765106201</v>
      </c>
      <c r="B1519">
        <v>5.45840233620389</v>
      </c>
      <c r="C1519">
        <v>6.1276781477410198</v>
      </c>
      <c r="D1519">
        <v>6.1379945313619801</v>
      </c>
      <c r="E1519">
        <v>-0.206619316913801</v>
      </c>
      <c r="F1519">
        <v>1.8043364412119399E-3</v>
      </c>
      <c r="G1519">
        <v>9.9400988275188396E-2</v>
      </c>
      <c r="H1519">
        <v>0.83815008790598899</v>
      </c>
      <c r="I1519">
        <v>3.9356531929524499E-3</v>
      </c>
    </row>
    <row r="1520" spans="1:9" x14ac:dyDescent="0.25">
      <c r="A1520" s="1">
        <v>9.9880245327949506</v>
      </c>
      <c r="B1520">
        <v>6.3559745406745201</v>
      </c>
      <c r="C1520">
        <v>6.8116937033798397</v>
      </c>
      <c r="D1520">
        <v>7.0434863514836703</v>
      </c>
      <c r="E1520">
        <v>-0.29252970580495902</v>
      </c>
      <c r="F1520">
        <v>1.78754653577929E-3</v>
      </c>
      <c r="G1520">
        <v>0.101259042591861</v>
      </c>
      <c r="H1520">
        <v>0.80820089899280501</v>
      </c>
      <c r="I1520">
        <v>7.9256787861532296E-3</v>
      </c>
    </row>
    <row r="1521" spans="1:9" x14ac:dyDescent="0.25">
      <c r="A1521" s="1">
        <v>11.874474287032999</v>
      </c>
      <c r="B1521">
        <v>7.2030358463538997</v>
      </c>
      <c r="C1521">
        <v>7.3013125425049603</v>
      </c>
      <c r="D1521">
        <v>7.6039407203596996</v>
      </c>
      <c r="E1521">
        <v>-0.381548772149716</v>
      </c>
      <c r="F1521">
        <v>1.57902050915468E-3</v>
      </c>
      <c r="G1521">
        <v>0.104751420525088</v>
      </c>
      <c r="H1521">
        <v>0.78086661673918201</v>
      </c>
      <c r="I1521">
        <v>1.0845781454273101E-2</v>
      </c>
    </row>
    <row r="1522" spans="1:9" x14ac:dyDescent="0.25">
      <c r="A1522" s="1">
        <v>13.9306750893592</v>
      </c>
      <c r="B1522">
        <v>7.9828889362527304</v>
      </c>
      <c r="C1522">
        <v>7.5570125480467096</v>
      </c>
      <c r="D1522">
        <v>7.8131431118897101</v>
      </c>
      <c r="E1522">
        <v>-0.46658246309474699</v>
      </c>
      <c r="F1522">
        <v>1.25300652336341E-3</v>
      </c>
      <c r="G1522">
        <v>0.108172353887732</v>
      </c>
      <c r="H1522">
        <v>0.75624671159287105</v>
      </c>
      <c r="I1522">
        <v>1.0018576306166699E-2</v>
      </c>
    </row>
    <row r="1523" spans="1:9" x14ac:dyDescent="0.25">
      <c r="A1523" s="1">
        <v>16.171883344650201</v>
      </c>
      <c r="B1523">
        <v>8.6882508046938298</v>
      </c>
      <c r="C1523">
        <v>7.5895449582169503</v>
      </c>
      <c r="D1523">
        <v>7.7273024433568596</v>
      </c>
      <c r="E1523">
        <v>-0.54304597704119695</v>
      </c>
      <c r="F1523">
        <v>9.2992766651695295E-4</v>
      </c>
      <c r="G1523">
        <v>0.10953965106711901</v>
      </c>
      <c r="H1523">
        <v>0.73289353864826701</v>
      </c>
      <c r="I1523">
        <v>5.7901667628134203E-3</v>
      </c>
    </row>
    <row r="1524" spans="1:9" x14ac:dyDescent="0.25">
      <c r="A1524" s="1">
        <v>18.614838719367899</v>
      </c>
      <c r="B1524">
        <v>9.3193951781852409</v>
      </c>
      <c r="C1524">
        <v>7.4387397713946797</v>
      </c>
      <c r="D1524">
        <v>7.4259126897263803</v>
      </c>
      <c r="E1524">
        <v>-0.60884037453355799</v>
      </c>
      <c r="F1524">
        <v>7.3461118911037301E-4</v>
      </c>
      <c r="G1524">
        <v>0.108049838126467</v>
      </c>
      <c r="H1524">
        <v>0.70972302839295098</v>
      </c>
      <c r="I1524">
        <v>2.4446975910557699E-4</v>
      </c>
    </row>
    <row r="1525" spans="1:9" x14ac:dyDescent="0.25">
      <c r="A1525" s="1">
        <v>21.2777170538902</v>
      </c>
      <c r="B1525">
        <v>9.8812491338713304</v>
      </c>
      <c r="C1525">
        <v>7.1533990364558102</v>
      </c>
      <c r="D1525">
        <v>6.9852312800320302</v>
      </c>
      <c r="E1525">
        <v>-0.663625751407521</v>
      </c>
      <c r="F1525">
        <v>7.5630883604994501E-4</v>
      </c>
      <c r="G1525">
        <v>0.104020578796278</v>
      </c>
      <c r="H1525">
        <v>0.68638666099283097</v>
      </c>
      <c r="I1525">
        <v>-4.9033981107047498E-3</v>
      </c>
    </row>
    <row r="1526" spans="1:9" x14ac:dyDescent="0.25">
      <c r="A1526" s="1">
        <v>24.180224537849401</v>
      </c>
      <c r="B1526">
        <v>10.3809274714453</v>
      </c>
      <c r="C1526">
        <v>6.7794789031104603</v>
      </c>
      <c r="D1526">
        <v>6.4670613934605896</v>
      </c>
      <c r="E1526">
        <v>-0.70805438648099805</v>
      </c>
      <c r="F1526">
        <v>1.03059966601918E-3</v>
      </c>
      <c r="G1526">
        <v>9.8251951025881898E-2</v>
      </c>
      <c r="H1526">
        <v>0.66299931832036996</v>
      </c>
      <c r="I1526">
        <v>-8.9007954907136498E-3</v>
      </c>
    </row>
    <row r="1527" spans="1:9" x14ac:dyDescent="0.25">
      <c r="A1527" s="1">
        <v>27.343950867652801</v>
      </c>
      <c r="B1527">
        <v>10.8262178145362</v>
      </c>
      <c r="C1527">
        <v>6.3552951430751197</v>
      </c>
      <c r="D1527">
        <v>5.9170851780443998</v>
      </c>
      <c r="E1527">
        <v>-0.74321290562092002</v>
      </c>
      <c r="F1527">
        <v>1.48922007094558E-3</v>
      </c>
      <c r="G1527">
        <v>9.1508685022733197E-2</v>
      </c>
      <c r="H1527">
        <v>0.63990040320901098</v>
      </c>
      <c r="I1527">
        <v>-1.1633789994811799E-2</v>
      </c>
    </row>
    <row r="1528" spans="1:9" x14ac:dyDescent="0.25">
      <c r="A1528" s="1">
        <v>30.7923927903175</v>
      </c>
      <c r="B1528">
        <v>11.224815848098499</v>
      </c>
      <c r="C1528">
        <v>5.9105480018364496</v>
      </c>
      <c r="D1528">
        <v>5.3673179008134699</v>
      </c>
      <c r="E1528">
        <v>-0.77029846939562596</v>
      </c>
      <c r="F1528">
        <v>2.0415057094006301E-3</v>
      </c>
      <c r="G1528">
        <v>8.4326172336255195E-2</v>
      </c>
      <c r="H1528">
        <v>0.61751250230136701</v>
      </c>
      <c r="I1528">
        <v>-1.3235931920567601E-2</v>
      </c>
    </row>
    <row r="1529" spans="1:9" x14ac:dyDescent="0.25">
      <c r="A1529" s="1">
        <v>34.551213085651298</v>
      </c>
      <c r="B1529">
        <v>11.583938758076499</v>
      </c>
      <c r="C1529">
        <v>5.4669087754952104</v>
      </c>
      <c r="D1529">
        <v>4.8388194006572798</v>
      </c>
      <c r="E1529">
        <v>-0.79046448727929597</v>
      </c>
      <c r="F1529">
        <v>2.6333067434202999E-3</v>
      </c>
      <c r="G1529">
        <v>7.7020274707929798E-2</v>
      </c>
      <c r="H1529">
        <v>0.59625171194358595</v>
      </c>
      <c r="I1529">
        <v>-1.39023432884555E-2</v>
      </c>
    </row>
    <row r="1530" spans="1:9" x14ac:dyDescent="0.25">
      <c r="A1530" s="1">
        <v>38.6483111977577</v>
      </c>
      <c r="B1530">
        <v>11.9101329959942</v>
      </c>
      <c r="C1530">
        <v>5.03911112983109</v>
      </c>
      <c r="D1530">
        <v>4.3445895502047698</v>
      </c>
      <c r="E1530">
        <v>-0.80471762980786798</v>
      </c>
      <c r="F1530">
        <v>3.1320627658891699E-3</v>
      </c>
      <c r="G1530">
        <v>6.9781467306514106E-2</v>
      </c>
      <c r="H1530">
        <v>0.57651281362576901</v>
      </c>
      <c r="I1530">
        <v>-1.38306702040104E-2</v>
      </c>
    </row>
    <row r="1531" spans="1:9" x14ac:dyDescent="0.25">
      <c r="A1531" s="1">
        <v>43.1141293048858</v>
      </c>
      <c r="B1531">
        <v>12.209219951556401</v>
      </c>
      <c r="C1531">
        <v>4.6363428611655504</v>
      </c>
      <c r="D1531">
        <v>3.8918631714340202</v>
      </c>
      <c r="E1531">
        <v>-0.81388626646298101</v>
      </c>
      <c r="F1531">
        <v>3.4891599270487502E-3</v>
      </c>
      <c r="G1531">
        <v>6.2738549550358305E-2</v>
      </c>
      <c r="H1531">
        <v>0.55856975319440805</v>
      </c>
      <c r="I1531">
        <v>-1.32071162335263E-2</v>
      </c>
    </row>
    <row r="1532" spans="1:9" x14ac:dyDescent="0.25">
      <c r="A1532" s="1">
        <v>47.981887757778097</v>
      </c>
      <c r="B1532">
        <v>12.486199834944101</v>
      </c>
      <c r="C1532">
        <v>4.2636576866779903</v>
      </c>
      <c r="D1532">
        <v>3.4838550642999002</v>
      </c>
      <c r="E1532">
        <v>-0.81866509647900898</v>
      </c>
      <c r="F1532">
        <v>3.6465494329148899E-3</v>
      </c>
      <c r="G1532">
        <v>5.5983385637921899E-2</v>
      </c>
      <c r="H1532">
        <v>0.542449002103361</v>
      </c>
      <c r="I1532">
        <v>-1.22118700823376E-2</v>
      </c>
    </row>
    <row r="1533" spans="1:9" x14ac:dyDescent="0.25">
      <c r="A1533" s="1">
        <v>53.287820518016801</v>
      </c>
      <c r="B1533">
        <v>12.7452558558447</v>
      </c>
      <c r="C1533">
        <v>3.9228405167842699</v>
      </c>
      <c r="D1533">
        <v>3.1205836688144002</v>
      </c>
      <c r="E1533">
        <v>-0.81958103316557895</v>
      </c>
      <c r="F1533">
        <v>3.5489009071749998E-3</v>
      </c>
      <c r="G1533">
        <v>4.9614575247546103E-2</v>
      </c>
      <c r="H1533">
        <v>0.52814262180467397</v>
      </c>
      <c r="I1533">
        <v>-1.1008510813593501E-2</v>
      </c>
    </row>
    <row r="1534" spans="1:9" x14ac:dyDescent="0.25">
      <c r="A1534" s="1">
        <v>59.071175158023799</v>
      </c>
      <c r="B1534">
        <v>12.989896310494601</v>
      </c>
      <c r="C1534">
        <v>3.6136100807343299</v>
      </c>
      <c r="D1534">
        <v>2.7998370167118898</v>
      </c>
      <c r="E1534">
        <v>-0.81703754431450504</v>
      </c>
      <c r="F1534">
        <v>3.14662436270823E-3</v>
      </c>
      <c r="G1534">
        <v>4.3731515250704303E-2</v>
      </c>
      <c r="H1534">
        <v>0.51554650025085402</v>
      </c>
      <c r="I1534">
        <v>-9.7498536347832808E-3</v>
      </c>
    </row>
    <row r="1535" spans="1:9" x14ac:dyDescent="0.25">
      <c r="A1535" s="1">
        <v>65.375131070613804</v>
      </c>
      <c r="B1535">
        <v>13.2230047300471</v>
      </c>
      <c r="C1535">
        <v>3.3346590275037999</v>
      </c>
      <c r="D1535">
        <v>2.51866199171352</v>
      </c>
      <c r="E1535">
        <v>-0.81133628530151602</v>
      </c>
      <c r="F1535">
        <v>2.52995017360387E-3</v>
      </c>
      <c r="G1535">
        <v>3.8385606849988797E-2</v>
      </c>
      <c r="H1535">
        <v>0.50426197604994905</v>
      </c>
      <c r="I1535">
        <v>-8.5355015252604194E-3</v>
      </c>
    </row>
    <row r="1536" spans="1:9" x14ac:dyDescent="0.25">
      <c r="A1536" s="1">
        <v>72.246375679969702</v>
      </c>
      <c r="B1536">
        <v>13.4469568934304</v>
      </c>
      <c r="C1536">
        <v>3.0834327434035398</v>
      </c>
      <c r="D1536">
        <v>2.27327190502765</v>
      </c>
      <c r="E1536">
        <v>-0.80271274441283402</v>
      </c>
      <c r="F1536">
        <v>1.7985841914669399E-3</v>
      </c>
      <c r="G1536">
        <v>3.36037857527322E-2</v>
      </c>
      <c r="H1536">
        <v>0.49402341489498097</v>
      </c>
      <c r="I1536">
        <v>-7.4272624501903299E-3</v>
      </c>
    </row>
    <row r="1537" spans="1:9" x14ac:dyDescent="0.25">
      <c r="A1537" s="1">
        <v>79.736069738864799</v>
      </c>
      <c r="B1537">
        <v>13.6637148555381</v>
      </c>
      <c r="C1537">
        <v>2.8566355249757298</v>
      </c>
      <c r="D1537">
        <v>2.05896453101699</v>
      </c>
      <c r="E1537">
        <v>-0.79130817956295496</v>
      </c>
      <c r="F1537">
        <v>1.1311217938744401E-3</v>
      </c>
      <c r="G1537">
        <v>2.9347957035855101E-2</v>
      </c>
      <c r="H1537">
        <v>0.48438736739927402</v>
      </c>
      <c r="I1537">
        <v>-6.4333619207508699E-3</v>
      </c>
    </row>
    <row r="1538" spans="1:9" x14ac:dyDescent="0.25">
      <c r="A1538" s="1">
        <v>87.899753153324099</v>
      </c>
      <c r="B1538">
        <v>13.874845752866401</v>
      </c>
      <c r="C1538">
        <v>2.6506986959288299</v>
      </c>
      <c r="D1538">
        <v>1.87126384587051</v>
      </c>
      <c r="E1538">
        <v>-0.77716988750752602</v>
      </c>
      <c r="F1538">
        <v>7.3898259144918499E-4</v>
      </c>
      <c r="G1538">
        <v>2.5581731953101899E-2</v>
      </c>
      <c r="H1538">
        <v>0.47524042678372103</v>
      </c>
      <c r="I1538">
        <v>-5.5610497169983099E-3</v>
      </c>
    </row>
    <row r="1539" spans="1:9" x14ac:dyDescent="0.25">
      <c r="A1539" s="1">
        <v>96.798263192176805</v>
      </c>
      <c r="B1539">
        <v>14.081586578489601</v>
      </c>
      <c r="C1539">
        <v>2.4623740512226102</v>
      </c>
      <c r="D1539">
        <v>1.7060931191722499</v>
      </c>
      <c r="E1539">
        <v>-0.76037819506706505</v>
      </c>
      <c r="F1539">
        <v>8.0549553494208297E-4</v>
      </c>
      <c r="G1539">
        <v>2.2260817598804401E-2</v>
      </c>
      <c r="H1539">
        <v>0.46634158905904799</v>
      </c>
      <c r="I1539">
        <v>-4.8000968576667998E-3</v>
      </c>
    </row>
    <row r="1540" spans="1:9" x14ac:dyDescent="0.25">
      <c r="A1540" s="1">
        <v>106.497616767883</v>
      </c>
      <c r="B1540">
        <v>14.2849862691028</v>
      </c>
      <c r="C1540">
        <v>2.2883893504730102</v>
      </c>
      <c r="D1540">
        <v>1.55977571866736</v>
      </c>
      <c r="E1540">
        <v>-0.74084889494702999</v>
      </c>
      <c r="F1540">
        <v>1.06398148940891E-3</v>
      </c>
      <c r="G1540">
        <v>1.9346879722809199E-2</v>
      </c>
      <c r="H1540">
        <v>0.45767253483842202</v>
      </c>
      <c r="I1540">
        <v>-4.1430833842896397E-3</v>
      </c>
    </row>
    <row r="1541" spans="1:9" x14ac:dyDescent="0.25">
      <c r="A1541" s="1">
        <v>117.06990510225199</v>
      </c>
      <c r="B1541">
        <v>14.486204505713101</v>
      </c>
      <c r="C1541">
        <v>2.1248349874813899</v>
      </c>
      <c r="D1541">
        <v>1.42822181936397</v>
      </c>
      <c r="E1541">
        <v>-0.71834720755632897</v>
      </c>
      <c r="F1541">
        <v>1.2427008760154401E-3</v>
      </c>
      <c r="G1541">
        <v>1.6797500988136101E-2</v>
      </c>
      <c r="H1541">
        <v>0.44984265375473198</v>
      </c>
      <c r="I1541">
        <v>-3.5769175721650998E-3</v>
      </c>
    </row>
    <row r="1542" spans="1:9" x14ac:dyDescent="0.25">
      <c r="A1542" s="1">
        <v>128.593670427799</v>
      </c>
      <c r="B1542">
        <v>14.6861982863409</v>
      </c>
      <c r="C1542">
        <v>1.96975851976255</v>
      </c>
      <c r="D1542">
        <v>1.30878977943619</v>
      </c>
      <c r="E1542">
        <v>-0.69291174195031402</v>
      </c>
      <c r="F1542">
        <v>1.53626752013612E-3</v>
      </c>
      <c r="G1542">
        <v>1.45374631018879E-2</v>
      </c>
      <c r="H1542">
        <v>0.44244974876487198</v>
      </c>
      <c r="I1542">
        <v>-3.0720093087008701E-3</v>
      </c>
    </row>
    <row r="1543" spans="1:9" x14ac:dyDescent="0.25">
      <c r="A1543" s="1">
        <v>141.15461230278001</v>
      </c>
      <c r="B1543">
        <v>14.88540431969</v>
      </c>
      <c r="C1543">
        <v>1.8213200989718299</v>
      </c>
      <c r="D1543">
        <v>1.19904387069441</v>
      </c>
      <c r="E1543">
        <v>-0.664326697641899</v>
      </c>
      <c r="F1543">
        <v>2.1675986984114001E-3</v>
      </c>
      <c r="G1543">
        <v>1.25184904644498E-2</v>
      </c>
      <c r="H1543">
        <v>0.435278483293218</v>
      </c>
      <c r="I1543">
        <v>-2.6194703470128699E-3</v>
      </c>
    </row>
    <row r="1544" spans="1:9" x14ac:dyDescent="0.25">
      <c r="A1544" s="1">
        <v>154.84601140022201</v>
      </c>
      <c r="B1544">
        <v>15.0836199227733</v>
      </c>
      <c r="C1544">
        <v>1.67805585821478</v>
      </c>
      <c r="D1544">
        <v>1.0970611688703</v>
      </c>
      <c r="E1544">
        <v>-0.63241685607975695</v>
      </c>
      <c r="F1544">
        <v>2.2850266809026501E-3</v>
      </c>
      <c r="G1544">
        <v>1.07058760963446E-2</v>
      </c>
      <c r="H1544">
        <v>0.42783135404245298</v>
      </c>
      <c r="I1544">
        <v>-2.21238933483309E-3</v>
      </c>
    </row>
    <row r="1545" spans="1:9" x14ac:dyDescent="0.25">
      <c r="A1545" s="1">
        <v>169.76969480514501</v>
      </c>
      <c r="B1545">
        <v>15.2807928577078</v>
      </c>
      <c r="C1545">
        <v>1.53766584399305</v>
      </c>
      <c r="D1545">
        <v>1.0004252480939799</v>
      </c>
      <c r="E1545">
        <v>-0.59671589015318005</v>
      </c>
      <c r="F1545">
        <v>1.9017468886387201E-3</v>
      </c>
      <c r="G1545">
        <v>9.0829500000041506E-3</v>
      </c>
      <c r="H1545">
        <v>0.42039612874376497</v>
      </c>
      <c r="I1545">
        <v>-1.84776091871205E-3</v>
      </c>
    </row>
    <row r="1546" spans="1:9" x14ac:dyDescent="0.25">
      <c r="A1546" s="1">
        <v>186.03645980358101</v>
      </c>
      <c r="B1546">
        <v>15.4774517718715</v>
      </c>
      <c r="C1546">
        <v>1.39832394244419</v>
      </c>
      <c r="D1546">
        <v>0.90736729211655598</v>
      </c>
      <c r="E1546">
        <v>-0.55674384690655698</v>
      </c>
      <c r="F1546">
        <v>1.7210455218893E-3</v>
      </c>
      <c r="G1546">
        <v>7.6304292130728703E-3</v>
      </c>
      <c r="H1546">
        <v>0.41350825117900702</v>
      </c>
      <c r="I1546">
        <v>-1.5241745956737899E-3</v>
      </c>
    </row>
    <row r="1547" spans="1:9" x14ac:dyDescent="0.25">
      <c r="A1547" s="1">
        <v>203.76720398664401</v>
      </c>
      <c r="B1547">
        <v>15.673143240438201</v>
      </c>
      <c r="C1547">
        <v>1.2599756448419599</v>
      </c>
      <c r="D1547">
        <v>0.81622694722697098</v>
      </c>
      <c r="E1547">
        <v>-0.51239036953824502</v>
      </c>
      <c r="F1547">
        <v>1.48833882906155E-3</v>
      </c>
      <c r="G1547">
        <v>6.3237629075810903E-3</v>
      </c>
      <c r="H1547">
        <v>0.40624759707887897</v>
      </c>
      <c r="I1547">
        <v>-1.2354339043974801E-3</v>
      </c>
    </row>
    <row r="1548" spans="1:9" x14ac:dyDescent="0.25">
      <c r="A1548" s="1">
        <v>223.09376105666101</v>
      </c>
      <c r="B1548">
        <v>15.8662019196911</v>
      </c>
      <c r="C1548">
        <v>1.12168035375696</v>
      </c>
      <c r="D1548">
        <v>0.72610014402145096</v>
      </c>
      <c r="E1548">
        <v>-0.46319982267394</v>
      </c>
      <c r="F1548">
        <v>1.1671715296192799E-3</v>
      </c>
      <c r="G1548">
        <v>5.13790121137323E-3</v>
      </c>
      <c r="H1548">
        <v>0.39888975699007101</v>
      </c>
      <c r="I1548">
        <v>-9.7153877773649498E-4</v>
      </c>
    </row>
    <row r="1549" spans="1:9" x14ac:dyDescent="0.25">
      <c r="A1549" s="1">
        <v>244.15970131754801</v>
      </c>
      <c r="B1549">
        <v>16.055221565814101</v>
      </c>
      <c r="C1549">
        <v>0.98250033311027796</v>
      </c>
      <c r="D1549">
        <v>0.63530753315102595</v>
      </c>
      <c r="E1549">
        <v>-0.408566723912476</v>
      </c>
      <c r="F1549">
        <v>3.8171591429974098E-4</v>
      </c>
      <c r="G1549">
        <v>4.0731344162901299E-3</v>
      </c>
      <c r="H1549">
        <v>0.39207240876161897</v>
      </c>
      <c r="I1549">
        <v>-7.3653885006250499E-4</v>
      </c>
    </row>
    <row r="1550" spans="1:9" x14ac:dyDescent="0.25">
      <c r="A1550" s="1">
        <v>267.12157949805197</v>
      </c>
      <c r="B1550">
        <v>16.2373228266848</v>
      </c>
      <c r="C1550">
        <v>0.84332868191368104</v>
      </c>
      <c r="D1550">
        <v>0.54440540859757403</v>
      </c>
      <c r="E1550">
        <v>-0.34813066784060998</v>
      </c>
      <c r="F1550">
        <v>-6.3470145107122605E-4</v>
      </c>
      <c r="G1550">
        <v>3.1398347324031999E-3</v>
      </c>
      <c r="H1550">
        <v>0.38630246978556898</v>
      </c>
      <c r="I1550">
        <v>-5.3830922587234096E-4</v>
      </c>
    </row>
    <row r="1551" spans="1:9" x14ac:dyDescent="0.25">
      <c r="A1551" s="1">
        <v>292.15002954006098</v>
      </c>
      <c r="B1551">
        <v>16.407720712201101</v>
      </c>
      <c r="C1551">
        <v>0.70457421561389699</v>
      </c>
      <c r="D1551">
        <v>0.45259947447071702</v>
      </c>
      <c r="E1551">
        <v>-0.281377016154647</v>
      </c>
      <c r="F1551">
        <v>-1.1925520239591599E-3</v>
      </c>
      <c r="G1551">
        <v>2.34281866788941E-3</v>
      </c>
      <c r="H1551">
        <v>0.38283560195445898</v>
      </c>
      <c r="I1551">
        <v>-3.7816053841428603E-4</v>
      </c>
    </row>
    <row r="1552" spans="1:9" x14ac:dyDescent="0.25">
      <c r="A1552" s="1">
        <v>319.43101242184599</v>
      </c>
      <c r="B1552">
        <v>16.556851510704799</v>
      </c>
      <c r="C1552">
        <v>0.573567821385635</v>
      </c>
      <c r="D1552">
        <v>0.36423974373142698</v>
      </c>
      <c r="E1552">
        <v>-0.20798222146121101</v>
      </c>
      <c r="F1552">
        <v>-8.8982709216185404E-4</v>
      </c>
      <c r="G1552">
        <v>1.69874405461402E-3</v>
      </c>
      <c r="H1552">
        <v>0.38299981444256898</v>
      </c>
      <c r="I1552">
        <v>-2.6060138891058598E-4</v>
      </c>
    </row>
    <row r="1553" spans="1:9" x14ac:dyDescent="0.25">
      <c r="A1553" s="1">
        <v>349.16732590645501</v>
      </c>
      <c r="B1553">
        <v>16.672591854260698</v>
      </c>
      <c r="C1553">
        <v>0.46465774110184199</v>
      </c>
      <c r="D1553">
        <v>0.28867215489556403</v>
      </c>
      <c r="E1553">
        <v>-0.12663284446268999</v>
      </c>
      <c r="F1553">
        <v>-1.00606267989763E-3</v>
      </c>
      <c r="G1553">
        <v>1.2542948645467499E-3</v>
      </c>
      <c r="H1553">
        <v>0.388003147173759</v>
      </c>
      <c r="I1553">
        <v>-1.9088449803871801E-4</v>
      </c>
    </row>
    <row r="1554" spans="1:9" x14ac:dyDescent="0.25">
      <c r="A1554" s="1">
        <v>379.83785875141598</v>
      </c>
      <c r="B1554">
        <v>16.733726893739199</v>
      </c>
      <c r="C1554">
        <v>0.402471117420441</v>
      </c>
      <c r="D1554">
        <v>0.24451251666721499</v>
      </c>
      <c r="E1554">
        <v>-4.1807628294884699E-2</v>
      </c>
      <c r="F1554">
        <v>-1.3631041562088299E-3</v>
      </c>
      <c r="G1554">
        <v>1.0233461238525899E-3</v>
      </c>
      <c r="H1554">
        <v>0.40923953707129601</v>
      </c>
      <c r="I1554">
        <v>-1.51444443612844E-4</v>
      </c>
    </row>
    <row r="1555" spans="1:9" x14ac:dyDescent="0.25">
      <c r="A1555" s="1" t="s">
        <v>544</v>
      </c>
      <c r="B1555" s="1" t="s">
        <v>614</v>
      </c>
      <c r="C1555" s="1" t="s">
        <v>615</v>
      </c>
      <c r="D1555" s="1" t="s">
        <v>616</v>
      </c>
      <c r="E1555" s="1" t="s">
        <v>617</v>
      </c>
      <c r="F1555" s="1" t="s">
        <v>618</v>
      </c>
      <c r="G1555" s="1" t="s">
        <v>400</v>
      </c>
      <c r="H1555" s="1" t="s">
        <v>619</v>
      </c>
      <c r="I1555" s="1" t="s">
        <v>613</v>
      </c>
    </row>
    <row r="1556" spans="1:9" x14ac:dyDescent="0.25">
      <c r="A1556" s="1">
        <v>-141.555516719818</v>
      </c>
      <c r="B1556">
        <v>-355.435384585451</v>
      </c>
      <c r="C1556">
        <v>4.1798933867061197E-2</v>
      </c>
      <c r="D1556">
        <v>0</v>
      </c>
      <c r="E1556">
        <v>0</v>
      </c>
      <c r="F1556">
        <v>0</v>
      </c>
      <c r="G1556" s="1">
        <v>8.1910320763611798E-6</v>
      </c>
      <c r="H1556">
        <v>5.1352575845493499E-2</v>
      </c>
      <c r="I1556">
        <v>0</v>
      </c>
    </row>
    <row r="1557" spans="1:9" x14ac:dyDescent="0.25">
      <c r="A1557" s="1">
        <v>-128.95890593528699</v>
      </c>
      <c r="B1557">
        <v>-323.813562275957</v>
      </c>
      <c r="C1557">
        <v>4.2797889433221298E-2</v>
      </c>
      <c r="D1557">
        <v>0</v>
      </c>
      <c r="E1557">
        <v>0</v>
      </c>
      <c r="F1557">
        <v>0</v>
      </c>
      <c r="G1557" s="1">
        <v>1.18957855821122E-5</v>
      </c>
      <c r="H1557">
        <v>0.30626838695831199</v>
      </c>
      <c r="I1557">
        <v>0</v>
      </c>
    </row>
    <row r="1558" spans="1:9" x14ac:dyDescent="0.25">
      <c r="A1558" s="1">
        <v>-117.402367591857</v>
      </c>
      <c r="B1558">
        <v>-294.801444314908</v>
      </c>
      <c r="C1558">
        <v>4.4911341002873903E-2</v>
      </c>
      <c r="D1558">
        <v>0</v>
      </c>
      <c r="E1558">
        <v>0</v>
      </c>
      <c r="F1558">
        <v>0</v>
      </c>
      <c r="G1558" s="1">
        <v>1.8987859047605501E-5</v>
      </c>
      <c r="H1558">
        <v>0.51133624660486399</v>
      </c>
      <c r="I1558">
        <v>0</v>
      </c>
    </row>
    <row r="1559" spans="1:9" x14ac:dyDescent="0.25">
      <c r="A1559" s="1">
        <v>-106.80001378059301</v>
      </c>
      <c r="B1559">
        <v>-268.18377719123299</v>
      </c>
      <c r="C1559">
        <v>4.84440089872437E-2</v>
      </c>
      <c r="D1559">
        <v>0</v>
      </c>
      <c r="E1559">
        <v>0</v>
      </c>
      <c r="F1559">
        <v>0</v>
      </c>
      <c r="G1559" s="1">
        <v>2.9630704074108402E-5</v>
      </c>
      <c r="H1559">
        <v>0.62780160705730004</v>
      </c>
      <c r="I1559">
        <v>0</v>
      </c>
    </row>
    <row r="1560" spans="1:9" x14ac:dyDescent="0.25">
      <c r="A1560" s="1">
        <v>-97.073161005973802</v>
      </c>
      <c r="B1560">
        <v>-243.76302648384501</v>
      </c>
      <c r="C1560">
        <v>5.3772947842967898E-2</v>
      </c>
      <c r="D1560">
        <v>0</v>
      </c>
      <c r="E1560">
        <v>0</v>
      </c>
      <c r="F1560">
        <v>0</v>
      </c>
      <c r="G1560" s="1">
        <v>4.4520239971958999E-5</v>
      </c>
      <c r="H1560">
        <v>0.69076151815475495</v>
      </c>
      <c r="I1560">
        <v>0</v>
      </c>
    </row>
    <row r="1561" spans="1:9" x14ac:dyDescent="0.25">
      <c r="A1561" s="1">
        <v>-88.149435520172105</v>
      </c>
      <c r="B1561">
        <v>-221.357922558974</v>
      </c>
      <c r="C1561">
        <v>6.1302426152057998E-2</v>
      </c>
      <c r="D1561">
        <v>0</v>
      </c>
      <c r="E1561">
        <v>0</v>
      </c>
      <c r="F1561">
        <v>0</v>
      </c>
      <c r="G1561" s="1">
        <v>6.4914325766523006E-5</v>
      </c>
      <c r="H1561">
        <v>0.72504720549425306</v>
      </c>
      <c r="I1561">
        <v>0</v>
      </c>
    </row>
    <row r="1562" spans="1:9" x14ac:dyDescent="0.25">
      <c r="A1562" s="1">
        <v>-79.962490797042804</v>
      </c>
      <c r="B1562">
        <v>-200.80215671260299</v>
      </c>
      <c r="C1562">
        <v>7.1453849303254297E-2</v>
      </c>
      <c r="D1562">
        <v>0</v>
      </c>
      <c r="E1562">
        <v>0</v>
      </c>
      <c r="F1562">
        <v>0</v>
      </c>
      <c r="G1562" s="1">
        <v>9.27058228806743E-5</v>
      </c>
      <c r="H1562">
        <v>0.74399824976370399</v>
      </c>
      <c r="I1562">
        <v>0</v>
      </c>
    </row>
    <row r="1563" spans="1:9" x14ac:dyDescent="0.25">
      <c r="A1563" s="1">
        <v>-72.451583743095298</v>
      </c>
      <c r="B1563">
        <v>-181.94312746126599</v>
      </c>
      <c r="C1563">
        <v>8.4671026165213395E-2</v>
      </c>
      <c r="D1563">
        <v>0</v>
      </c>
      <c r="E1563">
        <v>0</v>
      </c>
      <c r="F1563">
        <v>0</v>
      </c>
      <c r="G1563">
        <v>1.30557675900533E-4</v>
      </c>
      <c r="H1563">
        <v>0.75470855028047101</v>
      </c>
      <c r="I1563">
        <v>0</v>
      </c>
    </row>
    <row r="1564" spans="1:9" x14ac:dyDescent="0.25">
      <c r="A1564" s="1">
        <v>-65.560821294784503</v>
      </c>
      <c r="B1564">
        <v>-164.64082056183699</v>
      </c>
      <c r="C1564">
        <v>0.101430957271907</v>
      </c>
      <c r="D1564">
        <v>0</v>
      </c>
      <c r="E1564">
        <v>0</v>
      </c>
      <c r="F1564">
        <v>0</v>
      </c>
      <c r="G1564">
        <v>1.8212687832360001E-4</v>
      </c>
      <c r="H1564">
        <v>0.76105699857281695</v>
      </c>
      <c r="I1564">
        <v>0</v>
      </c>
    </row>
    <row r="1565" spans="1:9" x14ac:dyDescent="0.25">
      <c r="A1565" s="1">
        <v>-59.238972067832897</v>
      </c>
      <c r="B1565">
        <v>-148.76678096998799</v>
      </c>
      <c r="C1565">
        <v>0.122256411352061</v>
      </c>
      <c r="D1565">
        <v>0</v>
      </c>
      <c r="E1565">
        <v>0</v>
      </c>
      <c r="F1565">
        <v>0</v>
      </c>
      <c r="G1565">
        <v>2.52411415659565E-4</v>
      </c>
      <c r="H1565">
        <v>0.76522135835622096</v>
      </c>
      <c r="I1565">
        <v>0</v>
      </c>
    </row>
    <row r="1566" spans="1:9" x14ac:dyDescent="0.25">
      <c r="A1566" s="1">
        <v>-53.439136743545497</v>
      </c>
      <c r="B1566">
        <v>-134.20312658895199</v>
      </c>
      <c r="C1566">
        <v>0.14772952121468699</v>
      </c>
      <c r="D1566">
        <v>0</v>
      </c>
      <c r="E1566">
        <v>0</v>
      </c>
      <c r="F1566">
        <v>0</v>
      </c>
      <c r="G1566">
        <v>3.48264840782235E-4</v>
      </c>
      <c r="H1566">
        <v>0.76845131138231904</v>
      </c>
      <c r="I1566">
        <v>0</v>
      </c>
    </row>
    <row r="1567" spans="1:9" x14ac:dyDescent="0.25">
      <c r="A1567" s="1">
        <v>-48.118183016777003</v>
      </c>
      <c r="B1567">
        <v>-120.841704105329</v>
      </c>
      <c r="C1567">
        <v>0.178507118799199</v>
      </c>
      <c r="D1567">
        <v>0</v>
      </c>
      <c r="E1567">
        <v>0</v>
      </c>
      <c r="F1567">
        <v>0</v>
      </c>
      <c r="G1567">
        <v>4.7913454308172698E-4</v>
      </c>
      <c r="H1567">
        <v>0.77147694611300299</v>
      </c>
      <c r="I1567">
        <v>0</v>
      </c>
    </row>
    <row r="1568" spans="1:9" x14ac:dyDescent="0.25">
      <c r="A1568" s="1">
        <v>-43.236604332923797</v>
      </c>
      <c r="B1568">
        <v>-108.583290794235</v>
      </c>
      <c r="C1568">
        <v>0.21533877956674</v>
      </c>
      <c r="D1568">
        <v>0</v>
      </c>
      <c r="E1568">
        <v>0</v>
      </c>
      <c r="F1568">
        <v>0</v>
      </c>
      <c r="G1568">
        <v>6.5809060497770103E-4</v>
      </c>
      <c r="H1568">
        <v>0.77472697190824502</v>
      </c>
      <c r="I1568">
        <v>0</v>
      </c>
    </row>
    <row r="1569" spans="1:9" x14ac:dyDescent="0.25">
      <c r="A1569" s="1">
        <v>-38.758049011230398</v>
      </c>
      <c r="B1569">
        <v>-97.336859009903307</v>
      </c>
      <c r="C1569">
        <v>0.25908838098754</v>
      </c>
      <c r="D1569">
        <v>0</v>
      </c>
      <c r="E1569">
        <v>0</v>
      </c>
      <c r="F1569">
        <v>0</v>
      </c>
      <c r="G1569">
        <v>9.0321587899325098E-4</v>
      </c>
      <c r="H1569">
        <v>0.77844372362113301</v>
      </c>
      <c r="I1569">
        <v>0</v>
      </c>
    </row>
    <row r="1570" spans="1:9" x14ac:dyDescent="0.25">
      <c r="A1570" s="1">
        <v>-34.649320244789102</v>
      </c>
      <c r="B1570">
        <v>-87.018874108534703</v>
      </c>
      <c r="C1570">
        <v>0.310759076765383</v>
      </c>
      <c r="D1570">
        <v>0</v>
      </c>
      <c r="E1570">
        <v>0</v>
      </c>
      <c r="F1570">
        <v>0</v>
      </c>
      <c r="G1570">
        <v>1.23942736624826E-3</v>
      </c>
      <c r="H1570">
        <v>0.78274335600523504</v>
      </c>
      <c r="I1570">
        <v>0</v>
      </c>
    </row>
    <row r="1571" spans="1:9" x14ac:dyDescent="0.25">
      <c r="A1571" s="1">
        <v>-30.879811048507602</v>
      </c>
      <c r="B1571">
        <v>-77.552692667883306</v>
      </c>
      <c r="C1571">
        <v>0.37152099828673602</v>
      </c>
      <c r="D1571">
        <v>0</v>
      </c>
      <c r="E1571">
        <v>0</v>
      </c>
      <c r="F1571">
        <v>0</v>
      </c>
      <c r="G1571">
        <v>1.70078456320197E-3</v>
      </c>
      <c r="H1571">
        <v>0.78765011535535001</v>
      </c>
      <c r="I1571">
        <v>0</v>
      </c>
    </row>
    <row r="1572" spans="1:9" x14ac:dyDescent="0.25">
      <c r="A1572" s="1">
        <v>-27.4215984344482</v>
      </c>
      <c r="B1572">
        <v>-68.8680087656941</v>
      </c>
      <c r="C1572">
        <v>0.44273929585523403</v>
      </c>
      <c r="D1572">
        <v>0</v>
      </c>
      <c r="E1572">
        <v>0</v>
      </c>
      <c r="F1572">
        <v>0</v>
      </c>
      <c r="G1572">
        <v>2.3333238728764599E-3</v>
      </c>
      <c r="H1572">
        <v>0.79312121958417803</v>
      </c>
      <c r="I1572">
        <v>0</v>
      </c>
    </row>
    <row r="1573" spans="1:9" x14ac:dyDescent="0.25">
      <c r="A1573" s="1">
        <v>-24.248878359794599</v>
      </c>
      <c r="B1573">
        <v>-60.900310705717999</v>
      </c>
      <c r="C1573">
        <v>0.52600058829998297</v>
      </c>
      <c r="D1573">
        <v>0</v>
      </c>
      <c r="E1573">
        <v>0</v>
      </c>
      <c r="F1573">
        <v>0</v>
      </c>
      <c r="G1573">
        <v>3.1984332164825E-3</v>
      </c>
      <c r="H1573">
        <v>0.79906967852560595</v>
      </c>
      <c r="I1573">
        <v>0</v>
      </c>
    </row>
    <row r="1574" spans="1:9" x14ac:dyDescent="0.25">
      <c r="A1574" s="1">
        <v>-21.3381540775299</v>
      </c>
      <c r="B1574">
        <v>-53.590414011035499</v>
      </c>
      <c r="C1574">
        <v>0.62313345739821602</v>
      </c>
      <c r="D1574">
        <v>0</v>
      </c>
      <c r="E1574">
        <v>0</v>
      </c>
      <c r="F1574">
        <v>0</v>
      </c>
      <c r="G1574">
        <v>4.37674937132669E-3</v>
      </c>
      <c r="H1574">
        <v>0.80538615462277197</v>
      </c>
      <c r="I1574">
        <v>0</v>
      </c>
    </row>
    <row r="1575" spans="1:9" x14ac:dyDescent="0.25">
      <c r="A1575" s="1">
        <v>-18.6677181720733</v>
      </c>
      <c r="B1575">
        <v>-46.884017402049501</v>
      </c>
      <c r="C1575">
        <v>0.73622032247969404</v>
      </c>
      <c r="D1575">
        <v>0</v>
      </c>
      <c r="E1575">
        <v>0</v>
      </c>
      <c r="F1575">
        <v>0</v>
      </c>
      <c r="G1575">
        <v>5.9725388228071101E-3</v>
      </c>
      <c r="H1575">
        <v>0.81195805210618399</v>
      </c>
      <c r="I1575">
        <v>0</v>
      </c>
    </row>
    <row r="1576" spans="1:9" x14ac:dyDescent="0.25">
      <c r="A1576" s="1">
        <v>-16.2178409099578</v>
      </c>
      <c r="B1576">
        <v>-40.731302719597601</v>
      </c>
      <c r="C1576">
        <v>0.86759658202156698</v>
      </c>
      <c r="D1576">
        <v>0</v>
      </c>
      <c r="E1576">
        <v>0</v>
      </c>
      <c r="F1576">
        <v>0</v>
      </c>
      <c r="G1576">
        <v>8.1184956930064802E-3</v>
      </c>
      <c r="H1576">
        <v>0.81868333777495095</v>
      </c>
      <c r="I1576">
        <v>0</v>
      </c>
    </row>
    <row r="1577" spans="1:9" x14ac:dyDescent="0.25">
      <c r="A1577" s="1">
        <v>-13.9702051877975</v>
      </c>
      <c r="B1577">
        <v>-35.086560052842302</v>
      </c>
      <c r="C1577">
        <v>1.01983487622085</v>
      </c>
      <c r="D1577">
        <v>0</v>
      </c>
      <c r="E1577">
        <v>0</v>
      </c>
      <c r="F1577">
        <v>0</v>
      </c>
      <c r="G1577">
        <v>1.0980889754991899E-2</v>
      </c>
      <c r="H1577">
        <v>0.82547835139690995</v>
      </c>
      <c r="I1577">
        <v>0</v>
      </c>
    </row>
    <row r="1578" spans="1:9" x14ac:dyDescent="0.25">
      <c r="A1578" s="1">
        <v>-11.908189058303799</v>
      </c>
      <c r="B1578">
        <v>-29.907856681686301</v>
      </c>
      <c r="C1578">
        <v>1.19571321870373</v>
      </c>
      <c r="D1578">
        <v>0</v>
      </c>
      <c r="E1578">
        <v>0</v>
      </c>
      <c r="F1578">
        <v>0</v>
      </c>
      <c r="G1578">
        <v>1.4764991583433499E-2</v>
      </c>
      <c r="H1578">
        <v>0.83228011706706995</v>
      </c>
      <c r="I1578">
        <v>0</v>
      </c>
    </row>
    <row r="1579" spans="1:9" x14ac:dyDescent="0.25">
      <c r="A1579" s="1">
        <v>-10.016394853591899</v>
      </c>
      <c r="B1579">
        <v>-25.156715683196101</v>
      </c>
      <c r="C1579">
        <v>1.3981658528313701</v>
      </c>
      <c r="D1579">
        <v>0</v>
      </c>
      <c r="E1579">
        <v>0</v>
      </c>
      <c r="F1579">
        <v>0</v>
      </c>
      <c r="G1579">
        <v>1.97207676794641E-2</v>
      </c>
      <c r="H1579">
        <v>0.83904512600018399</v>
      </c>
      <c r="I1579">
        <v>0</v>
      </c>
    </row>
    <row r="1580" spans="1:9" x14ac:dyDescent="0.25">
      <c r="A1580" s="1">
        <v>-8.2808375358581507</v>
      </c>
      <c r="B1580">
        <v>-20.797841486823199</v>
      </c>
      <c r="C1580">
        <v>1.63021965818605</v>
      </c>
      <c r="D1580">
        <v>0</v>
      </c>
      <c r="E1580">
        <v>0</v>
      </c>
      <c r="F1580">
        <v>0</v>
      </c>
      <c r="G1580">
        <v>2.6148910347474099E-2</v>
      </c>
      <c r="H1580">
        <v>0.845746101501055</v>
      </c>
      <c r="I1580">
        <v>0</v>
      </c>
    </row>
    <row r="1581" spans="1:9" x14ac:dyDescent="0.25">
      <c r="A1581" s="1">
        <v>-6.6885209083557102</v>
      </c>
      <c r="B1581">
        <v>-16.798849739250201</v>
      </c>
      <c r="C1581">
        <v>1.8949184678515101</v>
      </c>
      <c r="D1581">
        <v>0</v>
      </c>
      <c r="E1581">
        <v>0</v>
      </c>
      <c r="F1581">
        <v>0</v>
      </c>
      <c r="G1581">
        <v>3.4407438863054203E-2</v>
      </c>
      <c r="H1581">
        <v>0.85236845734338396</v>
      </c>
      <c r="I1581">
        <v>0</v>
      </c>
    </row>
    <row r="1582" spans="1:9" x14ac:dyDescent="0.25">
      <c r="A1582" s="1">
        <v>-5.2277201414108196</v>
      </c>
      <c r="B1582">
        <v>-13.130028577264801</v>
      </c>
      <c r="C1582">
        <v>2.1952392308445101</v>
      </c>
      <c r="D1582">
        <v>0</v>
      </c>
      <c r="E1582">
        <v>0</v>
      </c>
      <c r="F1582">
        <v>0</v>
      </c>
      <c r="G1582">
        <v>4.4919318856700502E-2</v>
      </c>
      <c r="H1582">
        <v>0.85890705500301601</v>
      </c>
      <c r="I1582">
        <v>0</v>
      </c>
    </row>
    <row r="1583" spans="1:9" x14ac:dyDescent="0.25">
      <c r="A1583" s="1">
        <v>-3.88755798339843</v>
      </c>
      <c r="B1583">
        <v>-9.7641202734079595</v>
      </c>
      <c r="C1583">
        <v>2.5340082460802198</v>
      </c>
      <c r="D1583">
        <v>0</v>
      </c>
      <c r="E1583">
        <v>0</v>
      </c>
      <c r="F1583">
        <v>0</v>
      </c>
      <c r="G1583">
        <v>5.81827081402298E-2</v>
      </c>
      <c r="H1583">
        <v>0.86536544631519197</v>
      </c>
      <c r="I1583">
        <v>0</v>
      </c>
    </row>
    <row r="1584" spans="1:9" x14ac:dyDescent="0.25">
      <c r="A1584" s="1">
        <v>-2.6580518484115601</v>
      </c>
      <c r="B1584">
        <v>-6.67611541871395</v>
      </c>
      <c r="C1584">
        <v>2.9138158941284802</v>
      </c>
      <c r="D1584">
        <v>0</v>
      </c>
      <c r="E1584">
        <v>0</v>
      </c>
      <c r="F1584">
        <v>0</v>
      </c>
      <c r="G1584">
        <v>7.4785440589766897E-2</v>
      </c>
      <c r="H1584">
        <v>0.87175542222368696</v>
      </c>
      <c r="I1584">
        <v>0</v>
      </c>
    </row>
    <row r="1585" spans="1:9" x14ac:dyDescent="0.25">
      <c r="A1585" s="1">
        <v>-1.5300196409225399</v>
      </c>
      <c r="B1585">
        <v>-3.8430711348768698</v>
      </c>
      <c r="C1585">
        <v>3.3369346595232501</v>
      </c>
      <c r="D1585">
        <v>0</v>
      </c>
      <c r="E1585">
        <v>0</v>
      </c>
      <c r="F1585">
        <v>0</v>
      </c>
      <c r="G1585">
        <v>9.53360384167172E-2</v>
      </c>
      <c r="H1585">
        <v>0.87798086455022495</v>
      </c>
      <c r="I1585">
        <v>0</v>
      </c>
    </row>
    <row r="1586" spans="1:9" x14ac:dyDescent="0.25">
      <c r="A1586" s="1">
        <v>-0.49517393112182601</v>
      </c>
      <c r="B1586">
        <v>-1.24393555496301</v>
      </c>
      <c r="C1586">
        <v>3.80535976193908</v>
      </c>
      <c r="D1586">
        <v>0</v>
      </c>
      <c r="E1586">
        <v>0</v>
      </c>
      <c r="F1586">
        <v>0</v>
      </c>
      <c r="G1586">
        <v>0.12567302921583101</v>
      </c>
      <c r="H1586">
        <v>0.88875530563667204</v>
      </c>
      <c r="I1586">
        <v>0</v>
      </c>
    </row>
    <row r="1587" spans="1:9" x14ac:dyDescent="0.25">
      <c r="A1587" s="1">
        <v>0.49376130104064903</v>
      </c>
      <c r="B1587">
        <v>0.35043150510225002</v>
      </c>
      <c r="C1587">
        <v>4.1430177147918403</v>
      </c>
      <c r="D1587">
        <v>0.306569076741674</v>
      </c>
      <c r="E1587">
        <v>-4.4043946194871001E-4</v>
      </c>
      <c r="F1587">
        <v>1.3272763251464501E-4</v>
      </c>
      <c r="G1587">
        <v>1.8739865096794501E-2</v>
      </c>
      <c r="H1587">
        <v>0.58034536624450195</v>
      </c>
      <c r="I1587" s="1">
        <v>5.4704771841345002E-7</v>
      </c>
    </row>
    <row r="1588" spans="1:9" x14ac:dyDescent="0.25">
      <c r="A1588" s="1">
        <v>1.5257111191749499</v>
      </c>
      <c r="B1588">
        <v>1.0820251489761801</v>
      </c>
      <c r="C1588">
        <v>4.3356401078863698</v>
      </c>
      <c r="D1588">
        <v>0.99510554240795501</v>
      </c>
      <c r="E1588">
        <v>-3.93082058163686E-3</v>
      </c>
      <c r="F1588">
        <v>4.2256236576755998E-4</v>
      </c>
      <c r="G1588">
        <v>3.7882362724051502E-2</v>
      </c>
      <c r="H1588">
        <v>0.77817884229489598</v>
      </c>
      <c r="I1588" s="1">
        <v>2.40207124616436E-5</v>
      </c>
    </row>
    <row r="1589" spans="1:9" x14ac:dyDescent="0.25">
      <c r="A1589" s="1">
        <v>2.6505178213119498</v>
      </c>
      <c r="B1589">
        <v>1.87296102817687</v>
      </c>
      <c r="C1589">
        <v>4.6037675307384403</v>
      </c>
      <c r="D1589">
        <v>1.8326641276871201</v>
      </c>
      <c r="E1589">
        <v>-1.5144255804888301E-2</v>
      </c>
      <c r="F1589">
        <v>7.5942562618238295E-4</v>
      </c>
      <c r="G1589">
        <v>6.1290295780932001E-2</v>
      </c>
      <c r="H1589">
        <v>0.84961315868684595</v>
      </c>
      <c r="I1589">
        <v>1.4140316440832901E-4</v>
      </c>
    </row>
    <row r="1590" spans="1:9" x14ac:dyDescent="0.25">
      <c r="A1590" s="1">
        <v>3.8765159249305698</v>
      </c>
      <c r="B1590">
        <v>2.7192230942431399</v>
      </c>
      <c r="C1590">
        <v>4.9823842847259696</v>
      </c>
      <c r="D1590">
        <v>2.84344143708676</v>
      </c>
      <c r="E1590">
        <v>-3.81139011702036E-2</v>
      </c>
      <c r="F1590">
        <v>1.1328070296213501E-3</v>
      </c>
      <c r="G1590">
        <v>8.2932640638776006E-2</v>
      </c>
      <c r="H1590">
        <v>0.87399941754868404</v>
      </c>
      <c r="I1590">
        <v>3.6346797550981498E-4</v>
      </c>
    </row>
    <row r="1591" spans="1:9" x14ac:dyDescent="0.25">
      <c r="A1591" s="1">
        <v>5.2129346132278398</v>
      </c>
      <c r="B1591">
        <v>3.6104515301767299</v>
      </c>
      <c r="C1591">
        <v>5.4897818387884501</v>
      </c>
      <c r="D1591">
        <v>4.0055521066873103</v>
      </c>
      <c r="E1591">
        <v>-7.7323568055956499E-2</v>
      </c>
      <c r="F1591">
        <v>1.5035445318787E-3</v>
      </c>
      <c r="G1591">
        <v>9.7579910539321094E-2</v>
      </c>
      <c r="H1591">
        <v>0.87488538217343004</v>
      </c>
      <c r="I1591">
        <v>7.5271151218180899E-4</v>
      </c>
    </row>
    <row r="1592" spans="1:9" x14ac:dyDescent="0.25">
      <c r="A1592" s="1">
        <v>6.6695916652679399</v>
      </c>
      <c r="B1592">
        <v>4.5286347138467704</v>
      </c>
      <c r="C1592">
        <v>6.1008232291500599</v>
      </c>
      <c r="D1592">
        <v>5.2242521338835601</v>
      </c>
      <c r="E1592">
        <v>-0.13510961827470899</v>
      </c>
      <c r="F1592">
        <v>1.8065120336733099E-3</v>
      </c>
      <c r="G1592">
        <v>0.10413428439358299</v>
      </c>
      <c r="H1592">
        <v>0.86082409088686096</v>
      </c>
      <c r="I1592">
        <v>1.71531171150082E-3</v>
      </c>
    </row>
    <row r="1593" spans="1:9" x14ac:dyDescent="0.25">
      <c r="A1593" s="1">
        <v>8.2573878765106201</v>
      </c>
      <c r="B1593">
        <v>5.44899935151967</v>
      </c>
      <c r="C1593">
        <v>6.7370914296918798</v>
      </c>
      <c r="D1593">
        <v>6.3447082447892198</v>
      </c>
      <c r="E1593">
        <v>-0.20973800375719201</v>
      </c>
      <c r="F1593">
        <v>1.9695754697168898E-3</v>
      </c>
      <c r="G1593">
        <v>0.105905590533454</v>
      </c>
      <c r="H1593">
        <v>0.83740535907865798</v>
      </c>
      <c r="I1593">
        <v>4.1801787172590903E-3</v>
      </c>
    </row>
    <row r="1594" spans="1:9" x14ac:dyDescent="0.25">
      <c r="A1594" s="1">
        <v>9.9880245327949506</v>
      </c>
      <c r="B1594">
        <v>6.3439178715232298</v>
      </c>
      <c r="C1594">
        <v>7.2914517565557002</v>
      </c>
      <c r="D1594">
        <v>7.2121489768333102</v>
      </c>
      <c r="E1594">
        <v>-0.29525442356791298</v>
      </c>
      <c r="F1594">
        <v>1.9369843286599401E-3</v>
      </c>
      <c r="G1594">
        <v>0.10727121641583599</v>
      </c>
      <c r="H1594">
        <v>0.810470863688042</v>
      </c>
      <c r="I1594">
        <v>8.15458113078045E-3</v>
      </c>
    </row>
    <row r="1595" spans="1:9" x14ac:dyDescent="0.25">
      <c r="A1595" s="1">
        <v>11.874474287032999</v>
      </c>
      <c r="B1595">
        <v>7.1887632461968396</v>
      </c>
      <c r="C1595">
        <v>7.6741877106629497</v>
      </c>
      <c r="D1595">
        <v>7.7371561220074101</v>
      </c>
      <c r="E1595">
        <v>-0.38373106713511002</v>
      </c>
      <c r="F1595">
        <v>1.7134746885069799E-3</v>
      </c>
      <c r="G1595">
        <v>0.109844814503558</v>
      </c>
      <c r="H1595">
        <v>0.78422446804983403</v>
      </c>
      <c r="I1595">
        <v>1.092886726814E-2</v>
      </c>
    </row>
    <row r="1596" spans="1:9" x14ac:dyDescent="0.25">
      <c r="A1596" s="1">
        <v>13.9306750893592</v>
      </c>
      <c r="B1596">
        <v>7.9667984577599498</v>
      </c>
      <c r="C1596">
        <v>7.8445113135011999</v>
      </c>
      <c r="D1596">
        <v>7.9160614152650597</v>
      </c>
      <c r="E1596">
        <v>-0.46816544874174199</v>
      </c>
      <c r="F1596">
        <v>1.37352004072545E-3</v>
      </c>
      <c r="G1596">
        <v>0.112294938013354</v>
      </c>
      <c r="H1596">
        <v>0.75963837627544994</v>
      </c>
      <c r="I1596">
        <v>9.9180045072348802E-3</v>
      </c>
    </row>
    <row r="1597" spans="1:9" x14ac:dyDescent="0.25">
      <c r="A1597" s="1">
        <v>16.171883344650201</v>
      </c>
      <c r="B1597">
        <v>8.6705806526127702</v>
      </c>
      <c r="C1597">
        <v>7.8099038519786301</v>
      </c>
      <c r="D1597">
        <v>7.8054040866475098</v>
      </c>
      <c r="E1597">
        <v>-0.54401054661324799</v>
      </c>
      <c r="F1597">
        <v>1.036028306877E-3</v>
      </c>
      <c r="G1597">
        <v>0.112784390399503</v>
      </c>
      <c r="H1597">
        <v>0.73594042435590201</v>
      </c>
      <c r="I1597">
        <v>5.5548681084154903E-3</v>
      </c>
    </row>
    <row r="1598" spans="1:9" x14ac:dyDescent="0.25">
      <c r="A1598" s="1">
        <v>18.614838719367899</v>
      </c>
      <c r="B1598">
        <v>9.3002268436137108</v>
      </c>
      <c r="C1598">
        <v>7.6066386658546001</v>
      </c>
      <c r="D1598">
        <v>7.4842535543767204</v>
      </c>
      <c r="E1598">
        <v>-0.60918053675536599</v>
      </c>
      <c r="F1598">
        <v>8.24663043732596E-4</v>
      </c>
      <c r="G1598">
        <v>0.11055225619443899</v>
      </c>
      <c r="H1598">
        <v>0.71235291737559903</v>
      </c>
      <c r="I1598" s="1">
        <v>-5.2331322291847098E-5</v>
      </c>
    </row>
    <row r="1599" spans="1:9" x14ac:dyDescent="0.25">
      <c r="A1599" s="1">
        <v>21.2777170538902</v>
      </c>
      <c r="B1599">
        <v>9.8605679902020391</v>
      </c>
      <c r="C1599">
        <v>7.2803817639027804</v>
      </c>
      <c r="D1599">
        <v>7.0279306315568499</v>
      </c>
      <c r="E1599">
        <v>-0.66334429596329203</v>
      </c>
      <c r="F1599">
        <v>8.2802320839090295E-4</v>
      </c>
      <c r="G1599">
        <v>0.105918910406281</v>
      </c>
      <c r="H1599">
        <v>0.68862482114106505</v>
      </c>
      <c r="I1599">
        <v>-5.2029491676539204E-3</v>
      </c>
    </row>
    <row r="1600" spans="1:9" x14ac:dyDescent="0.25">
      <c r="A1600" s="1">
        <v>24.180224537849401</v>
      </c>
      <c r="B1600">
        <v>10.3586791912797</v>
      </c>
      <c r="C1600">
        <v>6.8745392603048998</v>
      </c>
      <c r="D1600">
        <v>6.4975772899343598</v>
      </c>
      <c r="E1600">
        <v>-0.70716416496612799</v>
      </c>
      <c r="F1600">
        <v>1.08374682880206E-3</v>
      </c>
      <c r="G1600">
        <v>9.9670796247853605E-2</v>
      </c>
      <c r="H1600">
        <v>0.66489338321119995</v>
      </c>
      <c r="I1600">
        <v>-9.16868431567581E-3</v>
      </c>
    </row>
    <row r="1601" spans="1:9" x14ac:dyDescent="0.25">
      <c r="A1601" s="1">
        <v>27.343950867652801</v>
      </c>
      <c r="B1601">
        <v>10.802333443868401</v>
      </c>
      <c r="C1601">
        <v>6.4254194032958996</v>
      </c>
      <c r="D1601">
        <v>5.9381069009866296</v>
      </c>
      <c r="E1601">
        <v>-0.74173665755296003</v>
      </c>
      <c r="F1601">
        <v>1.5270363866116601E-3</v>
      </c>
      <c r="G1601">
        <v>9.25531107289225E-2</v>
      </c>
      <c r="H1601">
        <v>0.64150099898280999</v>
      </c>
      <c r="I1601">
        <v>-1.18554533994981E-2</v>
      </c>
    </row>
    <row r="1602" spans="1:9" x14ac:dyDescent="0.25">
      <c r="A1602" s="1">
        <v>30.7923927903175</v>
      </c>
      <c r="B1602">
        <v>11.1992285224381</v>
      </c>
      <c r="C1602">
        <v>5.9611664359832597</v>
      </c>
      <c r="D1602">
        <v>5.3810887723230802</v>
      </c>
      <c r="E1602">
        <v>-0.768267706852376</v>
      </c>
      <c r="F1602">
        <v>2.0667418190351001E-3</v>
      </c>
      <c r="G1602">
        <v>8.5080875151856195E-2</v>
      </c>
      <c r="H1602">
        <v>0.61886806229871605</v>
      </c>
      <c r="I1602">
        <v>-1.3409087367012001E-2</v>
      </c>
    </row>
    <row r="1603" spans="1:9" x14ac:dyDescent="0.25">
      <c r="A1603" s="1">
        <v>34.551213085651298</v>
      </c>
      <c r="B1603">
        <v>11.5565983290556</v>
      </c>
      <c r="C1603">
        <v>5.5022561822462901</v>
      </c>
      <c r="D1603">
        <v>4.8469712589220801</v>
      </c>
      <c r="E1603">
        <v>-0.78791760578459402</v>
      </c>
      <c r="F1603">
        <v>2.64664462337232E-3</v>
      </c>
      <c r="G1603">
        <v>7.7551877349005705E-2</v>
      </c>
      <c r="H1603">
        <v>0.59740597601801504</v>
      </c>
      <c r="I1603">
        <v>-1.40310160464324E-2</v>
      </c>
    </row>
    <row r="1604" spans="1:9" x14ac:dyDescent="0.25">
      <c r="A1604" s="1">
        <v>38.6483111977577</v>
      </c>
      <c r="B1604">
        <v>11.880995583790799</v>
      </c>
      <c r="C1604">
        <v>5.0625198379301199</v>
      </c>
      <c r="D1604">
        <v>4.3482985469838704</v>
      </c>
      <c r="E1604">
        <v>-0.80169862137695402</v>
      </c>
      <c r="F1604">
        <v>3.1357661929874601E-3</v>
      </c>
      <c r="G1604">
        <v>7.0141037417396496E-2</v>
      </c>
      <c r="H1604">
        <v>0.57749736870857904</v>
      </c>
      <c r="I1604">
        <v>-1.3920980943577899E-2</v>
      </c>
    </row>
    <row r="1605" spans="1:9" x14ac:dyDescent="0.25">
      <c r="A1605" s="1">
        <v>43.1141293048858</v>
      </c>
      <c r="B1605">
        <v>12.1782458553794</v>
      </c>
      <c r="C1605">
        <v>4.6504530386803804</v>
      </c>
      <c r="D1605">
        <v>3.8923596105082301</v>
      </c>
      <c r="E1605">
        <v>-0.81044473290068597</v>
      </c>
      <c r="F1605">
        <v>3.4868318650688999E-3</v>
      </c>
      <c r="G1605">
        <v>6.29661012931097E-2</v>
      </c>
      <c r="H1605">
        <v>0.55940858685143402</v>
      </c>
      <c r="I1605">
        <v>-1.32657969154013E-2</v>
      </c>
    </row>
    <row r="1606" spans="1:9" x14ac:dyDescent="0.25">
      <c r="A1606" s="1">
        <v>47.981887757778097</v>
      </c>
      <c r="B1606">
        <v>12.453359801578801</v>
      </c>
      <c r="C1606">
        <v>4.2705624114688199</v>
      </c>
      <c r="D1606">
        <v>3.4818519715654399</v>
      </c>
      <c r="E1606">
        <v>-0.81485599888082705</v>
      </c>
      <c r="F1606">
        <v>3.6410705197584201E-3</v>
      </c>
      <c r="G1606">
        <v>5.6111203534277301E-2</v>
      </c>
      <c r="H1606">
        <v>0.54316475156867305</v>
      </c>
      <c r="I1606">
        <v>-1.2245821794961E-2</v>
      </c>
    </row>
    <row r="1607" spans="1:9" x14ac:dyDescent="0.25">
      <c r="A1607" s="1">
        <v>53.287820518016801</v>
      </c>
      <c r="B1607">
        <v>12.7105206320765</v>
      </c>
      <c r="C1607">
        <v>3.92419651076644</v>
      </c>
      <c r="D1607">
        <v>3.1168536599096699</v>
      </c>
      <c r="E1607">
        <v>-0.81546269118445902</v>
      </c>
      <c r="F1607">
        <v>3.5419980501541601E-3</v>
      </c>
      <c r="G1607">
        <v>4.96686011858486E-2</v>
      </c>
      <c r="H1607">
        <v>0.52875578828829195</v>
      </c>
      <c r="I1607">
        <v>-1.1024087693396901E-2</v>
      </c>
    </row>
    <row r="1608" spans="1:9" x14ac:dyDescent="0.25">
      <c r="A1608" s="1">
        <v>59.071175158023799</v>
      </c>
      <c r="B1608">
        <v>12.9532470906857</v>
      </c>
      <c r="C1608">
        <v>3.6107229781219399</v>
      </c>
      <c r="D1608">
        <v>2.7947469808884899</v>
      </c>
      <c r="E1608">
        <v>-0.81266957591156797</v>
      </c>
      <c r="F1608">
        <v>3.13907085438044E-3</v>
      </c>
      <c r="G1608">
        <v>4.3732703895080799E-2</v>
      </c>
      <c r="H1608">
        <v>0.51607821562003897</v>
      </c>
      <c r="I1608">
        <v>-9.7524325152563603E-3</v>
      </c>
    </row>
    <row r="1609" spans="1:9" x14ac:dyDescent="0.25">
      <c r="A1609" s="1">
        <v>65.375131070613804</v>
      </c>
      <c r="B1609">
        <v>13.1844227085593</v>
      </c>
      <c r="C1609">
        <v>3.32856721237816</v>
      </c>
      <c r="D1609">
        <v>2.51272473763105</v>
      </c>
      <c r="E1609">
        <v>-0.80677798792392597</v>
      </c>
      <c r="F1609">
        <v>2.52304738111955E-3</v>
      </c>
      <c r="G1609">
        <v>3.8350424110822297E-2</v>
      </c>
      <c r="H1609">
        <v>0.50472778696235998</v>
      </c>
      <c r="I1609">
        <v>-8.5293584938179595E-3</v>
      </c>
    </row>
    <row r="1610" spans="1:9" x14ac:dyDescent="0.25">
      <c r="A1610" s="1">
        <v>72.246375679969702</v>
      </c>
      <c r="B1610">
        <v>13.406429533171901</v>
      </c>
      <c r="C1610">
        <v>3.0749605708316801</v>
      </c>
      <c r="D1610">
        <v>2.2667231427967298</v>
      </c>
      <c r="E1610">
        <v>-0.79802039842579198</v>
      </c>
      <c r="F1610">
        <v>1.7941332297940901E-3</v>
      </c>
      <c r="G1610">
        <v>3.3545147521364699E-2</v>
      </c>
      <c r="H1610">
        <v>0.49443654426387701</v>
      </c>
      <c r="I1610">
        <v>-7.4158223192745702E-3</v>
      </c>
    </row>
    <row r="1611" spans="1:9" x14ac:dyDescent="0.25">
      <c r="A1611" s="1">
        <v>79.736069738864799</v>
      </c>
      <c r="B1611">
        <v>13.621223350870901</v>
      </c>
      <c r="C1611">
        <v>2.8464402471578998</v>
      </c>
      <c r="D1611">
        <v>2.0520651249917798</v>
      </c>
      <c r="E1611">
        <v>-0.78653453154100905</v>
      </c>
      <c r="F1611">
        <v>1.13064021318161E-3</v>
      </c>
      <c r="G1611">
        <v>2.9275553524641E-2</v>
      </c>
      <c r="H1611">
        <v>0.48475849742440702</v>
      </c>
      <c r="I1611">
        <v>-6.4189594938186901E-3</v>
      </c>
    </row>
    <row r="1612" spans="1:9" x14ac:dyDescent="0.25">
      <c r="A1612" s="1">
        <v>87.899753153324099</v>
      </c>
      <c r="B1612">
        <v>13.8303754771831</v>
      </c>
      <c r="C1612">
        <v>2.6393171022109998</v>
      </c>
      <c r="D1612">
        <v>1.86410112565518</v>
      </c>
      <c r="E1612">
        <v>-0.77236278735822705</v>
      </c>
      <c r="F1612">
        <v>7.43399731052337E-4</v>
      </c>
      <c r="G1612">
        <v>2.55026376518948E-2</v>
      </c>
      <c r="H1612">
        <v>0.47557509866995001</v>
      </c>
      <c r="I1612">
        <v>-5.5452863158129704E-3</v>
      </c>
    </row>
    <row r="1613" spans="1:9" x14ac:dyDescent="0.25">
      <c r="A1613" s="1">
        <v>96.798263192176805</v>
      </c>
      <c r="B1613">
        <v>14.0351103680912</v>
      </c>
      <c r="C1613">
        <v>2.4502536568164599</v>
      </c>
      <c r="D1613">
        <v>1.69890046419069</v>
      </c>
      <c r="E1613">
        <v>-0.75558041188603897</v>
      </c>
      <c r="F1613">
        <v>8.1401296683192498E-4</v>
      </c>
      <c r="G1613">
        <v>2.2180295010696099E-2</v>
      </c>
      <c r="H1613">
        <v>0.46663968563076502</v>
      </c>
      <c r="I1613">
        <v>-4.7842425538424599E-3</v>
      </c>
    </row>
    <row r="1614" spans="1:9" x14ac:dyDescent="0.25">
      <c r="A1614" s="1">
        <v>106.497616767883</v>
      </c>
      <c r="B1614">
        <v>14.2364811393204</v>
      </c>
      <c r="C1614">
        <v>2.2758912578063701</v>
      </c>
      <c r="D1614">
        <v>1.55263620978829</v>
      </c>
      <c r="E1614">
        <v>-0.73609702366227203</v>
      </c>
      <c r="F1614">
        <v>1.0729561772788801E-3</v>
      </c>
      <c r="G1614">
        <v>1.9269100883589001E-2</v>
      </c>
      <c r="H1614">
        <v>0.45794314460249902</v>
      </c>
      <c r="I1614">
        <v>-4.1281097293936701E-3</v>
      </c>
    </row>
    <row r="1615" spans="1:9" x14ac:dyDescent="0.25">
      <c r="A1615" s="1">
        <v>117.06990510225199</v>
      </c>
      <c r="B1615">
        <v>14.4356453823629</v>
      </c>
      <c r="C1615">
        <v>2.11225720620449</v>
      </c>
      <c r="D1615">
        <v>1.42114116577931</v>
      </c>
      <c r="E1615">
        <v>-0.71367633169997102</v>
      </c>
      <c r="F1615">
        <v>1.24985024090279E-3</v>
      </c>
      <c r="G1615">
        <v>1.67250914485256E-2</v>
      </c>
      <c r="H1615">
        <v>0.450084581471909</v>
      </c>
      <c r="I1615">
        <v>-3.56328057369234E-3</v>
      </c>
    </row>
    <row r="1616" spans="1:9" x14ac:dyDescent="0.25">
      <c r="A1616" s="1">
        <v>128.593670427799</v>
      </c>
      <c r="B1616">
        <v>14.633547558147001</v>
      </c>
      <c r="C1616">
        <v>1.9573432631916801</v>
      </c>
      <c r="D1616">
        <v>1.30180518149894</v>
      </c>
      <c r="E1616">
        <v>-0.68835545968071898</v>
      </c>
      <c r="F1616">
        <v>1.53827499820656E-3</v>
      </c>
      <c r="G1616">
        <v>1.44720051345341E-2</v>
      </c>
      <c r="H1616">
        <v>0.44266019485156499</v>
      </c>
      <c r="I1616">
        <v>-3.0599346893889299E-3</v>
      </c>
    </row>
    <row r="1617" spans="1:9" x14ac:dyDescent="0.25">
      <c r="A1617" s="1">
        <v>141.15461230278001</v>
      </c>
      <c r="B1617">
        <v>14.8306181068304</v>
      </c>
      <c r="C1617">
        <v>1.80927481501521</v>
      </c>
      <c r="D1617">
        <v>1.1923147862622301</v>
      </c>
      <c r="E1617">
        <v>-0.65991771946825095</v>
      </c>
      <c r="F1617">
        <v>2.1654317637405901E-3</v>
      </c>
      <c r="G1617">
        <v>1.24610710262507E-2</v>
      </c>
      <c r="H1617">
        <v>0.43546047566990298</v>
      </c>
      <c r="I1617">
        <v>-2.60916711734156E-3</v>
      </c>
    </row>
    <row r="1618" spans="1:9" x14ac:dyDescent="0.25">
      <c r="A1618" s="1">
        <v>154.84601140022201</v>
      </c>
      <c r="B1618">
        <v>15.0266564349416</v>
      </c>
      <c r="C1618">
        <v>1.6665748325685299</v>
      </c>
      <c r="D1618">
        <v>1.0905455918303899</v>
      </c>
      <c r="E1618">
        <v>-0.62818642253103296</v>
      </c>
      <c r="F1618">
        <v>2.2812831466588902E-3</v>
      </c>
      <c r="G1618">
        <v>1.0657031991543201E-2</v>
      </c>
      <c r="H1618">
        <v>0.42798318327325202</v>
      </c>
      <c r="I1618">
        <v>-2.2039395320111298E-3</v>
      </c>
    </row>
    <row r="1619" spans="1:9" x14ac:dyDescent="0.25">
      <c r="A1619" s="1">
        <v>169.76969480514501</v>
      </c>
      <c r="B1619">
        <v>15.221612394112601</v>
      </c>
      <c r="C1619">
        <v>1.5269187547393499</v>
      </c>
      <c r="D1619">
        <v>0.99410251003875805</v>
      </c>
      <c r="E1619">
        <v>-0.59269791702172503</v>
      </c>
      <c r="F1619">
        <v>1.9001078657507099E-3</v>
      </c>
      <c r="G1619">
        <v>9.0428503766632196E-3</v>
      </c>
      <c r="H1619">
        <v>0.42052190023597202</v>
      </c>
      <c r="I1619">
        <v>-1.8412527182059E-3</v>
      </c>
    </row>
    <row r="1620" spans="1:9" x14ac:dyDescent="0.25">
      <c r="A1620" s="1">
        <v>186.03645980358101</v>
      </c>
      <c r="B1620">
        <v>15.416004184145001</v>
      </c>
      <c r="C1620">
        <v>1.3884535709709001</v>
      </c>
      <c r="D1620">
        <v>0.90141848735919405</v>
      </c>
      <c r="E1620">
        <v>-0.55297324462616304</v>
      </c>
      <c r="F1620">
        <v>1.72345031712781E-3</v>
      </c>
      <c r="G1620">
        <v>7.5987617463522499E-3</v>
      </c>
      <c r="H1620">
        <v>0.413612090884796</v>
      </c>
      <c r="I1620">
        <v>-1.51949198369664E-3</v>
      </c>
    </row>
    <row r="1621" spans="1:9" x14ac:dyDescent="0.25">
      <c r="A1621" s="1">
        <v>203.76720398664401</v>
      </c>
      <c r="B1621">
        <v>15.6093888277891</v>
      </c>
      <c r="C1621">
        <v>1.251137648614</v>
      </c>
      <c r="D1621">
        <v>0.81072960328237198</v>
      </c>
      <c r="E1621">
        <v>-0.50890412959075104</v>
      </c>
      <c r="F1621">
        <v>1.48974914898001E-3</v>
      </c>
      <c r="G1621">
        <v>6.2998988274172198E-3</v>
      </c>
      <c r="H1621">
        <v>0.40631547794253298</v>
      </c>
      <c r="I1621">
        <v>-1.23234870766355E-3</v>
      </c>
    </row>
    <row r="1622" spans="1:9" x14ac:dyDescent="0.25">
      <c r="A1622" s="1">
        <v>223.09376105666101</v>
      </c>
      <c r="B1622">
        <v>15.8001072498742</v>
      </c>
      <c r="C1622">
        <v>1.11400141906589</v>
      </c>
      <c r="D1622">
        <v>0.72109213063373001</v>
      </c>
      <c r="E1622">
        <v>-0.46003670850146</v>
      </c>
      <c r="F1622">
        <v>1.1656064762679099E-3</v>
      </c>
      <c r="G1622">
        <v>5.1212210777716203E-3</v>
      </c>
      <c r="H1622">
        <v>0.398915462924196</v>
      </c>
      <c r="I1622">
        <v>-9.6986418249945996E-4</v>
      </c>
    </row>
    <row r="1623" spans="1:9" x14ac:dyDescent="0.25">
      <c r="A1623" s="1">
        <v>244.15970131754801</v>
      </c>
      <c r="B1623">
        <v>15.9867594751301</v>
      </c>
      <c r="C1623">
        <v>0.97610077974285503</v>
      </c>
      <c r="D1623">
        <v>0.63080583238737598</v>
      </c>
      <c r="E1623">
        <v>-0.40576932398610299</v>
      </c>
      <c r="F1623">
        <v>3.7886213157382198E-4</v>
      </c>
      <c r="G1623">
        <v>4.0627057513819001E-3</v>
      </c>
      <c r="H1623">
        <v>0.39203003956446097</v>
      </c>
      <c r="I1623">
        <v>-7.3595853664487002E-4</v>
      </c>
    </row>
    <row r="1624" spans="1:9" x14ac:dyDescent="0.25">
      <c r="A1624" s="1">
        <v>267.12157949805197</v>
      </c>
      <c r="B1624">
        <v>16.166507941740999</v>
      </c>
      <c r="C1624">
        <v>0.83832432302970505</v>
      </c>
      <c r="D1624">
        <v>0.54063561827495599</v>
      </c>
      <c r="E1624">
        <v>-0.34574271429462899</v>
      </c>
      <c r="F1624">
        <v>-6.38341293299168E-4</v>
      </c>
      <c r="G1624">
        <v>3.1346463532028802E-3</v>
      </c>
      <c r="H1624">
        <v>0.38615461278240998</v>
      </c>
      <c r="I1624">
        <v>-5.3849017514156898E-4</v>
      </c>
    </row>
    <row r="1625" spans="1:9" x14ac:dyDescent="0.25">
      <c r="A1625" s="1">
        <v>292.15002954006098</v>
      </c>
      <c r="B1625">
        <v>16.3346345240953</v>
      </c>
      <c r="C1625">
        <v>0.70109087909977197</v>
      </c>
      <c r="D1625">
        <v>0.44957017003364402</v>
      </c>
      <c r="E1625">
        <v>-0.27944237310109199</v>
      </c>
      <c r="F1625">
        <v>-1.2042310905967699E-3</v>
      </c>
      <c r="G1625">
        <v>2.3418346768209601E-3</v>
      </c>
      <c r="H1625">
        <v>0.38251222037146199</v>
      </c>
      <c r="I1625">
        <v>-3.7880779037438703E-4</v>
      </c>
    </row>
    <row r="1626" spans="1:9" x14ac:dyDescent="0.25">
      <c r="A1626" s="1">
        <v>319.43101242184599</v>
      </c>
      <c r="B1626">
        <v>16.4817155080619</v>
      </c>
      <c r="C1626">
        <v>0.57162821921062201</v>
      </c>
      <c r="D1626">
        <v>0.36202531869823301</v>
      </c>
      <c r="E1626">
        <v>-0.20654973683188399</v>
      </c>
      <c r="F1626">
        <v>-9.15926009246742E-4</v>
      </c>
      <c r="G1626">
        <v>1.70087916611378E-3</v>
      </c>
      <c r="H1626">
        <v>0.38239719236080499</v>
      </c>
      <c r="I1626">
        <v>-2.6143009395505798E-4</v>
      </c>
    </row>
    <row r="1627" spans="1:9" x14ac:dyDescent="0.25">
      <c r="A1627" s="1">
        <v>349.16732590645501</v>
      </c>
      <c r="B1627">
        <v>16.5958239401463</v>
      </c>
      <c r="C1627">
        <v>0.46410550046339799</v>
      </c>
      <c r="D1627">
        <v>0.28727139882053099</v>
      </c>
      <c r="E1627">
        <v>-0.12576021466179901</v>
      </c>
      <c r="F1627">
        <v>-1.0406008293000501E-3</v>
      </c>
      <c r="G1627">
        <v>1.2583800907399901E-3</v>
      </c>
      <c r="H1627">
        <v>0.38692193865257402</v>
      </c>
      <c r="I1627">
        <v>-1.91714861893741E-4</v>
      </c>
    </row>
    <row r="1628" spans="1:9" x14ac:dyDescent="0.25">
      <c r="A1628" s="1">
        <v>379.83785875141598</v>
      </c>
      <c r="B1628">
        <v>16.6560646670642</v>
      </c>
      <c r="C1628">
        <v>0.40272481190544601</v>
      </c>
      <c r="D1628">
        <v>0.24360642639810901</v>
      </c>
      <c r="E1628">
        <v>-4.1516240806920797E-2</v>
      </c>
      <c r="F1628">
        <v>-1.3740778762294601E-3</v>
      </c>
      <c r="G1628">
        <v>1.0282100698736499E-3</v>
      </c>
      <c r="H1628">
        <v>0.40772251875839299</v>
      </c>
      <c r="I1628">
        <v>-1.5218216633068599E-4</v>
      </c>
    </row>
    <row r="1629" spans="1:9" x14ac:dyDescent="0.25">
      <c r="A1629" s="1" t="s">
        <v>545</v>
      </c>
      <c r="B1629" s="1" t="s">
        <v>614</v>
      </c>
      <c r="C1629" s="1" t="s">
        <v>615</v>
      </c>
      <c r="D1629" s="1" t="s">
        <v>616</v>
      </c>
      <c r="E1629" s="1" t="s">
        <v>617</v>
      </c>
      <c r="F1629" s="1" t="s">
        <v>618</v>
      </c>
      <c r="G1629" s="1" t="s">
        <v>400</v>
      </c>
      <c r="H1629" s="1" t="s">
        <v>619</v>
      </c>
      <c r="I1629" s="1" t="s">
        <v>613</v>
      </c>
    </row>
    <row r="1630" spans="1:9" x14ac:dyDescent="0.25">
      <c r="A1630" s="1">
        <v>-141.555516719818</v>
      </c>
      <c r="B1630">
        <v>-710.774445543556</v>
      </c>
      <c r="C1630">
        <v>4.4302691522661003E-2</v>
      </c>
      <c r="D1630">
        <v>0</v>
      </c>
      <c r="E1630">
        <v>0</v>
      </c>
      <c r="F1630">
        <v>0</v>
      </c>
      <c r="G1630" s="1">
        <v>8.7898322727397701E-6</v>
      </c>
      <c r="H1630">
        <v>5.2984084211659302E-2</v>
      </c>
      <c r="I1630">
        <v>0</v>
      </c>
    </row>
    <row r="1631" spans="1:9" x14ac:dyDescent="0.25">
      <c r="A1631" s="1">
        <v>-128.95890593528699</v>
      </c>
      <c r="B1631">
        <v>-647.53223851111397</v>
      </c>
      <c r="C1631">
        <v>4.5374504224864498E-2</v>
      </c>
      <c r="D1631">
        <v>0</v>
      </c>
      <c r="E1631">
        <v>0</v>
      </c>
      <c r="F1631">
        <v>0</v>
      </c>
      <c r="G1631" s="1">
        <v>1.28832414502255E-5</v>
      </c>
      <c r="H1631">
        <v>0.313156702406926</v>
      </c>
      <c r="I1631">
        <v>0</v>
      </c>
    </row>
    <row r="1632" spans="1:9" x14ac:dyDescent="0.25">
      <c r="A1632" s="1">
        <v>-117.402367591857</v>
      </c>
      <c r="B1632">
        <v>-589.51054343965495</v>
      </c>
      <c r="C1632">
        <v>4.7653386559605597E-2</v>
      </c>
      <c r="D1632">
        <v>0</v>
      </c>
      <c r="E1632">
        <v>0</v>
      </c>
      <c r="F1632">
        <v>0</v>
      </c>
      <c r="G1632" s="1">
        <v>2.0725903491509701E-5</v>
      </c>
      <c r="H1632">
        <v>0.51898286765032897</v>
      </c>
      <c r="I1632">
        <v>0</v>
      </c>
    </row>
    <row r="1633" spans="1:9" x14ac:dyDescent="0.25">
      <c r="A1633" s="1">
        <v>-106.80001378059301</v>
      </c>
      <c r="B1633">
        <v>-536.27855241683005</v>
      </c>
      <c r="C1633">
        <v>5.14827944699374E-2</v>
      </c>
      <c r="D1633">
        <v>0</v>
      </c>
      <c r="E1633">
        <v>0</v>
      </c>
      <c r="F1633">
        <v>0</v>
      </c>
      <c r="G1633" s="1">
        <v>3.2515639898136299E-5</v>
      </c>
      <c r="H1633">
        <v>0.63437713308765598</v>
      </c>
      <c r="I1633">
        <v>0</v>
      </c>
    </row>
    <row r="1634" spans="1:9" x14ac:dyDescent="0.25">
      <c r="A1634" s="1">
        <v>-97.073161005973802</v>
      </c>
      <c r="B1634">
        <v>-487.440996006994</v>
      </c>
      <c r="C1634">
        <v>5.7286471604427902E-2</v>
      </c>
      <c r="D1634">
        <v>0</v>
      </c>
      <c r="E1634">
        <v>0</v>
      </c>
      <c r="F1634">
        <v>0</v>
      </c>
      <c r="G1634" s="1">
        <v>4.9056290622502198E-5</v>
      </c>
      <c r="H1634">
        <v>0.69617538073329199</v>
      </c>
      <c r="I1634">
        <v>0</v>
      </c>
    </row>
    <row r="1635" spans="1:9" x14ac:dyDescent="0.25">
      <c r="A1635" s="1">
        <v>-88.149435520172105</v>
      </c>
      <c r="B1635">
        <v>-442.63513434913602</v>
      </c>
      <c r="C1635">
        <v>6.5519971781192801E-2</v>
      </c>
      <c r="D1635">
        <v>0</v>
      </c>
      <c r="E1635">
        <v>0</v>
      </c>
      <c r="F1635">
        <v>0</v>
      </c>
      <c r="G1635" s="1">
        <v>7.1799052797487595E-5</v>
      </c>
      <c r="H1635">
        <v>0.72956591712366003</v>
      </c>
      <c r="I1635">
        <v>0</v>
      </c>
    </row>
    <row r="1636" spans="1:9" x14ac:dyDescent="0.25">
      <c r="A1636" s="1">
        <v>-79.962490797042804</v>
      </c>
      <c r="B1636">
        <v>-401.52818287399299</v>
      </c>
      <c r="C1636">
        <v>7.6661086876440507E-2</v>
      </c>
      <c r="D1636">
        <v>0</v>
      </c>
      <c r="E1636">
        <v>0</v>
      </c>
      <c r="F1636">
        <v>0</v>
      </c>
      <c r="G1636">
        <v>1.02936370407675E-4</v>
      </c>
      <c r="H1636">
        <v>0.74789800271459095</v>
      </c>
      <c r="I1636">
        <v>0</v>
      </c>
    </row>
    <row r="1637" spans="1:9" x14ac:dyDescent="0.25">
      <c r="A1637" s="1">
        <v>-72.451583743095298</v>
      </c>
      <c r="B1637">
        <v>-363.814855034022</v>
      </c>
      <c r="C1637">
        <v>9.1217259510503301E-2</v>
      </c>
      <c r="D1637">
        <v>0</v>
      </c>
      <c r="E1637">
        <v>0</v>
      </c>
      <c r="F1637">
        <v>0</v>
      </c>
      <c r="G1637">
        <v>1.4557245408845101E-4</v>
      </c>
      <c r="H1637">
        <v>0.75821712076369896</v>
      </c>
      <c r="I1637">
        <v>0</v>
      </c>
    </row>
    <row r="1638" spans="1:9" x14ac:dyDescent="0.25">
      <c r="A1638" s="1">
        <v>-65.560821294784503</v>
      </c>
      <c r="B1638">
        <v>-329.21500533011402</v>
      </c>
      <c r="C1638">
        <v>0.109739308588316</v>
      </c>
      <c r="D1638">
        <v>0</v>
      </c>
      <c r="E1638">
        <v>0</v>
      </c>
      <c r="F1638">
        <v>0</v>
      </c>
      <c r="G1638">
        <v>2.0400474787635401E-4</v>
      </c>
      <c r="H1638">
        <v>0.76435416699473302</v>
      </c>
      <c r="I1638">
        <v>0</v>
      </c>
    </row>
    <row r="1639" spans="1:9" x14ac:dyDescent="0.25">
      <c r="A1639" s="1">
        <v>-59.238972067832897</v>
      </c>
      <c r="B1639">
        <v>-297.47165680912002</v>
      </c>
      <c r="C1639">
        <v>0.13283738132822301</v>
      </c>
      <c r="D1639">
        <v>0</v>
      </c>
      <c r="E1639">
        <v>0</v>
      </c>
      <c r="F1639">
        <v>0</v>
      </c>
      <c r="G1639">
        <v>2.8416032992097898E-4</v>
      </c>
      <c r="H1639">
        <v>0.76844819748350002</v>
      </c>
      <c r="I1639">
        <v>0</v>
      </c>
    </row>
    <row r="1640" spans="1:9" x14ac:dyDescent="0.25">
      <c r="A1640" s="1">
        <v>-53.439136743545497</v>
      </c>
      <c r="B1640">
        <v>-268.34899512913699</v>
      </c>
      <c r="C1640">
        <v>0.16119861315933501</v>
      </c>
      <c r="D1640">
        <v>0</v>
      </c>
      <c r="E1640">
        <v>0</v>
      </c>
      <c r="F1640">
        <v>0</v>
      </c>
      <c r="G1640">
        <v>3.9424463939866398E-4</v>
      </c>
      <c r="H1640">
        <v>0.77171826403143495</v>
      </c>
      <c r="I1640">
        <v>0</v>
      </c>
    </row>
    <row r="1641" spans="1:9" x14ac:dyDescent="0.25">
      <c r="A1641" s="1">
        <v>-48.118183016777003</v>
      </c>
      <c r="B1641">
        <v>-241.63068023112299</v>
      </c>
      <c r="C1641">
        <v>0.19560726447538099</v>
      </c>
      <c r="D1641">
        <v>0</v>
      </c>
      <c r="E1641">
        <v>0</v>
      </c>
      <c r="F1641">
        <v>0</v>
      </c>
      <c r="G1641">
        <v>5.4567559536508202E-4</v>
      </c>
      <c r="H1641">
        <v>0.77486862714745097</v>
      </c>
      <c r="I1641">
        <v>0</v>
      </c>
    </row>
    <row r="1642" spans="1:9" x14ac:dyDescent="0.25">
      <c r="A1642" s="1">
        <v>-43.236604332923797</v>
      </c>
      <c r="B1642">
        <v>-217.11824159112399</v>
      </c>
      <c r="C1642">
        <v>0.23696858608587201</v>
      </c>
      <c r="D1642">
        <v>0</v>
      </c>
      <c r="E1642">
        <v>0</v>
      </c>
      <c r="F1642">
        <v>0</v>
      </c>
      <c r="G1642">
        <v>7.5438916210657703E-4</v>
      </c>
      <c r="H1642">
        <v>0.77830371668844101</v>
      </c>
      <c r="I1642">
        <v>0</v>
      </c>
    </row>
    <row r="1643" spans="1:9" x14ac:dyDescent="0.25">
      <c r="A1643" s="1">
        <v>-38.758049011230398</v>
      </c>
      <c r="B1643">
        <v>-194.62956541117899</v>
      </c>
      <c r="C1643">
        <v>0.28633752213788799</v>
      </c>
      <c r="D1643">
        <v>0</v>
      </c>
      <c r="E1643">
        <v>0</v>
      </c>
      <c r="F1643">
        <v>0</v>
      </c>
      <c r="G1643">
        <v>1.04260921146703E-3</v>
      </c>
      <c r="H1643">
        <v>0.78224096771127904</v>
      </c>
      <c r="I1643">
        <v>0</v>
      </c>
    </row>
    <row r="1644" spans="1:9" x14ac:dyDescent="0.25">
      <c r="A1644" s="1">
        <v>-34.649320244789102</v>
      </c>
      <c r="B1644">
        <v>-173.99759911981101</v>
      </c>
      <c r="C1644">
        <v>0.34495182130591201</v>
      </c>
      <c r="D1644">
        <v>0</v>
      </c>
      <c r="E1644">
        <v>0</v>
      </c>
      <c r="F1644">
        <v>0</v>
      </c>
      <c r="G1644">
        <v>1.44117254124694E-3</v>
      </c>
      <c r="H1644">
        <v>0.78677065859088302</v>
      </c>
      <c r="I1644">
        <v>0</v>
      </c>
    </row>
    <row r="1645" spans="1:9" x14ac:dyDescent="0.25">
      <c r="A1645" s="1">
        <v>-30.879811048507602</v>
      </c>
      <c r="B1645">
        <v>-155.06905169349801</v>
      </c>
      <c r="C1645">
        <v>0.41426860842737301</v>
      </c>
      <c r="D1645">
        <v>0</v>
      </c>
      <c r="E1645">
        <v>0</v>
      </c>
      <c r="F1645">
        <v>0</v>
      </c>
      <c r="G1645">
        <v>1.9924855682052099E-3</v>
      </c>
      <c r="H1645">
        <v>0.79189174030156495</v>
      </c>
      <c r="I1645">
        <v>0</v>
      </c>
    </row>
    <row r="1646" spans="1:9" x14ac:dyDescent="0.25">
      <c r="A1646" s="1">
        <v>-27.4215984344482</v>
      </c>
      <c r="B1646">
        <v>-137.70328621354599</v>
      </c>
      <c r="C1646">
        <v>0.49600186819365</v>
      </c>
      <c r="D1646">
        <v>0</v>
      </c>
      <c r="E1646">
        <v>0</v>
      </c>
      <c r="F1646">
        <v>0</v>
      </c>
      <c r="G1646">
        <v>2.7541650405282698E-3</v>
      </c>
      <c r="H1646">
        <v>0.79753954928807702</v>
      </c>
      <c r="I1646">
        <v>0</v>
      </c>
    </row>
    <row r="1647" spans="1:9" x14ac:dyDescent="0.25">
      <c r="A1647" s="1">
        <v>-24.248878359794599</v>
      </c>
      <c r="B1647">
        <v>-121.77129391406299</v>
      </c>
      <c r="C1647">
        <v>0.592157443042864</v>
      </c>
      <c r="D1647">
        <v>0</v>
      </c>
      <c r="E1647">
        <v>0</v>
      </c>
      <c r="F1647">
        <v>0</v>
      </c>
      <c r="G1647">
        <v>3.8033848054237701E-3</v>
      </c>
      <c r="H1647">
        <v>0.80361117016172501</v>
      </c>
      <c r="I1647">
        <v>0</v>
      </c>
    </row>
    <row r="1648" spans="1:9" x14ac:dyDescent="0.25">
      <c r="A1648" s="1">
        <v>-21.3381540775299</v>
      </c>
      <c r="B1648">
        <v>-107.154701662181</v>
      </c>
      <c r="C1648">
        <v>0.705060931326847</v>
      </c>
      <c r="D1648">
        <v>0</v>
      </c>
      <c r="E1648">
        <v>0</v>
      </c>
      <c r="F1648">
        <v>0</v>
      </c>
      <c r="G1648">
        <v>5.2419128814835802E-3</v>
      </c>
      <c r="H1648">
        <v>0.80998894993219805</v>
      </c>
      <c r="I1648">
        <v>0</v>
      </c>
    </row>
    <row r="1649" spans="1:9" x14ac:dyDescent="0.25">
      <c r="A1649" s="1">
        <v>-18.6677181720733</v>
      </c>
      <c r="B1649">
        <v>-93.744912644873395</v>
      </c>
      <c r="C1649">
        <v>0.83737406854251695</v>
      </c>
      <c r="D1649">
        <v>0</v>
      </c>
      <c r="E1649">
        <v>0</v>
      </c>
      <c r="F1649">
        <v>0</v>
      </c>
      <c r="G1649">
        <v>7.20178230496458E-3</v>
      </c>
      <c r="H1649">
        <v>0.81655921230074802</v>
      </c>
      <c r="I1649">
        <v>0</v>
      </c>
    </row>
    <row r="1650" spans="1:9" x14ac:dyDescent="0.25">
      <c r="A1650" s="1">
        <v>-16.2178409099578</v>
      </c>
      <c r="B1650">
        <v>-81.442296159385805</v>
      </c>
      <c r="C1650">
        <v>0.99209544266948801</v>
      </c>
      <c r="D1650">
        <v>0</v>
      </c>
      <c r="E1650">
        <v>0</v>
      </c>
      <c r="F1650">
        <v>0</v>
      </c>
      <c r="G1650">
        <v>9.8515166734432502E-3</v>
      </c>
      <c r="H1650">
        <v>0.82322465130321798</v>
      </c>
      <c r="I1650">
        <v>0</v>
      </c>
    </row>
    <row r="1651" spans="1:9" x14ac:dyDescent="0.25">
      <c r="A1651" s="1">
        <v>-13.9702051877975</v>
      </c>
      <c r="B1651">
        <v>-70.155440611510599</v>
      </c>
      <c r="C1651">
        <v>1.1725415734901601</v>
      </c>
      <c r="D1651">
        <v>0</v>
      </c>
      <c r="E1651">
        <v>0</v>
      </c>
      <c r="F1651">
        <v>0</v>
      </c>
      <c r="G1651">
        <v>1.34028061470962E-2</v>
      </c>
      <c r="H1651">
        <v>0.829909954344342</v>
      </c>
      <c r="I1651">
        <v>0</v>
      </c>
    </row>
    <row r="1652" spans="1:9" x14ac:dyDescent="0.25">
      <c r="A1652" s="1">
        <v>-11.908189058303799</v>
      </c>
      <c r="B1652">
        <v>-59.8004817364058</v>
      </c>
      <c r="C1652">
        <v>1.38230638871389</v>
      </c>
      <c r="D1652">
        <v>0</v>
      </c>
      <c r="E1652">
        <v>0</v>
      </c>
      <c r="F1652">
        <v>0</v>
      </c>
      <c r="G1652">
        <v>1.8117538352271301E-2</v>
      </c>
      <c r="H1652">
        <v>0.83656204350124996</v>
      </c>
      <c r="I1652">
        <v>0</v>
      </c>
    </row>
    <row r="1653" spans="1:9" x14ac:dyDescent="0.25">
      <c r="A1653" s="1">
        <v>-10.016394853591899</v>
      </c>
      <c r="B1653">
        <v>-50.300489848225403</v>
      </c>
      <c r="C1653">
        <v>1.62519999107712</v>
      </c>
      <c r="D1653">
        <v>0</v>
      </c>
      <c r="E1653">
        <v>0</v>
      </c>
      <c r="F1653">
        <v>0</v>
      </c>
      <c r="G1653">
        <v>2.4315156649390698E-2</v>
      </c>
      <c r="H1653">
        <v>0.84314729206290895</v>
      </c>
      <c r="I1653">
        <v>0</v>
      </c>
    </row>
    <row r="1654" spans="1:9" x14ac:dyDescent="0.25">
      <c r="A1654" s="1">
        <v>-8.2808375358581507</v>
      </c>
      <c r="B1654">
        <v>-41.584866492568601</v>
      </c>
      <c r="C1654">
        <v>1.90516610838272</v>
      </c>
      <c r="D1654">
        <v>0</v>
      </c>
      <c r="E1654">
        <v>0</v>
      </c>
      <c r="F1654">
        <v>0</v>
      </c>
      <c r="G1654">
        <v>3.2380403359493298E-2</v>
      </c>
      <c r="H1654">
        <v>0.84964734088459304</v>
      </c>
      <c r="I1654">
        <v>0</v>
      </c>
    </row>
    <row r="1655" spans="1:9" x14ac:dyDescent="0.25">
      <c r="A1655" s="1">
        <v>-6.6885209083557102</v>
      </c>
      <c r="B1655">
        <v>-33.588855499892603</v>
      </c>
      <c r="C1655">
        <v>2.2261844499155599</v>
      </c>
      <c r="D1655">
        <v>0</v>
      </c>
      <c r="E1655">
        <v>0</v>
      </c>
      <c r="F1655">
        <v>0</v>
      </c>
      <c r="G1655">
        <v>4.2771737194998397E-2</v>
      </c>
      <c r="H1655">
        <v>0.85605502650939203</v>
      </c>
      <c r="I1655">
        <v>0</v>
      </c>
    </row>
    <row r="1656" spans="1:9" x14ac:dyDescent="0.25">
      <c r="A1656" s="1">
        <v>-5.2277201414108196</v>
      </c>
      <c r="B1656">
        <v>-26.253043591349499</v>
      </c>
      <c r="C1656">
        <v>2.5921626189289602</v>
      </c>
      <c r="D1656">
        <v>0</v>
      </c>
      <c r="E1656">
        <v>0</v>
      </c>
      <c r="F1656">
        <v>0</v>
      </c>
      <c r="G1656">
        <v>5.6031010503211298E-2</v>
      </c>
      <c r="H1656">
        <v>0.86237118363523801</v>
      </c>
      <c r="I1656">
        <v>0</v>
      </c>
    </row>
    <row r="1657" spans="1:9" x14ac:dyDescent="0.25">
      <c r="A1657" s="1">
        <v>-3.88755798339843</v>
      </c>
      <c r="B1657">
        <v>-19.522923670082399</v>
      </c>
      <c r="C1657">
        <v>3.0068252353144298</v>
      </c>
      <c r="D1657">
        <v>0</v>
      </c>
      <c r="E1657">
        <v>0</v>
      </c>
      <c r="F1657">
        <v>0</v>
      </c>
      <c r="G1657">
        <v>7.2796161710721202E-2</v>
      </c>
      <c r="H1657">
        <v>0.86860345977175102</v>
      </c>
      <c r="I1657">
        <v>0</v>
      </c>
    </row>
    <row r="1658" spans="1:9" x14ac:dyDescent="0.25">
      <c r="A1658" s="1">
        <v>-2.6580518484115601</v>
      </c>
      <c r="B1658">
        <v>-13.3484810971907</v>
      </c>
      <c r="C1658">
        <v>3.4736024860013499</v>
      </c>
      <c r="D1658">
        <v>0</v>
      </c>
      <c r="E1658">
        <v>0</v>
      </c>
      <c r="F1658">
        <v>0</v>
      </c>
      <c r="G1658">
        <v>9.3823438621766397E-2</v>
      </c>
      <c r="H1658">
        <v>0.87477192074321097</v>
      </c>
      <c r="I1658">
        <v>0</v>
      </c>
    </row>
    <row r="1659" spans="1:9" x14ac:dyDescent="0.25">
      <c r="A1659" s="1">
        <v>-1.5300196409225399</v>
      </c>
      <c r="B1659">
        <v>-7.6838468321851598</v>
      </c>
      <c r="C1659">
        <v>3.9955156709385902</v>
      </c>
      <c r="D1659">
        <v>0</v>
      </c>
      <c r="E1659">
        <v>0</v>
      </c>
      <c r="F1659">
        <v>0</v>
      </c>
      <c r="G1659">
        <v>0.11988507714937401</v>
      </c>
      <c r="H1659">
        <v>0.88077394413955501</v>
      </c>
      <c r="I1659">
        <v>0</v>
      </c>
    </row>
    <row r="1660" spans="1:9" x14ac:dyDescent="0.25">
      <c r="A1660" s="1">
        <v>-0.49517393112182601</v>
      </c>
      <c r="B1660">
        <v>-2.4869213202289502</v>
      </c>
      <c r="C1660">
        <v>4.5752515982064601</v>
      </c>
      <c r="D1660">
        <v>0</v>
      </c>
      <c r="E1660">
        <v>0</v>
      </c>
      <c r="F1660">
        <v>0</v>
      </c>
      <c r="G1660">
        <v>0.159277706040302</v>
      </c>
      <c r="H1660">
        <v>0.89185591148921595</v>
      </c>
      <c r="I1660">
        <v>0</v>
      </c>
    </row>
    <row r="1661" spans="1:9" x14ac:dyDescent="0.25">
      <c r="A1661" s="1">
        <v>0.49376130104064903</v>
      </c>
      <c r="B1661">
        <v>0.35031453135691099</v>
      </c>
      <c r="C1661">
        <v>4.9460617297387204</v>
      </c>
      <c r="D1661">
        <v>0.33703395214048298</v>
      </c>
      <c r="E1661">
        <v>-4.8038545162739E-4</v>
      </c>
      <c r="F1661">
        <v>1.4956541030061401E-4</v>
      </c>
      <c r="G1661">
        <v>1.5692740696983402E-2</v>
      </c>
      <c r="H1661">
        <v>0.38955316717684002</v>
      </c>
      <c r="I1661" s="1">
        <v>4.9542847266320096E-7</v>
      </c>
    </row>
    <row r="1662" spans="1:9" x14ac:dyDescent="0.25">
      <c r="A1662" s="1">
        <v>1.5257111191749499</v>
      </c>
      <c r="B1662">
        <v>1.0816114640542001</v>
      </c>
      <c r="C1662">
        <v>5.0747647010812003</v>
      </c>
      <c r="D1662">
        <v>1.0748722159890201</v>
      </c>
      <c r="E1662">
        <v>-4.1892314122330201E-3</v>
      </c>
      <c r="F1662">
        <v>4.6787241540589901E-4</v>
      </c>
      <c r="G1662">
        <v>3.4400488307664102E-2</v>
      </c>
      <c r="H1662">
        <v>0.71048398371035704</v>
      </c>
      <c r="I1662" s="1">
        <v>2.3412610194604001E-5</v>
      </c>
    </row>
    <row r="1663" spans="1:9" x14ac:dyDescent="0.25">
      <c r="A1663" s="1">
        <v>2.6505178213119498</v>
      </c>
      <c r="B1663">
        <v>1.87193302574835</v>
      </c>
      <c r="C1663">
        <v>5.2676328841800899</v>
      </c>
      <c r="D1663">
        <v>1.9458881323675099</v>
      </c>
      <c r="E1663">
        <v>-1.58272332103374E-2</v>
      </c>
      <c r="F1663">
        <v>8.2611086628536703E-4</v>
      </c>
      <c r="G1663">
        <v>5.94857013015525E-2</v>
      </c>
      <c r="H1663">
        <v>0.82194744609280201</v>
      </c>
      <c r="I1663">
        <v>1.4375236204179E-4</v>
      </c>
    </row>
    <row r="1664" spans="1:9" x14ac:dyDescent="0.25">
      <c r="A1664" s="1">
        <v>3.8765159249305698</v>
      </c>
      <c r="B1664">
        <v>2.7171336180277801</v>
      </c>
      <c r="C1664">
        <v>5.5603971067478701</v>
      </c>
      <c r="D1664">
        <v>2.9728301358666598</v>
      </c>
      <c r="E1664">
        <v>-3.9245927874516001E-2</v>
      </c>
      <c r="F1664">
        <v>1.2125511576426E-3</v>
      </c>
      <c r="G1664">
        <v>8.3411324193088401E-2</v>
      </c>
      <c r="H1664">
        <v>0.86067148528248505</v>
      </c>
      <c r="I1664">
        <v>3.7635888730265402E-4</v>
      </c>
    </row>
    <row r="1665" spans="1:9" x14ac:dyDescent="0.25">
      <c r="A1665" s="1">
        <v>5.2129346132278398</v>
      </c>
      <c r="B1665">
        <v>3.6068408868022899</v>
      </c>
      <c r="C1665">
        <v>5.9757307098158101</v>
      </c>
      <c r="D1665">
        <v>4.1348879573023698</v>
      </c>
      <c r="E1665">
        <v>-7.8786995021817602E-2</v>
      </c>
      <c r="F1665">
        <v>1.5877619219050599E-3</v>
      </c>
      <c r="G1665">
        <v>9.9941951198924003E-2</v>
      </c>
      <c r="H1665">
        <v>0.86821464558542305</v>
      </c>
      <c r="I1665">
        <v>7.89396869944086E-4</v>
      </c>
    </row>
    <row r="1666" spans="1:9" x14ac:dyDescent="0.25">
      <c r="A1666" s="1">
        <v>6.6695916652679399</v>
      </c>
      <c r="B1666">
        <v>4.5231685808607098</v>
      </c>
      <c r="C1666">
        <v>6.4953359294734199</v>
      </c>
      <c r="D1666">
        <v>5.34144616159967</v>
      </c>
      <c r="E1666">
        <v>-0.13669362204747201</v>
      </c>
      <c r="F1666">
        <v>1.8883426830666799E-3</v>
      </c>
      <c r="G1666">
        <v>0.107485262427679</v>
      </c>
      <c r="H1666">
        <v>0.85806175369242799</v>
      </c>
      <c r="I1666">
        <v>1.79304147977342E-3</v>
      </c>
    </row>
    <row r="1667" spans="1:9" x14ac:dyDescent="0.25">
      <c r="A1667" s="1">
        <v>8.2573878765106201</v>
      </c>
      <c r="B1667">
        <v>5.4416025063701596</v>
      </c>
      <c r="C1667">
        <v>7.0478432457804701</v>
      </c>
      <c r="D1667">
        <v>6.4433836477591298</v>
      </c>
      <c r="E1667">
        <v>-0.21122852167322201</v>
      </c>
      <c r="F1667">
        <v>2.0448445249766898E-3</v>
      </c>
      <c r="G1667">
        <v>0.10938478219754599</v>
      </c>
      <c r="H1667">
        <v>0.83715089507294604</v>
      </c>
      <c r="I1667">
        <v>4.2952580518201399E-3</v>
      </c>
    </row>
    <row r="1668" spans="1:9" x14ac:dyDescent="0.25">
      <c r="A1668" s="1">
        <v>9.9880245327949506</v>
      </c>
      <c r="B1668">
        <v>6.3347616544671999</v>
      </c>
      <c r="C1668">
        <v>7.5310000110306596</v>
      </c>
      <c r="D1668">
        <v>7.2912610844223904</v>
      </c>
      <c r="E1668">
        <v>-0.29651101554953402</v>
      </c>
      <c r="F1668">
        <v>2.00392308361424E-3</v>
      </c>
      <c r="G1668">
        <v>0.110358233476612</v>
      </c>
      <c r="H1668">
        <v>0.81157807855277797</v>
      </c>
      <c r="I1668">
        <v>8.2493919839743204E-3</v>
      </c>
    </row>
    <row r="1669" spans="1:9" x14ac:dyDescent="0.25">
      <c r="A1669" s="1">
        <v>11.874474287032999</v>
      </c>
      <c r="B1669">
        <v>7.1781819796868298</v>
      </c>
      <c r="C1669">
        <v>7.8566989496431203</v>
      </c>
      <c r="D1669">
        <v>7.7987474539686401</v>
      </c>
      <c r="E1669">
        <v>-0.38470535370203102</v>
      </c>
      <c r="F1669">
        <v>1.77195921072628E-3</v>
      </c>
      <c r="G1669">
        <v>0.112361805686049</v>
      </c>
      <c r="H1669">
        <v>0.78578456278420705</v>
      </c>
      <c r="I1669">
        <v>1.0937482903309899E-2</v>
      </c>
    </row>
    <row r="1670" spans="1:9" x14ac:dyDescent="0.25">
      <c r="A1670" s="1">
        <v>13.9306750893592</v>
      </c>
      <c r="B1670">
        <v>7.95513064327917</v>
      </c>
      <c r="C1670">
        <v>7.9831351591525701</v>
      </c>
      <c r="D1670">
        <v>7.9634679142811802</v>
      </c>
      <c r="E1670">
        <v>-0.46887238217441202</v>
      </c>
      <c r="F1670">
        <v>1.42398109979383E-3</v>
      </c>
      <c r="G1670">
        <v>0.1142543162841</v>
      </c>
      <c r="H1670">
        <v>0.76115259580819405</v>
      </c>
      <c r="I1670">
        <v>9.8294853008689207E-3</v>
      </c>
    </row>
    <row r="1671" spans="1:9" x14ac:dyDescent="0.25">
      <c r="A1671" s="1">
        <v>16.171883344650201</v>
      </c>
      <c r="B1671">
        <v>8.6581021061845806</v>
      </c>
      <c r="C1671">
        <v>7.9155300318752397</v>
      </c>
      <c r="D1671">
        <v>7.8418585686824702</v>
      </c>
      <c r="E1671">
        <v>-0.54449229331031201</v>
      </c>
      <c r="F1671">
        <v>1.07875806689096E-3</v>
      </c>
      <c r="G1671">
        <v>0.114270838070334</v>
      </c>
      <c r="H1671">
        <v>0.73723400739935896</v>
      </c>
      <c r="I1671">
        <v>5.4018129353712099E-3</v>
      </c>
    </row>
    <row r="1672" spans="1:9" x14ac:dyDescent="0.25">
      <c r="A1672" s="1">
        <v>18.614838719367899</v>
      </c>
      <c r="B1672">
        <v>9.2871381587096202</v>
      </c>
      <c r="C1672">
        <v>7.6877093083885102</v>
      </c>
      <c r="D1672">
        <v>7.51238383828482</v>
      </c>
      <c r="E1672">
        <v>-0.60948409276710502</v>
      </c>
      <c r="F1672">
        <v>8.6000031044721002E-4</v>
      </c>
      <c r="G1672">
        <v>0.111666073465354</v>
      </c>
      <c r="H1672">
        <v>0.71340510756231901</v>
      </c>
      <c r="I1672">
        <v>-2.3072387221701E-4</v>
      </c>
    </row>
    <row r="1673" spans="1:9" x14ac:dyDescent="0.25">
      <c r="A1673" s="1">
        <v>21.2777170538902</v>
      </c>
      <c r="B1673">
        <v>9.8470112538643804</v>
      </c>
      <c r="C1673">
        <v>7.3432009964036302</v>
      </c>
      <c r="D1673">
        <v>7.049977145832</v>
      </c>
      <c r="E1673">
        <v>-0.66351195665734797</v>
      </c>
      <c r="F1673">
        <v>8.5615281678582604E-4</v>
      </c>
      <c r="G1673">
        <v>0.106751591407927</v>
      </c>
      <c r="H1673">
        <v>0.68946527293864202</v>
      </c>
      <c r="I1673">
        <v>-5.3791445164114698E-3</v>
      </c>
    </row>
    <row r="1674" spans="1:9" x14ac:dyDescent="0.25">
      <c r="A1674" s="1">
        <v>24.180224537849401</v>
      </c>
      <c r="B1674">
        <v>10.3447505212136</v>
      </c>
      <c r="C1674">
        <v>6.9237195797113902</v>
      </c>
      <c r="D1674">
        <v>6.5149484437327798</v>
      </c>
      <c r="E1674">
        <v>-0.70723062265272596</v>
      </c>
      <c r="F1674">
        <v>1.1053586167442801E-3</v>
      </c>
      <c r="G1674">
        <v>0.100296242814451</v>
      </c>
      <c r="H1674">
        <v>0.66556123067230899</v>
      </c>
      <c r="I1674">
        <v>-9.3284214375673694E-3</v>
      </c>
    </row>
    <row r="1675" spans="1:9" x14ac:dyDescent="0.25">
      <c r="A1675" s="1">
        <v>27.343950867652801</v>
      </c>
      <c r="B1675">
        <v>10.7880955255337</v>
      </c>
      <c r="C1675">
        <v>6.46430401148349</v>
      </c>
      <c r="D1675">
        <v>5.9519247408593099</v>
      </c>
      <c r="E1675">
        <v>-0.74172920701477796</v>
      </c>
      <c r="F1675">
        <v>1.5439520182238E-3</v>
      </c>
      <c r="G1675">
        <v>9.3026963679851804E-2</v>
      </c>
      <c r="H1675">
        <v>0.64203250647596899</v>
      </c>
      <c r="I1675">
        <v>-1.19934815516743E-2</v>
      </c>
    </row>
    <row r="1676" spans="1:9" x14ac:dyDescent="0.25">
      <c r="A1676" s="1">
        <v>30.7923927903175</v>
      </c>
      <c r="B1676">
        <v>11.1847440412946</v>
      </c>
      <c r="C1676">
        <v>5.9921771799797998</v>
      </c>
      <c r="D1676">
        <v>5.3921984837109997</v>
      </c>
      <c r="E1676">
        <v>-0.76820694489432595</v>
      </c>
      <c r="F1676">
        <v>2.0805967419394202E-3</v>
      </c>
      <c r="G1676">
        <v>8.5443283303842002E-2</v>
      </c>
      <c r="H1676">
        <v>0.61929363273638205</v>
      </c>
      <c r="I1676">
        <v>-1.3524891534874999E-2</v>
      </c>
    </row>
    <row r="1677" spans="1:9" x14ac:dyDescent="0.25">
      <c r="A1677" s="1">
        <v>34.551213085651298</v>
      </c>
      <c r="B1677">
        <v>11.5419007173486</v>
      </c>
      <c r="C1677">
        <v>5.5271613766349903</v>
      </c>
      <c r="D1677">
        <v>4.8560328914094004</v>
      </c>
      <c r="E1677">
        <v>-0.78781894775698402</v>
      </c>
      <c r="F1677">
        <v>2.6579775819704299E-3</v>
      </c>
      <c r="G1677">
        <v>7.7831213727174303E-2</v>
      </c>
      <c r="H1677">
        <v>0.597749733429361</v>
      </c>
      <c r="I1677">
        <v>-1.4126136131997299E-2</v>
      </c>
    </row>
    <row r="1678" spans="1:9" x14ac:dyDescent="0.25">
      <c r="A1678" s="1">
        <v>38.6483111977577</v>
      </c>
      <c r="B1678">
        <v>11.866118273765601</v>
      </c>
      <c r="C1678">
        <v>5.0826299812208697</v>
      </c>
      <c r="D1678">
        <v>4.3556565234258002</v>
      </c>
      <c r="E1678">
        <v>-0.80157341250400804</v>
      </c>
      <c r="F1678">
        <v>3.1451978097407299E-3</v>
      </c>
      <c r="G1678">
        <v>7.0356946242142102E-2</v>
      </c>
      <c r="H1678">
        <v>0.57777564425578698</v>
      </c>
      <c r="I1678">
        <v>-1.3997437199686E-2</v>
      </c>
    </row>
    <row r="1679" spans="1:9" x14ac:dyDescent="0.25">
      <c r="A1679" s="1">
        <v>43.1141293048858</v>
      </c>
      <c r="B1679">
        <v>12.1632055631586</v>
      </c>
      <c r="C1679">
        <v>4.6667581581317297</v>
      </c>
      <c r="D1679">
        <v>3.8984297276436202</v>
      </c>
      <c r="E1679">
        <v>-0.81030119543590795</v>
      </c>
      <c r="F1679">
        <v>3.4948396862750399E-3</v>
      </c>
      <c r="G1679">
        <v>6.3132640212791899E-2</v>
      </c>
      <c r="H1679">
        <v>0.55963280071680999</v>
      </c>
      <c r="I1679">
        <v>-1.33257989425086E-2</v>
      </c>
    </row>
    <row r="1680" spans="1:9" x14ac:dyDescent="0.25">
      <c r="A1680" s="1">
        <v>47.981887757778097</v>
      </c>
      <c r="B1680">
        <v>12.438177422315601</v>
      </c>
      <c r="C1680">
        <v>4.2838230540325899</v>
      </c>
      <c r="D1680">
        <v>3.4868579511107902</v>
      </c>
      <c r="E1680">
        <v>-0.81470040186104098</v>
      </c>
      <c r="F1680">
        <v>3.6475030489918001E-3</v>
      </c>
      <c r="G1680">
        <v>5.6238852883177003E-2</v>
      </c>
      <c r="H1680">
        <v>0.54334368893305196</v>
      </c>
      <c r="I1680">
        <v>-1.22917251409217E-2</v>
      </c>
    </row>
    <row r="1681" spans="1:9" x14ac:dyDescent="0.25">
      <c r="A1681" s="1">
        <v>53.287820518016801</v>
      </c>
      <c r="B1681">
        <v>12.695221239955</v>
      </c>
      <c r="C1681">
        <v>3.9350026869071</v>
      </c>
      <c r="D1681">
        <v>3.12086334004261</v>
      </c>
      <c r="E1681">
        <v>-0.81529977897550698</v>
      </c>
      <c r="F1681">
        <v>3.5470383628705801E-3</v>
      </c>
      <c r="G1681">
        <v>4.97655746147707E-2</v>
      </c>
      <c r="H1681">
        <v>0.52889735123556603</v>
      </c>
      <c r="I1681">
        <v>-1.1058350718302501E-2</v>
      </c>
    </row>
    <row r="1682" spans="1:9" x14ac:dyDescent="0.25">
      <c r="A1682" s="1">
        <v>59.071175158023799</v>
      </c>
      <c r="B1682">
        <v>12.937822327644399</v>
      </c>
      <c r="C1682">
        <v>3.61953593753339</v>
      </c>
      <c r="D1682">
        <v>2.7981971019632499</v>
      </c>
      <c r="E1682">
        <v>-0.81250266304012397</v>
      </c>
      <c r="F1682">
        <v>3.1429778945757901E-3</v>
      </c>
      <c r="G1682">
        <v>4.3805681131218903E-2</v>
      </c>
      <c r="H1682">
        <v>0.51619019214921102</v>
      </c>
      <c r="I1682">
        <v>-9.7774197096957907E-3</v>
      </c>
    </row>
    <row r="1683" spans="1:9" x14ac:dyDescent="0.25">
      <c r="A1683" s="1">
        <v>65.375131070613804</v>
      </c>
      <c r="B1683">
        <v>13.168889290720999</v>
      </c>
      <c r="C1683">
        <v>3.33575521086436</v>
      </c>
      <c r="D1683">
        <v>2.5155242601693599</v>
      </c>
      <c r="E1683">
        <v>-0.806609560709175</v>
      </c>
      <c r="F1683">
        <v>2.5262864154163198E-3</v>
      </c>
      <c r="G1683">
        <v>3.84047082004128E-2</v>
      </c>
      <c r="H1683">
        <v>0.50481534417271401</v>
      </c>
      <c r="I1683">
        <v>-8.5471424407017101E-3</v>
      </c>
    </row>
    <row r="1684" spans="1:9" x14ac:dyDescent="0.25">
      <c r="A1684" s="1">
        <v>72.246375679969702</v>
      </c>
      <c r="B1684">
        <v>13.3907958185978</v>
      </c>
      <c r="C1684">
        <v>3.08081975816506</v>
      </c>
      <c r="D1684">
        <v>2.2690704765964198</v>
      </c>
      <c r="E1684">
        <v>-0.79785201675377704</v>
      </c>
      <c r="F1684">
        <v>1.79744893518101E-3</v>
      </c>
      <c r="G1684">
        <v>3.3585114503598898E-2</v>
      </c>
      <c r="H1684">
        <v>0.49450473538450401</v>
      </c>
      <c r="I1684">
        <v>-7.4282638158158099E-3</v>
      </c>
    </row>
    <row r="1685" spans="1:9" x14ac:dyDescent="0.25">
      <c r="A1685" s="1">
        <v>79.736069738864799</v>
      </c>
      <c r="B1685">
        <v>13.605489339561</v>
      </c>
      <c r="C1685">
        <v>2.8512106906419099</v>
      </c>
      <c r="D1685">
        <v>2.0539621563292099</v>
      </c>
      <c r="E1685">
        <v>-0.78636756534986096</v>
      </c>
      <c r="F1685">
        <v>1.1336484279351499E-3</v>
      </c>
      <c r="G1685">
        <v>2.9304590544750202E-2</v>
      </c>
      <c r="H1685">
        <v>0.48481145759955202</v>
      </c>
      <c r="I1685">
        <v>-6.4274766668693997E-3</v>
      </c>
    </row>
    <row r="1686" spans="1:9" x14ac:dyDescent="0.25">
      <c r="A1686" s="1">
        <v>87.899753153324099</v>
      </c>
      <c r="B1686">
        <v>13.814541169137501</v>
      </c>
      <c r="C1686">
        <v>2.6431970934323998</v>
      </c>
      <c r="D1686">
        <v>1.8657410854360399</v>
      </c>
      <c r="E1686">
        <v>-0.77219838512175198</v>
      </c>
      <c r="F1686">
        <v>7.4624507798286505E-4</v>
      </c>
      <c r="G1686">
        <v>2.5523369549554399E-2</v>
      </c>
      <c r="H1686">
        <v>0.475615884396907</v>
      </c>
      <c r="I1686">
        <v>-5.5509681267692703E-3</v>
      </c>
    </row>
    <row r="1687" spans="1:9" x14ac:dyDescent="0.25">
      <c r="A1687" s="1">
        <v>96.798263192176805</v>
      </c>
      <c r="B1687">
        <v>14.019179942340401</v>
      </c>
      <c r="C1687">
        <v>2.45341001250697</v>
      </c>
      <c r="D1687">
        <v>1.70033418703356</v>
      </c>
      <c r="E1687">
        <v>-0.75541963725961103</v>
      </c>
      <c r="F1687">
        <v>8.1798327238103298E-4</v>
      </c>
      <c r="G1687">
        <v>2.21947800715716E-2</v>
      </c>
      <c r="H1687">
        <v>0.46666904701794998</v>
      </c>
      <c r="I1687">
        <v>-4.7879451216161998E-3</v>
      </c>
    </row>
    <row r="1688" spans="1:9" x14ac:dyDescent="0.25">
      <c r="A1688" s="1">
        <v>106.497616767883</v>
      </c>
      <c r="B1688">
        <v>14.220458774895199</v>
      </c>
      <c r="C1688">
        <v>2.2784576030323902</v>
      </c>
      <c r="D1688">
        <v>1.55374388499177</v>
      </c>
      <c r="E1688">
        <v>-0.73593999790356102</v>
      </c>
      <c r="F1688">
        <v>1.07736313277714E-3</v>
      </c>
      <c r="G1688">
        <v>1.9279132716262699E-2</v>
      </c>
      <c r="H1688">
        <v>0.45796612132426001</v>
      </c>
      <c r="I1688">
        <v>-4.13050317687624E-3</v>
      </c>
    </row>
    <row r="1689" spans="1:9" x14ac:dyDescent="0.25">
      <c r="A1689" s="1">
        <v>117.06990510225199</v>
      </c>
      <c r="B1689">
        <v>14.419531079263299</v>
      </c>
      <c r="C1689">
        <v>2.1143386955953498</v>
      </c>
      <c r="D1689">
        <v>1.4219976762575699</v>
      </c>
      <c r="E1689">
        <v>-0.71352372430294397</v>
      </c>
      <c r="F1689">
        <v>1.2532639281199701E-3</v>
      </c>
      <c r="G1689">
        <v>1.67319548841923E-2</v>
      </c>
      <c r="H1689">
        <v>0.450102533101777</v>
      </c>
      <c r="I1689">
        <v>-3.5647941134577298E-3</v>
      </c>
    </row>
    <row r="1690" spans="1:9" x14ac:dyDescent="0.25">
      <c r="A1690" s="1">
        <v>128.593670427799</v>
      </c>
      <c r="B1690">
        <v>14.617341316372899</v>
      </c>
      <c r="C1690">
        <v>1.9590263095312299</v>
      </c>
      <c r="D1690">
        <v>1.3025915606656899</v>
      </c>
      <c r="E1690">
        <v>-0.68820799081575101</v>
      </c>
      <c r="F1690">
        <v>1.53923406041485E-3</v>
      </c>
      <c r="G1690">
        <v>1.44765272684394E-2</v>
      </c>
      <c r="H1690">
        <v>0.44267296242653797</v>
      </c>
      <c r="I1690">
        <v>-3.06080330093087E-3</v>
      </c>
    </row>
    <row r="1691" spans="1:9" x14ac:dyDescent="0.25">
      <c r="A1691" s="1">
        <v>141.15461230278001</v>
      </c>
      <c r="B1691">
        <v>14.814324105412499</v>
      </c>
      <c r="C1691">
        <v>1.8106346718205</v>
      </c>
      <c r="D1691">
        <v>1.1929722705775401</v>
      </c>
      <c r="E1691">
        <v>-0.65977669757284296</v>
      </c>
      <c r="F1691">
        <v>2.1649023419522198E-3</v>
      </c>
      <c r="G1691">
        <v>1.24639295712077E-2</v>
      </c>
      <c r="H1691">
        <v>0.43546961822556901</v>
      </c>
      <c r="I1691">
        <v>-2.6095924292840601E-3</v>
      </c>
    </row>
    <row r="1692" spans="1:9" x14ac:dyDescent="0.25">
      <c r="A1692" s="1">
        <v>154.84601140022201</v>
      </c>
      <c r="B1692">
        <v>15.0102704948493</v>
      </c>
      <c r="C1692">
        <v>1.6676764524949601</v>
      </c>
      <c r="D1692">
        <v>1.0910243383018601</v>
      </c>
      <c r="E1692">
        <v>-0.62805237915798495</v>
      </c>
      <c r="F1692">
        <v>2.2806128770436001E-3</v>
      </c>
      <c r="G1692">
        <v>1.0658769606185E-2</v>
      </c>
      <c r="H1692">
        <v>0.42799049174613701</v>
      </c>
      <c r="I1692">
        <v>-2.2040819191556302E-3</v>
      </c>
    </row>
    <row r="1693" spans="1:9" x14ac:dyDescent="0.25">
      <c r="A1693" s="1">
        <v>169.76969480514501</v>
      </c>
      <c r="B1693">
        <v>15.205138694376499</v>
      </c>
      <c r="C1693">
        <v>1.5278140712977399</v>
      </c>
      <c r="D1693">
        <v>0.99451120369336199</v>
      </c>
      <c r="E1693">
        <v>-0.59257138372452201</v>
      </c>
      <c r="F1693">
        <v>1.90041356959275E-3</v>
      </c>
      <c r="G1693">
        <v>9.0439026556582008E-3</v>
      </c>
      <c r="H1693">
        <v>0.42053077968730801</v>
      </c>
      <c r="I1693">
        <v>-1.8412708449715501E-3</v>
      </c>
    </row>
    <row r="1694" spans="1:9" x14ac:dyDescent="0.25">
      <c r="A1694" s="1">
        <v>186.03645980358101</v>
      </c>
      <c r="B1694">
        <v>15.3994469037958</v>
      </c>
      <c r="C1694">
        <v>1.38918464601298</v>
      </c>
      <c r="D1694">
        <v>0.90177672872818404</v>
      </c>
      <c r="E1694">
        <v>-0.55285496094127495</v>
      </c>
      <c r="F1694">
        <v>1.72388326488655E-3</v>
      </c>
      <c r="G1694">
        <v>7.5993802213559199E-3</v>
      </c>
      <c r="H1694">
        <v>0.413623709567849</v>
      </c>
      <c r="I1694">
        <v>-1.5194566971468901E-3</v>
      </c>
    </row>
    <row r="1695" spans="1:9" x14ac:dyDescent="0.25">
      <c r="A1695" s="1">
        <v>203.76720398664401</v>
      </c>
      <c r="B1695">
        <v>15.5927521458574</v>
      </c>
      <c r="C1695">
        <v>1.25174697319409</v>
      </c>
      <c r="D1695">
        <v>0.81102420120348495</v>
      </c>
      <c r="E1695">
        <v>-0.50879495409705899</v>
      </c>
      <c r="F1695">
        <v>1.4876208709299599E-3</v>
      </c>
      <c r="G1695">
        <v>6.3002388642606402E-3</v>
      </c>
      <c r="H1695">
        <v>0.40632820342984199</v>
      </c>
      <c r="I1695">
        <v>-1.2322838483360601E-3</v>
      </c>
    </row>
    <row r="1696" spans="1:9" x14ac:dyDescent="0.25">
      <c r="A1696" s="1">
        <v>223.09376105666101</v>
      </c>
      <c r="B1696">
        <v>15.78339116636</v>
      </c>
      <c r="C1696">
        <v>1.1145184650936999</v>
      </c>
      <c r="D1696">
        <v>0.72144102555515</v>
      </c>
      <c r="E1696">
        <v>-0.45993798437945799</v>
      </c>
      <c r="F1696">
        <v>1.16130690144407E-3</v>
      </c>
      <c r="G1696">
        <v>5.1214099303432698E-3</v>
      </c>
      <c r="H1696">
        <v>0.39892885697552599</v>
      </c>
      <c r="I1696">
        <v>-9.6979164892277902E-4</v>
      </c>
    </row>
    <row r="1697" spans="1:9" x14ac:dyDescent="0.25">
      <c r="A1697" s="1">
        <v>244.15970131754801</v>
      </c>
      <c r="B1697">
        <v>15.9699765271254</v>
      </c>
      <c r="C1697">
        <v>0.97655087016994002</v>
      </c>
      <c r="D1697">
        <v>0.63096994380060001</v>
      </c>
      <c r="E1697">
        <v>-0.40568208443514597</v>
      </c>
      <c r="F1697">
        <v>3.7272060632769302E-4</v>
      </c>
      <c r="G1697">
        <v>4.0628342569450204E-3</v>
      </c>
      <c r="H1697">
        <v>0.392041366045425</v>
      </c>
      <c r="I1697">
        <v>-7.3589519317630902E-4</v>
      </c>
    </row>
    <row r="1698" spans="1:9" x14ac:dyDescent="0.25">
      <c r="A1698" s="1">
        <v>267.12157949805197</v>
      </c>
      <c r="B1698">
        <v>16.1496497711845</v>
      </c>
      <c r="C1698">
        <v>0.83872977638964097</v>
      </c>
      <c r="D1698">
        <v>0.54091709633185103</v>
      </c>
      <c r="E1698">
        <v>-0.345668437709511</v>
      </c>
      <c r="F1698">
        <v>-6.4530838756398702E-4</v>
      </c>
      <c r="G1698">
        <v>3.1347922569785499E-3</v>
      </c>
      <c r="H1698">
        <v>0.38616536981538602</v>
      </c>
      <c r="I1698">
        <v>-5.3845015266235302E-4</v>
      </c>
    </row>
    <row r="1699" spans="1:9" x14ac:dyDescent="0.25">
      <c r="A1699" s="1">
        <v>292.15002954006098</v>
      </c>
      <c r="B1699">
        <v>16.317713668078898</v>
      </c>
      <c r="C1699">
        <v>0.70147594533769198</v>
      </c>
      <c r="D1699">
        <v>0.44974162204578999</v>
      </c>
      <c r="E1699">
        <v>-0.27938152217013701</v>
      </c>
      <c r="F1699">
        <v>-1.2104691981923001E-3</v>
      </c>
      <c r="G1699">
        <v>2.3420392381926598E-3</v>
      </c>
      <c r="H1699">
        <v>0.38252169887943999</v>
      </c>
      <c r="I1699">
        <v>-3.7879901902014503E-4</v>
      </c>
    </row>
    <row r="1700" spans="1:9" x14ac:dyDescent="0.25">
      <c r="A1700" s="1">
        <v>319.43101242184599</v>
      </c>
      <c r="B1700">
        <v>16.464740324647</v>
      </c>
      <c r="C1700">
        <v>0.57201171170579002</v>
      </c>
      <c r="D1700">
        <v>0.36216593975313499</v>
      </c>
      <c r="E1700">
        <v>-0.206504000900292</v>
      </c>
      <c r="F1700">
        <v>-9.2140053459781801E-4</v>
      </c>
      <c r="G1700">
        <v>1.70115687842576E-3</v>
      </c>
      <c r="H1700">
        <v>0.38240455861808098</v>
      </c>
      <c r="I1700">
        <v>-2.6144654644981902E-4</v>
      </c>
    </row>
    <row r="1701" spans="1:9" x14ac:dyDescent="0.25">
      <c r="A1701" s="1">
        <v>349.16732590645501</v>
      </c>
      <c r="B1701">
        <v>16.578811145455401</v>
      </c>
      <c r="C1701">
        <v>0.46449768431058303</v>
      </c>
      <c r="D1701">
        <v>0.287458084726184</v>
      </c>
      <c r="E1701">
        <v>-0.12573143260321001</v>
      </c>
      <c r="F1701">
        <v>-1.0450457412176501E-3</v>
      </c>
      <c r="G1701">
        <v>1.2587173139910299E-3</v>
      </c>
      <c r="H1701">
        <v>0.38691861067667299</v>
      </c>
      <c r="I1701">
        <v>-1.9174591020175501E-4</v>
      </c>
    </row>
    <row r="1702" spans="1:9" x14ac:dyDescent="0.25">
      <c r="A1702" s="1">
        <v>379.83785875141598</v>
      </c>
      <c r="B1702">
        <v>16.639030977220099</v>
      </c>
      <c r="C1702">
        <v>0.40312557980400598</v>
      </c>
      <c r="D1702">
        <v>0.24389231309669299</v>
      </c>
      <c r="E1702">
        <v>-4.15053229347025E-2</v>
      </c>
      <c r="F1702">
        <v>-1.37907010110288E-3</v>
      </c>
      <c r="G1702">
        <v>1.0285883672527E-3</v>
      </c>
      <c r="H1702">
        <v>0.407709583579693</v>
      </c>
      <c r="I1702">
        <v>-1.5222386961539301E-4</v>
      </c>
    </row>
    <row r="1703" spans="1:9" x14ac:dyDescent="0.25">
      <c r="A1703" s="1" t="s">
        <v>546</v>
      </c>
      <c r="B1703" s="1" t="s">
        <v>614</v>
      </c>
      <c r="C1703" s="1" t="s">
        <v>615</v>
      </c>
      <c r="D1703" s="1" t="s">
        <v>616</v>
      </c>
      <c r="E1703" s="1" t="s">
        <v>617</v>
      </c>
      <c r="F1703" s="1" t="s">
        <v>618</v>
      </c>
      <c r="G1703" s="1" t="s">
        <v>400</v>
      </c>
      <c r="H1703" s="1" t="s">
        <v>619</v>
      </c>
      <c r="I1703" s="1" t="s">
        <v>613</v>
      </c>
    </row>
    <row r="1704" spans="1:9" x14ac:dyDescent="0.25">
      <c r="A1704" s="1">
        <v>-141.555516719818</v>
      </c>
      <c r="B1704">
        <v>-10.0962356469354</v>
      </c>
      <c r="C1704">
        <v>2.93007456357892E-3</v>
      </c>
      <c r="D1704">
        <v>0</v>
      </c>
      <c r="E1704">
        <v>0</v>
      </c>
      <c r="F1704">
        <v>0</v>
      </c>
      <c r="G1704" s="1">
        <v>1.9250469276310599E-7</v>
      </c>
      <c r="H1704">
        <v>3.1857600506910798E-2</v>
      </c>
      <c r="I1704">
        <v>0</v>
      </c>
    </row>
    <row r="1705" spans="1:9" x14ac:dyDescent="0.25">
      <c r="A1705" s="1">
        <v>-128.95890593528699</v>
      </c>
      <c r="B1705">
        <v>-9.2011875769815603</v>
      </c>
      <c r="C1705">
        <v>2.9797312888949902E-3</v>
      </c>
      <c r="D1705">
        <v>0</v>
      </c>
      <c r="E1705">
        <v>0</v>
      </c>
      <c r="F1705">
        <v>0</v>
      </c>
      <c r="G1705" s="1">
        <v>2.4808331117509503E-7</v>
      </c>
      <c r="H1705">
        <v>0.21380172739217601</v>
      </c>
      <c r="I1705">
        <v>0</v>
      </c>
    </row>
    <row r="1706" spans="1:9" x14ac:dyDescent="0.25">
      <c r="A1706" s="1">
        <v>-117.402367591857</v>
      </c>
      <c r="B1706">
        <v>-8.3794626894167799</v>
      </c>
      <c r="C1706">
        <v>3.0778915370524101E-3</v>
      </c>
      <c r="D1706">
        <v>0</v>
      </c>
      <c r="E1706">
        <v>0</v>
      </c>
      <c r="F1706">
        <v>0</v>
      </c>
      <c r="G1706" s="1">
        <v>3.5360842531639799E-7</v>
      </c>
      <c r="H1706">
        <v>0.39827840649912</v>
      </c>
      <c r="I1706">
        <v>0</v>
      </c>
    </row>
    <row r="1707" spans="1:9" x14ac:dyDescent="0.25">
      <c r="A1707" s="1">
        <v>-106.80001378059301</v>
      </c>
      <c r="B1707">
        <v>-7.6250964627361997</v>
      </c>
      <c r="C1707">
        <v>3.22983204067362E-3</v>
      </c>
      <c r="D1707">
        <v>0</v>
      </c>
      <c r="E1707">
        <v>0</v>
      </c>
      <c r="F1707">
        <v>0</v>
      </c>
      <c r="G1707" s="1">
        <v>5.0960367804497804E-7</v>
      </c>
      <c r="H1707">
        <v>0.525948427230298</v>
      </c>
      <c r="I1707">
        <v>0</v>
      </c>
    </row>
    <row r="1708" spans="1:9" x14ac:dyDescent="0.25">
      <c r="A1708" s="1">
        <v>-97.073161005973802</v>
      </c>
      <c r="B1708">
        <v>-6.93260705347575</v>
      </c>
      <c r="C1708">
        <v>3.4433633923376498E-3</v>
      </c>
      <c r="D1708">
        <v>0</v>
      </c>
      <c r="E1708">
        <v>0</v>
      </c>
      <c r="F1708">
        <v>0</v>
      </c>
      <c r="G1708" s="1">
        <v>7.2295792856502599E-7</v>
      </c>
      <c r="H1708">
        <v>0.60646468611816395</v>
      </c>
      <c r="I1708">
        <v>0</v>
      </c>
    </row>
    <row r="1709" spans="1:9" x14ac:dyDescent="0.25">
      <c r="A1709" s="1">
        <v>-88.149435520172105</v>
      </c>
      <c r="B1709">
        <v>-6.2969503716326498</v>
      </c>
      <c r="C1709">
        <v>3.7271123960189098E-3</v>
      </c>
      <c r="D1709">
        <v>0</v>
      </c>
      <c r="E1709">
        <v>0</v>
      </c>
      <c r="F1709">
        <v>0</v>
      </c>
      <c r="G1709" s="1">
        <v>1.00666276555028E-6</v>
      </c>
      <c r="H1709">
        <v>0.65677811405284103</v>
      </c>
      <c r="I1709">
        <v>0</v>
      </c>
    </row>
    <row r="1710" spans="1:9" x14ac:dyDescent="0.25">
      <c r="A1710" s="1">
        <v>-79.962490797042804</v>
      </c>
      <c r="B1710">
        <v>-5.7134876931778296</v>
      </c>
      <c r="C1710">
        <v>4.0898844106666702E-3</v>
      </c>
      <c r="D1710">
        <v>0</v>
      </c>
      <c r="E1710">
        <v>0</v>
      </c>
      <c r="F1710">
        <v>0</v>
      </c>
      <c r="G1710" s="1">
        <v>1.37988555275914E-6</v>
      </c>
      <c r="H1710">
        <v>0.68876606342662905</v>
      </c>
      <c r="I1710">
        <v>0</v>
      </c>
    </row>
    <row r="1711" spans="1:9" x14ac:dyDescent="0.25">
      <c r="A1711" s="1">
        <v>-72.451583743095298</v>
      </c>
      <c r="B1711">
        <v>-5.1779564068413499</v>
      </c>
      <c r="C1711">
        <v>4.5405110615332703E-3</v>
      </c>
      <c r="D1711">
        <v>0</v>
      </c>
      <c r="E1711">
        <v>0</v>
      </c>
      <c r="F1711">
        <v>0</v>
      </c>
      <c r="G1711" s="1">
        <v>1.8683993774559701E-6</v>
      </c>
      <c r="H1711">
        <v>0.70969911336125602</v>
      </c>
      <c r="I1711">
        <v>0</v>
      </c>
    </row>
    <row r="1712" spans="1:9" x14ac:dyDescent="0.25">
      <c r="A1712" s="1">
        <v>-65.560821294784503</v>
      </c>
      <c r="B1712">
        <v>-4.6864386713824402</v>
      </c>
      <c r="C1712">
        <v>5.0878745504758099E-3</v>
      </c>
      <c r="D1712">
        <v>0</v>
      </c>
      <c r="E1712">
        <v>0</v>
      </c>
      <c r="F1712">
        <v>0</v>
      </c>
      <c r="G1712" s="1">
        <v>2.50544629009974E-6</v>
      </c>
      <c r="H1712">
        <v>0.72393017068969101</v>
      </c>
      <c r="I1712">
        <v>0</v>
      </c>
    </row>
    <row r="1713" spans="1:9" x14ac:dyDescent="0.25">
      <c r="A1713" s="1">
        <v>-59.238972067832897</v>
      </c>
      <c r="B1713">
        <v>-4.2353311176172603</v>
      </c>
      <c r="C1713">
        <v>5.7409677331386501E-3</v>
      </c>
      <c r="D1713">
        <v>0</v>
      </c>
      <c r="E1713">
        <v>0</v>
      </c>
      <c r="F1713">
        <v>0</v>
      </c>
      <c r="G1713" s="1">
        <v>3.33312491303416E-6</v>
      </c>
      <c r="H1713">
        <v>0.73407798073500696</v>
      </c>
      <c r="I1713">
        <v>0</v>
      </c>
    </row>
    <row r="1714" spans="1:9" x14ac:dyDescent="0.25">
      <c r="A1714" s="1">
        <v>-53.439136743545497</v>
      </c>
      <c r="B1714">
        <v>-3.82132499802329</v>
      </c>
      <c r="C1714">
        <v>6.5089391069830596E-3</v>
      </c>
      <c r="D1714">
        <v>0</v>
      </c>
      <c r="E1714">
        <v>0</v>
      </c>
      <c r="F1714">
        <v>0</v>
      </c>
      <c r="G1714" s="1">
        <v>4.4044397416120802E-6</v>
      </c>
      <c r="H1714">
        <v>0.74173855967201396</v>
      </c>
      <c r="I1714">
        <v>0</v>
      </c>
    </row>
    <row r="1715" spans="1:9" x14ac:dyDescent="0.25">
      <c r="A1715" s="1">
        <v>-48.118183016777003</v>
      </c>
      <c r="B1715">
        <v>-3.44138111255534</v>
      </c>
      <c r="C1715">
        <v>7.4011193570190197E-3</v>
      </c>
      <c r="D1715">
        <v>0</v>
      </c>
      <c r="E1715">
        <v>0</v>
      </c>
      <c r="F1715">
        <v>0</v>
      </c>
      <c r="G1715" s="1">
        <v>5.7862509893347101E-6</v>
      </c>
      <c r="H1715">
        <v>0.74790487932479099</v>
      </c>
      <c r="I1715">
        <v>0</v>
      </c>
    </row>
    <row r="1716" spans="1:9" x14ac:dyDescent="0.25">
      <c r="A1716" s="1">
        <v>-43.236604332923797</v>
      </c>
      <c r="B1716">
        <v>-3.0927047344616798</v>
      </c>
      <c r="C1716">
        <v>8.4270397981031104E-3</v>
      </c>
      <c r="D1716">
        <v>0</v>
      </c>
      <c r="E1716">
        <v>0</v>
      </c>
      <c r="F1716">
        <v>0</v>
      </c>
      <c r="G1716" s="1">
        <v>7.5635014164010503E-6</v>
      </c>
      <c r="H1716">
        <v>0.75321716413593998</v>
      </c>
      <c r="I1716">
        <v>0</v>
      </c>
    </row>
    <row r="1717" spans="1:9" x14ac:dyDescent="0.25">
      <c r="A1717" s="1">
        <v>-38.758049011230398</v>
      </c>
      <c r="B1717">
        <v>-2.77273202843435</v>
      </c>
      <c r="C1717">
        <v>9.5964821132569905E-3</v>
      </c>
      <c r="D1717">
        <v>0</v>
      </c>
      <c r="E1717">
        <v>0</v>
      </c>
      <c r="F1717">
        <v>0</v>
      </c>
      <c r="G1717" s="1">
        <v>9.8452915624402895E-6</v>
      </c>
      <c r="H1717">
        <v>0.75811344335806596</v>
      </c>
      <c r="I1717">
        <v>0</v>
      </c>
    </row>
    <row r="1718" spans="1:9" x14ac:dyDescent="0.25">
      <c r="A1718" s="1">
        <v>-34.649320244789102</v>
      </c>
      <c r="B1718">
        <v>-2.4791060211829099</v>
      </c>
      <c r="C1718">
        <v>1.0919566094296699E-2</v>
      </c>
      <c r="D1718">
        <v>0</v>
      </c>
      <c r="E1718">
        <v>0</v>
      </c>
      <c r="F1718">
        <v>0</v>
      </c>
      <c r="G1718" s="1">
        <v>1.2773610632494901E-5</v>
      </c>
      <c r="H1718">
        <v>0.76291966677128797</v>
      </c>
      <c r="I1718">
        <v>0</v>
      </c>
    </row>
    <row r="1719" spans="1:9" x14ac:dyDescent="0.25">
      <c r="A1719" s="1">
        <v>-30.879811048507602</v>
      </c>
      <c r="B1719">
        <v>-2.2096619748271298</v>
      </c>
      <c r="C1719">
        <v>1.2406924005376199E-2</v>
      </c>
      <c r="D1719">
        <v>0</v>
      </c>
      <c r="E1719">
        <v>0</v>
      </c>
      <c r="F1719">
        <v>0</v>
      </c>
      <c r="G1719" s="1">
        <v>1.6535778623119E-5</v>
      </c>
      <c r="H1719">
        <v>0.76790087780295302</v>
      </c>
      <c r="I1719">
        <v>0</v>
      </c>
    </row>
    <row r="1720" spans="1:9" x14ac:dyDescent="0.25">
      <c r="A1720" s="1">
        <v>-27.4215984344482</v>
      </c>
      <c r="B1720">
        <v>-1.9624138050473501</v>
      </c>
      <c r="C1720">
        <v>1.4069946480292601E-2</v>
      </c>
      <c r="D1720">
        <v>0</v>
      </c>
      <c r="E1720">
        <v>0</v>
      </c>
      <c r="F1720">
        <v>0</v>
      </c>
      <c r="G1720" s="1">
        <v>2.1381950717049802E-5</v>
      </c>
      <c r="H1720">
        <v>0.77328594501407</v>
      </c>
      <c r="I1720">
        <v>0</v>
      </c>
    </row>
    <row r="1721" spans="1:9" x14ac:dyDescent="0.25">
      <c r="A1721" s="1">
        <v>-24.248878359794599</v>
      </c>
      <c r="B1721">
        <v>-1.73553632020421</v>
      </c>
      <c r="C1721">
        <v>1.5921145221010399E-2</v>
      </c>
      <c r="D1721">
        <v>0</v>
      </c>
      <c r="E1721">
        <v>0</v>
      </c>
      <c r="F1721">
        <v>0</v>
      </c>
      <c r="G1721" s="1">
        <v>2.7649326587617599E-5</v>
      </c>
      <c r="H1721">
        <v>0.77927288173742704</v>
      </c>
      <c r="I1721">
        <v>0</v>
      </c>
    </row>
    <row r="1722" spans="1:9" x14ac:dyDescent="0.25">
      <c r="A1722" s="1">
        <v>-21.3381540775299</v>
      </c>
      <c r="B1722">
        <v>-1.5273558185196701</v>
      </c>
      <c r="C1722">
        <v>1.7974607907676601E-2</v>
      </c>
      <c r="D1722">
        <v>0</v>
      </c>
      <c r="E1722">
        <v>0</v>
      </c>
      <c r="F1722">
        <v>0</v>
      </c>
      <c r="G1722" s="1">
        <v>3.5795057851508698E-5</v>
      </c>
      <c r="H1722">
        <v>0.78602133930608398</v>
      </c>
      <c r="I1722">
        <v>0</v>
      </c>
    </row>
    <row r="1723" spans="1:9" x14ac:dyDescent="0.25">
      <c r="A1723" s="1">
        <v>-18.6677181720733</v>
      </c>
      <c r="B1723">
        <v>-1.3363323271966701</v>
      </c>
      <c r="C1723">
        <v>2.02465425258362E-2</v>
      </c>
      <c r="D1723">
        <v>0</v>
      </c>
      <c r="E1723">
        <v>0</v>
      </c>
      <c r="F1723">
        <v>0</v>
      </c>
      <c r="G1723" s="1">
        <v>4.6440367344402397E-5</v>
      </c>
      <c r="H1723">
        <v>0.79363845930141497</v>
      </c>
      <c r="I1723">
        <v>0</v>
      </c>
    </row>
    <row r="1724" spans="1:9" x14ac:dyDescent="0.25">
      <c r="A1724" s="1">
        <v>-16.2178409099578</v>
      </c>
      <c r="B1724">
        <v>-1.1610554233885599</v>
      </c>
      <c r="C1724">
        <v>2.2755893227409899E-2</v>
      </c>
      <c r="D1724">
        <v>0</v>
      </c>
      <c r="E1724">
        <v>0</v>
      </c>
      <c r="F1724">
        <v>0</v>
      </c>
      <c r="G1724" s="1">
        <v>6.0429137815027897E-5</v>
      </c>
      <c r="H1724">
        <v>0.80216520941858505</v>
      </c>
      <c r="I1724">
        <v>0</v>
      </c>
    </row>
    <row r="1725" spans="1:9" x14ac:dyDescent="0.25">
      <c r="A1725" s="1">
        <v>-13.9702051877975</v>
      </c>
      <c r="B1725">
        <v>-1.00022751807638</v>
      </c>
      <c r="C1725">
        <v>2.55250053711326E-2</v>
      </c>
      <c r="D1725">
        <v>0</v>
      </c>
      <c r="E1725">
        <v>0</v>
      </c>
      <c r="F1725">
        <v>0</v>
      </c>
      <c r="G1725" s="1">
        <v>7.8905478066317806E-5</v>
      </c>
      <c r="H1725">
        <v>0.81156951278107103</v>
      </c>
      <c r="I1725">
        <v>0</v>
      </c>
    </row>
    <row r="1726" spans="1:9" x14ac:dyDescent="0.25">
      <c r="A1726" s="1">
        <v>-11.908189058303799</v>
      </c>
      <c r="B1726">
        <v>-0.85266176655360004</v>
      </c>
      <c r="C1726">
        <v>2.8580286092132201E-2</v>
      </c>
      <c r="D1726">
        <v>0</v>
      </c>
      <c r="E1726">
        <v>0</v>
      </c>
      <c r="F1726">
        <v>0</v>
      </c>
      <c r="G1726">
        <v>1.0341659598324699E-4</v>
      </c>
      <c r="H1726">
        <v>0.82174981893250898</v>
      </c>
      <c r="I1726">
        <v>0</v>
      </c>
    </row>
    <row r="1727" spans="1:9" x14ac:dyDescent="0.25">
      <c r="A1727" s="1">
        <v>-10.016394853591899</v>
      </c>
      <c r="B1727">
        <v>-0.71726326278813701</v>
      </c>
      <c r="C1727">
        <v>3.1952908462393202E-2</v>
      </c>
      <c r="D1727">
        <v>0</v>
      </c>
      <c r="E1727">
        <v>0</v>
      </c>
      <c r="F1727">
        <v>0</v>
      </c>
      <c r="G1727">
        <v>1.36050037401105E-4</v>
      </c>
      <c r="H1727">
        <v>0.83254900866063997</v>
      </c>
      <c r="I1727">
        <v>0</v>
      </c>
    </row>
    <row r="1728" spans="1:9" x14ac:dyDescent="0.25">
      <c r="A1728" s="1">
        <v>-8.2808375358581507</v>
      </c>
      <c r="B1728">
        <v>-0.59303112893768095</v>
      </c>
      <c r="C1728">
        <v>3.5679455294610599E-2</v>
      </c>
      <c r="D1728">
        <v>0</v>
      </c>
      <c r="E1728">
        <v>0</v>
      </c>
      <c r="F1728">
        <v>0</v>
      </c>
      <c r="G1728">
        <v>1.7961796207217101E-4</v>
      </c>
      <c r="H1728">
        <v>0.843774980142177</v>
      </c>
      <c r="I1728">
        <v>0</v>
      </c>
    </row>
    <row r="1729" spans="1:9" x14ac:dyDescent="0.25">
      <c r="A1729" s="1">
        <v>-6.6885209083557102</v>
      </c>
      <c r="B1729">
        <v>-0.47904597825773498</v>
      </c>
      <c r="C1729">
        <v>3.98026098900734E-2</v>
      </c>
      <c r="D1729">
        <v>0</v>
      </c>
      <c r="E1729">
        <v>0</v>
      </c>
      <c r="F1729">
        <v>0</v>
      </c>
      <c r="G1729">
        <v>2.3790591943040299E-4</v>
      </c>
      <c r="H1729">
        <v>0.85522236762458703</v>
      </c>
      <c r="I1729">
        <v>0</v>
      </c>
    </row>
    <row r="1730" spans="1:9" x14ac:dyDescent="0.25">
      <c r="A1730" s="1">
        <v>-5.2277201414108196</v>
      </c>
      <c r="B1730">
        <v>-0.37446260179795798</v>
      </c>
      <c r="C1730">
        <v>4.4371819961388601E-2</v>
      </c>
      <c r="D1730">
        <v>0</v>
      </c>
      <c r="E1730">
        <v>0</v>
      </c>
      <c r="F1730">
        <v>0</v>
      </c>
      <c r="G1730">
        <v>3.1600879367971402E-4</v>
      </c>
      <c r="H1730">
        <v>0.86669101406524995</v>
      </c>
      <c r="I1730">
        <v>0</v>
      </c>
    </row>
    <row r="1731" spans="1:9" x14ac:dyDescent="0.25">
      <c r="A1731" s="1">
        <v>-3.88755798339843</v>
      </c>
      <c r="B1731">
        <v>-0.27850683412917399</v>
      </c>
      <c r="C1731">
        <v>4.9444042030685698E-2</v>
      </c>
      <c r="D1731">
        <v>0</v>
      </c>
      <c r="E1731">
        <v>0</v>
      </c>
      <c r="F1731">
        <v>0</v>
      </c>
      <c r="G1731">
        <v>4.2078510762621601E-4</v>
      </c>
      <c r="H1731">
        <v>0.87799902961361298</v>
      </c>
      <c r="I1731">
        <v>0</v>
      </c>
    </row>
    <row r="1732" spans="1:9" x14ac:dyDescent="0.25">
      <c r="A1732" s="1">
        <v>-2.6580518484115601</v>
      </c>
      <c r="B1732">
        <v>-0.19046719528206199</v>
      </c>
      <c r="C1732">
        <v>5.50844835923925E-2</v>
      </c>
      <c r="D1732">
        <v>0</v>
      </c>
      <c r="E1732">
        <v>0</v>
      </c>
      <c r="F1732">
        <v>0</v>
      </c>
      <c r="G1732">
        <v>5.6140849563405398E-4</v>
      </c>
      <c r="H1732">
        <v>0.88897841323179905</v>
      </c>
      <c r="I1732">
        <v>0</v>
      </c>
    </row>
    <row r="1733" spans="1:9" x14ac:dyDescent="0.25">
      <c r="A1733" s="1">
        <v>-1.5300196409225399</v>
      </c>
      <c r="B1733">
        <v>-0.109690711716493</v>
      </c>
      <c r="C1733">
        <v>6.13677185928274E-2</v>
      </c>
      <c r="D1733">
        <v>0</v>
      </c>
      <c r="E1733">
        <v>0</v>
      </c>
      <c r="F1733">
        <v>0</v>
      </c>
      <c r="G1733">
        <v>7.5003290316601504E-4</v>
      </c>
      <c r="H1733">
        <v>0.89947517742313199</v>
      </c>
      <c r="I1733">
        <v>0</v>
      </c>
    </row>
    <row r="1734" spans="1:9" x14ac:dyDescent="0.25">
      <c r="A1734" s="1">
        <v>-0.49517393112182601</v>
      </c>
      <c r="B1734">
        <v>-3.55797820485435E-2</v>
      </c>
      <c r="C1734">
        <v>6.8377785789121598E-2</v>
      </c>
      <c r="D1734">
        <v>0</v>
      </c>
      <c r="E1734">
        <v>0</v>
      </c>
      <c r="F1734">
        <v>0</v>
      </c>
      <c r="G1734">
        <v>1.00584899147179E-3</v>
      </c>
      <c r="H1734">
        <v>0.90965497211451996</v>
      </c>
      <c r="I1734">
        <v>0</v>
      </c>
    </row>
    <row r="1735" spans="1:9" x14ac:dyDescent="0.25">
      <c r="A1735" s="1">
        <v>0.49376130104064903</v>
      </c>
      <c r="B1735">
        <v>0.35350050919286302</v>
      </c>
      <c r="C1735">
        <v>0.13171398831315001</v>
      </c>
      <c r="D1735">
        <v>5.7244948491807598E-2</v>
      </c>
      <c r="E1735">
        <v>-1.06791399390998E-4</v>
      </c>
      <c r="F1735" s="1">
        <v>1.24750040236007E-6</v>
      </c>
      <c r="G1735">
        <v>0.109135914167481</v>
      </c>
      <c r="H1735">
        <v>0.99772974409976101</v>
      </c>
      <c r="I1735" s="1">
        <v>1.05457247499924E-6</v>
      </c>
    </row>
    <row r="1736" spans="1:9" x14ac:dyDescent="0.25">
      <c r="A1736" s="1">
        <v>1.5257111191749499</v>
      </c>
      <c r="B1736">
        <v>1.0919179877505401</v>
      </c>
      <c r="C1736">
        <v>0.37858574410194301</v>
      </c>
      <c r="D1736">
        <v>0.34123009326076098</v>
      </c>
      <c r="E1736">
        <v>-1.7985732819215199E-3</v>
      </c>
      <c r="F1736" s="1">
        <v>7.8986714923547397E-5</v>
      </c>
      <c r="G1736">
        <v>0.112472857292614</v>
      </c>
      <c r="H1736">
        <v>0.99194056607969905</v>
      </c>
      <c r="I1736" s="1">
        <v>2.5865359521170302E-5</v>
      </c>
    </row>
    <row r="1737" spans="1:9" x14ac:dyDescent="0.25">
      <c r="A1737" s="1">
        <v>2.6505178213119498</v>
      </c>
      <c r="B1737">
        <v>1.89264220150716</v>
      </c>
      <c r="C1737">
        <v>0.83561948844151102</v>
      </c>
      <c r="D1737">
        <v>0.90147574760300997</v>
      </c>
      <c r="E1737">
        <v>-9.5502908010639005E-3</v>
      </c>
      <c r="F1737">
        <v>2.7014808336960002E-4</v>
      </c>
      <c r="G1737">
        <v>0.113416151005811</v>
      </c>
      <c r="H1737">
        <v>0.98086190461376299</v>
      </c>
      <c r="I1737">
        <v>1.1822498691303101E-4</v>
      </c>
    </row>
    <row r="1738" spans="1:9" x14ac:dyDescent="0.25">
      <c r="A1738" s="1">
        <v>3.8765159249305698</v>
      </c>
      <c r="B1738">
        <v>2.7527363366686401</v>
      </c>
      <c r="C1738">
        <v>1.5339867195738199</v>
      </c>
      <c r="D1738">
        <v>1.77397595339463</v>
      </c>
      <c r="E1738">
        <v>-2.8910432098320699E-2</v>
      </c>
      <c r="F1738">
        <v>5.7425063656154002E-4</v>
      </c>
      <c r="G1738">
        <v>0.11124237447197501</v>
      </c>
      <c r="H1738">
        <v>0.96265711335974302</v>
      </c>
      <c r="I1738">
        <v>2.7112377159138498E-4</v>
      </c>
    </row>
    <row r="1739" spans="1:9" x14ac:dyDescent="0.25">
      <c r="A1739" s="1">
        <v>5.2129346132278398</v>
      </c>
      <c r="B1739">
        <v>3.6619455743820102</v>
      </c>
      <c r="C1739">
        <v>2.46490005140716</v>
      </c>
      <c r="D1739">
        <v>2.9290980061080898</v>
      </c>
      <c r="E1739">
        <v>-6.5537778500707702E-2</v>
      </c>
      <c r="F1739">
        <v>9.5148842125123497E-4</v>
      </c>
      <c r="G1739">
        <v>0.105864686856271</v>
      </c>
      <c r="H1739">
        <v>0.93505811566182795</v>
      </c>
      <c r="I1739">
        <v>5.02542395916783E-4</v>
      </c>
    </row>
    <row r="1740" spans="1:9" x14ac:dyDescent="0.25">
      <c r="A1740" s="1">
        <v>6.6695916652679399</v>
      </c>
      <c r="B1740">
        <v>4.6011289094813801</v>
      </c>
      <c r="C1740">
        <v>3.5555458404250202</v>
      </c>
      <c r="D1740">
        <v>4.2408909267638801</v>
      </c>
      <c r="E1740">
        <v>-0.122536637326606</v>
      </c>
      <c r="F1740">
        <v>1.31615365632174E-3</v>
      </c>
      <c r="G1740">
        <v>9.9249194765409401E-2</v>
      </c>
      <c r="H1740">
        <v>0.89728139481413005</v>
      </c>
      <c r="I1740">
        <v>1.1641573597556301E-3</v>
      </c>
    </row>
    <row r="1741" spans="1:9" x14ac:dyDescent="0.25">
      <c r="A1741" s="1">
        <v>8.2573878765106201</v>
      </c>
      <c r="B1741">
        <v>5.5434305850189798</v>
      </c>
      <c r="C1741">
        <v>4.6719735416120001</v>
      </c>
      <c r="D1741">
        <v>5.5091102787789898</v>
      </c>
      <c r="E1741">
        <v>-0.19820636982630799</v>
      </c>
      <c r="F1741">
        <v>1.56575030534398E-3</v>
      </c>
      <c r="G1741">
        <v>9.4861982931368799E-2</v>
      </c>
      <c r="H1741">
        <v>0.85366809988525405</v>
      </c>
      <c r="I1741">
        <v>3.2977898286259601E-3</v>
      </c>
    </row>
    <row r="1742" spans="1:9" x14ac:dyDescent="0.25">
      <c r="A1742" s="1">
        <v>9.9880245327949506</v>
      </c>
      <c r="B1742">
        <v>6.4589982178766903</v>
      </c>
      <c r="C1742">
        <v>5.6614136510562201</v>
      </c>
      <c r="D1742">
        <v>6.5366921412924297</v>
      </c>
      <c r="E1742">
        <v>-0.28598843267938501</v>
      </c>
      <c r="F1742">
        <v>1.6196376820940999E-3</v>
      </c>
      <c r="G1742">
        <v>9.5062918972386806E-2</v>
      </c>
      <c r="H1742">
        <v>0.81300089084732097</v>
      </c>
      <c r="I1742">
        <v>7.3030842435201802E-3</v>
      </c>
    </row>
    <row r="1743" spans="1:9" x14ac:dyDescent="0.25">
      <c r="A1743" s="1">
        <v>11.874474287032999</v>
      </c>
      <c r="B1743">
        <v>7.3218132937798899</v>
      </c>
      <c r="C1743">
        <v>6.4098582349636999</v>
      </c>
      <c r="D1743">
        <v>7.2073442851279097</v>
      </c>
      <c r="E1743">
        <v>-0.37718237503373198</v>
      </c>
      <c r="F1743">
        <v>1.4682103376178299E-3</v>
      </c>
      <c r="G1743">
        <v>9.89751175117803E-2</v>
      </c>
      <c r="H1743">
        <v>0.78028938921004698</v>
      </c>
      <c r="I1743">
        <v>1.0606931914967701E-2</v>
      </c>
    </row>
    <row r="1744" spans="1:9" x14ac:dyDescent="0.25">
      <c r="A1744" s="1">
        <v>13.9306750893592</v>
      </c>
      <c r="B1744">
        <v>8.11484103901374</v>
      </c>
      <c r="C1744">
        <v>6.8723354481819401</v>
      </c>
      <c r="D1744">
        <v>7.5065821810254603</v>
      </c>
      <c r="E1744">
        <v>-0.46423650315554099</v>
      </c>
      <c r="F1744">
        <v>1.1844055620784701E-3</v>
      </c>
      <c r="G1744">
        <v>0.103576042844589</v>
      </c>
      <c r="H1744">
        <v>0.75389936234187105</v>
      </c>
      <c r="I1744">
        <v>1.02631360387445E-2</v>
      </c>
    </row>
    <row r="1745" spans="1:9" x14ac:dyDescent="0.25">
      <c r="A1745" s="1">
        <v>16.171883344650201</v>
      </c>
      <c r="B1745">
        <v>8.8310136026825496</v>
      </c>
      <c r="C1745">
        <v>7.0639040059026899</v>
      </c>
      <c r="D1745">
        <v>7.4902102229219203</v>
      </c>
      <c r="E1745">
        <v>-0.54235021697451802</v>
      </c>
      <c r="F1745">
        <v>8.9539331271046004E-4</v>
      </c>
      <c r="G1745">
        <v>0.10619809436142</v>
      </c>
      <c r="H1745">
        <v>0.730399883627048</v>
      </c>
      <c r="I1745">
        <v>6.3674080116040499E-3</v>
      </c>
    </row>
    <row r="1746" spans="1:9" x14ac:dyDescent="0.25">
      <c r="A1746" s="1">
        <v>18.614838719367899</v>
      </c>
      <c r="B1746">
        <v>9.4710014784227408</v>
      </c>
      <c r="C1746">
        <v>7.0326752270012296</v>
      </c>
      <c r="D1746">
        <v>7.2408160536899198</v>
      </c>
      <c r="E1746">
        <v>-0.6093766692482</v>
      </c>
      <c r="F1746">
        <v>7.3369016882535295E-4</v>
      </c>
      <c r="G1746">
        <v>0.10575673927087</v>
      </c>
      <c r="H1746">
        <v>0.70762828937349298</v>
      </c>
      <c r="I1746">
        <v>9.5442825452400604E-4</v>
      </c>
    </row>
    <row r="1747" spans="1:9" x14ac:dyDescent="0.25">
      <c r="A1747" s="1">
        <v>21.2777170538902</v>
      </c>
      <c r="B1747">
        <v>10.040100808104601</v>
      </c>
      <c r="C1747">
        <v>6.8362515298229098</v>
      </c>
      <c r="D1747">
        <v>6.8385076676728396</v>
      </c>
      <c r="E1747">
        <v>-0.66501085635774404</v>
      </c>
      <c r="F1747">
        <v>7.9309353733251901E-4</v>
      </c>
      <c r="G1747">
        <v>0.102502644663871</v>
      </c>
      <c r="H1747">
        <v>0.68479787565471695</v>
      </c>
      <c r="I1747">
        <v>-4.2009932729467001E-3</v>
      </c>
    </row>
    <row r="1748" spans="1:9" x14ac:dyDescent="0.25">
      <c r="A1748" s="1">
        <v>24.180224537849401</v>
      </c>
      <c r="B1748">
        <v>10.5457258410059</v>
      </c>
      <c r="C1748">
        <v>6.5283433238197297</v>
      </c>
      <c r="D1748">
        <v>6.3486072917006497</v>
      </c>
      <c r="E1748">
        <v>-0.70997115438603198</v>
      </c>
      <c r="F1748">
        <v>1.1048553916827701E-3</v>
      </c>
      <c r="G1748">
        <v>9.7265554676905897E-2</v>
      </c>
      <c r="H1748">
        <v>0.66186832165663401</v>
      </c>
      <c r="I1748">
        <v>-8.2749785491331006E-3</v>
      </c>
    </row>
    <row r="1749" spans="1:9" x14ac:dyDescent="0.25">
      <c r="A1749" s="1">
        <v>27.343950867652801</v>
      </c>
      <c r="B1749">
        <v>10.995895594172801</v>
      </c>
      <c r="C1749">
        <v>6.1534846675240802</v>
      </c>
      <c r="D1749">
        <v>5.81968629963586</v>
      </c>
      <c r="E1749">
        <v>-0.74541473583752405</v>
      </c>
      <c r="F1749">
        <v>1.5886983638776101E-3</v>
      </c>
      <c r="G1749">
        <v>9.0868282006627693E-2</v>
      </c>
      <c r="H1749">
        <v>0.639130673246049</v>
      </c>
      <c r="I1749">
        <v>-1.1105783536083901E-2</v>
      </c>
    </row>
    <row r="1750" spans="1:9" x14ac:dyDescent="0.25">
      <c r="A1750" s="1">
        <v>30.7923927903175</v>
      </c>
      <c r="B1750">
        <v>11.3984896952059</v>
      </c>
      <c r="C1750">
        <v>5.7460833001965304</v>
      </c>
      <c r="D1750">
        <v>5.28581750529818</v>
      </c>
      <c r="E1750">
        <v>-0.77260315454545703</v>
      </c>
      <c r="F1750">
        <v>2.1486921341454801E-3</v>
      </c>
      <c r="G1750">
        <v>8.3903143943739697E-2</v>
      </c>
      <c r="H1750">
        <v>0.61700353917504203</v>
      </c>
      <c r="I1750">
        <v>-1.28030109460095E-2</v>
      </c>
    </row>
    <row r="1751" spans="1:9" x14ac:dyDescent="0.25">
      <c r="A1751" s="1">
        <v>34.551213085651298</v>
      </c>
      <c r="B1751">
        <v>11.7608787788317</v>
      </c>
      <c r="C1751">
        <v>5.3312269703850301</v>
      </c>
      <c r="D1751">
        <v>4.7696508966195701</v>
      </c>
      <c r="E1751">
        <v>-0.79274327287223301</v>
      </c>
      <c r="F1751">
        <v>2.73711203301275E-3</v>
      </c>
      <c r="G1751">
        <v>7.6731636269784895E-2</v>
      </c>
      <c r="H1751">
        <v>0.59592133239237899</v>
      </c>
      <c r="I1751">
        <v>-1.3553236482096401E-2</v>
      </c>
    </row>
    <row r="1752" spans="1:9" x14ac:dyDescent="0.25">
      <c r="A1752" s="1">
        <v>38.6483111977577</v>
      </c>
      <c r="B1752">
        <v>12.089735581656599</v>
      </c>
      <c r="C1752">
        <v>4.9260408605822699</v>
      </c>
      <c r="D1752">
        <v>4.2852202740021301</v>
      </c>
      <c r="E1752">
        <v>-0.80688442301722796</v>
      </c>
      <c r="F1752">
        <v>3.2217835595201002E-3</v>
      </c>
      <c r="G1752">
        <v>6.9578811014804801E-2</v>
      </c>
      <c r="H1752">
        <v>0.57631566226179498</v>
      </c>
      <c r="I1752">
        <v>-1.35544051607963E-2</v>
      </c>
    </row>
    <row r="1753" spans="1:9" x14ac:dyDescent="0.25">
      <c r="A1753" s="1">
        <v>43.1141293048858</v>
      </c>
      <c r="B1753">
        <v>12.390990148182601</v>
      </c>
      <c r="C1753">
        <v>4.5413683444848703</v>
      </c>
      <c r="D1753">
        <v>3.8404517474466502</v>
      </c>
      <c r="E1753">
        <v>-0.81588843788333298</v>
      </c>
      <c r="F1753">
        <v>3.5549792138157301E-3</v>
      </c>
      <c r="G1753">
        <v>6.2594965000127706E-2</v>
      </c>
      <c r="H1753">
        <v>0.55848492371360403</v>
      </c>
      <c r="I1753">
        <v>-1.2994620044692101E-2</v>
      </c>
    </row>
    <row r="1754" spans="1:9" x14ac:dyDescent="0.25">
      <c r="A1754" s="1">
        <v>47.981887757778097</v>
      </c>
      <c r="B1754">
        <v>12.6697333213181</v>
      </c>
      <c r="C1754">
        <v>4.1834420156610204</v>
      </c>
      <c r="D1754">
        <v>3.4390888733786902</v>
      </c>
      <c r="E1754">
        <v>-0.82047452695269696</v>
      </c>
      <c r="F1754">
        <v>3.6791407873436799E-3</v>
      </c>
      <c r="G1754">
        <v>5.5882842188692397E-2</v>
      </c>
      <c r="H1754">
        <v>0.54245931020514504</v>
      </c>
      <c r="I1754">
        <v>-1.20543719441047E-2</v>
      </c>
    </row>
    <row r="1755" spans="1:9" x14ac:dyDescent="0.25">
      <c r="A1755" s="1">
        <v>53.287820518016801</v>
      </c>
      <c r="B1755">
        <v>12.930229801848199</v>
      </c>
      <c r="C1755">
        <v>3.8548697089183701</v>
      </c>
      <c r="D1755">
        <v>3.08141947410064</v>
      </c>
      <c r="E1755">
        <v>-0.82118760176975203</v>
      </c>
      <c r="F1755">
        <v>3.53929946916358E-3</v>
      </c>
      <c r="G1755">
        <v>4.95477049743571E-2</v>
      </c>
      <c r="H1755">
        <v>0.528233726491392</v>
      </c>
      <c r="I1755">
        <v>-1.0897298014345099E-2</v>
      </c>
    </row>
    <row r="1756" spans="1:9" x14ac:dyDescent="0.25">
      <c r="A1756" s="1">
        <v>59.071175158023799</v>
      </c>
      <c r="B1756">
        <v>13.1760487431433</v>
      </c>
      <c r="C1756">
        <v>3.55593183660184</v>
      </c>
      <c r="D1756">
        <v>2.7655084127071898</v>
      </c>
      <c r="E1756">
        <v>-0.81844569953255297</v>
      </c>
      <c r="F1756">
        <v>3.0914259287152502E-3</v>
      </c>
      <c r="G1756">
        <v>4.3691554444967202E-2</v>
      </c>
      <c r="H1756">
        <v>0.51569972516151596</v>
      </c>
      <c r="I1756">
        <v>-9.6762788859635698E-3</v>
      </c>
    </row>
    <row r="1757" spans="1:9" x14ac:dyDescent="0.25">
      <c r="A1757" s="1">
        <v>65.375131070613804</v>
      </c>
      <c r="B1757">
        <v>13.410127481376399</v>
      </c>
      <c r="C1757">
        <v>3.28569187870644</v>
      </c>
      <c r="D1757">
        <v>2.4885239851024998</v>
      </c>
      <c r="E1757">
        <v>-0.81256215140735599</v>
      </c>
      <c r="F1757">
        <v>2.4298639931663799E-3</v>
      </c>
      <c r="G1757">
        <v>3.8367352969352501E-2</v>
      </c>
      <c r="H1757">
        <v>0.50446582314321897</v>
      </c>
      <c r="I1757">
        <v>-8.4913949258746194E-3</v>
      </c>
    </row>
    <row r="1758" spans="1:9" x14ac:dyDescent="0.25">
      <c r="A1758" s="1">
        <v>72.246375679969702</v>
      </c>
      <c r="B1758">
        <v>13.634880973888199</v>
      </c>
      <c r="C1758">
        <v>3.0418988108266598</v>
      </c>
      <c r="D1758">
        <v>2.2467055513747698</v>
      </c>
      <c r="E1758">
        <v>-0.80377986616478803</v>
      </c>
      <c r="F1758">
        <v>1.6632203604366601E-3</v>
      </c>
      <c r="G1758">
        <v>3.3601801040595403E-2</v>
      </c>
      <c r="H1758">
        <v>0.49425406665097399</v>
      </c>
      <c r="I1758">
        <v>-7.4043129782440402E-3</v>
      </c>
    </row>
    <row r="1759" spans="1:9" x14ac:dyDescent="0.25">
      <c r="A1759" s="1">
        <v>79.736069738864799</v>
      </c>
      <c r="B1759">
        <v>13.8522992228396</v>
      </c>
      <c r="C1759">
        <v>2.8214878404866401</v>
      </c>
      <c r="D1759">
        <v>2.0355812718273301</v>
      </c>
      <c r="E1759">
        <v>-0.79223825827317196</v>
      </c>
      <c r="F1759">
        <v>9.8659941111769902E-4</v>
      </c>
      <c r="G1759">
        <v>2.9358657525845499E-2</v>
      </c>
      <c r="H1759">
        <v>0.48463299034170898</v>
      </c>
      <c r="I1759">
        <v>-6.4252794782844796E-3</v>
      </c>
    </row>
    <row r="1760" spans="1:9" x14ac:dyDescent="0.25">
      <c r="A1760" s="1">
        <v>87.899753153324099</v>
      </c>
      <c r="B1760">
        <v>14.063972871774499</v>
      </c>
      <c r="C1760">
        <v>2.6210482379401401</v>
      </c>
      <c r="D1760">
        <v>1.8506361438347101</v>
      </c>
      <c r="E1760">
        <v>-0.77798087383321402</v>
      </c>
      <c r="F1760">
        <v>6.0190861986934299E-4</v>
      </c>
      <c r="G1760">
        <v>2.5602669754968499E-2</v>
      </c>
      <c r="H1760">
        <v>0.47549306454307899</v>
      </c>
      <c r="I1760">
        <v>-5.5632222006659297E-3</v>
      </c>
    </row>
    <row r="1761" spans="1:9" x14ac:dyDescent="0.25">
      <c r="A1761" s="1">
        <v>96.798263192176805</v>
      </c>
      <c r="B1761">
        <v>14.271159286541501</v>
      </c>
      <c r="C1761">
        <v>2.4374322315480401</v>
      </c>
      <c r="D1761">
        <v>1.6879093271244101</v>
      </c>
      <c r="E1761">
        <v>-0.76108479823530195</v>
      </c>
      <c r="F1761">
        <v>6.67491416995588E-4</v>
      </c>
      <c r="G1761">
        <v>2.2289762647436599E-2</v>
      </c>
      <c r="H1761">
        <v>0.46660139220799102</v>
      </c>
      <c r="I1761">
        <v>-4.8087918238763601E-3</v>
      </c>
    </row>
    <row r="1762" spans="1:9" x14ac:dyDescent="0.25">
      <c r="A1762" s="1">
        <v>106.497616767883</v>
      </c>
      <c r="B1762">
        <v>14.4749183737911</v>
      </c>
      <c r="C1762">
        <v>2.26748675617285</v>
      </c>
      <c r="D1762">
        <v>1.5436809395882101</v>
      </c>
      <c r="E1762">
        <v>-0.74146874936677798</v>
      </c>
      <c r="F1762">
        <v>9.3333410154167E-4</v>
      </c>
      <c r="G1762">
        <v>1.9380691924639201E-2</v>
      </c>
      <c r="H1762">
        <v>0.45790604339677698</v>
      </c>
      <c r="I1762">
        <v>-4.1551757304869501E-3</v>
      </c>
    </row>
    <row r="1763" spans="1:9" x14ac:dyDescent="0.25">
      <c r="A1763" s="1">
        <v>117.06990510225199</v>
      </c>
      <c r="B1763">
        <v>14.676402501227001</v>
      </c>
      <c r="C1763">
        <v>2.1074169457692999</v>
      </c>
      <c r="D1763">
        <v>1.4139058560125</v>
      </c>
      <c r="E1763">
        <v>-0.71889512252941701</v>
      </c>
      <c r="F1763">
        <v>1.15676610451251E-3</v>
      </c>
      <c r="G1763">
        <v>1.6834245274436999E-2</v>
      </c>
      <c r="H1763">
        <v>0.45004696606543598</v>
      </c>
      <c r="I1763">
        <v>-3.5906002009833998E-3</v>
      </c>
    </row>
    <row r="1764" spans="1:9" x14ac:dyDescent="0.25">
      <c r="A1764" s="1">
        <v>128.593670427799</v>
      </c>
      <c r="B1764">
        <v>14.876567099732901</v>
      </c>
      <c r="C1764">
        <v>1.95533445210246</v>
      </c>
      <c r="D1764">
        <v>1.29606364556621</v>
      </c>
      <c r="E1764">
        <v>-0.69339683289364096</v>
      </c>
      <c r="F1764">
        <v>1.5208378569051099E-3</v>
      </c>
      <c r="G1764">
        <v>1.4576478763463499E-2</v>
      </c>
      <c r="H1764">
        <v>0.442633257480814</v>
      </c>
      <c r="I1764">
        <v>-3.0866215179247598E-3</v>
      </c>
    </row>
    <row r="1765" spans="1:9" x14ac:dyDescent="0.25">
      <c r="A1765" s="1">
        <v>141.15461230278001</v>
      </c>
      <c r="B1765">
        <v>15.075859325589301</v>
      </c>
      <c r="C1765">
        <v>1.80943247542546</v>
      </c>
      <c r="D1765">
        <v>1.1877553334768101</v>
      </c>
      <c r="E1765">
        <v>-0.66475431708210497</v>
      </c>
      <c r="F1765">
        <v>2.1943030742951099E-3</v>
      </c>
      <c r="G1765">
        <v>1.2558472750749901E-2</v>
      </c>
      <c r="H1765">
        <v>0.435440032596145</v>
      </c>
      <c r="I1765">
        <v>-2.6343036601012299E-3</v>
      </c>
    </row>
    <row r="1766" spans="1:9" x14ac:dyDescent="0.25">
      <c r="A1766" s="1">
        <v>154.84601140022201</v>
      </c>
      <c r="B1766">
        <v>15.2740728391573</v>
      </c>
      <c r="C1766">
        <v>1.66831725193009</v>
      </c>
      <c r="D1766">
        <v>1.08703677749059</v>
      </c>
      <c r="E1766">
        <v>-0.63279399940471703</v>
      </c>
      <c r="F1766">
        <v>2.3158564056753798E-3</v>
      </c>
      <c r="G1766">
        <v>1.0745290606958099E-2</v>
      </c>
      <c r="H1766">
        <v>0.427959514986408</v>
      </c>
      <c r="I1766">
        <v>-2.2267698761315202E-3</v>
      </c>
    </row>
    <row r="1767" spans="1:9" x14ac:dyDescent="0.25">
      <c r="A1767" s="1">
        <v>169.76969480514501</v>
      </c>
      <c r="B1767">
        <v>15.471154880175</v>
      </c>
      <c r="C1767">
        <v>1.52975807279908</v>
      </c>
      <c r="D1767">
        <v>0.99153957575044405</v>
      </c>
      <c r="E1767">
        <v>-0.59705035823229102</v>
      </c>
      <c r="F1767">
        <v>1.9295399048326401E-3</v>
      </c>
      <c r="G1767">
        <v>9.1207177742016095E-3</v>
      </c>
      <c r="H1767">
        <v>0.42047074732175799</v>
      </c>
      <c r="I1767">
        <v>-1.86110505608902E-3</v>
      </c>
    </row>
    <row r="1768" spans="1:9" x14ac:dyDescent="0.25">
      <c r="A1768" s="1">
        <v>186.03645980358101</v>
      </c>
      <c r="B1768">
        <v>15.6676246932015</v>
      </c>
      <c r="C1768">
        <v>1.39193039791273</v>
      </c>
      <c r="D1768">
        <v>0.89946308523007401</v>
      </c>
      <c r="E1768">
        <v>-0.55704214517871598</v>
      </c>
      <c r="F1768">
        <v>1.7747417084390501E-3</v>
      </c>
      <c r="G1768">
        <v>7.6661807689168502E-3</v>
      </c>
      <c r="H1768">
        <v>0.41353529328792898</v>
      </c>
      <c r="I1768">
        <v>-1.5362531845870401E-3</v>
      </c>
    </row>
    <row r="1769" spans="1:9" x14ac:dyDescent="0.25">
      <c r="A1769" s="1">
        <v>203.76720398664401</v>
      </c>
      <c r="B1769">
        <v>15.863024674379799</v>
      </c>
      <c r="C1769">
        <v>1.2547628365771</v>
      </c>
      <c r="D1769">
        <v>0.80927389617997203</v>
      </c>
      <c r="E1769">
        <v>-0.51266064116180698</v>
      </c>
      <c r="F1769">
        <v>1.59411055331904E-3</v>
      </c>
      <c r="G1769">
        <v>6.3570891892198297E-3</v>
      </c>
      <c r="H1769">
        <v>0.40622950078257702</v>
      </c>
      <c r="I1769">
        <v>-1.24617969116672E-3</v>
      </c>
    </row>
    <row r="1770" spans="1:9" x14ac:dyDescent="0.25">
      <c r="A1770" s="1">
        <v>223.09376105666101</v>
      </c>
      <c r="B1770">
        <v>16.0556983604335</v>
      </c>
      <c r="C1770">
        <v>1.11743081912388</v>
      </c>
      <c r="D1770">
        <v>0.71992257142969296</v>
      </c>
      <c r="E1770">
        <v>-0.46344591247887701</v>
      </c>
      <c r="F1770">
        <v>1.3054111565132399E-3</v>
      </c>
      <c r="G1770">
        <v>5.1680445099130798E-3</v>
      </c>
      <c r="H1770">
        <v>0.398808682340766</v>
      </c>
      <c r="I1770">
        <v>-9.808061211921161E-4</v>
      </c>
    </row>
    <row r="1771" spans="1:9" x14ac:dyDescent="0.25">
      <c r="A1771" s="1">
        <v>244.15970131754801</v>
      </c>
      <c r="B1771">
        <v>16.2442431641981</v>
      </c>
      <c r="C1771">
        <v>0.97903616764422297</v>
      </c>
      <c r="D1771">
        <v>0.62987695782767505</v>
      </c>
      <c r="E1771">
        <v>-0.40879684443369402</v>
      </c>
      <c r="F1771">
        <v>5.2942112969187603E-4</v>
      </c>
      <c r="G1771">
        <v>4.0995108919102503E-3</v>
      </c>
      <c r="H1771">
        <v>0.39193798650093897</v>
      </c>
      <c r="I1771">
        <v>-7.44210475948363E-4</v>
      </c>
    </row>
    <row r="1772" spans="1:9" x14ac:dyDescent="0.25">
      <c r="A1772" s="1">
        <v>267.12157949805197</v>
      </c>
      <c r="B1772">
        <v>16.425814732933102</v>
      </c>
      <c r="C1772">
        <v>0.84047241035248299</v>
      </c>
      <c r="D1772">
        <v>0.53965353017800399</v>
      </c>
      <c r="E1772">
        <v>-0.34834628969693598</v>
      </c>
      <c r="F1772">
        <v>-4.7541860701869201E-4</v>
      </c>
      <c r="G1772">
        <v>3.1618740702033798E-3</v>
      </c>
      <c r="H1772">
        <v>0.386051130568765</v>
      </c>
      <c r="I1772">
        <v>-5.4433986465148802E-4</v>
      </c>
    </row>
    <row r="1773" spans="1:9" x14ac:dyDescent="0.25">
      <c r="A1773" s="1">
        <v>292.15002954006098</v>
      </c>
      <c r="B1773">
        <v>16.595622852747901</v>
      </c>
      <c r="C1773">
        <v>0.70218298503592902</v>
      </c>
      <c r="D1773">
        <v>0.44844766128785202</v>
      </c>
      <c r="E1773">
        <v>-0.281595463593382</v>
      </c>
      <c r="F1773">
        <v>-1.0483308738693201E-3</v>
      </c>
      <c r="G1773">
        <v>2.3604223223659599E-3</v>
      </c>
      <c r="H1773">
        <v>0.382398785113502</v>
      </c>
      <c r="I1773">
        <v>-3.8257588754222099E-4</v>
      </c>
    </row>
    <row r="1774" spans="1:9" x14ac:dyDescent="0.25">
      <c r="A1774" s="1">
        <v>319.43101242184599</v>
      </c>
      <c r="B1774">
        <v>16.744142468018101</v>
      </c>
      <c r="C1774">
        <v>0.57146941426018805</v>
      </c>
      <c r="D1774">
        <v>0.36072679459832901</v>
      </c>
      <c r="E1774">
        <v>-0.20820094585614601</v>
      </c>
      <c r="F1774">
        <v>-8.0981776132582704E-4</v>
      </c>
      <c r="G1774">
        <v>1.71225162599675E-3</v>
      </c>
      <c r="H1774">
        <v>0.38231974729644402</v>
      </c>
      <c r="I1774">
        <v>-2.6360700902401798E-4</v>
      </c>
    </row>
    <row r="1775" spans="1:9" x14ac:dyDescent="0.25">
      <c r="A1775" s="1">
        <v>349.16732590645501</v>
      </c>
      <c r="B1775">
        <v>16.859377671243301</v>
      </c>
      <c r="C1775">
        <v>0.46270057738839199</v>
      </c>
      <c r="D1775">
        <v>0.28566037177670001</v>
      </c>
      <c r="E1775">
        <v>-0.12685992445814401</v>
      </c>
      <c r="F1775">
        <v>-9.8179568357670798E-4</v>
      </c>
      <c r="G1775">
        <v>1.26454608972958E-3</v>
      </c>
      <c r="H1775">
        <v>0.38698837727707303</v>
      </c>
      <c r="I1775">
        <v>-1.92921304995079E-4</v>
      </c>
    </row>
    <row r="1776" spans="1:9" x14ac:dyDescent="0.25">
      <c r="A1776" s="1">
        <v>379.83785875141598</v>
      </c>
      <c r="B1776">
        <v>16.920275028353199</v>
      </c>
      <c r="C1776">
        <v>0.40045787123800802</v>
      </c>
      <c r="D1776">
        <v>0.241808156731594</v>
      </c>
      <c r="E1776">
        <v>-4.2032704343607598E-2</v>
      </c>
      <c r="F1776">
        <v>-1.32305413089196E-3</v>
      </c>
      <c r="G1776">
        <v>1.0313483882118299E-3</v>
      </c>
      <c r="H1776">
        <v>0.40791531690548399</v>
      </c>
      <c r="I1776">
        <v>-1.5283892660314399E-4</v>
      </c>
    </row>
    <row r="1777" spans="1:9" x14ac:dyDescent="0.25">
      <c r="A1777" s="1" t="s">
        <v>547</v>
      </c>
      <c r="B1777" s="1" t="s">
        <v>614</v>
      </c>
      <c r="C1777" s="1" t="s">
        <v>615</v>
      </c>
      <c r="D1777" s="1" t="s">
        <v>616</v>
      </c>
      <c r="E1777" s="1" t="s">
        <v>617</v>
      </c>
      <c r="F1777" s="1" t="s">
        <v>618</v>
      </c>
      <c r="G1777" s="1" t="s">
        <v>400</v>
      </c>
      <c r="H1777" s="1" t="s">
        <v>619</v>
      </c>
      <c r="I1777" s="1" t="s">
        <v>613</v>
      </c>
    </row>
    <row r="1778" spans="1:9" x14ac:dyDescent="0.25">
      <c r="A1778" s="1">
        <v>-141.555516719818</v>
      </c>
      <c r="B1778">
        <v>-20.175463722506102</v>
      </c>
      <c r="C1778">
        <v>5.9427035587387503E-3</v>
      </c>
      <c r="D1778">
        <v>0</v>
      </c>
      <c r="E1778">
        <v>0</v>
      </c>
      <c r="F1778">
        <v>0</v>
      </c>
      <c r="G1778" s="1">
        <v>4.5779594457728799E-7</v>
      </c>
      <c r="H1778">
        <v>3.7796932072780599E-2</v>
      </c>
      <c r="I1778">
        <v>0</v>
      </c>
    </row>
    <row r="1779" spans="1:9" x14ac:dyDescent="0.25">
      <c r="A1779" s="1">
        <v>-128.95890593528699</v>
      </c>
      <c r="B1779">
        <v>-18.385618324437701</v>
      </c>
      <c r="C1779">
        <v>6.0586553151996897E-3</v>
      </c>
      <c r="D1779">
        <v>0</v>
      </c>
      <c r="E1779">
        <v>0</v>
      </c>
      <c r="F1779">
        <v>0</v>
      </c>
      <c r="G1779" s="1">
        <v>6.1262021525232405E-7</v>
      </c>
      <c r="H1779">
        <v>0.24433256941970999</v>
      </c>
      <c r="I1779">
        <v>0</v>
      </c>
    </row>
    <row r="1780" spans="1:9" x14ac:dyDescent="0.25">
      <c r="A1780" s="1">
        <v>-117.402367591857</v>
      </c>
      <c r="B1780">
        <v>-16.742615705588399</v>
      </c>
      <c r="C1780">
        <v>6.2925925106054499E-3</v>
      </c>
      <c r="D1780">
        <v>0</v>
      </c>
      <c r="E1780">
        <v>0</v>
      </c>
      <c r="F1780">
        <v>0</v>
      </c>
      <c r="G1780" s="1">
        <v>9.0708354379520595E-7</v>
      </c>
      <c r="H1780">
        <v>0.43846601497555998</v>
      </c>
      <c r="I1780">
        <v>0</v>
      </c>
    </row>
    <row r="1781" spans="1:9" x14ac:dyDescent="0.25">
      <c r="A1781" s="1">
        <v>-106.80001378059301</v>
      </c>
      <c r="B1781">
        <v>-15.234476674580501</v>
      </c>
      <c r="C1781">
        <v>6.6635135060553897E-3</v>
      </c>
      <c r="D1781">
        <v>0</v>
      </c>
      <c r="E1781">
        <v>0</v>
      </c>
      <c r="F1781">
        <v>0</v>
      </c>
      <c r="G1781" s="1">
        <v>1.3439176598462001E-6</v>
      </c>
      <c r="H1781">
        <v>0.56410953102721595</v>
      </c>
      <c r="I1781">
        <v>0</v>
      </c>
    </row>
    <row r="1782" spans="1:9" x14ac:dyDescent="0.25">
      <c r="A1782" s="1">
        <v>-97.073161005973802</v>
      </c>
      <c r="B1782">
        <v>-13.850193664663999</v>
      </c>
      <c r="C1782">
        <v>7.1968848794855397E-3</v>
      </c>
      <c r="D1782">
        <v>0</v>
      </c>
      <c r="E1782">
        <v>0</v>
      </c>
      <c r="F1782">
        <v>0</v>
      </c>
      <c r="G1782" s="1">
        <v>1.94482153172526E-6</v>
      </c>
      <c r="H1782">
        <v>0.63941690679507002</v>
      </c>
      <c r="I1782">
        <v>0</v>
      </c>
    </row>
    <row r="1783" spans="1:9" x14ac:dyDescent="0.25">
      <c r="A1783" s="1">
        <v>-88.149435520172105</v>
      </c>
      <c r="B1783">
        <v>-12.5796471531033</v>
      </c>
      <c r="C1783">
        <v>7.9201845370153699E-3</v>
      </c>
      <c r="D1783">
        <v>0</v>
      </c>
      <c r="E1783">
        <v>0</v>
      </c>
      <c r="F1783">
        <v>0</v>
      </c>
      <c r="G1783" s="1">
        <v>2.7501091111181698E-6</v>
      </c>
      <c r="H1783">
        <v>0.68459403832647303</v>
      </c>
      <c r="I1783">
        <v>0</v>
      </c>
    </row>
    <row r="1784" spans="1:9" x14ac:dyDescent="0.25">
      <c r="A1784" s="1">
        <v>-79.962490797042804</v>
      </c>
      <c r="B1784">
        <v>-11.413532528141101</v>
      </c>
      <c r="C1784">
        <v>8.8614145931100504E-3</v>
      </c>
      <c r="D1784">
        <v>0</v>
      </c>
      <c r="E1784">
        <v>0</v>
      </c>
      <c r="F1784">
        <v>0</v>
      </c>
      <c r="G1784" s="1">
        <v>3.8193149314702499E-6</v>
      </c>
      <c r="H1784">
        <v>0.71231964513646695</v>
      </c>
      <c r="I1784">
        <v>0</v>
      </c>
    </row>
    <row r="1785" spans="1:9" x14ac:dyDescent="0.25">
      <c r="A1785" s="1">
        <v>-72.451583743095298</v>
      </c>
      <c r="B1785">
        <v>-10.343305761599501</v>
      </c>
      <c r="C1785">
        <v>1.0048910800169E-2</v>
      </c>
      <c r="D1785">
        <v>0</v>
      </c>
      <c r="E1785">
        <v>0</v>
      </c>
      <c r="F1785">
        <v>0</v>
      </c>
      <c r="G1785" s="1">
        <v>5.2329203857270897E-6</v>
      </c>
      <c r="H1785">
        <v>0.72990915911563103</v>
      </c>
      <c r="I1785">
        <v>0</v>
      </c>
    </row>
    <row r="1786" spans="1:9" x14ac:dyDescent="0.25">
      <c r="A1786" s="1">
        <v>-65.560821294784503</v>
      </c>
      <c r="B1786">
        <v>-9.3611102758437106</v>
      </c>
      <c r="C1786">
        <v>1.1511579504110799E-2</v>
      </c>
      <c r="D1786">
        <v>0</v>
      </c>
      <c r="E1786">
        <v>0</v>
      </c>
      <c r="F1786">
        <v>0</v>
      </c>
      <c r="G1786" s="1">
        <v>7.0954946908585696E-6</v>
      </c>
      <c r="H1786">
        <v>0.74156982019119999</v>
      </c>
      <c r="I1786">
        <v>0</v>
      </c>
    </row>
    <row r="1787" spans="1:9" x14ac:dyDescent="0.25">
      <c r="A1787" s="1">
        <v>-59.238972067832897</v>
      </c>
      <c r="B1787">
        <v>-8.4597320192023808</v>
      </c>
      <c r="C1787">
        <v>1.3279174278841401E-2</v>
      </c>
      <c r="D1787">
        <v>0</v>
      </c>
      <c r="E1787">
        <v>0</v>
      </c>
      <c r="F1787">
        <v>0</v>
      </c>
      <c r="G1787" s="1">
        <v>9.5405929373093507E-6</v>
      </c>
      <c r="H1787">
        <v>0.74975089851164001</v>
      </c>
      <c r="I1787">
        <v>0</v>
      </c>
    </row>
    <row r="1788" spans="1:9" x14ac:dyDescent="0.25">
      <c r="A1788" s="1">
        <v>-53.439136743545497</v>
      </c>
      <c r="B1788">
        <v>-7.63254200429615</v>
      </c>
      <c r="C1788">
        <v>1.53824971149578E-2</v>
      </c>
      <c r="D1788">
        <v>0</v>
      </c>
      <c r="E1788">
        <v>0</v>
      </c>
      <c r="F1788">
        <v>0</v>
      </c>
      <c r="G1788" s="1">
        <v>1.27379009263517E-5</v>
      </c>
      <c r="H1788">
        <v>0.75590059615560001</v>
      </c>
      <c r="I1788">
        <v>0</v>
      </c>
    </row>
    <row r="1789" spans="1:9" x14ac:dyDescent="0.25">
      <c r="A1789" s="1">
        <v>-48.118183016777003</v>
      </c>
      <c r="B1789">
        <v>-6.8734524282157103</v>
      </c>
      <c r="C1789">
        <v>1.78535090735359E-2</v>
      </c>
      <c r="D1789">
        <v>0</v>
      </c>
      <c r="E1789">
        <v>0</v>
      </c>
      <c r="F1789">
        <v>0</v>
      </c>
      <c r="G1789" s="1">
        <v>1.69034700930392E-5</v>
      </c>
      <c r="H1789">
        <v>0.76089513048398605</v>
      </c>
      <c r="I1789">
        <v>0</v>
      </c>
    </row>
    <row r="1790" spans="1:9" x14ac:dyDescent="0.25">
      <c r="A1790" s="1">
        <v>-43.236604332923797</v>
      </c>
      <c r="B1790">
        <v>-6.1768727926998999</v>
      </c>
      <c r="C1790">
        <v>2.0725427527336901E-2</v>
      </c>
      <c r="D1790">
        <v>0</v>
      </c>
      <c r="E1790">
        <v>0</v>
      </c>
      <c r="F1790">
        <v>0</v>
      </c>
      <c r="G1790" s="1">
        <v>2.2314349100582799E-5</v>
      </c>
      <c r="H1790">
        <v>0.76528695053322304</v>
      </c>
      <c r="I1790">
        <v>0</v>
      </c>
    </row>
    <row r="1791" spans="1:9" x14ac:dyDescent="0.25">
      <c r="A1791" s="1">
        <v>-38.758049011230398</v>
      </c>
      <c r="B1791">
        <v>-5.5376670690715004</v>
      </c>
      <c r="C1791">
        <v>2.4032891582631201E-2</v>
      </c>
      <c r="D1791">
        <v>0</v>
      </c>
      <c r="E1791">
        <v>0</v>
      </c>
      <c r="F1791">
        <v>0</v>
      </c>
      <c r="G1791" s="1">
        <v>2.93295994990394E-5</v>
      </c>
      <c r="H1791">
        <v>0.76945013924726202</v>
      </c>
      <c r="I1791">
        <v>0</v>
      </c>
    </row>
    <row r="1792" spans="1:9" x14ac:dyDescent="0.25">
      <c r="A1792" s="1">
        <v>-34.649320244789102</v>
      </c>
      <c r="B1792">
        <v>-4.9511202659919498</v>
      </c>
      <c r="C1792">
        <v>2.7812283981124598E-2</v>
      </c>
      <c r="D1792">
        <v>0</v>
      </c>
      <c r="E1792">
        <v>0</v>
      </c>
      <c r="F1792">
        <v>0</v>
      </c>
      <c r="G1792" s="1">
        <v>3.8420478964162902E-5</v>
      </c>
      <c r="H1792">
        <v>0.77366452976686195</v>
      </c>
      <c r="I1792">
        <v>0</v>
      </c>
    </row>
    <row r="1793" spans="1:9" x14ac:dyDescent="0.25">
      <c r="A1793" s="1">
        <v>-30.879811048507602</v>
      </c>
      <c r="B1793">
        <v>-4.4129039524584703</v>
      </c>
      <c r="C1793">
        <v>3.2102293310614899E-2</v>
      </c>
      <c r="D1793">
        <v>0</v>
      </c>
      <c r="E1793">
        <v>0</v>
      </c>
      <c r="F1793">
        <v>0</v>
      </c>
      <c r="G1793" s="1">
        <v>5.0213419750697601E-5</v>
      </c>
      <c r="H1793">
        <v>0.77816110827713303</v>
      </c>
      <c r="I1793">
        <v>0</v>
      </c>
    </row>
    <row r="1794" spans="1:9" x14ac:dyDescent="0.25">
      <c r="A1794" s="1">
        <v>-27.4215984344482</v>
      </c>
      <c r="B1794">
        <v>-3.9190417808010798</v>
      </c>
      <c r="C1794">
        <v>3.6944771292414101E-2</v>
      </c>
      <c r="D1794">
        <v>0</v>
      </c>
      <c r="E1794">
        <v>0</v>
      </c>
      <c r="F1794">
        <v>0</v>
      </c>
      <c r="G1794" s="1">
        <v>6.5550461159915601E-5</v>
      </c>
      <c r="H1794">
        <v>0.78314158327211503</v>
      </c>
      <c r="I1794">
        <v>0</v>
      </c>
    </row>
    <row r="1795" spans="1:9" x14ac:dyDescent="0.25">
      <c r="A1795" s="1">
        <v>-24.248878359794599</v>
      </c>
      <c r="B1795">
        <v>-3.4658854572564</v>
      </c>
      <c r="C1795">
        <v>4.2385922030133097E-2</v>
      </c>
      <c r="D1795">
        <v>0</v>
      </c>
      <c r="E1795">
        <v>0</v>
      </c>
      <c r="F1795">
        <v>0</v>
      </c>
      <c r="G1795" s="1">
        <v>8.5572729467315803E-5</v>
      </c>
      <c r="H1795">
        <v>0.78877967596714804</v>
      </c>
      <c r="I1795">
        <v>0</v>
      </c>
    </row>
    <row r="1796" spans="1:9" x14ac:dyDescent="0.25">
      <c r="A1796" s="1">
        <v>-21.3381540775299</v>
      </c>
      <c r="B1796">
        <v>-3.0500854887529898</v>
      </c>
      <c r="C1796">
        <v>4.8477835514692397E-2</v>
      </c>
      <c r="D1796">
        <v>0</v>
      </c>
      <c r="E1796">
        <v>0</v>
      </c>
      <c r="F1796">
        <v>0</v>
      </c>
      <c r="G1796">
        <v>1.11833783311965E-4</v>
      </c>
      <c r="H1796">
        <v>0.79521079444859399</v>
      </c>
      <c r="I1796">
        <v>0</v>
      </c>
    </row>
    <row r="1797" spans="1:9" x14ac:dyDescent="0.25">
      <c r="A1797" s="1">
        <v>-18.6677181720733</v>
      </c>
      <c r="B1797">
        <v>-2.6685671534850801</v>
      </c>
      <c r="C1797">
        <v>5.5280284910079303E-2</v>
      </c>
      <c r="D1797">
        <v>0</v>
      </c>
      <c r="E1797">
        <v>0</v>
      </c>
      <c r="F1797">
        <v>0</v>
      </c>
      <c r="G1797">
        <v>1.4645133768340199E-4</v>
      </c>
      <c r="H1797">
        <v>0.80251721745174798</v>
      </c>
      <c r="I1797">
        <v>0</v>
      </c>
    </row>
    <row r="1798" spans="1:9" x14ac:dyDescent="0.25">
      <c r="A1798" s="1">
        <v>-16.2178409099578</v>
      </c>
      <c r="B1798">
        <v>-2.3185064714863501</v>
      </c>
      <c r="C1798">
        <v>6.2862818915869603E-2</v>
      </c>
      <c r="D1798">
        <v>0</v>
      </c>
      <c r="E1798">
        <v>0</v>
      </c>
      <c r="F1798">
        <v>0</v>
      </c>
      <c r="G1798">
        <v>1.9230824205607099E-4</v>
      </c>
      <c r="H1798">
        <v>0.81071542559580201</v>
      </c>
      <c r="I1798">
        <v>0</v>
      </c>
    </row>
    <row r="1799" spans="1:9" x14ac:dyDescent="0.25">
      <c r="A1799" s="1">
        <v>-13.9702051877975</v>
      </c>
      <c r="B1799">
        <v>-1.9973134885072401</v>
      </c>
      <c r="C1799">
        <v>7.1306910015502406E-2</v>
      </c>
      <c r="D1799">
        <v>0</v>
      </c>
      <c r="E1799">
        <v>0</v>
      </c>
      <c r="F1799">
        <v>0</v>
      </c>
      <c r="G1799">
        <v>2.53317886021449E-4</v>
      </c>
      <c r="H1799">
        <v>0.81975190123333297</v>
      </c>
      <c r="I1799">
        <v>0</v>
      </c>
    </row>
    <row r="1800" spans="1:9" x14ac:dyDescent="0.25">
      <c r="A1800" s="1">
        <v>-11.908189058303799</v>
      </c>
      <c r="B1800">
        <v>-1.7026113808616601</v>
      </c>
      <c r="C1800">
        <v>8.0708225673205597E-2</v>
      </c>
      <c r="D1800">
        <v>0</v>
      </c>
      <c r="E1800">
        <v>0</v>
      </c>
      <c r="F1800">
        <v>0</v>
      </c>
      <c r="G1800">
        <v>3.3477492968643198E-4</v>
      </c>
      <c r="H1800">
        <v>0.829509745702257</v>
      </c>
      <c r="I1800">
        <v>0</v>
      </c>
    </row>
    <row r="1801" spans="1:9" x14ac:dyDescent="0.25">
      <c r="A1801" s="1">
        <v>-10.016394853591899</v>
      </c>
      <c r="B1801">
        <v>-1.43221556027379</v>
      </c>
      <c r="C1801">
        <v>9.1178836938881E-2</v>
      </c>
      <c r="D1801">
        <v>0</v>
      </c>
      <c r="E1801">
        <v>0</v>
      </c>
      <c r="F1801">
        <v>0</v>
      </c>
      <c r="G1801">
        <v>4.4382132110030098E-4</v>
      </c>
      <c r="H1801">
        <v>0.839824757249785</v>
      </c>
      <c r="I1801">
        <v>0</v>
      </c>
    </row>
    <row r="1802" spans="1:9" x14ac:dyDescent="0.25">
      <c r="A1802" s="1">
        <v>-8.2808375358581507</v>
      </c>
      <c r="B1802">
        <v>-1.1841242710590001</v>
      </c>
      <c r="C1802">
        <v>0.10284941811126901</v>
      </c>
      <c r="D1802">
        <v>0</v>
      </c>
      <c r="E1802">
        <v>0</v>
      </c>
      <c r="F1802">
        <v>0</v>
      </c>
      <c r="G1802">
        <v>5.9006935968625401E-4</v>
      </c>
      <c r="H1802">
        <v>0.850506623572164</v>
      </c>
      <c r="I1802">
        <v>0</v>
      </c>
    </row>
    <row r="1803" spans="1:9" x14ac:dyDescent="0.25">
      <c r="A1803" s="1">
        <v>-6.6885209083557102</v>
      </c>
      <c r="B1803">
        <v>-0.95649873972830102</v>
      </c>
      <c r="C1803">
        <v>0.115871361454773</v>
      </c>
      <c r="D1803">
        <v>0</v>
      </c>
      <c r="E1803">
        <v>0</v>
      </c>
      <c r="F1803">
        <v>0</v>
      </c>
      <c r="G1803">
        <v>7.8643878282718999E-4</v>
      </c>
      <c r="H1803">
        <v>0.86135967302542404</v>
      </c>
      <c r="I1803">
        <v>0</v>
      </c>
    </row>
    <row r="1804" spans="1:9" x14ac:dyDescent="0.25">
      <c r="A1804" s="1">
        <v>-5.2277201414108196</v>
      </c>
      <c r="B1804">
        <v>-0.74765324979048897</v>
      </c>
      <c r="C1804">
        <v>0.13041895003746101</v>
      </c>
      <c r="D1804">
        <v>0</v>
      </c>
      <c r="E1804">
        <v>0</v>
      </c>
      <c r="F1804">
        <v>0</v>
      </c>
      <c r="G1804">
        <v>1.0502824475292899E-3</v>
      </c>
      <c r="H1804">
        <v>0.87219911599132405</v>
      </c>
      <c r="I1804">
        <v>0</v>
      </c>
    </row>
    <row r="1805" spans="1:9" x14ac:dyDescent="0.25">
      <c r="A1805" s="1">
        <v>-3.88755798339843</v>
      </c>
      <c r="B1805">
        <v>-0.55603842562955597</v>
      </c>
      <c r="C1805">
        <v>0.146691611044554</v>
      </c>
      <c r="D1805">
        <v>0</v>
      </c>
      <c r="E1805">
        <v>0</v>
      </c>
      <c r="F1805">
        <v>0</v>
      </c>
      <c r="G1805">
        <v>1.4049017198590199E-3</v>
      </c>
      <c r="H1805">
        <v>0.88286145130211302</v>
      </c>
      <c r="I1805">
        <v>0</v>
      </c>
    </row>
    <row r="1806" spans="1:9" x14ac:dyDescent="0.25">
      <c r="A1806" s="1">
        <v>-2.6580518484115601</v>
      </c>
      <c r="B1806">
        <v>-0.38023391920101601</v>
      </c>
      <c r="C1806">
        <v>0.164916222742231</v>
      </c>
      <c r="D1806">
        <v>0</v>
      </c>
      <c r="E1806">
        <v>0</v>
      </c>
      <c r="F1806">
        <v>0</v>
      </c>
      <c r="G1806">
        <v>1.88140153940594E-3</v>
      </c>
      <c r="H1806">
        <v>0.89319950013439497</v>
      </c>
      <c r="I1806">
        <v>0</v>
      </c>
    </row>
    <row r="1807" spans="1:9" x14ac:dyDescent="0.25">
      <c r="A1807" s="1">
        <v>-1.5300196409225399</v>
      </c>
      <c r="B1807">
        <v>-0.21893587293994399</v>
      </c>
      <c r="C1807">
        <v>0.18535050338958001</v>
      </c>
      <c r="D1807">
        <v>0</v>
      </c>
      <c r="E1807">
        <v>0</v>
      </c>
      <c r="F1807">
        <v>0</v>
      </c>
      <c r="G1807">
        <v>2.5209546145174501E-3</v>
      </c>
      <c r="H1807">
        <v>0.90308123132504103</v>
      </c>
      <c r="I1807">
        <v>0</v>
      </c>
    </row>
    <row r="1808" spans="1:9" x14ac:dyDescent="0.25">
      <c r="A1808" s="1">
        <v>-0.49517393112182601</v>
      </c>
      <c r="B1808">
        <v>-7.0948561699658699E-2</v>
      </c>
      <c r="C1808">
        <v>0.208283404674284</v>
      </c>
      <c r="D1808">
        <v>0</v>
      </c>
      <c r="E1808">
        <v>0</v>
      </c>
      <c r="F1808">
        <v>0</v>
      </c>
      <c r="G1808">
        <v>3.3988252646895401E-3</v>
      </c>
      <c r="H1808">
        <v>0.91294674524094199</v>
      </c>
      <c r="I1808">
        <v>0</v>
      </c>
    </row>
    <row r="1809" spans="1:9" x14ac:dyDescent="0.25">
      <c r="A1809" s="1">
        <v>0.49376130104064903</v>
      </c>
      <c r="B1809">
        <v>0.352915891213744</v>
      </c>
      <c r="C1809">
        <v>0.304225433362109</v>
      </c>
      <c r="D1809">
        <v>8.1970546173172704E-2</v>
      </c>
      <c r="E1809">
        <v>-1.4095826029043E-4</v>
      </c>
      <c r="F1809" s="1">
        <v>1.9260945499117798E-6</v>
      </c>
      <c r="G1809">
        <v>9.4912987274269806E-2</v>
      </c>
      <c r="H1809">
        <v>0.99441298162194303</v>
      </c>
      <c r="I1809" s="1">
        <v>1.0050731978082501E-6</v>
      </c>
    </row>
    <row r="1810" spans="1:9" x14ac:dyDescent="0.25">
      <c r="A1810" s="1">
        <v>1.5257111191749499</v>
      </c>
      <c r="B1810">
        <v>1.0900713025130599</v>
      </c>
      <c r="C1810">
        <v>0.58538823896311398</v>
      </c>
      <c r="D1810">
        <v>0.40627176701368201</v>
      </c>
      <c r="E1810">
        <v>-2.0140016855746401E-3</v>
      </c>
      <c r="F1810" s="1">
        <v>7.8607099317562002E-5</v>
      </c>
      <c r="G1810">
        <v>0.101182510686206</v>
      </c>
      <c r="H1810">
        <v>0.98749129662738799</v>
      </c>
      <c r="I1810" s="1">
        <v>2.58679987164692E-5</v>
      </c>
    </row>
    <row r="1811" spans="1:9" x14ac:dyDescent="0.25">
      <c r="A1811" s="1">
        <v>2.6505178213119498</v>
      </c>
      <c r="B1811">
        <v>1.8891865894668101</v>
      </c>
      <c r="C1811">
        <v>1.0599448577421899</v>
      </c>
      <c r="D1811">
        <v>0.99444036077179299</v>
      </c>
      <c r="E1811">
        <v>-1.01110118335664E-2</v>
      </c>
      <c r="F1811">
        <v>2.6537631694765302E-4</v>
      </c>
      <c r="G1811">
        <v>0.10497110314767701</v>
      </c>
      <c r="H1811">
        <v>0.97559434562972103</v>
      </c>
      <c r="I1811">
        <v>1.20729696792547E-4</v>
      </c>
    </row>
    <row r="1812" spans="1:9" x14ac:dyDescent="0.25">
      <c r="A1812" s="1">
        <v>3.8765159249305698</v>
      </c>
      <c r="B1812">
        <v>2.7472162834838301</v>
      </c>
      <c r="C1812">
        <v>1.7590053225567801</v>
      </c>
      <c r="D1812">
        <v>1.88119503867259</v>
      </c>
      <c r="E1812">
        <v>-2.9825116434621098E-2</v>
      </c>
      <c r="F1812">
        <v>5.6130182259049501E-4</v>
      </c>
      <c r="G1812">
        <v>0.105602205221682</v>
      </c>
      <c r="H1812">
        <v>0.95704755134554698</v>
      </c>
      <c r="I1812">
        <v>2.7949847346232603E-4</v>
      </c>
    </row>
    <row r="1813" spans="1:9" x14ac:dyDescent="0.25">
      <c r="A1813" s="1">
        <v>5.2129346132278398</v>
      </c>
      <c r="B1813">
        <v>3.65389799121807</v>
      </c>
      <c r="C1813">
        <v>2.6756983148826499</v>
      </c>
      <c r="D1813">
        <v>3.0374937079099702</v>
      </c>
      <c r="E1813">
        <v>-6.6694778439247898E-2</v>
      </c>
      <c r="F1813">
        <v>9.2717156460947199E-4</v>
      </c>
      <c r="G1813">
        <v>0.10263825909650701</v>
      </c>
      <c r="H1813">
        <v>0.92971680754794195</v>
      </c>
      <c r="I1813">
        <v>5.2468327305361701E-4</v>
      </c>
    </row>
    <row r="1814" spans="1:9" x14ac:dyDescent="0.25">
      <c r="A1814" s="1">
        <v>6.6695916652679399</v>
      </c>
      <c r="B1814">
        <v>4.59020980987738</v>
      </c>
      <c r="C1814">
        <v>3.7413439126766002</v>
      </c>
      <c r="D1814">
        <v>4.3403087301269601</v>
      </c>
      <c r="E1814">
        <v>-0.123745234491554</v>
      </c>
      <c r="F1814">
        <v>1.2798485101305601E-3</v>
      </c>
      <c r="G1814">
        <v>9.7778530262624896E-2</v>
      </c>
      <c r="H1814">
        <v>0.89292061061369998</v>
      </c>
      <c r="I1814">
        <v>1.21499107207515E-3</v>
      </c>
    </row>
    <row r="1815" spans="1:9" x14ac:dyDescent="0.25">
      <c r="A1815" s="1">
        <v>8.2573878765106201</v>
      </c>
      <c r="B1815">
        <v>5.5295156428128696</v>
      </c>
      <c r="C1815">
        <v>4.8274450187616003</v>
      </c>
      <c r="D1815">
        <v>5.5938085558262296</v>
      </c>
      <c r="E1815">
        <v>-0.19927130782299399</v>
      </c>
      <c r="F1815">
        <v>1.52011357001262E-3</v>
      </c>
      <c r="G1815">
        <v>9.4431635526938507E-2</v>
      </c>
      <c r="H1815">
        <v>0.850808470823046</v>
      </c>
      <c r="I1815">
        <v>3.3846576460218E-3</v>
      </c>
    </row>
    <row r="1816" spans="1:9" x14ac:dyDescent="0.25">
      <c r="A1816" s="1">
        <v>9.9880245327949506</v>
      </c>
      <c r="B1816">
        <v>6.4422022258168301</v>
      </c>
      <c r="C1816">
        <v>5.7863150321798598</v>
      </c>
      <c r="D1816">
        <v>6.6051620776001299</v>
      </c>
      <c r="E1816">
        <v>-0.28677607270142202</v>
      </c>
      <c r="F1816">
        <v>1.5692932823903501E-3</v>
      </c>
      <c r="G1816">
        <v>9.5104289980444401E-2</v>
      </c>
      <c r="H1816">
        <v>0.81155029109814303</v>
      </c>
      <c r="I1816">
        <v>7.3973430285995704E-3</v>
      </c>
    </row>
    <row r="1817" spans="1:9" x14ac:dyDescent="0.25">
      <c r="A1817" s="1">
        <v>11.874474287032999</v>
      </c>
      <c r="B1817">
        <v>7.3024127208631704</v>
      </c>
      <c r="C1817">
        <v>6.5073061029805102</v>
      </c>
      <c r="D1817">
        <v>7.2608622559713298</v>
      </c>
      <c r="E1817">
        <v>-0.37764019364749402</v>
      </c>
      <c r="F1817">
        <v>1.4179835854425699E-3</v>
      </c>
      <c r="G1817">
        <v>9.9150842407159906E-2</v>
      </c>
      <c r="H1817">
        <v>0.77971822532608903</v>
      </c>
      <c r="I1817">
        <v>1.06623645959336E-2</v>
      </c>
    </row>
    <row r="1818" spans="1:9" x14ac:dyDescent="0.25">
      <c r="A1818" s="1">
        <v>13.9306750893592</v>
      </c>
      <c r="B1818">
        <v>8.0931644125525395</v>
      </c>
      <c r="C1818">
        <v>6.9468862175616497</v>
      </c>
      <c r="D1818">
        <v>7.5476271312591203</v>
      </c>
      <c r="E1818">
        <v>-0.46437181325318</v>
      </c>
      <c r="F1818">
        <v>1.1377845796263801E-3</v>
      </c>
      <c r="G1818">
        <v>0.103732936457998</v>
      </c>
      <c r="H1818">
        <v>0.75374164059982396</v>
      </c>
      <c r="I1818">
        <v>1.02639422978393E-2</v>
      </c>
    </row>
    <row r="1819" spans="1:9" x14ac:dyDescent="0.25">
      <c r="A1819" s="1">
        <v>16.171883344650201</v>
      </c>
      <c r="B1819">
        <v>8.8073685058629394</v>
      </c>
      <c r="C1819">
        <v>7.1202399905352101</v>
      </c>
      <c r="D1819">
        <v>7.5214280686543802</v>
      </c>
      <c r="E1819">
        <v>-0.54220005719891096</v>
      </c>
      <c r="F1819">
        <v>8.53294335037899E-4</v>
      </c>
      <c r="G1819">
        <v>0.10628670773370801</v>
      </c>
      <c r="H1819">
        <v>0.73040278500439204</v>
      </c>
      <c r="I1819">
        <v>6.3295284350885503E-3</v>
      </c>
    </row>
    <row r="1820" spans="1:9" x14ac:dyDescent="0.25">
      <c r="A1820" s="1">
        <v>18.614838719367899</v>
      </c>
      <c r="B1820">
        <v>9.4456496189585195</v>
      </c>
      <c r="C1820">
        <v>7.0749562581827696</v>
      </c>
      <c r="D1820">
        <v>7.2645459378953303</v>
      </c>
      <c r="E1820">
        <v>-0.60898688550660995</v>
      </c>
      <c r="F1820">
        <v>6.9452329581961897E-4</v>
      </c>
      <c r="G1820">
        <v>0.105775399965233</v>
      </c>
      <c r="H1820">
        <v>0.70767921917237198</v>
      </c>
      <c r="I1820">
        <v>9.0144737197648303E-4</v>
      </c>
    </row>
    <row r="1821" spans="1:9" x14ac:dyDescent="0.25">
      <c r="A1821" s="1">
        <v>21.2777170538902</v>
      </c>
      <c r="B1821">
        <v>10.013259928184899</v>
      </c>
      <c r="C1821">
        <v>6.8678900541099903</v>
      </c>
      <c r="D1821">
        <v>6.8566379747642703</v>
      </c>
      <c r="E1821">
        <v>-0.66442612331524797</v>
      </c>
      <c r="F1821">
        <v>7.5405134652723805E-4</v>
      </c>
      <c r="G1821">
        <v>0.102466980800134</v>
      </c>
      <c r="H1821">
        <v>0.68485094143563396</v>
      </c>
      <c r="I1821">
        <v>-4.2520821842000501E-3</v>
      </c>
    </row>
    <row r="1822" spans="1:9" x14ac:dyDescent="0.25">
      <c r="A1822" s="1">
        <v>24.180224537849401</v>
      </c>
      <c r="B1822">
        <v>10.5175784263298</v>
      </c>
      <c r="C1822">
        <v>6.55200440302918</v>
      </c>
      <c r="D1822">
        <v>6.3625861890121502</v>
      </c>
      <c r="E1822">
        <v>-0.70923103844528701</v>
      </c>
      <c r="F1822">
        <v>1.0641815239533501E-3</v>
      </c>
      <c r="G1822">
        <v>9.7193916397577004E-2</v>
      </c>
      <c r="H1822">
        <v>0.66190743776968297</v>
      </c>
      <c r="I1822">
        <v>-8.31591883365119E-3</v>
      </c>
    </row>
    <row r="1823" spans="1:9" x14ac:dyDescent="0.25">
      <c r="A1823" s="1">
        <v>27.343950867652801</v>
      </c>
      <c r="B1823">
        <v>10.9665964647665</v>
      </c>
      <c r="C1823">
        <v>6.17118269237851</v>
      </c>
      <c r="D1823">
        <v>5.8305817862117904</v>
      </c>
      <c r="E1823">
        <v>-0.744552635883867</v>
      </c>
      <c r="F1823">
        <v>1.5474282170539701E-3</v>
      </c>
      <c r="G1823">
        <v>9.0776359984660701E-2</v>
      </c>
      <c r="H1823">
        <v>0.63915367023319203</v>
      </c>
      <c r="I1823">
        <v>-1.1134493804793699E-2</v>
      </c>
    </row>
    <row r="1824" spans="1:9" x14ac:dyDescent="0.25">
      <c r="A1824" s="1">
        <v>30.7923927903175</v>
      </c>
      <c r="B1824">
        <v>11.3681710129142</v>
      </c>
      <c r="C1824">
        <v>5.7593067452043298</v>
      </c>
      <c r="D1824">
        <v>5.29441158865668</v>
      </c>
      <c r="E1824">
        <v>-0.77164641451692595</v>
      </c>
      <c r="F1824">
        <v>2.1095181811450498E-3</v>
      </c>
      <c r="G1824">
        <v>8.3802545420696095E-2</v>
      </c>
      <c r="H1824">
        <v>0.61701424714932296</v>
      </c>
      <c r="I1824">
        <v>-1.2820661564549101E-2</v>
      </c>
    </row>
    <row r="1825" spans="1:9" x14ac:dyDescent="0.25">
      <c r="A1825" s="1">
        <v>34.551213085651298</v>
      </c>
      <c r="B1825">
        <v>11.7296524633191</v>
      </c>
      <c r="C1825">
        <v>5.3410620041801602</v>
      </c>
      <c r="D1825">
        <v>4.7765071491879496</v>
      </c>
      <c r="E1825">
        <v>-0.79171419553917799</v>
      </c>
      <c r="F1825">
        <v>2.7020645236235001E-3</v>
      </c>
      <c r="G1825">
        <v>7.6630070850028098E-2</v>
      </c>
      <c r="H1825">
        <v>0.59592479817674804</v>
      </c>
      <c r="I1825">
        <v>-1.3562137341183301E-2</v>
      </c>
    </row>
    <row r="1826" spans="1:9" x14ac:dyDescent="0.25">
      <c r="A1826" s="1">
        <v>38.6483111977577</v>
      </c>
      <c r="B1826">
        <v>12.057696705870701</v>
      </c>
      <c r="C1826">
        <v>4.9332812217818498</v>
      </c>
      <c r="D1826">
        <v>4.2907316696465401</v>
      </c>
      <c r="E1826">
        <v>-0.80580102416985699</v>
      </c>
      <c r="F1826">
        <v>3.19308733502919E-3</v>
      </c>
      <c r="G1826">
        <v>6.9480630220936201E-2</v>
      </c>
      <c r="H1826">
        <v>0.57631412673706095</v>
      </c>
      <c r="I1826">
        <v>-1.35566943904509E-2</v>
      </c>
    </row>
    <row r="1827" spans="1:9" x14ac:dyDescent="0.25">
      <c r="A1827" s="1">
        <v>43.1141293048858</v>
      </c>
      <c r="B1827">
        <v>12.358217330137601</v>
      </c>
      <c r="C1827">
        <v>4.5465983208524801</v>
      </c>
      <c r="D1827">
        <v>3.8449253297247101</v>
      </c>
      <c r="E1827">
        <v>-0.81476538219585704</v>
      </c>
      <c r="F1827">
        <v>3.5350212534823798E-3</v>
      </c>
      <c r="G1827">
        <v>6.2502281750416902E-2</v>
      </c>
      <c r="H1827">
        <v>0.55847846088527497</v>
      </c>
      <c r="I1827">
        <v>-1.2991918170508101E-2</v>
      </c>
    </row>
    <row r="1828" spans="1:9" x14ac:dyDescent="0.25">
      <c r="A1828" s="1">
        <v>47.981887757778097</v>
      </c>
      <c r="B1828">
        <v>12.636292641936199</v>
      </c>
      <c r="C1828">
        <v>4.1870908097653903</v>
      </c>
      <c r="D1828">
        <v>3.4427244523237901</v>
      </c>
      <c r="E1828">
        <v>-0.81932423040967195</v>
      </c>
      <c r="F1828">
        <v>3.6703806847893199E-3</v>
      </c>
      <c r="G1828">
        <v>5.57966386146884E-2</v>
      </c>
      <c r="H1828">
        <v>0.54244800864274401</v>
      </c>
      <c r="I1828">
        <v>-1.20479809232428E-2</v>
      </c>
    </row>
    <row r="1829" spans="1:9" x14ac:dyDescent="0.25">
      <c r="A1829" s="1">
        <v>53.287820518016801</v>
      </c>
      <c r="B1829">
        <v>12.8961745437704</v>
      </c>
      <c r="C1829">
        <v>3.8572569336056999</v>
      </c>
      <c r="D1829">
        <v>3.0843639741999702</v>
      </c>
      <c r="E1829">
        <v>-0.82002081935808202</v>
      </c>
      <c r="F1829">
        <v>3.5436619194745898E-3</v>
      </c>
      <c r="G1829">
        <v>4.94681142800487E-2</v>
      </c>
      <c r="H1829">
        <v>0.52821663270824304</v>
      </c>
      <c r="I1829">
        <v>-1.08882371900958E-2</v>
      </c>
    </row>
    <row r="1830" spans="1:9" x14ac:dyDescent="0.25">
      <c r="A1830" s="1">
        <v>59.071175158023799</v>
      </c>
      <c r="B1830">
        <v>13.1414214802444</v>
      </c>
      <c r="C1830">
        <v>3.5573001343909798</v>
      </c>
      <c r="D1830">
        <v>2.7679096445223199</v>
      </c>
      <c r="E1830">
        <v>-0.81727126231771496</v>
      </c>
      <c r="F1830">
        <v>3.1096070974101098E-3</v>
      </c>
      <c r="G1830">
        <v>4.3618577689574903E-2</v>
      </c>
      <c r="H1830">
        <v>0.51567899027801201</v>
      </c>
      <c r="I1830">
        <v>-9.6654999729629907E-3</v>
      </c>
    </row>
    <row r="1831" spans="1:9" x14ac:dyDescent="0.25">
      <c r="A1831" s="1">
        <v>65.375131070613804</v>
      </c>
      <c r="B1831">
        <v>13.374963996606301</v>
      </c>
      <c r="C1831">
        <v>3.2862335323481902</v>
      </c>
      <c r="D1831">
        <v>2.4904481714775901</v>
      </c>
      <c r="E1831">
        <v>-0.81138726935208705</v>
      </c>
      <c r="F1831">
        <v>2.4611338542447798E-3</v>
      </c>
      <c r="G1831">
        <v>3.8300784155668503E-2</v>
      </c>
      <c r="H1831">
        <v>0.50444312443721395</v>
      </c>
      <c r="I1831">
        <v>-8.4796631292471895E-3</v>
      </c>
    </row>
    <row r="1832" spans="1:9" x14ac:dyDescent="0.25">
      <c r="A1832" s="1">
        <v>72.246375679969702</v>
      </c>
      <c r="B1832">
        <v>13.5992102592721</v>
      </c>
      <c r="C1832">
        <v>3.0417654718953</v>
      </c>
      <c r="D1832">
        <v>2.2482404635490698</v>
      </c>
      <c r="E1832">
        <v>-0.80261022114985203</v>
      </c>
      <c r="F1832">
        <v>1.7039717619856899E-3</v>
      </c>
      <c r="G1832">
        <v>3.3541430051607403E-2</v>
      </c>
      <c r="H1832">
        <v>0.494232468310071</v>
      </c>
      <c r="I1832">
        <v>-7.3923806731982702E-3</v>
      </c>
    </row>
    <row r="1833" spans="1:9" x14ac:dyDescent="0.25">
      <c r="A1833" s="1">
        <v>79.736069738864799</v>
      </c>
      <c r="B1833">
        <v>13.8161453078039</v>
      </c>
      <c r="C1833">
        <v>2.8208008302416099</v>
      </c>
      <c r="D1833">
        <v>2.0367828527472098</v>
      </c>
      <c r="E1833">
        <v>-0.79107950949834005</v>
      </c>
      <c r="F1833">
        <v>1.0296662872100299E-3</v>
      </c>
      <c r="G1833">
        <v>2.93040399781886E-2</v>
      </c>
      <c r="H1833">
        <v>0.48461240602938899</v>
      </c>
      <c r="I1833">
        <v>-6.4135831263217799E-3</v>
      </c>
    </row>
    <row r="1834" spans="1:9" x14ac:dyDescent="0.25">
      <c r="A1834" s="1">
        <v>87.899753153324099</v>
      </c>
      <c r="B1834">
        <v>14.0273556067146</v>
      </c>
      <c r="C1834">
        <v>2.61990942045776</v>
      </c>
      <c r="D1834">
        <v>1.85154822990519</v>
      </c>
      <c r="E1834">
        <v>-0.77683847307959297</v>
      </c>
      <c r="F1834">
        <v>6.4156266353219504E-4</v>
      </c>
      <c r="G1834">
        <v>2.5553325061593E-2</v>
      </c>
      <c r="H1834">
        <v>0.47547318133230299</v>
      </c>
      <c r="I1834">
        <v>-5.5520257264827701E-3</v>
      </c>
    </row>
    <row r="1835" spans="1:9" x14ac:dyDescent="0.25">
      <c r="A1835" s="1">
        <v>96.798263192176805</v>
      </c>
      <c r="B1835">
        <v>14.2340938204437</v>
      </c>
      <c r="C1835">
        <v>2.4359311670976398</v>
      </c>
      <c r="D1835">
        <v>1.68858895167318</v>
      </c>
      <c r="E1835">
        <v>-0.75996393412559105</v>
      </c>
      <c r="F1835">
        <v>7.0213290359666099E-4</v>
      </c>
      <c r="G1835">
        <v>2.22453112084364E-2</v>
      </c>
      <c r="H1835">
        <v>0.466582964071874</v>
      </c>
      <c r="I1835">
        <v>-4.7983403916240803E-3</v>
      </c>
    </row>
    <row r="1836" spans="1:9" x14ac:dyDescent="0.25">
      <c r="A1836" s="1">
        <v>106.497616767883</v>
      </c>
      <c r="B1836">
        <v>14.437416721368599</v>
      </c>
      <c r="C1836">
        <v>2.2657035625672601</v>
      </c>
      <c r="D1836">
        <v>1.5441547413232899</v>
      </c>
      <c r="E1836">
        <v>-0.74037344443112996</v>
      </c>
      <c r="F1836">
        <v>9.5935049150055898E-4</v>
      </c>
      <c r="G1836">
        <v>1.9340882983379101E-2</v>
      </c>
      <c r="H1836">
        <v>0.45789383029723402</v>
      </c>
      <c r="I1836">
        <v>-4.1456701827776504E-3</v>
      </c>
    </row>
    <row r="1837" spans="1:9" x14ac:dyDescent="0.25">
      <c r="A1837" s="1">
        <v>117.06990510225199</v>
      </c>
      <c r="B1837">
        <v>14.6384771995716</v>
      </c>
      <c r="C1837">
        <v>2.1054250166477799</v>
      </c>
      <c r="D1837">
        <v>1.4142095332461999</v>
      </c>
      <c r="E1837">
        <v>-0.71782957375013101</v>
      </c>
      <c r="F1837">
        <v>1.1672969561974699E-3</v>
      </c>
      <c r="G1837">
        <v>1.6798713723533601E-2</v>
      </c>
      <c r="H1837">
        <v>0.45003936783189302</v>
      </c>
      <c r="I1837">
        <v>-3.5820719871496802E-3</v>
      </c>
    </row>
    <row r="1838" spans="1:9" x14ac:dyDescent="0.25">
      <c r="A1838" s="1">
        <v>128.593670427799</v>
      </c>
      <c r="B1838">
        <v>14.838228074042499</v>
      </c>
      <c r="C1838">
        <v>1.95320031386316</v>
      </c>
      <c r="D1838">
        <v>1.2962167082309599</v>
      </c>
      <c r="E1838">
        <v>-0.69236563125756301</v>
      </c>
      <c r="F1838">
        <v>1.5139122721423901E-3</v>
      </c>
      <c r="G1838">
        <v>1.45448575190016E-2</v>
      </c>
      <c r="H1838">
        <v>0.44262839117696301</v>
      </c>
      <c r="I1838">
        <v>-3.0790107696700201E-3</v>
      </c>
    </row>
    <row r="1839" spans="1:9" x14ac:dyDescent="0.25">
      <c r="A1839" s="1">
        <v>141.15461230278001</v>
      </c>
      <c r="B1839">
        <v>15.037112844409799</v>
      </c>
      <c r="C1839">
        <v>1.80721979311609</v>
      </c>
      <c r="D1839">
        <v>1.1878017768017199</v>
      </c>
      <c r="E1839">
        <v>-0.66376211252365103</v>
      </c>
      <c r="F1839">
        <v>2.1788815175794699E-3</v>
      </c>
      <c r="G1839">
        <v>1.2530552561546201E-2</v>
      </c>
      <c r="H1839">
        <v>0.43543679061273999</v>
      </c>
      <c r="I1839">
        <v>-2.6275955344727199E-3</v>
      </c>
    </row>
    <row r="1840" spans="1:9" x14ac:dyDescent="0.25">
      <c r="A1840" s="1">
        <v>154.84601140022201</v>
      </c>
      <c r="B1840">
        <v>15.2349272605501</v>
      </c>
      <c r="C1840">
        <v>1.6660825372221899</v>
      </c>
      <c r="D1840">
        <v>1.0869781295216301</v>
      </c>
      <c r="E1840">
        <v>-0.63184567224892396</v>
      </c>
      <c r="F1840">
        <v>2.3009055489917802E-3</v>
      </c>
      <c r="G1840">
        <v>1.07209359781674E-2</v>
      </c>
      <c r="H1840">
        <v>0.42795800290107699</v>
      </c>
      <c r="I1840">
        <v>-2.2209564171222001E-3</v>
      </c>
    </row>
    <row r="1841" spans="1:9" x14ac:dyDescent="0.25">
      <c r="A1841" s="1">
        <v>169.76969480514501</v>
      </c>
      <c r="B1841">
        <v>15.431615950307201</v>
      </c>
      <c r="C1841">
        <v>1.5275511131906201</v>
      </c>
      <c r="D1841">
        <v>0.99140542321162495</v>
      </c>
      <c r="E1841">
        <v>-0.59615112842438001</v>
      </c>
      <c r="F1841">
        <v>1.91551551253222E-3</v>
      </c>
      <c r="G1841">
        <v>9.0997362629491995E-3</v>
      </c>
      <c r="H1841">
        <v>0.42047288671041899</v>
      </c>
      <c r="I1841">
        <v>-1.85616591275731E-3</v>
      </c>
    </row>
    <row r="1842" spans="1:9" x14ac:dyDescent="0.25">
      <c r="A1842" s="1">
        <v>186.03645980358101</v>
      </c>
      <c r="B1842">
        <v>15.627698680619099</v>
      </c>
      <c r="C1842">
        <v>1.3898074189402201</v>
      </c>
      <c r="D1842">
        <v>0.89927722778452601</v>
      </c>
      <c r="E1842">
        <v>-0.55619756037225798</v>
      </c>
      <c r="F1842">
        <v>1.75573618296299E-3</v>
      </c>
      <c r="G1842">
        <v>7.6482911136253901E-3</v>
      </c>
      <c r="H1842">
        <v>0.41353847789273002</v>
      </c>
      <c r="I1842">
        <v>-1.5321194176950901E-3</v>
      </c>
    </row>
    <row r="1843" spans="1:9" x14ac:dyDescent="0.25">
      <c r="A1843" s="1">
        <v>203.76720398664401</v>
      </c>
      <c r="B1843">
        <v>15.82271732525</v>
      </c>
      <c r="C1843">
        <v>1.25278721715319</v>
      </c>
      <c r="D1843">
        <v>0.80906300866346204</v>
      </c>
      <c r="E1843">
        <v>-0.51187628293619003</v>
      </c>
      <c r="F1843">
        <v>1.56675665507184E-3</v>
      </c>
      <c r="G1843">
        <v>6.3420745593449398E-3</v>
      </c>
      <c r="H1843">
        <v>0.40623243069464299</v>
      </c>
      <c r="I1843">
        <v>-1.2427994816228999E-3</v>
      </c>
    </row>
    <row r="1844" spans="1:9" x14ac:dyDescent="0.25">
      <c r="A1844" s="1">
        <v>223.09376105666101</v>
      </c>
      <c r="B1844">
        <v>16.015016988059902</v>
      </c>
      <c r="C1844">
        <v>1.11564283275627</v>
      </c>
      <c r="D1844">
        <v>0.71970371844101999</v>
      </c>
      <c r="E1844">
        <v>-0.46272780885626202</v>
      </c>
      <c r="F1844">
        <v>1.2735111576742399E-3</v>
      </c>
      <c r="G1844">
        <v>5.1558053119811703E-3</v>
      </c>
      <c r="H1844">
        <v>0.39881636163315498</v>
      </c>
      <c r="I1844">
        <v>-9.7815296106738511E-4</v>
      </c>
    </row>
    <row r="1845" spans="1:9" x14ac:dyDescent="0.25">
      <c r="A1845" s="1">
        <v>244.15970131754801</v>
      </c>
      <c r="B1845">
        <v>16.203198738536202</v>
      </c>
      <c r="C1845">
        <v>0.97746993593713305</v>
      </c>
      <c r="D1845">
        <v>0.62965528640976298</v>
      </c>
      <c r="E1845">
        <v>-0.40815142763967499</v>
      </c>
      <c r="F1845">
        <v>4.9714301699386803E-4</v>
      </c>
      <c r="G1845">
        <v>4.0898507548848499E-3</v>
      </c>
      <c r="H1845">
        <v>0.39194675038614701</v>
      </c>
      <c r="I1845">
        <v>-7.4221427979575996E-4</v>
      </c>
    </row>
    <row r="1846" spans="1:9" x14ac:dyDescent="0.25">
      <c r="A1846" s="1">
        <v>267.12157949805197</v>
      </c>
      <c r="B1846">
        <v>16.384416134422999</v>
      </c>
      <c r="C1846">
        <v>0.83916885061746105</v>
      </c>
      <c r="D1846">
        <v>0.53950402475565695</v>
      </c>
      <c r="E1846">
        <v>-0.34778172002511398</v>
      </c>
      <c r="F1846">
        <v>-5.0775180683242896E-4</v>
      </c>
      <c r="G1846">
        <v>3.15458495807866E-3</v>
      </c>
      <c r="H1846">
        <v>0.38606626630567498</v>
      </c>
      <c r="I1846">
        <v>-5.4290716154802997E-4</v>
      </c>
    </row>
    <row r="1847" spans="1:9" x14ac:dyDescent="0.25">
      <c r="A1847" s="1">
        <v>292.15002954006098</v>
      </c>
      <c r="B1847">
        <v>16.553892543679499</v>
      </c>
      <c r="C1847">
        <v>0.70117986709902402</v>
      </c>
      <c r="D1847">
        <v>0.44834714299525902</v>
      </c>
      <c r="E1847">
        <v>-0.281117190981997</v>
      </c>
      <c r="F1847">
        <v>-1.0775628423961099E-3</v>
      </c>
      <c r="G1847">
        <v>2.3552301015416399E-3</v>
      </c>
      <c r="H1847">
        <v>0.38242077892320397</v>
      </c>
      <c r="I1847">
        <v>-3.8162327736954898E-4</v>
      </c>
    </row>
    <row r="1848" spans="1:9" x14ac:dyDescent="0.25">
      <c r="A1848" s="1">
        <v>319.43101242184599</v>
      </c>
      <c r="B1848">
        <v>16.702114403015401</v>
      </c>
      <c r="C1848">
        <v>0.57079935751662503</v>
      </c>
      <c r="D1848">
        <v>0.36070381523009798</v>
      </c>
      <c r="E1848">
        <v>-0.20781829511557501</v>
      </c>
      <c r="F1848">
        <v>-8.2572342602895397E-4</v>
      </c>
      <c r="G1848">
        <v>1.70880763785649E-3</v>
      </c>
      <c r="H1848">
        <v>0.38234001671085599</v>
      </c>
      <c r="I1848">
        <v>-2.63024049035316E-4</v>
      </c>
    </row>
    <row r="1849" spans="1:9" x14ac:dyDescent="0.25">
      <c r="A1849" s="1">
        <v>349.16732590645501</v>
      </c>
      <c r="B1849">
        <v>16.8171004315376</v>
      </c>
      <c r="C1849">
        <v>0.46236551324972902</v>
      </c>
      <c r="D1849">
        <v>0.28572448583619497</v>
      </c>
      <c r="E1849">
        <v>-0.126582042573366</v>
      </c>
      <c r="F1849">
        <v>-9.8588833082420405E-4</v>
      </c>
      <c r="G1849">
        <v>1.26240314776463E-3</v>
      </c>
      <c r="H1849">
        <v>0.38699194548433002</v>
      </c>
      <c r="I1849">
        <v>-1.92571156999694E-4</v>
      </c>
    </row>
    <row r="1850" spans="1:9" x14ac:dyDescent="0.25">
      <c r="A1850" s="1">
        <v>379.83785875141598</v>
      </c>
      <c r="B1850">
        <v>16.877826970769402</v>
      </c>
      <c r="C1850">
        <v>0.40038018557306698</v>
      </c>
      <c r="D1850">
        <v>0.24196078978333099</v>
      </c>
      <c r="E1850">
        <v>-4.18660028182875E-2</v>
      </c>
      <c r="F1850">
        <v>-1.3254586456089199E-3</v>
      </c>
      <c r="G1850">
        <v>1.03002350297138E-3</v>
      </c>
      <c r="H1850">
        <v>0.40789573671339702</v>
      </c>
      <c r="I1850">
        <v>-1.5262097757934499E-4</v>
      </c>
    </row>
    <row r="1851" spans="1:9" x14ac:dyDescent="0.25">
      <c r="A1851" s="1" t="s">
        <v>548</v>
      </c>
      <c r="B1851" s="1" t="s">
        <v>614</v>
      </c>
      <c r="C1851" s="1" t="s">
        <v>615</v>
      </c>
      <c r="D1851" s="1" t="s">
        <v>616</v>
      </c>
      <c r="E1851" s="1" t="s">
        <v>617</v>
      </c>
      <c r="F1851" s="1" t="s">
        <v>618</v>
      </c>
      <c r="G1851" s="1" t="s">
        <v>400</v>
      </c>
      <c r="H1851" s="1" t="s">
        <v>619</v>
      </c>
      <c r="I1851" s="1" t="s">
        <v>613</v>
      </c>
    </row>
    <row r="1852" spans="1:9" x14ac:dyDescent="0.25">
      <c r="A1852" s="1">
        <v>-141.555516719818</v>
      </c>
      <c r="B1852">
        <v>-50.2739867514981</v>
      </c>
      <c r="C1852">
        <v>1.17156340295257E-2</v>
      </c>
      <c r="D1852">
        <v>0</v>
      </c>
      <c r="E1852">
        <v>0</v>
      </c>
      <c r="F1852">
        <v>0</v>
      </c>
      <c r="G1852" s="1">
        <v>1.04217141946527E-6</v>
      </c>
      <c r="H1852">
        <v>4.7505916712027703E-2</v>
      </c>
      <c r="I1852">
        <v>0</v>
      </c>
    </row>
    <row r="1853" spans="1:9" x14ac:dyDescent="0.25">
      <c r="A1853" s="1">
        <v>-128.95890593528699</v>
      </c>
      <c r="B1853">
        <v>-45.801863958598503</v>
      </c>
      <c r="C1853">
        <v>1.19767769674429E-2</v>
      </c>
      <c r="D1853">
        <v>0</v>
      </c>
      <c r="E1853">
        <v>0</v>
      </c>
      <c r="F1853">
        <v>0</v>
      </c>
      <c r="G1853" s="1">
        <v>1.47752796873401E-6</v>
      </c>
      <c r="H1853">
        <v>0.28997431093814102</v>
      </c>
      <c r="I1853">
        <v>0</v>
      </c>
    </row>
    <row r="1854" spans="1:9" x14ac:dyDescent="0.25">
      <c r="A1854" s="1">
        <v>-117.402367591857</v>
      </c>
      <c r="B1854">
        <v>-41.698724498511702</v>
      </c>
      <c r="C1854">
        <v>1.2520125065166201E-2</v>
      </c>
      <c r="D1854">
        <v>0</v>
      </c>
      <c r="E1854">
        <v>0</v>
      </c>
      <c r="F1854">
        <v>0</v>
      </c>
      <c r="G1854" s="1">
        <v>2.3079019825988901E-6</v>
      </c>
      <c r="H1854">
        <v>0.49393321553568398</v>
      </c>
      <c r="I1854">
        <v>0</v>
      </c>
    </row>
    <row r="1855" spans="1:9" x14ac:dyDescent="0.25">
      <c r="A1855" s="1">
        <v>-106.80001378059301</v>
      </c>
      <c r="B1855">
        <v>-37.934140849025397</v>
      </c>
      <c r="C1855">
        <v>1.3411925292094401E-2</v>
      </c>
      <c r="D1855">
        <v>0</v>
      </c>
      <c r="E1855">
        <v>0</v>
      </c>
      <c r="F1855">
        <v>0</v>
      </c>
      <c r="G1855" s="1">
        <v>3.5473828314369599E-6</v>
      </c>
      <c r="H1855">
        <v>0.61436621883583797</v>
      </c>
      <c r="I1855">
        <v>0</v>
      </c>
    </row>
    <row r="1856" spans="1:9" x14ac:dyDescent="0.25">
      <c r="A1856" s="1">
        <v>-97.073161005973802</v>
      </c>
      <c r="B1856">
        <v>-34.4802012643827</v>
      </c>
      <c r="C1856">
        <v>1.47353580002212E-2</v>
      </c>
      <c r="D1856">
        <v>0</v>
      </c>
      <c r="E1856">
        <v>0</v>
      </c>
      <c r="F1856">
        <v>0</v>
      </c>
      <c r="G1856" s="1">
        <v>5.2700420189610801E-6</v>
      </c>
      <c r="H1856">
        <v>0.68186024517552402</v>
      </c>
      <c r="I1856">
        <v>0</v>
      </c>
    </row>
    <row r="1857" spans="1:9" x14ac:dyDescent="0.25">
      <c r="A1857" s="1">
        <v>-88.149435520172105</v>
      </c>
      <c r="B1857">
        <v>-31.3112841076268</v>
      </c>
      <c r="C1857">
        <v>1.6579341890467201E-2</v>
      </c>
      <c r="D1857">
        <v>0</v>
      </c>
      <c r="E1857">
        <v>0</v>
      </c>
      <c r="F1857">
        <v>0</v>
      </c>
      <c r="G1857" s="1">
        <v>7.6112197365052404E-6</v>
      </c>
      <c r="H1857">
        <v>0.72021739972308996</v>
      </c>
      <c r="I1857">
        <v>0</v>
      </c>
    </row>
    <row r="1858" spans="1:9" x14ac:dyDescent="0.25">
      <c r="A1858" s="1">
        <v>-79.962490797042804</v>
      </c>
      <c r="B1858">
        <v>-28.403888599858998</v>
      </c>
      <c r="C1858">
        <v>1.90356324244805E-2</v>
      </c>
      <c r="D1858">
        <v>0</v>
      </c>
      <c r="E1858">
        <v>0</v>
      </c>
      <c r="F1858">
        <v>0</v>
      </c>
      <c r="G1858" s="1">
        <v>1.0771817605421601E-5</v>
      </c>
      <c r="H1858">
        <v>0.74266499420379295</v>
      </c>
      <c r="I1858">
        <v>0</v>
      </c>
    </row>
    <row r="1859" spans="1:9" x14ac:dyDescent="0.25">
      <c r="A1859" s="1">
        <v>-72.451583743095298</v>
      </c>
      <c r="B1859">
        <v>-25.7364384057982</v>
      </c>
      <c r="C1859">
        <v>2.2199358327848102E-2</v>
      </c>
      <c r="D1859">
        <v>0</v>
      </c>
      <c r="E1859">
        <v>0</v>
      </c>
      <c r="F1859">
        <v>0</v>
      </c>
      <c r="G1859" s="1">
        <v>1.50266987881053E-5</v>
      </c>
      <c r="H1859">
        <v>0.75633168964470499</v>
      </c>
      <c r="I1859">
        <v>0</v>
      </c>
    </row>
    <row r="1860" spans="1:9" x14ac:dyDescent="0.25">
      <c r="A1860" s="1">
        <v>-65.560821294784503</v>
      </c>
      <c r="B1860">
        <v>-23.289139546738401</v>
      </c>
      <c r="C1860">
        <v>2.61705282699463E-2</v>
      </c>
      <c r="D1860">
        <v>0</v>
      </c>
      <c r="E1860">
        <v>0</v>
      </c>
      <c r="F1860">
        <v>0</v>
      </c>
      <c r="G1860" s="1">
        <v>2.0738578523671301E-5</v>
      </c>
      <c r="H1860">
        <v>0.76512061865736003</v>
      </c>
      <c r="I1860">
        <v>0</v>
      </c>
    </row>
    <row r="1861" spans="1:9" x14ac:dyDescent="0.25">
      <c r="A1861" s="1">
        <v>-59.238972067832897</v>
      </c>
      <c r="B1861">
        <v>-21.0438320449604</v>
      </c>
      <c r="C1861">
        <v>3.1055477187180301E-2</v>
      </c>
      <c r="D1861">
        <v>0</v>
      </c>
      <c r="E1861">
        <v>0</v>
      </c>
      <c r="F1861">
        <v>0</v>
      </c>
      <c r="G1861" s="1">
        <v>2.8378994863800199E-5</v>
      </c>
      <c r="H1861">
        <v>0.771206904887349</v>
      </c>
      <c r="I1861">
        <v>0</v>
      </c>
    </row>
    <row r="1862" spans="1:9" x14ac:dyDescent="0.25">
      <c r="A1862" s="1">
        <v>-53.439136743545497</v>
      </c>
      <c r="B1862">
        <v>-18.983849926204801</v>
      </c>
      <c r="C1862">
        <v>3.69678901099448E-2</v>
      </c>
      <c r="D1862">
        <v>0</v>
      </c>
      <c r="E1862">
        <v>0</v>
      </c>
      <c r="F1862">
        <v>0</v>
      </c>
      <c r="G1862" s="1">
        <v>3.8558630300116197E-5</v>
      </c>
      <c r="H1862">
        <v>0.77582295745201602</v>
      </c>
      <c r="I1862">
        <v>0</v>
      </c>
    </row>
    <row r="1863" spans="1:9" x14ac:dyDescent="0.25">
      <c r="A1863" s="1">
        <v>-48.118183016777003</v>
      </c>
      <c r="B1863">
        <v>-17.093902117298398</v>
      </c>
      <c r="C1863">
        <v>4.4029562208839697E-2</v>
      </c>
      <c r="D1863">
        <v>0</v>
      </c>
      <c r="E1863">
        <v>0</v>
      </c>
      <c r="F1863">
        <v>0</v>
      </c>
      <c r="G1863" s="1">
        <v>5.2070698402246701E-5</v>
      </c>
      <c r="H1863">
        <v>0.779685763742203</v>
      </c>
      <c r="I1863">
        <v>0</v>
      </c>
    </row>
    <row r="1864" spans="1:9" x14ac:dyDescent="0.25">
      <c r="A1864" s="1">
        <v>-43.236604332923797</v>
      </c>
      <c r="B1864">
        <v>-15.359957522810801</v>
      </c>
      <c r="C1864">
        <v>5.2371118603144799E-2</v>
      </c>
      <c r="D1864">
        <v>0</v>
      </c>
      <c r="E1864">
        <v>0</v>
      </c>
      <c r="F1864">
        <v>0</v>
      </c>
      <c r="G1864" s="1">
        <v>6.9953154676909396E-5</v>
      </c>
      <c r="H1864">
        <v>0.78323537629929696</v>
      </c>
      <c r="I1864">
        <v>0</v>
      </c>
    </row>
    <row r="1865" spans="1:9" x14ac:dyDescent="0.25">
      <c r="A1865" s="1">
        <v>-38.758049011230398</v>
      </c>
      <c r="B1865">
        <v>-13.7691415940462</v>
      </c>
      <c r="C1865">
        <v>6.2133013598049798E-2</v>
      </c>
      <c r="D1865">
        <v>0</v>
      </c>
      <c r="E1865">
        <v>0</v>
      </c>
      <c r="F1865">
        <v>0</v>
      </c>
      <c r="G1865" s="1">
        <v>9.3578300765422297E-5</v>
      </c>
      <c r="H1865">
        <v>0.786768739503378</v>
      </c>
      <c r="I1865">
        <v>0</v>
      </c>
    </row>
    <row r="1866" spans="1:9" x14ac:dyDescent="0.25">
      <c r="A1866" s="1">
        <v>-34.649320244789102</v>
      </c>
      <c r="B1866">
        <v>-12.3096443903683</v>
      </c>
      <c r="C1866">
        <v>7.3467193844608605E-2</v>
      </c>
      <c r="D1866">
        <v>0</v>
      </c>
      <c r="E1866">
        <v>0</v>
      </c>
      <c r="F1866">
        <v>0</v>
      </c>
      <c r="G1866">
        <v>1.2478173603035699E-4</v>
      </c>
      <c r="H1866">
        <v>0.79051256724147401</v>
      </c>
      <c r="I1866">
        <v>0</v>
      </c>
    </row>
    <row r="1867" spans="1:9" x14ac:dyDescent="0.25">
      <c r="A1867" s="1">
        <v>-30.879811048507602</v>
      </c>
      <c r="B1867">
        <v>-10.9706255062534</v>
      </c>
      <c r="C1867">
        <v>8.6539720499182501E-2</v>
      </c>
      <c r="D1867">
        <v>0</v>
      </c>
      <c r="E1867">
        <v>0</v>
      </c>
      <c r="F1867">
        <v>0</v>
      </c>
      <c r="G1867">
        <v>1.6604635825736099E-4</v>
      </c>
      <c r="H1867">
        <v>0.79465865493584098</v>
      </c>
      <c r="I1867">
        <v>0</v>
      </c>
    </row>
    <row r="1868" spans="1:9" x14ac:dyDescent="0.25">
      <c r="A1868" s="1">
        <v>-27.4215984344482</v>
      </c>
      <c r="B1868">
        <v>-9.74214302776892</v>
      </c>
      <c r="C1868">
        <v>0.101534547100216</v>
      </c>
      <c r="D1868">
        <v>0</v>
      </c>
      <c r="E1868">
        <v>0</v>
      </c>
      <c r="F1868">
        <v>0</v>
      </c>
      <c r="G1868">
        <v>2.2076096542463099E-4</v>
      </c>
      <c r="H1868">
        <v>0.799374407345947</v>
      </c>
      <c r="I1868">
        <v>0</v>
      </c>
    </row>
    <row r="1869" spans="1:9" x14ac:dyDescent="0.25">
      <c r="A1869" s="1">
        <v>-24.248878359794599</v>
      </c>
      <c r="B1869">
        <v>-8.6150730862333305</v>
      </c>
      <c r="C1869">
        <v>0.11865860293616499</v>
      </c>
      <c r="D1869">
        <v>0</v>
      </c>
      <c r="E1869">
        <v>0</v>
      </c>
      <c r="F1869">
        <v>0</v>
      </c>
      <c r="G1869">
        <v>2.9357761012249701E-4</v>
      </c>
      <c r="H1869">
        <v>0.80479761788323501</v>
      </c>
      <c r="I1869">
        <v>0</v>
      </c>
    </row>
    <row r="1870" spans="1:9" x14ac:dyDescent="0.25">
      <c r="A1870" s="1">
        <v>-21.3381540775299</v>
      </c>
      <c r="B1870">
        <v>-7.5810461279987198</v>
      </c>
      <c r="C1870">
        <v>0.13814831603036101</v>
      </c>
      <c r="D1870">
        <v>0</v>
      </c>
      <c r="E1870">
        <v>0</v>
      </c>
      <c r="F1870">
        <v>0</v>
      </c>
      <c r="G1870">
        <v>3.9089595700772799E-4</v>
      </c>
      <c r="H1870">
        <v>0.811022591592784</v>
      </c>
      <c r="I1870">
        <v>0</v>
      </c>
    </row>
    <row r="1871" spans="1:9" x14ac:dyDescent="0.25">
      <c r="A1871" s="1">
        <v>-18.6677181720733</v>
      </c>
      <c r="B1871">
        <v>-6.6323810947178696</v>
      </c>
      <c r="C1871">
        <v>0.16027713312769301</v>
      </c>
      <c r="D1871">
        <v>0</v>
      </c>
      <c r="E1871">
        <v>0</v>
      </c>
      <c r="F1871">
        <v>0</v>
      </c>
      <c r="G1871">
        <v>5.2150977483705603E-4</v>
      </c>
      <c r="H1871">
        <v>0.81808585299629999</v>
      </c>
      <c r="I1871">
        <v>0</v>
      </c>
    </row>
    <row r="1872" spans="1:9" x14ac:dyDescent="0.25">
      <c r="A1872" s="1">
        <v>-16.2178409099578</v>
      </c>
      <c r="B1872">
        <v>-5.7620321407033899</v>
      </c>
      <c r="C1872">
        <v>0.18536404115393501</v>
      </c>
      <c r="D1872">
        <v>0</v>
      </c>
      <c r="E1872">
        <v>0</v>
      </c>
      <c r="F1872">
        <v>0</v>
      </c>
      <c r="G1872">
        <v>6.9746020703860198E-4</v>
      </c>
      <c r="H1872">
        <v>0.82595801236098798</v>
      </c>
      <c r="I1872">
        <v>0</v>
      </c>
    </row>
    <row r="1873" spans="1:9" x14ac:dyDescent="0.25">
      <c r="A1873" s="1">
        <v>-13.9702051877975</v>
      </c>
      <c r="B1873">
        <v>-4.9635358726656804</v>
      </c>
      <c r="C1873">
        <v>0.21378245528561099</v>
      </c>
      <c r="D1873">
        <v>0</v>
      </c>
      <c r="E1873">
        <v>0</v>
      </c>
      <c r="F1873">
        <v>0</v>
      </c>
      <c r="G1873">
        <v>9.3515530901640905E-4</v>
      </c>
      <c r="H1873">
        <v>0.83454623079274404</v>
      </c>
      <c r="I1873">
        <v>0</v>
      </c>
    </row>
    <row r="1874" spans="1:9" x14ac:dyDescent="0.25">
      <c r="A1874" s="1">
        <v>-11.908189058303799</v>
      </c>
      <c r="B1874">
        <v>-4.2309606789662304</v>
      </c>
      <c r="C1874">
        <v>0.245969339504579</v>
      </c>
      <c r="D1874">
        <v>0</v>
      </c>
      <c r="E1874">
        <v>0</v>
      </c>
      <c r="F1874">
        <v>0</v>
      </c>
      <c r="G1874">
        <v>1.2568362745423601E-3</v>
      </c>
      <c r="H1874">
        <v>0.84370728299727005</v>
      </c>
      <c r="I1874">
        <v>0</v>
      </c>
    </row>
    <row r="1875" spans="1:9" x14ac:dyDescent="0.25">
      <c r="A1875" s="1">
        <v>-10.016394853591899</v>
      </c>
      <c r="B1875">
        <v>-3.5588649393110399</v>
      </c>
      <c r="C1875">
        <v>0.28243381747456298</v>
      </c>
      <c r="D1875">
        <v>0</v>
      </c>
      <c r="E1875">
        <v>0</v>
      </c>
      <c r="F1875">
        <v>0</v>
      </c>
      <c r="G1875">
        <v>1.6925028730588501E-3</v>
      </c>
      <c r="H1875">
        <v>0.85326754659179305</v>
      </c>
      <c r="I1875">
        <v>0</v>
      </c>
    </row>
    <row r="1876" spans="1:9" x14ac:dyDescent="0.25">
      <c r="A1876" s="1">
        <v>-8.2808375358581507</v>
      </c>
      <c r="B1876">
        <v>-2.9422557568228598</v>
      </c>
      <c r="C1876">
        <v>0.32376552410781101</v>
      </c>
      <c r="D1876">
        <v>0</v>
      </c>
      <c r="E1876">
        <v>0</v>
      </c>
      <c r="F1876">
        <v>0</v>
      </c>
      <c r="G1876">
        <v>2.2824490427114999E-3</v>
      </c>
      <c r="H1876">
        <v>0.86304440190625598</v>
      </c>
      <c r="I1876">
        <v>0</v>
      </c>
    </row>
    <row r="1877" spans="1:9" x14ac:dyDescent="0.25">
      <c r="A1877" s="1">
        <v>-6.6885209083557102</v>
      </c>
      <c r="B1877">
        <v>-2.3765534362806799</v>
      </c>
      <c r="C1877">
        <v>0.37064227756100399</v>
      </c>
      <c r="D1877">
        <v>0</v>
      </c>
      <c r="E1877">
        <v>0</v>
      </c>
      <c r="F1877">
        <v>0</v>
      </c>
      <c r="G1877">
        <v>3.0806026719437801E-3</v>
      </c>
      <c r="H1877">
        <v>0.87286362976696796</v>
      </c>
      <c r="I1877">
        <v>0</v>
      </c>
    </row>
    <row r="1878" spans="1:9" x14ac:dyDescent="0.25">
      <c r="A1878" s="1">
        <v>-5.2277201414108196</v>
      </c>
      <c r="B1878">
        <v>-1.8575549176013799</v>
      </c>
      <c r="C1878">
        <v>0.42383728626172401</v>
      </c>
      <c r="D1878">
        <v>0</v>
      </c>
      <c r="E1878">
        <v>0</v>
      </c>
      <c r="F1878">
        <v>0</v>
      </c>
      <c r="G1878">
        <v>4.1589136356060402E-3</v>
      </c>
      <c r="H1878">
        <v>0.882570830314516</v>
      </c>
      <c r="I1878">
        <v>0</v>
      </c>
    </row>
    <row r="1879" spans="1:9" x14ac:dyDescent="0.25">
      <c r="A1879" s="1">
        <v>-3.88755798339843</v>
      </c>
      <c r="B1879">
        <v>-1.38140556738291</v>
      </c>
      <c r="C1879">
        <v>0.484225980382677</v>
      </c>
      <c r="D1879">
        <v>0</v>
      </c>
      <c r="E1879">
        <v>0</v>
      </c>
      <c r="F1879">
        <v>0</v>
      </c>
      <c r="G1879">
        <v>5.6130444081827604E-3</v>
      </c>
      <c r="H1879">
        <v>0.89203578626326996</v>
      </c>
      <c r="I1879">
        <v>0</v>
      </c>
    </row>
    <row r="1880" spans="1:9" x14ac:dyDescent="0.25">
      <c r="A1880" s="1">
        <v>-2.6580518484115601</v>
      </c>
      <c r="B1880">
        <v>-0.94456731379543002</v>
      </c>
      <c r="C1880">
        <v>0.55279255718086295</v>
      </c>
      <c r="D1880">
        <v>0</v>
      </c>
      <c r="E1880">
        <v>0</v>
      </c>
      <c r="F1880">
        <v>0</v>
      </c>
      <c r="G1880">
        <v>7.5695889197140804E-3</v>
      </c>
      <c r="H1880">
        <v>0.90115185363297001</v>
      </c>
      <c r="I1880">
        <v>0</v>
      </c>
    </row>
    <row r="1881" spans="1:9" x14ac:dyDescent="0.25">
      <c r="A1881" s="1">
        <v>-1.5300196409225399</v>
      </c>
      <c r="B1881">
        <v>-0.543795139533919</v>
      </c>
      <c r="C1881">
        <v>0.630635775232253</v>
      </c>
      <c r="D1881">
        <v>0</v>
      </c>
      <c r="E1881">
        <v>0</v>
      </c>
      <c r="F1881">
        <v>0</v>
      </c>
      <c r="G1881">
        <v>1.01946496652908E-2</v>
      </c>
      <c r="H1881">
        <v>0.90983059475523897</v>
      </c>
      <c r="I1881">
        <v>0</v>
      </c>
    </row>
    <row r="1882" spans="1:9" x14ac:dyDescent="0.25">
      <c r="A1882" s="1">
        <v>-0.49517393112182601</v>
      </c>
      <c r="B1882">
        <v>-0.17611148525540299</v>
      </c>
      <c r="C1882">
        <v>0.718973389525003</v>
      </c>
      <c r="D1882">
        <v>0</v>
      </c>
      <c r="E1882">
        <v>0</v>
      </c>
      <c r="F1882">
        <v>0</v>
      </c>
      <c r="G1882">
        <v>1.3889740921949801E-2</v>
      </c>
      <c r="H1882">
        <v>0.91909768968346695</v>
      </c>
      <c r="I1882">
        <v>0</v>
      </c>
    </row>
    <row r="1883" spans="1:9" x14ac:dyDescent="0.25">
      <c r="A1883" s="1">
        <v>0.49376130104064903</v>
      </c>
      <c r="B1883">
        <v>0.350671783969285</v>
      </c>
      <c r="C1883">
        <v>0.884330474839091</v>
      </c>
      <c r="D1883">
        <v>0.13621242788051999</v>
      </c>
      <c r="E1883">
        <v>-2.1542342578895199E-4</v>
      </c>
      <c r="F1883" s="1">
        <v>2.0042529764802598E-5</v>
      </c>
      <c r="G1883">
        <v>6.7478837724003496E-2</v>
      </c>
      <c r="H1883">
        <v>0.97734293462524102</v>
      </c>
      <c r="I1883" s="1">
        <v>8.9184933276665004E-7</v>
      </c>
    </row>
    <row r="1884" spans="1:9" x14ac:dyDescent="0.25">
      <c r="A1884" s="1">
        <v>1.5257111191749499</v>
      </c>
      <c r="B1884">
        <v>1.0830411604088801</v>
      </c>
      <c r="C1884">
        <v>1.2040742993440501</v>
      </c>
      <c r="D1884">
        <v>0.54804250617996597</v>
      </c>
      <c r="E1884">
        <v>-2.48387548301413E-3</v>
      </c>
      <c r="F1884">
        <v>1.23234583532268E-4</v>
      </c>
      <c r="G1884">
        <v>7.8956789514142894E-2</v>
      </c>
      <c r="H1884">
        <v>0.97017340417361297</v>
      </c>
      <c r="I1884" s="1">
        <v>2.5550816922294301E-5</v>
      </c>
    </row>
    <row r="1885" spans="1:9" x14ac:dyDescent="0.25">
      <c r="A1885" s="1">
        <v>2.6505178213119498</v>
      </c>
      <c r="B1885">
        <v>1.87641615697137</v>
      </c>
      <c r="C1885">
        <v>1.68180065062703</v>
      </c>
      <c r="D1885">
        <v>1.19514071851588</v>
      </c>
      <c r="E1885">
        <v>-1.1325356976077099E-2</v>
      </c>
      <c r="F1885">
        <v>3.2377338276572202E-4</v>
      </c>
      <c r="G1885">
        <v>8.8337758911641806E-2</v>
      </c>
      <c r="H1885">
        <v>0.958683052035326</v>
      </c>
      <c r="I1885">
        <v>1.2455211646502501E-4</v>
      </c>
    </row>
    <row r="1886" spans="1:9" x14ac:dyDescent="0.25">
      <c r="A1886" s="1">
        <v>3.8765159249305698</v>
      </c>
      <c r="B1886">
        <v>2.7275091171795598</v>
      </c>
      <c r="C1886">
        <v>2.3485246362440102</v>
      </c>
      <c r="D1886">
        <v>2.1093702963042</v>
      </c>
      <c r="E1886">
        <v>-3.1771390784041502E-2</v>
      </c>
      <c r="F1886">
        <v>6.1873605074733997E-4</v>
      </c>
      <c r="G1886">
        <v>9.4586803937912897E-2</v>
      </c>
      <c r="H1886">
        <v>0.94147981600123798</v>
      </c>
      <c r="I1886">
        <v>2.9390482121741199E-4</v>
      </c>
    </row>
    <row r="1887" spans="1:9" x14ac:dyDescent="0.25">
      <c r="A1887" s="1">
        <v>5.2129346132278398</v>
      </c>
      <c r="B1887">
        <v>3.6260710826179801</v>
      </c>
      <c r="C1887">
        <v>3.2021739231255899</v>
      </c>
      <c r="D1887">
        <v>3.2633085845605199</v>
      </c>
      <c r="E1887">
        <v>-6.90709606372613E-2</v>
      </c>
      <c r="F1887">
        <v>9.6936790036688701E-4</v>
      </c>
      <c r="G1887">
        <v>9.6448260437573596E-2</v>
      </c>
      <c r="H1887">
        <v>0.916482813630631</v>
      </c>
      <c r="I1887">
        <v>5.6516615412873698E-4</v>
      </c>
    </row>
    <row r="1888" spans="1:9" x14ac:dyDescent="0.25">
      <c r="A1888" s="1">
        <v>6.6695916652679399</v>
      </c>
      <c r="B1888">
        <v>4.5534147831094502</v>
      </c>
      <c r="C1888">
        <v>4.1842752409144603</v>
      </c>
      <c r="D1888">
        <v>4.5411794469391502</v>
      </c>
      <c r="E1888">
        <v>-0.12606307616749199</v>
      </c>
      <c r="F1888">
        <v>1.29766444109242E-3</v>
      </c>
      <c r="G1888">
        <v>9.5033227196001296E-2</v>
      </c>
      <c r="H1888">
        <v>0.88305133493082599</v>
      </c>
      <c r="I1888">
        <v>1.30815236913476E-3</v>
      </c>
    </row>
    <row r="1889" spans="1:9" x14ac:dyDescent="0.25">
      <c r="A1889" s="1">
        <v>8.2573878765106201</v>
      </c>
      <c r="B1889">
        <v>5.4835117302085399</v>
      </c>
      <c r="C1889">
        <v>5.17979629235258</v>
      </c>
      <c r="D1889">
        <v>5.7579955170150603</v>
      </c>
      <c r="E1889">
        <v>-0.20104912378586301</v>
      </c>
      <c r="F1889">
        <v>1.5117429395395301E-3</v>
      </c>
      <c r="G1889">
        <v>9.3627700002367406E-2</v>
      </c>
      <c r="H1889">
        <v>0.84479925745055096</v>
      </c>
      <c r="I1889">
        <v>3.53139039661899E-3</v>
      </c>
    </row>
    <row r="1890" spans="1:9" x14ac:dyDescent="0.25">
      <c r="A1890" s="1">
        <v>9.9880245327949506</v>
      </c>
      <c r="B1890">
        <v>6.3874241771591</v>
      </c>
      <c r="C1890">
        <v>6.0535182388339104</v>
      </c>
      <c r="D1890">
        <v>6.7312016680446902</v>
      </c>
      <c r="E1890">
        <v>-0.28771415601609202</v>
      </c>
      <c r="F1890">
        <v>1.5387062419827001E-3</v>
      </c>
      <c r="G1890">
        <v>9.5055546701627205E-2</v>
      </c>
      <c r="H1890">
        <v>0.808669947009381</v>
      </c>
      <c r="I1890">
        <v>7.5152037571088797E-3</v>
      </c>
    </row>
    <row r="1891" spans="1:9" x14ac:dyDescent="0.25">
      <c r="A1891" s="1">
        <v>11.874474287032999</v>
      </c>
      <c r="B1891">
        <v>7.2397884115525599</v>
      </c>
      <c r="C1891">
        <v>6.7026522155762498</v>
      </c>
      <c r="D1891">
        <v>7.3538078948523404</v>
      </c>
      <c r="E1891">
        <v>-0.37767437560969402</v>
      </c>
      <c r="F1891">
        <v>1.3720076566215999E-3</v>
      </c>
      <c r="G1891">
        <v>9.9177462426114193E-2</v>
      </c>
      <c r="H1891">
        <v>0.77857376092223196</v>
      </c>
      <c r="I1891">
        <v>1.06539150139451E-2</v>
      </c>
    </row>
    <row r="1892" spans="1:9" x14ac:dyDescent="0.25">
      <c r="A1892" s="1">
        <v>13.9306750893592</v>
      </c>
      <c r="B1892">
        <v>8.0238304573060102</v>
      </c>
      <c r="C1892">
        <v>7.0862957900488599</v>
      </c>
      <c r="D1892">
        <v>7.6149549363342501</v>
      </c>
      <c r="E1892">
        <v>-0.46361596215573198</v>
      </c>
      <c r="F1892">
        <v>1.08314673874036E-3</v>
      </c>
      <c r="G1892">
        <v>0.10356789646162699</v>
      </c>
      <c r="H1892">
        <v>0.75328310240308805</v>
      </c>
      <c r="I1892">
        <v>1.0126070955762101E-2</v>
      </c>
    </row>
    <row r="1893" spans="1:9" x14ac:dyDescent="0.25">
      <c r="A1893" s="1">
        <v>16.171883344650201</v>
      </c>
      <c r="B1893">
        <v>8.7324571934477504</v>
      </c>
      <c r="C1893">
        <v>7.2186584286274504</v>
      </c>
      <c r="D1893">
        <v>7.5703933192941104</v>
      </c>
      <c r="E1893">
        <v>-0.54085676277799899</v>
      </c>
      <c r="F1893">
        <v>7.9389836398245E-4</v>
      </c>
      <c r="G1893">
        <v>0.10589849117194899</v>
      </c>
      <c r="H1893">
        <v>0.73011941381679102</v>
      </c>
      <c r="I1893">
        <v>6.1277661076952197E-3</v>
      </c>
    </row>
    <row r="1894" spans="1:9" x14ac:dyDescent="0.25">
      <c r="A1894" s="1">
        <v>18.614838719367899</v>
      </c>
      <c r="B1894">
        <v>9.3661899540522207</v>
      </c>
      <c r="C1894">
        <v>7.1446925192814099</v>
      </c>
      <c r="D1894">
        <v>7.30102357247823</v>
      </c>
      <c r="E1894">
        <v>-0.60727761050564999</v>
      </c>
      <c r="F1894">
        <v>6.3108142186013604E-4</v>
      </c>
      <c r="G1894">
        <v>0.105231406607617</v>
      </c>
      <c r="H1894">
        <v>0.70738273826533404</v>
      </c>
      <c r="I1894">
        <v>6.9889568370431099E-4</v>
      </c>
    </row>
    <row r="1895" spans="1:9" x14ac:dyDescent="0.25">
      <c r="A1895" s="1">
        <v>21.2777170538902</v>
      </c>
      <c r="B1895">
        <v>9.9301459621586901</v>
      </c>
      <c r="C1895">
        <v>6.91826527346785</v>
      </c>
      <c r="D1895">
        <v>6.8849583211227898</v>
      </c>
      <c r="E1895">
        <v>-0.66255129890347897</v>
      </c>
      <c r="F1895">
        <v>6.8541090752982799E-4</v>
      </c>
      <c r="G1895">
        <v>0.10185333868591299</v>
      </c>
      <c r="H1895">
        <v>0.68449506975197305</v>
      </c>
      <c r="I1895">
        <v>-4.4225325611277301E-3</v>
      </c>
    </row>
    <row r="1896" spans="1:9" x14ac:dyDescent="0.25">
      <c r="A1896" s="1">
        <v>24.180224537849401</v>
      </c>
      <c r="B1896">
        <v>10.4315737464414</v>
      </c>
      <c r="C1896">
        <v>6.5896597750599</v>
      </c>
      <c r="D1896">
        <v>6.3857274215087498</v>
      </c>
      <c r="E1896">
        <v>-0.70735302959531599</v>
      </c>
      <c r="F1896">
        <v>9.9000054743456902E-4</v>
      </c>
      <c r="G1896">
        <v>9.6579757557592599E-2</v>
      </c>
      <c r="H1896">
        <v>0.661499792790324</v>
      </c>
      <c r="I1896">
        <v>-8.4460382448141701E-3</v>
      </c>
    </row>
    <row r="1897" spans="1:9" x14ac:dyDescent="0.25">
      <c r="A1897" s="1">
        <v>27.343950867652801</v>
      </c>
      <c r="B1897">
        <v>10.8783445111424</v>
      </c>
      <c r="C1897">
        <v>6.2006225549734602</v>
      </c>
      <c r="D1897">
        <v>5.8504708874777398</v>
      </c>
      <c r="E1897">
        <v>-0.74279297891297102</v>
      </c>
      <c r="F1897">
        <v>1.4710287909411701E-3</v>
      </c>
      <c r="G1897">
        <v>9.0205964219285298E-2</v>
      </c>
      <c r="H1897">
        <v>0.63871860543472203</v>
      </c>
      <c r="I1897">
        <v>-1.12284368419858E-2</v>
      </c>
    </row>
    <row r="1898" spans="1:9" x14ac:dyDescent="0.25">
      <c r="A1898" s="1">
        <v>30.7923927903175</v>
      </c>
      <c r="B1898">
        <v>11.2782114028879</v>
      </c>
      <c r="C1898">
        <v>5.7834559708019597</v>
      </c>
      <c r="D1898">
        <v>5.3122300280448798</v>
      </c>
      <c r="E1898">
        <v>-0.77008932523208196</v>
      </c>
      <c r="F1898">
        <v>2.0368842834154401E-3</v>
      </c>
      <c r="G1898">
        <v>8.3298965601067601E-2</v>
      </c>
      <c r="H1898">
        <v>0.61657657087104301</v>
      </c>
      <c r="I1898">
        <v>-1.2886461774916E-2</v>
      </c>
    </row>
    <row r="1899" spans="1:9" x14ac:dyDescent="0.25">
      <c r="A1899" s="1">
        <v>34.551213085651298</v>
      </c>
      <c r="B1899">
        <v>11.638433397928701</v>
      </c>
      <c r="C1899">
        <v>5.3617421284822004</v>
      </c>
      <c r="D1899">
        <v>4.7929233382649103</v>
      </c>
      <c r="E1899">
        <v>-0.79041287149321104</v>
      </c>
      <c r="F1899">
        <v>2.63743809799564E-3</v>
      </c>
      <c r="G1899">
        <v>7.6201286978557103E-2</v>
      </c>
      <c r="H1899">
        <v>0.59550188199814202</v>
      </c>
      <c r="I1899">
        <v>-1.36074054554557E-2</v>
      </c>
    </row>
    <row r="1900" spans="1:9" x14ac:dyDescent="0.25">
      <c r="A1900" s="1">
        <v>38.6483111977577</v>
      </c>
      <c r="B1900">
        <v>11.9655877681397</v>
      </c>
      <c r="C1900">
        <v>4.9515829915829803</v>
      </c>
      <c r="D1900">
        <v>4.3061141220624197</v>
      </c>
      <c r="E1900">
        <v>-0.80478358720171606</v>
      </c>
      <c r="F1900">
        <v>3.1400339057828402E-3</v>
      </c>
      <c r="G1900">
        <v>6.9124707896189394E-2</v>
      </c>
      <c r="H1900">
        <v>0.57591247244523303</v>
      </c>
      <c r="I1900">
        <v>-1.35868418289289E-2</v>
      </c>
    </row>
    <row r="1901" spans="1:9" x14ac:dyDescent="0.25">
      <c r="A1901" s="1">
        <v>43.1141293048858</v>
      </c>
      <c r="B1901">
        <v>12.2655220221676</v>
      </c>
      <c r="C1901">
        <v>4.5631498025782902</v>
      </c>
      <c r="D1901">
        <v>3.85945526436277</v>
      </c>
      <c r="E1901">
        <v>-0.81403985493336495</v>
      </c>
      <c r="F1901">
        <v>3.4958943601329099E-3</v>
      </c>
      <c r="G1901">
        <v>6.2211793716742202E-2</v>
      </c>
      <c r="H1901">
        <v>0.55809706976448403</v>
      </c>
      <c r="I1901">
        <v>-1.3010284755348701E-2</v>
      </c>
    </row>
    <row r="1902" spans="1:9" x14ac:dyDescent="0.25">
      <c r="A1902" s="1">
        <v>47.981887757778097</v>
      </c>
      <c r="B1902">
        <v>12.543258832483099</v>
      </c>
      <c r="C1902">
        <v>4.2022290704998699</v>
      </c>
      <c r="D1902">
        <v>3.4564558817447701</v>
      </c>
      <c r="E1902">
        <v>-0.81888282410741797</v>
      </c>
      <c r="F1902">
        <v>3.6477466629325E-3</v>
      </c>
      <c r="G1902">
        <v>5.5562171537458002E-2</v>
      </c>
      <c r="H1902">
        <v>0.542083749769951</v>
      </c>
      <c r="I1902">
        <v>-1.2056842484273E-2</v>
      </c>
    </row>
    <row r="1903" spans="1:9" x14ac:dyDescent="0.25">
      <c r="A1903" s="1">
        <v>53.287820518016801</v>
      </c>
      <c r="B1903">
        <v>12.8030023039267</v>
      </c>
      <c r="C1903">
        <v>3.8711530821062401</v>
      </c>
      <c r="D1903">
        <v>3.09731978661938</v>
      </c>
      <c r="E1903">
        <v>-0.81984439709248302</v>
      </c>
      <c r="F1903">
        <v>3.5409181970208299E-3</v>
      </c>
      <c r="G1903">
        <v>4.9279772547749699E-2</v>
      </c>
      <c r="H1903">
        <v>0.52786572639163098</v>
      </c>
      <c r="I1903">
        <v>-1.08894157163119E-2</v>
      </c>
    </row>
    <row r="1904" spans="1:9" x14ac:dyDescent="0.25">
      <c r="A1904" s="1">
        <v>59.071175158023799</v>
      </c>
      <c r="B1904">
        <v>13.048271702690499</v>
      </c>
      <c r="C1904">
        <v>3.5700440170619898</v>
      </c>
      <c r="D1904">
        <v>2.78007706939295</v>
      </c>
      <c r="E1904">
        <v>-0.81733230344691898</v>
      </c>
      <c r="F1904">
        <v>3.1283583903339999E-3</v>
      </c>
      <c r="G1904">
        <v>4.34673128974674E-2</v>
      </c>
      <c r="H1904">
        <v>0.51533971916683896</v>
      </c>
      <c r="I1904">
        <v>-9.6606538238927907E-3</v>
      </c>
    </row>
    <row r="1905" spans="1:9" x14ac:dyDescent="0.25">
      <c r="A1905" s="1">
        <v>65.375131070613804</v>
      </c>
      <c r="B1905">
        <v>13.281965186534901</v>
      </c>
      <c r="C1905">
        <v>3.297883520739</v>
      </c>
      <c r="D1905">
        <v>2.5018533087301398</v>
      </c>
      <c r="E1905">
        <v>-0.81165270888433905</v>
      </c>
      <c r="F1905">
        <v>2.5008528342848101E-3</v>
      </c>
      <c r="G1905">
        <v>3.8178753454966401E-2</v>
      </c>
      <c r="H1905">
        <v>0.50411345718495004</v>
      </c>
      <c r="I1905">
        <v>-8.4703314632805608E-3</v>
      </c>
    </row>
    <row r="1906" spans="1:9" x14ac:dyDescent="0.25">
      <c r="A1906" s="1">
        <v>72.246375679969702</v>
      </c>
      <c r="B1906">
        <v>13.506467937207301</v>
      </c>
      <c r="C1906">
        <v>3.0523616249123302</v>
      </c>
      <c r="D1906">
        <v>2.2588813243578101</v>
      </c>
      <c r="E1906">
        <v>-0.80304470594238297</v>
      </c>
      <c r="F1906">
        <v>1.7599319780658999E-3</v>
      </c>
      <c r="G1906">
        <v>3.3442450454886002E-2</v>
      </c>
      <c r="H1906">
        <v>0.49391644191893103</v>
      </c>
      <c r="I1906">
        <v>-7.3802885302292204E-3</v>
      </c>
    </row>
    <row r="1907" spans="1:9" x14ac:dyDescent="0.25">
      <c r="A1907" s="1">
        <v>79.736069738864799</v>
      </c>
      <c r="B1907">
        <v>13.723746188631701</v>
      </c>
      <c r="C1907">
        <v>2.8303769118202702</v>
      </c>
      <c r="D1907">
        <v>2.04668379195255</v>
      </c>
      <c r="E1907">
        <v>-0.79165002208978497</v>
      </c>
      <c r="F1907">
        <v>1.08933839757803E-3</v>
      </c>
      <c r="G1907">
        <v>2.92228108513722E-2</v>
      </c>
      <c r="H1907">
        <v>0.484309582025924</v>
      </c>
      <c r="I1907">
        <v>-6.4000040784927903E-3</v>
      </c>
    </row>
    <row r="1908" spans="1:9" x14ac:dyDescent="0.25">
      <c r="A1908" s="1">
        <v>87.899753153324099</v>
      </c>
      <c r="B1908">
        <v>13.9353764801235</v>
      </c>
      <c r="C1908">
        <v>2.6285026281540098</v>
      </c>
      <c r="D1908">
        <v>1.86071422620195</v>
      </c>
      <c r="E1908">
        <v>-0.77751623607065401</v>
      </c>
      <c r="F1908">
        <v>6.9667382330600896E-4</v>
      </c>
      <c r="G1908">
        <v>2.54855165724544E-2</v>
      </c>
      <c r="H1908">
        <v>0.47518476878648802</v>
      </c>
      <c r="I1908">
        <v>-5.5378172786248198E-3</v>
      </c>
    </row>
    <row r="1909" spans="1:9" x14ac:dyDescent="0.25">
      <c r="A1909" s="1">
        <v>96.798263192176805</v>
      </c>
      <c r="B1909">
        <v>14.142598939029901</v>
      </c>
      <c r="C1909">
        <v>2.4435904300043099</v>
      </c>
      <c r="D1909">
        <v>1.69707382789628</v>
      </c>
      <c r="E1909">
        <v>-0.76072416176740698</v>
      </c>
      <c r="F1909">
        <v>7.5629268409394901E-4</v>
      </c>
      <c r="G1909">
        <v>2.21875395416486E-2</v>
      </c>
      <c r="H1909">
        <v>0.46630959042489301</v>
      </c>
      <c r="I1909">
        <v>-4.7841362719607001E-3</v>
      </c>
    </row>
    <row r="1910" spans="1:9" x14ac:dyDescent="0.25">
      <c r="A1910" s="1">
        <v>106.497616767883</v>
      </c>
      <c r="B1910">
        <v>14.3464677258343</v>
      </c>
      <c r="C1910">
        <v>2.27248152953279</v>
      </c>
      <c r="D1910">
        <v>1.5520306431694</v>
      </c>
      <c r="E1910">
        <v>-0.74119370708037102</v>
      </c>
      <c r="F1910">
        <v>1.01043585334541E-3</v>
      </c>
      <c r="G1910">
        <v>1.92908418320402E-2</v>
      </c>
      <c r="H1910">
        <v>0.45764584133165798</v>
      </c>
      <c r="I1910">
        <v>-4.1319875354597097E-3</v>
      </c>
    </row>
    <row r="1911" spans="1:9" x14ac:dyDescent="0.25">
      <c r="A1911" s="1">
        <v>117.06990510225199</v>
      </c>
      <c r="B1911">
        <v>14.548137297755501</v>
      </c>
      <c r="C1911">
        <v>2.1113711890350899</v>
      </c>
      <c r="D1911">
        <v>1.4215094093051699</v>
      </c>
      <c r="E1911">
        <v>-0.71868987690038999</v>
      </c>
      <c r="F1911">
        <v>1.20030819117236E-3</v>
      </c>
      <c r="G1911">
        <v>1.67545062507721E-2</v>
      </c>
      <c r="H1911">
        <v>0.44981873763193397</v>
      </c>
      <c r="I1911">
        <v>-3.56914891601168E-3</v>
      </c>
    </row>
    <row r="1912" spans="1:9" x14ac:dyDescent="0.25">
      <c r="A1912" s="1">
        <v>128.593670427799</v>
      </c>
      <c r="B1912">
        <v>14.748563608056401</v>
      </c>
      <c r="C1912">
        <v>1.9583719186814199</v>
      </c>
      <c r="D1912">
        <v>1.30297960383629</v>
      </c>
      <c r="E1912">
        <v>-0.69324923908384395</v>
      </c>
      <c r="F1912">
        <v>1.51903993511875E-3</v>
      </c>
      <c r="G1912">
        <v>1.45048439982399E-2</v>
      </c>
      <c r="H1912">
        <v>0.44243288700782002</v>
      </c>
      <c r="I1912">
        <v>-3.0668009110812102E-3</v>
      </c>
    </row>
    <row r="1913" spans="1:9" x14ac:dyDescent="0.25">
      <c r="A1913" s="1">
        <v>141.15461230278001</v>
      </c>
      <c r="B1913">
        <v>14.9481875444711</v>
      </c>
      <c r="C1913">
        <v>1.81168321369593</v>
      </c>
      <c r="D1913">
        <v>1.1941026728249899</v>
      </c>
      <c r="E1913">
        <v>-0.66465490949019801</v>
      </c>
      <c r="F1913">
        <v>2.1671192415898201E-3</v>
      </c>
      <c r="G1913">
        <v>1.249381760334E-2</v>
      </c>
      <c r="H1913">
        <v>0.435265661507795</v>
      </c>
      <c r="I1913">
        <v>-2.6161125748772099E-3</v>
      </c>
    </row>
    <row r="1914" spans="1:9" x14ac:dyDescent="0.25">
      <c r="A1914" s="1">
        <v>154.84601140022201</v>
      </c>
      <c r="B1914">
        <v>15.1468085135282</v>
      </c>
      <c r="C1914">
        <v>1.66988498584617</v>
      </c>
      <c r="D1914">
        <v>1.0927904414865599</v>
      </c>
      <c r="E1914">
        <v>-0.63273366787530705</v>
      </c>
      <c r="F1914">
        <v>2.28791962237153E-3</v>
      </c>
      <c r="G1914">
        <v>1.06870801696273E-2</v>
      </c>
      <c r="H1914">
        <v>0.42781764977320302</v>
      </c>
      <c r="I1914">
        <v>-2.2102872931916199E-3</v>
      </c>
    </row>
    <row r="1915" spans="1:9" x14ac:dyDescent="0.25">
      <c r="A1915" s="1">
        <v>169.76969480514501</v>
      </c>
      <c r="B1915">
        <v>15.3443721878291</v>
      </c>
      <c r="C1915">
        <v>1.5307292151446099</v>
      </c>
      <c r="D1915">
        <v>0.99676100082139196</v>
      </c>
      <c r="E1915">
        <v>-0.59701943902961696</v>
      </c>
      <c r="F1915">
        <v>1.90256242228944E-3</v>
      </c>
      <c r="G1915">
        <v>9.06840558500757E-3</v>
      </c>
      <c r="H1915">
        <v>0.420370210537577</v>
      </c>
      <c r="I1915">
        <v>-1.8463662299938099E-3</v>
      </c>
    </row>
    <row r="1916" spans="1:9" x14ac:dyDescent="0.25">
      <c r="A1916" s="1">
        <v>186.03645980358101</v>
      </c>
      <c r="B1916">
        <v>15.5413999014482</v>
      </c>
      <c r="C1916">
        <v>1.3924162552205399</v>
      </c>
      <c r="D1916">
        <v>0.90419241043529597</v>
      </c>
      <c r="E1916">
        <v>-0.55703215783218096</v>
      </c>
      <c r="F1916">
        <v>1.7289038681576299E-3</v>
      </c>
      <c r="G1916">
        <v>7.6191429763180201E-3</v>
      </c>
      <c r="H1916">
        <v>0.41346899807663801</v>
      </c>
      <c r="I1916">
        <v>-1.5231937792227401E-3</v>
      </c>
    </row>
    <row r="1917" spans="1:9" x14ac:dyDescent="0.25">
      <c r="A1917" s="1">
        <v>203.76720398664401</v>
      </c>
      <c r="B1917">
        <v>15.7374371848018</v>
      </c>
      <c r="C1917">
        <v>1.2548794366082701</v>
      </c>
      <c r="D1917">
        <v>0.81356154146489501</v>
      </c>
      <c r="E1917">
        <v>-0.51266125608275603</v>
      </c>
      <c r="F1917">
        <v>1.5179932077568901E-3</v>
      </c>
      <c r="G1917">
        <v>6.3150387880923997E-3</v>
      </c>
      <c r="H1917">
        <v>0.40620301798058001</v>
      </c>
      <c r="I1917">
        <v>-1.23475949973489E-3</v>
      </c>
    </row>
    <row r="1918" spans="1:9" x14ac:dyDescent="0.25">
      <c r="A1918" s="1">
        <v>223.09376105666101</v>
      </c>
      <c r="B1918">
        <v>15.930826007476499</v>
      </c>
      <c r="C1918">
        <v>1.1172403247171201</v>
      </c>
      <c r="D1918">
        <v>0.72376962310417303</v>
      </c>
      <c r="E1918">
        <v>-0.46344909331393402</v>
      </c>
      <c r="F1918">
        <v>1.21325651966581E-3</v>
      </c>
      <c r="G1918">
        <v>5.1310458630223297E-3</v>
      </c>
      <c r="H1918">
        <v>0.39883735010615001</v>
      </c>
      <c r="I1918">
        <v>-9.7105905055265204E-4</v>
      </c>
    </row>
    <row r="1919" spans="1:9" x14ac:dyDescent="0.25">
      <c r="A1919" s="1">
        <v>244.15970131754801</v>
      </c>
      <c r="B1919">
        <v>16.120158036141198</v>
      </c>
      <c r="C1919">
        <v>0.97858450347438697</v>
      </c>
      <c r="D1919">
        <v>0.63329450879063798</v>
      </c>
      <c r="E1919">
        <v>-0.40879190757741102</v>
      </c>
      <c r="F1919">
        <v>4.3612293451892898E-4</v>
      </c>
      <c r="G1919">
        <v>4.0676376880808603E-3</v>
      </c>
      <c r="H1919">
        <v>0.39202860926046201</v>
      </c>
      <c r="I1919">
        <v>-7.3617649035224303E-4</v>
      </c>
    </row>
    <row r="1920" spans="1:9" x14ac:dyDescent="0.25">
      <c r="A1920" s="1">
        <v>267.12157949805197</v>
      </c>
      <c r="B1920">
        <v>16.302562276734498</v>
      </c>
      <c r="C1920">
        <v>0.83980872011369001</v>
      </c>
      <c r="D1920">
        <v>0.542647515796713</v>
      </c>
      <c r="E1920">
        <v>-0.34832726629142202</v>
      </c>
      <c r="F1920">
        <v>-5.7005082253116699E-4</v>
      </c>
      <c r="G1920">
        <v>3.13517361529093E-3</v>
      </c>
      <c r="H1920">
        <v>0.38625754103065502</v>
      </c>
      <c r="I1920">
        <v>-5.3797661299074097E-4</v>
      </c>
    </row>
    <row r="1921" spans="1:9" x14ac:dyDescent="0.25">
      <c r="A1921" s="1">
        <v>292.15002954006098</v>
      </c>
      <c r="B1921">
        <v>16.473230754485801</v>
      </c>
      <c r="C1921">
        <v>0.70133030259936702</v>
      </c>
      <c r="D1921">
        <v>0.45098379662569099</v>
      </c>
      <c r="E1921">
        <v>-0.28154737443898697</v>
      </c>
      <c r="F1921">
        <v>-1.12794893472228E-3</v>
      </c>
      <c r="G1921">
        <v>2.3386635901764701E-3</v>
      </c>
      <c r="H1921">
        <v>0.382790662840584</v>
      </c>
      <c r="I1921">
        <v>-3.7779330544807701E-4</v>
      </c>
    </row>
    <row r="1922" spans="1:9" x14ac:dyDescent="0.25">
      <c r="A1922" s="1">
        <v>319.43101242184599</v>
      </c>
      <c r="B1922">
        <v>16.6225799073414</v>
      </c>
      <c r="C1922">
        <v>0.57048536007071204</v>
      </c>
      <c r="D1922">
        <v>0.36278132577143501</v>
      </c>
      <c r="E1922">
        <v>-0.20811932861298699</v>
      </c>
      <c r="F1922">
        <v>-8.42053069433532E-4</v>
      </c>
      <c r="G1922">
        <v>1.69489805753662E-3</v>
      </c>
      <c r="H1922">
        <v>0.38297129135976499</v>
      </c>
      <c r="I1922">
        <v>-2.6018706569748499E-4</v>
      </c>
    </row>
    <row r="1923" spans="1:9" x14ac:dyDescent="0.25">
      <c r="A1923" s="1">
        <v>349.16732590645501</v>
      </c>
      <c r="B1923">
        <v>16.738482188335102</v>
      </c>
      <c r="C1923">
        <v>0.46164287919149599</v>
      </c>
      <c r="D1923">
        <v>0.28729418378692001</v>
      </c>
      <c r="E1923">
        <v>-0.12673304005963401</v>
      </c>
      <c r="F1923">
        <v>-9.7322582141507201E-4</v>
      </c>
      <c r="G1923">
        <v>1.2506069068034E-3</v>
      </c>
      <c r="H1923">
        <v>0.388037355739696</v>
      </c>
      <c r="I1923">
        <v>-1.9043818480207601E-4</v>
      </c>
    </row>
    <row r="1924" spans="1:9" x14ac:dyDescent="0.25">
      <c r="A1924" s="1">
        <v>379.83785875141598</v>
      </c>
      <c r="B1924">
        <v>16.799704987457499</v>
      </c>
      <c r="C1924">
        <v>0.39946315851807501</v>
      </c>
      <c r="D1924">
        <v>0.24320203156126899</v>
      </c>
      <c r="E1924">
        <v>-4.1865724240432001E-2</v>
      </c>
      <c r="F1924">
        <v>-1.33302746899013E-3</v>
      </c>
      <c r="G1924">
        <v>1.01967465354148E-3</v>
      </c>
      <c r="H1924">
        <v>0.40932432501743299</v>
      </c>
      <c r="I1924">
        <v>-1.5097952978695999E-4</v>
      </c>
    </row>
    <row r="1925" spans="1:9" x14ac:dyDescent="0.25">
      <c r="A1925" s="1" t="s">
        <v>549</v>
      </c>
      <c r="B1925" s="1" t="s">
        <v>614</v>
      </c>
      <c r="C1925" s="1" t="s">
        <v>615</v>
      </c>
      <c r="D1925" s="1" t="s">
        <v>616</v>
      </c>
      <c r="E1925" s="1" t="s">
        <v>617</v>
      </c>
      <c r="F1925" s="1" t="s">
        <v>618</v>
      </c>
      <c r="G1925" s="1" t="s">
        <v>400</v>
      </c>
      <c r="H1925" s="1" t="s">
        <v>619</v>
      </c>
      <c r="I1925" s="1" t="s">
        <v>613</v>
      </c>
    </row>
    <row r="1926" spans="1:9" x14ac:dyDescent="0.25">
      <c r="A1926" s="1">
        <v>-141.555516719818</v>
      </c>
      <c r="B1926">
        <v>-100.531603504019</v>
      </c>
      <c r="C1926">
        <v>1.6158652957056398E-2</v>
      </c>
      <c r="D1926">
        <v>0</v>
      </c>
      <c r="E1926">
        <v>0</v>
      </c>
      <c r="F1926">
        <v>0</v>
      </c>
      <c r="G1926" s="1">
        <v>1.5387932182875299E-6</v>
      </c>
      <c r="H1926">
        <v>5.4807180970692301E-2</v>
      </c>
      <c r="I1926">
        <v>0</v>
      </c>
    </row>
    <row r="1927" spans="1:9" x14ac:dyDescent="0.25">
      <c r="A1927" s="1">
        <v>-128.95890593528699</v>
      </c>
      <c r="B1927">
        <v>-91.587608660059303</v>
      </c>
      <c r="C1927">
        <v>1.65430608608284E-2</v>
      </c>
      <c r="D1927">
        <v>0</v>
      </c>
      <c r="E1927">
        <v>0</v>
      </c>
      <c r="F1927">
        <v>0</v>
      </c>
      <c r="G1927" s="1">
        <v>2.2725381692634202E-6</v>
      </c>
      <c r="H1927">
        <v>0.32125399590182802</v>
      </c>
      <c r="I1927">
        <v>0</v>
      </c>
    </row>
    <row r="1928" spans="1:9" x14ac:dyDescent="0.25">
      <c r="A1928" s="1">
        <v>-117.402367591857</v>
      </c>
      <c r="B1928">
        <v>-83.381756001012604</v>
      </c>
      <c r="C1928">
        <v>1.73605676879089E-2</v>
      </c>
      <c r="D1928">
        <v>0</v>
      </c>
      <c r="E1928">
        <v>0</v>
      </c>
      <c r="F1928">
        <v>0</v>
      </c>
      <c r="G1928" s="1">
        <v>3.6751006534663199E-6</v>
      </c>
      <c r="H1928">
        <v>0.52913737460367605</v>
      </c>
      <c r="I1928">
        <v>0</v>
      </c>
    </row>
    <row r="1929" spans="1:9" x14ac:dyDescent="0.25">
      <c r="A1929" s="1">
        <v>-106.80001378059301</v>
      </c>
      <c r="B1929">
        <v>-75.853165408270598</v>
      </c>
      <c r="C1929">
        <v>1.8734063969620102E-2</v>
      </c>
      <c r="D1929">
        <v>0</v>
      </c>
      <c r="E1929">
        <v>0</v>
      </c>
      <c r="F1929">
        <v>0</v>
      </c>
      <c r="G1929" s="1">
        <v>5.7791175410537496E-6</v>
      </c>
      <c r="H1929">
        <v>0.64495795732390504</v>
      </c>
      <c r="I1929">
        <v>0</v>
      </c>
    </row>
    <row r="1930" spans="1:9" x14ac:dyDescent="0.25">
      <c r="A1930" s="1">
        <v>-97.073161005973802</v>
      </c>
      <c r="B1930">
        <v>-68.945954883890394</v>
      </c>
      <c r="C1930">
        <v>2.08144781186301E-2</v>
      </c>
      <c r="D1930">
        <v>0</v>
      </c>
      <c r="E1930">
        <v>0</v>
      </c>
      <c r="F1930">
        <v>0</v>
      </c>
      <c r="G1930" s="1">
        <v>8.7281283198947796E-6</v>
      </c>
      <c r="H1930">
        <v>0.70724583155873799</v>
      </c>
      <c r="I1930">
        <v>0</v>
      </c>
    </row>
    <row r="1931" spans="1:9" x14ac:dyDescent="0.25">
      <c r="A1931" s="1">
        <v>-88.149435520172105</v>
      </c>
      <c r="B1931">
        <v>-62.608860258804903</v>
      </c>
      <c r="C1931">
        <v>2.37636116793483E-2</v>
      </c>
      <c r="D1931">
        <v>0</v>
      </c>
      <c r="E1931">
        <v>0</v>
      </c>
      <c r="F1931">
        <v>0</v>
      </c>
      <c r="G1931" s="1">
        <v>1.2782537962232601E-5</v>
      </c>
      <c r="H1931">
        <v>0.74148873361684398</v>
      </c>
      <c r="I1931">
        <v>0</v>
      </c>
    </row>
    <row r="1932" spans="1:9" x14ac:dyDescent="0.25">
      <c r="A1932" s="1">
        <v>-79.962490797042804</v>
      </c>
      <c r="B1932">
        <v>-56.794846542971399</v>
      </c>
      <c r="C1932">
        <v>2.77509549578259E-2</v>
      </c>
      <c r="D1932">
        <v>0</v>
      </c>
      <c r="E1932">
        <v>0</v>
      </c>
      <c r="F1932">
        <v>0</v>
      </c>
      <c r="G1932" s="1">
        <v>1.8331529756112598E-5</v>
      </c>
      <c r="H1932">
        <v>0.76096167131329595</v>
      </c>
      <c r="I1932">
        <v>0</v>
      </c>
    </row>
    <row r="1933" spans="1:9" x14ac:dyDescent="0.25">
      <c r="A1933" s="1">
        <v>-72.451583743095298</v>
      </c>
      <c r="B1933">
        <v>-51.460744349705301</v>
      </c>
      <c r="C1933">
        <v>3.29561806439711E-2</v>
      </c>
      <c r="D1933">
        <v>0</v>
      </c>
      <c r="E1933">
        <v>0</v>
      </c>
      <c r="F1933">
        <v>0</v>
      </c>
      <c r="G1933" s="1">
        <v>2.59139195716429E-5</v>
      </c>
      <c r="H1933">
        <v>0.77255297171206405</v>
      </c>
      <c r="I1933">
        <v>0</v>
      </c>
    </row>
    <row r="1934" spans="1:9" x14ac:dyDescent="0.25">
      <c r="A1934" s="1">
        <v>-65.560821294784503</v>
      </c>
      <c r="B1934">
        <v>-46.566957363533099</v>
      </c>
      <c r="C1934">
        <v>3.9573053578699398E-2</v>
      </c>
      <c r="D1934">
        <v>0</v>
      </c>
      <c r="E1934">
        <v>0</v>
      </c>
      <c r="F1934">
        <v>0</v>
      </c>
      <c r="G1934" s="1">
        <v>3.6251449283195502E-5</v>
      </c>
      <c r="H1934">
        <v>0.77992419336636098</v>
      </c>
      <c r="I1934">
        <v>0</v>
      </c>
    </row>
    <row r="1935" spans="1:9" x14ac:dyDescent="0.25">
      <c r="A1935" s="1">
        <v>-59.238972067832897</v>
      </c>
      <c r="B1935">
        <v>-42.0771447338632</v>
      </c>
      <c r="C1935">
        <v>4.7813058856896698E-2</v>
      </c>
      <c r="D1935">
        <v>0</v>
      </c>
      <c r="E1935">
        <v>0</v>
      </c>
      <c r="F1935">
        <v>0</v>
      </c>
      <c r="G1935" s="1">
        <v>5.0298582828158801E-5</v>
      </c>
      <c r="H1935">
        <v>0.78505813780559897</v>
      </c>
      <c r="I1935">
        <v>0</v>
      </c>
    </row>
    <row r="1936" spans="1:9" x14ac:dyDescent="0.25">
      <c r="A1936" s="1">
        <v>-53.439136743545497</v>
      </c>
      <c r="B1936">
        <v>-37.957968243630802</v>
      </c>
      <c r="C1936">
        <v>5.7908278825888698E-2</v>
      </c>
      <c r="D1936">
        <v>0</v>
      </c>
      <c r="E1936">
        <v>0</v>
      </c>
      <c r="F1936">
        <v>0</v>
      </c>
      <c r="G1936" s="1">
        <v>6.9314692170827606E-5</v>
      </c>
      <c r="H1936">
        <v>0.78904621453097101</v>
      </c>
      <c r="I1936">
        <v>0</v>
      </c>
    </row>
    <row r="1937" spans="1:9" x14ac:dyDescent="0.25">
      <c r="A1937" s="1">
        <v>-48.118183016777003</v>
      </c>
      <c r="B1937">
        <v>-34.178835298912801</v>
      </c>
      <c r="C1937">
        <v>7.0113865471070499E-2</v>
      </c>
      <c r="D1937">
        <v>0</v>
      </c>
      <c r="E1937">
        <v>0</v>
      </c>
      <c r="F1937">
        <v>0</v>
      </c>
      <c r="G1937" s="1">
        <v>9.4968114949480696E-5</v>
      </c>
      <c r="H1937">
        <v>0.79250772674970305</v>
      </c>
      <c r="I1937">
        <v>0</v>
      </c>
    </row>
    <row r="1938" spans="1:9" x14ac:dyDescent="0.25">
      <c r="A1938" s="1">
        <v>-43.236604332923797</v>
      </c>
      <c r="B1938">
        <v>-30.711681619333302</v>
      </c>
      <c r="C1938">
        <v>8.4710629043899796E-2</v>
      </c>
      <c r="D1938">
        <v>0</v>
      </c>
      <c r="E1938">
        <v>0</v>
      </c>
      <c r="F1938">
        <v>0</v>
      </c>
      <c r="G1938">
        <v>1.29486524284629E-4</v>
      </c>
      <c r="H1938">
        <v>0.79581800236197897</v>
      </c>
      <c r="I1938">
        <v>0</v>
      </c>
    </row>
    <row r="1939" spans="1:9" x14ac:dyDescent="0.25">
      <c r="A1939" s="1">
        <v>-38.758049011230398</v>
      </c>
      <c r="B1939">
        <v>-27.530756017984999</v>
      </c>
      <c r="C1939">
        <v>0.102008458269866</v>
      </c>
      <c r="D1939">
        <v>0</v>
      </c>
      <c r="E1939">
        <v>0</v>
      </c>
      <c r="F1939">
        <v>0</v>
      </c>
      <c r="G1939">
        <v>1.7587504957006599E-4</v>
      </c>
      <c r="H1939">
        <v>0.79923220915693605</v>
      </c>
      <c r="I1939">
        <v>0</v>
      </c>
    </row>
    <row r="1940" spans="1:9" x14ac:dyDescent="0.25">
      <c r="A1940" s="1">
        <v>-34.649320244789102</v>
      </c>
      <c r="B1940">
        <v>-24.612434434564999</v>
      </c>
      <c r="C1940">
        <v>0.122351461837596</v>
      </c>
      <c r="D1940">
        <v>0</v>
      </c>
      <c r="E1940">
        <v>0</v>
      </c>
      <c r="F1940">
        <v>0</v>
      </c>
      <c r="G1940">
        <v>2.3823174925965401E-4</v>
      </c>
      <c r="H1940">
        <v>0.80294862158733704</v>
      </c>
      <c r="I1940">
        <v>0</v>
      </c>
    </row>
    <row r="1941" spans="1:9" x14ac:dyDescent="0.25">
      <c r="A1941" s="1">
        <v>-30.879811048507602</v>
      </c>
      <c r="B1941">
        <v>-21.935038147541</v>
      </c>
      <c r="C1941">
        <v>0.146125224604781</v>
      </c>
      <c r="D1941">
        <v>0</v>
      </c>
      <c r="E1941">
        <v>0</v>
      </c>
      <c r="F1941">
        <v>0</v>
      </c>
      <c r="G1941">
        <v>3.2219929786094702E-4</v>
      </c>
      <c r="H1941">
        <v>0.80713536955213505</v>
      </c>
      <c r="I1941">
        <v>0</v>
      </c>
    </row>
    <row r="1942" spans="1:9" x14ac:dyDescent="0.25">
      <c r="A1942" s="1">
        <v>-27.4215984344482</v>
      </c>
      <c r="B1942">
        <v>-19.4786791500172</v>
      </c>
      <c r="C1942">
        <v>0.17376698774660401</v>
      </c>
      <c r="D1942">
        <v>0</v>
      </c>
      <c r="E1942">
        <v>0</v>
      </c>
      <c r="F1942">
        <v>0</v>
      </c>
      <c r="G1942">
        <v>4.3560139283755402E-4</v>
      </c>
      <c r="H1942">
        <v>0.81193414970768396</v>
      </c>
      <c r="I1942">
        <v>0</v>
      </c>
    </row>
    <row r="1943" spans="1:9" x14ac:dyDescent="0.25">
      <c r="A1943" s="1">
        <v>-24.248878359794599</v>
      </c>
      <c r="B1943">
        <v>-17.225111794145999</v>
      </c>
      <c r="C1943">
        <v>0.20577886461816799</v>
      </c>
      <c r="D1943">
        <v>0</v>
      </c>
      <c r="E1943">
        <v>0</v>
      </c>
      <c r="F1943">
        <v>0</v>
      </c>
      <c r="G1943">
        <v>5.8932262022011602E-4</v>
      </c>
      <c r="H1943">
        <v>0.81745047702063001</v>
      </c>
      <c r="I1943">
        <v>0</v>
      </c>
    </row>
    <row r="1944" spans="1:9" x14ac:dyDescent="0.25">
      <c r="A1944" s="1">
        <v>-21.3381540775299</v>
      </c>
      <c r="B1944">
        <v>-15.1575948831162</v>
      </c>
      <c r="C1944">
        <v>0.24274423986931101</v>
      </c>
      <c r="D1944">
        <v>0</v>
      </c>
      <c r="E1944">
        <v>0</v>
      </c>
      <c r="F1944">
        <v>0</v>
      </c>
      <c r="G1944">
        <v>7.9850174131138301E-4</v>
      </c>
      <c r="H1944">
        <v>0.82373925881175802</v>
      </c>
      <c r="I1944">
        <v>0</v>
      </c>
    </row>
    <row r="1945" spans="1:9" x14ac:dyDescent="0.25">
      <c r="A1945" s="1">
        <v>-18.6677181720733</v>
      </c>
      <c r="B1945">
        <v>-13.260769434506299</v>
      </c>
      <c r="C1945">
        <v>0.28534663647419201</v>
      </c>
      <c r="D1945">
        <v>0</v>
      </c>
      <c r="E1945">
        <v>0</v>
      </c>
      <c r="F1945">
        <v>0</v>
      </c>
      <c r="G1945">
        <v>1.08412300445309E-3</v>
      </c>
      <c r="H1945">
        <v>0.83079381738936797</v>
      </c>
      <c r="I1945">
        <v>0</v>
      </c>
    </row>
    <row r="1946" spans="1:9" x14ac:dyDescent="0.25">
      <c r="A1946" s="1">
        <v>-16.2178409099578</v>
      </c>
      <c r="B1946">
        <v>-11.520546891214501</v>
      </c>
      <c r="C1946">
        <v>0.33439064829823301</v>
      </c>
      <c r="D1946">
        <v>0</v>
      </c>
      <c r="E1946">
        <v>0</v>
      </c>
      <c r="F1946">
        <v>0</v>
      </c>
      <c r="G1946">
        <v>1.4751120600737899E-3</v>
      </c>
      <c r="H1946">
        <v>0.83854428498352396</v>
      </c>
      <c r="I1946">
        <v>0</v>
      </c>
    </row>
    <row r="1947" spans="1:9" x14ac:dyDescent="0.25">
      <c r="A1947" s="1">
        <v>-13.9702051877975</v>
      </c>
      <c r="B1947">
        <v>-9.9239968100099603</v>
      </c>
      <c r="C1947">
        <v>0.39082370424504398</v>
      </c>
      <c r="D1947">
        <v>0</v>
      </c>
      <c r="E1947">
        <v>0</v>
      </c>
      <c r="F1947">
        <v>0</v>
      </c>
      <c r="G1947">
        <v>2.0110764659614202E-3</v>
      </c>
      <c r="H1947">
        <v>0.84686743971829403</v>
      </c>
      <c r="I1947">
        <v>0</v>
      </c>
    </row>
    <row r="1948" spans="1:9" x14ac:dyDescent="0.25">
      <c r="A1948" s="1">
        <v>-11.908189058303799</v>
      </c>
      <c r="B1948">
        <v>-8.4592591018884296</v>
      </c>
      <c r="C1948">
        <v>0.45575786817022901</v>
      </c>
      <c r="D1948">
        <v>0</v>
      </c>
      <c r="E1948">
        <v>0</v>
      </c>
      <c r="F1948">
        <v>0</v>
      </c>
      <c r="G1948">
        <v>2.7458782085091099E-3</v>
      </c>
      <c r="H1948">
        <v>0.855605277631594</v>
      </c>
      <c r="I1948">
        <v>0</v>
      </c>
    </row>
    <row r="1949" spans="1:9" x14ac:dyDescent="0.25">
      <c r="A1949" s="1">
        <v>-10.016394853591899</v>
      </c>
      <c r="B1949">
        <v>-7.1154526157772899</v>
      </c>
      <c r="C1949">
        <v>0.530490190236518</v>
      </c>
      <c r="D1949">
        <v>0</v>
      </c>
      <c r="E1949">
        <v>0</v>
      </c>
      <c r="F1949">
        <v>0</v>
      </c>
      <c r="G1949">
        <v>3.7522944623492498E-3</v>
      </c>
      <c r="H1949">
        <v>0.86458676854751204</v>
      </c>
      <c r="I1949">
        <v>0</v>
      </c>
    </row>
    <row r="1950" spans="1:9" x14ac:dyDescent="0.25">
      <c r="A1950" s="1">
        <v>-8.2808375358581507</v>
      </c>
      <c r="B1950">
        <v>-5.8825931250585999</v>
      </c>
      <c r="C1950">
        <v>0.616521877961836</v>
      </c>
      <c r="D1950">
        <v>0</v>
      </c>
      <c r="E1950">
        <v>0</v>
      </c>
      <c r="F1950">
        <v>0</v>
      </c>
      <c r="G1950">
        <v>5.1281051823298101E-3</v>
      </c>
      <c r="H1950">
        <v>0.87364704731488096</v>
      </c>
      <c r="I1950">
        <v>0</v>
      </c>
    </row>
    <row r="1951" spans="1:9" x14ac:dyDescent="0.25">
      <c r="A1951" s="1">
        <v>-6.6885209083557102</v>
      </c>
      <c r="B1951">
        <v>-4.75152150047969</v>
      </c>
      <c r="C1951">
        <v>0.715575178187011</v>
      </c>
      <c r="D1951">
        <v>0</v>
      </c>
      <c r="E1951">
        <v>0</v>
      </c>
      <c r="F1951">
        <v>0</v>
      </c>
      <c r="G1951">
        <v>7.0040476768053802E-3</v>
      </c>
      <c r="H1951">
        <v>0.88264056255270895</v>
      </c>
      <c r="I1951">
        <v>0</v>
      </c>
    </row>
    <row r="1952" spans="1:9" x14ac:dyDescent="0.25">
      <c r="A1952" s="1">
        <v>-5.2277201414108196</v>
      </c>
      <c r="B1952">
        <v>-3.7138345929039902</v>
      </c>
      <c r="C1952">
        <v>0.82960814879751199</v>
      </c>
      <c r="D1952">
        <v>0</v>
      </c>
      <c r="E1952">
        <v>0</v>
      </c>
      <c r="F1952">
        <v>0</v>
      </c>
      <c r="G1952">
        <v>9.5541655749912004E-3</v>
      </c>
      <c r="H1952">
        <v>0.89144702030235101</v>
      </c>
      <c r="I1952">
        <v>0</v>
      </c>
    </row>
    <row r="1953" spans="1:9" x14ac:dyDescent="0.25">
      <c r="A1953" s="1">
        <v>-3.88755798339843</v>
      </c>
      <c r="B1953">
        <v>-2.76182244990513</v>
      </c>
      <c r="C1953">
        <v>0.96082774940179605</v>
      </c>
      <c r="D1953">
        <v>0</v>
      </c>
      <c r="E1953">
        <v>0</v>
      </c>
      <c r="F1953">
        <v>0</v>
      </c>
      <c r="G1953">
        <v>1.30091334281405E-2</v>
      </c>
      <c r="H1953">
        <v>0.89997149789753095</v>
      </c>
      <c r="I1953">
        <v>0</v>
      </c>
    </row>
    <row r="1954" spans="1:9" x14ac:dyDescent="0.25">
      <c r="A1954" s="1">
        <v>-2.6580518484115601</v>
      </c>
      <c r="B1954">
        <v>-1.88841196415041</v>
      </c>
      <c r="C1954">
        <v>1.1117015371012999</v>
      </c>
      <c r="D1954">
        <v>0</v>
      </c>
      <c r="E1954">
        <v>0</v>
      </c>
      <c r="F1954">
        <v>0</v>
      </c>
      <c r="G1954">
        <v>1.76730322392359E-2</v>
      </c>
      <c r="H1954">
        <v>0.9081406495337</v>
      </c>
      <c r="I1954">
        <v>0</v>
      </c>
    </row>
    <row r="1955" spans="1:9" x14ac:dyDescent="0.25">
      <c r="A1955" s="1">
        <v>-1.5300196409225399</v>
      </c>
      <c r="B1955">
        <v>-1.0871139172467199</v>
      </c>
      <c r="C1955">
        <v>1.2849661074743099</v>
      </c>
      <c r="D1955">
        <v>0</v>
      </c>
      <c r="E1955">
        <v>0</v>
      </c>
      <c r="F1955">
        <v>0</v>
      </c>
      <c r="G1955">
        <v>2.3943379334959901E-2</v>
      </c>
      <c r="H1955">
        <v>0.91589624241131096</v>
      </c>
      <c r="I1955">
        <v>0</v>
      </c>
    </row>
    <row r="1956" spans="1:9" x14ac:dyDescent="0.25">
      <c r="A1956" s="1">
        <v>-0.49517393112182601</v>
      </c>
      <c r="B1956">
        <v>-0.35197462704990501</v>
      </c>
      <c r="C1956">
        <v>1.4836319588717299</v>
      </c>
      <c r="D1956">
        <v>0</v>
      </c>
      <c r="E1956">
        <v>0</v>
      </c>
      <c r="F1956">
        <v>0</v>
      </c>
      <c r="G1956">
        <v>3.30076413423376E-2</v>
      </c>
      <c r="H1956">
        <v>0.92475867839551296</v>
      </c>
      <c r="I1956">
        <v>0</v>
      </c>
    </row>
    <row r="1957" spans="1:9" x14ac:dyDescent="0.25">
      <c r="A1957" s="1">
        <v>0.49376130104064903</v>
      </c>
      <c r="B1957">
        <v>0.35051598614055102</v>
      </c>
      <c r="C1957">
        <v>1.7225248210242301</v>
      </c>
      <c r="D1957">
        <v>0.19183994667276699</v>
      </c>
      <c r="E1957">
        <v>-2.90356214281223E-4</v>
      </c>
      <c r="F1957" s="1">
        <v>5.2466790900348301E-5</v>
      </c>
      <c r="G1957">
        <v>4.6218300603258503E-2</v>
      </c>
      <c r="H1957">
        <v>0.93346446122652804</v>
      </c>
      <c r="I1957" s="1">
        <v>7.7518320061366102E-7</v>
      </c>
    </row>
    <row r="1958" spans="1:9" x14ac:dyDescent="0.25">
      <c r="A1958" s="1">
        <v>1.5257111191749499</v>
      </c>
      <c r="B1958">
        <v>1.0824661535673901</v>
      </c>
      <c r="C1958">
        <v>2.04181876970339</v>
      </c>
      <c r="D1958">
        <v>0.69438810582611699</v>
      </c>
      <c r="E1958">
        <v>-2.9636740429758099E-3</v>
      </c>
      <c r="F1958">
        <v>2.0769436380782701E-4</v>
      </c>
      <c r="G1958">
        <v>6.1691473098185401E-2</v>
      </c>
      <c r="H1958">
        <v>0.93670034284314596</v>
      </c>
      <c r="I1958" s="1">
        <v>2.5245100782025801E-5</v>
      </c>
    </row>
    <row r="1959" spans="1:9" x14ac:dyDescent="0.25">
      <c r="A1959" s="1">
        <v>2.6505178213119498</v>
      </c>
      <c r="B1959">
        <v>1.8748484997541699</v>
      </c>
      <c r="C1959">
        <v>2.4889024897262799</v>
      </c>
      <c r="D1959">
        <v>1.40446305118565</v>
      </c>
      <c r="E1959">
        <v>-1.2590895915174699E-2</v>
      </c>
      <c r="F1959">
        <v>4.43918174995786E-4</v>
      </c>
      <c r="G1959">
        <v>7.6253046266592198E-2</v>
      </c>
      <c r="H1959">
        <v>0.932737608993081</v>
      </c>
      <c r="I1959">
        <v>1.2996320784128E-4</v>
      </c>
    </row>
    <row r="1960" spans="1:9" x14ac:dyDescent="0.25">
      <c r="A1960" s="1">
        <v>3.8765159249305698</v>
      </c>
      <c r="B1960">
        <v>2.7241262588181598</v>
      </c>
      <c r="C1960">
        <v>3.0956575771014099</v>
      </c>
      <c r="D1960">
        <v>2.35127726230384</v>
      </c>
      <c r="E1960">
        <v>-3.3873597512310602E-2</v>
      </c>
      <c r="F1960">
        <v>7.5598901847891305E-4</v>
      </c>
      <c r="G1960">
        <v>8.78698266227044E-2</v>
      </c>
      <c r="H1960">
        <v>0.92175248116034603</v>
      </c>
      <c r="I1960">
        <v>3.1443400442556603E-4</v>
      </c>
    </row>
    <row r="1961" spans="1:9" x14ac:dyDescent="0.25">
      <c r="A1961" s="1">
        <v>5.2129346132278398</v>
      </c>
      <c r="B1961">
        <v>3.6200117020399398</v>
      </c>
      <c r="C1961">
        <v>3.86567273757354</v>
      </c>
      <c r="D1961">
        <v>3.50894133739583</v>
      </c>
      <c r="E1961">
        <v>-7.1806934960471802E-2</v>
      </c>
      <c r="F1961">
        <v>1.1053870079683499E-3</v>
      </c>
      <c r="G1961">
        <v>9.4254056282995796E-2</v>
      </c>
      <c r="H1961">
        <v>0.902302181495093</v>
      </c>
      <c r="I1961">
        <v>6.2018157342665699E-4</v>
      </c>
    </row>
    <row r="1962" spans="1:9" x14ac:dyDescent="0.25">
      <c r="A1962" s="1">
        <v>6.6695916652679399</v>
      </c>
      <c r="B1962">
        <v>4.5440366481893797</v>
      </c>
      <c r="C1962">
        <v>4.7505648239738196</v>
      </c>
      <c r="D1962">
        <v>4.7683463371397501</v>
      </c>
      <c r="E1962">
        <v>-0.12906255121700899</v>
      </c>
      <c r="F1962">
        <v>1.41889780349468E-3</v>
      </c>
      <c r="G1962">
        <v>9.5870030237216505E-2</v>
      </c>
      <c r="H1962">
        <v>0.87418842739185099</v>
      </c>
      <c r="I1962">
        <v>1.43128681203368E-3</v>
      </c>
    </row>
    <row r="1963" spans="1:9" x14ac:dyDescent="0.25">
      <c r="A1963" s="1">
        <v>8.2573878765106201</v>
      </c>
      <c r="B1963">
        <v>5.4705966988110104</v>
      </c>
      <c r="C1963">
        <v>5.6471704207450903</v>
      </c>
      <c r="D1963">
        <v>5.9542693849620401</v>
      </c>
      <c r="E1963">
        <v>-0.20393061155244099</v>
      </c>
      <c r="F1963">
        <v>1.61175556705672E-3</v>
      </c>
      <c r="G1963">
        <v>9.5954469824333005E-2</v>
      </c>
      <c r="H1963">
        <v>0.84068969558763695</v>
      </c>
      <c r="I1963">
        <v>3.7360648436688599E-3</v>
      </c>
    </row>
    <row r="1964" spans="1:9" x14ac:dyDescent="0.25">
      <c r="A1964" s="1">
        <v>9.9880245327949506</v>
      </c>
      <c r="B1964">
        <v>6.3712070585691496</v>
      </c>
      <c r="C1964">
        <v>6.4301291861502001</v>
      </c>
      <c r="D1964">
        <v>6.8932897765810397</v>
      </c>
      <c r="E1964">
        <v>-0.290220260381988</v>
      </c>
      <c r="F1964">
        <v>1.6169774879000801E-3</v>
      </c>
      <c r="G1964">
        <v>9.7757507700278301E-2</v>
      </c>
      <c r="H1964">
        <v>0.80782576413088103</v>
      </c>
      <c r="I1964">
        <v>7.7296526782676903E-3</v>
      </c>
    </row>
    <row r="1965" spans="1:9" x14ac:dyDescent="0.25">
      <c r="A1965" s="1">
        <v>11.874474287032999</v>
      </c>
      <c r="B1965">
        <v>7.2207778721579396</v>
      </c>
      <c r="C1965">
        <v>7.0020376031044496</v>
      </c>
      <c r="D1965">
        <v>7.4843069827922903</v>
      </c>
      <c r="E1965">
        <v>-0.37970699858824802</v>
      </c>
      <c r="F1965">
        <v>1.43155067568478E-3</v>
      </c>
      <c r="G1965">
        <v>0.101679871508498</v>
      </c>
      <c r="H1965">
        <v>0.77927800705301298</v>
      </c>
      <c r="I1965">
        <v>1.07654989999388E-2</v>
      </c>
    </row>
    <row r="1966" spans="1:9" x14ac:dyDescent="0.25">
      <c r="A1966" s="1">
        <v>13.9306750893592</v>
      </c>
      <c r="B1966">
        <v>8.0025825693734998</v>
      </c>
      <c r="C1966">
        <v>7.3231406406108501</v>
      </c>
      <c r="D1966">
        <v>7.7188695116749404</v>
      </c>
      <c r="E1966">
        <v>-0.46518872650002202</v>
      </c>
      <c r="F1966">
        <v>1.12763474034872E-3</v>
      </c>
      <c r="G1966">
        <v>0.10566652339355501</v>
      </c>
      <c r="H1966">
        <v>0.75444244966946905</v>
      </c>
      <c r="I1966">
        <v>1.00908768936124E-2</v>
      </c>
    </row>
    <row r="1967" spans="1:9" x14ac:dyDescent="0.25">
      <c r="A1967" s="1">
        <v>16.171883344650201</v>
      </c>
      <c r="B1967">
        <v>8.7094363517590896</v>
      </c>
      <c r="C1967">
        <v>7.4063023580596496</v>
      </c>
      <c r="D1967">
        <v>7.6530435042701299</v>
      </c>
      <c r="E1967">
        <v>-0.54203332834791396</v>
      </c>
      <c r="F1967">
        <v>8.2536996301508505E-4</v>
      </c>
      <c r="G1967">
        <v>0.107572637610738</v>
      </c>
      <c r="H1967">
        <v>0.73126508594439099</v>
      </c>
      <c r="I1967">
        <v>5.9771159350475202E-3</v>
      </c>
    </row>
    <row r="1968" spans="1:9" x14ac:dyDescent="0.25">
      <c r="A1968" s="1">
        <v>18.614838719367899</v>
      </c>
      <c r="B1968">
        <v>9.3417393615000996</v>
      </c>
      <c r="C1968">
        <v>7.2941992252657197</v>
      </c>
      <c r="D1968">
        <v>7.3670967040165598</v>
      </c>
      <c r="E1968">
        <v>-0.60813262863346196</v>
      </c>
      <c r="F1968">
        <v>6.4971919482186696E-4</v>
      </c>
      <c r="G1968">
        <v>0.10653481643217599</v>
      </c>
      <c r="H1968">
        <v>0.70836669760995297</v>
      </c>
      <c r="I1968">
        <v>4.8772658020055298E-4</v>
      </c>
    </row>
    <row r="1969" spans="1:9" x14ac:dyDescent="0.25">
      <c r="A1969" s="1">
        <v>21.2777170538902</v>
      </c>
      <c r="B1969">
        <v>9.9045168829613406</v>
      </c>
      <c r="C1969">
        <v>7.0383572967412498</v>
      </c>
      <c r="D1969">
        <v>6.9382090869911304</v>
      </c>
      <c r="E1969">
        <v>-0.66315365479754995</v>
      </c>
      <c r="F1969">
        <v>6.9040333820618498E-4</v>
      </c>
      <c r="G1969">
        <v>0.102860200342911</v>
      </c>
      <c r="H1969">
        <v>0.68529305800538398</v>
      </c>
      <c r="I1969">
        <v>-4.649497641135E-3</v>
      </c>
    </row>
    <row r="1970" spans="1:9" x14ac:dyDescent="0.25">
      <c r="A1970" s="1">
        <v>24.180224537849401</v>
      </c>
      <c r="B1970">
        <v>10.4049516250842</v>
      </c>
      <c r="C1970">
        <v>6.6870126462414898</v>
      </c>
      <c r="D1970">
        <v>6.4290794895839403</v>
      </c>
      <c r="E1970">
        <v>-0.70776031813752505</v>
      </c>
      <c r="F1970">
        <v>9.8203154925964207E-4</v>
      </c>
      <c r="G1970">
        <v>9.7360083226847804E-2</v>
      </c>
      <c r="H1970">
        <v>0.66212942382772</v>
      </c>
      <c r="I1970">
        <v>-8.6624460829852704E-3</v>
      </c>
    </row>
    <row r="1971" spans="1:9" x14ac:dyDescent="0.25">
      <c r="A1971" s="1">
        <v>27.343950867652801</v>
      </c>
      <c r="B1971">
        <v>10.8508740465619</v>
      </c>
      <c r="C1971">
        <v>6.2802619500081498</v>
      </c>
      <c r="D1971">
        <v>5.8861099827871701</v>
      </c>
      <c r="E1971">
        <v>-0.74305149763279899</v>
      </c>
      <c r="F1971">
        <v>1.45400345566826E-3</v>
      </c>
      <c r="G1971">
        <v>9.0816972703685203E-2</v>
      </c>
      <c r="H1971">
        <v>0.63921033302229502</v>
      </c>
      <c r="I1971">
        <v>-1.1422407865646101E-2</v>
      </c>
    </row>
    <row r="1972" spans="1:9" x14ac:dyDescent="0.25">
      <c r="A1972" s="1">
        <v>30.7923927903175</v>
      </c>
      <c r="B1972">
        <v>11.250009085563599</v>
      </c>
      <c r="C1972">
        <v>5.8491428487320798</v>
      </c>
      <c r="D1972">
        <v>5.3417831783160796</v>
      </c>
      <c r="E1972">
        <v>-0.77023494339121901</v>
      </c>
      <c r="F1972">
        <v>2.0155391687427999E-3</v>
      </c>
      <c r="G1972">
        <v>8.3783774023737406E-2</v>
      </c>
      <c r="H1972">
        <v>0.61696211270309997</v>
      </c>
      <c r="I1972">
        <v>-1.3054532759535E-2</v>
      </c>
    </row>
    <row r="1973" spans="1:9" x14ac:dyDescent="0.25">
      <c r="A1973" s="1">
        <v>34.551213085651298</v>
      </c>
      <c r="B1973">
        <v>11.6095948231869</v>
      </c>
      <c r="C1973">
        <v>5.4162983531296698</v>
      </c>
      <c r="D1973">
        <v>4.8176203138749001</v>
      </c>
      <c r="E1973">
        <v>-0.79047272338972796</v>
      </c>
      <c r="F1973">
        <v>2.6145563993691702E-3</v>
      </c>
      <c r="G1973">
        <v>7.6590758999692005E-2</v>
      </c>
      <c r="H1973">
        <v>0.59580823287589901</v>
      </c>
      <c r="I1973">
        <v>-1.3750025703956999E-2</v>
      </c>
    </row>
    <row r="1974" spans="1:9" x14ac:dyDescent="0.25">
      <c r="A1974" s="1">
        <v>38.6483111977577</v>
      </c>
      <c r="B1974">
        <v>11.9361923375629</v>
      </c>
      <c r="C1974">
        <v>4.9971551480616103</v>
      </c>
      <c r="D1974">
        <v>4.3268784816538304</v>
      </c>
      <c r="E1974">
        <v>-0.80477849352745701</v>
      </c>
      <c r="F1974">
        <v>3.11842400268709E-3</v>
      </c>
      <c r="G1974">
        <v>6.9439724215172999E-2</v>
      </c>
      <c r="H1974">
        <v>0.57615559670959104</v>
      </c>
      <c r="I1974">
        <v>-1.3705462185368099E-2</v>
      </c>
    </row>
    <row r="1975" spans="1:9" x14ac:dyDescent="0.25">
      <c r="A1975" s="1">
        <v>43.1141293048858</v>
      </c>
      <c r="B1975">
        <v>12.235633465973301</v>
      </c>
      <c r="C1975">
        <v>4.6013954712085399</v>
      </c>
      <c r="D1975">
        <v>3.8770059965854702</v>
      </c>
      <c r="E1975">
        <v>-0.813985412711137</v>
      </c>
      <c r="F1975">
        <v>3.4784635007157798E-3</v>
      </c>
      <c r="G1975">
        <v>6.2466779183974003E-2</v>
      </c>
      <c r="H1975">
        <v>0.55828598228794402</v>
      </c>
      <c r="I1975">
        <v>-1.31066137585412E-2</v>
      </c>
    </row>
    <row r="1976" spans="1:9" x14ac:dyDescent="0.25">
      <c r="A1976" s="1">
        <v>47.981887757778097</v>
      </c>
      <c r="B1976">
        <v>12.5129299109333</v>
      </c>
      <c r="C1976">
        <v>4.23443957874355</v>
      </c>
      <c r="D1976">
        <v>3.4713402904240098</v>
      </c>
      <c r="E1976">
        <v>-0.818791492381162</v>
      </c>
      <c r="F1976">
        <v>3.63731554657345E-3</v>
      </c>
      <c r="G1976">
        <v>5.5768013786693403E-2</v>
      </c>
      <c r="H1976">
        <v>0.54222711371690402</v>
      </c>
      <c r="I1976">
        <v>-1.2133138238350501E-2</v>
      </c>
    </row>
    <row r="1977" spans="1:9" x14ac:dyDescent="0.25">
      <c r="A1977" s="1">
        <v>53.287820518016801</v>
      </c>
      <c r="B1977">
        <v>12.7722763744645</v>
      </c>
      <c r="C1977">
        <v>3.8983464984564198</v>
      </c>
      <c r="D1977">
        <v>3.1099675905831199</v>
      </c>
      <c r="E1977">
        <v>-0.81972624593303101</v>
      </c>
      <c r="F1977">
        <v>3.5398458049919301E-3</v>
      </c>
      <c r="G1977">
        <v>4.9444887410189403E-2</v>
      </c>
      <c r="H1977">
        <v>0.52797112816635805</v>
      </c>
      <c r="I1977">
        <v>-1.0948269475982901E-2</v>
      </c>
    </row>
    <row r="1978" spans="1:9" x14ac:dyDescent="0.25">
      <c r="A1978" s="1">
        <v>59.071175158023799</v>
      </c>
      <c r="B1978">
        <v>13.017182197561199</v>
      </c>
      <c r="C1978">
        <v>3.5930384016146601</v>
      </c>
      <c r="D1978">
        <v>2.7908440603022702</v>
      </c>
      <c r="E1978">
        <v>-0.81719511223234098</v>
      </c>
      <c r="F1978">
        <v>3.1371751721910399E-3</v>
      </c>
      <c r="G1978">
        <v>4.3598777446253401E-2</v>
      </c>
      <c r="H1978">
        <v>0.51541522329718303</v>
      </c>
      <c r="I1978">
        <v>-9.7048635201059993E-3</v>
      </c>
    </row>
    <row r="1979" spans="1:9" x14ac:dyDescent="0.25">
      <c r="A1979" s="1">
        <v>65.375131070613804</v>
      </c>
      <c r="B1979">
        <v>13.2505392694377</v>
      </c>
      <c r="C1979">
        <v>3.3173535799322398</v>
      </c>
      <c r="D1979">
        <v>2.5110507616562101</v>
      </c>
      <c r="E1979">
        <v>-0.81150191191771304</v>
      </c>
      <c r="F1979">
        <v>2.5192835902616401E-3</v>
      </c>
      <c r="G1979">
        <v>3.8282613661110597E-2</v>
      </c>
      <c r="H1979">
        <v>0.50416470493930199</v>
      </c>
      <c r="I1979">
        <v>-8.5027042214416895E-3</v>
      </c>
    </row>
    <row r="1980" spans="1:9" x14ac:dyDescent="0.25">
      <c r="A1980" s="1">
        <v>72.246375679969702</v>
      </c>
      <c r="B1980">
        <v>13.4747265032955</v>
      </c>
      <c r="C1980">
        <v>3.0688598855196201</v>
      </c>
      <c r="D1980">
        <v>2.2667614069290201</v>
      </c>
      <c r="E1980">
        <v>-0.80288360165790296</v>
      </c>
      <c r="F1980">
        <v>1.78612030782125E-3</v>
      </c>
      <c r="G1980">
        <v>3.3524194233486897E-2</v>
      </c>
      <c r="H1980">
        <v>0.49395134258336598</v>
      </c>
      <c r="I1980">
        <v>-7.4036808514708697E-3</v>
      </c>
    </row>
    <row r="1981" spans="1:9" x14ac:dyDescent="0.25">
      <c r="A1981" s="1">
        <v>79.736069738864799</v>
      </c>
      <c r="B1981">
        <v>13.691709088301</v>
      </c>
      <c r="C1981">
        <v>2.8443574701593302</v>
      </c>
      <c r="D1981">
        <v>2.0534124830030098</v>
      </c>
      <c r="E1981">
        <v>-0.79148193602382699</v>
      </c>
      <c r="F1981">
        <v>1.1183187796383199E-3</v>
      </c>
      <c r="G1981">
        <v>2.92867722557726E-2</v>
      </c>
      <c r="H1981">
        <v>0.48433326219558898</v>
      </c>
      <c r="I1981">
        <v>-6.4166460704046697E-3</v>
      </c>
    </row>
    <row r="1982" spans="1:9" x14ac:dyDescent="0.25">
      <c r="A1982" s="1">
        <v>87.899753153324099</v>
      </c>
      <c r="B1982">
        <v>13.9030572952234</v>
      </c>
      <c r="C1982">
        <v>2.6403471883759799</v>
      </c>
      <c r="D1982">
        <v>1.86649856887862</v>
      </c>
      <c r="E1982">
        <v>-0.77734426486749597</v>
      </c>
      <c r="F1982">
        <v>7.26009324054448E-4</v>
      </c>
      <c r="G1982">
        <v>2.5535112400590601E-2</v>
      </c>
      <c r="H1982">
        <v>0.47520021781323701</v>
      </c>
      <c r="I1982">
        <v>-5.5494185048567297E-3</v>
      </c>
    </row>
    <row r="1983" spans="1:9" x14ac:dyDescent="0.25">
      <c r="A1983" s="1">
        <v>96.798263192176805</v>
      </c>
      <c r="B1983">
        <v>14.1100081171372</v>
      </c>
      <c r="C1983">
        <v>2.4536309087623498</v>
      </c>
      <c r="D1983">
        <v>1.70206049018985</v>
      </c>
      <c r="E1983">
        <v>-0.76055104964147202</v>
      </c>
      <c r="F1983">
        <v>7.8910734453688995E-4</v>
      </c>
      <c r="G1983">
        <v>2.2225628009887699E-2</v>
      </c>
      <c r="H1983">
        <v>0.46631589494571801</v>
      </c>
      <c r="I1983">
        <v>-4.7921023360048796E-3</v>
      </c>
    </row>
    <row r="1984" spans="1:9" x14ac:dyDescent="0.25">
      <c r="A1984" s="1">
        <v>106.497616767883</v>
      </c>
      <c r="B1984">
        <v>14.3136146697678</v>
      </c>
      <c r="C1984">
        <v>2.2809954778213402</v>
      </c>
      <c r="D1984">
        <v>1.55631493458057</v>
      </c>
      <c r="E1984">
        <v>-0.74102017743623505</v>
      </c>
      <c r="F1984">
        <v>1.0450519901774201E-3</v>
      </c>
      <c r="G1984">
        <v>1.93201884802712E-2</v>
      </c>
      <c r="H1984">
        <v>0.45765223146683898</v>
      </c>
      <c r="I1984">
        <v>-4.1375262236562401E-3</v>
      </c>
    </row>
    <row r="1985" spans="1:9" x14ac:dyDescent="0.25">
      <c r="A1985" s="1">
        <v>117.06990510225199</v>
      </c>
      <c r="B1985">
        <v>14.515035589365</v>
      </c>
      <c r="C1985">
        <v>2.1185835090001799</v>
      </c>
      <c r="D1985">
        <v>1.4251831783479401</v>
      </c>
      <c r="E1985">
        <v>-0.718516446821165</v>
      </c>
      <c r="F1985">
        <v>1.22698529069152E-3</v>
      </c>
      <c r="G1985">
        <v>1.6777167171466399E-2</v>
      </c>
      <c r="H1985">
        <v>0.449825779957153</v>
      </c>
      <c r="I1985">
        <v>-3.5730292041421699E-3</v>
      </c>
    </row>
    <row r="1986" spans="1:9" x14ac:dyDescent="0.25">
      <c r="A1986" s="1">
        <v>128.593670427799</v>
      </c>
      <c r="B1986">
        <v>14.715221605403</v>
      </c>
      <c r="C1986">
        <v>1.9644751792088899</v>
      </c>
      <c r="D1986">
        <v>1.3061757661675999</v>
      </c>
      <c r="E1986">
        <v>-0.69307758899702299</v>
      </c>
      <c r="F1986">
        <v>1.52990234717082E-3</v>
      </c>
      <c r="G1986">
        <v>1.4522139169797501E-2</v>
      </c>
      <c r="H1986">
        <v>0.44243787109177601</v>
      </c>
      <c r="I1986">
        <v>-3.0693992976113002E-3</v>
      </c>
    </row>
    <row r="1987" spans="1:9" x14ac:dyDescent="0.25">
      <c r="A1987" s="1">
        <v>141.15461230278001</v>
      </c>
      <c r="B1987">
        <v>14.914617784647</v>
      </c>
      <c r="C1987">
        <v>1.8168500972859301</v>
      </c>
      <c r="D1987">
        <v>1.1967870981327899</v>
      </c>
      <c r="E1987">
        <v>-0.66448727515515704</v>
      </c>
      <c r="F1987">
        <v>2.1679585350199699E-3</v>
      </c>
      <c r="G1987">
        <v>1.25069832581203E-2</v>
      </c>
      <c r="H1987">
        <v>0.435269892760411</v>
      </c>
      <c r="I1987">
        <v>-2.6177842219347299E-3</v>
      </c>
    </row>
    <row r="1988" spans="1:9" x14ac:dyDescent="0.25">
      <c r="A1988" s="1">
        <v>154.84601140022201</v>
      </c>
      <c r="B1988">
        <v>15.1130151755639</v>
      </c>
      <c r="C1988">
        <v>1.6742645688575799</v>
      </c>
      <c r="D1988">
        <v>1.09515860916009</v>
      </c>
      <c r="E1988">
        <v>-0.63257114869486197</v>
      </c>
      <c r="F1988">
        <v>2.28712087884344E-3</v>
      </c>
      <c r="G1988">
        <v>1.0697177202062201E-2</v>
      </c>
      <c r="H1988">
        <v>0.42782313570796898</v>
      </c>
      <c r="I1988">
        <v>-2.21133289179027E-3</v>
      </c>
    </row>
    <row r="1989" spans="1:9" x14ac:dyDescent="0.25">
      <c r="A1989" s="1">
        <v>169.76969480514501</v>
      </c>
      <c r="B1989">
        <v>15.310367808816601</v>
      </c>
      <c r="C1989">
        <v>1.5344432480394401</v>
      </c>
      <c r="D1989">
        <v>0.99874929026512205</v>
      </c>
      <c r="E1989">
        <v>-0.59686329710622898</v>
      </c>
      <c r="F1989">
        <v>1.9019771093898E-3</v>
      </c>
      <c r="G1989">
        <v>9.0762501113530302E-3</v>
      </c>
      <c r="H1989">
        <v>0.42038195889961799</v>
      </c>
      <c r="I1989">
        <v>-1.84705356235587E-3</v>
      </c>
    </row>
    <row r="1990" spans="1:9" x14ac:dyDescent="0.25">
      <c r="A1990" s="1">
        <v>186.03645980358101</v>
      </c>
      <c r="B1990">
        <v>15.5071938842066</v>
      </c>
      <c r="C1990">
        <v>1.3955730401136199</v>
      </c>
      <c r="D1990">
        <v>0.90592615366708196</v>
      </c>
      <c r="E1990">
        <v>-0.55688342845123295</v>
      </c>
      <c r="F1990">
        <v>1.7231032536763401E-3</v>
      </c>
      <c r="G1990">
        <v>7.6252441859713301E-3</v>
      </c>
      <c r="H1990">
        <v>0.41348705014089598</v>
      </c>
      <c r="I1990">
        <v>-1.5236720489078699E-3</v>
      </c>
    </row>
    <row r="1991" spans="1:9" x14ac:dyDescent="0.25">
      <c r="A1991" s="1">
        <v>203.76720398664401</v>
      </c>
      <c r="B1991">
        <v>15.703042066422899</v>
      </c>
      <c r="C1991">
        <v>1.2575928552478399</v>
      </c>
      <c r="D1991">
        <v>0.815009009702095</v>
      </c>
      <c r="E1991">
        <v>-0.51252109525999601</v>
      </c>
      <c r="F1991">
        <v>1.49977501800632E-3</v>
      </c>
      <c r="G1991">
        <v>6.3197648550517996E-3</v>
      </c>
      <c r="H1991">
        <v>0.40622375061303001</v>
      </c>
      <c r="I1991">
        <v>-1.23508667610379E-3</v>
      </c>
    </row>
    <row r="1992" spans="1:9" x14ac:dyDescent="0.25">
      <c r="A1992" s="1">
        <v>223.09376105666101</v>
      </c>
      <c r="B1992">
        <v>15.896251190779401</v>
      </c>
      <c r="C1992">
        <v>1.11959349933399</v>
      </c>
      <c r="D1992">
        <v>0.725026411937019</v>
      </c>
      <c r="E1992">
        <v>-0.46331963163538198</v>
      </c>
      <c r="F1992">
        <v>1.18687609764459E-3</v>
      </c>
      <c r="G1992">
        <v>5.1347700357352701E-3</v>
      </c>
      <c r="H1992">
        <v>0.398862331001691</v>
      </c>
      <c r="I1992">
        <v>-9.7129353898708101E-4</v>
      </c>
    </row>
    <row r="1993" spans="1:9" x14ac:dyDescent="0.25">
      <c r="A1993" s="1">
        <v>244.15970131754801</v>
      </c>
      <c r="B1993">
        <v>16.0854150134601</v>
      </c>
      <c r="C1993">
        <v>0.98064896783002198</v>
      </c>
      <c r="D1993">
        <v>0.63433872420662596</v>
      </c>
      <c r="E1993">
        <v>-0.408674269350357</v>
      </c>
      <c r="F1993">
        <v>4.0714750976588999E-4</v>
      </c>
      <c r="G1993">
        <v>4.0706366347368602E-3</v>
      </c>
      <c r="H1993">
        <v>0.39204909861285298</v>
      </c>
      <c r="I1993">
        <v>-7.3635880838338302E-4</v>
      </c>
    </row>
    <row r="1994" spans="1:9" x14ac:dyDescent="0.25">
      <c r="A1994" s="1">
        <v>267.12157949805197</v>
      </c>
      <c r="B1994">
        <v>16.267652092827198</v>
      </c>
      <c r="C1994">
        <v>0.84165436269302896</v>
      </c>
      <c r="D1994">
        <v>0.54362331057326296</v>
      </c>
      <c r="E1994">
        <v>-0.34822408085643097</v>
      </c>
      <c r="F1994">
        <v>-6.0352923121889603E-4</v>
      </c>
      <c r="G1994">
        <v>3.1377305453780101E-3</v>
      </c>
      <c r="H1994">
        <v>0.386279389220821</v>
      </c>
      <c r="I1994">
        <v>-5.3814983442310703E-4</v>
      </c>
    </row>
    <row r="1995" spans="1:9" x14ac:dyDescent="0.25">
      <c r="A1995" s="1">
        <v>292.15002954006098</v>
      </c>
      <c r="B1995">
        <v>16.438175349263201</v>
      </c>
      <c r="C1995">
        <v>0.70302014464625395</v>
      </c>
      <c r="D1995">
        <v>0.45184494459410601</v>
      </c>
      <c r="E1995">
        <v>-0.28145697623188598</v>
      </c>
      <c r="F1995">
        <v>-1.16257097467317E-3</v>
      </c>
      <c r="G1995">
        <v>2.3409496213126898E-3</v>
      </c>
      <c r="H1995">
        <v>0.38281361627287502</v>
      </c>
      <c r="I1995">
        <v>-3.7798835901342798E-4</v>
      </c>
    </row>
    <row r="1996" spans="1:9" x14ac:dyDescent="0.25">
      <c r="A1996" s="1">
        <v>319.43101242184599</v>
      </c>
      <c r="B1996">
        <v>16.587406444502701</v>
      </c>
      <c r="C1996">
        <v>0.57208217246082504</v>
      </c>
      <c r="D1996">
        <v>0.36353401728522799</v>
      </c>
      <c r="E1996">
        <v>-0.20804569234739101</v>
      </c>
      <c r="F1996">
        <v>-8.6683840828690004E-4</v>
      </c>
      <c r="G1996">
        <v>1.6970124331837501E-3</v>
      </c>
      <c r="H1996">
        <v>0.38298428993561201</v>
      </c>
      <c r="I1996">
        <v>-2.6041116267650101E-4</v>
      </c>
    </row>
    <row r="1997" spans="1:9" x14ac:dyDescent="0.25">
      <c r="A1997" s="1">
        <v>349.16732590645501</v>
      </c>
      <c r="B1997">
        <v>16.7032220106103</v>
      </c>
      <c r="C1997">
        <v>0.46320120641794499</v>
      </c>
      <c r="D1997">
        <v>0.28801229562952002</v>
      </c>
      <c r="E1997">
        <v>-0.126677681474896</v>
      </c>
      <c r="F1997">
        <v>-9.8811899802590396E-4</v>
      </c>
      <c r="G1997">
        <v>1.25263489608127E-3</v>
      </c>
      <c r="H1997">
        <v>0.38801634019194198</v>
      </c>
      <c r="I1997">
        <v>-1.9068290411260801E-4</v>
      </c>
    </row>
    <row r="1998" spans="1:9" x14ac:dyDescent="0.25">
      <c r="A1998" s="1">
        <v>379.83785875141598</v>
      </c>
      <c r="B1998">
        <v>16.7643946613648</v>
      </c>
      <c r="C1998">
        <v>0.40101823095837802</v>
      </c>
      <c r="D1998">
        <v>0.24390229905341901</v>
      </c>
      <c r="E1998">
        <v>-4.1831900325074597E-2</v>
      </c>
      <c r="F1998">
        <v>-1.34680307954924E-3</v>
      </c>
      <c r="G1998">
        <v>1.02169522679034E-3</v>
      </c>
      <c r="H1998">
        <v>0.40927728829096599</v>
      </c>
      <c r="I1998">
        <v>-1.5123542230710701E-4</v>
      </c>
    </row>
    <row r="1999" spans="1:9" x14ac:dyDescent="0.25">
      <c r="A1999" s="1" t="s">
        <v>550</v>
      </c>
      <c r="B1999" s="1" t="s">
        <v>614</v>
      </c>
      <c r="C1999" s="1" t="s">
        <v>615</v>
      </c>
      <c r="D1999" s="1" t="s">
        <v>616</v>
      </c>
      <c r="E1999" s="1" t="s">
        <v>617</v>
      </c>
      <c r="F1999" s="1" t="s">
        <v>618</v>
      </c>
      <c r="G1999" s="1" t="s">
        <v>400</v>
      </c>
      <c r="H1999" s="1" t="s">
        <v>619</v>
      </c>
      <c r="I1999" s="1" t="s">
        <v>613</v>
      </c>
    </row>
    <row r="2000" spans="1:9" x14ac:dyDescent="0.25">
      <c r="A2000" s="1">
        <v>-141.555516719818</v>
      </c>
      <c r="B2000">
        <v>-201.184511407949</v>
      </c>
      <c r="C2000">
        <v>1.9490428431810699E-2</v>
      </c>
      <c r="D2000">
        <v>0</v>
      </c>
      <c r="E2000">
        <v>0</v>
      </c>
      <c r="F2000">
        <v>0</v>
      </c>
      <c r="G2000" s="1">
        <v>1.93270845556092E-6</v>
      </c>
      <c r="H2000">
        <v>6.0676580540522197E-2</v>
      </c>
      <c r="I2000">
        <v>0</v>
      </c>
    </row>
    <row r="2001" spans="1:9" x14ac:dyDescent="0.25">
      <c r="A2001" s="1">
        <v>-128.95890593528699</v>
      </c>
      <c r="B2001">
        <v>-183.294682946541</v>
      </c>
      <c r="C2001">
        <v>1.9972639753219199E-2</v>
      </c>
      <c r="D2001">
        <v>0</v>
      </c>
      <c r="E2001">
        <v>0</v>
      </c>
      <c r="F2001">
        <v>0</v>
      </c>
      <c r="G2001" s="1">
        <v>2.9455824411783698E-6</v>
      </c>
      <c r="H2001">
        <v>0.34472609671587801</v>
      </c>
      <c r="I2001">
        <v>0</v>
      </c>
    </row>
    <row r="2002" spans="1:9" x14ac:dyDescent="0.25">
      <c r="A2002" s="1">
        <v>-117.402367591857</v>
      </c>
      <c r="B2002">
        <v>-166.879768132903</v>
      </c>
      <c r="C2002">
        <v>2.10157294147678E-2</v>
      </c>
      <c r="D2002">
        <v>0</v>
      </c>
      <c r="E2002">
        <v>0</v>
      </c>
      <c r="F2002">
        <v>0</v>
      </c>
      <c r="G2002" s="1">
        <v>4.8852372872154603E-6</v>
      </c>
      <c r="H2002">
        <v>0.55420207734448301</v>
      </c>
      <c r="I2002">
        <v>0</v>
      </c>
    </row>
    <row r="2003" spans="1:9" x14ac:dyDescent="0.25">
      <c r="A2003" s="1">
        <v>-106.80001378059301</v>
      </c>
      <c r="B2003">
        <v>-151.818324336149</v>
      </c>
      <c r="C2003">
        <v>2.27992359805624E-2</v>
      </c>
      <c r="D2003">
        <v>0</v>
      </c>
      <c r="E2003">
        <v>0</v>
      </c>
      <c r="F2003">
        <v>0</v>
      </c>
      <c r="G2003" s="1">
        <v>7.8074457230670197E-6</v>
      </c>
      <c r="H2003">
        <v>0.66616667616256897</v>
      </c>
      <c r="I2003">
        <v>0</v>
      </c>
    </row>
    <row r="2004" spans="1:9" x14ac:dyDescent="0.25">
      <c r="A2004" s="1">
        <v>-97.073161005973802</v>
      </c>
      <c r="B2004">
        <v>-137.99892188284599</v>
      </c>
      <c r="C2004">
        <v>2.5541480490568098E-2</v>
      </c>
      <c r="D2004">
        <v>0</v>
      </c>
      <c r="E2004">
        <v>0</v>
      </c>
      <c r="F2004">
        <v>0</v>
      </c>
      <c r="G2004" s="1">
        <v>1.1933380162156801E-5</v>
      </c>
      <c r="H2004">
        <v>0.72467369523199099</v>
      </c>
      <c r="I2004">
        <v>0</v>
      </c>
    </row>
    <row r="2005" spans="1:9" x14ac:dyDescent="0.25">
      <c r="A2005" s="1">
        <v>-88.149435520172105</v>
      </c>
      <c r="B2005">
        <v>-125.31923302833</v>
      </c>
      <c r="C2005">
        <v>2.9477844786857599E-2</v>
      </c>
      <c r="D2005">
        <v>0</v>
      </c>
      <c r="E2005">
        <v>0</v>
      </c>
      <c r="F2005">
        <v>0</v>
      </c>
      <c r="G2005" s="1">
        <v>1.7663088423596201E-5</v>
      </c>
      <c r="H2005">
        <v>0.75611164156296995</v>
      </c>
      <c r="I2005">
        <v>0</v>
      </c>
    </row>
    <row r="2006" spans="1:9" x14ac:dyDescent="0.25">
      <c r="A2006" s="1">
        <v>-79.962490797042804</v>
      </c>
      <c r="B2006">
        <v>-113.685388385989</v>
      </c>
      <c r="C2006">
        <v>3.4858504787545E-2</v>
      </c>
      <c r="D2006">
        <v>0</v>
      </c>
      <c r="E2006">
        <v>0</v>
      </c>
      <c r="F2006">
        <v>0</v>
      </c>
      <c r="G2006" s="1">
        <v>2.55988349623592E-5</v>
      </c>
      <c r="H2006">
        <v>0.77365979851415401</v>
      </c>
      <c r="I2006">
        <v>0</v>
      </c>
    </row>
    <row r="2007" spans="1:9" x14ac:dyDescent="0.25">
      <c r="A2007" s="1">
        <v>-72.451583743095298</v>
      </c>
      <c r="B2007">
        <v>-103.011191269495</v>
      </c>
      <c r="C2007">
        <v>4.1953920702977002E-2</v>
      </c>
      <c r="D2007">
        <v>0</v>
      </c>
      <c r="E2007">
        <v>0</v>
      </c>
      <c r="F2007">
        <v>0</v>
      </c>
      <c r="G2007" s="1">
        <v>3.65841891125029E-5</v>
      </c>
      <c r="H2007">
        <v>0.783985470722942</v>
      </c>
      <c r="I2007">
        <v>0</v>
      </c>
    </row>
    <row r="2008" spans="1:9" x14ac:dyDescent="0.25">
      <c r="A2008" s="1">
        <v>-65.560821294784503</v>
      </c>
      <c r="B2008">
        <v>-93.217566060760007</v>
      </c>
      <c r="C2008">
        <v>5.1062189365153297E-2</v>
      </c>
      <c r="D2008">
        <v>0</v>
      </c>
      <c r="E2008">
        <v>0</v>
      </c>
      <c r="F2008">
        <v>0</v>
      </c>
      <c r="G2008" s="1">
        <v>5.1765623937427498E-5</v>
      </c>
      <c r="H2008">
        <v>0.79055837722576505</v>
      </c>
      <c r="I2008">
        <v>0</v>
      </c>
    </row>
    <row r="2009" spans="1:9" x14ac:dyDescent="0.25">
      <c r="A2009" s="1">
        <v>-59.238972067832897</v>
      </c>
      <c r="B2009">
        <v>-84.231922997274395</v>
      </c>
      <c r="C2009">
        <v>6.2515969590007298E-2</v>
      </c>
      <c r="D2009">
        <v>0</v>
      </c>
      <c r="E2009">
        <v>0</v>
      </c>
      <c r="F2009">
        <v>0</v>
      </c>
      <c r="G2009" s="1">
        <v>7.2684842014822894E-5</v>
      </c>
      <c r="H2009">
        <v>0.79521733796238803</v>
      </c>
      <c r="I2009">
        <v>0</v>
      </c>
    </row>
    <row r="2010" spans="1:9" x14ac:dyDescent="0.25">
      <c r="A2010" s="1">
        <v>-53.439136743545497</v>
      </c>
      <c r="B2010">
        <v>-75.987656688430306</v>
      </c>
      <c r="C2010">
        <v>7.6688511132238901E-2</v>
      </c>
      <c r="D2010">
        <v>0</v>
      </c>
      <c r="E2010">
        <v>0</v>
      </c>
      <c r="F2010">
        <v>0</v>
      </c>
      <c r="G2010">
        <v>1.0141389147349799E-4</v>
      </c>
      <c r="H2010">
        <v>0.79895306859537596</v>
      </c>
      <c r="I2010">
        <v>0</v>
      </c>
    </row>
    <row r="2011" spans="1:9" x14ac:dyDescent="0.25">
      <c r="A2011" s="1">
        <v>-48.118183016777003</v>
      </c>
      <c r="B2011">
        <v>-68.423644631841199</v>
      </c>
      <c r="C2011">
        <v>9.3999395269671299E-2</v>
      </c>
      <c r="D2011">
        <v>0</v>
      </c>
      <c r="E2011">
        <v>0</v>
      </c>
      <c r="F2011">
        <v>0</v>
      </c>
      <c r="G2011">
        <v>1.4075222477614999E-4</v>
      </c>
      <c r="H2011">
        <v>0.802318517282676</v>
      </c>
      <c r="I2011">
        <v>0</v>
      </c>
    </row>
    <row r="2012" spans="1:9" x14ac:dyDescent="0.25">
      <c r="A2012" s="1">
        <v>-43.236604332923797</v>
      </c>
      <c r="B2012">
        <v>-61.483783340939297</v>
      </c>
      <c r="C2012">
        <v>0.114921053317263</v>
      </c>
      <c r="D2012">
        <v>0</v>
      </c>
      <c r="E2012">
        <v>0</v>
      </c>
      <c r="F2012">
        <v>0</v>
      </c>
      <c r="G2012">
        <v>1.94514872718372E-4</v>
      </c>
      <c r="H2012">
        <v>0.80564763282084595</v>
      </c>
      <c r="I2012">
        <v>0</v>
      </c>
    </row>
    <row r="2013" spans="1:9" x14ac:dyDescent="0.25">
      <c r="A2013" s="1">
        <v>-38.758049011230398</v>
      </c>
      <c r="B2013">
        <v>-55.1166080531859</v>
      </c>
      <c r="C2013">
        <v>0.13998724337784399</v>
      </c>
      <c r="D2013">
        <v>0</v>
      </c>
      <c r="E2013">
        <v>0</v>
      </c>
      <c r="F2013">
        <v>0</v>
      </c>
      <c r="G2013">
        <v>2.6795446273766198E-4</v>
      </c>
      <c r="H2013">
        <v>0.80916960918633396</v>
      </c>
      <c r="I2013">
        <v>0</v>
      </c>
    </row>
    <row r="2014" spans="1:9" x14ac:dyDescent="0.25">
      <c r="A2014" s="1">
        <v>-34.649320244789102</v>
      </c>
      <c r="B2014">
        <v>-49.274885274582502</v>
      </c>
      <c r="C2014">
        <v>0.169804947300812</v>
      </c>
      <c r="D2014">
        <v>0</v>
      </c>
      <c r="E2014">
        <v>0</v>
      </c>
      <c r="F2014">
        <v>0</v>
      </c>
      <c r="G2014">
        <v>3.6837611705294602E-4</v>
      </c>
      <c r="H2014">
        <v>0.81306350534076099</v>
      </c>
      <c r="I2014">
        <v>0</v>
      </c>
    </row>
    <row r="2015" spans="1:9" x14ac:dyDescent="0.25">
      <c r="A2015" s="1">
        <v>-30.879811048507602</v>
      </c>
      <c r="B2015">
        <v>-43.915263830610499</v>
      </c>
      <c r="C2015">
        <v>0.20507068037974799</v>
      </c>
      <c r="D2015">
        <v>0</v>
      </c>
      <c r="E2015">
        <v>0</v>
      </c>
      <c r="F2015">
        <v>0</v>
      </c>
      <c r="G2015">
        <v>5.0602261470572801E-4</v>
      </c>
      <c r="H2015">
        <v>0.81747738508946</v>
      </c>
      <c r="I2015">
        <v>0</v>
      </c>
    </row>
    <row r="2016" spans="1:9" x14ac:dyDescent="0.25">
      <c r="A2016" s="1">
        <v>-27.4215984344482</v>
      </c>
      <c r="B2016">
        <v>-38.9979802445704</v>
      </c>
      <c r="C2016">
        <v>0.246592416450305</v>
      </c>
      <c r="D2016">
        <v>0</v>
      </c>
      <c r="E2016">
        <v>0</v>
      </c>
      <c r="F2016">
        <v>0</v>
      </c>
      <c r="G2016">
        <v>6.9532624487663895E-4</v>
      </c>
      <c r="H2016">
        <v>0.822526516418011</v>
      </c>
      <c r="I2016">
        <v>0</v>
      </c>
    </row>
    <row r="2017" spans="1:9" x14ac:dyDescent="0.25">
      <c r="A2017" s="1">
        <v>-24.248878359794599</v>
      </c>
      <c r="B2017">
        <v>-34.486542176009102</v>
      </c>
      <c r="C2017">
        <v>0.29531731616448798</v>
      </c>
      <c r="D2017">
        <v>0</v>
      </c>
      <c r="E2017">
        <v>0</v>
      </c>
      <c r="F2017">
        <v>0</v>
      </c>
      <c r="G2017">
        <v>9.5664407514902902E-4</v>
      </c>
      <c r="H2017">
        <v>0.82828123024773903</v>
      </c>
      <c r="I2017">
        <v>0</v>
      </c>
    </row>
    <row r="2018" spans="1:9" x14ac:dyDescent="0.25">
      <c r="A2018" s="1">
        <v>-21.3381540775299</v>
      </c>
      <c r="B2018">
        <v>-30.347462007516</v>
      </c>
      <c r="C2018">
        <v>0.35236565187702801</v>
      </c>
      <c r="D2018">
        <v>0</v>
      </c>
      <c r="E2018">
        <v>0</v>
      </c>
      <c r="F2018">
        <v>0</v>
      </c>
      <c r="G2018">
        <v>1.3186155584907001E-3</v>
      </c>
      <c r="H2018">
        <v>0.834754527027051</v>
      </c>
      <c r="I2018">
        <v>0</v>
      </c>
    </row>
    <row r="2019" spans="1:9" x14ac:dyDescent="0.25">
      <c r="A2019" s="1">
        <v>-18.6677181720733</v>
      </c>
      <c r="B2019">
        <v>-26.550019684732799</v>
      </c>
      <c r="C2019">
        <v>0.419069346459363</v>
      </c>
      <c r="D2019">
        <v>0</v>
      </c>
      <c r="E2019">
        <v>0</v>
      </c>
      <c r="F2019">
        <v>0</v>
      </c>
      <c r="G2019">
        <v>1.8213095947885399E-3</v>
      </c>
      <c r="H2019">
        <v>0.84189692731094601</v>
      </c>
      <c r="I2019">
        <v>0</v>
      </c>
    </row>
    <row r="2020" spans="1:9" x14ac:dyDescent="0.25">
      <c r="A2020" s="1">
        <v>-16.2178409099578</v>
      </c>
      <c r="B2020">
        <v>-23.066025556364</v>
      </c>
      <c r="C2020">
        <v>0.49701432128642498</v>
      </c>
      <c r="D2020">
        <v>0</v>
      </c>
      <c r="E2020">
        <v>0</v>
      </c>
      <c r="F2020">
        <v>0</v>
      </c>
      <c r="G2020">
        <v>2.5203698180951001E-3</v>
      </c>
      <c r="H2020">
        <v>0.84960282692661004</v>
      </c>
      <c r="I2020">
        <v>0</v>
      </c>
    </row>
    <row r="2021" spans="1:9" x14ac:dyDescent="0.25">
      <c r="A2021" s="1">
        <v>-13.9702051877975</v>
      </c>
      <c r="B2021">
        <v>-19.869613642754</v>
      </c>
      <c r="C2021">
        <v>0.58808438219929104</v>
      </c>
      <c r="D2021">
        <v>0</v>
      </c>
      <c r="E2021">
        <v>0</v>
      </c>
      <c r="F2021">
        <v>0</v>
      </c>
      <c r="G2021">
        <v>3.4924331227693898E-3</v>
      </c>
      <c r="H2021">
        <v>0.85772731744420705</v>
      </c>
      <c r="I2021">
        <v>0</v>
      </c>
    </row>
    <row r="2022" spans="1:9" x14ac:dyDescent="0.25">
      <c r="A2022" s="1">
        <v>-11.908189058303799</v>
      </c>
      <c r="B2022">
        <v>-16.937052273560301</v>
      </c>
      <c r="C2022">
        <v>0.69450405034485496</v>
      </c>
      <c r="D2022">
        <v>0</v>
      </c>
      <c r="E2022">
        <v>0</v>
      </c>
      <c r="F2022">
        <v>0</v>
      </c>
      <c r="G2022">
        <v>4.8421837067007803E-3</v>
      </c>
      <c r="H2022">
        <v>0.86610832835982998</v>
      </c>
      <c r="I2022">
        <v>0</v>
      </c>
    </row>
    <row r="2023" spans="1:9" x14ac:dyDescent="0.25">
      <c r="A2023" s="1">
        <v>-10.016394853591899</v>
      </c>
      <c r="B2023">
        <v>-14.246566870735</v>
      </c>
      <c r="C2023">
        <v>0.81887958678802497</v>
      </c>
      <c r="D2023">
        <v>0</v>
      </c>
      <c r="E2023">
        <v>0</v>
      </c>
      <c r="F2023">
        <v>0</v>
      </c>
      <c r="G2023">
        <v>6.7115487806904597E-3</v>
      </c>
      <c r="H2023">
        <v>0.87458770234546002</v>
      </c>
      <c r="I2023">
        <v>0</v>
      </c>
    </row>
    <row r="2024" spans="1:9" x14ac:dyDescent="0.25">
      <c r="A2024" s="1">
        <v>-8.2808375358581507</v>
      </c>
      <c r="B2024">
        <v>-11.778179055844401</v>
      </c>
      <c r="C2024">
        <v>0.96423533166253905</v>
      </c>
      <c r="D2024">
        <v>0</v>
      </c>
      <c r="E2024">
        <v>0</v>
      </c>
      <c r="F2024">
        <v>0</v>
      </c>
      <c r="G2024">
        <v>9.29170740397239E-3</v>
      </c>
      <c r="H2024">
        <v>0.883026421260523</v>
      </c>
      <c r="I2024">
        <v>0</v>
      </c>
    </row>
    <row r="2025" spans="1:9" x14ac:dyDescent="0.25">
      <c r="A2025" s="1">
        <v>-6.6885209083557102</v>
      </c>
      <c r="B2025">
        <v>-9.5135592086436098</v>
      </c>
      <c r="C2025">
        <v>1.1340461804986699</v>
      </c>
      <c r="D2025">
        <v>0</v>
      </c>
      <c r="E2025">
        <v>0</v>
      </c>
      <c r="F2025">
        <v>0</v>
      </c>
      <c r="G2025">
        <v>1.2838824731215901E-2</v>
      </c>
      <c r="H2025">
        <v>0.89131241996198296</v>
      </c>
      <c r="I2025">
        <v>0</v>
      </c>
    </row>
    <row r="2026" spans="1:9" x14ac:dyDescent="0.25">
      <c r="A2026" s="1">
        <v>-5.2277201414108196</v>
      </c>
      <c r="B2026">
        <v>-7.4358888202542301</v>
      </c>
      <c r="C2026">
        <v>1.33226551815707</v>
      </c>
      <c r="D2026">
        <v>0</v>
      </c>
      <c r="E2026">
        <v>0</v>
      </c>
      <c r="F2026">
        <v>0</v>
      </c>
      <c r="G2026">
        <v>1.76946692923775E-2</v>
      </c>
      <c r="H2026">
        <v>0.89936152694392901</v>
      </c>
      <c r="I2026">
        <v>0</v>
      </c>
    </row>
    <row r="2027" spans="1:9" x14ac:dyDescent="0.25">
      <c r="A2027" s="1">
        <v>-3.88755798339843</v>
      </c>
      <c r="B2027">
        <v>-5.5297378647336703</v>
      </c>
      <c r="C2027">
        <v>1.5633491826388799</v>
      </c>
      <c r="D2027">
        <v>0</v>
      </c>
      <c r="E2027">
        <v>0</v>
      </c>
      <c r="F2027">
        <v>0</v>
      </c>
      <c r="G2027">
        <v>2.43136040369063E-2</v>
      </c>
      <c r="H2027">
        <v>0.90711413285594</v>
      </c>
      <c r="I2027">
        <v>0</v>
      </c>
    </row>
    <row r="2028" spans="1:9" x14ac:dyDescent="0.25">
      <c r="A2028" s="1">
        <v>-2.6580518484115601</v>
      </c>
      <c r="B2028">
        <v>-3.7809483085954501</v>
      </c>
      <c r="C2028">
        <v>1.8322773544166899</v>
      </c>
      <c r="D2028">
        <v>0</v>
      </c>
      <c r="E2028">
        <v>0</v>
      </c>
      <c r="F2028">
        <v>0</v>
      </c>
      <c r="G2028">
        <v>3.3297564722124598E-2</v>
      </c>
      <c r="H2028">
        <v>0.91452947961182796</v>
      </c>
      <c r="I2028">
        <v>0</v>
      </c>
    </row>
    <row r="2029" spans="1:9" x14ac:dyDescent="0.25">
      <c r="A2029" s="1">
        <v>-1.5300196409225399</v>
      </c>
      <c r="B2029">
        <v>-2.17653276931587</v>
      </c>
      <c r="C2029">
        <v>2.14457258294247</v>
      </c>
      <c r="D2029">
        <v>0</v>
      </c>
      <c r="E2029">
        <v>0</v>
      </c>
      <c r="F2029">
        <v>0</v>
      </c>
      <c r="G2029">
        <v>4.5435425562827703E-2</v>
      </c>
      <c r="H2029">
        <v>0.92157045443748897</v>
      </c>
      <c r="I2029">
        <v>0</v>
      </c>
    </row>
    <row r="2030" spans="1:9" x14ac:dyDescent="0.25">
      <c r="A2030" s="1">
        <v>-0.49517393112182601</v>
      </c>
      <c r="B2030">
        <v>-0.70457265146169401</v>
      </c>
      <c r="C2030">
        <v>2.5063318337726899</v>
      </c>
      <c r="D2030">
        <v>0</v>
      </c>
      <c r="E2030">
        <v>0</v>
      </c>
      <c r="F2030">
        <v>0</v>
      </c>
      <c r="G2030">
        <v>6.3512617684827993E-2</v>
      </c>
      <c r="H2030">
        <v>0.93019509864559902</v>
      </c>
      <c r="I2030">
        <v>0</v>
      </c>
    </row>
    <row r="2031" spans="1:9" x14ac:dyDescent="0.25">
      <c r="A2031" s="1">
        <v>0.49376130104064903</v>
      </c>
      <c r="B2031">
        <v>0.35087810743507297</v>
      </c>
      <c r="C2031">
        <v>2.8272443053385699</v>
      </c>
      <c r="D2031">
        <v>0.24916744969184601</v>
      </c>
      <c r="E2031">
        <v>-3.65988096880315E-4</v>
      </c>
      <c r="F2031" s="1">
        <v>9.1830949079718698E-5</v>
      </c>
      <c r="G2031">
        <v>2.9852732081449899E-2</v>
      </c>
      <c r="H2031">
        <v>0.82457617154203</v>
      </c>
      <c r="I2031" s="1">
        <v>6.5365080829157802E-7</v>
      </c>
    </row>
    <row r="2032" spans="1:9" x14ac:dyDescent="0.25">
      <c r="A2032" s="1">
        <v>1.5257111191749499</v>
      </c>
      <c r="B2032">
        <v>1.0834997928505801</v>
      </c>
      <c r="C2032">
        <v>3.1040035641180701</v>
      </c>
      <c r="D2032">
        <v>0.84499587649250996</v>
      </c>
      <c r="E2032">
        <v>-3.4493995406418001E-3</v>
      </c>
      <c r="F2032">
        <v>3.1205634870058502E-4</v>
      </c>
      <c r="G2032">
        <v>4.8063927715617898E-2</v>
      </c>
      <c r="H2032">
        <v>0.87580630437312101</v>
      </c>
      <c r="I2032" s="1">
        <v>2.47441085660064E-5</v>
      </c>
    </row>
    <row r="2033" spans="1:9" x14ac:dyDescent="0.25">
      <c r="A2033" s="1">
        <v>2.6505178213119498</v>
      </c>
      <c r="B2033">
        <v>1.8760926577067001</v>
      </c>
      <c r="C2033">
        <v>3.4811218288706098</v>
      </c>
      <c r="D2033">
        <v>1.6197264146385599</v>
      </c>
      <c r="E2033">
        <v>-1.3874800678673801E-2</v>
      </c>
      <c r="F2033">
        <v>5.9565556640274095E-4</v>
      </c>
      <c r="G2033">
        <v>6.7539852311266205E-2</v>
      </c>
      <c r="H2033">
        <v>0.89589003640251996</v>
      </c>
      <c r="I2033">
        <v>1.36211437108091E-4</v>
      </c>
    </row>
    <row r="2034" spans="1:9" x14ac:dyDescent="0.25">
      <c r="A2034" s="1">
        <v>3.8765159249305698</v>
      </c>
      <c r="B2034">
        <v>2.7248809478050098</v>
      </c>
      <c r="C2034">
        <v>3.9921718967930699</v>
      </c>
      <c r="D2034">
        <v>2.6001821904245301</v>
      </c>
      <c r="E2034">
        <v>-3.6018107324904597E-2</v>
      </c>
      <c r="F2034">
        <v>9.3515709371605102E-4</v>
      </c>
      <c r="G2034">
        <v>8.44883395463491E-2</v>
      </c>
      <c r="H2034">
        <v>0.89867342858640498</v>
      </c>
      <c r="I2034">
        <v>3.3996989765151499E-4</v>
      </c>
    </row>
    <row r="2035" spans="1:9" x14ac:dyDescent="0.25">
      <c r="A2035" s="1">
        <v>5.2129346132278398</v>
      </c>
      <c r="B2035">
        <v>3.6195382783925099</v>
      </c>
      <c r="C2035">
        <v>4.6477874045934602</v>
      </c>
      <c r="D2035">
        <v>3.7623142295827998</v>
      </c>
      <c r="E2035">
        <v>-7.4631196874305306E-2</v>
      </c>
      <c r="F2035">
        <v>1.29222048503106E-3</v>
      </c>
      <c r="G2035">
        <v>9.5264533514938604E-2</v>
      </c>
      <c r="H2035">
        <v>0.88827476641423297</v>
      </c>
      <c r="I2035">
        <v>6.8835577429498195E-4</v>
      </c>
    </row>
    <row r="2036" spans="1:9" x14ac:dyDescent="0.25">
      <c r="A2036" s="1">
        <v>6.6695916652679399</v>
      </c>
      <c r="B2036">
        <v>4.54178347986098</v>
      </c>
      <c r="C2036">
        <v>5.4105996875570002</v>
      </c>
      <c r="D2036">
        <v>5.0038131447060898</v>
      </c>
      <c r="E2036">
        <v>-0.132224920748026</v>
      </c>
      <c r="F2036">
        <v>1.59832516415848E-3</v>
      </c>
      <c r="G2036">
        <v>9.9585803396536304E-2</v>
      </c>
      <c r="H2036">
        <v>0.86700065105563295</v>
      </c>
      <c r="I2036">
        <v>1.5784935488971799E-3</v>
      </c>
    </row>
    <row r="2037" spans="1:9" x14ac:dyDescent="0.25">
      <c r="A2037" s="1">
        <v>8.2573878765106201</v>
      </c>
      <c r="B2037">
        <v>5.4663731175279198</v>
      </c>
      <c r="C2037">
        <v>6.1891016134883197</v>
      </c>
      <c r="D2037">
        <v>6.1590993088041097</v>
      </c>
      <c r="E2037">
        <v>-0.20707011913741999</v>
      </c>
      <c r="F2037">
        <v>1.7756726522315999E-3</v>
      </c>
      <c r="G2037">
        <v>0.10072346359835201</v>
      </c>
      <c r="H2037">
        <v>0.83868087108362499</v>
      </c>
      <c r="I2037">
        <v>3.9737201285527397E-3</v>
      </c>
    </row>
    <row r="2038" spans="1:9" x14ac:dyDescent="0.25">
      <c r="A2038" s="1">
        <v>9.9880245327949506</v>
      </c>
      <c r="B2038">
        <v>6.3651781360423199</v>
      </c>
      <c r="C2038">
        <v>6.8665057327582799</v>
      </c>
      <c r="D2038">
        <v>7.0635296882042899</v>
      </c>
      <c r="E2038">
        <v>-0.29307225529155301</v>
      </c>
      <c r="F2038">
        <v>1.7630468150102599E-3</v>
      </c>
      <c r="G2038">
        <v>0.102482654716781</v>
      </c>
      <c r="H2038">
        <v>0.80897174101559199</v>
      </c>
      <c r="I2038">
        <v>7.9784681762507404E-3</v>
      </c>
    </row>
    <row r="2039" spans="1:9" x14ac:dyDescent="0.25">
      <c r="A2039" s="1">
        <v>11.874474287032999</v>
      </c>
      <c r="B2039">
        <v>7.2132789755975804</v>
      </c>
      <c r="C2039">
        <v>7.3491606171380903</v>
      </c>
      <c r="D2039">
        <v>7.6216344619252396</v>
      </c>
      <c r="E2039">
        <v>-0.38212771175433902</v>
      </c>
      <c r="F2039">
        <v>1.5609446537059499E-3</v>
      </c>
      <c r="G2039">
        <v>0.10586554827183201</v>
      </c>
      <c r="H2039">
        <v>0.78171979131763203</v>
      </c>
      <c r="I2039">
        <v>1.09034467131791E-2</v>
      </c>
    </row>
    <row r="2040" spans="1:9" x14ac:dyDescent="0.25">
      <c r="A2040" s="1">
        <v>13.9306750893592</v>
      </c>
      <c r="B2040">
        <v>7.99389473859127</v>
      </c>
      <c r="C2040">
        <v>7.5971933479918796</v>
      </c>
      <c r="D2040">
        <v>7.82750236564672</v>
      </c>
      <c r="E2040">
        <v>-0.46711198046533797</v>
      </c>
      <c r="F2040">
        <v>1.2419315802693399E-3</v>
      </c>
      <c r="G2040">
        <v>0.109175703599015</v>
      </c>
      <c r="H2040">
        <v>0.75711369904181203</v>
      </c>
      <c r="I2040">
        <v>1.00662738829061E-2</v>
      </c>
    </row>
    <row r="2041" spans="1:9" x14ac:dyDescent="0.25">
      <c r="A2041" s="1">
        <v>16.171883344650201</v>
      </c>
      <c r="B2041">
        <v>8.6996933157360203</v>
      </c>
      <c r="C2041">
        <v>7.6214890747329802</v>
      </c>
      <c r="D2041">
        <v>7.73771358783788</v>
      </c>
      <c r="E2041">
        <v>-0.54342424708918902</v>
      </c>
      <c r="F2041">
        <v>9.2455971798065402E-4</v>
      </c>
      <c r="G2041">
        <v>0.11042108108576799</v>
      </c>
      <c r="H2041">
        <v>0.73375304308047695</v>
      </c>
      <c r="I2041">
        <v>5.8192564754776504E-3</v>
      </c>
    </row>
    <row r="2042" spans="1:9" x14ac:dyDescent="0.25">
      <c r="A2042" s="1">
        <v>18.614838719367899</v>
      </c>
      <c r="B2042">
        <v>9.3309400754785106</v>
      </c>
      <c r="C2042">
        <v>7.4623087151193701</v>
      </c>
      <c r="D2042">
        <v>7.4322264694964497</v>
      </c>
      <c r="E2042">
        <v>-0.60896807053812696</v>
      </c>
      <c r="F2042">
        <v>7.3227246647212705E-4</v>
      </c>
      <c r="G2042">
        <v>0.108794788764509</v>
      </c>
      <c r="H2042">
        <v>0.710562107071527</v>
      </c>
      <c r="I2042">
        <v>2.5711574959944603E-4</v>
      </c>
    </row>
    <row r="2043" spans="1:9" x14ac:dyDescent="0.25">
      <c r="A2043" s="1">
        <v>21.2777170538902</v>
      </c>
      <c r="B2043">
        <v>9.8925746320551209</v>
      </c>
      <c r="C2043">
        <v>7.1689367417142602</v>
      </c>
      <c r="D2043">
        <v>6.9876644868181996</v>
      </c>
      <c r="E2043">
        <v>-0.66342046436128199</v>
      </c>
      <c r="F2043">
        <v>7.5405020775020498E-4</v>
      </c>
      <c r="G2043">
        <v>0.104621620190713</v>
      </c>
      <c r="H2043">
        <v>0.68718995716857101</v>
      </c>
      <c r="I2043">
        <v>-4.8986292310636099E-3</v>
      </c>
    </row>
    <row r="2044" spans="1:9" x14ac:dyDescent="0.25">
      <c r="A2044" s="1">
        <v>24.180224537849401</v>
      </c>
      <c r="B2044">
        <v>10.3917556649809</v>
      </c>
      <c r="C2044">
        <v>6.78770814702842</v>
      </c>
      <c r="D2044">
        <v>6.4660099234909696</v>
      </c>
      <c r="E2044">
        <v>-0.70745779228042704</v>
      </c>
      <c r="F2044">
        <v>1.0266505431811501E-3</v>
      </c>
      <c r="G2044">
        <v>9.8712741229549594E-2</v>
      </c>
      <c r="H2044">
        <v>0.66375199516588101</v>
      </c>
      <c r="I2044">
        <v>-8.89531101435884E-3</v>
      </c>
    </row>
    <row r="2045" spans="1:9" x14ac:dyDescent="0.25">
      <c r="A2045" s="1">
        <v>27.343950867652801</v>
      </c>
      <c r="B2045">
        <v>10.8363104986762</v>
      </c>
      <c r="C2045">
        <v>6.3571676108150097</v>
      </c>
      <c r="D2045">
        <v>5.9131603667845702</v>
      </c>
      <c r="E2045">
        <v>-0.74219122240249102</v>
      </c>
      <c r="F2045">
        <v>1.48304679547156E-3</v>
      </c>
      <c r="G2045">
        <v>9.1841904976529207E-2</v>
      </c>
      <c r="H2045">
        <v>0.64059250477576202</v>
      </c>
      <c r="I2045">
        <v>-1.16221451062273E-2</v>
      </c>
    </row>
    <row r="2046" spans="1:9" x14ac:dyDescent="0.25">
      <c r="A2046" s="1">
        <v>30.7923927903175</v>
      </c>
      <c r="B2046">
        <v>11.233978697917401</v>
      </c>
      <c r="C2046">
        <v>5.9071029358846996</v>
      </c>
      <c r="D2046">
        <v>5.36104379864938</v>
      </c>
      <c r="E2046">
        <v>-0.768839434962452</v>
      </c>
      <c r="F2046">
        <v>2.0322703618338299E-3</v>
      </c>
      <c r="G2046">
        <v>8.4549431838995104E-2</v>
      </c>
      <c r="H2046">
        <v>0.61814057212908702</v>
      </c>
      <c r="I2046">
        <v>-1.32161867579324E-2</v>
      </c>
    </row>
    <row r="2047" spans="1:9" x14ac:dyDescent="0.25">
      <c r="A2047" s="1">
        <v>34.551213085651298</v>
      </c>
      <c r="B2047">
        <v>11.59201714944</v>
      </c>
      <c r="C2047">
        <v>5.4591734006663497</v>
      </c>
      <c r="D2047">
        <v>4.8307609922612</v>
      </c>
      <c r="E2047">
        <v>-0.78857336072725503</v>
      </c>
      <c r="F2047">
        <v>2.62033433222668E-3</v>
      </c>
      <c r="G2047">
        <v>7.7152745381410301E-2</v>
      </c>
      <c r="H2047">
        <v>0.59681811710211097</v>
      </c>
      <c r="I2047">
        <v>-1.38751345329487E-2</v>
      </c>
    </row>
    <row r="2048" spans="1:9" x14ac:dyDescent="0.25">
      <c r="A2048" s="1">
        <v>38.6483111977577</v>
      </c>
      <c r="B2048">
        <v>11.9169994684672</v>
      </c>
      <c r="C2048">
        <v>5.0280377035576196</v>
      </c>
      <c r="D2048">
        <v>4.3352547462433</v>
      </c>
      <c r="E2048">
        <v>-0.80241361161497005</v>
      </c>
      <c r="F2048">
        <v>3.1159764656976102E-3</v>
      </c>
      <c r="G2048">
        <v>6.9841546519618602E-2</v>
      </c>
      <c r="H2048">
        <v>0.577021873666269</v>
      </c>
      <c r="I2048">
        <v>-1.37979749604639E-2</v>
      </c>
    </row>
    <row r="2049" spans="1:9" x14ac:dyDescent="0.25">
      <c r="A2049" s="1">
        <v>43.1141293048858</v>
      </c>
      <c r="B2049">
        <v>12.214774208403099</v>
      </c>
      <c r="C2049">
        <v>4.6227760541027596</v>
      </c>
      <c r="D2049">
        <v>3.88163259569362</v>
      </c>
      <c r="E2049">
        <v>-0.811200093035641</v>
      </c>
      <c r="F2049">
        <v>3.47205504554551E-3</v>
      </c>
      <c r="G2049">
        <v>6.2743107957802205E-2</v>
      </c>
      <c r="H2049">
        <v>0.55902716413827203</v>
      </c>
      <c r="I2049">
        <v>-1.31713726346275E-2</v>
      </c>
    </row>
    <row r="2050" spans="1:9" x14ac:dyDescent="0.25">
      <c r="A2050" s="1">
        <v>47.981887757778097</v>
      </c>
      <c r="B2050">
        <v>12.4903582955515</v>
      </c>
      <c r="C2050">
        <v>4.2483191314114404</v>
      </c>
      <c r="D2050">
        <v>3.47315798918806</v>
      </c>
      <c r="E2050">
        <v>-0.81563717283724602</v>
      </c>
      <c r="F2050">
        <v>3.6307704524074398E-3</v>
      </c>
      <c r="G2050">
        <v>5.59474523432048E-2</v>
      </c>
      <c r="H2050">
        <v>0.54286245323684201</v>
      </c>
      <c r="I2050">
        <v>-1.21755192088168E-2</v>
      </c>
    </row>
    <row r="2051" spans="1:9" x14ac:dyDescent="0.25">
      <c r="A2051" s="1">
        <v>53.287820518016801</v>
      </c>
      <c r="B2051">
        <v>12.747955834752799</v>
      </c>
      <c r="C2051">
        <v>3.9063276632896402</v>
      </c>
      <c r="D2051">
        <v>3.1096585585991701</v>
      </c>
      <c r="E2051">
        <v>-0.81625840804212002</v>
      </c>
      <c r="F2051">
        <v>3.5352987386560999E-3</v>
      </c>
      <c r="G2051">
        <v>4.9550703037782702E-2</v>
      </c>
      <c r="H2051">
        <v>0.52851830221726703</v>
      </c>
      <c r="I2051">
        <v>-1.09733848902921E-2</v>
      </c>
    </row>
    <row r="2052" spans="1:9" x14ac:dyDescent="0.25">
      <c r="A2052" s="1">
        <v>59.071175158023799</v>
      </c>
      <c r="B2052">
        <v>12.991085569820299</v>
      </c>
      <c r="C2052">
        <v>3.5964019190783501</v>
      </c>
      <c r="D2052">
        <v>2.78886745924977</v>
      </c>
      <c r="E2052">
        <v>-0.81347114686767097</v>
      </c>
      <c r="F2052">
        <v>3.1351132116159402E-3</v>
      </c>
      <c r="G2052">
        <v>4.3650033378229501E-2</v>
      </c>
      <c r="H2052">
        <v>0.51589228721624703</v>
      </c>
      <c r="I2052">
        <v>-9.7171983582897605E-3</v>
      </c>
    </row>
    <row r="2053" spans="1:9" x14ac:dyDescent="0.25">
      <c r="A2053" s="1">
        <v>65.375131070613804</v>
      </c>
      <c r="B2053">
        <v>13.2226414794838</v>
      </c>
      <c r="C2053">
        <v>3.3171329698119001</v>
      </c>
      <c r="D2053">
        <v>2.5079097615799602</v>
      </c>
      <c r="E2053">
        <v>-0.80757864394573198</v>
      </c>
      <c r="F2053">
        <v>2.52034142728143E-3</v>
      </c>
      <c r="G2053">
        <v>3.82946262051264E-2</v>
      </c>
      <c r="H2053">
        <v>0.50458513331177501</v>
      </c>
      <c r="I2053">
        <v>-8.5059875845753703E-3</v>
      </c>
    </row>
    <row r="2054" spans="1:9" x14ac:dyDescent="0.25">
      <c r="A2054" s="1">
        <v>72.246375679969702</v>
      </c>
      <c r="B2054">
        <v>13.4450118797635</v>
      </c>
      <c r="C2054">
        <v>3.0658837949079798</v>
      </c>
      <c r="D2054">
        <v>2.2627084623329501</v>
      </c>
      <c r="E2054">
        <v>-0.79881550090157905</v>
      </c>
      <c r="F2054">
        <v>1.7907995342528299E-3</v>
      </c>
      <c r="G2054">
        <v>3.3509286840103299E-2</v>
      </c>
      <c r="H2054">
        <v>0.49432742805353902</v>
      </c>
      <c r="I2054">
        <v>-7.4010611421230204E-3</v>
      </c>
    </row>
    <row r="2055" spans="1:9" x14ac:dyDescent="0.25">
      <c r="A2055" s="1">
        <v>79.736069738864799</v>
      </c>
      <c r="B2055">
        <v>13.660154646522299</v>
      </c>
      <c r="C2055">
        <v>2.8392920214430699</v>
      </c>
      <c r="D2055">
        <v>2.0487812823409701</v>
      </c>
      <c r="E2055">
        <v>-0.78731971862926897</v>
      </c>
      <c r="F2055">
        <v>1.12727705382264E-3</v>
      </c>
      <c r="G2055">
        <v>2.9254339256289001E-2</v>
      </c>
      <c r="H2055">
        <v>0.48467461344332702</v>
      </c>
      <c r="I2055">
        <v>-6.4103259991830303E-3</v>
      </c>
    </row>
    <row r="2056" spans="1:9" x14ac:dyDescent="0.25">
      <c r="A2056" s="1">
        <v>87.899753153324099</v>
      </c>
      <c r="B2056">
        <v>13.8696494533484</v>
      </c>
      <c r="C2056">
        <v>2.6337400440328098</v>
      </c>
      <c r="D2056">
        <v>1.86141784829042</v>
      </c>
      <c r="E2056">
        <v>-0.77313400779126895</v>
      </c>
      <c r="F2056">
        <v>7.3965820718260205E-4</v>
      </c>
      <c r="G2056">
        <v>2.54921162887785E-2</v>
      </c>
      <c r="H2056">
        <v>0.47551118028113698</v>
      </c>
      <c r="I2056">
        <v>-5.5409370603504097E-3</v>
      </c>
    </row>
    <row r="2057" spans="1:9" x14ac:dyDescent="0.25">
      <c r="A2057" s="1">
        <v>96.798263192176805</v>
      </c>
      <c r="B2057">
        <v>14.074718666709</v>
      </c>
      <c r="C2057">
        <v>2.4459433184861399</v>
      </c>
      <c r="D2057">
        <v>1.6967394905768201</v>
      </c>
      <c r="E2057">
        <v>-0.75633391885710699</v>
      </c>
      <c r="F2057">
        <v>8.0717513449462305E-4</v>
      </c>
      <c r="G2057">
        <v>2.2177384395020299E-2</v>
      </c>
      <c r="H2057">
        <v>0.46659523218751497</v>
      </c>
      <c r="I2057">
        <v>-4.7827227048230399E-3</v>
      </c>
    </row>
    <row r="2058" spans="1:9" x14ac:dyDescent="0.25">
      <c r="A2058" s="1">
        <v>106.497616767883</v>
      </c>
      <c r="B2058">
        <v>14.2764237603908</v>
      </c>
      <c r="C2058">
        <v>2.2726037091973601</v>
      </c>
      <c r="D2058">
        <v>1.55076416930567</v>
      </c>
      <c r="E2058">
        <v>-0.73683093581634795</v>
      </c>
      <c r="F2058">
        <v>1.06406250579328E-3</v>
      </c>
      <c r="G2058">
        <v>1.9271047677003099E-2</v>
      </c>
      <c r="H2058">
        <v>0.45790845738312702</v>
      </c>
      <c r="I2058">
        <v>-4.1282747613603302E-3</v>
      </c>
    </row>
    <row r="2059" spans="1:9" x14ac:dyDescent="0.25">
      <c r="A2059" s="1">
        <v>117.06990510225199</v>
      </c>
      <c r="B2059">
        <v>14.475907699278499</v>
      </c>
      <c r="C2059">
        <v>2.1097977324180901</v>
      </c>
      <c r="D2059">
        <v>1.4196054553786499</v>
      </c>
      <c r="E2059">
        <v>-0.71438809325738495</v>
      </c>
      <c r="F2059">
        <v>1.2424548321665399E-3</v>
      </c>
      <c r="G2059">
        <v>1.6730006376267099E-2</v>
      </c>
      <c r="H2059">
        <v>0.450057097137679</v>
      </c>
      <c r="I2059">
        <v>-3.5644309585859501E-3</v>
      </c>
    </row>
    <row r="2060" spans="1:9" x14ac:dyDescent="0.25">
      <c r="A2060" s="1">
        <v>128.593670427799</v>
      </c>
      <c r="B2060">
        <v>14.6741316604232</v>
      </c>
      <c r="C2060">
        <v>1.9555503409945301</v>
      </c>
      <c r="D2060">
        <v>1.3005063373371799</v>
      </c>
      <c r="E2060">
        <v>-0.689041597517559</v>
      </c>
      <c r="F2060">
        <v>1.5366237050457999E-3</v>
      </c>
      <c r="G2060">
        <v>1.4478769288603499E-2</v>
      </c>
      <c r="H2060">
        <v>0.44264077407421198</v>
      </c>
      <c r="I2060">
        <v>-3.0617167116914201E-3</v>
      </c>
    </row>
    <row r="2061" spans="1:9" x14ac:dyDescent="0.25">
      <c r="A2061" s="1">
        <v>141.15461230278001</v>
      </c>
      <c r="B2061">
        <v>14.871513546890499</v>
      </c>
      <c r="C2061">
        <v>1.8080063783570599</v>
      </c>
      <c r="D2061">
        <v>1.1912926066265099</v>
      </c>
      <c r="E2061">
        <v>-0.66057415336036995</v>
      </c>
      <c r="F2061">
        <v>2.1683548973501199E-3</v>
      </c>
      <c r="G2061">
        <v>1.2468735489543499E-2</v>
      </c>
      <c r="H2061">
        <v>0.43544672693030301</v>
      </c>
      <c r="I2061">
        <v>-2.6112694236056001E-3</v>
      </c>
    </row>
    <row r="2062" spans="1:9" x14ac:dyDescent="0.25">
      <c r="A2062" s="1">
        <v>154.84601140022201</v>
      </c>
      <c r="B2062">
        <v>15.067861123270299</v>
      </c>
      <c r="C2062">
        <v>1.6657061265694</v>
      </c>
      <c r="D2062">
        <v>1.0896897610571701</v>
      </c>
      <c r="E2062">
        <v>-0.62881008131878602</v>
      </c>
      <c r="F2062">
        <v>2.28525655194225E-3</v>
      </c>
      <c r="G2062">
        <v>1.0664826771285E-2</v>
      </c>
      <c r="H2062">
        <v>0.42797159722308797</v>
      </c>
      <c r="I2062">
        <v>-2.2061136614732E-3</v>
      </c>
    </row>
    <row r="2063" spans="1:9" x14ac:dyDescent="0.25">
      <c r="A2063" s="1">
        <v>169.76969480514501</v>
      </c>
      <c r="B2063">
        <v>15.263117972648701</v>
      </c>
      <c r="C2063">
        <v>1.5263477722554</v>
      </c>
      <c r="D2063">
        <v>0.99348633876669901</v>
      </c>
      <c r="E2063">
        <v>-0.59328571097070504</v>
      </c>
      <c r="F2063">
        <v>1.9014966733108499E-3</v>
      </c>
      <c r="G2063">
        <v>9.0501836019208394E-3</v>
      </c>
      <c r="H2063">
        <v>0.42050548617748201</v>
      </c>
      <c r="I2063">
        <v>-1.8432499662347499E-3</v>
      </c>
    </row>
    <row r="2064" spans="1:9" x14ac:dyDescent="0.25">
      <c r="A2064" s="1">
        <v>186.03645980358101</v>
      </c>
      <c r="B2064">
        <v>15.4578043843423</v>
      </c>
      <c r="C2064">
        <v>1.3880903225302199</v>
      </c>
      <c r="D2064">
        <v>0.90087399262007595</v>
      </c>
      <c r="E2064">
        <v>-0.55352133745779497</v>
      </c>
      <c r="F2064">
        <v>1.7251055942965399E-3</v>
      </c>
      <c r="G2064">
        <v>7.6053699978036104E-3</v>
      </c>
      <c r="H2064">
        <v>0.41358899217709499</v>
      </c>
      <c r="I2064">
        <v>-1.5212224858560501E-3</v>
      </c>
    </row>
    <row r="2065" spans="1:9" x14ac:dyDescent="0.25">
      <c r="A2065" s="1">
        <v>203.76720398664401</v>
      </c>
      <c r="B2065">
        <v>15.6514711125558</v>
      </c>
      <c r="C2065">
        <v>1.2508875665839501</v>
      </c>
      <c r="D2065">
        <v>0.81027210259460103</v>
      </c>
      <c r="E2065">
        <v>-0.50940859004640604</v>
      </c>
      <c r="F2065">
        <v>1.4983187633542301E-3</v>
      </c>
      <c r="G2065">
        <v>6.3056654824529199E-3</v>
      </c>
      <c r="H2065">
        <v>0.40628993067708302</v>
      </c>
      <c r="I2065">
        <v>-1.2338131980897801E-3</v>
      </c>
    </row>
    <row r="2066" spans="1:9" x14ac:dyDescent="0.25">
      <c r="A2066" s="1">
        <v>223.09376105666101</v>
      </c>
      <c r="B2066">
        <v>15.8424611716335</v>
      </c>
      <c r="C2066">
        <v>1.1137997653923399</v>
      </c>
      <c r="D2066">
        <v>0.72068301383570399</v>
      </c>
      <c r="E2066">
        <v>-0.46049227423614503</v>
      </c>
      <c r="F2066">
        <v>1.1812387160996601E-3</v>
      </c>
      <c r="G2066">
        <v>5.1260267012466403E-3</v>
      </c>
      <c r="H2066">
        <v>0.39888745351670402</v>
      </c>
      <c r="I2066">
        <v>-9.7104771246116304E-4</v>
      </c>
    </row>
    <row r="2067" spans="1:9" x14ac:dyDescent="0.25">
      <c r="A2067" s="1">
        <v>244.15970131754801</v>
      </c>
      <c r="B2067">
        <v>16.0293808548515</v>
      </c>
      <c r="C2067">
        <v>0.97589404717224604</v>
      </c>
      <c r="D2067">
        <v>0.63045372406181199</v>
      </c>
      <c r="E2067">
        <v>-0.40617095311979701</v>
      </c>
      <c r="F2067">
        <v>4.00114381984992E-4</v>
      </c>
      <c r="G2067">
        <v>4.0665104786878703E-3</v>
      </c>
      <c r="H2067">
        <v>0.39200613872220202</v>
      </c>
      <c r="I2067">
        <v>-7.3686569554761404E-4</v>
      </c>
    </row>
    <row r="2068" spans="1:9" x14ac:dyDescent="0.25">
      <c r="A2068" s="1">
        <v>267.12157949805197</v>
      </c>
      <c r="B2068">
        <v>16.209382152817199</v>
      </c>
      <c r="C2068">
        <v>0.83806336786791202</v>
      </c>
      <c r="D2068">
        <v>0.54024740892669798</v>
      </c>
      <c r="E2068">
        <v>-0.34608481081253201</v>
      </c>
      <c r="F2068">
        <v>-6.1309071770073505E-4</v>
      </c>
      <c r="G2068">
        <v>3.1374312539416398E-3</v>
      </c>
      <c r="H2068">
        <v>0.386131688925827</v>
      </c>
      <c r="I2068">
        <v>-5.3913143878553697E-4</v>
      </c>
    </row>
    <row r="2069" spans="1:9" x14ac:dyDescent="0.25">
      <c r="A2069" s="1">
        <v>292.15002954006098</v>
      </c>
      <c r="B2069">
        <v>16.377744850403602</v>
      </c>
      <c r="C2069">
        <v>0.70072484084239905</v>
      </c>
      <c r="D2069">
        <v>0.44916448823817701</v>
      </c>
      <c r="E2069">
        <v>-0.27972097565152099</v>
      </c>
      <c r="F2069">
        <v>-1.18213513984503E-3</v>
      </c>
      <c r="G2069">
        <v>2.3436584023402E-3</v>
      </c>
      <c r="H2069">
        <v>0.382491557333341</v>
      </c>
      <c r="I2069">
        <v>-3.7920768528897601E-4</v>
      </c>
    </row>
    <row r="2070" spans="1:9" x14ac:dyDescent="0.25">
      <c r="A2070" s="1">
        <v>319.43101242184599</v>
      </c>
      <c r="B2070">
        <v>16.5250201592957</v>
      </c>
      <c r="C2070">
        <v>0.57112419232739897</v>
      </c>
      <c r="D2070">
        <v>0.36161036476370101</v>
      </c>
      <c r="E2070">
        <v>-0.20675802424596701</v>
      </c>
      <c r="F2070">
        <v>-8.9826576144445001E-4</v>
      </c>
      <c r="G2070">
        <v>1.70187614590811E-3</v>
      </c>
      <c r="H2070">
        <v>0.382381632204771</v>
      </c>
      <c r="I2070">
        <v>-2.6164677161639403E-4</v>
      </c>
    </row>
    <row r="2071" spans="1:9" x14ac:dyDescent="0.25">
      <c r="A2071" s="1">
        <v>349.16732590645501</v>
      </c>
      <c r="B2071">
        <v>16.639272767937701</v>
      </c>
      <c r="C2071">
        <v>0.46346616747038</v>
      </c>
      <c r="D2071">
        <v>0.28688960295615301</v>
      </c>
      <c r="E2071">
        <v>-0.12589033159809901</v>
      </c>
      <c r="F2071">
        <v>-1.0255129070520801E-3</v>
      </c>
      <c r="G2071">
        <v>1.2587888401074301E-3</v>
      </c>
      <c r="H2071">
        <v>0.38693155735061202</v>
      </c>
      <c r="I2071">
        <v>-1.9182366757794001E-4</v>
      </c>
    </row>
    <row r="2072" spans="1:9" x14ac:dyDescent="0.25">
      <c r="A2072" s="1">
        <v>379.83785875141598</v>
      </c>
      <c r="B2072">
        <v>16.6995949859535</v>
      </c>
      <c r="C2072">
        <v>0.402000353736295</v>
      </c>
      <c r="D2072">
        <v>0.24313413950263299</v>
      </c>
      <c r="E2072">
        <v>-4.1564762493592797E-2</v>
      </c>
      <c r="F2072">
        <v>-1.3602419904926999E-3</v>
      </c>
      <c r="G2072">
        <v>1.0282899214553499E-3</v>
      </c>
      <c r="H2072">
        <v>0.40775456505010499</v>
      </c>
      <c r="I2072">
        <v>-1.5222683904988601E-4</v>
      </c>
    </row>
    <row r="2073" spans="1:9" x14ac:dyDescent="0.25">
      <c r="A2073" s="1" t="s">
        <v>551</v>
      </c>
      <c r="B2073" s="1" t="s">
        <v>614</v>
      </c>
      <c r="C2073" s="1" t="s">
        <v>615</v>
      </c>
      <c r="D2073" s="1" t="s">
        <v>616</v>
      </c>
      <c r="E2073" s="1" t="s">
        <v>617</v>
      </c>
      <c r="F2073" s="1" t="s">
        <v>618</v>
      </c>
      <c r="G2073" s="1" t="s">
        <v>400</v>
      </c>
      <c r="H2073" s="1" t="s">
        <v>619</v>
      </c>
      <c r="I2073" s="1" t="s">
        <v>613</v>
      </c>
    </row>
    <row r="2074" spans="1:9" x14ac:dyDescent="0.25">
      <c r="A2074" s="1">
        <v>-141.555516719818</v>
      </c>
      <c r="B2074">
        <v>-502.71510208175101</v>
      </c>
      <c r="C2074">
        <v>2.2025486578907801E-2</v>
      </c>
      <c r="D2074">
        <v>0</v>
      </c>
      <c r="E2074">
        <v>0</v>
      </c>
      <c r="F2074">
        <v>0</v>
      </c>
      <c r="G2074" s="1">
        <v>2.2434506290647198E-6</v>
      </c>
      <c r="H2074">
        <v>6.5403481233527794E-2</v>
      </c>
      <c r="I2074">
        <v>0</v>
      </c>
    </row>
    <row r="2075" spans="1:9" x14ac:dyDescent="0.25">
      <c r="A2075" s="1">
        <v>-128.95890593528699</v>
      </c>
      <c r="B2075">
        <v>-457.994258623576</v>
      </c>
      <c r="C2075">
        <v>2.25850102484405E-2</v>
      </c>
      <c r="D2075">
        <v>0</v>
      </c>
      <c r="E2075">
        <v>0</v>
      </c>
      <c r="F2075">
        <v>0</v>
      </c>
      <c r="G2075" s="1">
        <v>3.5042988571509701E-6</v>
      </c>
      <c r="H2075">
        <v>0.36264063433154298</v>
      </c>
      <c r="I2075">
        <v>0</v>
      </c>
    </row>
    <row r="2076" spans="1:9" x14ac:dyDescent="0.25">
      <c r="A2076" s="1">
        <v>-117.402367591857</v>
      </c>
      <c r="B2076">
        <v>-416.96349923536701</v>
      </c>
      <c r="C2076">
        <v>2.3811597420705401E-2</v>
      </c>
      <c r="D2076">
        <v>0</v>
      </c>
      <c r="E2076">
        <v>0</v>
      </c>
      <c r="F2076">
        <v>0</v>
      </c>
      <c r="G2076" s="1">
        <v>5.9225659355810397E-6</v>
      </c>
      <c r="H2076">
        <v>0.57260582663133497</v>
      </c>
      <c r="I2076">
        <v>0</v>
      </c>
    </row>
    <row r="2077" spans="1:9" x14ac:dyDescent="0.25">
      <c r="A2077" s="1">
        <v>-106.80001378059301</v>
      </c>
      <c r="B2077">
        <v>-379.31852362081997</v>
      </c>
      <c r="C2077">
        <v>2.5937214200665699E-2</v>
      </c>
      <c r="D2077">
        <v>0</v>
      </c>
      <c r="E2077">
        <v>0</v>
      </c>
      <c r="F2077">
        <v>0</v>
      </c>
      <c r="G2077" s="1">
        <v>9.5792916371273395E-6</v>
      </c>
      <c r="H2077">
        <v>0.68145346122675698</v>
      </c>
      <c r="I2077">
        <v>0</v>
      </c>
    </row>
    <row r="2078" spans="1:9" x14ac:dyDescent="0.25">
      <c r="A2078" s="1">
        <v>-97.073161005973802</v>
      </c>
      <c r="B2078">
        <v>-344.780139099812</v>
      </c>
      <c r="C2078">
        <v>2.9242590364297501E-2</v>
      </c>
      <c r="D2078">
        <v>0</v>
      </c>
      <c r="E2078">
        <v>0</v>
      </c>
      <c r="F2078">
        <v>0</v>
      </c>
      <c r="G2078" s="1">
        <v>1.47750561202464E-5</v>
      </c>
      <c r="H2078">
        <v>0.73716412171996804</v>
      </c>
      <c r="I2078">
        <v>0</v>
      </c>
    </row>
    <row r="2079" spans="1:9" x14ac:dyDescent="0.25">
      <c r="A2079" s="1">
        <v>-88.149435520172105</v>
      </c>
      <c r="B2079">
        <v>-313.09207079634598</v>
      </c>
      <c r="C2079">
        <v>3.4032312197022602E-2</v>
      </c>
      <c r="D2079">
        <v>0</v>
      </c>
      <c r="E2079">
        <v>0</v>
      </c>
      <c r="F2079">
        <v>0</v>
      </c>
      <c r="G2079" s="1">
        <v>2.2053044794931799E-5</v>
      </c>
      <c r="H2079">
        <v>0.76662543926920501</v>
      </c>
      <c r="I2079">
        <v>0</v>
      </c>
    </row>
    <row r="2080" spans="1:9" x14ac:dyDescent="0.25">
      <c r="A2080" s="1">
        <v>-79.962490797042804</v>
      </c>
      <c r="B2080">
        <v>-284.01923987791503</v>
      </c>
      <c r="C2080">
        <v>4.0634346347108698E-2</v>
      </c>
      <c r="D2080">
        <v>0</v>
      </c>
      <c r="E2080">
        <v>0</v>
      </c>
      <c r="F2080">
        <v>0</v>
      </c>
      <c r="G2080" s="1">
        <v>3.2236833210710301E-5</v>
      </c>
      <c r="H2080">
        <v>0.782881682244014</v>
      </c>
      <c r="I2080">
        <v>0</v>
      </c>
    </row>
    <row r="2081" spans="1:9" x14ac:dyDescent="0.25">
      <c r="A2081" s="1">
        <v>-72.451583743095298</v>
      </c>
      <c r="B2081">
        <v>-257.34587463364602</v>
      </c>
      <c r="C2081">
        <v>4.9409272151757701E-2</v>
      </c>
      <c r="D2081">
        <v>0</v>
      </c>
      <c r="E2081">
        <v>0</v>
      </c>
      <c r="F2081">
        <v>0</v>
      </c>
      <c r="G2081" s="1">
        <v>4.6492628938423702E-5</v>
      </c>
      <c r="H2081">
        <v>0.792413449267379</v>
      </c>
      <c r="I2081">
        <v>0</v>
      </c>
    </row>
    <row r="2082" spans="1:9" x14ac:dyDescent="0.25">
      <c r="A2082" s="1">
        <v>-65.560821294784503</v>
      </c>
      <c r="B2082">
        <v>-232.87403945550901</v>
      </c>
      <c r="C2082">
        <v>6.0761849987591099E-2</v>
      </c>
      <c r="D2082">
        <v>0</v>
      </c>
      <c r="E2082">
        <v>0</v>
      </c>
      <c r="F2082">
        <v>0</v>
      </c>
      <c r="G2082" s="1">
        <v>6.6427337470749106E-5</v>
      </c>
      <c r="H2082">
        <v>0.79854004845033399</v>
      </c>
      <c r="I2082">
        <v>0</v>
      </c>
    </row>
    <row r="2083" spans="1:9" x14ac:dyDescent="0.25">
      <c r="A2083" s="1">
        <v>-59.238972067832897</v>
      </c>
      <c r="B2083">
        <v>-210.42208023891399</v>
      </c>
      <c r="C2083">
        <v>7.5152296779799593E-2</v>
      </c>
      <c r="D2083">
        <v>0</v>
      </c>
      <c r="E2083">
        <v>0</v>
      </c>
      <c r="F2083">
        <v>0</v>
      </c>
      <c r="G2083" s="1">
        <v>9.42369084306449E-5</v>
      </c>
      <c r="H2083">
        <v>0.802992196871259</v>
      </c>
      <c r="I2083">
        <v>0</v>
      </c>
    </row>
    <row r="2084" spans="1:9" x14ac:dyDescent="0.25">
      <c r="A2084" s="1">
        <v>-53.439136743545497</v>
      </c>
      <c r="B2084">
        <v>-189.823345599329</v>
      </c>
      <c r="C2084">
        <v>9.3106805935936995E-2</v>
      </c>
      <c r="D2084">
        <v>0</v>
      </c>
      <c r="E2084">
        <v>0</v>
      </c>
      <c r="F2084">
        <v>0</v>
      </c>
      <c r="G2084">
        <v>1.3292675779741299E-4</v>
      </c>
      <c r="H2084">
        <v>0.80668858790793996</v>
      </c>
      <c r="I2084">
        <v>0</v>
      </c>
    </row>
    <row r="2085" spans="1:9" x14ac:dyDescent="0.25">
      <c r="A2085" s="1">
        <v>-48.118183016777003</v>
      </c>
      <c r="B2085">
        <v>-170.92490808889801</v>
      </c>
      <c r="C2085">
        <v>0.115228594841205</v>
      </c>
      <c r="D2085">
        <v>0</v>
      </c>
      <c r="E2085">
        <v>0</v>
      </c>
      <c r="F2085">
        <v>0</v>
      </c>
      <c r="G2085">
        <v>1.8663873410431999E-4</v>
      </c>
      <c r="H2085">
        <v>0.81013811482040599</v>
      </c>
      <c r="I2085">
        <v>0</v>
      </c>
    </row>
    <row r="2086" spans="1:9" x14ac:dyDescent="0.25">
      <c r="A2086" s="1">
        <v>-43.236604332923797</v>
      </c>
      <c r="B2086">
        <v>-153.58645257428799</v>
      </c>
      <c r="C2086">
        <v>0.14221094188648101</v>
      </c>
      <c r="D2086">
        <v>0</v>
      </c>
      <c r="E2086">
        <v>0</v>
      </c>
      <c r="F2086">
        <v>0</v>
      </c>
      <c r="G2086">
        <v>2.6113691548218298E-4</v>
      </c>
      <c r="H2086">
        <v>0.81364954505460996</v>
      </c>
      <c r="I2086">
        <v>0</v>
      </c>
    </row>
    <row r="2087" spans="1:9" x14ac:dyDescent="0.25">
      <c r="A2087" s="1">
        <v>-38.758049011230398</v>
      </c>
      <c r="B2087">
        <v>-137.67925655320801</v>
      </c>
      <c r="C2087">
        <v>0.17485442610482599</v>
      </c>
      <c r="D2087">
        <v>0</v>
      </c>
      <c r="E2087">
        <v>0</v>
      </c>
      <c r="F2087">
        <v>0</v>
      </c>
      <c r="G2087">
        <v>3.64529047356825E-4</v>
      </c>
      <c r="H2087">
        <v>0.81743684509523196</v>
      </c>
      <c r="I2087">
        <v>0</v>
      </c>
    </row>
    <row r="2088" spans="1:9" x14ac:dyDescent="0.25">
      <c r="A2088" s="1">
        <v>-34.649320244789102</v>
      </c>
      <c r="B2088">
        <v>-123.08518718705101</v>
      </c>
      <c r="C2088">
        <v>0.21409055119620499</v>
      </c>
      <c r="D2088">
        <v>0</v>
      </c>
      <c r="E2088">
        <v>0</v>
      </c>
      <c r="F2088">
        <v>0</v>
      </c>
      <c r="G2088">
        <v>5.0832965140074299E-4</v>
      </c>
      <c r="H2088">
        <v>0.82166530740055899</v>
      </c>
      <c r="I2088">
        <v>0</v>
      </c>
    </row>
    <row r="2089" spans="1:9" x14ac:dyDescent="0.25">
      <c r="A2089" s="1">
        <v>-30.879811048507602</v>
      </c>
      <c r="B2089">
        <v>-109.69586967379399</v>
      </c>
      <c r="C2089">
        <v>0.26101351545929802</v>
      </c>
      <c r="D2089">
        <v>0</v>
      </c>
      <c r="E2089">
        <v>0</v>
      </c>
      <c r="F2089">
        <v>0</v>
      </c>
      <c r="G2089">
        <v>7.0900375546585799E-4</v>
      </c>
      <c r="H2089">
        <v>0.82646332626489105</v>
      </c>
      <c r="I2089">
        <v>0</v>
      </c>
    </row>
    <row r="2090" spans="1:9" x14ac:dyDescent="0.25">
      <c r="A2090" s="1">
        <v>-27.4215984344482</v>
      </c>
      <c r="B2090">
        <v>-97.411872337019503</v>
      </c>
      <c r="C2090">
        <v>0.31692217528431199</v>
      </c>
      <c r="D2090">
        <v>0</v>
      </c>
      <c r="E2090">
        <v>0</v>
      </c>
      <c r="F2090">
        <v>0</v>
      </c>
      <c r="G2090">
        <v>9.9016623010413692E-4</v>
      </c>
      <c r="H2090">
        <v>0.83191600077663996</v>
      </c>
      <c r="I2090">
        <v>0</v>
      </c>
    </row>
    <row r="2091" spans="1:9" x14ac:dyDescent="0.25">
      <c r="A2091" s="1">
        <v>-24.248878359794599</v>
      </c>
      <c r="B2091">
        <v>-86.141962758457694</v>
      </c>
      <c r="C2091">
        <v>0.38337249728356798</v>
      </c>
      <c r="D2091">
        <v>0</v>
      </c>
      <c r="E2091">
        <v>0</v>
      </c>
      <c r="F2091">
        <v>0</v>
      </c>
      <c r="G2091">
        <v>1.38564695684522E-3</v>
      </c>
      <c r="H2091">
        <v>0.83805251726309704</v>
      </c>
      <c r="I2091">
        <v>0</v>
      </c>
    </row>
    <row r="2092" spans="1:9" x14ac:dyDescent="0.25">
      <c r="A2092" s="1">
        <v>-21.3381540775299</v>
      </c>
      <c r="B2092">
        <v>-75.802432864537906</v>
      </c>
      <c r="C2092">
        <v>0.462241116038557</v>
      </c>
      <c r="D2092">
        <v>0</v>
      </c>
      <c r="E2092">
        <v>0</v>
      </c>
      <c r="F2092">
        <v>0</v>
      </c>
      <c r="G2092">
        <v>1.94367556547035E-3</v>
      </c>
      <c r="H2092">
        <v>0.84483822341727999</v>
      </c>
      <c r="I2092">
        <v>0</v>
      </c>
    </row>
    <row r="2093" spans="1:9" x14ac:dyDescent="0.25">
      <c r="A2093" s="1">
        <v>-18.6677181720733</v>
      </c>
      <c r="B2093">
        <v>-66.316493489319896</v>
      </c>
      <c r="C2093">
        <v>0.55579733283084398</v>
      </c>
      <c r="D2093">
        <v>0</v>
      </c>
      <c r="E2093">
        <v>0</v>
      </c>
      <c r="F2093">
        <v>0</v>
      </c>
      <c r="G2093">
        <v>2.7324856825373398E-3</v>
      </c>
      <c r="H2093">
        <v>0.85217780514531005</v>
      </c>
      <c r="I2093">
        <v>0</v>
      </c>
    </row>
    <row r="2094" spans="1:9" x14ac:dyDescent="0.25">
      <c r="A2094" s="1">
        <v>-16.2178409099578</v>
      </c>
      <c r="B2094">
        <v>-57.6136843476039</v>
      </c>
      <c r="C2094">
        <v>0.66678199949751804</v>
      </c>
      <c r="D2094">
        <v>0</v>
      </c>
      <c r="E2094">
        <v>0</v>
      </c>
      <c r="F2094">
        <v>0</v>
      </c>
      <c r="G2094">
        <v>3.84771693483344E-3</v>
      </c>
      <c r="H2094">
        <v>0.85993072273730498</v>
      </c>
      <c r="I2094">
        <v>0</v>
      </c>
    </row>
    <row r="2095" spans="1:9" x14ac:dyDescent="0.25">
      <c r="A2095" s="1">
        <v>-13.9702051877975</v>
      </c>
      <c r="B2095">
        <v>-49.629359230591398</v>
      </c>
      <c r="C2095">
        <v>0.798488959618605</v>
      </c>
      <c r="D2095">
        <v>0</v>
      </c>
      <c r="E2095">
        <v>0</v>
      </c>
      <c r="F2095">
        <v>0</v>
      </c>
      <c r="G2095">
        <v>5.4220951869820002E-3</v>
      </c>
      <c r="H2095">
        <v>0.86793440382849696</v>
      </c>
      <c r="I2095">
        <v>0</v>
      </c>
    </row>
    <row r="2096" spans="1:9" x14ac:dyDescent="0.25">
      <c r="A2096" s="1">
        <v>-11.908189058303799</v>
      </c>
      <c r="B2096">
        <v>-42.304209074011503</v>
      </c>
      <c r="C2096">
        <v>0.95484530939742596</v>
      </c>
      <c r="D2096">
        <v>0</v>
      </c>
      <c r="E2096">
        <v>0</v>
      </c>
      <c r="F2096">
        <v>0</v>
      </c>
      <c r="G2096">
        <v>7.6380236976137904E-3</v>
      </c>
      <c r="H2096">
        <v>0.87602792188304102</v>
      </c>
      <c r="I2096">
        <v>0</v>
      </c>
    </row>
    <row r="2097" spans="1:9" x14ac:dyDescent="0.25">
      <c r="A2097" s="1">
        <v>-10.016394853591899</v>
      </c>
      <c r="B2097">
        <v>-35.583820025628903</v>
      </c>
      <c r="C2097">
        <v>1.1404866511776399</v>
      </c>
      <c r="D2097">
        <v>0</v>
      </c>
      <c r="E2097">
        <v>0</v>
      </c>
      <c r="F2097">
        <v>0</v>
      </c>
      <c r="G2097">
        <v>1.07439459264514E-2</v>
      </c>
      <c r="H2097">
        <v>0.884070197935374</v>
      </c>
      <c r="I2097">
        <v>0</v>
      </c>
    </row>
    <row r="2098" spans="1:9" x14ac:dyDescent="0.25">
      <c r="A2098" s="1">
        <v>-8.2808375358581507</v>
      </c>
      <c r="B2098">
        <v>-29.418268340459498</v>
      </c>
      <c r="C2098">
        <v>1.3608245140134501</v>
      </c>
      <c r="D2098">
        <v>0</v>
      </c>
      <c r="E2098">
        <v>0</v>
      </c>
      <c r="F2098">
        <v>0</v>
      </c>
      <c r="G2098">
        <v>1.50756115652802E-2</v>
      </c>
      <c r="H2098">
        <v>0.89194977939488396</v>
      </c>
      <c r="I2098">
        <v>0</v>
      </c>
    </row>
    <row r="2099" spans="1:9" x14ac:dyDescent="0.25">
      <c r="A2099" s="1">
        <v>-6.6885209083557102</v>
      </c>
      <c r="B2099">
        <v>-23.7617476634741</v>
      </c>
      <c r="C2099">
        <v>1.6221047252189</v>
      </c>
      <c r="D2099">
        <v>0</v>
      </c>
      <c r="E2099">
        <v>0</v>
      </c>
      <c r="F2099">
        <v>0</v>
      </c>
      <c r="G2099">
        <v>2.10837483642171E-2</v>
      </c>
      <c r="H2099">
        <v>0.89958660415602698</v>
      </c>
      <c r="I2099">
        <v>0</v>
      </c>
    </row>
    <row r="2100" spans="1:9" x14ac:dyDescent="0.25">
      <c r="A2100" s="1">
        <v>-5.2277201414108196</v>
      </c>
      <c r="B2100">
        <v>-18.572239930933801</v>
      </c>
      <c r="C2100">
        <v>1.93145505185304</v>
      </c>
      <c r="D2100">
        <v>0</v>
      </c>
      <c r="E2100">
        <v>0</v>
      </c>
      <c r="F2100">
        <v>0</v>
      </c>
      <c r="G2100">
        <v>2.9370072617675699E-2</v>
      </c>
      <c r="H2100">
        <v>0.90692844287516705</v>
      </c>
      <c r="I2100">
        <v>0</v>
      </c>
    </row>
    <row r="2101" spans="1:9" x14ac:dyDescent="0.25">
      <c r="A2101" s="1">
        <v>-3.88755798339843</v>
      </c>
      <c r="B2101">
        <v>-13.8111873164833</v>
      </c>
      <c r="C2101">
        <v>2.29692375741734</v>
      </c>
      <c r="D2101">
        <v>0</v>
      </c>
      <c r="E2101">
        <v>0</v>
      </c>
      <c r="F2101">
        <v>0</v>
      </c>
      <c r="G2101">
        <v>4.07340089578428E-2</v>
      </c>
      <c r="H2101">
        <v>0.91394446871856805</v>
      </c>
      <c r="I2101">
        <v>0</v>
      </c>
    </row>
    <row r="2102" spans="1:9" x14ac:dyDescent="0.25">
      <c r="A2102" s="1">
        <v>-2.6580518484115601</v>
      </c>
      <c r="B2102">
        <v>-9.4432226836741897</v>
      </c>
      <c r="C2102">
        <v>2.72751050444066</v>
      </c>
      <c r="D2102">
        <v>0</v>
      </c>
      <c r="E2102">
        <v>0</v>
      </c>
      <c r="F2102">
        <v>0</v>
      </c>
      <c r="G2102">
        <v>5.6234362297182101E-2</v>
      </c>
      <c r="H2102">
        <v>0.92062044416684996</v>
      </c>
      <c r="I2102">
        <v>0</v>
      </c>
    </row>
    <row r="2103" spans="1:9" x14ac:dyDescent="0.25">
      <c r="A2103" s="1">
        <v>-1.5300196409225399</v>
      </c>
      <c r="B2103">
        <v>-5.4358875013948396</v>
      </c>
      <c r="C2103">
        <v>3.2331789444212098</v>
      </c>
      <c r="D2103">
        <v>0</v>
      </c>
      <c r="E2103">
        <v>0</v>
      </c>
      <c r="F2103">
        <v>0</v>
      </c>
      <c r="G2103">
        <v>7.7252965374282195E-2</v>
      </c>
      <c r="H2103">
        <v>0.92693741012310304</v>
      </c>
      <c r="I2103">
        <v>0</v>
      </c>
    </row>
    <row r="2104" spans="1:9" x14ac:dyDescent="0.25">
      <c r="A2104" s="1">
        <v>-0.49517393112182601</v>
      </c>
      <c r="B2104">
        <v>-1.7594145342768199</v>
      </c>
      <c r="C2104">
        <v>3.8249296822633099</v>
      </c>
      <c r="D2104">
        <v>0</v>
      </c>
      <c r="E2104">
        <v>0</v>
      </c>
      <c r="F2104">
        <v>0</v>
      </c>
      <c r="G2104">
        <v>0.109452652396721</v>
      </c>
      <c r="H2104">
        <v>0.93525343906199498</v>
      </c>
      <c r="I2104">
        <v>0</v>
      </c>
    </row>
    <row r="2105" spans="1:9" x14ac:dyDescent="0.25">
      <c r="A2105" s="1">
        <v>0.49376130104064903</v>
      </c>
      <c r="B2105">
        <v>0.35049864276637599</v>
      </c>
      <c r="C2105">
        <v>4.2414247074822597</v>
      </c>
      <c r="D2105">
        <v>0.31011841859778499</v>
      </c>
      <c r="E2105">
        <v>-4.4596624657535497E-4</v>
      </c>
      <c r="F2105">
        <v>1.31543911922202E-4</v>
      </c>
      <c r="G2105">
        <v>1.8605391354186401E-2</v>
      </c>
      <c r="H2105">
        <v>0.56252892013228295</v>
      </c>
      <c r="I2105" s="1">
        <v>5.3664800704371701E-7</v>
      </c>
    </row>
    <row r="2106" spans="1:9" x14ac:dyDescent="0.25">
      <c r="A2106" s="1">
        <v>1.5257111191749499</v>
      </c>
      <c r="B2106">
        <v>1.0822260156213199</v>
      </c>
      <c r="C2106">
        <v>4.4258676441568001</v>
      </c>
      <c r="D2106">
        <v>1.0045471718907599</v>
      </c>
      <c r="E2106">
        <v>-3.9654023399723201E-3</v>
      </c>
      <c r="F2106">
        <v>4.1861566871457298E-4</v>
      </c>
      <c r="G2106">
        <v>3.7573300717086998E-2</v>
      </c>
      <c r="H2106">
        <v>0.76979785335630802</v>
      </c>
      <c r="I2106" s="1">
        <v>2.3797875508400301E-5</v>
      </c>
    </row>
    <row r="2107" spans="1:9" x14ac:dyDescent="0.25">
      <c r="A2107" s="1">
        <v>2.6505178213119498</v>
      </c>
      <c r="B2107">
        <v>1.87327054961909</v>
      </c>
      <c r="C2107">
        <v>4.6846713565406199</v>
      </c>
      <c r="D2107">
        <v>1.8462670114511901</v>
      </c>
      <c r="E2107">
        <v>-1.5235531498470701E-2</v>
      </c>
      <c r="F2107">
        <v>7.5227255365889099E-4</v>
      </c>
      <c r="G2107">
        <v>6.11475024286657E-2</v>
      </c>
      <c r="H2107">
        <v>0.84574199742837597</v>
      </c>
      <c r="I2107">
        <v>1.4128666516123199E-4</v>
      </c>
    </row>
    <row r="2108" spans="1:9" x14ac:dyDescent="0.25">
      <c r="A2108" s="1">
        <v>3.8765159249305698</v>
      </c>
      <c r="B2108">
        <v>2.7195911221145499</v>
      </c>
      <c r="C2108">
        <v>5.0528799482362396</v>
      </c>
      <c r="D2108">
        <v>2.85925669719308</v>
      </c>
      <c r="E2108">
        <v>-3.8267593878792402E-2</v>
      </c>
      <c r="F2108">
        <v>1.1222221175715E-3</v>
      </c>
      <c r="G2108">
        <v>8.3052320064893603E-2</v>
      </c>
      <c r="H2108">
        <v>0.87198623027183397</v>
      </c>
      <c r="I2108">
        <v>3.64602873382151E-4</v>
      </c>
    </row>
    <row r="2109" spans="1:9" x14ac:dyDescent="0.25">
      <c r="A2109" s="1">
        <v>5.2129346132278398</v>
      </c>
      <c r="B2109">
        <v>3.6108320951401098</v>
      </c>
      <c r="C2109">
        <v>5.5492716038960603</v>
      </c>
      <c r="D2109">
        <v>4.0217062621578199</v>
      </c>
      <c r="E2109">
        <v>-7.7529083110049093E-2</v>
      </c>
      <c r="F2109">
        <v>1.48956659578919E-3</v>
      </c>
      <c r="G2109">
        <v>9.7926180378816702E-2</v>
      </c>
      <c r="H2109">
        <v>0.87380306464728896</v>
      </c>
      <c r="I2109">
        <v>7.5713046179780503E-4</v>
      </c>
    </row>
    <row r="2110" spans="1:9" x14ac:dyDescent="0.25">
      <c r="A2110" s="1">
        <v>6.6695916652679399</v>
      </c>
      <c r="B2110">
        <v>4.5289902046262203</v>
      </c>
      <c r="C2110">
        <v>6.14950223995627</v>
      </c>
      <c r="D2110">
        <v>5.23923968458997</v>
      </c>
      <c r="E2110">
        <v>-0.13534520655773999</v>
      </c>
      <c r="F2110">
        <v>1.78963030281459E-3</v>
      </c>
      <c r="G2110">
        <v>0.104599391391954</v>
      </c>
      <c r="H2110">
        <v>0.86030598577552797</v>
      </c>
      <c r="I2110">
        <v>1.7257447615694301E-3</v>
      </c>
    </row>
    <row r="2111" spans="1:9" x14ac:dyDescent="0.25">
      <c r="A2111" s="1">
        <v>8.2573878765106201</v>
      </c>
      <c r="B2111">
        <v>5.4493172310232101</v>
      </c>
      <c r="C2111">
        <v>6.7759657370178097</v>
      </c>
      <c r="D2111">
        <v>6.3577388777275496</v>
      </c>
      <c r="E2111">
        <v>-0.20998075588974099</v>
      </c>
      <c r="F2111">
        <v>1.95077396728857E-3</v>
      </c>
      <c r="G2111">
        <v>0.106381320513408</v>
      </c>
      <c r="H2111">
        <v>0.837252277343563</v>
      </c>
      <c r="I2111">
        <v>4.1968611150536798E-3</v>
      </c>
    </row>
    <row r="2112" spans="1:9" x14ac:dyDescent="0.25">
      <c r="A2112" s="1">
        <v>9.9880245327949506</v>
      </c>
      <c r="B2112">
        <v>6.3442064978121699</v>
      </c>
      <c r="C2112">
        <v>7.3220579055974397</v>
      </c>
      <c r="D2112">
        <v>7.2230754370642902</v>
      </c>
      <c r="E2112">
        <v>-0.29548893484932498</v>
      </c>
      <c r="F2112">
        <v>1.91743129959752E-3</v>
      </c>
      <c r="G2112">
        <v>0.10769311047079599</v>
      </c>
      <c r="H2112">
        <v>0.81051969239977895</v>
      </c>
      <c r="I2112">
        <v>8.1711221085786004E-3</v>
      </c>
    </row>
    <row r="2113" spans="1:9" x14ac:dyDescent="0.25">
      <c r="A2113" s="1">
        <v>11.874474287032999</v>
      </c>
      <c r="B2113">
        <v>7.1890518724857699</v>
      </c>
      <c r="C2113">
        <v>7.6981944410077601</v>
      </c>
      <c r="D2113">
        <v>7.74611816643898</v>
      </c>
      <c r="E2113">
        <v>-0.38395144681961102</v>
      </c>
      <c r="F2113">
        <v>1.69421856714868E-3</v>
      </c>
      <c r="G2113">
        <v>0.110192944736186</v>
      </c>
      <c r="H2113">
        <v>0.78434893316745702</v>
      </c>
      <c r="I2113">
        <v>1.09368737795078E-2</v>
      </c>
    </row>
    <row r="2114" spans="1:9" x14ac:dyDescent="0.25">
      <c r="A2114" s="1">
        <v>13.9306750893592</v>
      </c>
      <c r="B2114">
        <v>7.9671121582328199</v>
      </c>
      <c r="C2114">
        <v>7.8634248400303104</v>
      </c>
      <c r="D2114">
        <v>7.9233560983276003</v>
      </c>
      <c r="E2114">
        <v>-0.468372136222376</v>
      </c>
      <c r="F2114">
        <v>1.35529567892119E-3</v>
      </c>
      <c r="G2114">
        <v>0.11257297383437601</v>
      </c>
      <c r="H2114">
        <v>0.75976997486984799</v>
      </c>
      <c r="I2114">
        <v>9.9145643307439798E-3</v>
      </c>
    </row>
    <row r="2115" spans="1:9" x14ac:dyDescent="0.25">
      <c r="A2115" s="1">
        <v>16.171883344650201</v>
      </c>
      <c r="B2115">
        <v>8.6709361433922201</v>
      </c>
      <c r="C2115">
        <v>7.8249471158778903</v>
      </c>
      <c r="D2115">
        <v>7.8113062246311902</v>
      </c>
      <c r="E2115">
        <v>-0.54420636671049705</v>
      </c>
      <c r="F2115">
        <v>1.01916544076769E-3</v>
      </c>
      <c r="G2115">
        <v>0.113003848408485</v>
      </c>
      <c r="H2115">
        <v>0.73605433790277397</v>
      </c>
      <c r="I2115">
        <v>5.5422781071983E-3</v>
      </c>
    </row>
    <row r="2116" spans="1:9" x14ac:dyDescent="0.25">
      <c r="A2116" s="1">
        <v>18.614838719367899</v>
      </c>
      <c r="B2116">
        <v>9.3006283037303792</v>
      </c>
      <c r="C2116">
        <v>7.6187479009939603</v>
      </c>
      <c r="D2116">
        <v>7.4891234766722796</v>
      </c>
      <c r="E2116">
        <v>-0.60936847315979703</v>
      </c>
      <c r="F2116">
        <v>8.0926233605964001E-4</v>
      </c>
      <c r="G2116">
        <v>0.110725570173236</v>
      </c>
      <c r="H2116">
        <v>0.71244460603703497</v>
      </c>
      <c r="I2116" s="1">
        <v>-7.0206841543374901E-5</v>
      </c>
    </row>
    <row r="2117" spans="1:9" x14ac:dyDescent="0.25">
      <c r="A2117" s="1">
        <v>21.2777170538902</v>
      </c>
      <c r="B2117">
        <v>9.8610195986865907</v>
      </c>
      <c r="C2117">
        <v>7.29025513979406</v>
      </c>
      <c r="D2117">
        <v>7.0319999642508497</v>
      </c>
      <c r="E2117">
        <v>-0.66352675336699496</v>
      </c>
      <c r="F2117">
        <v>8.1415729439840499E-4</v>
      </c>
      <c r="G2117">
        <v>0.106056902741459</v>
      </c>
      <c r="H2117">
        <v>0.688696397983935</v>
      </c>
      <c r="I2117">
        <v>-5.2228891082268698E-3</v>
      </c>
    </row>
    <row r="2118" spans="1:9" x14ac:dyDescent="0.25">
      <c r="A2118" s="1">
        <v>24.180224537849401</v>
      </c>
      <c r="B2118">
        <v>10.3591767691015</v>
      </c>
      <c r="C2118">
        <v>6.8826895309502101</v>
      </c>
      <c r="D2118">
        <v>6.5009662134982902</v>
      </c>
      <c r="E2118">
        <v>-0.70734270067121996</v>
      </c>
      <c r="F2118">
        <v>1.07166709693056E-3</v>
      </c>
      <c r="G2118">
        <v>9.9782080311008298E-2</v>
      </c>
      <c r="H2118">
        <v>0.66494857167803301</v>
      </c>
      <c r="I2118">
        <v>-9.1886604148550596E-3</v>
      </c>
    </row>
    <row r="2119" spans="1:9" x14ac:dyDescent="0.25">
      <c r="A2119" s="1">
        <v>27.343950867652801</v>
      </c>
      <c r="B2119">
        <v>10.8028811700581</v>
      </c>
      <c r="C2119">
        <v>6.4322214056052802</v>
      </c>
      <c r="D2119">
        <v>5.9408677263049103</v>
      </c>
      <c r="E2119">
        <v>-0.74191239958543698</v>
      </c>
      <c r="F2119">
        <v>1.5170423393097399E-3</v>
      </c>
      <c r="G2119">
        <v>9.2644131329780305E-2</v>
      </c>
      <c r="H2119">
        <v>0.64154343343911102</v>
      </c>
      <c r="I2119">
        <v>-1.18743745078961E-2</v>
      </c>
    </row>
    <row r="2120" spans="1:9" x14ac:dyDescent="0.25">
      <c r="A2120" s="1">
        <v>30.7923927903175</v>
      </c>
      <c r="B2120">
        <v>11.199822217965</v>
      </c>
      <c r="C2120">
        <v>5.9668965764109796</v>
      </c>
      <c r="D2120">
        <v>5.3833814788980803</v>
      </c>
      <c r="E2120">
        <v>-0.76844124407832803</v>
      </c>
      <c r="F2120">
        <v>2.0590796986820902E-3</v>
      </c>
      <c r="G2120">
        <v>8.5156292108155104E-2</v>
      </c>
      <c r="H2120">
        <v>0.61890085667690398</v>
      </c>
      <c r="I2120">
        <v>-1.34264309437176E-2</v>
      </c>
    </row>
    <row r="2121" spans="1:9" x14ac:dyDescent="0.25">
      <c r="A2121" s="1">
        <v>34.551213085651298</v>
      </c>
      <c r="B2121">
        <v>11.5572296358584</v>
      </c>
      <c r="C2121">
        <v>5.50712105029542</v>
      </c>
      <c r="D2121">
        <v>4.8489258072682597</v>
      </c>
      <c r="E2121">
        <v>-0.78808919218562101</v>
      </c>
      <c r="F2121">
        <v>2.6414519863996498E-3</v>
      </c>
      <c r="G2121">
        <v>7.7614989397696496E-2</v>
      </c>
      <c r="H2121">
        <v>0.59743163151869205</v>
      </c>
      <c r="I2121">
        <v>-1.40465614876992E-2</v>
      </c>
    </row>
    <row r="2122" spans="1:9" x14ac:dyDescent="0.25">
      <c r="A2122" s="1">
        <v>38.6483111977577</v>
      </c>
      <c r="B2122">
        <v>11.8816645018695</v>
      </c>
      <c r="C2122">
        <v>5.0666756633357002</v>
      </c>
      <c r="D2122">
        <v>4.3500286960639301</v>
      </c>
      <c r="E2122">
        <v>-0.80186836676929496</v>
      </c>
      <c r="F2122">
        <v>3.1331808918902402E-3</v>
      </c>
      <c r="G2122">
        <v>7.0194150826390495E-2</v>
      </c>
      <c r="H2122">
        <v>0.57751758025024902</v>
      </c>
      <c r="I2122">
        <v>-1.3934624674280799E-2</v>
      </c>
    </row>
    <row r="2123" spans="1:9" x14ac:dyDescent="0.25">
      <c r="A2123" s="1">
        <v>43.1141293048858</v>
      </c>
      <c r="B2123">
        <v>12.178952384734</v>
      </c>
      <c r="C2123">
        <v>4.6540225733770599</v>
      </c>
      <c r="D2123">
        <v>3.8937328589698699</v>
      </c>
      <c r="E2123">
        <v>-0.81061263852832099</v>
      </c>
      <c r="F2123">
        <v>3.48678561648322E-3</v>
      </c>
      <c r="G2123">
        <v>6.30108939979174E-2</v>
      </c>
      <c r="H2123">
        <v>0.559424676278094</v>
      </c>
      <c r="I2123">
        <v>-1.3277522942573601E-2</v>
      </c>
    </row>
    <row r="2124" spans="1:9" x14ac:dyDescent="0.25">
      <c r="A2124" s="1">
        <v>47.981887757778097</v>
      </c>
      <c r="B2124">
        <v>12.4540997631787</v>
      </c>
      <c r="C2124">
        <v>4.2736420829670498</v>
      </c>
      <c r="D2124">
        <v>3.48310646060887</v>
      </c>
      <c r="E2124">
        <v>-0.81502188597168701</v>
      </c>
      <c r="F2124">
        <v>3.6435074650815399E-3</v>
      </c>
      <c r="G2124">
        <v>5.6148939708639801E-2</v>
      </c>
      <c r="H2124">
        <v>0.54317766186230398</v>
      </c>
      <c r="I2124">
        <v>-1.2255696316330099E-2</v>
      </c>
    </row>
    <row r="2125" spans="1:9" x14ac:dyDescent="0.25">
      <c r="A2125" s="1">
        <v>53.287820518016801</v>
      </c>
      <c r="B2125">
        <v>12.711302383983</v>
      </c>
      <c r="C2125">
        <v>3.9268650062038102</v>
      </c>
      <c r="D2125">
        <v>3.11782456423275</v>
      </c>
      <c r="E2125">
        <v>-0.81562654091138997</v>
      </c>
      <c r="F2125">
        <v>3.5466834411363702E-3</v>
      </c>
      <c r="G2125">
        <v>4.9700279253073201E-2</v>
      </c>
      <c r="H2125">
        <v>0.52876587744479997</v>
      </c>
      <c r="I2125">
        <v>-1.10322331291765E-2</v>
      </c>
    </row>
    <row r="2126" spans="1:9" x14ac:dyDescent="0.25">
      <c r="A2126" s="1">
        <v>59.071175158023799</v>
      </c>
      <c r="B2126">
        <v>12.954053916775999</v>
      </c>
      <c r="C2126">
        <v>3.6130432472085499</v>
      </c>
      <c r="D2126">
        <v>2.79575301184697</v>
      </c>
      <c r="E2126">
        <v>-0.81283121541006997</v>
      </c>
      <c r="F2126">
        <v>3.1455265601660499E-3</v>
      </c>
      <c r="G2126">
        <v>4.3759245638944899E-2</v>
      </c>
      <c r="H2126">
        <v>0.51608616498104598</v>
      </c>
      <c r="I2126">
        <v>-9.7590708970709296E-3</v>
      </c>
    </row>
    <row r="2127" spans="1:9" x14ac:dyDescent="0.25">
      <c r="A2127" s="1">
        <v>65.375131070613804</v>
      </c>
      <c r="B2127">
        <v>13.1852713249563</v>
      </c>
      <c r="C2127">
        <v>3.33059161782738</v>
      </c>
      <c r="D2127">
        <v>2.5134440571315699</v>
      </c>
      <c r="E2127">
        <v>-0.80693704073380101</v>
      </c>
      <c r="F2127">
        <v>2.5304272631576099E-3</v>
      </c>
      <c r="G2127">
        <v>3.83726411808279E-2</v>
      </c>
      <c r="H2127">
        <v>0.50473434481291402</v>
      </c>
      <c r="I2127">
        <v>-8.5347352680277301E-3</v>
      </c>
    </row>
    <row r="2128" spans="1:9" x14ac:dyDescent="0.25">
      <c r="A2128" s="1">
        <v>72.246375679969702</v>
      </c>
      <c r="B2128">
        <v>13.4073032237528</v>
      </c>
      <c r="C2128">
        <v>3.0767326051704802</v>
      </c>
      <c r="D2128">
        <v>2.26741984807208</v>
      </c>
      <c r="E2128">
        <v>-0.79817647078474496</v>
      </c>
      <c r="F2128">
        <v>1.8018307479320201E-3</v>
      </c>
      <c r="G2128">
        <v>3.3563739432707601E-2</v>
      </c>
      <c r="H2128">
        <v>0.49444199736727601</v>
      </c>
      <c r="I2128">
        <v>-7.4201867115323101E-3</v>
      </c>
    </row>
    <row r="2129" spans="1:9" x14ac:dyDescent="0.25">
      <c r="A2129" s="1">
        <v>79.736069738864799</v>
      </c>
      <c r="B2129">
        <v>13.622130473697</v>
      </c>
      <c r="C2129">
        <v>2.8479962495371001</v>
      </c>
      <c r="D2129">
        <v>2.0526885447141598</v>
      </c>
      <c r="E2129">
        <v>-0.78668738135612803</v>
      </c>
      <c r="F2129">
        <v>1.13781624819156E-3</v>
      </c>
      <c r="G2129">
        <v>2.92910961040166E-2</v>
      </c>
      <c r="H2129">
        <v>0.48476285038682998</v>
      </c>
      <c r="I2129">
        <v>-6.4225003193734099E-3</v>
      </c>
    </row>
    <row r="2130" spans="1:9" x14ac:dyDescent="0.25">
      <c r="A2130" s="1">
        <v>87.899753153324099</v>
      </c>
      <c r="B2130">
        <v>13.831316032254501</v>
      </c>
      <c r="C2130">
        <v>2.6406859722702301</v>
      </c>
      <c r="D2130">
        <v>1.86465945381789</v>
      </c>
      <c r="E2130">
        <v>-0.77251200707374401</v>
      </c>
      <c r="F2130">
        <v>7.4970679515391802E-4</v>
      </c>
      <c r="G2130">
        <v>2.5515634335956199E-2</v>
      </c>
      <c r="H2130">
        <v>0.47557855795377602</v>
      </c>
      <c r="I2130">
        <v>-5.54816787220182E-3</v>
      </c>
    </row>
    <row r="2131" spans="1:9" x14ac:dyDescent="0.25">
      <c r="A2131" s="1">
        <v>96.798263192176805</v>
      </c>
      <c r="B2131">
        <v>14.0360885344385</v>
      </c>
      <c r="C2131">
        <v>2.45146000216966</v>
      </c>
      <c r="D2131">
        <v>1.69935986380676</v>
      </c>
      <c r="E2131">
        <v>-0.75572558870387097</v>
      </c>
      <c r="F2131">
        <v>8.1974986293604905E-4</v>
      </c>
      <c r="G2131">
        <v>2.2191166608360399E-2</v>
      </c>
      <c r="H2131">
        <v>0.46664238649560902</v>
      </c>
      <c r="I2131">
        <v>-4.7865987623011298E-3</v>
      </c>
    </row>
    <row r="2132" spans="1:9" x14ac:dyDescent="0.25">
      <c r="A2132" s="1">
        <v>106.497616767883</v>
      </c>
      <c r="B2132">
        <v>14.237492737913</v>
      </c>
      <c r="C2132">
        <v>2.2769563955144601</v>
      </c>
      <c r="D2132">
        <v>1.55295069469757</v>
      </c>
      <c r="E2132">
        <v>-0.73623776586747802</v>
      </c>
      <c r="F2132">
        <v>1.0781593095447501E-3</v>
      </c>
      <c r="G2132">
        <v>1.92782131946127E-2</v>
      </c>
      <c r="H2132">
        <v>0.457945492696539</v>
      </c>
      <c r="I2132">
        <v>-4.1300530212036802E-3</v>
      </c>
    </row>
    <row r="2133" spans="1:9" x14ac:dyDescent="0.25">
      <c r="A2133" s="1">
        <v>117.06990510225199</v>
      </c>
      <c r="B2133">
        <v>14.436690413200701</v>
      </c>
      <c r="C2133">
        <v>2.1131971598300301</v>
      </c>
      <c r="D2133">
        <v>1.42138774319467</v>
      </c>
      <c r="E2133">
        <v>-0.71381214063879606</v>
      </c>
      <c r="F2133">
        <v>1.2539164658835901E-3</v>
      </c>
      <c r="G2133">
        <v>1.6732743182665301E-2</v>
      </c>
      <c r="H2133">
        <v>0.45008648129678203</v>
      </c>
      <c r="I2133">
        <v>-3.5648929396581699E-3</v>
      </c>
    </row>
    <row r="2134" spans="1:9" x14ac:dyDescent="0.25">
      <c r="A2134" s="1">
        <v>128.593670427799</v>
      </c>
      <c r="B2134">
        <v>14.634626021230099</v>
      </c>
      <c r="C2134">
        <v>1.95817191028439</v>
      </c>
      <c r="D2134">
        <v>1.3021145687762701</v>
      </c>
      <c r="E2134">
        <v>-0.68848582635264899</v>
      </c>
      <c r="F2134">
        <v>1.54111410794563E-3</v>
      </c>
      <c r="G2134">
        <v>1.44784265839327E-2</v>
      </c>
      <c r="H2134">
        <v>0.44266162364760497</v>
      </c>
      <c r="I2134">
        <v>-3.0612703141073999E-3</v>
      </c>
    </row>
    <row r="2135" spans="1:9" x14ac:dyDescent="0.25">
      <c r="A2135" s="1">
        <v>141.15461230278001</v>
      </c>
      <c r="B2135">
        <v>14.8317258231281</v>
      </c>
      <c r="C2135">
        <v>1.81000488858464</v>
      </c>
      <c r="D2135">
        <v>1.1925449819479299</v>
      </c>
      <c r="E2135">
        <v>-0.66004218143487003</v>
      </c>
      <c r="F2135">
        <v>2.16781105996429E-3</v>
      </c>
      <c r="G2135">
        <v>1.2466454379519499E-2</v>
      </c>
      <c r="H2135">
        <v>0.43546170239829202</v>
      </c>
      <c r="I2135">
        <v>-2.6102704682444398E-3</v>
      </c>
    </row>
    <row r="2136" spans="1:9" x14ac:dyDescent="0.25">
      <c r="A2136" s="1">
        <v>154.84601140022201</v>
      </c>
      <c r="B2136">
        <v>15.027797583484499</v>
      </c>
      <c r="C2136">
        <v>1.6672167765438399</v>
      </c>
      <c r="D2136">
        <v>1.09076192243814</v>
      </c>
      <c r="E2136">
        <v>-0.62830442327899205</v>
      </c>
      <c r="F2136">
        <v>2.2835925544794499E-3</v>
      </c>
      <c r="G2136">
        <v>1.06615316157582E-2</v>
      </c>
      <c r="H2136">
        <v>0.42798418253720399</v>
      </c>
      <c r="I2136">
        <v>-2.2048470810950098E-3</v>
      </c>
    </row>
    <row r="2137" spans="1:9" x14ac:dyDescent="0.25">
      <c r="A2137" s="1">
        <v>169.76969480514501</v>
      </c>
      <c r="B2137">
        <v>15.2227827958702</v>
      </c>
      <c r="C2137">
        <v>1.5274798655642099</v>
      </c>
      <c r="D2137">
        <v>0.99434593627210099</v>
      </c>
      <c r="E2137">
        <v>-0.59280882771887899</v>
      </c>
      <c r="F2137">
        <v>1.9016656845224E-3</v>
      </c>
      <c r="G2137">
        <v>9.0465935388446394E-3</v>
      </c>
      <c r="H2137">
        <v>0.42052259423125099</v>
      </c>
      <c r="I2137">
        <v>-1.8419955842248E-3</v>
      </c>
    </row>
    <row r="2138" spans="1:9" x14ac:dyDescent="0.25">
      <c r="A2138" s="1">
        <v>186.03645980358101</v>
      </c>
      <c r="B2138">
        <v>15.417216376209099</v>
      </c>
      <c r="C2138">
        <v>1.3889349931855</v>
      </c>
      <c r="D2138">
        <v>0.90157559396456799</v>
      </c>
      <c r="E2138">
        <v>-0.55307632466571</v>
      </c>
      <c r="F2138">
        <v>1.72450805591418E-3</v>
      </c>
      <c r="G2138">
        <v>7.6018561926197697E-3</v>
      </c>
      <c r="H2138">
        <v>0.41361265312875101</v>
      </c>
      <c r="I2138">
        <v>-1.5200964326612201E-3</v>
      </c>
    </row>
    <row r="2139" spans="1:9" x14ac:dyDescent="0.25">
      <c r="A2139" s="1">
        <v>203.76720398664401</v>
      </c>
      <c r="B2139">
        <v>15.6106302730678</v>
      </c>
      <c r="C2139">
        <v>1.25153737927302</v>
      </c>
      <c r="D2139">
        <v>0.81090322585455998</v>
      </c>
      <c r="E2139">
        <v>-0.50899863769185405</v>
      </c>
      <c r="F2139">
        <v>1.49095791757806E-3</v>
      </c>
      <c r="G2139">
        <v>6.3024282495194898E-3</v>
      </c>
      <c r="H2139">
        <v>0.40631619026150501</v>
      </c>
      <c r="I2139">
        <v>-1.2328324515169799E-3</v>
      </c>
    </row>
    <row r="2140" spans="1:9" x14ac:dyDescent="0.25">
      <c r="A2140" s="1">
        <v>223.09376105666101</v>
      </c>
      <c r="B2140">
        <v>15.801377948367399</v>
      </c>
      <c r="C2140">
        <v>1.11432110344584</v>
      </c>
      <c r="D2140">
        <v>0.72129359823139605</v>
      </c>
      <c r="E2140">
        <v>-0.460121922811283</v>
      </c>
      <c r="F2140">
        <v>1.1683685415186901E-3</v>
      </c>
      <c r="G2140">
        <v>5.1232502986540002E-3</v>
      </c>
      <c r="H2140">
        <v>0.39891583456267599</v>
      </c>
      <c r="I2140">
        <v>-9.7023970232439701E-4</v>
      </c>
    </row>
    <row r="2141" spans="1:9" x14ac:dyDescent="0.25">
      <c r="A2141" s="1">
        <v>244.15970131754801</v>
      </c>
      <c r="B2141">
        <v>15.98807196393</v>
      </c>
      <c r="C2141">
        <v>0.97634563980832101</v>
      </c>
      <c r="D2141">
        <v>0.630735431844475</v>
      </c>
      <c r="E2141">
        <v>-0.40584415762054699</v>
      </c>
      <c r="F2141">
        <v>3.83787524634396E-4</v>
      </c>
      <c r="G2141">
        <v>4.0643003676178397E-3</v>
      </c>
      <c r="H2141">
        <v>0.392029954451728</v>
      </c>
      <c r="I2141">
        <v>-7.3624165533457198E-4</v>
      </c>
    </row>
    <row r="2142" spans="1:9" x14ac:dyDescent="0.25">
      <c r="A2142" s="1">
        <v>267.12157949805197</v>
      </c>
      <c r="B2142">
        <v>16.167845504724799</v>
      </c>
      <c r="C2142">
        <v>0.83849829313756796</v>
      </c>
      <c r="D2142">
        <v>0.54060409902661999</v>
      </c>
      <c r="E2142">
        <v>-0.34580650138452601</v>
      </c>
      <c r="F2142">
        <v>-6.3132702569692202E-4</v>
      </c>
      <c r="G2142">
        <v>3.1358713436491102E-3</v>
      </c>
      <c r="H2142">
        <v>0.38615458734658897</v>
      </c>
      <c r="I2142">
        <v>-5.38696600705673E-4</v>
      </c>
    </row>
    <row r="2143" spans="1:9" x14ac:dyDescent="0.25">
      <c r="A2143" s="1">
        <v>292.15002954006098</v>
      </c>
      <c r="B2143">
        <v>16.336001340293699</v>
      </c>
      <c r="C2143">
        <v>0.70119710673553504</v>
      </c>
      <c r="D2143">
        <v>0.44961068581246899</v>
      </c>
      <c r="E2143">
        <v>-0.27949376790103803</v>
      </c>
      <c r="F2143">
        <v>-1.1994869002302201E-3</v>
      </c>
      <c r="G2143">
        <v>2.34274849732694E-3</v>
      </c>
      <c r="H2143">
        <v>0.38251235641711301</v>
      </c>
      <c r="I2143">
        <v>-3.7895236909792101E-4</v>
      </c>
    </row>
    <row r="2144" spans="1:9" x14ac:dyDescent="0.25">
      <c r="A2144" s="1">
        <v>319.43101242184599</v>
      </c>
      <c r="B2144">
        <v>16.483111577474901</v>
      </c>
      <c r="C2144">
        <v>0.57167174750446803</v>
      </c>
      <c r="D2144">
        <v>0.361929740282324</v>
      </c>
      <c r="E2144">
        <v>-0.206587939965579</v>
      </c>
      <c r="F2144">
        <v>-9.1312519003657099E-4</v>
      </c>
      <c r="G2144">
        <v>1.7015436316999101E-3</v>
      </c>
      <c r="H2144">
        <v>0.382396956440331</v>
      </c>
      <c r="I2144">
        <v>-2.6152979583174001E-4</v>
      </c>
    </row>
    <row r="2145" spans="1:9" x14ac:dyDescent="0.25">
      <c r="A2145" s="1">
        <v>349.16732590645501</v>
      </c>
      <c r="B2145">
        <v>16.5972409047125</v>
      </c>
      <c r="C2145">
        <v>0.46410120843771002</v>
      </c>
      <c r="D2145">
        <v>0.287213213916996</v>
      </c>
      <c r="E2145">
        <v>-0.12578357419773201</v>
      </c>
      <c r="F2145">
        <v>-1.03672689545802E-3</v>
      </c>
      <c r="G2145">
        <v>1.2588740572180199E-3</v>
      </c>
      <c r="H2145">
        <v>0.38692118792781499</v>
      </c>
      <c r="I2145">
        <v>-1.9178822514963901E-4</v>
      </c>
    </row>
    <row r="2146" spans="1:9" x14ac:dyDescent="0.25">
      <c r="A2146" s="1">
        <v>379.83785875141598</v>
      </c>
      <c r="B2146">
        <v>16.657494168722501</v>
      </c>
      <c r="C2146">
        <v>0.40269587649893701</v>
      </c>
      <c r="D2146">
        <v>0.24342222893221799</v>
      </c>
      <c r="E2146">
        <v>-4.1524660402489498E-2</v>
      </c>
      <c r="F2146">
        <v>-1.3716701241659999E-3</v>
      </c>
      <c r="G2146">
        <v>1.0286153476353299E-3</v>
      </c>
      <c r="H2146">
        <v>0.40772176934868298</v>
      </c>
      <c r="I2146">
        <v>-1.52241146788881E-4</v>
      </c>
    </row>
    <row r="2147" spans="1:9" x14ac:dyDescent="0.25">
      <c r="A2147" s="1" t="s">
        <v>552</v>
      </c>
      <c r="B2147" s="1" t="s">
        <v>614</v>
      </c>
      <c r="C2147" s="1" t="s">
        <v>615</v>
      </c>
      <c r="D2147" s="1" t="s">
        <v>616</v>
      </c>
      <c r="E2147" s="1" t="s">
        <v>617</v>
      </c>
      <c r="F2147" s="1" t="s">
        <v>618</v>
      </c>
      <c r="G2147" s="1" t="s">
        <v>400</v>
      </c>
      <c r="H2147" s="1" t="s">
        <v>619</v>
      </c>
      <c r="I2147" s="1" t="s">
        <v>613</v>
      </c>
    </row>
    <row r="2148" spans="1:9" x14ac:dyDescent="0.25">
      <c r="A2148" s="1">
        <v>-141.555516719818</v>
      </c>
      <c r="B2148">
        <v>-1005.24362908491</v>
      </c>
      <c r="C2148">
        <v>2.2977053263533002E-2</v>
      </c>
      <c r="D2148">
        <v>0</v>
      </c>
      <c r="E2148">
        <v>0</v>
      </c>
      <c r="F2148">
        <v>0</v>
      </c>
      <c r="G2148" s="1">
        <v>2.3622600509076699E-6</v>
      </c>
      <c r="H2148">
        <v>6.7274415056329195E-2</v>
      </c>
      <c r="I2148">
        <v>0</v>
      </c>
    </row>
    <row r="2149" spans="1:9" x14ac:dyDescent="0.25">
      <c r="A2149" s="1">
        <v>-128.95890593528699</v>
      </c>
      <c r="B2149">
        <v>-915.80475047716902</v>
      </c>
      <c r="C2149">
        <v>2.3566182968588398E-2</v>
      </c>
      <c r="D2149">
        <v>0</v>
      </c>
      <c r="E2149">
        <v>0</v>
      </c>
      <c r="F2149">
        <v>0</v>
      </c>
      <c r="G2149" s="1">
        <v>3.72530504076262E-6</v>
      </c>
      <c r="H2149">
        <v>0.36950305251530602</v>
      </c>
      <c r="I2149">
        <v>0</v>
      </c>
    </row>
    <row r="2150" spans="1:9" x14ac:dyDescent="0.25">
      <c r="A2150" s="1">
        <v>-117.402367591857</v>
      </c>
      <c r="B2150">
        <v>-833.74817967305</v>
      </c>
      <c r="C2150">
        <v>2.4864408967522001E-2</v>
      </c>
      <c r="D2150">
        <v>0</v>
      </c>
      <c r="E2150">
        <v>0</v>
      </c>
      <c r="F2150">
        <v>0</v>
      </c>
      <c r="G2150" s="1">
        <v>6.3412301334331298E-6</v>
      </c>
      <c r="H2150">
        <v>0.57949837839972895</v>
      </c>
      <c r="I2150">
        <v>0</v>
      </c>
    </row>
    <row r="2151" spans="1:9" x14ac:dyDescent="0.25">
      <c r="A2151" s="1">
        <v>-106.80001378059301</v>
      </c>
      <c r="B2151">
        <v>-758.46478116402398</v>
      </c>
      <c r="C2151">
        <v>2.7125794591296801E-2</v>
      </c>
      <c r="D2151">
        <v>0</v>
      </c>
      <c r="E2151">
        <v>0</v>
      </c>
      <c r="F2151">
        <v>0</v>
      </c>
      <c r="G2151" s="1">
        <v>1.03028613892774E-5</v>
      </c>
      <c r="H2151">
        <v>0.68712160617523799</v>
      </c>
      <c r="I2151">
        <v>0</v>
      </c>
    </row>
    <row r="2152" spans="1:9" x14ac:dyDescent="0.25">
      <c r="A2152" s="1">
        <v>-97.073161005973802</v>
      </c>
      <c r="B2152">
        <v>-689.39566810617305</v>
      </c>
      <c r="C2152">
        <v>3.0657445454995901E-2</v>
      </c>
      <c r="D2152">
        <v>0</v>
      </c>
      <c r="E2152">
        <v>0</v>
      </c>
      <c r="F2152">
        <v>0</v>
      </c>
      <c r="G2152" s="1">
        <v>1.59466209855274E-5</v>
      </c>
      <c r="H2152">
        <v>0.74178614210273597</v>
      </c>
      <c r="I2152">
        <v>0</v>
      </c>
    </row>
    <row r="2153" spans="1:9" x14ac:dyDescent="0.25">
      <c r="A2153" s="1">
        <v>-88.149435520172105</v>
      </c>
      <c r="B2153">
        <v>-626.02798985728998</v>
      </c>
      <c r="C2153">
        <v>3.5793520348113103E-2</v>
      </c>
      <c r="D2153">
        <v>0</v>
      </c>
      <c r="E2153">
        <v>0</v>
      </c>
      <c r="F2153">
        <v>0</v>
      </c>
      <c r="G2153" s="1">
        <v>2.38804954958471E-5</v>
      </c>
      <c r="H2153">
        <v>0.77053032017286904</v>
      </c>
      <c r="I2153">
        <v>0</v>
      </c>
    </row>
    <row r="2154" spans="1:9" x14ac:dyDescent="0.25">
      <c r="A2154" s="1">
        <v>-79.962490797042804</v>
      </c>
      <c r="B2154">
        <v>-567.89125442991099</v>
      </c>
      <c r="C2154">
        <v>4.2895801269214898E-2</v>
      </c>
      <c r="D2154">
        <v>0</v>
      </c>
      <c r="E2154">
        <v>0</v>
      </c>
      <c r="F2154">
        <v>0</v>
      </c>
      <c r="G2154" s="1">
        <v>3.5029261384718001E-5</v>
      </c>
      <c r="H2154">
        <v>0.78633415583917399</v>
      </c>
      <c r="I2154">
        <v>0</v>
      </c>
    </row>
    <row r="2155" spans="1:9" x14ac:dyDescent="0.25">
      <c r="A2155" s="1">
        <v>-72.451583743095298</v>
      </c>
      <c r="B2155">
        <v>-514.55368437657205</v>
      </c>
      <c r="C2155">
        <v>5.23648146904164E-2</v>
      </c>
      <c r="D2155">
        <v>0</v>
      </c>
      <c r="E2155">
        <v>0</v>
      </c>
      <c r="F2155">
        <v>0</v>
      </c>
      <c r="G2155" s="1">
        <v>5.0708761611559798E-5</v>
      </c>
      <c r="H2155">
        <v>0.79560329843226096</v>
      </c>
      <c r="I2155">
        <v>0</v>
      </c>
    </row>
    <row r="2156" spans="1:9" x14ac:dyDescent="0.25">
      <c r="A2156" s="1">
        <v>-65.560821294784503</v>
      </c>
      <c r="B2156">
        <v>-465.61927475223399</v>
      </c>
      <c r="C2156">
        <v>6.4653581687591902E-2</v>
      </c>
      <c r="D2156">
        <v>0</v>
      </c>
      <c r="E2156">
        <v>0</v>
      </c>
      <c r="F2156">
        <v>0</v>
      </c>
      <c r="G2156" s="1">
        <v>7.2743183249990301E-5</v>
      </c>
      <c r="H2156">
        <v>0.80159899500902998</v>
      </c>
      <c r="I2156">
        <v>0</v>
      </c>
    </row>
    <row r="2157" spans="1:9" x14ac:dyDescent="0.25">
      <c r="A2157" s="1">
        <v>-59.238972067832897</v>
      </c>
      <c r="B2157">
        <v>-420.72458361873402</v>
      </c>
      <c r="C2157">
        <v>8.0281142292149596E-2</v>
      </c>
      <c r="D2157">
        <v>0</v>
      </c>
      <c r="E2157">
        <v>0</v>
      </c>
      <c r="F2157">
        <v>0</v>
      </c>
      <c r="G2157">
        <v>1.0364354561083599E-4</v>
      </c>
      <c r="H2157">
        <v>0.80601141220871297</v>
      </c>
      <c r="I2157">
        <v>0</v>
      </c>
    </row>
    <row r="2158" spans="1:9" x14ac:dyDescent="0.25">
      <c r="A2158" s="1">
        <v>-53.439136743545497</v>
      </c>
      <c r="B2158">
        <v>-379.536157761906</v>
      </c>
      <c r="C2158">
        <v>9.9845697584269699E-2</v>
      </c>
      <c r="D2158">
        <v>0</v>
      </c>
      <c r="E2158">
        <v>0</v>
      </c>
      <c r="F2158">
        <v>0</v>
      </c>
      <c r="G2158">
        <v>1.4687507341186199E-4</v>
      </c>
      <c r="H2158">
        <v>0.80973349383183901</v>
      </c>
      <c r="I2158">
        <v>0</v>
      </c>
    </row>
    <row r="2159" spans="1:9" x14ac:dyDescent="0.25">
      <c r="A2159" s="1">
        <v>-48.118183016777003</v>
      </c>
      <c r="B2159">
        <v>-341.74805870542298</v>
      </c>
      <c r="C2159">
        <v>0.124038719727351</v>
      </c>
      <c r="D2159">
        <v>0</v>
      </c>
      <c r="E2159">
        <v>0</v>
      </c>
      <c r="F2159">
        <v>0</v>
      </c>
      <c r="G2159">
        <v>2.0725722310139299E-4</v>
      </c>
      <c r="H2159">
        <v>0.81325936822921596</v>
      </c>
      <c r="I2159">
        <v>0</v>
      </c>
    </row>
    <row r="2160" spans="1:9" x14ac:dyDescent="0.25">
      <c r="A2160" s="1">
        <v>-43.236604332923797</v>
      </c>
      <c r="B2160">
        <v>-307.07963946649801</v>
      </c>
      <c r="C2160">
        <v>0.15366212007076199</v>
      </c>
      <c r="D2160">
        <v>0</v>
      </c>
      <c r="E2160">
        <v>0</v>
      </c>
      <c r="F2160">
        <v>0</v>
      </c>
      <c r="G2160">
        <v>2.9156324573563101E-4</v>
      </c>
      <c r="H2160">
        <v>0.81689019612536895</v>
      </c>
      <c r="I2160">
        <v>0</v>
      </c>
    </row>
    <row r="2161" spans="1:9" x14ac:dyDescent="0.25">
      <c r="A2161" s="1">
        <v>-38.758049011230398</v>
      </c>
      <c r="B2161">
        <v>-275.27337145993499</v>
      </c>
      <c r="C2161">
        <v>0.18965089852706099</v>
      </c>
      <c r="D2161">
        <v>0</v>
      </c>
      <c r="E2161">
        <v>0</v>
      </c>
      <c r="F2161">
        <v>0</v>
      </c>
      <c r="G2161">
        <v>4.0941681042482898E-4</v>
      </c>
      <c r="H2161">
        <v>0.82083523273445802</v>
      </c>
      <c r="I2161">
        <v>0</v>
      </c>
    </row>
    <row r="2162" spans="1:9" x14ac:dyDescent="0.25">
      <c r="A2162" s="1">
        <v>-34.649320244789102</v>
      </c>
      <c r="B2162">
        <v>-246.09300572464301</v>
      </c>
      <c r="C2162">
        <v>0.23310426075822899</v>
      </c>
      <c r="D2162">
        <v>0</v>
      </c>
      <c r="E2162">
        <v>0</v>
      </c>
      <c r="F2162">
        <v>0</v>
      </c>
      <c r="G2162">
        <v>5.7462158315161097E-4</v>
      </c>
      <c r="H2162">
        <v>0.82525408484657903</v>
      </c>
      <c r="I2162">
        <v>0</v>
      </c>
    </row>
    <row r="2163" spans="1:9" x14ac:dyDescent="0.25">
      <c r="A2163" s="1">
        <v>-30.879811048507602</v>
      </c>
      <c r="B2163">
        <v>-219.321742508207</v>
      </c>
      <c r="C2163">
        <v>0.28532730447515903</v>
      </c>
      <c r="D2163">
        <v>0</v>
      </c>
      <c r="E2163">
        <v>0</v>
      </c>
      <c r="F2163">
        <v>0</v>
      </c>
      <c r="G2163">
        <v>8.0710176041406999E-4</v>
      </c>
      <c r="H2163">
        <v>0.83026521464595904</v>
      </c>
      <c r="I2163">
        <v>0</v>
      </c>
    </row>
    <row r="2164" spans="1:9" x14ac:dyDescent="0.25">
      <c r="A2164" s="1">
        <v>-27.4215984344482</v>
      </c>
      <c r="B2164">
        <v>-194.76072681585401</v>
      </c>
      <c r="C2164">
        <v>0.34788574276517098</v>
      </c>
      <c r="D2164">
        <v>0</v>
      </c>
      <c r="E2164">
        <v>0</v>
      </c>
      <c r="F2164">
        <v>0</v>
      </c>
      <c r="G2164">
        <v>1.13567730267902E-3</v>
      </c>
      <c r="H2164">
        <v>0.835937653667709</v>
      </c>
      <c r="I2164">
        <v>0</v>
      </c>
    </row>
    <row r="2165" spans="1:9" x14ac:dyDescent="0.25">
      <c r="A2165" s="1">
        <v>-24.248878359794599</v>
      </c>
      <c r="B2165">
        <v>-172.22748963201499</v>
      </c>
      <c r="C2165">
        <v>0.42267432613484501</v>
      </c>
      <c r="D2165">
        <v>0</v>
      </c>
      <c r="E2165">
        <v>0</v>
      </c>
      <c r="F2165">
        <v>0</v>
      </c>
      <c r="G2165">
        <v>1.6019473783592201E-3</v>
      </c>
      <c r="H2165">
        <v>0.84227922759033003</v>
      </c>
      <c r="I2165">
        <v>0</v>
      </c>
    </row>
    <row r="2166" spans="1:9" x14ac:dyDescent="0.25">
      <c r="A2166" s="1">
        <v>-21.3381540775299</v>
      </c>
      <c r="B2166">
        <v>-151.55462316760801</v>
      </c>
      <c r="C2166">
        <v>0.51199953553826305</v>
      </c>
      <c r="D2166">
        <v>0</v>
      </c>
      <c r="E2166">
        <v>0</v>
      </c>
      <c r="F2166">
        <v>0</v>
      </c>
      <c r="G2166">
        <v>2.26560590641497E-3</v>
      </c>
      <c r="H2166">
        <v>0.84923157017381501</v>
      </c>
      <c r="I2166">
        <v>0</v>
      </c>
    </row>
    <row r="2167" spans="1:9" x14ac:dyDescent="0.25">
      <c r="A2167" s="1">
        <v>-18.6677181720733</v>
      </c>
      <c r="B2167">
        <v>-132.58855542459801</v>
      </c>
      <c r="C2167">
        <v>0.61867339890516404</v>
      </c>
      <c r="D2167">
        <v>0</v>
      </c>
      <c r="E2167">
        <v>0</v>
      </c>
      <c r="F2167">
        <v>0</v>
      </c>
      <c r="G2167">
        <v>3.21158054247916E-3</v>
      </c>
      <c r="H2167">
        <v>0.85667801866876403</v>
      </c>
      <c r="I2167">
        <v>0</v>
      </c>
    </row>
    <row r="2168" spans="1:9" x14ac:dyDescent="0.25">
      <c r="A2168" s="1">
        <v>-16.2178409099578</v>
      </c>
      <c r="B2168">
        <v>-115.188378696163</v>
      </c>
      <c r="C2168">
        <v>0.74611644610711203</v>
      </c>
      <c r="D2168">
        <v>0</v>
      </c>
      <c r="E2168">
        <v>0</v>
      </c>
      <c r="F2168">
        <v>0</v>
      </c>
      <c r="G2168">
        <v>4.55948009946496E-3</v>
      </c>
      <c r="H2168">
        <v>0.86446340227306595</v>
      </c>
      <c r="I2168">
        <v>0</v>
      </c>
    </row>
    <row r="2169" spans="1:9" x14ac:dyDescent="0.25">
      <c r="A2169" s="1">
        <v>-13.9702051877975</v>
      </c>
      <c r="B2169">
        <v>-99.224811730553299</v>
      </c>
      <c r="C2169">
        <v>0.89846404389390899</v>
      </c>
      <c r="D2169">
        <v>0</v>
      </c>
      <c r="E2169">
        <v>0</v>
      </c>
      <c r="F2169">
        <v>0</v>
      </c>
      <c r="G2169">
        <v>6.4759655973875797E-3</v>
      </c>
      <c r="H2169">
        <v>0.87241957652757496</v>
      </c>
      <c r="I2169">
        <v>0</v>
      </c>
    </row>
    <row r="2170" spans="1:9" x14ac:dyDescent="0.25">
      <c r="A2170" s="1">
        <v>-11.908189058303799</v>
      </c>
      <c r="B2170">
        <v>-84.579254617188894</v>
      </c>
      <c r="C2170">
        <v>1.0806716220566901</v>
      </c>
      <c r="D2170">
        <v>0</v>
      </c>
      <c r="E2170">
        <v>0</v>
      </c>
      <c r="F2170">
        <v>0</v>
      </c>
      <c r="G2170">
        <v>9.19084754568757E-3</v>
      </c>
      <c r="H2170">
        <v>0.88038900777550799</v>
      </c>
      <c r="I2170">
        <v>0</v>
      </c>
    </row>
    <row r="2171" spans="1:9" x14ac:dyDescent="0.25">
      <c r="A2171" s="1">
        <v>-10.016394853591899</v>
      </c>
      <c r="B2171">
        <v>-71.142893755827899</v>
      </c>
      <c r="C2171">
        <v>1.2986138907550799</v>
      </c>
      <c r="D2171">
        <v>0</v>
      </c>
      <c r="E2171">
        <v>0</v>
      </c>
      <c r="F2171">
        <v>0</v>
      </c>
      <c r="G2171">
        <v>1.30179928829875E-2</v>
      </c>
      <c r="H2171">
        <v>0.88824076900732096</v>
      </c>
      <c r="I2171">
        <v>0</v>
      </c>
    </row>
    <row r="2172" spans="1:9" x14ac:dyDescent="0.25">
      <c r="A2172" s="1">
        <v>-8.2808375358581507</v>
      </c>
      <c r="B2172">
        <v>-58.815898372624901</v>
      </c>
      <c r="C2172">
        <v>1.55917318471257</v>
      </c>
      <c r="D2172">
        <v>0</v>
      </c>
      <c r="E2172">
        <v>0</v>
      </c>
      <c r="F2172">
        <v>0</v>
      </c>
      <c r="G2172">
        <v>1.8382445822389799E-2</v>
      </c>
      <c r="H2172">
        <v>0.89587729696606899</v>
      </c>
      <c r="I2172">
        <v>0</v>
      </c>
    </row>
    <row r="2173" spans="1:9" x14ac:dyDescent="0.25">
      <c r="A2173" s="1">
        <v>-6.6885209083557102</v>
      </c>
      <c r="B2173">
        <v>-47.506672473643803</v>
      </c>
      <c r="C2173">
        <v>1.87031629047633</v>
      </c>
      <c r="D2173">
        <v>0</v>
      </c>
      <c r="E2173">
        <v>0</v>
      </c>
      <c r="F2173">
        <v>0</v>
      </c>
      <c r="G2173">
        <v>2.58556354118081E-2</v>
      </c>
      <c r="H2173">
        <v>0.90323353680997998</v>
      </c>
      <c r="I2173">
        <v>0</v>
      </c>
    </row>
    <row r="2174" spans="1:9" x14ac:dyDescent="0.25">
      <c r="A2174" s="1">
        <v>-5.2277201414108196</v>
      </c>
      <c r="B2174">
        <v>-37.131200826559997</v>
      </c>
      <c r="C2174">
        <v>2.24115575085079</v>
      </c>
      <c r="D2174">
        <v>0</v>
      </c>
      <c r="E2174">
        <v>0</v>
      </c>
      <c r="F2174">
        <v>0</v>
      </c>
      <c r="G2174">
        <v>3.6201046774112899E-2</v>
      </c>
      <c r="H2174">
        <v>0.91027134521929098</v>
      </c>
      <c r="I2174">
        <v>0</v>
      </c>
    </row>
    <row r="2175" spans="1:9" x14ac:dyDescent="0.25">
      <c r="A2175" s="1">
        <v>-3.88755798339843</v>
      </c>
      <c r="B2175">
        <v>-27.612371957694101</v>
      </c>
      <c r="C2175">
        <v>2.68199958086183</v>
      </c>
      <c r="D2175">
        <v>0</v>
      </c>
      <c r="E2175">
        <v>0</v>
      </c>
      <c r="F2175">
        <v>0</v>
      </c>
      <c r="G2175">
        <v>5.0433251331269198E-2</v>
      </c>
      <c r="H2175">
        <v>0.91697207765631195</v>
      </c>
      <c r="I2175">
        <v>0</v>
      </c>
    </row>
    <row r="2176" spans="1:9" x14ac:dyDescent="0.25">
      <c r="A2176" s="1">
        <v>-2.6580518484115601</v>
      </c>
      <c r="B2176">
        <v>-18.879485026393901</v>
      </c>
      <c r="C2176">
        <v>3.2043866054349599</v>
      </c>
      <c r="D2176">
        <v>0</v>
      </c>
      <c r="E2176">
        <v>0</v>
      </c>
      <c r="F2176">
        <v>0</v>
      </c>
      <c r="G2176">
        <v>6.98964210576377E-2</v>
      </c>
      <c r="H2176">
        <v>0.92333235983211304</v>
      </c>
      <c r="I2176">
        <v>0</v>
      </c>
    </row>
    <row r="2177" spans="1:9" x14ac:dyDescent="0.25">
      <c r="A2177" s="1">
        <v>-1.5300196409225399</v>
      </c>
      <c r="B2177">
        <v>-10.867622970436599</v>
      </c>
      <c r="C2177">
        <v>3.8210940419740198</v>
      </c>
      <c r="D2177">
        <v>0</v>
      </c>
      <c r="E2177">
        <v>0</v>
      </c>
      <c r="F2177">
        <v>0</v>
      </c>
      <c r="G2177">
        <v>9.6341403530386699E-2</v>
      </c>
      <c r="H2177">
        <v>0.92933980855264597</v>
      </c>
      <c r="I2177">
        <v>0</v>
      </c>
    </row>
    <row r="2178" spans="1:9" x14ac:dyDescent="0.25">
      <c r="A2178" s="1">
        <v>-0.49517393112182601</v>
      </c>
      <c r="B2178">
        <v>-3.51727639326911</v>
      </c>
      <c r="C2178">
        <v>4.5462417965853801</v>
      </c>
      <c r="D2178">
        <v>0</v>
      </c>
      <c r="E2178">
        <v>0</v>
      </c>
      <c r="F2178">
        <v>0</v>
      </c>
      <c r="G2178">
        <v>0.13738573401234999</v>
      </c>
      <c r="H2178">
        <v>0.93751614073268696</v>
      </c>
      <c r="I2178">
        <v>0</v>
      </c>
    </row>
    <row r="2179" spans="1:9" x14ac:dyDescent="0.25">
      <c r="A2179" s="1">
        <v>0.49376130104064903</v>
      </c>
      <c r="B2179">
        <v>0.35034961512225998</v>
      </c>
      <c r="C2179">
        <v>5.0131317844803496</v>
      </c>
      <c r="D2179">
        <v>0.33939800580976398</v>
      </c>
      <c r="E2179">
        <v>-4.8403579361103302E-4</v>
      </c>
      <c r="F2179">
        <v>1.49060887188359E-4</v>
      </c>
      <c r="G2179">
        <v>1.5672927265735499E-2</v>
      </c>
      <c r="H2179">
        <v>0.37669473342578003</v>
      </c>
      <c r="I2179" s="1">
        <v>4.89129133425721E-7</v>
      </c>
    </row>
    <row r="2180" spans="1:9" x14ac:dyDescent="0.25">
      <c r="A2180" s="1">
        <v>1.5257111191749499</v>
      </c>
      <c r="B2180">
        <v>1.08171341231006</v>
      </c>
      <c r="C2180">
        <v>5.1360359429841198</v>
      </c>
      <c r="D2180">
        <v>1.08117030576407</v>
      </c>
      <c r="E2180">
        <v>-4.2121197260355896E-3</v>
      </c>
      <c r="F2180">
        <v>4.6606047636331503E-4</v>
      </c>
      <c r="G2180">
        <v>3.42290478807235E-2</v>
      </c>
      <c r="H2180">
        <v>0.70409719151723404</v>
      </c>
      <c r="I2180" s="1">
        <v>2.3247277742681199E-5</v>
      </c>
    </row>
    <row r="2181" spans="1:9" x14ac:dyDescent="0.25">
      <c r="A2181" s="1">
        <v>2.6505178213119498</v>
      </c>
      <c r="B2181">
        <v>1.8720934804334</v>
      </c>
      <c r="C2181">
        <v>5.3223756688774397</v>
      </c>
      <c r="D2181">
        <v>1.9549164612671901</v>
      </c>
      <c r="E2181">
        <v>-1.58875992737545E-2</v>
      </c>
      <c r="F2181">
        <v>8.22641475149584E-4</v>
      </c>
      <c r="G2181">
        <v>5.9405823861632498E-2</v>
      </c>
      <c r="H2181">
        <v>0.81923208684304605</v>
      </c>
      <c r="I2181">
        <v>1.4363126652808801E-4</v>
      </c>
    </row>
    <row r="2182" spans="1:9" x14ac:dyDescent="0.25">
      <c r="A2182" s="1">
        <v>3.8765159249305698</v>
      </c>
      <c r="B2182">
        <v>2.71731078883546</v>
      </c>
      <c r="C2182">
        <v>5.6078960966251001</v>
      </c>
      <c r="D2182">
        <v>2.9833182953627899</v>
      </c>
      <c r="E2182">
        <v>-3.9347239223067397E-2</v>
      </c>
      <c r="F2182">
        <v>1.20720304465489E-3</v>
      </c>
      <c r="G2182">
        <v>8.3503353139289097E-2</v>
      </c>
      <c r="H2182">
        <v>0.859339671329587</v>
      </c>
      <c r="I2182">
        <v>3.7712723844760898E-4</v>
      </c>
    </row>
    <row r="2183" spans="1:9" x14ac:dyDescent="0.25">
      <c r="A2183" s="1">
        <v>5.2129346132278398</v>
      </c>
      <c r="B2183">
        <v>3.6070013414873401</v>
      </c>
      <c r="C2183">
        <v>6.0156013393713099</v>
      </c>
      <c r="D2183">
        <v>4.14555616396121</v>
      </c>
      <c r="E2183">
        <v>-7.8921578353581101E-2</v>
      </c>
      <c r="F2183">
        <v>1.5804505542655501E-3</v>
      </c>
      <c r="G2183">
        <v>0.100186148159467</v>
      </c>
      <c r="H2183">
        <v>0.86752721218630902</v>
      </c>
      <c r="I2183">
        <v>7.92545870123801E-4</v>
      </c>
    </row>
    <row r="2184" spans="1:9" x14ac:dyDescent="0.25">
      <c r="A2184" s="1">
        <v>6.6695916652679399</v>
      </c>
      <c r="B2184">
        <v>4.52327888717788</v>
      </c>
      <c r="C2184">
        <v>6.5277441570337702</v>
      </c>
      <c r="D2184">
        <v>5.3513365725612001</v>
      </c>
      <c r="E2184">
        <v>-0.136846233447627</v>
      </c>
      <c r="F2184">
        <v>1.8792749668031E-3</v>
      </c>
      <c r="G2184">
        <v>0.107808081675083</v>
      </c>
      <c r="H2184">
        <v>0.85774538834746605</v>
      </c>
      <c r="I2184">
        <v>1.80048593428566E-3</v>
      </c>
    </row>
    <row r="2185" spans="1:9" x14ac:dyDescent="0.25">
      <c r="A2185" s="1">
        <v>8.2573878765106201</v>
      </c>
      <c r="B2185">
        <v>5.4416626643194501</v>
      </c>
      <c r="C2185">
        <v>7.0735164266321702</v>
      </c>
      <c r="D2185">
        <v>6.4518987365414002</v>
      </c>
      <c r="E2185">
        <v>-0.21138326891020401</v>
      </c>
      <c r="F2185">
        <v>2.0345248814066901E-3</v>
      </c>
      <c r="G2185">
        <v>0.109711733287941</v>
      </c>
      <c r="H2185">
        <v>0.83706771027393601</v>
      </c>
      <c r="I2185">
        <v>4.3070534786257102E-3</v>
      </c>
    </row>
    <row r="2186" spans="1:9" x14ac:dyDescent="0.25">
      <c r="A2186" s="1">
        <v>9.9880245327949506</v>
      </c>
      <c r="B2186">
        <v>6.3347883801712399</v>
      </c>
      <c r="C2186">
        <v>7.5510266028880304</v>
      </c>
      <c r="D2186">
        <v>7.2982547617623998</v>
      </c>
      <c r="E2186">
        <v>-0.29665736288352401</v>
      </c>
      <c r="F2186">
        <v>1.9929903076068701E-3</v>
      </c>
      <c r="G2186">
        <v>0.110645417704909</v>
      </c>
      <c r="H2186">
        <v>0.81162238002836895</v>
      </c>
      <c r="I2186">
        <v>8.26094710116973E-3</v>
      </c>
    </row>
    <row r="2187" spans="1:9" x14ac:dyDescent="0.25">
      <c r="A2187" s="1">
        <v>11.874474287032999</v>
      </c>
      <c r="B2187">
        <v>7.17818363120693</v>
      </c>
      <c r="C2187">
        <v>7.8722509616538598</v>
      </c>
      <c r="D2187">
        <v>7.8045288549731104</v>
      </c>
      <c r="E2187">
        <v>-0.384839472994423</v>
      </c>
      <c r="F2187">
        <v>1.76101577494552E-3</v>
      </c>
      <c r="G2187">
        <v>0.112596288235891</v>
      </c>
      <c r="H2187">
        <v>0.78587603742732204</v>
      </c>
      <c r="I2187">
        <v>1.09430119705709E-2</v>
      </c>
    </row>
    <row r="2188" spans="1:9" x14ac:dyDescent="0.25">
      <c r="A2188" s="1">
        <v>13.9306750893592</v>
      </c>
      <c r="B2188">
        <v>7.9551322947992702</v>
      </c>
      <c r="C2188">
        <v>7.9952621346647703</v>
      </c>
      <c r="D2188">
        <v>7.9680450443976998</v>
      </c>
      <c r="E2188">
        <v>-0.46899491463216603</v>
      </c>
      <c r="F2188">
        <v>1.41349048086563E-3</v>
      </c>
      <c r="G2188">
        <v>0.11443934716276701</v>
      </c>
      <c r="H2188">
        <v>0.76124736758370803</v>
      </c>
      <c r="I2188">
        <v>9.8271714937448202E-3</v>
      </c>
    </row>
    <row r="2189" spans="1:9" x14ac:dyDescent="0.25">
      <c r="A2189" s="1">
        <v>16.171883344650201</v>
      </c>
      <c r="B2189">
        <v>8.6581288318886092</v>
      </c>
      <c r="C2189">
        <v>7.9250777860843602</v>
      </c>
      <c r="D2189">
        <v>7.8454518980003503</v>
      </c>
      <c r="E2189">
        <v>-0.54460550648895101</v>
      </c>
      <c r="F2189">
        <v>1.06897997196178E-3</v>
      </c>
      <c r="G2189">
        <v>0.114414929888196</v>
      </c>
      <c r="H2189">
        <v>0.73731604569186004</v>
      </c>
      <c r="I2189">
        <v>5.3934059649230698E-3</v>
      </c>
    </row>
    <row r="2190" spans="1:9" x14ac:dyDescent="0.25">
      <c r="A2190" s="1">
        <v>18.614838719367899</v>
      </c>
      <c r="B2190">
        <v>9.2871899585975992</v>
      </c>
      <c r="C2190">
        <v>7.6953210728775696</v>
      </c>
      <c r="D2190">
        <v>7.5152404275275302</v>
      </c>
      <c r="E2190">
        <v>-0.60959033975846399</v>
      </c>
      <c r="F2190">
        <v>8.5112036570846104E-4</v>
      </c>
      <c r="G2190">
        <v>0.111778232729801</v>
      </c>
      <c r="H2190">
        <v>0.71347150134308501</v>
      </c>
      <c r="I2190">
        <v>-2.42520609443404E-4</v>
      </c>
    </row>
    <row r="2191" spans="1:9" x14ac:dyDescent="0.25">
      <c r="A2191" s="1">
        <v>21.2777170538902</v>
      </c>
      <c r="B2191">
        <v>9.8470797698749895</v>
      </c>
      <c r="C2191">
        <v>7.3493523276187904</v>
      </c>
      <c r="D2191">
        <v>7.05232234953474</v>
      </c>
      <c r="E2191">
        <v>-0.66361330627182102</v>
      </c>
      <c r="F2191">
        <v>8.4841054701760696E-4</v>
      </c>
      <c r="G2191">
        <v>0.106839567117181</v>
      </c>
      <c r="H2191">
        <v>0.68951754234995499</v>
      </c>
      <c r="I2191">
        <v>-5.3921311288074097E-3</v>
      </c>
    </row>
    <row r="2192" spans="1:9" x14ac:dyDescent="0.25">
      <c r="A2192" s="1">
        <v>24.180224537849401</v>
      </c>
      <c r="B2192">
        <v>10.3448357533468</v>
      </c>
      <c r="C2192">
        <v>6.9287561287880202</v>
      </c>
      <c r="D2192">
        <v>6.51696848240001</v>
      </c>
      <c r="E2192">
        <v>-0.70732855195683897</v>
      </c>
      <c r="F2192">
        <v>1.0990302089450199E-3</v>
      </c>
      <c r="G2192">
        <v>0.10036613526112</v>
      </c>
      <c r="H2192">
        <v>0.66560190645954298</v>
      </c>
      <c r="I2192">
        <v>-9.3412617188316002E-3</v>
      </c>
    </row>
    <row r="2193" spans="1:9" x14ac:dyDescent="0.25">
      <c r="A2193" s="1">
        <v>27.343950867652801</v>
      </c>
      <c r="B2193">
        <v>10.7882141899122</v>
      </c>
      <c r="C2193">
        <v>6.4684770049918097</v>
      </c>
      <c r="D2193">
        <v>5.9535335671850502</v>
      </c>
      <c r="E2193">
        <v>-0.74182455053721197</v>
      </c>
      <c r="F2193">
        <v>1.5393480969777299E-3</v>
      </c>
      <c r="G2193">
        <v>9.3083306536354701E-2</v>
      </c>
      <c r="H2193">
        <v>0.642064086007469</v>
      </c>
      <c r="I2193">
        <v>-1.20054788086462E-2</v>
      </c>
    </row>
    <row r="2194" spans="1:9" x14ac:dyDescent="0.25">
      <c r="A2194" s="1">
        <v>30.7923927903175</v>
      </c>
      <c r="B2194">
        <v>11.1848710637344</v>
      </c>
      <c r="C2194">
        <v>5.9956691720790598</v>
      </c>
      <c r="D2194">
        <v>5.3937284992817602</v>
      </c>
      <c r="E2194">
        <v>-0.76830039129328798</v>
      </c>
      <c r="F2194">
        <v>2.0779914597211101E-3</v>
      </c>
      <c r="G2194">
        <v>8.5489342128058296E-2</v>
      </c>
      <c r="H2194">
        <v>0.61931827629718805</v>
      </c>
      <c r="I2194">
        <v>-1.3535754579895001E-2</v>
      </c>
    </row>
    <row r="2195" spans="1:9" x14ac:dyDescent="0.25">
      <c r="A2195" s="1">
        <v>34.551213085651298</v>
      </c>
      <c r="B2195">
        <v>11.5420611720337</v>
      </c>
      <c r="C2195">
        <v>5.5301068507967202</v>
      </c>
      <c r="D2195">
        <v>4.8570571432263296</v>
      </c>
      <c r="E2195">
        <v>-0.78791082875548502</v>
      </c>
      <c r="F2195">
        <v>2.6574646822983901E-3</v>
      </c>
      <c r="G2195">
        <v>7.7869265503281507E-2</v>
      </c>
      <c r="H2195">
        <v>0.59776916520309697</v>
      </c>
      <c r="I2195">
        <v>-1.4135743178563399E-2</v>
      </c>
    </row>
    <row r="2196" spans="1:9" x14ac:dyDescent="0.25">
      <c r="A2196" s="1">
        <v>38.6483111977577</v>
      </c>
      <c r="B2196">
        <v>11.866287086511999</v>
      </c>
      <c r="C2196">
        <v>5.0851296569812003</v>
      </c>
      <c r="D2196">
        <v>4.3566406737674299</v>
      </c>
      <c r="E2196">
        <v>-0.80166400271747096</v>
      </c>
      <c r="F2196">
        <v>3.1470413875298599E-3</v>
      </c>
      <c r="G2196">
        <v>7.0388594814266903E-2</v>
      </c>
      <c r="H2196">
        <v>0.57779104473485698</v>
      </c>
      <c r="I2196">
        <v>-1.4005764765970499E-2</v>
      </c>
    </row>
    <row r="2197" spans="1:9" x14ac:dyDescent="0.25">
      <c r="A2197" s="1">
        <v>43.1141293048858</v>
      </c>
      <c r="B2197">
        <v>12.1633994500889</v>
      </c>
      <c r="C2197">
        <v>4.6688907226282703</v>
      </c>
      <c r="D2197">
        <v>3.89913769172168</v>
      </c>
      <c r="E2197">
        <v>-0.81039063035757997</v>
      </c>
      <c r="F2197">
        <v>3.4989477224970302E-3</v>
      </c>
      <c r="G2197">
        <v>6.3159034841890893E-2</v>
      </c>
      <c r="H2197">
        <v>0.559645131096138</v>
      </c>
      <c r="I2197">
        <v>-1.33328648195855E-2</v>
      </c>
    </row>
    <row r="2198" spans="1:9" x14ac:dyDescent="0.25">
      <c r="A2198" s="1">
        <v>47.981887757778097</v>
      </c>
      <c r="B2198">
        <v>12.4383963834299</v>
      </c>
      <c r="C2198">
        <v>4.2856497401651401</v>
      </c>
      <c r="D2198">
        <v>3.4875516210757</v>
      </c>
      <c r="E2198">
        <v>-0.81478862198930102</v>
      </c>
      <c r="F2198">
        <v>3.65377059573335E-3</v>
      </c>
      <c r="G2198">
        <v>5.6260853662746399E-2</v>
      </c>
      <c r="H2198">
        <v>0.54335355358476101</v>
      </c>
      <c r="I2198">
        <v>-1.2297600720946499E-2</v>
      </c>
    </row>
    <row r="2199" spans="1:9" x14ac:dyDescent="0.25">
      <c r="A2199" s="1">
        <v>53.287820518016801</v>
      </c>
      <c r="B2199">
        <v>12.695456917191899</v>
      </c>
      <c r="C2199">
        <v>3.9365729960386</v>
      </c>
      <c r="D2199">
        <v>3.1214481879511302</v>
      </c>
      <c r="E2199">
        <v>-0.81538680344275705</v>
      </c>
      <c r="F2199">
        <v>3.5552116147559202E-3</v>
      </c>
      <c r="G2199">
        <v>4.97838644260045E-2</v>
      </c>
      <c r="H2199">
        <v>0.52890514853149195</v>
      </c>
      <c r="I2199">
        <v>-1.10631460195563E-2</v>
      </c>
    </row>
    <row r="2200" spans="1:9" x14ac:dyDescent="0.25">
      <c r="A2200" s="1">
        <v>59.071175158023799</v>
      </c>
      <c r="B2200">
        <v>12.9380747210039</v>
      </c>
      <c r="C2200">
        <v>3.6208890701651</v>
      </c>
      <c r="D2200">
        <v>2.79869460188644</v>
      </c>
      <c r="E2200">
        <v>-0.81258844964334898</v>
      </c>
      <c r="F2200">
        <v>3.1523663446925199E-3</v>
      </c>
      <c r="G2200">
        <v>4.3820863569259003E-2</v>
      </c>
      <c r="H2200">
        <v>0.51619635985501899</v>
      </c>
      <c r="I2200">
        <v>-9.7812830053233702E-3</v>
      </c>
    </row>
    <row r="2201" spans="1:9" x14ac:dyDescent="0.25">
      <c r="A2201" s="1">
        <v>65.375131070613804</v>
      </c>
      <c r="B2201">
        <v>13.1691584002031</v>
      </c>
      <c r="C2201">
        <v>3.3369235002564701</v>
      </c>
      <c r="D2201">
        <v>2.5159461688027198</v>
      </c>
      <c r="E2201">
        <v>-0.80669392210299595</v>
      </c>
      <c r="F2201">
        <v>2.53617694849697E-3</v>
      </c>
      <c r="G2201">
        <v>3.8417304694413602E-2</v>
      </c>
      <c r="H2201">
        <v>0.50482037350335596</v>
      </c>
      <c r="I2201">
        <v>-8.5502371272108101E-3</v>
      </c>
    </row>
    <row r="2202" spans="1:9" x14ac:dyDescent="0.25">
      <c r="A2202" s="1">
        <v>72.246375679969702</v>
      </c>
      <c r="B2202">
        <v>13.3910816442026</v>
      </c>
      <c r="C2202">
        <v>3.08183010101187</v>
      </c>
      <c r="D2202">
        <v>2.2694212344675702</v>
      </c>
      <c r="E2202">
        <v>-0.79793482087002399</v>
      </c>
      <c r="F2202">
        <v>1.80723372801839E-3</v>
      </c>
      <c r="G2202">
        <v>3.3595570109082103E-2</v>
      </c>
      <c r="H2202">
        <v>0.49450888639608498</v>
      </c>
      <c r="I2202">
        <v>-7.4307498497133999E-3</v>
      </c>
    </row>
    <row r="2203" spans="1:9" x14ac:dyDescent="0.25">
      <c r="A2203" s="1">
        <v>79.736069738864799</v>
      </c>
      <c r="B2203">
        <v>13.6057835232271</v>
      </c>
      <c r="C2203">
        <v>2.8520848332069102</v>
      </c>
      <c r="D2203">
        <v>2.0544659374541299</v>
      </c>
      <c r="E2203">
        <v>-0.78644857697821302</v>
      </c>
      <c r="F2203">
        <v>1.1425717582462401E-3</v>
      </c>
      <c r="G2203">
        <v>2.9313264618781299E-2</v>
      </c>
      <c r="H2203">
        <v>0.48481476105579802</v>
      </c>
      <c r="I2203">
        <v>-6.4294741623254596E-3</v>
      </c>
    </row>
    <row r="2204" spans="1:9" x14ac:dyDescent="0.25">
      <c r="A2204" s="1">
        <v>87.899753153324099</v>
      </c>
      <c r="B2204">
        <v>13.814868785048899</v>
      </c>
      <c r="C2204">
        <v>2.64395334835852</v>
      </c>
      <c r="D2204">
        <v>1.8659468098876</v>
      </c>
      <c r="E2204">
        <v>-0.77227750484044999</v>
      </c>
      <c r="F2204">
        <v>7.5386753216607702E-4</v>
      </c>
      <c r="G2204">
        <v>2.5530570411494199E-2</v>
      </c>
      <c r="H2204">
        <v>0.47561852339708199</v>
      </c>
      <c r="I2204">
        <v>-5.5525794552623697E-3</v>
      </c>
    </row>
    <row r="2205" spans="1:9" x14ac:dyDescent="0.25">
      <c r="A2205" s="1">
        <v>96.798263192176805</v>
      </c>
      <c r="B2205">
        <v>14.019524274374399</v>
      </c>
      <c r="C2205">
        <v>2.4540635449516399</v>
      </c>
      <c r="D2205">
        <v>1.7005819255649399</v>
      </c>
      <c r="E2205">
        <v>-0.75549667238234897</v>
      </c>
      <c r="F2205">
        <v>8.24810016475815E-4</v>
      </c>
      <c r="G2205">
        <v>2.2200763744725498E-2</v>
      </c>
      <c r="H2205">
        <v>0.46667110409239498</v>
      </c>
      <c r="I2205">
        <v>-4.7892507775410802E-3</v>
      </c>
    </row>
    <row r="2206" spans="1:9" x14ac:dyDescent="0.25">
      <c r="A2206" s="1">
        <v>106.497616767883</v>
      </c>
      <c r="B2206">
        <v>14.2208198230518</v>
      </c>
      <c r="C2206">
        <v>2.27902186134276</v>
      </c>
      <c r="D2206">
        <v>1.5536652312350001</v>
      </c>
      <c r="E2206">
        <v>-0.73601467112851904</v>
      </c>
      <c r="F2206">
        <v>1.0834224682044001E-3</v>
      </c>
      <c r="G2206">
        <v>1.9284118927054401E-2</v>
      </c>
      <c r="H2206">
        <v>0.45796783137441499</v>
      </c>
      <c r="I2206">
        <v>-4.1315724641214999E-3</v>
      </c>
    </row>
    <row r="2207" spans="1:9" x14ac:dyDescent="0.25">
      <c r="A2207" s="1">
        <v>117.06990510225199</v>
      </c>
      <c r="B2207">
        <v>14.419908843542499</v>
      </c>
      <c r="C2207">
        <v>2.1148236944980301</v>
      </c>
      <c r="D2207">
        <v>1.4220850864115999</v>
      </c>
      <c r="E2207">
        <v>-0.71359575854439306</v>
      </c>
      <c r="F2207">
        <v>1.25796301623255E-3</v>
      </c>
      <c r="G2207">
        <v>1.6736120669165501E-2</v>
      </c>
      <c r="H2207">
        <v>0.45010387465235402</v>
      </c>
      <c r="I2207">
        <v>-3.56567578337561E-3</v>
      </c>
    </row>
    <row r="2208" spans="1:9" x14ac:dyDescent="0.25">
      <c r="A2208" s="1">
        <v>128.593670427799</v>
      </c>
      <c r="B2208">
        <v>14.6177274387134</v>
      </c>
      <c r="C2208">
        <v>1.9594410622801499</v>
      </c>
      <c r="D2208">
        <v>1.30271605391618</v>
      </c>
      <c r="E2208">
        <v>-0.68827721853942903</v>
      </c>
      <c r="F2208">
        <v>1.54278416417256E-3</v>
      </c>
      <c r="G2208">
        <v>1.4480007398616299E-2</v>
      </c>
      <c r="H2208">
        <v>0.44267396646926199</v>
      </c>
      <c r="I2208">
        <v>-3.0615294659123299E-3</v>
      </c>
    </row>
    <row r="2209" spans="1:9" x14ac:dyDescent="0.25">
      <c r="A2209" s="1">
        <v>141.15461230278001</v>
      </c>
      <c r="B2209">
        <v>14.8147269438757</v>
      </c>
      <c r="C2209">
        <v>1.8109879055345699</v>
      </c>
      <c r="D2209">
        <v>1.19307429831784</v>
      </c>
      <c r="E2209">
        <v>-0.65984273980707397</v>
      </c>
      <c r="F2209">
        <v>2.16746189083766E-3</v>
      </c>
      <c r="G2209">
        <v>1.2466835832344699E-2</v>
      </c>
      <c r="H2209">
        <v>0.43547043338250901</v>
      </c>
      <c r="I2209">
        <v>-2.6101890785448301E-3</v>
      </c>
    </row>
    <row r="2210" spans="1:9" x14ac:dyDescent="0.25">
      <c r="A2210" s="1">
        <v>154.84601140022201</v>
      </c>
      <c r="B2210">
        <v>15.010690049435</v>
      </c>
      <c r="C2210">
        <v>1.66797589282042</v>
      </c>
      <c r="D2210">
        <v>1.0911547001428299</v>
      </c>
      <c r="E2210">
        <v>-0.62811502774175898</v>
      </c>
      <c r="F2210">
        <v>2.28272619008222E-3</v>
      </c>
      <c r="G2210">
        <v>1.06611910294152E-2</v>
      </c>
      <c r="H2210">
        <v>0.42799116651014801</v>
      </c>
      <c r="I2210">
        <v>-2.2045706368015601E-3</v>
      </c>
    </row>
    <row r="2211" spans="1:9" x14ac:dyDescent="0.25">
      <c r="A2211" s="1">
        <v>169.76969480514501</v>
      </c>
      <c r="B2211">
        <v>15.2055833231462</v>
      </c>
      <c r="C2211">
        <v>1.52806443946284</v>
      </c>
      <c r="D2211">
        <v>0.99451203044783498</v>
      </c>
      <c r="E2211">
        <v>-0.59263019800116401</v>
      </c>
      <c r="F2211">
        <v>1.9015260344276599E-3</v>
      </c>
      <c r="G2211">
        <v>9.0459120814143108E-3</v>
      </c>
      <c r="H2211">
        <v>0.42053124740007303</v>
      </c>
      <c r="I2211">
        <v>-1.8416697151439399E-3</v>
      </c>
    </row>
    <row r="2212" spans="1:9" x14ac:dyDescent="0.25">
      <c r="A2212" s="1">
        <v>186.03645980358101</v>
      </c>
      <c r="B2212">
        <v>15.399908248688099</v>
      </c>
      <c r="C2212">
        <v>1.3893850836125801</v>
      </c>
      <c r="D2212">
        <v>0.90195977065809396</v>
      </c>
      <c r="E2212">
        <v>-0.55290966791969598</v>
      </c>
      <c r="F2212">
        <v>1.72476867648115E-3</v>
      </c>
      <c r="G2212">
        <v>7.6010387396120201E-3</v>
      </c>
      <c r="H2212">
        <v>0.41362410860349802</v>
      </c>
      <c r="I2212">
        <v>-1.5197809688296401E-3</v>
      </c>
    </row>
    <row r="2213" spans="1:9" x14ac:dyDescent="0.25">
      <c r="A2213" s="1">
        <v>203.76720398664401</v>
      </c>
      <c r="B2213">
        <v>15.5932302068724</v>
      </c>
      <c r="C2213">
        <v>1.2518937604725999</v>
      </c>
      <c r="D2213">
        <v>0.81119473422348998</v>
      </c>
      <c r="E2213">
        <v>-0.50884506422243703</v>
      </c>
      <c r="F2213">
        <v>1.48862282924282E-3</v>
      </c>
      <c r="G2213">
        <v>6.3015921629566802E-3</v>
      </c>
      <c r="H2213">
        <v>0.40632867026883401</v>
      </c>
      <c r="I2213">
        <v>-1.23254265436293E-3</v>
      </c>
    </row>
    <row r="2214" spans="1:9" x14ac:dyDescent="0.25">
      <c r="A2214" s="1">
        <v>223.09376105666101</v>
      </c>
      <c r="B2214">
        <v>15.783894301558901</v>
      </c>
      <c r="C2214">
        <v>1.1146118166523999</v>
      </c>
      <c r="D2214">
        <v>0.721343322938516</v>
      </c>
      <c r="E2214">
        <v>-0.45998321064457998</v>
      </c>
      <c r="F2214">
        <v>1.1637861404395101E-3</v>
      </c>
      <c r="G2214">
        <v>5.1224946860253598E-3</v>
      </c>
      <c r="H2214">
        <v>0.398929147005256</v>
      </c>
      <c r="I2214">
        <v>-9.6999254275041897E-4</v>
      </c>
    </row>
    <row r="2215" spans="1:9" x14ac:dyDescent="0.25">
      <c r="A2215" s="1">
        <v>244.15970131754801</v>
      </c>
      <c r="B2215">
        <v>15.970496378446899</v>
      </c>
      <c r="C2215">
        <v>0.97659536416956605</v>
      </c>
      <c r="D2215">
        <v>0.63094479289704597</v>
      </c>
      <c r="E2215">
        <v>-0.40572175274918199</v>
      </c>
      <c r="F2215">
        <v>3.7766112448524899E-4</v>
      </c>
      <c r="G2215">
        <v>4.0636859936634701E-3</v>
      </c>
      <c r="H2215">
        <v>0.39204139216204198</v>
      </c>
      <c r="I2215">
        <v>-7.3604659922772004E-4</v>
      </c>
    </row>
    <row r="2216" spans="1:9" x14ac:dyDescent="0.25">
      <c r="A2216" s="1">
        <v>267.12157949805197</v>
      </c>
      <c r="B2216">
        <v>16.1501779805673</v>
      </c>
      <c r="C2216">
        <v>0.83872884645074197</v>
      </c>
      <c r="D2216">
        <v>0.54089040583589698</v>
      </c>
      <c r="E2216">
        <v>-0.34570231482963698</v>
      </c>
      <c r="F2216">
        <v>-6.3794542537286801E-4</v>
      </c>
      <c r="G2216">
        <v>3.1354459135693302E-3</v>
      </c>
      <c r="H2216">
        <v>0.38616540604851901</v>
      </c>
      <c r="I2216">
        <v>-5.3856035595772E-4</v>
      </c>
    </row>
    <row r="2217" spans="1:9" x14ac:dyDescent="0.25">
      <c r="A2217" s="1">
        <v>292.15002954006098</v>
      </c>
      <c r="B2217">
        <v>16.3182585935844</v>
      </c>
      <c r="C2217">
        <v>0.70143245281072697</v>
      </c>
      <c r="D2217">
        <v>0.44988504018393799</v>
      </c>
      <c r="E2217">
        <v>-0.279408754846732</v>
      </c>
      <c r="F2217">
        <v>-1.2056925950982001E-3</v>
      </c>
      <c r="G2217">
        <v>2.34252676328244E-3</v>
      </c>
      <c r="H2217">
        <v>0.38252181975758198</v>
      </c>
      <c r="I2217">
        <v>-3.7887613316477797E-4</v>
      </c>
    </row>
    <row r="2218" spans="1:9" x14ac:dyDescent="0.25">
      <c r="A2218" s="1">
        <v>319.43101242184599</v>
      </c>
      <c r="B2218">
        <v>16.4653103243364</v>
      </c>
      <c r="C2218">
        <v>0.57192858947497804</v>
      </c>
      <c r="D2218">
        <v>0.36195444246690101</v>
      </c>
      <c r="E2218">
        <v>-0.20652432085629299</v>
      </c>
      <c r="F2218">
        <v>-9.1869968821075502E-4</v>
      </c>
      <c r="G2218">
        <v>1.70151146150569E-3</v>
      </c>
      <c r="H2218">
        <v>0.38240446490970798</v>
      </c>
      <c r="I2218">
        <v>-2.61499784620687E-4</v>
      </c>
    </row>
    <row r="2219" spans="1:9" x14ac:dyDescent="0.25">
      <c r="A2219" s="1">
        <v>349.16732590645501</v>
      </c>
      <c r="B2219">
        <v>16.579381145144801</v>
      </c>
      <c r="C2219">
        <v>0.464386270477115</v>
      </c>
      <c r="D2219">
        <v>0.28735167630228697</v>
      </c>
      <c r="E2219">
        <v>-0.12574375503997001</v>
      </c>
      <c r="F2219">
        <v>-1.04105517099902E-3</v>
      </c>
      <c r="G2219">
        <v>1.2589810593696901E-3</v>
      </c>
      <c r="H2219">
        <v>0.38691825969833998</v>
      </c>
      <c r="I2219">
        <v>-1.9178502434917701E-4</v>
      </c>
    </row>
    <row r="2220" spans="1:9" x14ac:dyDescent="0.25">
      <c r="A2220" s="1">
        <v>379.83785875141598</v>
      </c>
      <c r="B2220">
        <v>16.6396093349708</v>
      </c>
      <c r="C2220">
        <v>0.40300164756228302</v>
      </c>
      <c r="D2220">
        <v>0.243698334750584</v>
      </c>
      <c r="E2220">
        <v>-4.1509829948236598E-2</v>
      </c>
      <c r="F2220">
        <v>-1.37629367965286E-3</v>
      </c>
      <c r="G2220">
        <v>1.02880489129259E-3</v>
      </c>
      <c r="H2220">
        <v>0.40770918951721102</v>
      </c>
      <c r="I2220">
        <v>-1.52255304243159E-4</v>
      </c>
    </row>
    <row r="2221" spans="1:9" x14ac:dyDescent="0.25">
      <c r="A2221" s="1" t="s">
        <v>553</v>
      </c>
      <c r="B2221" s="1" t="s">
        <v>614</v>
      </c>
      <c r="C2221" s="1" t="s">
        <v>615</v>
      </c>
      <c r="D2221" s="1" t="s">
        <v>616</v>
      </c>
      <c r="E2221" s="1" t="s">
        <v>617</v>
      </c>
      <c r="F2221" s="1" t="s">
        <v>618</v>
      </c>
      <c r="G2221" s="1" t="s">
        <v>400</v>
      </c>
      <c r="H2221" s="1" t="s">
        <v>619</v>
      </c>
      <c r="I2221" s="1" t="s">
        <v>613</v>
      </c>
    </row>
    <row r="2222" spans="1:9" x14ac:dyDescent="0.25">
      <c r="A2222" s="1">
        <v>-141.555516719818</v>
      </c>
      <c r="B2222">
        <v>-14.28270708384</v>
      </c>
      <c r="C2222">
        <v>2.19186668336116E-3</v>
      </c>
      <c r="D2222">
        <v>0</v>
      </c>
      <c r="E2222">
        <v>0</v>
      </c>
      <c r="F2222">
        <v>0</v>
      </c>
      <c r="G2222" s="1">
        <v>7.2867501990092594E-8</v>
      </c>
      <c r="H2222">
        <v>3.7611482476900798E-2</v>
      </c>
      <c r="I2222">
        <v>0</v>
      </c>
    </row>
    <row r="2223" spans="1:9" x14ac:dyDescent="0.25">
      <c r="A2223" s="1">
        <v>-128.95890593528699</v>
      </c>
      <c r="B2223">
        <v>-13.0168515341916</v>
      </c>
      <c r="C2223">
        <v>2.23003162167075E-3</v>
      </c>
      <c r="D2223">
        <v>0</v>
      </c>
      <c r="E2223">
        <v>0</v>
      </c>
      <c r="F2223">
        <v>0</v>
      </c>
      <c r="G2223" s="1">
        <v>9.7371413306790405E-8</v>
      </c>
      <c r="H2223">
        <v>0.24362353364349401</v>
      </c>
      <c r="I2223">
        <v>0</v>
      </c>
    </row>
    <row r="2224" spans="1:9" x14ac:dyDescent="0.25">
      <c r="A2224" s="1">
        <v>-117.402367591857</v>
      </c>
      <c r="B2224">
        <v>-11.854640123862801</v>
      </c>
      <c r="C2224">
        <v>2.3067694642732299E-3</v>
      </c>
      <c r="D2224">
        <v>0</v>
      </c>
      <c r="E2224">
        <v>0</v>
      </c>
      <c r="F2224">
        <v>0</v>
      </c>
      <c r="G2224" s="1">
        <v>1.4409736983189701E-7</v>
      </c>
      <c r="H2224">
        <v>0.43808006616475698</v>
      </c>
      <c r="I2224">
        <v>0</v>
      </c>
    </row>
    <row r="2225" spans="1:9" x14ac:dyDescent="0.25">
      <c r="A2225" s="1">
        <v>-106.80001378059301</v>
      </c>
      <c r="B2225">
        <v>-10.7876500165649</v>
      </c>
      <c r="C2225">
        <v>2.4280017256447998E-3</v>
      </c>
      <c r="D2225">
        <v>0</v>
      </c>
      <c r="E2225">
        <v>0</v>
      </c>
      <c r="F2225">
        <v>0</v>
      </c>
      <c r="G2225" s="1">
        <v>2.1375402949608199E-7</v>
      </c>
      <c r="H2225">
        <v>0.56448719164579597</v>
      </c>
      <c r="I2225">
        <v>0</v>
      </c>
    </row>
    <row r="2226" spans="1:9" x14ac:dyDescent="0.25">
      <c r="A2226" s="1">
        <v>-97.073161005973802</v>
      </c>
      <c r="B2226">
        <v>-9.8081416475215004</v>
      </c>
      <c r="C2226">
        <v>2.6018452522807399E-3</v>
      </c>
      <c r="D2226">
        <v>0</v>
      </c>
      <c r="E2226">
        <v>0</v>
      </c>
      <c r="F2226">
        <v>0</v>
      </c>
      <c r="G2226" s="1">
        <v>3.1026680078871602E-7</v>
      </c>
      <c r="H2226">
        <v>0.640679999905444</v>
      </c>
      <c r="I2226">
        <v>0</v>
      </c>
    </row>
    <row r="2227" spans="1:9" x14ac:dyDescent="0.25">
      <c r="A2227" s="1">
        <v>-88.149435520172105</v>
      </c>
      <c r="B2227">
        <v>-8.9089835009165999</v>
      </c>
      <c r="C2227">
        <v>2.83722988864098E-3</v>
      </c>
      <c r="D2227">
        <v>0</v>
      </c>
      <c r="E2227">
        <v>0</v>
      </c>
      <c r="F2227">
        <v>0</v>
      </c>
      <c r="G2227" s="1">
        <v>4.4078648940015699E-7</v>
      </c>
      <c r="H2227">
        <v>0.68684044394802901</v>
      </c>
      <c r="I2227">
        <v>0</v>
      </c>
    </row>
    <row r="2228" spans="1:9" x14ac:dyDescent="0.25">
      <c r="A2228" s="1">
        <v>-79.962490797042804</v>
      </c>
      <c r="B2228">
        <v>-8.0836280804687206</v>
      </c>
      <c r="C2228">
        <v>3.1434648037213199E-3</v>
      </c>
      <c r="D2228">
        <v>0</v>
      </c>
      <c r="E2228">
        <v>0</v>
      </c>
      <c r="F2228">
        <v>0</v>
      </c>
      <c r="G2228" s="1">
        <v>6.1587377231275796E-7</v>
      </c>
      <c r="H2228">
        <v>0.715693924666159</v>
      </c>
      <c r="I2228">
        <v>0</v>
      </c>
    </row>
    <row r="2229" spans="1:9" x14ac:dyDescent="0.25">
      <c r="A2229" s="1">
        <v>-72.451583743095298</v>
      </c>
      <c r="B2229">
        <v>-7.3260502687283804</v>
      </c>
      <c r="C2229">
        <v>3.5302070553184001E-3</v>
      </c>
      <c r="D2229">
        <v>0</v>
      </c>
      <c r="E2229">
        <v>0</v>
      </c>
      <c r="F2229">
        <v>0</v>
      </c>
      <c r="G2229" s="1">
        <v>8.4990727595490803E-7</v>
      </c>
      <c r="H2229">
        <v>0.73458738441565696</v>
      </c>
      <c r="I2229">
        <v>0</v>
      </c>
    </row>
    <row r="2230" spans="1:9" x14ac:dyDescent="0.25">
      <c r="A2230" s="1">
        <v>-65.560821294784503</v>
      </c>
      <c r="B2230">
        <v>-6.6307128500753096</v>
      </c>
      <c r="C2230">
        <v>4.0075610666667101E-3</v>
      </c>
      <c r="D2230">
        <v>0</v>
      </c>
      <c r="E2230">
        <v>0</v>
      </c>
      <c r="F2230">
        <v>0</v>
      </c>
      <c r="G2230" s="1">
        <v>1.1617713067790801E-6</v>
      </c>
      <c r="H2230">
        <v>0.74772907196253502</v>
      </c>
      <c r="I2230">
        <v>0</v>
      </c>
    </row>
    <row r="2231" spans="1:9" x14ac:dyDescent="0.25">
      <c r="A2231" s="1">
        <v>-59.238972067832897</v>
      </c>
      <c r="B2231">
        <v>-5.9925247204118399</v>
      </c>
      <c r="C2231">
        <v>4.5861887213683302E-3</v>
      </c>
      <c r="D2231">
        <v>0</v>
      </c>
      <c r="E2231">
        <v>0</v>
      </c>
      <c r="F2231">
        <v>0</v>
      </c>
      <c r="G2231" s="1">
        <v>1.5758698883194799E-6</v>
      </c>
      <c r="H2231">
        <v>0.75754318563652101</v>
      </c>
      <c r="I2231">
        <v>0</v>
      </c>
    </row>
    <row r="2232" spans="1:9" x14ac:dyDescent="0.25">
      <c r="A2232" s="1">
        <v>-53.439136743545497</v>
      </c>
      <c r="B2232">
        <v>-5.4068105891906599</v>
      </c>
      <c r="C2232">
        <v>5.2773920743046402E-3</v>
      </c>
      <c r="D2232">
        <v>0</v>
      </c>
      <c r="E2232">
        <v>0</v>
      </c>
      <c r="F2232">
        <v>0</v>
      </c>
      <c r="G2232" s="1">
        <v>2.1235205054881398E-6</v>
      </c>
      <c r="H2232">
        <v>0.765433168412746</v>
      </c>
      <c r="I2232">
        <v>0</v>
      </c>
    </row>
    <row r="2233" spans="1:9" x14ac:dyDescent="0.25">
      <c r="A2233" s="1">
        <v>-48.118183016777003</v>
      </c>
      <c r="B2233">
        <v>-4.8692733681389102</v>
      </c>
      <c r="C2233">
        <v>6.0931636488123202E-3</v>
      </c>
      <c r="D2233">
        <v>0</v>
      </c>
      <c r="E2233">
        <v>0</v>
      </c>
      <c r="F2233">
        <v>0</v>
      </c>
      <c r="G2233" s="1">
        <v>2.84481967410821E-6</v>
      </c>
      <c r="H2233">
        <v>0.77221542362565798</v>
      </c>
      <c r="I2233">
        <v>0</v>
      </c>
    </row>
    <row r="2234" spans="1:9" x14ac:dyDescent="0.25">
      <c r="A2234" s="1">
        <v>-43.236604332923797</v>
      </c>
      <c r="B2234">
        <v>-4.3759628285282304</v>
      </c>
      <c r="C2234">
        <v>7.0462163355602299E-3</v>
      </c>
      <c r="D2234">
        <v>0</v>
      </c>
      <c r="E2234">
        <v>0</v>
      </c>
      <c r="F2234">
        <v>0</v>
      </c>
      <c r="G2234" s="1">
        <v>3.7911407232016299E-6</v>
      </c>
      <c r="H2234">
        <v>0.77837043719118904</v>
      </c>
      <c r="I2234">
        <v>0</v>
      </c>
    </row>
    <row r="2235" spans="1:9" x14ac:dyDescent="0.25">
      <c r="A2235" s="1">
        <v>-38.758049011230398</v>
      </c>
      <c r="B2235">
        <v>-3.9232526165061601</v>
      </c>
      <c r="C2235">
        <v>8.1500057468498303E-3</v>
      </c>
      <c r="D2235">
        <v>0</v>
      </c>
      <c r="E2235">
        <v>0</v>
      </c>
      <c r="F2235">
        <v>0</v>
      </c>
      <c r="G2235" s="1">
        <v>5.0285360506019401E-6</v>
      </c>
      <c r="H2235">
        <v>0.78419160386039599</v>
      </c>
      <c r="I2235">
        <v>0</v>
      </c>
    </row>
    <row r="2236" spans="1:9" x14ac:dyDescent="0.25">
      <c r="A2236" s="1">
        <v>-34.649320244789102</v>
      </c>
      <c r="B2236">
        <v>-3.50781204463923</v>
      </c>
      <c r="C2236">
        <v>9.4187766017886695E-3</v>
      </c>
      <c r="D2236">
        <v>0</v>
      </c>
      <c r="E2236">
        <v>0</v>
      </c>
      <c r="F2236">
        <v>0</v>
      </c>
      <c r="G2236" s="1">
        <v>6.6425028197292197E-6</v>
      </c>
      <c r="H2236">
        <v>0.78987467334230099</v>
      </c>
      <c r="I2236">
        <v>0</v>
      </c>
    </row>
    <row r="2237" spans="1:9" x14ac:dyDescent="0.25">
      <c r="A2237" s="1">
        <v>-30.879811048507602</v>
      </c>
      <c r="B2237">
        <v>-3.1265810177289901</v>
      </c>
      <c r="C2237">
        <v>1.08676437606295E-2</v>
      </c>
      <c r="D2237">
        <v>0</v>
      </c>
      <c r="E2237">
        <v>0</v>
      </c>
      <c r="F2237">
        <v>0</v>
      </c>
      <c r="G2237" s="1">
        <v>8.7448286740254798E-6</v>
      </c>
      <c r="H2237">
        <v>0.79557241005615598</v>
      </c>
      <c r="I2237">
        <v>0</v>
      </c>
    </row>
    <row r="2238" spans="1:9" x14ac:dyDescent="0.25">
      <c r="A2238" s="1">
        <v>-27.4215984344482</v>
      </c>
      <c r="B2238">
        <v>-2.77674809290105</v>
      </c>
      <c r="C2238">
        <v>1.25127615585962E-2</v>
      </c>
      <c r="D2238">
        <v>0</v>
      </c>
      <c r="E2238">
        <v>0</v>
      </c>
      <c r="F2238">
        <v>0</v>
      </c>
      <c r="G2238" s="1">
        <v>1.14836937199802E-5</v>
      </c>
      <c r="H2238">
        <v>0.80142752343171997</v>
      </c>
      <c r="I2238">
        <v>0</v>
      </c>
    </row>
    <row r="2239" spans="1:9" x14ac:dyDescent="0.25">
      <c r="A2239" s="1">
        <v>-24.248878359794599</v>
      </c>
      <c r="B2239">
        <v>-2.4557348082401802</v>
      </c>
      <c r="C2239">
        <v>1.4371596528349601E-2</v>
      </c>
      <c r="D2239">
        <v>0</v>
      </c>
      <c r="E2239">
        <v>0</v>
      </c>
      <c r="F2239">
        <v>0</v>
      </c>
      <c r="G2239" s="1">
        <v>1.50588530398376E-5</v>
      </c>
      <c r="H2239">
        <v>0.807590938595379</v>
      </c>
      <c r="I2239">
        <v>0</v>
      </c>
    </row>
    <row r="2240" spans="1:9" x14ac:dyDescent="0.25">
      <c r="A2240" s="1">
        <v>-21.3381540775299</v>
      </c>
      <c r="B2240">
        <v>-2.16117165336395</v>
      </c>
      <c r="C2240">
        <v>1.64633756037109E-2</v>
      </c>
      <c r="D2240">
        <v>0</v>
      </c>
      <c r="E2240">
        <v>0</v>
      </c>
      <c r="F2240">
        <v>0</v>
      </c>
      <c r="G2240" s="1">
        <v>1.97446997165506E-5</v>
      </c>
      <c r="H2240">
        <v>0.81422749380161596</v>
      </c>
      <c r="I2240">
        <v>0</v>
      </c>
    </row>
    <row r="2241" spans="1:9" x14ac:dyDescent="0.25">
      <c r="A2241" s="1">
        <v>-18.6677181720733</v>
      </c>
      <c r="B2241">
        <v>-1.89088239805782</v>
      </c>
      <c r="C2241">
        <v>1.8809751160101199E-2</v>
      </c>
      <c r="D2241">
        <v>0</v>
      </c>
      <c r="E2241">
        <v>0</v>
      </c>
      <c r="F2241">
        <v>0</v>
      </c>
      <c r="G2241" s="1">
        <v>2.5925422743000501E-5</v>
      </c>
      <c r="H2241">
        <v>0.82150994061990001</v>
      </c>
      <c r="I2241">
        <v>0</v>
      </c>
    </row>
    <row r="2242" spans="1:9" x14ac:dyDescent="0.25">
      <c r="A2242" s="1">
        <v>-16.2178409099578</v>
      </c>
      <c r="B2242">
        <v>-1.6428715551831801</v>
      </c>
      <c r="C2242">
        <v>2.1435751072310001E-2</v>
      </c>
      <c r="D2242">
        <v>0</v>
      </c>
      <c r="E2242">
        <v>0</v>
      </c>
      <c r="F2242">
        <v>0</v>
      </c>
      <c r="G2242" s="1">
        <v>3.4148542033189897E-5</v>
      </c>
      <c r="H2242">
        <v>0.82960086417218504</v>
      </c>
      <c r="I2242">
        <v>0</v>
      </c>
    </row>
    <row r="2243" spans="1:9" x14ac:dyDescent="0.25">
      <c r="A2243" s="1">
        <v>-13.9702051877975</v>
      </c>
      <c r="B2243">
        <v>-1.41530453028167</v>
      </c>
      <c r="C2243">
        <v>2.4371089794217399E-2</v>
      </c>
      <c r="D2243">
        <v>0</v>
      </c>
      <c r="E2243">
        <v>0</v>
      </c>
      <c r="F2243">
        <v>0</v>
      </c>
      <c r="G2243" s="1">
        <v>4.5206256895902101E-5</v>
      </c>
      <c r="H2243">
        <v>0.83862520558555698</v>
      </c>
      <c r="I2243">
        <v>0</v>
      </c>
    </row>
    <row r="2244" spans="1:9" x14ac:dyDescent="0.25">
      <c r="A2244" s="1">
        <v>-11.908189058303799</v>
      </c>
      <c r="B2244">
        <v>-1.20649926351393</v>
      </c>
      <c r="C2244">
        <v>2.7651936583959699E-2</v>
      </c>
      <c r="D2244">
        <v>0</v>
      </c>
      <c r="E2244">
        <v>0</v>
      </c>
      <c r="F2244">
        <v>0</v>
      </c>
      <c r="G2244" s="1">
        <v>6.0259187660598399E-5</v>
      </c>
      <c r="H2244">
        <v>0.84863887459045995</v>
      </c>
      <c r="I2244">
        <v>0</v>
      </c>
    </row>
    <row r="2245" spans="1:9" x14ac:dyDescent="0.25">
      <c r="A2245" s="1">
        <v>-10.016394853591899</v>
      </c>
      <c r="B2245">
        <v>-1.0149105582946001</v>
      </c>
      <c r="C2245">
        <v>3.1323239233462301E-2</v>
      </c>
      <c r="D2245">
        <v>0</v>
      </c>
      <c r="E2245">
        <v>0</v>
      </c>
      <c r="F2245">
        <v>0</v>
      </c>
      <c r="G2245" s="1">
        <v>8.1025682529585195E-5</v>
      </c>
      <c r="H2245">
        <v>0.859602921525352</v>
      </c>
      <c r="I2245">
        <v>0</v>
      </c>
    </row>
    <row r="2246" spans="1:9" x14ac:dyDescent="0.25">
      <c r="A2246" s="1">
        <v>-8.2808375358581507</v>
      </c>
      <c r="B2246">
        <v>-0.83912067847336103</v>
      </c>
      <c r="C2246">
        <v>3.5441744134430499E-2</v>
      </c>
      <c r="D2246">
        <v>0</v>
      </c>
      <c r="E2246">
        <v>0</v>
      </c>
      <c r="F2246">
        <v>0</v>
      </c>
      <c r="G2246">
        <v>1.100748360804E-4</v>
      </c>
      <c r="H2246">
        <v>0.87137284890871702</v>
      </c>
      <c r="I2246">
        <v>0</v>
      </c>
    </row>
    <row r="2247" spans="1:9" x14ac:dyDescent="0.25">
      <c r="A2247" s="1">
        <v>-6.6885209083557102</v>
      </c>
      <c r="B2247">
        <v>-0.67782785600061002</v>
      </c>
      <c r="C2247">
        <v>4.00799641666807E-2</v>
      </c>
      <c r="D2247">
        <v>0</v>
      </c>
      <c r="E2247">
        <v>0</v>
      </c>
      <c r="F2247">
        <v>0</v>
      </c>
      <c r="G2247">
        <v>1.5128733580503699E-4</v>
      </c>
      <c r="H2247">
        <v>0.88370883988329096</v>
      </c>
      <c r="I2247">
        <v>0</v>
      </c>
    </row>
    <row r="2248" spans="1:9" x14ac:dyDescent="0.25">
      <c r="A2248" s="1">
        <v>-5.2277201414108196</v>
      </c>
      <c r="B2248">
        <v>-0.52983897762382803</v>
      </c>
      <c r="C2248">
        <v>4.5331418546167297E-2</v>
      </c>
      <c r="D2248">
        <v>0</v>
      </c>
      <c r="E2248">
        <v>0</v>
      </c>
      <c r="F2248">
        <v>0</v>
      </c>
      <c r="G2248">
        <v>2.1059368584332101E-4</v>
      </c>
      <c r="H2248">
        <v>0.89630521284158104</v>
      </c>
      <c r="I2248">
        <v>0</v>
      </c>
    </row>
    <row r="2249" spans="1:9" x14ac:dyDescent="0.25">
      <c r="A2249" s="1">
        <v>-3.88755798339843</v>
      </c>
      <c r="B2249">
        <v>-0.39405704779560102</v>
      </c>
      <c r="C2249">
        <v>5.13176856067755E-2</v>
      </c>
      <c r="D2249">
        <v>0</v>
      </c>
      <c r="E2249">
        <v>0</v>
      </c>
      <c r="F2249">
        <v>0</v>
      </c>
      <c r="G2249">
        <v>2.97177372356003E-4</v>
      </c>
      <c r="H2249">
        <v>0.90882989537145498</v>
      </c>
      <c r="I2249">
        <v>0</v>
      </c>
    </row>
    <row r="2250" spans="1:9" x14ac:dyDescent="0.25">
      <c r="A2250" s="1">
        <v>-2.6580518484115601</v>
      </c>
      <c r="B2250">
        <v>-0.26947596488530201</v>
      </c>
      <c r="C2250">
        <v>5.8198133627310501E-2</v>
      </c>
      <c r="D2250">
        <v>0</v>
      </c>
      <c r="E2250">
        <v>0</v>
      </c>
      <c r="F2250">
        <v>0</v>
      </c>
      <c r="G2250">
        <v>4.2545421401058499E-4</v>
      </c>
      <c r="H2250">
        <v>0.92096059799921404</v>
      </c>
      <c r="I2250">
        <v>0</v>
      </c>
    </row>
    <row r="2251" spans="1:9" x14ac:dyDescent="0.25">
      <c r="A2251" s="1">
        <v>-1.5300196409225399</v>
      </c>
      <c r="B2251">
        <v>-0.15517320787543801</v>
      </c>
      <c r="C2251">
        <v>6.6183653078266194E-2</v>
      </c>
      <c r="D2251">
        <v>0</v>
      </c>
      <c r="E2251">
        <v>0</v>
      </c>
      <c r="F2251">
        <v>0</v>
      </c>
      <c r="G2251">
        <v>6.18329246055111E-4</v>
      </c>
      <c r="H2251">
        <v>0.93240953626449996</v>
      </c>
      <c r="I2251">
        <v>0</v>
      </c>
    </row>
    <row r="2252" spans="1:9" x14ac:dyDescent="0.25">
      <c r="A2252" s="1">
        <v>-0.49517393112182601</v>
      </c>
      <c r="B2252">
        <v>-5.0300433542676597E-2</v>
      </c>
      <c r="C2252">
        <v>7.5555380583886902E-2</v>
      </c>
      <c r="D2252">
        <v>0</v>
      </c>
      <c r="E2252">
        <v>0</v>
      </c>
      <c r="F2252">
        <v>0</v>
      </c>
      <c r="G2252">
        <v>9.1585693320439499E-4</v>
      </c>
      <c r="H2252">
        <v>0.94314797272580897</v>
      </c>
      <c r="I2252">
        <v>0</v>
      </c>
    </row>
    <row r="2253" spans="1:9" x14ac:dyDescent="0.25">
      <c r="A2253" s="1">
        <v>0.49376130104064903</v>
      </c>
      <c r="B2253">
        <v>0.35371414612968899</v>
      </c>
      <c r="C2253">
        <v>0.140728914358345</v>
      </c>
      <c r="D2253">
        <v>5.7913100254451497E-2</v>
      </c>
      <c r="E2253">
        <v>-1.08071898428325E-4</v>
      </c>
      <c r="F2253" s="1">
        <v>-9.7976170393560805E-7</v>
      </c>
      <c r="G2253">
        <v>0.10904439628241799</v>
      </c>
      <c r="H2253">
        <v>0.99756344698638899</v>
      </c>
      <c r="I2253" s="1">
        <v>1.05228329049494E-6</v>
      </c>
    </row>
    <row r="2254" spans="1:9" x14ac:dyDescent="0.25">
      <c r="A2254" s="1">
        <v>1.5257111191749499</v>
      </c>
      <c r="B2254">
        <v>1.0925756466946499</v>
      </c>
      <c r="C2254">
        <v>0.388096837258322</v>
      </c>
      <c r="D2254">
        <v>0.34312516317102398</v>
      </c>
      <c r="E2254">
        <v>-1.80671703683959E-3</v>
      </c>
      <c r="F2254" s="1">
        <v>7.2886431549757294E-5</v>
      </c>
      <c r="G2254">
        <v>0.11240605172057901</v>
      </c>
      <c r="H2254">
        <v>0.99176071982807501</v>
      </c>
      <c r="I2254" s="1">
        <v>2.5858422650232899E-5</v>
      </c>
    </row>
    <row r="2255" spans="1:9" x14ac:dyDescent="0.25">
      <c r="A2255" s="1">
        <v>2.6505178213119498</v>
      </c>
      <c r="B2255">
        <v>1.8937736580519799</v>
      </c>
      <c r="C2255">
        <v>0.84554694385644702</v>
      </c>
      <c r="D2255">
        <v>0.90447214049065106</v>
      </c>
      <c r="E2255">
        <v>-9.5742294638909795E-3</v>
      </c>
      <c r="F2255">
        <v>2.6084571972202899E-4</v>
      </c>
      <c r="G2255">
        <v>0.113397266512188</v>
      </c>
      <c r="H2255">
        <v>0.98067296343384003</v>
      </c>
      <c r="I2255">
        <v>1.18325823618436E-4</v>
      </c>
    </row>
    <row r="2256" spans="1:9" x14ac:dyDescent="0.25">
      <c r="A2256" s="1">
        <v>3.8765159249305698</v>
      </c>
      <c r="B2256">
        <v>2.7543640531039699</v>
      </c>
      <c r="C2256">
        <v>1.54427899717219</v>
      </c>
      <c r="D2256">
        <v>1.7779353036866501</v>
      </c>
      <c r="E2256">
        <v>-2.89581726652062E-2</v>
      </c>
      <c r="F2256">
        <v>5.6257707854564501E-4</v>
      </c>
      <c r="G2256">
        <v>0.111275111872243</v>
      </c>
      <c r="H2256">
        <v>0.96246779448366404</v>
      </c>
      <c r="I2256">
        <v>2.7152162383326E-4</v>
      </c>
    </row>
    <row r="2257" spans="1:9" x14ac:dyDescent="0.25">
      <c r="A2257" s="1">
        <v>5.2129346132278398</v>
      </c>
      <c r="B2257">
        <v>3.6640852220728002</v>
      </c>
      <c r="C2257">
        <v>2.4755316851698801</v>
      </c>
      <c r="D2257">
        <v>2.9338643206780102</v>
      </c>
      <c r="E2257">
        <v>-6.5617675544635198E-2</v>
      </c>
      <c r="F2257">
        <v>9.3836973388415699E-4</v>
      </c>
      <c r="G2257">
        <v>0.10594140684402099</v>
      </c>
      <c r="H2257">
        <v>0.934882543640568</v>
      </c>
      <c r="I2257">
        <v>5.0354387325197904E-4</v>
      </c>
    </row>
    <row r="2258" spans="1:9" x14ac:dyDescent="0.25">
      <c r="A2258" s="1">
        <v>6.6695916652679399</v>
      </c>
      <c r="B2258">
        <v>4.6037862345947804</v>
      </c>
      <c r="C2258">
        <v>3.5664988038441998</v>
      </c>
      <c r="D2258">
        <v>4.2462934414522504</v>
      </c>
      <c r="E2258">
        <v>-0.12265660293587601</v>
      </c>
      <c r="F2258">
        <v>1.3025401649629301E-3</v>
      </c>
      <c r="G2258">
        <v>9.9355164297292506E-2</v>
      </c>
      <c r="H2258">
        <v>0.89713788285968299</v>
      </c>
      <c r="I2258">
        <v>1.1666259179749199E-3</v>
      </c>
    </row>
    <row r="2259" spans="1:9" x14ac:dyDescent="0.25">
      <c r="A2259" s="1">
        <v>8.2573878765106201</v>
      </c>
      <c r="B2259">
        <v>5.5465995801984196</v>
      </c>
      <c r="C2259">
        <v>4.68319776105462</v>
      </c>
      <c r="D2259">
        <v>5.51494847491748</v>
      </c>
      <c r="E2259">
        <v>-0.19837258180565301</v>
      </c>
      <c r="F2259">
        <v>1.5525272156448099E-3</v>
      </c>
      <c r="G2259">
        <v>9.4983388027986296E-2</v>
      </c>
      <c r="H2259">
        <v>0.85356946398017097</v>
      </c>
      <c r="I2259">
        <v>3.3035720805340099E-3</v>
      </c>
    </row>
    <row r="2260" spans="1:9" x14ac:dyDescent="0.25">
      <c r="A2260" s="1">
        <v>9.9880245327949506</v>
      </c>
      <c r="B2260">
        <v>6.4626600774842196</v>
      </c>
      <c r="C2260">
        <v>5.6727932418287299</v>
      </c>
      <c r="D2260">
        <v>6.5427544751736999</v>
      </c>
      <c r="E2260">
        <v>-0.28620409746410602</v>
      </c>
      <c r="F2260">
        <v>1.607450513819E-3</v>
      </c>
      <c r="G2260">
        <v>9.5192324063389594E-2</v>
      </c>
      <c r="H2260">
        <v>0.81294298779414198</v>
      </c>
      <c r="I2260">
        <v>7.31369422345536E-3</v>
      </c>
    </row>
    <row r="2261" spans="1:9" x14ac:dyDescent="0.25">
      <c r="A2261" s="1">
        <v>11.874474287032999</v>
      </c>
      <c r="B2261">
        <v>7.3259377198432496</v>
      </c>
      <c r="C2261">
        <v>6.4212160794727202</v>
      </c>
      <c r="D2261">
        <v>7.2134224277200598</v>
      </c>
      <c r="E2261">
        <v>-0.37744724379147798</v>
      </c>
      <c r="F2261">
        <v>1.45734564781297E-3</v>
      </c>
      <c r="G2261">
        <v>9.9109801921388296E-2</v>
      </c>
      <c r="H2261">
        <v>0.780256948037932</v>
      </c>
      <c r="I2261">
        <v>1.06205164801142E-2</v>
      </c>
    </row>
    <row r="2262" spans="1:9" x14ac:dyDescent="0.25">
      <c r="A2262" s="1">
        <v>13.9306750893592</v>
      </c>
      <c r="B2262">
        <v>8.1193903549596609</v>
      </c>
      <c r="C2262">
        <v>6.8834718241654897</v>
      </c>
      <c r="D2262">
        <v>7.5124934936718004</v>
      </c>
      <c r="E2262">
        <v>-0.46454725238472999</v>
      </c>
      <c r="F2262">
        <v>1.1747882118373801E-3</v>
      </c>
      <c r="G2262">
        <v>0.103714025850971</v>
      </c>
      <c r="H2262">
        <v>0.75387978798685495</v>
      </c>
      <c r="I2262">
        <v>1.0274961965050001E-2</v>
      </c>
    </row>
    <row r="2263" spans="1:9" x14ac:dyDescent="0.25">
      <c r="A2263" s="1">
        <v>16.171883344650201</v>
      </c>
      <c r="B2263">
        <v>8.8359465120157008</v>
      </c>
      <c r="C2263">
        <v>7.0746369314716304</v>
      </c>
      <c r="D2263">
        <v>7.49581915766443</v>
      </c>
      <c r="E2263">
        <v>-0.542701571620678</v>
      </c>
      <c r="F2263">
        <v>8.86658460730455E-4</v>
      </c>
      <c r="G2263">
        <v>0.10633639499747199</v>
      </c>
      <c r="H2263">
        <v>0.73038645661704504</v>
      </c>
      <c r="I2263">
        <v>6.3735853704951304E-3</v>
      </c>
    </row>
    <row r="2264" spans="1:9" x14ac:dyDescent="0.25">
      <c r="A2264" s="1">
        <v>18.614838719367899</v>
      </c>
      <c r="B2264">
        <v>9.4762767499451392</v>
      </c>
      <c r="C2264">
        <v>7.0428673573335603</v>
      </c>
      <c r="D2264">
        <v>7.2460393310009996</v>
      </c>
      <c r="E2264">
        <v>-0.60976241363906403</v>
      </c>
      <c r="F2264">
        <v>7.2533206040768805E-4</v>
      </c>
      <c r="G2264">
        <v>0.10589196056571799</v>
      </c>
      <c r="H2264">
        <v>0.70761789050816604</v>
      </c>
      <c r="I2264">
        <v>9.5370376409014703E-4</v>
      </c>
    </row>
    <row r="2265" spans="1:9" x14ac:dyDescent="0.25">
      <c r="A2265" s="1">
        <v>21.2777170538902</v>
      </c>
      <c r="B2265">
        <v>10.045680255107399</v>
      </c>
      <c r="C2265">
        <v>6.8458141630544098</v>
      </c>
      <c r="D2265">
        <v>6.8433012909086299</v>
      </c>
      <c r="E2265">
        <v>-0.66542479996508697</v>
      </c>
      <c r="F2265">
        <v>7.8468660448521095E-4</v>
      </c>
      <c r="G2265">
        <v>0.102631949467618</v>
      </c>
      <c r="H2265">
        <v>0.68478907051698801</v>
      </c>
      <c r="I2265">
        <v>-4.2079107166572002E-3</v>
      </c>
    </row>
    <row r="2266" spans="1:9" x14ac:dyDescent="0.25">
      <c r="A2266" s="1">
        <v>24.180224537849401</v>
      </c>
      <c r="B2266">
        <v>10.5515754231623</v>
      </c>
      <c r="C2266">
        <v>6.5372306783430902</v>
      </c>
      <c r="D2266">
        <v>6.35296153654674</v>
      </c>
      <c r="E2266">
        <v>-0.71040746407845201</v>
      </c>
      <c r="F2266">
        <v>1.09631871711225E-3</v>
      </c>
      <c r="G2266">
        <v>9.7387109134588395E-2</v>
      </c>
      <c r="H2266">
        <v>0.66186058480994803</v>
      </c>
      <c r="I2266">
        <v>-8.286602500582E-3</v>
      </c>
    </row>
    <row r="2267" spans="1:9" x14ac:dyDescent="0.25">
      <c r="A2267" s="1">
        <v>27.343950867652801</v>
      </c>
      <c r="B2267">
        <v>11.001985992970701</v>
      </c>
      <c r="C2267">
        <v>6.1616852979374501</v>
      </c>
      <c r="D2267">
        <v>5.8236093990763198</v>
      </c>
      <c r="E2267">
        <v>-0.74586829254377895</v>
      </c>
      <c r="F2267">
        <v>1.58033592260472E-3</v>
      </c>
      <c r="G2267">
        <v>9.0981118225630195E-2</v>
      </c>
      <c r="H2267">
        <v>0.63912382006114099</v>
      </c>
      <c r="I2267">
        <v>-1.1120571874131501E-2</v>
      </c>
    </row>
    <row r="2268" spans="1:9" x14ac:dyDescent="0.25">
      <c r="A2268" s="1">
        <v>30.7923927903175</v>
      </c>
      <c r="B2268">
        <v>11.4047958364616</v>
      </c>
      <c r="C2268">
        <v>5.7536120855222999</v>
      </c>
      <c r="D2268">
        <v>5.2893323261407401</v>
      </c>
      <c r="E2268">
        <v>-0.77306944968270097</v>
      </c>
      <c r="F2268">
        <v>2.14093421130728E-3</v>
      </c>
      <c r="G2268">
        <v>8.40068640134079E-2</v>
      </c>
      <c r="H2268">
        <v>0.61699737652847997</v>
      </c>
      <c r="I2268">
        <v>-1.28196133813968E-2</v>
      </c>
    </row>
    <row r="2269" spans="1:9" x14ac:dyDescent="0.25">
      <c r="A2269" s="1">
        <v>34.551213085651298</v>
      </c>
      <c r="B2269">
        <v>11.7673797673917</v>
      </c>
      <c r="C2269">
        <v>5.3381159577483404</v>
      </c>
      <c r="D2269">
        <v>4.7727823033559504</v>
      </c>
      <c r="E2269">
        <v>-0.79321862709439295</v>
      </c>
      <c r="F2269">
        <v>2.7303727753063499E-3</v>
      </c>
      <c r="G2269">
        <v>7.6826167613746693E-2</v>
      </c>
      <c r="H2269">
        <v>0.59591568047967403</v>
      </c>
      <c r="I2269">
        <v>-1.35705353894144E-2</v>
      </c>
    </row>
    <row r="2270" spans="1:9" x14ac:dyDescent="0.25">
      <c r="A2270" s="1">
        <v>38.6483111977577</v>
      </c>
      <c r="B2270">
        <v>12.096414179019501</v>
      </c>
      <c r="C2270">
        <v>4.9323318256997997</v>
      </c>
      <c r="D2270">
        <v>4.2880045911305302</v>
      </c>
      <c r="E2270">
        <v>-0.80736568857921398</v>
      </c>
      <c r="F2270">
        <v>3.2163379952654899E-3</v>
      </c>
      <c r="G2270">
        <v>6.9664330625313298E-2</v>
      </c>
      <c r="H2270">
        <v>0.57631061796681404</v>
      </c>
      <c r="I2270">
        <v>-1.3571528249462899E-2</v>
      </c>
    </row>
    <row r="2271" spans="1:9" x14ac:dyDescent="0.25">
      <c r="A2271" s="1">
        <v>43.1141293048858</v>
      </c>
      <c r="B2271">
        <v>12.3978319889306</v>
      </c>
      <c r="C2271">
        <v>4.5471093580443203</v>
      </c>
      <c r="D2271">
        <v>3.8429281709001502</v>
      </c>
      <c r="E2271">
        <v>-0.81637291295336201</v>
      </c>
      <c r="F2271">
        <v>3.5508645834051401E-3</v>
      </c>
      <c r="G2271">
        <v>6.2671781965113901E-2</v>
      </c>
      <c r="H2271">
        <v>0.55848079955103802</v>
      </c>
      <c r="I2271">
        <v>-1.30109234995611E-2</v>
      </c>
    </row>
    <row r="2272" spans="1:9" x14ac:dyDescent="0.25">
      <c r="A2272" s="1">
        <v>47.981887757778097</v>
      </c>
      <c r="B2272">
        <v>12.6767271743061</v>
      </c>
      <c r="C2272">
        <v>4.18868400970055</v>
      </c>
      <c r="D2272">
        <v>3.4412915184270498</v>
      </c>
      <c r="E2272">
        <v>-0.82095990911463501</v>
      </c>
      <c r="F2272">
        <v>3.67621741276429E-3</v>
      </c>
      <c r="G2272">
        <v>5.5951287798434501E-2</v>
      </c>
      <c r="H2272">
        <v>0.54245586781706501</v>
      </c>
      <c r="I2272">
        <v>-1.20693877691792E-2</v>
      </c>
    </row>
    <row r="2273" spans="1:9" x14ac:dyDescent="0.25">
      <c r="A2273" s="1">
        <v>53.287820518016801</v>
      </c>
      <c r="B2273">
        <v>12.9373667866363</v>
      </c>
      <c r="C2273">
        <v>3.8596624709359602</v>
      </c>
      <c r="D2273">
        <v>3.0833680795252998</v>
      </c>
      <c r="E2273">
        <v>-0.82167196737742199</v>
      </c>
      <c r="F2273">
        <v>3.5373714392273E-3</v>
      </c>
      <c r="G2273">
        <v>4.9608210163973002E-2</v>
      </c>
      <c r="H2273">
        <v>0.52823044385710605</v>
      </c>
      <c r="I2273">
        <v>-1.09107505500846E-2</v>
      </c>
    </row>
    <row r="2274" spans="1:9" x14ac:dyDescent="0.25">
      <c r="A2274" s="1">
        <v>59.071175158023799</v>
      </c>
      <c r="B2274">
        <v>13.183321024048899</v>
      </c>
      <c r="C2274">
        <v>3.560322292745</v>
      </c>
      <c r="D2274">
        <v>2.7672504930875301</v>
      </c>
      <c r="E2274">
        <v>-0.818927241209368</v>
      </c>
      <c r="F2274">
        <v>3.0903249348646199E-3</v>
      </c>
      <c r="G2274">
        <v>4.3744763407389899E-2</v>
      </c>
      <c r="H2274">
        <v>0.51569680577119803</v>
      </c>
      <c r="I2274">
        <v>-9.68812749952154E-3</v>
      </c>
    </row>
    <row r="2275" spans="1:9" x14ac:dyDescent="0.25">
      <c r="A2275" s="1">
        <v>65.375131070613804</v>
      </c>
      <c r="B2275">
        <v>13.417529573421801</v>
      </c>
      <c r="C2275">
        <v>3.2897226630969998</v>
      </c>
      <c r="D2275">
        <v>2.4900782288527799</v>
      </c>
      <c r="E2275">
        <v>-0.813039204329841</v>
      </c>
      <c r="F2275">
        <v>2.4293746016674201E-3</v>
      </c>
      <c r="G2275">
        <v>3.8413995726976798E-2</v>
      </c>
      <c r="H2275">
        <v>0.50446377593064995</v>
      </c>
      <c r="I2275">
        <v>-8.5017366985346305E-3</v>
      </c>
    </row>
    <row r="2276" spans="1:9" x14ac:dyDescent="0.25">
      <c r="A2276" s="1">
        <v>72.246375679969702</v>
      </c>
      <c r="B2276">
        <v>13.6424079144745</v>
      </c>
      <c r="C2276">
        <v>3.0456082655607402</v>
      </c>
      <c r="D2276">
        <v>2.2481112032829098</v>
      </c>
      <c r="E2276">
        <v>-0.80425083811359399</v>
      </c>
      <c r="F2276">
        <v>1.66314212379754E-3</v>
      </c>
      <c r="G2276">
        <v>3.3642591057351699E-2</v>
      </c>
      <c r="H2276">
        <v>0.49425306573268102</v>
      </c>
      <c r="I2276">
        <v>-7.4133103294896103E-3</v>
      </c>
    </row>
    <row r="2277" spans="1:9" x14ac:dyDescent="0.25">
      <c r="A2277" s="1">
        <v>79.736069738864799</v>
      </c>
      <c r="B2277">
        <v>13.8599484000726</v>
      </c>
      <c r="C2277">
        <v>2.82490887109453</v>
      </c>
      <c r="D2277">
        <v>2.0368453181719399</v>
      </c>
      <c r="E2277">
        <v>-0.79270174337648902</v>
      </c>
      <c r="F2277">
        <v>9.867926621489739E-4</v>
      </c>
      <c r="G2277">
        <v>2.93942010065898E-2</v>
      </c>
      <c r="H2277">
        <v>0.48463226983331797</v>
      </c>
      <c r="I2277">
        <v>-6.4330516989349797E-3</v>
      </c>
    </row>
    <row r="2278" spans="1:9" x14ac:dyDescent="0.25">
      <c r="A2278" s="1">
        <v>87.899753153324099</v>
      </c>
      <c r="B2278">
        <v>14.0717421961388</v>
      </c>
      <c r="C2278">
        <v>2.6242094579264301</v>
      </c>
      <c r="D2278">
        <v>1.85176517076752</v>
      </c>
      <c r="E2278">
        <v>-0.77843551387436305</v>
      </c>
      <c r="F2278">
        <v>6.0270435062679303E-4</v>
      </c>
      <c r="G2278">
        <v>2.56335638009976E-2</v>
      </c>
      <c r="H2278">
        <v>0.47549206045547299</v>
      </c>
      <c r="I2278">
        <v>-5.5699082365942097E-3</v>
      </c>
    </row>
    <row r="2279" spans="1:9" x14ac:dyDescent="0.25">
      <c r="A2279" s="1">
        <v>96.798263192176805</v>
      </c>
      <c r="B2279">
        <v>14.2790461461431</v>
      </c>
      <c r="C2279">
        <v>2.4403568178514301</v>
      </c>
      <c r="D2279">
        <v>1.68894067110042</v>
      </c>
      <c r="E2279">
        <v>-0.76152937328835502</v>
      </c>
      <c r="F2279">
        <v>6.6940347111347695E-4</v>
      </c>
      <c r="G2279">
        <v>2.2316589017521E-2</v>
      </c>
      <c r="H2279">
        <v>0.466600824450429</v>
      </c>
      <c r="I2279">
        <v>-4.8145465328487498E-3</v>
      </c>
    </row>
    <row r="2280" spans="1:9" x14ac:dyDescent="0.25">
      <c r="A2280" s="1">
        <v>106.497616767883</v>
      </c>
      <c r="B2280">
        <v>14.482921201493401</v>
      </c>
      <c r="C2280">
        <v>2.2701951674491099</v>
      </c>
      <c r="D2280">
        <v>1.5446233256069499</v>
      </c>
      <c r="E2280">
        <v>-0.74190172996360604</v>
      </c>
      <c r="F2280">
        <v>9.36369466278702E-4</v>
      </c>
      <c r="G2280">
        <v>1.94039516366027E-2</v>
      </c>
      <c r="H2280">
        <v>0.45790604471302199</v>
      </c>
      <c r="I2280">
        <v>-4.1601308863303604E-3</v>
      </c>
    </row>
    <row r="2281" spans="1:9" x14ac:dyDescent="0.25">
      <c r="A2281" s="1">
        <v>117.06990510225199</v>
      </c>
      <c r="B2281">
        <v>14.684521297030001</v>
      </c>
      <c r="C2281">
        <v>2.10992563478358</v>
      </c>
      <c r="D2281">
        <v>1.4147530059828699</v>
      </c>
      <c r="E2281">
        <v>-0.71931523990650004</v>
      </c>
      <c r="F2281">
        <v>1.16069260827553E-3</v>
      </c>
      <c r="G2281">
        <v>1.6854388087669099E-2</v>
      </c>
      <c r="H2281">
        <v>0.45004708437646201</v>
      </c>
      <c r="I2281">
        <v>-3.5948698931323199E-3</v>
      </c>
    </row>
    <row r="2282" spans="1:9" x14ac:dyDescent="0.25">
      <c r="A2282" s="1">
        <v>128.593670427799</v>
      </c>
      <c r="B2282">
        <v>14.884800296500201</v>
      </c>
      <c r="C2282">
        <v>1.95765600879677</v>
      </c>
      <c r="D2282">
        <v>1.29684358983907</v>
      </c>
      <c r="E2282">
        <v>-0.69380256083666303</v>
      </c>
      <c r="F2282">
        <v>1.52557840091385E-3</v>
      </c>
      <c r="G2282">
        <v>1.45938758387775E-2</v>
      </c>
      <c r="H2282">
        <v>0.44263345652271502</v>
      </c>
      <c r="I2282">
        <v>-3.0902818047835599E-3</v>
      </c>
    </row>
    <row r="2283" spans="1:9" x14ac:dyDescent="0.25">
      <c r="A2283" s="1">
        <v>141.15461230278001</v>
      </c>
      <c r="B2283">
        <v>15.084207445699599</v>
      </c>
      <c r="C2283">
        <v>1.81157634225631</v>
      </c>
      <c r="D2283">
        <v>1.18846457088515</v>
      </c>
      <c r="E2283">
        <v>-0.66514398593372004</v>
      </c>
      <c r="F2283">
        <v>2.1996525118439898E-3</v>
      </c>
      <c r="G2283">
        <v>1.25734377895969E-2</v>
      </c>
      <c r="H2283">
        <v>0.43544043907936902</v>
      </c>
      <c r="I2283">
        <v>-2.6374222278989002E-3</v>
      </c>
    </row>
    <row r="2284" spans="1:9" x14ac:dyDescent="0.25">
      <c r="A2284" s="1">
        <v>154.84601140022201</v>
      </c>
      <c r="B2284">
        <v>15.2825364049895</v>
      </c>
      <c r="C2284">
        <v>1.67029172681381</v>
      </c>
      <c r="D2284">
        <v>1.0876856093742</v>
      </c>
      <c r="E2284">
        <v>-0.63316600165799197</v>
      </c>
      <c r="F2284">
        <v>2.3210936666426202E-3</v>
      </c>
      <c r="G2284">
        <v>1.07580906879903E-2</v>
      </c>
      <c r="H2284">
        <v>0.42796013804036698</v>
      </c>
      <c r="I2284">
        <v>-2.2294034602052702E-3</v>
      </c>
    </row>
    <row r="2285" spans="1:9" x14ac:dyDescent="0.25">
      <c r="A2285" s="1">
        <v>169.76969480514501</v>
      </c>
      <c r="B2285">
        <v>15.479733891729101</v>
      </c>
      <c r="C2285">
        <v>1.53156887843659</v>
      </c>
      <c r="D2285">
        <v>0.99211211259556797</v>
      </c>
      <c r="E2285">
        <v>-0.59740296522206704</v>
      </c>
      <c r="F2285">
        <v>1.9338002018920301E-3</v>
      </c>
      <c r="G2285">
        <v>9.1315898908236309E-3</v>
      </c>
      <c r="H2285">
        <v>0.42047128665266897</v>
      </c>
      <c r="I2285">
        <v>-1.8633046751896599E-3</v>
      </c>
    </row>
    <row r="2286" spans="1:9" x14ac:dyDescent="0.25">
      <c r="A2286" s="1">
        <v>186.03645980358101</v>
      </c>
      <c r="B2286">
        <v>15.6763196728563</v>
      </c>
      <c r="C2286">
        <v>1.3935818263297099</v>
      </c>
      <c r="D2286">
        <v>0.89998663613894203</v>
      </c>
      <c r="E2286">
        <v>-0.55737321359961201</v>
      </c>
      <c r="F2286">
        <v>1.7777204858997701E-3</v>
      </c>
      <c r="G2286">
        <v>7.6753396946856499E-3</v>
      </c>
      <c r="H2286">
        <v>0.41353530439763603</v>
      </c>
      <c r="I2286">
        <v>-1.5380737342509201E-3</v>
      </c>
    </row>
    <row r="2287" spans="1:9" x14ac:dyDescent="0.25">
      <c r="A2287" s="1">
        <v>203.76720398664401</v>
      </c>
      <c r="B2287">
        <v>15.8718361445142</v>
      </c>
      <c r="C2287">
        <v>1.2562560323137399</v>
      </c>
      <c r="D2287">
        <v>0.80975307318296197</v>
      </c>
      <c r="E2287">
        <v>-0.51296824228546001</v>
      </c>
      <c r="F2287">
        <v>1.5958358994775099E-3</v>
      </c>
      <c r="G2287">
        <v>6.3647193009468504E-3</v>
      </c>
      <c r="H2287">
        <v>0.40622943591168698</v>
      </c>
      <c r="I2287">
        <v>-1.2476657322479799E-3</v>
      </c>
    </row>
    <row r="2288" spans="1:9" x14ac:dyDescent="0.25">
      <c r="A2288" s="1">
        <v>223.09376105666101</v>
      </c>
      <c r="B2288">
        <v>16.064626843426201</v>
      </c>
      <c r="C2288">
        <v>1.1187642799711901</v>
      </c>
      <c r="D2288">
        <v>0.72033639695801699</v>
      </c>
      <c r="E2288">
        <v>-0.46372764111713599</v>
      </c>
      <c r="F2288">
        <v>1.3062854959108401E-3</v>
      </c>
      <c r="G2288">
        <v>5.1742808265130497E-3</v>
      </c>
      <c r="H2288">
        <v>0.398808178554591</v>
      </c>
      <c r="I2288">
        <v>-9.8197938093991699E-4</v>
      </c>
    </row>
    <row r="2289" spans="1:9" x14ac:dyDescent="0.25">
      <c r="A2289" s="1">
        <v>244.15970131754801</v>
      </c>
      <c r="B2289">
        <v>16.2532886600493</v>
      </c>
      <c r="C2289">
        <v>0.98020846292697295</v>
      </c>
      <c r="D2289">
        <v>0.63024438153849305</v>
      </c>
      <c r="E2289">
        <v>-0.40905023257464301</v>
      </c>
      <c r="F2289">
        <v>5.2985736691951203E-4</v>
      </c>
      <c r="G2289">
        <v>4.1044855539067501E-3</v>
      </c>
      <c r="H2289">
        <v>0.39193629450268203</v>
      </c>
      <c r="I2289">
        <v>-7.4510325869977601E-4</v>
      </c>
    </row>
    <row r="2290" spans="1:9" x14ac:dyDescent="0.25">
      <c r="A2290" s="1">
        <v>267.12157949805197</v>
      </c>
      <c r="B2290">
        <v>16.434975674506099</v>
      </c>
      <c r="C2290">
        <v>0.84148075025397395</v>
      </c>
      <c r="D2290">
        <v>0.53997750090338503</v>
      </c>
      <c r="E2290">
        <v>-0.34856883944864703</v>
      </c>
      <c r="F2290">
        <v>-4.7573946023963398E-4</v>
      </c>
      <c r="G2290">
        <v>3.1657252006820099E-3</v>
      </c>
      <c r="H2290">
        <v>0.38604771624726802</v>
      </c>
      <c r="I2290">
        <v>-5.4499145642421297E-4</v>
      </c>
    </row>
    <row r="2291" spans="1:9" x14ac:dyDescent="0.25">
      <c r="A2291" s="1">
        <v>292.15002954006098</v>
      </c>
      <c r="B2291">
        <v>16.6048961057699</v>
      </c>
      <c r="C2291">
        <v>0.70302407900313402</v>
      </c>
      <c r="D2291">
        <v>0.44871717349346601</v>
      </c>
      <c r="E2291">
        <v>-0.28178422337433201</v>
      </c>
      <c r="F2291">
        <v>-1.05028696066332E-3</v>
      </c>
      <c r="G2291">
        <v>2.3633014427421701E-3</v>
      </c>
      <c r="H2291">
        <v>0.38239309318688802</v>
      </c>
      <c r="I2291">
        <v>-3.8302880341159002E-4</v>
      </c>
    </row>
    <row r="2292" spans="1:9" x14ac:dyDescent="0.25">
      <c r="A2292" s="1">
        <v>319.43101242184599</v>
      </c>
      <c r="B2292">
        <v>16.753522808700701</v>
      </c>
      <c r="C2292">
        <v>0.57214512217090696</v>
      </c>
      <c r="D2292">
        <v>0.36093903387964599</v>
      </c>
      <c r="E2292">
        <v>-0.20835301233661299</v>
      </c>
      <c r="F2292">
        <v>-8.1262842372846196E-4</v>
      </c>
      <c r="G2292">
        <v>1.7143223971080701E-3</v>
      </c>
      <c r="H2292">
        <v>0.38231165941676098</v>
      </c>
      <c r="I2292">
        <v>-2.6391345796215198E-4</v>
      </c>
    </row>
    <row r="2293" spans="1:9" x14ac:dyDescent="0.25">
      <c r="A2293" s="1">
        <v>349.16732590645501</v>
      </c>
      <c r="B2293">
        <v>16.868853607252099</v>
      </c>
      <c r="C2293">
        <v>0.46322291691454698</v>
      </c>
      <c r="D2293">
        <v>0.28581336111380001</v>
      </c>
      <c r="E2293">
        <v>-0.12697197661725301</v>
      </c>
      <c r="F2293">
        <v>-9.8394191580206602E-4</v>
      </c>
      <c r="G2293">
        <v>1.2660116862607601E-3</v>
      </c>
      <c r="H2293">
        <v>0.38697857413942599</v>
      </c>
      <c r="I2293">
        <v>-1.93134867573202E-4</v>
      </c>
    </row>
    <row r="2294" spans="1:9" x14ac:dyDescent="0.25">
      <c r="A2294" s="1">
        <v>379.83785875141598</v>
      </c>
      <c r="B2294">
        <v>16.929819918367901</v>
      </c>
      <c r="C2294">
        <v>0.40086432607060402</v>
      </c>
      <c r="D2294">
        <v>0.24192316688809601</v>
      </c>
      <c r="E2294">
        <v>-4.21029897963104E-2</v>
      </c>
      <c r="F2294">
        <v>-1.3249881578511499E-3</v>
      </c>
      <c r="G2294">
        <v>1.0324318119663599E-3</v>
      </c>
      <c r="H2294">
        <v>0.40791139558611</v>
      </c>
      <c r="I2294">
        <v>-1.52995281548569E-4</v>
      </c>
    </row>
    <row r="2295" spans="1:9" x14ac:dyDescent="0.25">
      <c r="A2295" s="1" t="s">
        <v>554</v>
      </c>
      <c r="B2295" s="1" t="s">
        <v>614</v>
      </c>
      <c r="C2295" s="1" t="s">
        <v>615</v>
      </c>
      <c r="D2295" s="1" t="s">
        <v>616</v>
      </c>
      <c r="E2295" s="1" t="s">
        <v>617</v>
      </c>
      <c r="F2295" s="1" t="s">
        <v>618</v>
      </c>
      <c r="G2295" s="1" t="s">
        <v>400</v>
      </c>
      <c r="H2295" s="1" t="s">
        <v>619</v>
      </c>
      <c r="I2295" s="1" t="s">
        <v>613</v>
      </c>
    </row>
    <row r="2296" spans="1:9" x14ac:dyDescent="0.25">
      <c r="A2296" s="1">
        <v>-141.555516719818</v>
      </c>
      <c r="B2296">
        <v>-28.544920974361801</v>
      </c>
      <c r="C2296">
        <v>4.0145093421056896E-3</v>
      </c>
      <c r="D2296">
        <v>0</v>
      </c>
      <c r="E2296">
        <v>0</v>
      </c>
      <c r="F2296">
        <v>0</v>
      </c>
      <c r="G2296" s="1">
        <v>1.58318194939943E-7</v>
      </c>
      <c r="H2296">
        <v>4.5331955913505403E-2</v>
      </c>
      <c r="I2296">
        <v>0</v>
      </c>
    </row>
    <row r="2297" spans="1:9" x14ac:dyDescent="0.25">
      <c r="A2297" s="1">
        <v>-128.95890593528699</v>
      </c>
      <c r="B2297">
        <v>-26.0135170338182</v>
      </c>
      <c r="C2297">
        <v>4.0959183952170297E-3</v>
      </c>
      <c r="D2297">
        <v>0</v>
      </c>
      <c r="E2297">
        <v>0</v>
      </c>
      <c r="F2297">
        <v>0</v>
      </c>
      <c r="G2297" s="1">
        <v>2.2162150253135501E-7</v>
      </c>
      <c r="H2297">
        <v>0.28034041291037998</v>
      </c>
      <c r="I2297">
        <v>0</v>
      </c>
    </row>
    <row r="2298" spans="1:9" x14ac:dyDescent="0.25">
      <c r="A2298" s="1">
        <v>-117.402367591857</v>
      </c>
      <c r="B2298">
        <v>-23.689631218600098</v>
      </c>
      <c r="C2298">
        <v>4.2637810287661799E-3</v>
      </c>
      <c r="D2298">
        <v>0</v>
      </c>
      <c r="E2298">
        <v>0</v>
      </c>
      <c r="F2298">
        <v>0</v>
      </c>
      <c r="G2298" s="1">
        <v>3.4254374099151798E-7</v>
      </c>
      <c r="H2298">
        <v>0.48305179637784001</v>
      </c>
      <c r="I2298">
        <v>0</v>
      </c>
    </row>
    <row r="2299" spans="1:9" x14ac:dyDescent="0.25">
      <c r="A2299" s="1">
        <v>-106.80001378059301</v>
      </c>
      <c r="B2299">
        <v>-21.556367707762</v>
      </c>
      <c r="C2299">
        <v>4.5366501944159102E-3</v>
      </c>
      <c r="D2299">
        <v>0</v>
      </c>
      <c r="E2299">
        <v>0</v>
      </c>
      <c r="F2299">
        <v>0</v>
      </c>
      <c r="G2299" s="1">
        <v>5.2357212959153103E-7</v>
      </c>
      <c r="H2299">
        <v>0.60533639628170499</v>
      </c>
      <c r="I2299">
        <v>0</v>
      </c>
    </row>
    <row r="2300" spans="1:9" x14ac:dyDescent="0.25">
      <c r="A2300" s="1">
        <v>-97.073161005973802</v>
      </c>
      <c r="B2300">
        <v>-19.5981825967758</v>
      </c>
      <c r="C2300">
        <v>4.9383348987234897E-3</v>
      </c>
      <c r="D2300">
        <v>0</v>
      </c>
      <c r="E2300">
        <v>0</v>
      </c>
      <c r="F2300">
        <v>0</v>
      </c>
      <c r="G2300" s="1">
        <v>7.7626896978544303E-7</v>
      </c>
      <c r="H2300">
        <v>0.67518691618514304</v>
      </c>
      <c r="I2300">
        <v>0</v>
      </c>
    </row>
    <row r="2301" spans="1:9" x14ac:dyDescent="0.25">
      <c r="A2301" s="1">
        <v>-88.149435520172105</v>
      </c>
      <c r="B2301">
        <v>-17.800789869341099</v>
      </c>
      <c r="C2301">
        <v>5.4946686095811697E-3</v>
      </c>
      <c r="D2301">
        <v>0</v>
      </c>
      <c r="E2301">
        <v>0</v>
      </c>
      <c r="F2301">
        <v>0</v>
      </c>
      <c r="G2301" s="1">
        <v>1.12156171166999E-6</v>
      </c>
      <c r="H2301">
        <v>0.71581637869041004</v>
      </c>
      <c r="I2301">
        <v>0</v>
      </c>
    </row>
    <row r="2302" spans="1:9" x14ac:dyDescent="0.25">
      <c r="A2302" s="1">
        <v>-79.962490797042804</v>
      </c>
      <c r="B2302">
        <v>-16.1510548321037</v>
      </c>
      <c r="C2302">
        <v>6.2327058985435797E-3</v>
      </c>
      <c r="D2302">
        <v>0</v>
      </c>
      <c r="E2302">
        <v>0</v>
      </c>
      <c r="F2302">
        <v>0</v>
      </c>
      <c r="G2302" s="1">
        <v>1.59052187415076E-6</v>
      </c>
      <c r="H2302">
        <v>0.74042679506376796</v>
      </c>
      <c r="I2302">
        <v>0</v>
      </c>
    </row>
    <row r="2303" spans="1:9" x14ac:dyDescent="0.25">
      <c r="A2303" s="1">
        <v>-72.451583743095298</v>
      </c>
      <c r="B2303">
        <v>-14.636902175980699</v>
      </c>
      <c r="C2303">
        <v>7.1809205558154799E-3</v>
      </c>
      <c r="D2303">
        <v>0</v>
      </c>
      <c r="E2303">
        <v>0</v>
      </c>
      <c r="F2303">
        <v>0</v>
      </c>
      <c r="G2303" s="1">
        <v>2.2258346349834899E-6</v>
      </c>
      <c r="H2303">
        <v>0.75620538766841405</v>
      </c>
      <c r="I2303">
        <v>0</v>
      </c>
    </row>
    <row r="2304" spans="1:9" x14ac:dyDescent="0.25">
      <c r="A2304" s="1">
        <v>-65.560821294784503</v>
      </c>
      <c r="B2304">
        <v>-13.2472407536088</v>
      </c>
      <c r="C2304">
        <v>8.3696842517102694E-3</v>
      </c>
      <c r="D2304">
        <v>0</v>
      </c>
      <c r="E2304">
        <v>0</v>
      </c>
      <c r="F2304">
        <v>0</v>
      </c>
      <c r="G2304" s="1">
        <v>3.0841630050848498E-6</v>
      </c>
      <c r="H2304">
        <v>0.76709397408831503</v>
      </c>
      <c r="I2304">
        <v>0</v>
      </c>
    </row>
    <row r="2305" spans="1:9" x14ac:dyDescent="0.25">
      <c r="A2305" s="1">
        <v>-59.238972067832897</v>
      </c>
      <c r="B2305">
        <v>-11.9718737301855</v>
      </c>
      <c r="C2305">
        <v>9.8317208878067608E-3</v>
      </c>
      <c r="D2305">
        <v>0</v>
      </c>
      <c r="E2305">
        <v>0</v>
      </c>
      <c r="F2305">
        <v>0</v>
      </c>
      <c r="G2305" s="1">
        <v>4.23957557744492E-6</v>
      </c>
      <c r="H2305">
        <v>0.775274503050841</v>
      </c>
      <c r="I2305">
        <v>0</v>
      </c>
    </row>
    <row r="2306" spans="1:9" x14ac:dyDescent="0.25">
      <c r="A2306" s="1">
        <v>-53.439136743545497</v>
      </c>
      <c r="B2306">
        <v>-10.801435898008799</v>
      </c>
      <c r="C2306">
        <v>1.1602446382316001E-2</v>
      </c>
      <c r="D2306">
        <v>0</v>
      </c>
      <c r="E2306">
        <v>0</v>
      </c>
      <c r="F2306">
        <v>0</v>
      </c>
      <c r="G2306" s="1">
        <v>5.78823367663794E-6</v>
      </c>
      <c r="H2306">
        <v>0.78195906162764595</v>
      </c>
      <c r="I2306">
        <v>0</v>
      </c>
    </row>
    <row r="2307" spans="1:9" x14ac:dyDescent="0.25">
      <c r="A2307" s="1">
        <v>-48.118183016777003</v>
      </c>
      <c r="B2307">
        <v>-9.72732263295641</v>
      </c>
      <c r="C2307">
        <v>1.3720201154806299E-2</v>
      </c>
      <c r="D2307">
        <v>0</v>
      </c>
      <c r="E2307">
        <v>0</v>
      </c>
      <c r="F2307">
        <v>0</v>
      </c>
      <c r="G2307" s="1">
        <v>7.8546717720495693E-6</v>
      </c>
      <c r="H2307">
        <v>0.78782243313524403</v>
      </c>
      <c r="I2307">
        <v>0</v>
      </c>
    </row>
    <row r="2308" spans="1:9" x14ac:dyDescent="0.25">
      <c r="A2308" s="1">
        <v>-43.236604332923797</v>
      </c>
      <c r="B2308">
        <v>-8.7416324328138497</v>
      </c>
      <c r="C2308">
        <v>1.6226395429155702E-2</v>
      </c>
      <c r="D2308">
        <v>0</v>
      </c>
      <c r="E2308">
        <v>0</v>
      </c>
      <c r="F2308">
        <v>0</v>
      </c>
      <c r="G2308" s="1">
        <v>1.0600233487920699E-5</v>
      </c>
      <c r="H2308">
        <v>0.793245361521146</v>
      </c>
      <c r="I2308">
        <v>0</v>
      </c>
    </row>
    <row r="2309" spans="1:9" x14ac:dyDescent="0.25">
      <c r="A2309" s="1">
        <v>-38.758049011230398</v>
      </c>
      <c r="B2309">
        <v>-7.8371052765726104</v>
      </c>
      <c r="C2309">
        <v>1.9165647271357701E-2</v>
      </c>
      <c r="D2309">
        <v>0</v>
      </c>
      <c r="E2309">
        <v>0</v>
      </c>
      <c r="F2309">
        <v>0</v>
      </c>
      <c r="G2309" s="1">
        <v>1.42346232516477E-5</v>
      </c>
      <c r="H2309">
        <v>0.79845379471579603</v>
      </c>
      <c r="I2309">
        <v>0</v>
      </c>
    </row>
    <row r="2310" spans="1:9" x14ac:dyDescent="0.25">
      <c r="A2310" s="1">
        <v>-34.649320244789102</v>
      </c>
      <c r="B2310">
        <v>-7.0070766550927504</v>
      </c>
      <c r="C2310">
        <v>2.2585971483360001E-2</v>
      </c>
      <c r="D2310">
        <v>0</v>
      </c>
      <c r="E2310">
        <v>0</v>
      </c>
      <c r="F2310">
        <v>0</v>
      </c>
      <c r="G2310" s="1">
        <v>1.9032162641376902E-5</v>
      </c>
      <c r="H2310">
        <v>0.80360012120816804</v>
      </c>
      <c r="I2310">
        <v>0</v>
      </c>
    </row>
    <row r="2311" spans="1:9" x14ac:dyDescent="0.25">
      <c r="A2311" s="1">
        <v>-30.879811048507602</v>
      </c>
      <c r="B2311">
        <v>-6.2454232437043498</v>
      </c>
      <c r="C2311">
        <v>2.6539103740421E-2</v>
      </c>
      <c r="D2311">
        <v>0</v>
      </c>
      <c r="E2311">
        <v>0</v>
      </c>
      <c r="F2311">
        <v>0</v>
      </c>
      <c r="G2311" s="1">
        <v>2.5355258271009201E-5</v>
      </c>
      <c r="H2311">
        <v>0.80881043507541905</v>
      </c>
      <c r="I2311">
        <v>0</v>
      </c>
    </row>
    <row r="2312" spans="1:9" x14ac:dyDescent="0.25">
      <c r="A2312" s="1">
        <v>-27.4215984344482</v>
      </c>
      <c r="B2312">
        <v>-5.5465252909316698</v>
      </c>
      <c r="C2312">
        <v>3.1081077332061599E-2</v>
      </c>
      <c r="D2312">
        <v>0</v>
      </c>
      <c r="E2312">
        <v>0</v>
      </c>
      <c r="F2312">
        <v>0</v>
      </c>
      <c r="G2312" s="1">
        <v>3.3689145024133797E-5</v>
      </c>
      <c r="H2312">
        <v>0.81421169706268504</v>
      </c>
      <c r="I2312">
        <v>0</v>
      </c>
    </row>
    <row r="2313" spans="1:9" x14ac:dyDescent="0.25">
      <c r="A2313" s="1">
        <v>-24.248878359794599</v>
      </c>
      <c r="B2313">
        <v>-4.9052206491558801</v>
      </c>
      <c r="C2313">
        <v>3.6273210104430201E-2</v>
      </c>
      <c r="D2313">
        <v>0</v>
      </c>
      <c r="E2313">
        <v>0</v>
      </c>
      <c r="F2313">
        <v>0</v>
      </c>
      <c r="G2313" s="1">
        <v>4.4694243503418102E-5</v>
      </c>
      <c r="H2313">
        <v>0.81994479429671696</v>
      </c>
      <c r="I2313">
        <v>0</v>
      </c>
    </row>
    <row r="2314" spans="1:9" x14ac:dyDescent="0.25">
      <c r="A2314" s="1">
        <v>-21.3381540775299</v>
      </c>
      <c r="B2314">
        <v>-4.3167734318851503</v>
      </c>
      <c r="C2314">
        <v>4.2183615611013803E-2</v>
      </c>
      <c r="D2314">
        <v>0</v>
      </c>
      <c r="E2314">
        <v>0</v>
      </c>
      <c r="F2314">
        <v>0</v>
      </c>
      <c r="G2314" s="1">
        <v>5.9285790285521498E-5</v>
      </c>
      <c r="H2314">
        <v>0.82616604458087295</v>
      </c>
      <c r="I2314">
        <v>0</v>
      </c>
    </row>
    <row r="2315" spans="1:9" x14ac:dyDescent="0.25">
      <c r="A2315" s="1">
        <v>-18.6677181720733</v>
      </c>
      <c r="B2315">
        <v>-3.77683326820573</v>
      </c>
      <c r="C2315">
        <v>4.8889489957574299E-2</v>
      </c>
      <c r="D2315">
        <v>0</v>
      </c>
      <c r="E2315">
        <v>0</v>
      </c>
      <c r="F2315">
        <v>0</v>
      </c>
      <c r="G2315" s="1">
        <v>7.8755261877638797E-5</v>
      </c>
      <c r="H2315">
        <v>0.833037159523208</v>
      </c>
      <c r="I2315">
        <v>0</v>
      </c>
    </row>
    <row r="2316" spans="1:9" x14ac:dyDescent="0.25">
      <c r="A2316" s="1">
        <v>-16.2178409099578</v>
      </c>
      <c r="B2316">
        <v>-3.28140709432504</v>
      </c>
      <c r="C2316">
        <v>5.6480384471734903E-2</v>
      </c>
      <c r="D2316">
        <v>0</v>
      </c>
      <c r="E2316">
        <v>0</v>
      </c>
      <c r="F2316">
        <v>0</v>
      </c>
      <c r="G2316">
        <v>1.0495516066967499E-4</v>
      </c>
      <c r="H2316">
        <v>0.84070457249382002</v>
      </c>
      <c r="I2316">
        <v>0</v>
      </c>
    </row>
    <row r="2317" spans="1:9" x14ac:dyDescent="0.25">
      <c r="A2317" s="1">
        <v>-13.9702051877975</v>
      </c>
      <c r="B2317">
        <v>-2.8268309451147</v>
      </c>
      <c r="C2317">
        <v>6.5062696681942006E-2</v>
      </c>
      <c r="D2317">
        <v>0</v>
      </c>
      <c r="E2317">
        <v>0</v>
      </c>
      <c r="F2317">
        <v>0</v>
      </c>
      <c r="G2317">
        <v>1.40579501263999E-4</v>
      </c>
      <c r="H2317">
        <v>0.84927086534000995</v>
      </c>
      <c r="I2317">
        <v>0</v>
      </c>
    </row>
    <row r="2318" spans="1:9" x14ac:dyDescent="0.25">
      <c r="A2318" s="1">
        <v>-11.908189058303799</v>
      </c>
      <c r="B2318">
        <v>-2.40973965613833</v>
      </c>
      <c r="C2318">
        <v>7.47657104494482E-2</v>
      </c>
      <c r="D2318">
        <v>0</v>
      </c>
      <c r="E2318">
        <v>0</v>
      </c>
      <c r="F2318">
        <v>0</v>
      </c>
      <c r="G2318">
        <v>1.8958961863852099E-4</v>
      </c>
      <c r="H2318">
        <v>0.85876548996930901</v>
      </c>
      <c r="I2318">
        <v>0</v>
      </c>
    </row>
    <row r="2319" spans="1:9" x14ac:dyDescent="0.25">
      <c r="A2319" s="1">
        <v>-10.016394853591899</v>
      </c>
      <c r="B2319">
        <v>-2.0270459684982001</v>
      </c>
      <c r="C2319">
        <v>8.5749549628413593E-2</v>
      </c>
      <c r="D2319">
        <v>0</v>
      </c>
      <c r="E2319">
        <v>0</v>
      </c>
      <c r="F2319">
        <v>0</v>
      </c>
      <c r="G2319">
        <v>2.5786417967680101E-4</v>
      </c>
      <c r="H2319">
        <v>0.86912386871143299</v>
      </c>
      <c r="I2319">
        <v>0</v>
      </c>
    </row>
    <row r="2320" spans="1:9" x14ac:dyDescent="0.25">
      <c r="A2320" s="1">
        <v>-8.2808375358581507</v>
      </c>
      <c r="B2320">
        <v>-1.6759159770301599</v>
      </c>
      <c r="C2320">
        <v>9.8215514694436998E-2</v>
      </c>
      <c r="D2320">
        <v>0</v>
      </c>
      <c r="E2320">
        <v>0</v>
      </c>
      <c r="F2320">
        <v>0</v>
      </c>
      <c r="G2320">
        <v>3.5420224426360302E-4</v>
      </c>
      <c r="H2320">
        <v>0.88018364555255002</v>
      </c>
      <c r="I2320">
        <v>0</v>
      </c>
    </row>
    <row r="2321" spans="1:9" x14ac:dyDescent="0.25">
      <c r="A2321" s="1">
        <v>-6.6885209083557102</v>
      </c>
      <c r="B2321">
        <v>-1.353749279908</v>
      </c>
      <c r="C2321">
        <v>0.11241959815461</v>
      </c>
      <c r="D2321">
        <v>0</v>
      </c>
      <c r="E2321">
        <v>0</v>
      </c>
      <c r="F2321">
        <v>0</v>
      </c>
      <c r="G2321">
        <v>4.9189576428887005E-4</v>
      </c>
      <c r="H2321">
        <v>0.89170158047693204</v>
      </c>
      <c r="I2321">
        <v>0</v>
      </c>
    </row>
    <row r="2322" spans="1:9" x14ac:dyDescent="0.25">
      <c r="A2322" s="1">
        <v>-5.2277201414108196</v>
      </c>
      <c r="B2322">
        <v>-1.05815912824786</v>
      </c>
      <c r="C2322">
        <v>0.12869022939122199</v>
      </c>
      <c r="D2322">
        <v>0</v>
      </c>
      <c r="E2322">
        <v>0</v>
      </c>
      <c r="F2322">
        <v>0</v>
      </c>
      <c r="G2322">
        <v>6.9123898987044098E-4</v>
      </c>
      <c r="H2322">
        <v>0.90338623513624905</v>
      </c>
      <c r="I2322">
        <v>0</v>
      </c>
    </row>
    <row r="2323" spans="1:9" x14ac:dyDescent="0.25">
      <c r="A2323" s="1">
        <v>-3.88755798339843</v>
      </c>
      <c r="B2323">
        <v>-0.78695414284906196</v>
      </c>
      <c r="C2323">
        <v>0.14745219376324001</v>
      </c>
      <c r="D2323">
        <v>0</v>
      </c>
      <c r="E2323">
        <v>0</v>
      </c>
      <c r="F2323">
        <v>0</v>
      </c>
      <c r="G2323">
        <v>9.8360190609810103E-4</v>
      </c>
      <c r="H2323">
        <v>0.914936219685902</v>
      </c>
      <c r="I2323">
        <v>0</v>
      </c>
    </row>
    <row r="2324" spans="1:9" x14ac:dyDescent="0.25">
      <c r="A2324" s="1">
        <v>-2.6580518484115601</v>
      </c>
      <c r="B2324">
        <v>-0.53812525472334405</v>
      </c>
      <c r="C2324">
        <v>0.169259359302183</v>
      </c>
      <c r="D2324">
        <v>0</v>
      </c>
      <c r="E2324">
        <v>0</v>
      </c>
      <c r="F2324">
        <v>0</v>
      </c>
      <c r="G2324">
        <v>1.4181087403954901E-3</v>
      </c>
      <c r="H2324">
        <v>0.92607153441095402</v>
      </c>
      <c r="I2324">
        <v>0</v>
      </c>
    </row>
    <row r="2325" spans="1:9" x14ac:dyDescent="0.25">
      <c r="A2325" s="1">
        <v>-1.5300196409225399</v>
      </c>
      <c r="B2325">
        <v>-0.30982637707805999</v>
      </c>
      <c r="C2325">
        <v>0.19484069080417199</v>
      </c>
      <c r="D2325">
        <v>0</v>
      </c>
      <c r="E2325">
        <v>0</v>
      </c>
      <c r="F2325">
        <v>0</v>
      </c>
      <c r="G2325">
        <v>2.07263210610904E-3</v>
      </c>
      <c r="H2325">
        <v>0.93655260224626002</v>
      </c>
      <c r="I2325">
        <v>0</v>
      </c>
    </row>
    <row r="2326" spans="1:9" x14ac:dyDescent="0.25">
      <c r="A2326" s="1">
        <v>-0.49517393112182601</v>
      </c>
      <c r="B2326">
        <v>-0.10036552487603199</v>
      </c>
      <c r="C2326">
        <v>0.22516319059829801</v>
      </c>
      <c r="D2326">
        <v>0</v>
      </c>
      <c r="E2326">
        <v>0</v>
      </c>
      <c r="F2326">
        <v>0</v>
      </c>
      <c r="G2326">
        <v>3.09194115194259E-3</v>
      </c>
      <c r="H2326">
        <v>0.946540088683128</v>
      </c>
      <c r="I2326">
        <v>0</v>
      </c>
    </row>
    <row r="2327" spans="1:9" x14ac:dyDescent="0.25">
      <c r="A2327" s="1">
        <v>0.49376130104064903</v>
      </c>
      <c r="B2327">
        <v>0.35321026887082602</v>
      </c>
      <c r="C2327">
        <v>0.32607037766882102</v>
      </c>
      <c r="D2327">
        <v>8.3143332924495397E-2</v>
      </c>
      <c r="E2327">
        <v>-1.43192584960336E-4</v>
      </c>
      <c r="F2327" s="1">
        <v>-2.0341067503191398E-6</v>
      </c>
      <c r="G2327">
        <v>9.4790253308612904E-2</v>
      </c>
      <c r="H2327">
        <v>0.99391318289927899</v>
      </c>
      <c r="I2327" s="1">
        <v>9.99793044582741E-7</v>
      </c>
    </row>
    <row r="2328" spans="1:9" x14ac:dyDescent="0.25">
      <c r="A2328" s="1">
        <v>1.5257111191749499</v>
      </c>
      <c r="B2328">
        <v>1.09097738578253</v>
      </c>
      <c r="C2328">
        <v>0.60711683360681701</v>
      </c>
      <c r="D2328">
        <v>0.40955899600215601</v>
      </c>
      <c r="E2328">
        <v>-2.0279755330631002E-3</v>
      </c>
      <c r="F2328" s="1">
        <v>6.7743072289225704E-5</v>
      </c>
      <c r="G2328">
        <v>0.10107294013158501</v>
      </c>
      <c r="H2328">
        <v>0.98701378728268896</v>
      </c>
      <c r="I2328" s="1">
        <v>2.5829460520887401E-5</v>
      </c>
    </row>
    <row r="2329" spans="1:9" x14ac:dyDescent="0.25">
      <c r="A2329" s="1">
        <v>2.6505178213119498</v>
      </c>
      <c r="B2329">
        <v>1.8907414672457501</v>
      </c>
      <c r="C2329">
        <v>1.08135448334355</v>
      </c>
      <c r="D2329">
        <v>0.99955099307627204</v>
      </c>
      <c r="E2329">
        <v>-1.0151057704009399E-2</v>
      </c>
      <c r="F2329">
        <v>2.4875927172796802E-4</v>
      </c>
      <c r="G2329">
        <v>0.104939512676334</v>
      </c>
      <c r="H2329">
        <v>0.97514495786873301</v>
      </c>
      <c r="I2329">
        <v>1.20823364562149E-4</v>
      </c>
    </row>
    <row r="2330" spans="1:9" x14ac:dyDescent="0.25">
      <c r="A2330" s="1">
        <v>3.8765159249305698</v>
      </c>
      <c r="B2330">
        <v>2.7494473806609299</v>
      </c>
      <c r="C2330">
        <v>1.77993896250941</v>
      </c>
      <c r="D2330">
        <v>1.8877976630979301</v>
      </c>
      <c r="E2330">
        <v>-2.9902532976441E-2</v>
      </c>
      <c r="F2330">
        <v>5.4031589050413103E-4</v>
      </c>
      <c r="G2330">
        <v>0.105658872748357</v>
      </c>
      <c r="H2330">
        <v>0.95663999138274602</v>
      </c>
      <c r="I2330">
        <v>2.8005079649656098E-4</v>
      </c>
    </row>
    <row r="2331" spans="1:9" x14ac:dyDescent="0.25">
      <c r="A2331" s="1">
        <v>5.2129346132278398</v>
      </c>
      <c r="B2331">
        <v>3.6568225462947801</v>
      </c>
      <c r="C2331">
        <v>2.69606855493006</v>
      </c>
      <c r="D2331">
        <v>3.0452314527850501</v>
      </c>
      <c r="E2331">
        <v>-6.6820077319985294E-2</v>
      </c>
      <c r="F2331">
        <v>9.0332216271273599E-4</v>
      </c>
      <c r="G2331">
        <v>0.10277113374494599</v>
      </c>
      <c r="H2331">
        <v>0.92937310865550404</v>
      </c>
      <c r="I2331">
        <v>5.2624349690586002E-4</v>
      </c>
    </row>
    <row r="2332" spans="1:9" x14ac:dyDescent="0.25">
      <c r="A2332" s="1">
        <v>6.6695916652679399</v>
      </c>
      <c r="B2332">
        <v>4.5938312183161099</v>
      </c>
      <c r="C2332">
        <v>3.7611353015262998</v>
      </c>
      <c r="D2332">
        <v>4.3488354474820303</v>
      </c>
      <c r="E2332">
        <v>-0.123927451810215</v>
      </c>
      <c r="F2332">
        <v>1.25466861186872E-3</v>
      </c>
      <c r="G2332">
        <v>9.7960435674759594E-2</v>
      </c>
      <c r="H2332">
        <v>0.89266672452811902</v>
      </c>
      <c r="I2332">
        <v>1.2189228055011401E-3</v>
      </c>
    </row>
    <row r="2333" spans="1:9" x14ac:dyDescent="0.25">
      <c r="A2333" s="1">
        <v>8.2573878765106201</v>
      </c>
      <c r="B2333">
        <v>5.5338239794158302</v>
      </c>
      <c r="C2333">
        <v>4.8466669988701101</v>
      </c>
      <c r="D2333">
        <v>5.6027914332451401</v>
      </c>
      <c r="E2333">
        <v>-0.19951699014961899</v>
      </c>
      <c r="F2333">
        <v>1.49505737069331E-3</v>
      </c>
      <c r="G2333">
        <v>9.4635773331830403E-2</v>
      </c>
      <c r="H2333">
        <v>0.85065486650567801</v>
      </c>
      <c r="I2333">
        <v>3.3934303158555802E-3</v>
      </c>
    </row>
    <row r="2334" spans="1:9" x14ac:dyDescent="0.25">
      <c r="A2334" s="1">
        <v>9.9880245327949506</v>
      </c>
      <c r="B2334">
        <v>6.4471725143460903</v>
      </c>
      <c r="C2334">
        <v>5.8049384177725001</v>
      </c>
      <c r="D2334">
        <v>6.6142899458522901</v>
      </c>
      <c r="E2334">
        <v>-0.28708826437757901</v>
      </c>
      <c r="F2334">
        <v>1.5454838455848201E-3</v>
      </c>
      <c r="G2334">
        <v>9.53152704769967E-2</v>
      </c>
      <c r="H2334">
        <v>0.811475204714872</v>
      </c>
      <c r="I2334">
        <v>7.4124672387069403E-3</v>
      </c>
    </row>
    <row r="2335" spans="1:9" x14ac:dyDescent="0.25">
      <c r="A2335" s="1">
        <v>11.874474287032999</v>
      </c>
      <c r="B2335">
        <v>7.3080058482036803</v>
      </c>
      <c r="C2335">
        <v>6.5252353249519697</v>
      </c>
      <c r="D2335">
        <v>7.2698557553925296</v>
      </c>
      <c r="E2335">
        <v>-0.37801792821103603</v>
      </c>
      <c r="F2335">
        <v>1.3960325812907299E-3</v>
      </c>
      <c r="G2335">
        <v>9.9363065082804805E-2</v>
      </c>
      <c r="H2335">
        <v>0.77968562956896104</v>
      </c>
      <c r="I2335">
        <v>1.06806857647955E-2</v>
      </c>
    </row>
    <row r="2336" spans="1:9" x14ac:dyDescent="0.25">
      <c r="A2336" s="1">
        <v>13.9306750893592</v>
      </c>
      <c r="B2336">
        <v>8.0993308996342908</v>
      </c>
      <c r="C2336">
        <v>6.9639885092506804</v>
      </c>
      <c r="D2336">
        <v>7.5562598354184898</v>
      </c>
      <c r="E2336">
        <v>-0.46481057407529502</v>
      </c>
      <c r="F2336">
        <v>1.11777425548068E-3</v>
      </c>
      <c r="G2336">
        <v>0.10394377498862201</v>
      </c>
      <c r="H2336">
        <v>0.75372660684505999</v>
      </c>
      <c r="I2336">
        <v>1.02789185031556E-2</v>
      </c>
    </row>
    <row r="2337" spans="1:9" x14ac:dyDescent="0.25">
      <c r="A2337" s="1">
        <v>16.171883344650201</v>
      </c>
      <c r="B2337">
        <v>8.8140532743678293</v>
      </c>
      <c r="C2337">
        <v>7.1363860189010797</v>
      </c>
      <c r="D2337">
        <v>7.5295415356194102</v>
      </c>
      <c r="E2337">
        <v>-0.54269278950810995</v>
      </c>
      <c r="F2337">
        <v>8.3485495455823096E-4</v>
      </c>
      <c r="G2337">
        <v>0.10649298553295999</v>
      </c>
      <c r="H2337">
        <v>0.73039390687670602</v>
      </c>
      <c r="I2337">
        <v>6.3361819503229902E-3</v>
      </c>
    </row>
    <row r="2338" spans="1:9" x14ac:dyDescent="0.25">
      <c r="A2338" s="1">
        <v>18.614838719367899</v>
      </c>
      <c r="B2338">
        <v>9.4527977374874901</v>
      </c>
      <c r="C2338">
        <v>7.09005159866037</v>
      </c>
      <c r="D2338">
        <v>7.2720456526630599</v>
      </c>
      <c r="E2338">
        <v>-0.60952534838001504</v>
      </c>
      <c r="F2338">
        <v>6.7705930291125504E-4</v>
      </c>
      <c r="G2338">
        <v>0.105973500016373</v>
      </c>
      <c r="H2338">
        <v>0.70767208842822904</v>
      </c>
      <c r="I2338">
        <v>8.9843543676063802E-4</v>
      </c>
    </row>
    <row r="2339" spans="1:9" x14ac:dyDescent="0.25">
      <c r="A2339" s="1">
        <v>21.2777170538902</v>
      </c>
      <c r="B2339">
        <v>10.020819681233601</v>
      </c>
      <c r="C2339">
        <v>6.88188720828171</v>
      </c>
      <c r="D2339">
        <v>6.8634851420952998</v>
      </c>
      <c r="E2339">
        <v>-0.66500205753043296</v>
      </c>
      <c r="F2339">
        <v>7.3708359045331095E-4</v>
      </c>
      <c r="G2339">
        <v>0.10265397250845899</v>
      </c>
      <c r="H2339">
        <v>0.68484400686337099</v>
      </c>
      <c r="I2339">
        <v>-4.2635141656166596E-3</v>
      </c>
    </row>
    <row r="2340" spans="1:9" x14ac:dyDescent="0.25">
      <c r="A2340" s="1">
        <v>24.180224537849401</v>
      </c>
      <c r="B2340">
        <v>10.525504236345</v>
      </c>
      <c r="C2340">
        <v>6.5648959313838304</v>
      </c>
      <c r="D2340">
        <v>6.3687796120829798</v>
      </c>
      <c r="E2340">
        <v>-0.70983660776380597</v>
      </c>
      <c r="F2340">
        <v>1.0476927183725301E-3</v>
      </c>
      <c r="G2340">
        <v>9.7368064773527205E-2</v>
      </c>
      <c r="H2340">
        <v>0.66190046457816398</v>
      </c>
      <c r="I2340">
        <v>-8.3336276361327503E-3</v>
      </c>
    </row>
    <row r="2341" spans="1:9" x14ac:dyDescent="0.25">
      <c r="A2341" s="1">
        <v>27.343950867652801</v>
      </c>
      <c r="B2341">
        <v>10.9748485003624</v>
      </c>
      <c r="C2341">
        <v>6.1829937748001198</v>
      </c>
      <c r="D2341">
        <v>5.8361456978641701</v>
      </c>
      <c r="E2341">
        <v>-0.74518095709911802</v>
      </c>
      <c r="F2341">
        <v>1.53186087656515E-3</v>
      </c>
      <c r="G2341">
        <v>9.0936919846571998E-2</v>
      </c>
      <c r="H2341">
        <v>0.63914680200363705</v>
      </c>
      <c r="I2341">
        <v>-1.11563193000937E-2</v>
      </c>
    </row>
    <row r="2342" spans="1:9" x14ac:dyDescent="0.25">
      <c r="A2342" s="1">
        <v>30.7923927903175</v>
      </c>
      <c r="B2342">
        <v>11.3767153194666</v>
      </c>
      <c r="C2342">
        <v>5.7700877414609701</v>
      </c>
      <c r="D2342">
        <v>5.2993811380282096</v>
      </c>
      <c r="E2342">
        <v>-0.77229153262237804</v>
      </c>
      <c r="F2342">
        <v>2.0954289704261699E-3</v>
      </c>
      <c r="G2342">
        <v>8.3949401867495305E-2</v>
      </c>
      <c r="H2342">
        <v>0.61700759711081898</v>
      </c>
      <c r="I2342">
        <v>-1.28447564592829E-2</v>
      </c>
    </row>
    <row r="2343" spans="1:9" x14ac:dyDescent="0.25">
      <c r="A2343" s="1">
        <v>34.551213085651298</v>
      </c>
      <c r="B2343">
        <v>11.7384610935606</v>
      </c>
      <c r="C2343">
        <v>5.3508804421426399</v>
      </c>
      <c r="D2343">
        <v>4.7809292412708704</v>
      </c>
      <c r="E2343">
        <v>-0.79237101090766404</v>
      </c>
      <c r="F2343">
        <v>2.6899446506840302E-3</v>
      </c>
      <c r="G2343">
        <v>7.6763427273878304E-2</v>
      </c>
      <c r="H2343">
        <v>0.59591841092781594</v>
      </c>
      <c r="I2343">
        <v>-1.3586980979006701E-2</v>
      </c>
    </row>
    <row r="2344" spans="1:9" x14ac:dyDescent="0.25">
      <c r="A2344" s="1">
        <v>38.6483111977577</v>
      </c>
      <c r="B2344">
        <v>12.0667464139432</v>
      </c>
      <c r="C2344">
        <v>4.9422120688321698</v>
      </c>
      <c r="D2344">
        <v>4.2946577015791902</v>
      </c>
      <c r="E2344">
        <v>-0.80646535446911505</v>
      </c>
      <c r="F2344">
        <v>3.1832110866474601E-3</v>
      </c>
      <c r="G2344">
        <v>6.9600921431664603E-2</v>
      </c>
      <c r="H2344">
        <v>0.57630830533806399</v>
      </c>
      <c r="I2344">
        <v>-1.3581120947408201E-2</v>
      </c>
    </row>
    <row r="2345" spans="1:9" x14ac:dyDescent="0.25">
      <c r="A2345" s="1">
        <v>43.1141293048858</v>
      </c>
      <c r="B2345">
        <v>12.367488788024399</v>
      </c>
      <c r="C2345">
        <v>4.5547194057231097</v>
      </c>
      <c r="D2345">
        <v>3.8484056261798898</v>
      </c>
      <c r="E2345">
        <v>-0.81543364521504902</v>
      </c>
      <c r="F2345">
        <v>3.52739822158212E-3</v>
      </c>
      <c r="G2345">
        <v>6.2610061052230201E-2</v>
      </c>
      <c r="H2345">
        <v>0.558473637846997</v>
      </c>
      <c r="I2345">
        <v>-1.30150437242833E-2</v>
      </c>
    </row>
    <row r="2346" spans="1:9" x14ac:dyDescent="0.25">
      <c r="A2346" s="1">
        <v>47.981887757778097</v>
      </c>
      <c r="B2346">
        <v>12.645770961840499</v>
      </c>
      <c r="C2346">
        <v>4.1944822502691697</v>
      </c>
      <c r="D2346">
        <v>3.4458081992029399</v>
      </c>
      <c r="E2346">
        <v>-0.81999327873582795</v>
      </c>
      <c r="F2346">
        <v>3.66493270498028E-3</v>
      </c>
      <c r="G2346">
        <v>5.5892470295333202E-2</v>
      </c>
      <c r="H2346">
        <v>0.54244403151518295</v>
      </c>
      <c r="I2346">
        <v>-1.20691893152716E-2</v>
      </c>
    </row>
    <row r="2347" spans="1:9" x14ac:dyDescent="0.25">
      <c r="A2347" s="1">
        <v>53.287820518016801</v>
      </c>
      <c r="B2347">
        <v>12.9058466662214</v>
      </c>
      <c r="C2347">
        <v>3.8639945555297701</v>
      </c>
      <c r="D2347">
        <v>3.0871161783050498</v>
      </c>
      <c r="E2347">
        <v>-0.82068790088035304</v>
      </c>
      <c r="F2347">
        <v>3.5403269396370898E-3</v>
      </c>
      <c r="G2347">
        <v>4.95526568840709E-2</v>
      </c>
      <c r="H2347">
        <v>0.52821274489213998</v>
      </c>
      <c r="I2347">
        <v>-1.0907165936286999E-2</v>
      </c>
    </row>
    <row r="2348" spans="1:9" x14ac:dyDescent="0.25">
      <c r="A2348" s="1">
        <v>59.071175158023799</v>
      </c>
      <c r="B2348">
        <v>13.151278524801899</v>
      </c>
      <c r="C2348">
        <v>3.5634543269566099</v>
      </c>
      <c r="D2348">
        <v>2.7703415688650002</v>
      </c>
      <c r="E2348">
        <v>-0.817934002192929</v>
      </c>
      <c r="F2348">
        <v>3.10821613541771E-3</v>
      </c>
      <c r="G2348">
        <v>4.3692782510512E-2</v>
      </c>
      <c r="H2348">
        <v>0.51567550394170902</v>
      </c>
      <c r="I2348">
        <v>-9.6821133192747499E-3</v>
      </c>
    </row>
    <row r="2349" spans="1:9" x14ac:dyDescent="0.25">
      <c r="A2349" s="1">
        <v>65.375131070613804</v>
      </c>
      <c r="B2349">
        <v>13.384997605209101</v>
      </c>
      <c r="C2349">
        <v>3.2918681036706001</v>
      </c>
      <c r="D2349">
        <v>2.4926316603210101</v>
      </c>
      <c r="E2349">
        <v>-0.81204336557184997</v>
      </c>
      <c r="F2349">
        <v>2.4613872689021E-3</v>
      </c>
      <c r="G2349">
        <v>3.83656906913864E-2</v>
      </c>
      <c r="H2349">
        <v>0.50444067686554594</v>
      </c>
      <c r="I2349">
        <v>-8.4941069655580306E-3</v>
      </c>
    </row>
    <row r="2350" spans="1:9" x14ac:dyDescent="0.25">
      <c r="A2350" s="1">
        <v>72.246375679969702</v>
      </c>
      <c r="B2350">
        <v>13.609414163374201</v>
      </c>
      <c r="C2350">
        <v>3.0469370767135602</v>
      </c>
      <c r="D2350">
        <v>2.2502040501224099</v>
      </c>
      <c r="E2350">
        <v>-0.80325758398349001</v>
      </c>
      <c r="F2350">
        <v>1.7055046492476999E-3</v>
      </c>
      <c r="G2350">
        <v>3.3598067855365198E-2</v>
      </c>
      <c r="H2350">
        <v>0.49423127800969502</v>
      </c>
      <c r="I2350">
        <v>-7.4049006688217496E-3</v>
      </c>
    </row>
    <row r="2351" spans="1:9" x14ac:dyDescent="0.25">
      <c r="A2351" s="1">
        <v>79.736069738864799</v>
      </c>
      <c r="B2351">
        <v>13.826515850753401</v>
      </c>
      <c r="C2351">
        <v>2.8255589699186499</v>
      </c>
      <c r="D2351">
        <v>2.0385423789813402</v>
      </c>
      <c r="E2351">
        <v>-0.79171613206428504</v>
      </c>
      <c r="F2351">
        <v>1.03203425848335E-3</v>
      </c>
      <c r="G2351">
        <v>2.9353296678112401E-2</v>
      </c>
      <c r="H2351">
        <v>0.48461155062676298</v>
      </c>
      <c r="I2351">
        <v>-6.4243663833539301E-3</v>
      </c>
    </row>
    <row r="2352" spans="1:9" x14ac:dyDescent="0.25">
      <c r="A2352" s="1">
        <v>87.899753153324099</v>
      </c>
      <c r="B2352">
        <v>14.037889654238599</v>
      </c>
      <c r="C2352">
        <v>2.62429615684532</v>
      </c>
      <c r="D2352">
        <v>1.8531184037119</v>
      </c>
      <c r="E2352">
        <v>-0.77746244108845397</v>
      </c>
      <c r="F2352">
        <v>6.4498941868883902E-4</v>
      </c>
      <c r="G2352">
        <v>2.5596058468037499E-2</v>
      </c>
      <c r="H2352">
        <v>0.47547196600692998</v>
      </c>
      <c r="I2352">
        <v>-5.5612809481957303E-3</v>
      </c>
    </row>
    <row r="2353" spans="1:9" x14ac:dyDescent="0.25">
      <c r="A2353" s="1">
        <v>96.798263192176805</v>
      </c>
      <c r="B2353">
        <v>14.2447877158903</v>
      </c>
      <c r="C2353">
        <v>2.4399802641311199</v>
      </c>
      <c r="D2353">
        <v>1.6900098613419701</v>
      </c>
      <c r="E2353">
        <v>-0.76057347375312001</v>
      </c>
      <c r="F2353">
        <v>7.0722113261588698E-4</v>
      </c>
      <c r="G2353">
        <v>2.2282339937298602E-2</v>
      </c>
      <c r="H2353">
        <v>0.46658229394898099</v>
      </c>
      <c r="I2353">
        <v>-4.8062828038715304E-3</v>
      </c>
    </row>
    <row r="2354" spans="1:9" x14ac:dyDescent="0.25">
      <c r="A2354" s="1">
        <v>106.497616767883</v>
      </c>
      <c r="B2354">
        <v>14.448268897601301</v>
      </c>
      <c r="C2354">
        <v>2.2694452074939999</v>
      </c>
      <c r="D2354">
        <v>1.5454473788968699</v>
      </c>
      <c r="E2354">
        <v>-0.740966575372485</v>
      </c>
      <c r="F2354">
        <v>9.6601039285589105E-4</v>
      </c>
      <c r="G2354">
        <v>1.9372923654511799E-2</v>
      </c>
      <c r="H2354">
        <v>0.457893750433433</v>
      </c>
      <c r="I2354">
        <v>-4.1524929090404998E-3</v>
      </c>
    </row>
    <row r="2355" spans="1:9" x14ac:dyDescent="0.25">
      <c r="A2355" s="1">
        <v>117.06990510225199</v>
      </c>
      <c r="B2355">
        <v>14.6494860894539</v>
      </c>
      <c r="C2355">
        <v>2.1088831017441101</v>
      </c>
      <c r="D2355">
        <v>1.4153834501668201</v>
      </c>
      <c r="E2355">
        <v>-0.71840436465358604</v>
      </c>
      <c r="F2355">
        <v>1.1750316698417101E-3</v>
      </c>
      <c r="G2355">
        <v>1.68264062204974E-2</v>
      </c>
      <c r="H2355">
        <v>0.45003943196084301</v>
      </c>
      <c r="I2355">
        <v>-3.5879387744716198E-3</v>
      </c>
    </row>
    <row r="2356" spans="1:9" x14ac:dyDescent="0.25">
      <c r="A2356" s="1">
        <v>128.593670427799</v>
      </c>
      <c r="B2356">
        <v>14.8493931551956</v>
      </c>
      <c r="C2356">
        <v>1.9563932948395399</v>
      </c>
      <c r="D2356">
        <v>1.29728819676894</v>
      </c>
      <c r="E2356">
        <v>-0.69291994053545203</v>
      </c>
      <c r="F2356">
        <v>1.5223945079302101E-3</v>
      </c>
      <c r="G2356">
        <v>1.45687281645289E-2</v>
      </c>
      <c r="H2356">
        <v>0.442628560066614</v>
      </c>
      <c r="I2356">
        <v>-3.0840309358690999E-3</v>
      </c>
    </row>
    <row r="2357" spans="1:9" x14ac:dyDescent="0.25">
      <c r="A2357" s="1">
        <v>141.15461230278001</v>
      </c>
      <c r="B2357">
        <v>15.0484341168337</v>
      </c>
      <c r="C2357">
        <v>1.81016169058975</v>
      </c>
      <c r="D2357">
        <v>1.1887803763479801</v>
      </c>
      <c r="E2357">
        <v>-0.66429367580945098</v>
      </c>
      <c r="F2357">
        <v>2.1877632288303298E-3</v>
      </c>
      <c r="G2357">
        <v>1.2551046176818801E-2</v>
      </c>
      <c r="H2357">
        <v>0.43543735910381798</v>
      </c>
      <c r="I2357">
        <v>-2.6318646713865798E-3</v>
      </c>
    </row>
    <row r="2358" spans="1:9" x14ac:dyDescent="0.25">
      <c r="A2358" s="1">
        <v>154.84601140022201</v>
      </c>
      <c r="B2358">
        <v>15.246404724244799</v>
      </c>
      <c r="C2358">
        <v>1.66878522579754</v>
      </c>
      <c r="D2358">
        <v>1.0878647623176001</v>
      </c>
      <c r="E2358">
        <v>-0.63235215368753595</v>
      </c>
      <c r="F2358">
        <v>2.3094137547225299E-3</v>
      </c>
      <c r="G2358">
        <v>1.0738427410635E-2</v>
      </c>
      <c r="H2358">
        <v>0.427958863667945</v>
      </c>
      <c r="I2358">
        <v>-2.2245536358180599E-3</v>
      </c>
    </row>
    <row r="2359" spans="1:9" x14ac:dyDescent="0.25">
      <c r="A2359" s="1">
        <v>169.76969480514501</v>
      </c>
      <c r="B2359">
        <v>15.443249605272699</v>
      </c>
      <c r="C2359">
        <v>1.5300227477164701</v>
      </c>
      <c r="D2359">
        <v>0.99219576845560897</v>
      </c>
      <c r="E2359">
        <v>-0.59663009955039703</v>
      </c>
      <c r="F2359">
        <v>1.9224598566090401E-3</v>
      </c>
      <c r="G2359">
        <v>9.1145567833067504E-3</v>
      </c>
      <c r="H2359">
        <v>0.42047358114905298</v>
      </c>
      <c r="I2359">
        <v>-1.8591636303356899E-3</v>
      </c>
    </row>
    <row r="2360" spans="1:9" x14ac:dyDescent="0.25">
      <c r="A2360" s="1">
        <v>186.03645980358101</v>
      </c>
      <c r="B2360">
        <v>15.6394885268554</v>
      </c>
      <c r="C2360">
        <v>1.39205429438757</v>
      </c>
      <c r="D2360">
        <v>0.89998992271598599</v>
      </c>
      <c r="E2360">
        <v>-0.55664609748889904</v>
      </c>
      <c r="F2360">
        <v>1.76083505728223E-3</v>
      </c>
      <c r="G2360">
        <v>7.6607397354172798E-3</v>
      </c>
      <c r="H2360">
        <v>0.41353844663056699</v>
      </c>
      <c r="I2360">
        <v>-1.53459288527593E-3</v>
      </c>
    </row>
    <row r="2361" spans="1:9" x14ac:dyDescent="0.25">
      <c r="A2361" s="1">
        <v>203.76720398664401</v>
      </c>
      <c r="B2361">
        <v>15.834663885136001</v>
      </c>
      <c r="C2361">
        <v>1.25481176566993</v>
      </c>
      <c r="D2361">
        <v>0.80971785339250302</v>
      </c>
      <c r="E2361">
        <v>-0.51229149994453105</v>
      </c>
      <c r="F2361">
        <v>1.5702891595426201E-3</v>
      </c>
      <c r="G2361">
        <v>6.3524114054375903E-3</v>
      </c>
      <c r="H2361">
        <v>0.40623241481142303</v>
      </c>
      <c r="I2361">
        <v>-1.2448121125087899E-3</v>
      </c>
    </row>
    <row r="2362" spans="1:9" x14ac:dyDescent="0.25">
      <c r="A2362" s="1">
        <v>223.09376105666101</v>
      </c>
      <c r="B2362">
        <v>16.027119739216602</v>
      </c>
      <c r="C2362">
        <v>1.1174449112748801</v>
      </c>
      <c r="D2362">
        <v>0.72027744144554895</v>
      </c>
      <c r="E2362">
        <v>-0.463106381019177</v>
      </c>
      <c r="F2362">
        <v>1.2760639585817999E-3</v>
      </c>
      <c r="G2362">
        <v>5.1642267202824804E-3</v>
      </c>
      <c r="H2362">
        <v>0.39881586778852401</v>
      </c>
      <c r="I2362">
        <v>-9.7973839056791998E-4</v>
      </c>
    </row>
    <row r="2363" spans="1:9" x14ac:dyDescent="0.25">
      <c r="A2363" s="1">
        <v>244.15970131754801</v>
      </c>
      <c r="B2363">
        <v>16.215457158584901</v>
      </c>
      <c r="C2363">
        <v>0.97904890065376304</v>
      </c>
      <c r="D2363">
        <v>0.630163443945296</v>
      </c>
      <c r="E2363">
        <v>-0.40848982122940702</v>
      </c>
      <c r="F2363">
        <v>4.9931522058643601E-4</v>
      </c>
      <c r="G2363">
        <v>4.0965502529670102E-3</v>
      </c>
      <c r="H2363">
        <v>0.39194489434972501</v>
      </c>
      <c r="I2363">
        <v>-7.4341842088331499E-4</v>
      </c>
    </row>
    <row r="2364" spans="1:9" x14ac:dyDescent="0.25">
      <c r="A2364" s="1">
        <v>267.12157949805197</v>
      </c>
      <c r="B2364">
        <v>16.396827089090699</v>
      </c>
      <c r="C2364">
        <v>0.84052226938421803</v>
      </c>
      <c r="D2364">
        <v>0.539921213923923</v>
      </c>
      <c r="E2364">
        <v>-0.34807640270998602</v>
      </c>
      <c r="F2364">
        <v>-5.0650909358572699E-4</v>
      </c>
      <c r="G2364">
        <v>3.1597636785897498E-3</v>
      </c>
      <c r="H2364">
        <v>0.38606285127870499</v>
      </c>
      <c r="I2364">
        <v>-5.4378667832909796E-4</v>
      </c>
    </row>
    <row r="2365" spans="1:9" x14ac:dyDescent="0.25">
      <c r="A2365" s="1">
        <v>292.15002954006098</v>
      </c>
      <c r="B2365">
        <v>16.566449764420099</v>
      </c>
      <c r="C2365">
        <v>0.70230444936288206</v>
      </c>
      <c r="D2365">
        <v>0.44871555850594702</v>
      </c>
      <c r="E2365">
        <v>-0.28136394049040298</v>
      </c>
      <c r="F2365">
        <v>-1.0784796764014501E-3</v>
      </c>
      <c r="G2365">
        <v>2.3590977142614001E-3</v>
      </c>
      <c r="H2365">
        <v>0.38241542672094903</v>
      </c>
      <c r="I2365">
        <v>-3.8223548097368799E-4</v>
      </c>
    </row>
    <row r="2366" spans="1:9" x14ac:dyDescent="0.25">
      <c r="A2366" s="1">
        <v>319.43101242184599</v>
      </c>
      <c r="B2366">
        <v>16.71480848701</v>
      </c>
      <c r="C2366">
        <v>0.57170100481290398</v>
      </c>
      <c r="D2366">
        <v>0.360977310916615</v>
      </c>
      <c r="E2366">
        <v>-0.208012961086252</v>
      </c>
      <c r="F2366">
        <v>-8.27678041166607E-4</v>
      </c>
      <c r="G2366">
        <v>1.71159151493968E-3</v>
      </c>
      <c r="H2366">
        <v>0.38233175171453798</v>
      </c>
      <c r="I2366">
        <v>-2.6343961883706901E-4</v>
      </c>
    </row>
    <row r="2367" spans="1:9" x14ac:dyDescent="0.25">
      <c r="A2367" s="1">
        <v>349.16732590645501</v>
      </c>
      <c r="B2367">
        <v>16.829912573148299</v>
      </c>
      <c r="C2367">
        <v>0.46306697331457197</v>
      </c>
      <c r="D2367">
        <v>0.28594279638303199</v>
      </c>
      <c r="E2367">
        <v>-0.12671972661387501</v>
      </c>
      <c r="F2367">
        <v>-9.8762986957217106E-4</v>
      </c>
      <c r="G2367">
        <v>1.2643932213122599E-3</v>
      </c>
      <c r="H2367">
        <v>0.386981773718655</v>
      </c>
      <c r="I2367">
        <v>-1.92864460570977E-4</v>
      </c>
    </row>
    <row r="2368" spans="1:9" x14ac:dyDescent="0.25">
      <c r="A2368" s="1">
        <v>379.83785875141598</v>
      </c>
      <c r="B2368">
        <v>16.890721648235701</v>
      </c>
      <c r="C2368">
        <v>0.40093907885132601</v>
      </c>
      <c r="D2368">
        <v>0.24210184317781</v>
      </c>
      <c r="E2368">
        <v>-4.1944352221588398E-2</v>
      </c>
      <c r="F2368">
        <v>-1.3280111098105899E-3</v>
      </c>
      <c r="G2368">
        <v>1.0315360115087E-3</v>
      </c>
      <c r="H2368">
        <v>0.407891532112515</v>
      </c>
      <c r="I2368">
        <v>-1.5284107826497799E-4</v>
      </c>
    </row>
    <row r="2369" spans="1:9" x14ac:dyDescent="0.25">
      <c r="A2369" s="1" t="s">
        <v>555</v>
      </c>
      <c r="B2369" s="1" t="s">
        <v>614</v>
      </c>
      <c r="C2369" s="1" t="s">
        <v>615</v>
      </c>
      <c r="D2369" s="1" t="s">
        <v>616</v>
      </c>
      <c r="E2369" s="1" t="s">
        <v>617</v>
      </c>
      <c r="F2369" s="1" t="s">
        <v>618</v>
      </c>
      <c r="G2369" s="1" t="s">
        <v>400</v>
      </c>
      <c r="H2369" s="1" t="s">
        <v>619</v>
      </c>
      <c r="I2369" s="1" t="s">
        <v>613</v>
      </c>
    </row>
    <row r="2370" spans="1:9" x14ac:dyDescent="0.25">
      <c r="A2370" s="1">
        <v>-141.555516719818</v>
      </c>
      <c r="B2370">
        <v>-71.273260387234103</v>
      </c>
      <c r="C2370">
        <v>6.9728713169093298E-3</v>
      </c>
      <c r="D2370">
        <v>0</v>
      </c>
      <c r="E2370">
        <v>0</v>
      </c>
      <c r="F2370">
        <v>0</v>
      </c>
      <c r="G2370" s="1">
        <v>3.1787414309092303E-7</v>
      </c>
      <c r="H2370">
        <v>5.7381412597359502E-2</v>
      </c>
      <c r="I2370">
        <v>0</v>
      </c>
    </row>
    <row r="2371" spans="1:9" x14ac:dyDescent="0.25">
      <c r="A2371" s="1">
        <v>-128.95890593528699</v>
      </c>
      <c r="B2371">
        <v>-64.946090959958397</v>
      </c>
      <c r="C2371">
        <v>7.1354871167129E-3</v>
      </c>
      <c r="D2371">
        <v>0</v>
      </c>
      <c r="E2371">
        <v>0</v>
      </c>
      <c r="F2371">
        <v>0</v>
      </c>
      <c r="G2371" s="1">
        <v>4.7604040379622902E-7</v>
      </c>
      <c r="H2371">
        <v>0.331790499912957</v>
      </c>
      <c r="I2371">
        <v>0</v>
      </c>
    </row>
    <row r="2372" spans="1:9" x14ac:dyDescent="0.25">
      <c r="A2372" s="1">
        <v>-117.402367591857</v>
      </c>
      <c r="B2372">
        <v>-59.138726081900003</v>
      </c>
      <c r="C2372">
        <v>7.4828293549002401E-3</v>
      </c>
      <c r="D2372">
        <v>0</v>
      </c>
      <c r="E2372">
        <v>0</v>
      </c>
      <c r="F2372">
        <v>0</v>
      </c>
      <c r="G2372" s="1">
        <v>7.7900671265451705E-7</v>
      </c>
      <c r="H2372">
        <v>0.54078792908635498</v>
      </c>
      <c r="I2372">
        <v>0</v>
      </c>
    </row>
    <row r="2373" spans="1:9" x14ac:dyDescent="0.25">
      <c r="A2373" s="1">
        <v>-106.80001378059301</v>
      </c>
      <c r="B2373">
        <v>-53.808673369340298</v>
      </c>
      <c r="C2373">
        <v>8.0691770672640505E-3</v>
      </c>
      <c r="D2373">
        <v>0</v>
      </c>
      <c r="E2373">
        <v>0</v>
      </c>
      <c r="F2373">
        <v>0</v>
      </c>
      <c r="G2373" s="1">
        <v>1.2358504498188799E-6</v>
      </c>
      <c r="H2373">
        <v>0.65543600090237597</v>
      </c>
      <c r="I2373">
        <v>0</v>
      </c>
    </row>
    <row r="2374" spans="1:9" x14ac:dyDescent="0.25">
      <c r="A2374" s="1">
        <v>-97.073161005973802</v>
      </c>
      <c r="B2374">
        <v>-48.916863064668803</v>
      </c>
      <c r="C2374">
        <v>8.9614081733335495E-3</v>
      </c>
      <c r="D2374">
        <v>0</v>
      </c>
      <c r="E2374">
        <v>0</v>
      </c>
      <c r="F2374">
        <v>0</v>
      </c>
      <c r="G2374" s="1">
        <v>1.8818639827011799E-6</v>
      </c>
      <c r="H2374">
        <v>0.71681767566892796</v>
      </c>
      <c r="I2374">
        <v>0</v>
      </c>
    </row>
    <row r="2375" spans="1:9" x14ac:dyDescent="0.25">
      <c r="A2375" s="1">
        <v>-88.149435520172105</v>
      </c>
      <c r="B2375">
        <v>-44.427405652604698</v>
      </c>
      <c r="C2375">
        <v>1.02321836501657E-2</v>
      </c>
      <c r="D2375">
        <v>0</v>
      </c>
      <c r="E2375">
        <v>0</v>
      </c>
      <c r="F2375">
        <v>0</v>
      </c>
      <c r="G2375" s="1">
        <v>2.78064845734338E-6</v>
      </c>
      <c r="H2375">
        <v>0.75087928487898004</v>
      </c>
      <c r="I2375">
        <v>0</v>
      </c>
    </row>
    <row r="2376" spans="1:9" x14ac:dyDescent="0.25">
      <c r="A2376" s="1">
        <v>-79.962490797042804</v>
      </c>
      <c r="B2376">
        <v>-40.307324402235103</v>
      </c>
      <c r="C2376">
        <v>1.19592277238706E-2</v>
      </c>
      <c r="D2376">
        <v>0</v>
      </c>
      <c r="E2376">
        <v>0</v>
      </c>
      <c r="F2376">
        <v>0</v>
      </c>
      <c r="G2376" s="1">
        <v>4.0277201163019199E-6</v>
      </c>
      <c r="H2376">
        <v>0.77084873110393304</v>
      </c>
      <c r="I2376">
        <v>0</v>
      </c>
    </row>
    <row r="2377" spans="1:9" x14ac:dyDescent="0.25">
      <c r="A2377" s="1">
        <v>-72.451583743095298</v>
      </c>
      <c r="B2377">
        <v>-36.526329699359501</v>
      </c>
      <c r="C2377">
        <v>1.4227005559860499E-2</v>
      </c>
      <c r="D2377">
        <v>0</v>
      </c>
      <c r="E2377">
        <v>0</v>
      </c>
      <c r="F2377">
        <v>0</v>
      </c>
      <c r="G2377" s="1">
        <v>5.7565627180800003E-6</v>
      </c>
      <c r="H2377">
        <v>0.78346707045631403</v>
      </c>
      <c r="I2377">
        <v>0</v>
      </c>
    </row>
    <row r="2378" spans="1:9" x14ac:dyDescent="0.25">
      <c r="A2378" s="1">
        <v>-65.560821294784503</v>
      </c>
      <c r="B2378">
        <v>-33.056597557864798</v>
      </c>
      <c r="C2378">
        <v>1.71289380151677E-2</v>
      </c>
      <c r="D2378">
        <v>0</v>
      </c>
      <c r="E2378">
        <v>0</v>
      </c>
      <c r="F2378">
        <v>0</v>
      </c>
      <c r="G2378" s="1">
        <v>8.1479775296511293E-6</v>
      </c>
      <c r="H2378">
        <v>0.79223665444751601</v>
      </c>
      <c r="I2378">
        <v>0</v>
      </c>
    </row>
    <row r="2379" spans="1:9" x14ac:dyDescent="0.25">
      <c r="A2379" s="1">
        <v>-59.238972067832897</v>
      </c>
      <c r="B2379">
        <v>-29.8725773843151</v>
      </c>
      <c r="C2379">
        <v>2.0769427496922802E-2</v>
      </c>
      <c r="D2379">
        <v>0</v>
      </c>
      <c r="E2379">
        <v>0</v>
      </c>
      <c r="F2379">
        <v>0</v>
      </c>
      <c r="G2379" s="1">
        <v>1.14434826311216E-5</v>
      </c>
      <c r="H2379">
        <v>0.79899193864497098</v>
      </c>
      <c r="I2379">
        <v>0</v>
      </c>
    </row>
    <row r="2380" spans="1:9" x14ac:dyDescent="0.25">
      <c r="A2380" s="1">
        <v>-53.439136743545497</v>
      </c>
      <c r="B2380">
        <v>-26.950801832057198</v>
      </c>
      <c r="C2380">
        <v>2.5265487590858501E-2</v>
      </c>
      <c r="D2380">
        <v>0</v>
      </c>
      <c r="E2380">
        <v>0</v>
      </c>
      <c r="F2380">
        <v>0</v>
      </c>
      <c r="G2380" s="1">
        <v>1.5963683673012601E-5</v>
      </c>
      <c r="H2380">
        <v>0.80469172192733696</v>
      </c>
      <c r="I2380">
        <v>0</v>
      </c>
    </row>
    <row r="2381" spans="1:9" x14ac:dyDescent="0.25">
      <c r="A2381" s="1">
        <v>-48.118183016777003</v>
      </c>
      <c r="B2381">
        <v>-24.2697217295092</v>
      </c>
      <c r="C2381">
        <v>3.0748056376460799E-2</v>
      </c>
      <c r="D2381">
        <v>0</v>
      </c>
      <c r="E2381">
        <v>0</v>
      </c>
      <c r="F2381">
        <v>0</v>
      </c>
      <c r="G2381" s="1">
        <v>2.2133133256856399E-5</v>
      </c>
      <c r="H2381">
        <v>0.80983644505741104</v>
      </c>
      <c r="I2381">
        <v>0</v>
      </c>
    </row>
    <row r="2382" spans="1:9" x14ac:dyDescent="0.25">
      <c r="A2382" s="1">
        <v>-43.236604332923797</v>
      </c>
      <c r="B2382">
        <v>-21.809549366511099</v>
      </c>
      <c r="C2382">
        <v>3.7363096258551699E-2</v>
      </c>
      <c r="D2382">
        <v>0</v>
      </c>
      <c r="E2382">
        <v>0</v>
      </c>
      <c r="F2382">
        <v>0</v>
      </c>
      <c r="G2382" s="1">
        <v>3.0514211582435199E-5</v>
      </c>
      <c r="H2382">
        <v>0.81469318955456105</v>
      </c>
      <c r="I2382">
        <v>0</v>
      </c>
    </row>
    <row r="2383" spans="1:9" x14ac:dyDescent="0.25">
      <c r="A2383" s="1">
        <v>-38.758049011230398</v>
      </c>
      <c r="B2383">
        <v>-19.552124765343699</v>
      </c>
      <c r="C2383">
        <v>4.5272684857151399E-2</v>
      </c>
      <c r="D2383">
        <v>0</v>
      </c>
      <c r="E2383">
        <v>0</v>
      </c>
      <c r="F2383">
        <v>0</v>
      </c>
      <c r="G2383" s="1">
        <v>4.18542679604705E-5</v>
      </c>
      <c r="H2383">
        <v>0.81941881627649804</v>
      </c>
      <c r="I2383">
        <v>0</v>
      </c>
    </row>
    <row r="2384" spans="1:9" x14ac:dyDescent="0.25">
      <c r="A2384" s="1">
        <v>-34.649320244789102</v>
      </c>
      <c r="B2384">
        <v>-17.480763146109599</v>
      </c>
      <c r="C2384">
        <v>5.46564032095362E-2</v>
      </c>
      <c r="D2384">
        <v>0</v>
      </c>
      <c r="E2384">
        <v>0</v>
      </c>
      <c r="F2384">
        <v>0</v>
      </c>
      <c r="G2384" s="1">
        <v>5.7152888855700398E-5</v>
      </c>
      <c r="H2384">
        <v>0.82412709260594896</v>
      </c>
      <c r="I2384">
        <v>0</v>
      </c>
    </row>
    <row r="2385" spans="1:9" x14ac:dyDescent="0.25">
      <c r="A2385" s="1">
        <v>-30.879811048507602</v>
      </c>
      <c r="B2385">
        <v>-15.580154629997599</v>
      </c>
      <c r="C2385">
        <v>6.5713314125829397E-2</v>
      </c>
      <c r="D2385">
        <v>0</v>
      </c>
      <c r="E2385">
        <v>0</v>
      </c>
      <c r="F2385">
        <v>0</v>
      </c>
      <c r="G2385" s="1">
        <v>7.7760401958144599E-5</v>
      </c>
      <c r="H2385">
        <v>0.82892530550577903</v>
      </c>
      <c r="I2385">
        <v>0</v>
      </c>
    </row>
    <row r="2386" spans="1:9" x14ac:dyDescent="0.25">
      <c r="A2386" s="1">
        <v>-27.4215984344482</v>
      </c>
      <c r="B2386">
        <v>-13.836244092151199</v>
      </c>
      <c r="C2386">
        <v>7.86649889612826E-2</v>
      </c>
      <c r="D2386">
        <v>0</v>
      </c>
      <c r="E2386">
        <v>0</v>
      </c>
      <c r="F2386">
        <v>0</v>
      </c>
      <c r="G2386">
        <v>1.0552507061998201E-4</v>
      </c>
      <c r="H2386">
        <v>0.83393223893164203</v>
      </c>
      <c r="I2386">
        <v>0</v>
      </c>
    </row>
    <row r="2387" spans="1:9" x14ac:dyDescent="0.25">
      <c r="A2387" s="1">
        <v>-24.248878359794599</v>
      </c>
      <c r="B2387">
        <v>-12.236129820175201</v>
      </c>
      <c r="C2387">
        <v>9.3760195313080802E-2</v>
      </c>
      <c r="D2387">
        <v>0</v>
      </c>
      <c r="E2387">
        <v>0</v>
      </c>
      <c r="F2387">
        <v>0</v>
      </c>
      <c r="G2387">
        <v>1.4301661871755301E-4</v>
      </c>
      <c r="H2387">
        <v>0.83928370666610597</v>
      </c>
      <c r="I2387">
        <v>0</v>
      </c>
    </row>
    <row r="2388" spans="1:9" x14ac:dyDescent="0.25">
      <c r="A2388" s="1">
        <v>-21.3381540775299</v>
      </c>
      <c r="B2388">
        <v>-10.767968441188</v>
      </c>
      <c r="C2388">
        <v>0.111281969921007</v>
      </c>
      <c r="D2388">
        <v>0</v>
      </c>
      <c r="E2388">
        <v>0</v>
      </c>
      <c r="F2388">
        <v>0</v>
      </c>
      <c r="G2388">
        <v>1.93867669945717E-4</v>
      </c>
      <c r="H2388">
        <v>0.84512697891585498</v>
      </c>
      <c r="I2388">
        <v>0</v>
      </c>
    </row>
    <row r="2389" spans="1:9" x14ac:dyDescent="0.25">
      <c r="A2389" s="1">
        <v>-18.6677181720733</v>
      </c>
      <c r="B2389">
        <v>-9.4208913412091402</v>
      </c>
      <c r="C2389">
        <v>0.131557731752968</v>
      </c>
      <c r="D2389">
        <v>0</v>
      </c>
      <c r="E2389">
        <v>0</v>
      </c>
      <c r="F2389">
        <v>0</v>
      </c>
      <c r="G2389">
        <v>2.6329534742821102E-4</v>
      </c>
      <c r="H2389">
        <v>0.85160483949264898</v>
      </c>
      <c r="I2389">
        <v>0</v>
      </c>
    </row>
    <row r="2390" spans="1:9" x14ac:dyDescent="0.25">
      <c r="A2390" s="1">
        <v>-16.2178409099578</v>
      </c>
      <c r="B2390">
        <v>-8.1849231740606108</v>
      </c>
      <c r="C2390">
        <v>0.15497370947050801</v>
      </c>
      <c r="D2390">
        <v>0</v>
      </c>
      <c r="E2390">
        <v>0</v>
      </c>
      <c r="F2390">
        <v>0</v>
      </c>
      <c r="G2390">
        <v>3.5889510475399701E-4</v>
      </c>
      <c r="H2390">
        <v>0.85883096494398603</v>
      </c>
      <c r="I2390">
        <v>0</v>
      </c>
    </row>
    <row r="2391" spans="1:9" x14ac:dyDescent="0.25">
      <c r="A2391" s="1">
        <v>-13.9702051877975</v>
      </c>
      <c r="B2391">
        <v>-7.0509055940580696</v>
      </c>
      <c r="C2391">
        <v>0.181994532737728</v>
      </c>
      <c r="D2391">
        <v>0</v>
      </c>
      <c r="E2391">
        <v>0</v>
      </c>
      <c r="F2391">
        <v>0</v>
      </c>
      <c r="G2391">
        <v>4.9184387696243404E-4</v>
      </c>
      <c r="H2391">
        <v>0.86686200117863599</v>
      </c>
      <c r="I2391">
        <v>0</v>
      </c>
    </row>
    <row r="2392" spans="1:9" x14ac:dyDescent="0.25">
      <c r="A2392" s="1">
        <v>-11.908189058303799</v>
      </c>
      <c r="B2392">
        <v>-6.0104382272024797</v>
      </c>
      <c r="C2392">
        <v>0.213189279452174</v>
      </c>
      <c r="D2392">
        <v>0</v>
      </c>
      <c r="E2392">
        <v>0</v>
      </c>
      <c r="F2392">
        <v>0</v>
      </c>
      <c r="G2392">
        <v>6.7872142668903704E-4</v>
      </c>
      <c r="H2392">
        <v>0.87567466976736796</v>
      </c>
      <c r="I2392">
        <v>0</v>
      </c>
    </row>
    <row r="2393" spans="1:9" x14ac:dyDescent="0.25">
      <c r="A2393" s="1">
        <v>-10.016394853591899</v>
      </c>
      <c r="B2393">
        <v>-5.0558097171743501</v>
      </c>
      <c r="C2393">
        <v>0.24926552581529299</v>
      </c>
      <c r="D2393">
        <v>0</v>
      </c>
      <c r="E2393">
        <v>0</v>
      </c>
      <c r="F2393">
        <v>0</v>
      </c>
      <c r="G2393">
        <v>9.4427949311182103E-4</v>
      </c>
      <c r="H2393">
        <v>0.88515686292236495</v>
      </c>
      <c r="I2393">
        <v>0</v>
      </c>
    </row>
    <row r="2394" spans="1:9" x14ac:dyDescent="0.25">
      <c r="A2394" s="1">
        <v>-8.2808375358581507</v>
      </c>
      <c r="B2394">
        <v>-4.1799423531775499</v>
      </c>
      <c r="C2394">
        <v>0.29111334853745002</v>
      </c>
      <c r="D2394">
        <v>0</v>
      </c>
      <c r="E2394">
        <v>0</v>
      </c>
      <c r="F2394">
        <v>0</v>
      </c>
      <c r="G2394">
        <v>1.32569339316262E-3</v>
      </c>
      <c r="H2394">
        <v>0.89511813926476402</v>
      </c>
      <c r="I2394">
        <v>0</v>
      </c>
    </row>
    <row r="2395" spans="1:9" x14ac:dyDescent="0.25">
      <c r="A2395" s="1">
        <v>-6.6885209083557102</v>
      </c>
      <c r="B2395">
        <v>-3.37634348870787</v>
      </c>
      <c r="C2395">
        <v>0.33986226571204198</v>
      </c>
      <c r="D2395">
        <v>0</v>
      </c>
      <c r="E2395">
        <v>0</v>
      </c>
      <c r="F2395">
        <v>0</v>
      </c>
      <c r="G2395">
        <v>1.87918398755414E-3</v>
      </c>
      <c r="H2395">
        <v>0.90531720328321796</v>
      </c>
      <c r="I2395">
        <v>0</v>
      </c>
    </row>
    <row r="2396" spans="1:9" x14ac:dyDescent="0.25">
      <c r="A2396" s="1">
        <v>-5.2277201414108196</v>
      </c>
      <c r="B2396">
        <v>-2.6390535648592901</v>
      </c>
      <c r="C2396">
        <v>0.396955614043978</v>
      </c>
      <c r="D2396">
        <v>0</v>
      </c>
      <c r="E2396">
        <v>0</v>
      </c>
      <c r="F2396">
        <v>0</v>
      </c>
      <c r="G2396">
        <v>2.69050956223281E-3</v>
      </c>
      <c r="H2396">
        <v>0.91549766387805798</v>
      </c>
      <c r="I2396">
        <v>0</v>
      </c>
    </row>
    <row r="2397" spans="1:9" x14ac:dyDescent="0.25">
      <c r="A2397" s="1">
        <v>-3.88755798339843</v>
      </c>
      <c r="B2397">
        <v>-1.96260432001735</v>
      </c>
      <c r="C2397">
        <v>0.46424967675961298</v>
      </c>
      <c r="D2397">
        <v>0</v>
      </c>
      <c r="E2397">
        <v>0</v>
      </c>
      <c r="F2397">
        <v>0</v>
      </c>
      <c r="G2397">
        <v>3.8918612599286402E-3</v>
      </c>
      <c r="H2397">
        <v>0.92542044362428799</v>
      </c>
      <c r="I2397">
        <v>0</v>
      </c>
    </row>
    <row r="2398" spans="1:9" x14ac:dyDescent="0.25">
      <c r="A2398" s="1">
        <v>-2.6580518484115601</v>
      </c>
      <c r="B2398">
        <v>-1.3419776525261899</v>
      </c>
      <c r="C2398">
        <v>0.54414813131141104</v>
      </c>
      <c r="D2398">
        <v>0</v>
      </c>
      <c r="E2398">
        <v>0</v>
      </c>
      <c r="F2398">
        <v>0</v>
      </c>
      <c r="G2398">
        <v>5.6893734495633902E-3</v>
      </c>
      <c r="H2398">
        <v>0.93488423964923595</v>
      </c>
      <c r="I2398">
        <v>0</v>
      </c>
    </row>
    <row r="2399" spans="1:9" x14ac:dyDescent="0.25">
      <c r="A2399" s="1">
        <v>-1.5300196409225399</v>
      </c>
      <c r="B2399">
        <v>-0.77256957654908098</v>
      </c>
      <c r="C2399">
        <v>0.63978916381446804</v>
      </c>
      <c r="D2399">
        <v>0</v>
      </c>
      <c r="E2399">
        <v>0</v>
      </c>
      <c r="F2399">
        <v>0</v>
      </c>
      <c r="G2399">
        <v>8.40833584255961E-3</v>
      </c>
      <c r="H2399">
        <v>0.94373340184048504</v>
      </c>
      <c r="I2399">
        <v>0</v>
      </c>
    </row>
    <row r="2400" spans="1:9" x14ac:dyDescent="0.25">
      <c r="A2400" s="1">
        <v>-0.49517393112182601</v>
      </c>
      <c r="B2400">
        <v>-0.25015483090255197</v>
      </c>
      <c r="C2400">
        <v>0.755302167949505</v>
      </c>
      <c r="D2400">
        <v>0</v>
      </c>
      <c r="E2400">
        <v>0</v>
      </c>
      <c r="F2400">
        <v>0</v>
      </c>
      <c r="G2400">
        <v>1.2726318528693799E-2</v>
      </c>
      <c r="H2400">
        <v>0.95245725818718696</v>
      </c>
      <c r="I2400">
        <v>0</v>
      </c>
    </row>
    <row r="2401" spans="1:9" x14ac:dyDescent="0.25">
      <c r="A2401" s="1">
        <v>0.49376130104064903</v>
      </c>
      <c r="B2401">
        <v>0.352324461258744</v>
      </c>
      <c r="C2401">
        <v>0.93930517199108798</v>
      </c>
      <c r="D2401">
        <v>0.138509449343583</v>
      </c>
      <c r="E2401">
        <v>-2.1922074774893401E-4</v>
      </c>
      <c r="F2401" s="1">
        <v>1.5266869731053401E-5</v>
      </c>
      <c r="G2401">
        <v>6.7943491604175399E-2</v>
      </c>
      <c r="H2401">
        <v>0.97558709088175999</v>
      </c>
      <c r="I2401" s="1">
        <v>8.7976965697550505E-7</v>
      </c>
    </row>
    <row r="2402" spans="1:9" x14ac:dyDescent="0.25">
      <c r="A2402" s="1">
        <v>1.5257111191749499</v>
      </c>
      <c r="B2402">
        <v>1.08814917778063</v>
      </c>
      <c r="C2402">
        <v>1.2591109447334701</v>
      </c>
      <c r="D2402">
        <v>0.55513725976109696</v>
      </c>
      <c r="E2402">
        <v>-2.5093586038673699E-3</v>
      </c>
      <c r="F2402">
        <v>1.10179000340936E-4</v>
      </c>
      <c r="G2402">
        <v>7.9547586470109996E-2</v>
      </c>
      <c r="H2402">
        <v>0.96877129624876102</v>
      </c>
      <c r="I2402" s="1">
        <v>2.55859658161193E-5</v>
      </c>
    </row>
    <row r="2403" spans="1:9" x14ac:dyDescent="0.25">
      <c r="A2403" s="1">
        <v>2.6505178213119498</v>
      </c>
      <c r="B2403">
        <v>1.8852697611639999</v>
      </c>
      <c r="C2403">
        <v>1.73786323322326</v>
      </c>
      <c r="D2403">
        <v>1.2075506645448599</v>
      </c>
      <c r="E2403">
        <v>-1.14091437308315E-2</v>
      </c>
      <c r="F2403">
        <v>3.0406101577089002E-4</v>
      </c>
      <c r="G2403">
        <v>8.92374386997732E-2</v>
      </c>
      <c r="H2403">
        <v>0.95762620505879503</v>
      </c>
      <c r="I2403">
        <v>1.2598776550106001E-4</v>
      </c>
    </row>
    <row r="2404" spans="1:9" x14ac:dyDescent="0.25">
      <c r="A2404" s="1">
        <v>3.8765159249305698</v>
      </c>
      <c r="B2404">
        <v>2.7403869320026399</v>
      </c>
      <c r="C2404">
        <v>2.4070881822082799</v>
      </c>
      <c r="D2404">
        <v>2.1276776481487798</v>
      </c>
      <c r="E2404">
        <v>-3.1967113758340597E-2</v>
      </c>
      <c r="F2404">
        <v>5.9458341770247405E-4</v>
      </c>
      <c r="G2404">
        <v>9.5807734305962705E-2</v>
      </c>
      <c r="H2404">
        <v>0.94077575848974704</v>
      </c>
      <c r="I2404">
        <v>2.9899648949349901E-4</v>
      </c>
    </row>
    <row r="2405" spans="1:9" x14ac:dyDescent="0.25">
      <c r="A2405" s="1">
        <v>5.2129346132278398</v>
      </c>
      <c r="B2405">
        <v>3.6432053870840702</v>
      </c>
      <c r="C2405">
        <v>3.2649682618774398</v>
      </c>
      <c r="D2405">
        <v>3.2878910743209602</v>
      </c>
      <c r="E2405">
        <v>-6.9457600562926505E-2</v>
      </c>
      <c r="F2405">
        <v>9.4344158475020003E-4</v>
      </c>
      <c r="G2405">
        <v>9.7907702611186406E-2</v>
      </c>
      <c r="H2405">
        <v>0.91616386116750603</v>
      </c>
      <c r="I2405">
        <v>5.7738260687274702E-4</v>
      </c>
    </row>
    <row r="2406" spans="1:9" x14ac:dyDescent="0.25">
      <c r="A2406" s="1">
        <v>6.6695916652679399</v>
      </c>
      <c r="B2406">
        <v>4.5749398612270804</v>
      </c>
      <c r="C2406">
        <v>4.2526280390665301</v>
      </c>
      <c r="D2406">
        <v>4.5718038459976498</v>
      </c>
      <c r="E2406">
        <v>-0.12673147825474901</v>
      </c>
      <c r="F2406">
        <v>1.2729013595296399E-3</v>
      </c>
      <c r="G2406">
        <v>9.6600856805668406E-2</v>
      </c>
      <c r="H2406">
        <v>0.88314468898773102</v>
      </c>
      <c r="I2406">
        <v>1.3352384879577301E-3</v>
      </c>
    </row>
    <row r="2407" spans="1:9" x14ac:dyDescent="0.25">
      <c r="A2407" s="1">
        <v>8.2573878765106201</v>
      </c>
      <c r="B2407">
        <v>5.50940872736673</v>
      </c>
      <c r="C2407">
        <v>5.2537633462388103</v>
      </c>
      <c r="D2407">
        <v>5.7934702123088702</v>
      </c>
      <c r="E2407">
        <v>-0.20207130018567401</v>
      </c>
      <c r="F2407">
        <v>1.49112916792369E-3</v>
      </c>
      <c r="G2407">
        <v>9.5204422896438504E-2</v>
      </c>
      <c r="H2407">
        <v>0.84525670300227496</v>
      </c>
      <c r="I2407">
        <v>3.5883924513759199E-3</v>
      </c>
    </row>
    <row r="2408" spans="1:9" x14ac:dyDescent="0.25">
      <c r="A2408" s="1">
        <v>9.9880245327949506</v>
      </c>
      <c r="B2408">
        <v>6.4174880596662698</v>
      </c>
      <c r="C2408">
        <v>6.1314305227319803</v>
      </c>
      <c r="D2408">
        <v>6.7694279203027099</v>
      </c>
      <c r="E2408">
        <v>-0.28911022042727302</v>
      </c>
      <c r="F2408">
        <v>1.5244963857540699E-3</v>
      </c>
      <c r="G2408">
        <v>9.66110910698431E-2</v>
      </c>
      <c r="H2408">
        <v>0.80935335747892201</v>
      </c>
      <c r="I2408">
        <v>7.6167785727426799E-3</v>
      </c>
    </row>
    <row r="2409" spans="1:9" x14ac:dyDescent="0.25">
      <c r="A2409" s="1">
        <v>11.874474287032999</v>
      </c>
      <c r="B2409">
        <v>7.2736371898877197</v>
      </c>
      <c r="C2409">
        <v>6.7815053115049997</v>
      </c>
      <c r="D2409">
        <v>7.39227521811892</v>
      </c>
      <c r="E2409">
        <v>-0.37939844819165802</v>
      </c>
      <c r="F2409">
        <v>1.3651960500946001E-3</v>
      </c>
      <c r="G2409">
        <v>0.100714592975979</v>
      </c>
      <c r="H2409">
        <v>0.779352664194081</v>
      </c>
      <c r="I2409">
        <v>1.0787278780722E-2</v>
      </c>
    </row>
    <row r="2410" spans="1:9" x14ac:dyDescent="0.25">
      <c r="A2410" s="1">
        <v>13.9306750893592</v>
      </c>
      <c r="B2410">
        <v>8.06094984950896</v>
      </c>
      <c r="C2410">
        <v>7.16267896826204</v>
      </c>
      <c r="D2410">
        <v>7.6513592783064599</v>
      </c>
      <c r="E2410">
        <v>-0.465566263124358</v>
      </c>
      <c r="F2410">
        <v>1.08316520517205E-3</v>
      </c>
      <c r="G2410">
        <v>0.10507439748545901</v>
      </c>
      <c r="H2410">
        <v>0.75409491006490503</v>
      </c>
      <c r="I2410">
        <v>1.02515167494841E-2</v>
      </c>
    </row>
    <row r="2411" spans="1:9" x14ac:dyDescent="0.25">
      <c r="A2411" s="1">
        <v>16.171883344650201</v>
      </c>
      <c r="B2411">
        <v>8.7722673590148599</v>
      </c>
      <c r="C2411">
        <v>7.2896302208539696</v>
      </c>
      <c r="D2411">
        <v>7.6030504754126902</v>
      </c>
      <c r="E2411">
        <v>-0.54290033593778098</v>
      </c>
      <c r="F2411">
        <v>7.9874207546547801E-4</v>
      </c>
      <c r="G2411">
        <v>0.10733693371676301</v>
      </c>
      <c r="H2411">
        <v>0.73094045559352605</v>
      </c>
      <c r="I2411">
        <v>6.2113773701777701E-3</v>
      </c>
    </row>
    <row r="2412" spans="1:9" x14ac:dyDescent="0.25">
      <c r="A2412" s="1">
        <v>18.614838719367899</v>
      </c>
      <c r="B2412">
        <v>9.4081042615550405</v>
      </c>
      <c r="C2412">
        <v>7.2082396793388401</v>
      </c>
      <c r="D2412">
        <v>7.3289861942782304</v>
      </c>
      <c r="E2412">
        <v>-0.60927771318669999</v>
      </c>
      <c r="F2412">
        <v>6.37856566516431E-4</v>
      </c>
      <c r="G2412">
        <v>0.106557101860278</v>
      </c>
      <c r="H2412">
        <v>0.70819555361150499</v>
      </c>
      <c r="I2412">
        <v>7.3134343064609395E-4</v>
      </c>
    </row>
    <row r="2413" spans="1:9" x14ac:dyDescent="0.25">
      <c r="A2413" s="1">
        <v>21.2777170538902</v>
      </c>
      <c r="B2413">
        <v>9.9736180033388298</v>
      </c>
      <c r="C2413">
        <v>6.9733657269724896</v>
      </c>
      <c r="D2413">
        <v>6.9079021456297696</v>
      </c>
      <c r="E2413">
        <v>-0.66438802453908896</v>
      </c>
      <c r="F2413">
        <v>6.9131261938624403E-4</v>
      </c>
      <c r="G2413">
        <v>0.103033225542267</v>
      </c>
      <c r="H2413">
        <v>0.68528033817612599</v>
      </c>
      <c r="I2413">
        <v>-4.43183968794429E-3</v>
      </c>
    </row>
    <row r="2414" spans="1:9" x14ac:dyDescent="0.25">
      <c r="A2414" s="1">
        <v>24.180224537849401</v>
      </c>
      <c r="B2414">
        <v>10.4761192761215</v>
      </c>
      <c r="C2414">
        <v>6.63611208293948</v>
      </c>
      <c r="D2414">
        <v>6.4037741120298399</v>
      </c>
      <c r="E2414">
        <v>-0.70893342323461495</v>
      </c>
      <c r="F2414">
        <v>9.9371946236171804E-4</v>
      </c>
      <c r="G2414">
        <v>9.7599541276070303E-2</v>
      </c>
      <c r="H2414">
        <v>0.66224004764099498</v>
      </c>
      <c r="I2414">
        <v>-8.4818080297734393E-3</v>
      </c>
    </row>
    <row r="2415" spans="1:9" x14ac:dyDescent="0.25">
      <c r="A2415" s="1">
        <v>27.343950867652801</v>
      </c>
      <c r="B2415">
        <v>10.923551372424001</v>
      </c>
      <c r="C2415">
        <v>6.2388015541380399</v>
      </c>
      <c r="D2415">
        <v>5.8640204488347596</v>
      </c>
      <c r="E2415">
        <v>-0.74405293884686097</v>
      </c>
      <c r="F2415">
        <v>1.4725930953788601E-3</v>
      </c>
      <c r="G2415">
        <v>9.10673051939834E-2</v>
      </c>
      <c r="H2415">
        <v>0.63940212184148304</v>
      </c>
      <c r="I2415">
        <v>-1.12772201442714E-2</v>
      </c>
    </row>
    <row r="2416" spans="1:9" x14ac:dyDescent="0.25">
      <c r="A2416" s="1">
        <v>30.7923927903175</v>
      </c>
      <c r="B2416">
        <v>11.3237332586052</v>
      </c>
      <c r="C2416">
        <v>5.8140895888081099</v>
      </c>
      <c r="D2416">
        <v>5.3218498638509599</v>
      </c>
      <c r="E2416">
        <v>-0.77099052462069895</v>
      </c>
      <c r="F2416">
        <v>2.0359489235525999E-3</v>
      </c>
      <c r="G2416">
        <v>8.40134196790112E-2</v>
      </c>
      <c r="H2416">
        <v>0.61719861306034196</v>
      </c>
      <c r="I2416">
        <v>-1.29389607221801E-2</v>
      </c>
    </row>
    <row r="2417" spans="1:9" x14ac:dyDescent="0.25">
      <c r="A2417" s="1">
        <v>34.551213085651298</v>
      </c>
      <c r="B2417">
        <v>11.683985551618299</v>
      </c>
      <c r="C2417">
        <v>5.3857345520747097</v>
      </c>
      <c r="D2417">
        <v>4.7992130502571397</v>
      </c>
      <c r="E2417">
        <v>-0.79093842989348595</v>
      </c>
      <c r="F2417">
        <v>2.6336669044271801E-3</v>
      </c>
      <c r="G2417">
        <v>7.6785082394787804E-2</v>
      </c>
      <c r="H2417">
        <v>0.59606398039493302</v>
      </c>
      <c r="I2417">
        <v>-1.36581118532934E-2</v>
      </c>
    </row>
    <row r="2418" spans="1:9" x14ac:dyDescent="0.25">
      <c r="A2418" s="1">
        <v>38.6483111977577</v>
      </c>
      <c r="B2418">
        <v>12.010938283600099</v>
      </c>
      <c r="C2418">
        <v>4.9698922008953001</v>
      </c>
      <c r="D2418">
        <v>4.3096649421598503</v>
      </c>
      <c r="E2418">
        <v>-0.80493413175347395</v>
      </c>
      <c r="F2418">
        <v>3.13387393826572E-3</v>
      </c>
      <c r="G2418">
        <v>6.9595290650289299E-2</v>
      </c>
      <c r="H2418">
        <v>0.57641855434565004</v>
      </c>
      <c r="I2418">
        <v>-1.36329110605929E-2</v>
      </c>
    </row>
    <row r="2419" spans="1:9" x14ac:dyDescent="0.25">
      <c r="A2419" s="1">
        <v>43.1141293048858</v>
      </c>
      <c r="B2419">
        <v>12.310482843019299</v>
      </c>
      <c r="C2419">
        <v>4.5767080255897099</v>
      </c>
      <c r="D2419">
        <v>3.8607945093408298</v>
      </c>
      <c r="E2419">
        <v>-0.81383026143426196</v>
      </c>
      <c r="F2419">
        <v>3.4890870252438201E-3</v>
      </c>
      <c r="G2419">
        <v>6.2586393097341805E-2</v>
      </c>
      <c r="H2419">
        <v>0.55855271463271206</v>
      </c>
      <c r="I2419">
        <v>-1.30505719637935E-2</v>
      </c>
    </row>
    <row r="2420" spans="1:9" x14ac:dyDescent="0.25">
      <c r="A2420" s="1">
        <v>47.981887757778097</v>
      </c>
      <c r="B2420">
        <v>12.587675856970501</v>
      </c>
      <c r="C2420">
        <v>4.2118955707530104</v>
      </c>
      <c r="D2420">
        <v>3.4560865927551201</v>
      </c>
      <c r="E2420">
        <v>-0.81833969782541804</v>
      </c>
      <c r="F2420">
        <v>3.6421090155698702E-3</v>
      </c>
      <c r="G2420">
        <v>5.5856978603844497E-2</v>
      </c>
      <c r="H2420">
        <v>0.54249634862722096</v>
      </c>
      <c r="I2420">
        <v>-1.20913331655156E-2</v>
      </c>
    </row>
    <row r="2421" spans="1:9" x14ac:dyDescent="0.25">
      <c r="A2421" s="1">
        <v>53.287820518016801</v>
      </c>
      <c r="B2421">
        <v>12.846753817782</v>
      </c>
      <c r="C2421">
        <v>3.8776858313374998</v>
      </c>
      <c r="D2421">
        <v>3.0956553666297602</v>
      </c>
      <c r="E2421">
        <v>-0.81900292156976695</v>
      </c>
      <c r="F2421">
        <v>3.53670541427327E-3</v>
      </c>
      <c r="G2421">
        <v>4.9509286137438303E-2</v>
      </c>
      <c r="H2421">
        <v>0.52824115293320495</v>
      </c>
      <c r="I2421">
        <v>-1.0918502078152001E-2</v>
      </c>
    </row>
    <row r="2422" spans="1:9" x14ac:dyDescent="0.25">
      <c r="A2422" s="1">
        <v>59.071175158023799</v>
      </c>
      <c r="B2422">
        <v>13.0912605434509</v>
      </c>
      <c r="C2422">
        <v>3.5740893943398802</v>
      </c>
      <c r="D2422">
        <v>2.7774215573421301</v>
      </c>
      <c r="E2422">
        <v>-0.81623294184685302</v>
      </c>
      <c r="F2422">
        <v>3.12498283020222E-3</v>
      </c>
      <c r="G2422">
        <v>4.3644557201043398E-2</v>
      </c>
      <c r="H2422">
        <v>0.515685739265906</v>
      </c>
      <c r="I2422">
        <v>-9.6851144148043296E-3</v>
      </c>
    </row>
    <row r="2423" spans="1:9" x14ac:dyDescent="0.25">
      <c r="A2423" s="1">
        <v>65.375131070613804</v>
      </c>
      <c r="B2423">
        <v>13.324111952618001</v>
      </c>
      <c r="C2423">
        <v>3.2999846103805002</v>
      </c>
      <c r="D2423">
        <v>2.4985115765616701</v>
      </c>
      <c r="E2423">
        <v>-0.81033832776659598</v>
      </c>
      <c r="F2423">
        <v>2.4978004046377002E-3</v>
      </c>
      <c r="G2423">
        <v>3.8314912281198099E-2</v>
      </c>
      <c r="H2423">
        <v>0.50443726904050101</v>
      </c>
      <c r="I2423">
        <v>-8.4909930399058604E-3</v>
      </c>
    </row>
    <row r="2424" spans="1:9" x14ac:dyDescent="0.25">
      <c r="A2424" s="1">
        <v>72.246375679969702</v>
      </c>
      <c r="B2424">
        <v>13.547709943153199</v>
      </c>
      <c r="C2424">
        <v>3.0529670866692999</v>
      </c>
      <c r="D2424">
        <v>2.2550585040069002</v>
      </c>
      <c r="E2424">
        <v>-0.801557989167616</v>
      </c>
      <c r="F2424">
        <v>1.7571585378483301E-3</v>
      </c>
      <c r="G2424">
        <v>3.3546777367985399E-2</v>
      </c>
      <c r="H2424">
        <v>0.49422157025402402</v>
      </c>
      <c r="I2424">
        <v>-7.3978638573883896E-3</v>
      </c>
    </row>
    <row r="2425" spans="1:9" x14ac:dyDescent="0.25">
      <c r="A2425" s="1">
        <v>79.736069738864799</v>
      </c>
      <c r="B2425">
        <v>13.7640332860725</v>
      </c>
      <c r="C2425">
        <v>2.82985214014623</v>
      </c>
      <c r="D2425">
        <v>2.0425318746883501</v>
      </c>
      <c r="E2425">
        <v>-0.79003110361391904</v>
      </c>
      <c r="F2425">
        <v>1.0893668365894501E-3</v>
      </c>
      <c r="G2425">
        <v>2.9302760408744102E-2</v>
      </c>
      <c r="H2425">
        <v>0.484598196205828</v>
      </c>
      <c r="I2425">
        <v>-6.4149451184975304E-3</v>
      </c>
    </row>
    <row r="2426" spans="1:9" x14ac:dyDescent="0.25">
      <c r="A2426" s="1">
        <v>87.899753153324099</v>
      </c>
      <c r="B2426">
        <v>13.9746606102066</v>
      </c>
      <c r="C2426">
        <v>2.6271452034966098</v>
      </c>
      <c r="D2426">
        <v>1.8563829165224299</v>
      </c>
      <c r="E2426">
        <v>-0.77580089462894097</v>
      </c>
      <c r="F2426">
        <v>7.0130966355312499E-4</v>
      </c>
      <c r="G2426">
        <v>2.5547059052086998E-2</v>
      </c>
      <c r="H2426">
        <v>0.47545635739845299</v>
      </c>
      <c r="I2426">
        <v>-5.5505417071040298E-3</v>
      </c>
    </row>
    <row r="2427" spans="1:9" x14ac:dyDescent="0.25">
      <c r="A2427" s="1">
        <v>96.798263192176805</v>
      </c>
      <c r="B2427">
        <v>14.180837266691199</v>
      </c>
      <c r="C2427">
        <v>2.4416441394225998</v>
      </c>
      <c r="D2427">
        <v>1.69265292265858</v>
      </c>
      <c r="E2427">
        <v>-0.75894364119739299</v>
      </c>
      <c r="F2427">
        <v>7.6316027428059599E-4</v>
      </c>
      <c r="G2427">
        <v>2.2235503884649E-2</v>
      </c>
      <c r="H2427">
        <v>0.46656395440773302</v>
      </c>
      <c r="I2427">
        <v>-4.7951039070298499E-3</v>
      </c>
    </row>
    <row r="2428" spans="1:9" x14ac:dyDescent="0.25">
      <c r="A2428" s="1">
        <v>106.497616767883</v>
      </c>
      <c r="B2428">
        <v>14.3836174160095</v>
      </c>
      <c r="C2428">
        <v>2.27014609528876</v>
      </c>
      <c r="D2428">
        <v>1.54756631713392</v>
      </c>
      <c r="E2428">
        <v>-0.73937460459311299</v>
      </c>
      <c r="F2428">
        <v>1.0172798856230699E-3</v>
      </c>
      <c r="G2428">
        <v>1.9329054775370301E-2</v>
      </c>
      <c r="H2428">
        <v>0.45788228657625302</v>
      </c>
      <c r="I2428">
        <v>-4.1416268651478698E-3</v>
      </c>
    </row>
    <row r="2429" spans="1:9" x14ac:dyDescent="0.25">
      <c r="A2429" s="1">
        <v>117.06990510225199</v>
      </c>
      <c r="B2429">
        <v>14.584155515380401</v>
      </c>
      <c r="C2429">
        <v>2.1088107095775102</v>
      </c>
      <c r="D2429">
        <v>1.4170537816677</v>
      </c>
      <c r="E2429">
        <v>-0.71685637240391897</v>
      </c>
      <c r="F2429">
        <v>1.2081184294663099E-3</v>
      </c>
      <c r="G2429">
        <v>1.6785876928219201E-2</v>
      </c>
      <c r="H2429">
        <v>0.450033680081948</v>
      </c>
      <c r="I2429">
        <v>-3.5777530981468599E-3</v>
      </c>
    </row>
    <row r="2430" spans="1:9" x14ac:dyDescent="0.25">
      <c r="A2430" s="1">
        <v>128.593670427799</v>
      </c>
      <c r="B2430">
        <v>14.783401249520701</v>
      </c>
      <c r="C2430">
        <v>1.9557151547809299</v>
      </c>
      <c r="D2430">
        <v>1.29858202202664</v>
      </c>
      <c r="E2430">
        <v>-0.69142298241878397</v>
      </c>
      <c r="F2430">
        <v>1.5290782256999699E-3</v>
      </c>
      <c r="G2430">
        <v>1.4531566436206801E-2</v>
      </c>
      <c r="H2430">
        <v>0.44262455560975</v>
      </c>
      <c r="I2430">
        <v>-3.07460229244813E-3</v>
      </c>
    </row>
    <row r="2431" spans="1:9" x14ac:dyDescent="0.25">
      <c r="A2431" s="1">
        <v>141.15461230278001</v>
      </c>
      <c r="B2431">
        <v>14.981794461407</v>
      </c>
      <c r="C2431">
        <v>1.8090330309014899</v>
      </c>
      <c r="D2431">
        <v>1.1897653575667799</v>
      </c>
      <c r="E2431">
        <v>-0.66285552052947905</v>
      </c>
      <c r="F2431">
        <v>2.1790340507862899E-3</v>
      </c>
      <c r="G2431">
        <v>1.2517472657582299E-2</v>
      </c>
      <c r="H2431">
        <v>0.43543493095590402</v>
      </c>
      <c r="I2431">
        <v>-2.6233189350523402E-3</v>
      </c>
    </row>
    <row r="2432" spans="1:9" x14ac:dyDescent="0.25">
      <c r="A2432" s="1">
        <v>154.84601140022201</v>
      </c>
      <c r="B2432">
        <v>15.1791314232948</v>
      </c>
      <c r="C2432">
        <v>1.6673413883563</v>
      </c>
      <c r="D2432">
        <v>1.08859108037348</v>
      </c>
      <c r="E2432">
        <v>-0.63098024486815896</v>
      </c>
      <c r="F2432">
        <v>2.2989036786979201E-3</v>
      </c>
      <c r="G2432">
        <v>1.0708669320552099E-2</v>
      </c>
      <c r="H2432">
        <v>0.42795914355236803</v>
      </c>
      <c r="I2432">
        <v>-2.2170003004039198E-3</v>
      </c>
    </row>
    <row r="2433" spans="1:9" x14ac:dyDescent="0.25">
      <c r="A2433" s="1">
        <v>169.76969480514501</v>
      </c>
      <c r="B2433">
        <v>15.375356763027799</v>
      </c>
      <c r="C2433">
        <v>1.52837790040554</v>
      </c>
      <c r="D2433">
        <v>0.99271020264378995</v>
      </c>
      <c r="E2433">
        <v>-0.59533233854529299</v>
      </c>
      <c r="F2433">
        <v>1.9112985163946699E-3</v>
      </c>
      <c r="G2433">
        <v>9.08864933607899E-3</v>
      </c>
      <c r="H2433">
        <v>0.42048091202728599</v>
      </c>
      <c r="I2433">
        <v>-1.8526776084663099E-3</v>
      </c>
    </row>
    <row r="2434" spans="1:9" x14ac:dyDescent="0.25">
      <c r="A2434" s="1">
        <v>186.03645980358101</v>
      </c>
      <c r="B2434">
        <v>15.570989725165299</v>
      </c>
      <c r="C2434">
        <v>1.39032260509023</v>
      </c>
      <c r="D2434">
        <v>0.90032534662921204</v>
      </c>
      <c r="E2434">
        <v>-0.55543097379428996</v>
      </c>
      <c r="F2434">
        <v>1.7400022029931E-3</v>
      </c>
      <c r="G2434">
        <v>7.6384971428595204E-3</v>
      </c>
      <c r="H2434">
        <v>0.413550724477867</v>
      </c>
      <c r="I2434">
        <v>-1.5291461475238301E-3</v>
      </c>
    </row>
    <row r="2435" spans="1:9" x14ac:dyDescent="0.25">
      <c r="A2435" s="1">
        <v>203.76720398664401</v>
      </c>
      <c r="B2435">
        <v>15.765573750607899</v>
      </c>
      <c r="C2435">
        <v>1.2531172739285501</v>
      </c>
      <c r="D2435">
        <v>0.809929150331681</v>
      </c>
      <c r="E2435">
        <v>-0.51116742851580499</v>
      </c>
      <c r="F2435">
        <v>1.5327244856385501E-3</v>
      </c>
      <c r="G2435">
        <v>6.3336542471951101E-3</v>
      </c>
      <c r="H2435">
        <v>0.40624628737129898</v>
      </c>
      <c r="I2435">
        <v>-1.24034240119379E-3</v>
      </c>
    </row>
    <row r="2436" spans="1:9" x14ac:dyDescent="0.25">
      <c r="A2436" s="1">
        <v>223.09376105666101</v>
      </c>
      <c r="B2436">
        <v>15.9574539432155</v>
      </c>
      <c r="C2436">
        <v>1.1158758182173301</v>
      </c>
      <c r="D2436">
        <v>0.72041402030220203</v>
      </c>
      <c r="E2436">
        <v>-0.46208314363743103</v>
      </c>
      <c r="F2436">
        <v>1.22925771040375E-3</v>
      </c>
      <c r="G2436">
        <v>5.1489243336384103E-3</v>
      </c>
      <c r="H2436">
        <v>0.39883647228345498</v>
      </c>
      <c r="I2436">
        <v>-9.7622032563556504E-4</v>
      </c>
    </row>
    <row r="2437" spans="1:9" x14ac:dyDescent="0.25">
      <c r="A2437" s="1">
        <v>244.15970131754801</v>
      </c>
      <c r="B2437">
        <v>16.1452334619912</v>
      </c>
      <c r="C2437">
        <v>0.97768253427618201</v>
      </c>
      <c r="D2437">
        <v>0.63026347102955305</v>
      </c>
      <c r="E2437">
        <v>-0.40757732741317398</v>
      </c>
      <c r="F2437">
        <v>4.5263253143487198E-4</v>
      </c>
      <c r="G2437">
        <v>4.0845334333647603E-3</v>
      </c>
      <c r="H2437">
        <v>0.39196374730817701</v>
      </c>
      <c r="I2437">
        <v>-7.4077620299577498E-4</v>
      </c>
    </row>
    <row r="2438" spans="1:9" x14ac:dyDescent="0.25">
      <c r="A2438" s="1">
        <v>267.12157949805197</v>
      </c>
      <c r="B2438">
        <v>16.326065342299898</v>
      </c>
      <c r="C2438">
        <v>0.83943745989173002</v>
      </c>
      <c r="D2438">
        <v>0.540044881615661</v>
      </c>
      <c r="E2438">
        <v>-0.34728709982447697</v>
      </c>
      <c r="F2438">
        <v>-5.55007413167045E-4</v>
      </c>
      <c r="G2438">
        <v>3.15083655511591E-3</v>
      </c>
      <c r="H2438">
        <v>0.386087620202411</v>
      </c>
      <c r="I2438">
        <v>-5.4191060900953502E-4</v>
      </c>
    </row>
    <row r="2439" spans="1:9" x14ac:dyDescent="0.25">
      <c r="A2439" s="1">
        <v>292.15002954006098</v>
      </c>
      <c r="B2439">
        <v>16.495191757738802</v>
      </c>
      <c r="C2439">
        <v>0.70156943996391596</v>
      </c>
      <c r="D2439">
        <v>0.44888604165740198</v>
      </c>
      <c r="E2439">
        <v>-0.28070549408892997</v>
      </c>
      <c r="F2439">
        <v>-1.1257445931243701E-3</v>
      </c>
      <c r="G2439">
        <v>2.3529246162644199E-3</v>
      </c>
      <c r="H2439">
        <v>0.38244642229620401</v>
      </c>
      <c r="I2439">
        <v>-3.8101536438541199E-4</v>
      </c>
    </row>
    <row r="2440" spans="1:9" x14ac:dyDescent="0.25">
      <c r="A2440" s="1">
        <v>319.43101242184599</v>
      </c>
      <c r="B2440">
        <v>16.643116905898101</v>
      </c>
      <c r="C2440">
        <v>0.57137141300699301</v>
      </c>
      <c r="D2440">
        <v>0.36122494304646602</v>
      </c>
      <c r="E2440">
        <v>-0.20750061715469101</v>
      </c>
      <c r="F2440">
        <v>-8.5746923482132495E-4</v>
      </c>
      <c r="G2440">
        <v>1.7077039572890699E-3</v>
      </c>
      <c r="H2440">
        <v>0.38235231925426699</v>
      </c>
      <c r="I2440">
        <v>-2.6272239468495199E-4</v>
      </c>
    </row>
    <row r="2441" spans="1:9" x14ac:dyDescent="0.25">
      <c r="A2441" s="1">
        <v>349.16732590645501</v>
      </c>
      <c r="B2441">
        <v>16.757874132491899</v>
      </c>
      <c r="C2441">
        <v>0.46314566045217398</v>
      </c>
      <c r="D2441">
        <v>0.286277315668378</v>
      </c>
      <c r="E2441">
        <v>-0.12636701226862801</v>
      </c>
      <c r="F2441">
        <v>-1.00055740301648E-3</v>
      </c>
      <c r="G2441">
        <v>1.26217418956618E-3</v>
      </c>
      <c r="H2441">
        <v>0.38696508991083001</v>
      </c>
      <c r="I2441">
        <v>-1.92458762944141E-4</v>
      </c>
    </row>
    <row r="2442" spans="1:9" x14ac:dyDescent="0.25">
      <c r="A2442" s="1">
        <v>379.83785875141598</v>
      </c>
      <c r="B2442">
        <v>16.8184700770157</v>
      </c>
      <c r="C2442">
        <v>0.40131144784658801</v>
      </c>
      <c r="D2442">
        <v>0.24253410065755901</v>
      </c>
      <c r="E2442">
        <v>-4.1761528620867003E-2</v>
      </c>
      <c r="F2442">
        <v>-1.3390287246102201E-3</v>
      </c>
      <c r="G2442">
        <v>1.0303137089244601E-3</v>
      </c>
      <c r="H2442">
        <v>0.40784107086126897</v>
      </c>
      <c r="I2442">
        <v>-1.5261029830017399E-4</v>
      </c>
    </row>
    <row r="2443" spans="1:9" x14ac:dyDescent="0.25">
      <c r="A2443" s="1" t="s">
        <v>556</v>
      </c>
      <c r="B2443" s="1" t="s">
        <v>614</v>
      </c>
      <c r="C2443" s="1" t="s">
        <v>615</v>
      </c>
      <c r="D2443" s="1" t="s">
        <v>616</v>
      </c>
      <c r="E2443" s="1" t="s">
        <v>617</v>
      </c>
      <c r="F2443" s="1" t="s">
        <v>618</v>
      </c>
      <c r="G2443" s="1" t="s">
        <v>400</v>
      </c>
      <c r="H2443" s="1" t="s">
        <v>619</v>
      </c>
      <c r="I2443" s="1" t="s">
        <v>613</v>
      </c>
    </row>
    <row r="2444" spans="1:9" x14ac:dyDescent="0.25">
      <c r="A2444" s="1">
        <v>-141.555516719818</v>
      </c>
      <c r="B2444">
        <v>-142.409581983008</v>
      </c>
      <c r="C2444">
        <v>8.8809114551095299E-3</v>
      </c>
      <c r="D2444">
        <v>0</v>
      </c>
      <c r="E2444">
        <v>0</v>
      </c>
      <c r="F2444">
        <v>0</v>
      </c>
      <c r="G2444" s="1">
        <v>4.3183407905544799E-7</v>
      </c>
      <c r="H2444">
        <v>6.5660484168583597E-2</v>
      </c>
      <c r="I2444">
        <v>0</v>
      </c>
    </row>
    <row r="2445" spans="1:9" x14ac:dyDescent="0.25">
      <c r="A2445" s="1">
        <v>-128.95890593528699</v>
      </c>
      <c r="B2445">
        <v>-129.75729921153999</v>
      </c>
      <c r="C2445">
        <v>9.1018127402048704E-3</v>
      </c>
      <c r="D2445">
        <v>0</v>
      </c>
      <c r="E2445">
        <v>0</v>
      </c>
      <c r="F2445">
        <v>0</v>
      </c>
      <c r="G2445" s="1">
        <v>6.7539056962995197E-7</v>
      </c>
      <c r="H2445">
        <v>0.36362311331807701</v>
      </c>
      <c r="I2445">
        <v>0</v>
      </c>
    </row>
    <row r="2446" spans="1:9" x14ac:dyDescent="0.25">
      <c r="A2446" s="1">
        <v>-117.402367591857</v>
      </c>
      <c r="B2446">
        <v>-118.146205212095</v>
      </c>
      <c r="C2446">
        <v>9.5845303865186408E-3</v>
      </c>
      <c r="D2446">
        <v>0</v>
      </c>
      <c r="E2446">
        <v>0</v>
      </c>
      <c r="F2446">
        <v>0</v>
      </c>
      <c r="G2446" s="1">
        <v>1.1428940602442499E-6</v>
      </c>
      <c r="H2446">
        <v>0.57385098512729604</v>
      </c>
      <c r="I2446">
        <v>0</v>
      </c>
    </row>
    <row r="2447" spans="1:9" x14ac:dyDescent="0.25">
      <c r="A2447" s="1">
        <v>-106.80001378059301</v>
      </c>
      <c r="B2447">
        <v>-107.49088895610799</v>
      </c>
      <c r="C2447">
        <v>1.0418519039324701E-2</v>
      </c>
      <c r="D2447">
        <v>0</v>
      </c>
      <c r="E2447">
        <v>0</v>
      </c>
      <c r="F2447">
        <v>0</v>
      </c>
      <c r="G2447" s="1">
        <v>1.85181679322132E-6</v>
      </c>
      <c r="H2447">
        <v>0.68311802290138501</v>
      </c>
      <c r="I2447">
        <v>0</v>
      </c>
    </row>
    <row r="2448" spans="1:9" x14ac:dyDescent="0.25">
      <c r="A2448" s="1">
        <v>-97.073161005973802</v>
      </c>
      <c r="B2448">
        <v>-97.712893322029302</v>
      </c>
      <c r="C2448">
        <v>1.17127402653317E-2</v>
      </c>
      <c r="D2448">
        <v>0</v>
      </c>
      <c r="E2448">
        <v>0</v>
      </c>
      <c r="F2448">
        <v>0</v>
      </c>
      <c r="G2448" s="1">
        <v>2.8644587307158299E-6</v>
      </c>
      <c r="H2448">
        <v>0.739624906387785</v>
      </c>
      <c r="I2448">
        <v>0</v>
      </c>
    </row>
    <row r="2449" spans="1:9" x14ac:dyDescent="0.25">
      <c r="A2449" s="1">
        <v>-88.149435520172105</v>
      </c>
      <c r="B2449">
        <v>-88.740171821334499</v>
      </c>
      <c r="C2449">
        <v>1.35865794415506E-2</v>
      </c>
      <c r="D2449">
        <v>0</v>
      </c>
      <c r="E2449">
        <v>0</v>
      </c>
      <c r="F2449">
        <v>0</v>
      </c>
      <c r="G2449" s="1">
        <v>4.2930796099271899E-6</v>
      </c>
      <c r="H2449">
        <v>0.77026431176579502</v>
      </c>
      <c r="I2449">
        <v>0</v>
      </c>
    </row>
    <row r="2450" spans="1:9" x14ac:dyDescent="0.25">
      <c r="A2450" s="1">
        <v>-79.962490797042804</v>
      </c>
      <c r="B2450">
        <v>-80.506570398726694</v>
      </c>
      <c r="C2450">
        <v>1.6170285017298201E-2</v>
      </c>
      <c r="D2450">
        <v>0</v>
      </c>
      <c r="E2450">
        <v>0</v>
      </c>
      <c r="F2450">
        <v>0</v>
      </c>
      <c r="G2450" s="1">
        <v>6.30795964292829E-6</v>
      </c>
      <c r="H2450">
        <v>0.78801721169844297</v>
      </c>
      <c r="I2450">
        <v>0</v>
      </c>
    </row>
    <row r="2451" spans="1:9" x14ac:dyDescent="0.25">
      <c r="A2451" s="1">
        <v>-72.451583743095298</v>
      </c>
      <c r="B2451">
        <v>-72.951330127486202</v>
      </c>
      <c r="C2451">
        <v>1.9609047056315901E-2</v>
      </c>
      <c r="D2451">
        <v>0</v>
      </c>
      <c r="E2451">
        <v>0</v>
      </c>
      <c r="F2451">
        <v>0</v>
      </c>
      <c r="G2451" s="1">
        <v>9.1504811446219103E-6</v>
      </c>
      <c r="H2451">
        <v>0.79926790871943199</v>
      </c>
      <c r="I2451">
        <v>0</v>
      </c>
    </row>
    <row r="2452" spans="1:9" x14ac:dyDescent="0.25">
      <c r="A2452" s="1">
        <v>-65.560821294784503</v>
      </c>
      <c r="B2452">
        <v>-66.018677664467305</v>
      </c>
      <c r="C2452">
        <v>2.4067855943973201E-2</v>
      </c>
      <c r="D2452">
        <v>0</v>
      </c>
      <c r="E2452">
        <v>0</v>
      </c>
      <c r="F2452">
        <v>0</v>
      </c>
      <c r="G2452" s="1">
        <v>1.31531215977487E-5</v>
      </c>
      <c r="H2452">
        <v>0.80722647670549597</v>
      </c>
      <c r="I2452">
        <v>0</v>
      </c>
    </row>
    <row r="2453" spans="1:9" x14ac:dyDescent="0.25">
      <c r="A2453" s="1">
        <v>-59.238972067832897</v>
      </c>
      <c r="B2453">
        <v>-59.657407347031999</v>
      </c>
      <c r="C2453">
        <v>2.9736016838244402E-2</v>
      </c>
      <c r="D2453">
        <v>0</v>
      </c>
      <c r="E2453">
        <v>0</v>
      </c>
      <c r="F2453">
        <v>0</v>
      </c>
      <c r="G2453" s="1">
        <v>1.8768177743400101E-5</v>
      </c>
      <c r="H2453">
        <v>0.813514228201759</v>
      </c>
      <c r="I2453">
        <v>0</v>
      </c>
    </row>
    <row r="2454" spans="1:9" x14ac:dyDescent="0.25">
      <c r="A2454" s="1">
        <v>-53.439136743545497</v>
      </c>
      <c r="B2454">
        <v>-53.820505080291198</v>
      </c>
      <c r="C2454">
        <v>3.6831122028900001E-2</v>
      </c>
      <c r="D2454">
        <v>0</v>
      </c>
      <c r="E2454">
        <v>0</v>
      </c>
      <c r="F2454">
        <v>0</v>
      </c>
      <c r="G2454" s="1">
        <v>2.6607561778924101E-5</v>
      </c>
      <c r="H2454">
        <v>0.81894452572558296</v>
      </c>
      <c r="I2454">
        <v>0</v>
      </c>
    </row>
    <row r="2455" spans="1:9" x14ac:dyDescent="0.25">
      <c r="A2455" s="1">
        <v>-48.118183016777003</v>
      </c>
      <c r="B2455">
        <v>-48.464809835621303</v>
      </c>
      <c r="C2455">
        <v>4.5602585152408601E-2</v>
      </c>
      <c r="D2455">
        <v>0</v>
      </c>
      <c r="E2455">
        <v>0</v>
      </c>
      <c r="F2455">
        <v>0</v>
      </c>
      <c r="G2455" s="1">
        <v>3.7497519218874198E-5</v>
      </c>
      <c r="H2455">
        <v>0.82392499746054204</v>
      </c>
      <c r="I2455">
        <v>0</v>
      </c>
    </row>
    <row r="2456" spans="1:9" x14ac:dyDescent="0.25">
      <c r="A2456" s="1">
        <v>-43.236604332923797</v>
      </c>
      <c r="B2456">
        <v>-43.550712760457003</v>
      </c>
      <c r="C2456">
        <v>5.6335045751895602E-2</v>
      </c>
      <c r="D2456">
        <v>0</v>
      </c>
      <c r="E2456">
        <v>0</v>
      </c>
      <c r="F2456">
        <v>0</v>
      </c>
      <c r="G2456" s="1">
        <v>5.2554648588056802E-5</v>
      </c>
      <c r="H2456">
        <v>0.82866846957625795</v>
      </c>
      <c r="I2456">
        <v>0</v>
      </c>
    </row>
    <row r="2457" spans="1:9" x14ac:dyDescent="0.25">
      <c r="A2457" s="1">
        <v>-38.758049011230398</v>
      </c>
      <c r="B2457">
        <v>-39.0418458405073</v>
      </c>
      <c r="C2457">
        <v>6.9352021969838307E-2</v>
      </c>
      <c r="D2457">
        <v>0</v>
      </c>
      <c r="E2457">
        <v>0</v>
      </c>
      <c r="F2457">
        <v>0</v>
      </c>
      <c r="G2457" s="1">
        <v>7.3293733024133395E-5</v>
      </c>
      <c r="H2457">
        <v>0.833303813475883</v>
      </c>
      <c r="I2457">
        <v>0</v>
      </c>
    </row>
    <row r="2458" spans="1:9" x14ac:dyDescent="0.25">
      <c r="A2458" s="1">
        <v>-34.649320244789102</v>
      </c>
      <c r="B2458">
        <v>-34.904835336947002</v>
      </c>
      <c r="C2458">
        <v>8.5020468589928497E-2</v>
      </c>
      <c r="D2458">
        <v>0</v>
      </c>
      <c r="E2458">
        <v>0</v>
      </c>
      <c r="F2458">
        <v>0</v>
      </c>
      <c r="G2458">
        <v>1.01784593152594E-4</v>
      </c>
      <c r="H2458">
        <v>0.83793392869762895</v>
      </c>
      <c r="I2458">
        <v>0</v>
      </c>
    </row>
    <row r="2459" spans="1:9" x14ac:dyDescent="0.25">
      <c r="A2459" s="1">
        <v>-30.879811048507602</v>
      </c>
      <c r="B2459">
        <v>-31.1090426865156</v>
      </c>
      <c r="C2459">
        <v>0.10375694905942701</v>
      </c>
      <c r="D2459">
        <v>0</v>
      </c>
      <c r="E2459">
        <v>0</v>
      </c>
      <c r="F2459">
        <v>0</v>
      </c>
      <c r="G2459">
        <v>1.4088535130692701E-4</v>
      </c>
      <c r="H2459">
        <v>0.84266456103819798</v>
      </c>
      <c r="I2459">
        <v>0</v>
      </c>
    </row>
    <row r="2460" spans="1:9" x14ac:dyDescent="0.25">
      <c r="A2460" s="1">
        <v>-27.4215984344482</v>
      </c>
      <c r="B2460">
        <v>-27.626351370954101</v>
      </c>
      <c r="C2460">
        <v>0.126036523559029</v>
      </c>
      <c r="D2460">
        <v>0</v>
      </c>
      <c r="E2460">
        <v>0</v>
      </c>
      <c r="F2460">
        <v>0</v>
      </c>
      <c r="G2460">
        <v>1.9459595135764101E-4</v>
      </c>
      <c r="H2460">
        <v>0.84761617698735903</v>
      </c>
      <c r="I2460">
        <v>0</v>
      </c>
    </row>
    <row r="2461" spans="1:9" x14ac:dyDescent="0.25">
      <c r="A2461" s="1">
        <v>-24.248878359794599</v>
      </c>
      <c r="B2461">
        <v>-24.430961099744898</v>
      </c>
      <c r="C2461">
        <v>0.152405736851421</v>
      </c>
      <c r="D2461">
        <v>0</v>
      </c>
      <c r="E2461">
        <v>0</v>
      </c>
      <c r="F2461">
        <v>0</v>
      </c>
      <c r="G2461">
        <v>2.6859987026391199E-4</v>
      </c>
      <c r="H2461">
        <v>0.85292359627980796</v>
      </c>
      <c r="I2461">
        <v>0</v>
      </c>
    </row>
    <row r="2462" spans="1:9" x14ac:dyDescent="0.25">
      <c r="A2462" s="1">
        <v>-21.3381540775299</v>
      </c>
      <c r="B2462">
        <v>-21.4991872166406</v>
      </c>
      <c r="C2462">
        <v>0.18350142718969001</v>
      </c>
      <c r="D2462">
        <v>0</v>
      </c>
      <c r="E2462">
        <v>0</v>
      </c>
      <c r="F2462">
        <v>0</v>
      </c>
      <c r="G2462">
        <v>3.7109724430692297E-4</v>
      </c>
      <c r="H2462">
        <v>0.85872485908334095</v>
      </c>
      <c r="I2462">
        <v>0</v>
      </c>
    </row>
    <row r="2463" spans="1:9" x14ac:dyDescent="0.25">
      <c r="A2463" s="1">
        <v>-18.6677181720733</v>
      </c>
      <c r="B2463">
        <v>-18.8092998069834</v>
      </c>
      <c r="C2463">
        <v>0.22007735476002399</v>
      </c>
      <c r="D2463">
        <v>0</v>
      </c>
      <c r="E2463">
        <v>0</v>
      </c>
      <c r="F2463">
        <v>0</v>
      </c>
      <c r="G2463">
        <v>5.1408273716674498E-4</v>
      </c>
      <c r="H2463">
        <v>0.86514073335121899</v>
      </c>
      <c r="I2463">
        <v>0</v>
      </c>
    </row>
    <row r="2464" spans="1:9" x14ac:dyDescent="0.25">
      <c r="A2464" s="1">
        <v>-16.2178409099578</v>
      </c>
      <c r="B2464">
        <v>-16.341353924584698</v>
      </c>
      <c r="C2464">
        <v>0.26304096109337899</v>
      </c>
      <c r="D2464">
        <v>0</v>
      </c>
      <c r="E2464">
        <v>0</v>
      </c>
      <c r="F2464">
        <v>0</v>
      </c>
      <c r="G2464">
        <v>7.1529347859552604E-4</v>
      </c>
      <c r="H2464">
        <v>0.87224843037572497</v>
      </c>
      <c r="I2464">
        <v>0</v>
      </c>
    </row>
    <row r="2465" spans="1:9" x14ac:dyDescent="0.25">
      <c r="A2465" s="1">
        <v>-13.9702051877975</v>
      </c>
      <c r="B2465">
        <v>-14.077049594198501</v>
      </c>
      <c r="C2465">
        <v>0.31350314762173598</v>
      </c>
      <c r="D2465">
        <v>0</v>
      </c>
      <c r="E2465">
        <v>0</v>
      </c>
      <c r="F2465">
        <v>0</v>
      </c>
      <c r="G2465">
        <v>1.0011624317914399E-3</v>
      </c>
      <c r="H2465">
        <v>0.88005692164132698</v>
      </c>
      <c r="I2465">
        <v>0</v>
      </c>
    </row>
    <row r="2466" spans="1:9" x14ac:dyDescent="0.25">
      <c r="A2466" s="1">
        <v>-11.908189058303799</v>
      </c>
      <c r="B2466">
        <v>-11.999592336372601</v>
      </c>
      <c r="C2466">
        <v>0.37284351446854402</v>
      </c>
      <c r="D2466">
        <v>0</v>
      </c>
      <c r="E2466">
        <v>0</v>
      </c>
      <c r="F2466">
        <v>0</v>
      </c>
      <c r="G2466">
        <v>1.41128392296138E-3</v>
      </c>
      <c r="H2466">
        <v>0.88849302149231602</v>
      </c>
      <c r="I2466">
        <v>0</v>
      </c>
    </row>
    <row r="2467" spans="1:9" x14ac:dyDescent="0.25">
      <c r="A2467" s="1">
        <v>-10.016394853591899</v>
      </c>
      <c r="B2467">
        <v>-10.093572399992899</v>
      </c>
      <c r="C2467">
        <v>0.442795199489812</v>
      </c>
      <c r="D2467">
        <v>0</v>
      </c>
      <c r="E2467">
        <v>0</v>
      </c>
      <c r="F2467">
        <v>0</v>
      </c>
      <c r="G2467">
        <v>2.0051870814330598E-3</v>
      </c>
      <c r="H2467">
        <v>0.89740552706160603</v>
      </c>
      <c r="I2467">
        <v>0</v>
      </c>
    </row>
    <row r="2468" spans="1:9" x14ac:dyDescent="0.25">
      <c r="A2468" s="1">
        <v>-8.2808375358581507</v>
      </c>
      <c r="B2468">
        <v>-8.3448488921283008</v>
      </c>
      <c r="C2468">
        <v>0.52555325192271496</v>
      </c>
      <c r="D2468">
        <v>0</v>
      </c>
      <c r="E2468">
        <v>0</v>
      </c>
      <c r="F2468">
        <v>0</v>
      </c>
      <c r="G2468">
        <v>2.8726956955381399E-3</v>
      </c>
      <c r="H2468">
        <v>0.906587641393239</v>
      </c>
      <c r="I2468">
        <v>0</v>
      </c>
    </row>
    <row r="2469" spans="1:9" x14ac:dyDescent="0.25">
      <c r="A2469" s="1">
        <v>-6.6885209083557102</v>
      </c>
      <c r="B2469">
        <v>-6.7404468041036401</v>
      </c>
      <c r="C2469">
        <v>0.62391403380322996</v>
      </c>
      <c r="D2469">
        <v>0</v>
      </c>
      <c r="E2469">
        <v>0</v>
      </c>
      <c r="F2469">
        <v>0</v>
      </c>
      <c r="G2469">
        <v>4.1499846163469498E-3</v>
      </c>
      <c r="H2469">
        <v>0.91581068516193698</v>
      </c>
      <c r="I2469">
        <v>0</v>
      </c>
    </row>
    <row r="2470" spans="1:9" x14ac:dyDescent="0.25">
      <c r="A2470" s="1">
        <v>-5.2277201414108196</v>
      </c>
      <c r="B2470">
        <v>-5.2684605673078604</v>
      </c>
      <c r="C2470">
        <v>0.74145580694693503</v>
      </c>
      <c r="D2470">
        <v>0</v>
      </c>
      <c r="E2470">
        <v>0</v>
      </c>
      <c r="F2470">
        <v>0</v>
      </c>
      <c r="G2470">
        <v>6.0448628304448004E-3</v>
      </c>
      <c r="H2470">
        <v>0.92485778431075705</v>
      </c>
      <c r="I2470">
        <v>0</v>
      </c>
    </row>
    <row r="2471" spans="1:9" x14ac:dyDescent="0.25">
      <c r="A2471" s="1">
        <v>-3.88755798339843</v>
      </c>
      <c r="B2471">
        <v>-3.91796502025166</v>
      </c>
      <c r="C2471">
        <v>0.88277633233768704</v>
      </c>
      <c r="D2471">
        <v>0</v>
      </c>
      <c r="E2471">
        <v>0</v>
      </c>
      <c r="F2471">
        <v>0</v>
      </c>
      <c r="G2471">
        <v>8.8772017095106997E-3</v>
      </c>
      <c r="H2471">
        <v>0.93354773459097895</v>
      </c>
      <c r="I2471">
        <v>0</v>
      </c>
    </row>
    <row r="2472" spans="1:9" x14ac:dyDescent="0.25">
      <c r="A2472" s="1">
        <v>-2.6580518484115601</v>
      </c>
      <c r="B2472">
        <v>-2.6789372802835101</v>
      </c>
      <c r="C2472">
        <v>1.05381377058151</v>
      </c>
      <c r="D2472">
        <v>0</v>
      </c>
      <c r="E2472">
        <v>0</v>
      </c>
      <c r="F2472">
        <v>0</v>
      </c>
      <c r="G2472">
        <v>1.3144357409255399E-2</v>
      </c>
      <c r="H2472">
        <v>0.94174468153375601</v>
      </c>
      <c r="I2472">
        <v>0</v>
      </c>
    </row>
    <row r="2473" spans="1:9" x14ac:dyDescent="0.25">
      <c r="A2473" s="1">
        <v>-1.5300196409225399</v>
      </c>
      <c r="B2473">
        <v>-1.54217982330659</v>
      </c>
      <c r="C2473">
        <v>1.2622864714720501</v>
      </c>
      <c r="D2473">
        <v>0</v>
      </c>
      <c r="E2473">
        <v>0</v>
      </c>
      <c r="F2473">
        <v>0</v>
      </c>
      <c r="G2473">
        <v>1.9628206895968101E-2</v>
      </c>
      <c r="H2473">
        <v>0.94935681909632696</v>
      </c>
      <c r="I2473">
        <v>0</v>
      </c>
    </row>
    <row r="2474" spans="1:9" x14ac:dyDescent="0.25">
      <c r="A2474" s="1">
        <v>-0.49517393112182601</v>
      </c>
      <c r="B2474">
        <v>-0.49925309690946701</v>
      </c>
      <c r="C2474">
        <v>1.51829907955136</v>
      </c>
      <c r="D2474">
        <v>0</v>
      </c>
      <c r="E2474">
        <v>0</v>
      </c>
      <c r="F2474">
        <v>0</v>
      </c>
      <c r="G2474">
        <v>3.0113439981578199E-2</v>
      </c>
      <c r="H2474">
        <v>0.95711493904867895</v>
      </c>
      <c r="I2474">
        <v>0</v>
      </c>
    </row>
    <row r="2475" spans="1:9" x14ac:dyDescent="0.25">
      <c r="A2475" s="1">
        <v>0.49376130104064903</v>
      </c>
      <c r="B2475">
        <v>0.35163202182089798</v>
      </c>
      <c r="C2475">
        <v>1.7970753042688901</v>
      </c>
      <c r="D2475">
        <v>0.19454905703151501</v>
      </c>
      <c r="E2475">
        <v>-2.94839081827289E-4</v>
      </c>
      <c r="F2475" s="1">
        <v>4.89643683481065E-5</v>
      </c>
      <c r="G2475">
        <v>4.6319563982312698E-2</v>
      </c>
      <c r="H2475">
        <v>0.92947717248245998</v>
      </c>
      <c r="I2475" s="1">
        <v>7.5599035851234599E-7</v>
      </c>
    </row>
    <row r="2476" spans="1:9" x14ac:dyDescent="0.25">
      <c r="A2476" s="1">
        <v>1.5257111191749499</v>
      </c>
      <c r="B2476">
        <v>1.0859169614378099</v>
      </c>
      <c r="C2476">
        <v>2.1136993268354498</v>
      </c>
      <c r="D2476">
        <v>0.70219878288449999</v>
      </c>
      <c r="E2476">
        <v>-2.9912800933012298E-3</v>
      </c>
      <c r="F2476">
        <v>1.9782773862458701E-4</v>
      </c>
      <c r="G2476">
        <v>6.18482564465377E-2</v>
      </c>
      <c r="H2476">
        <v>0.93392970703237299</v>
      </c>
      <c r="I2476" s="1">
        <v>2.51109516849192E-5</v>
      </c>
    </row>
    <row r="2477" spans="1:9" x14ac:dyDescent="0.25">
      <c r="A2477" s="1">
        <v>2.6505178213119498</v>
      </c>
      <c r="B2477">
        <v>1.88082918830847</v>
      </c>
      <c r="C2477">
        <v>2.55812771363308</v>
      </c>
      <c r="D2477">
        <v>1.4171416644574</v>
      </c>
      <c r="E2477">
        <v>-1.2672111477011E-2</v>
      </c>
      <c r="F2477">
        <v>4.28562609123908E-4</v>
      </c>
      <c r="G2477">
        <v>7.6783564468880405E-2</v>
      </c>
      <c r="H2477">
        <v>0.93096635921068804</v>
      </c>
      <c r="I2477">
        <v>1.3090897543464999E-4</v>
      </c>
    </row>
    <row r="2478" spans="1:9" x14ac:dyDescent="0.25">
      <c r="A2478" s="1">
        <v>3.8765159249305698</v>
      </c>
      <c r="B2478">
        <v>2.73282488443588</v>
      </c>
      <c r="C2478">
        <v>3.1627279179781</v>
      </c>
      <c r="D2478">
        <v>2.3686221752671699</v>
      </c>
      <c r="E2478">
        <v>-3.4043987082331702E-2</v>
      </c>
      <c r="F2478">
        <v>7.3656017345942297E-4</v>
      </c>
      <c r="G2478">
        <v>8.8813055628175E-2</v>
      </c>
      <c r="H2478">
        <v>0.92072940127643099</v>
      </c>
      <c r="I2478">
        <v>3.18901812463604E-4</v>
      </c>
    </row>
    <row r="2479" spans="1:9" x14ac:dyDescent="0.25">
      <c r="A2479" s="1">
        <v>5.2129346132278398</v>
      </c>
      <c r="B2479">
        <v>3.6315870678860498</v>
      </c>
      <c r="C2479">
        <v>3.9315785088137001</v>
      </c>
      <c r="D2479">
        <v>3.5306797390741198</v>
      </c>
      <c r="E2479">
        <v>-7.21170515742484E-2</v>
      </c>
      <c r="F2479">
        <v>1.08380849486904E-3</v>
      </c>
      <c r="G2479">
        <v>9.5512933114351897E-2</v>
      </c>
      <c r="H2479">
        <v>0.90188777786584895</v>
      </c>
      <c r="I2479">
        <v>6.3196272165821595E-4</v>
      </c>
    </row>
    <row r="2480" spans="1:9" x14ac:dyDescent="0.25">
      <c r="A2480" s="1">
        <v>6.6695916652679399</v>
      </c>
      <c r="B2480">
        <v>4.5585827824536498</v>
      </c>
      <c r="C2480">
        <v>4.8163515630349298</v>
      </c>
      <c r="D2480">
        <v>4.7938968027243698</v>
      </c>
      <c r="E2480">
        <v>-0.12956961730806699</v>
      </c>
      <c r="F2480">
        <v>1.39760606243838E-3</v>
      </c>
      <c r="G2480">
        <v>9.72774469150713E-2</v>
      </c>
      <c r="H2480">
        <v>0.87429467396831395</v>
      </c>
      <c r="I2480">
        <v>1.4570720186435899E-3</v>
      </c>
    </row>
    <row r="2481" spans="1:9" x14ac:dyDescent="0.25">
      <c r="A2481" s="1">
        <v>8.2573878765106201</v>
      </c>
      <c r="B2481">
        <v>5.4880974077496401</v>
      </c>
      <c r="C2481">
        <v>5.7132018052703799</v>
      </c>
      <c r="D2481">
        <v>5.9825068665997803</v>
      </c>
      <c r="E2481">
        <v>-0.20467674809751801</v>
      </c>
      <c r="F2481">
        <v>1.5935785108353701E-3</v>
      </c>
      <c r="G2481">
        <v>9.7374903430834103E-2</v>
      </c>
      <c r="H2481">
        <v>0.84119537766547203</v>
      </c>
      <c r="I2481">
        <v>3.7858836992518598E-3</v>
      </c>
    </row>
    <row r="2482" spans="1:9" x14ac:dyDescent="0.25">
      <c r="A2482" s="1">
        <v>9.9880245327949506</v>
      </c>
      <c r="B2482">
        <v>6.3915087628055103</v>
      </c>
      <c r="C2482">
        <v>6.4955779997221903</v>
      </c>
      <c r="D2482">
        <v>6.9225296987913998</v>
      </c>
      <c r="E2482">
        <v>-0.29120736116014101</v>
      </c>
      <c r="F2482">
        <v>1.60432733818884E-3</v>
      </c>
      <c r="G2482">
        <v>9.9134239079268993E-2</v>
      </c>
      <c r="H2482">
        <v>0.80855740556476696</v>
      </c>
      <c r="I2482">
        <v>7.8109324680308697E-3</v>
      </c>
    </row>
    <row r="2483" spans="1:9" x14ac:dyDescent="0.25">
      <c r="A2483" s="1">
        <v>11.874474287032999</v>
      </c>
      <c r="B2483">
        <v>7.2435890843037303</v>
      </c>
      <c r="C2483">
        <v>7.0650502628962704</v>
      </c>
      <c r="D2483">
        <v>7.5126033671753802</v>
      </c>
      <c r="E2483">
        <v>-0.38088534811312003</v>
      </c>
      <c r="F2483">
        <v>1.4257665070361799E-3</v>
      </c>
      <c r="G2483">
        <v>0.103003871786728</v>
      </c>
      <c r="H2483">
        <v>0.78009513514381901</v>
      </c>
      <c r="I2483">
        <v>1.08662758399556E-2</v>
      </c>
    </row>
    <row r="2484" spans="1:9" x14ac:dyDescent="0.25">
      <c r="A2484" s="1">
        <v>13.9306750893592</v>
      </c>
      <c r="B2484">
        <v>8.0275000129703198</v>
      </c>
      <c r="C2484">
        <v>7.3815041781780897</v>
      </c>
      <c r="D2484">
        <v>7.7445732609532598</v>
      </c>
      <c r="E2484">
        <v>-0.46646442301985402</v>
      </c>
      <c r="F2484">
        <v>1.1285052267771499E-3</v>
      </c>
      <c r="G2484">
        <v>0.10692738569587</v>
      </c>
      <c r="H2484">
        <v>0.75528218954148696</v>
      </c>
      <c r="I2484">
        <v>1.01825256942106E-2</v>
      </c>
    </row>
    <row r="2485" spans="1:9" x14ac:dyDescent="0.25">
      <c r="A2485" s="1">
        <v>16.171883344650201</v>
      </c>
      <c r="B2485">
        <v>8.7360003334346903</v>
      </c>
      <c r="C2485">
        <v>7.4581334325306798</v>
      </c>
      <c r="D2485">
        <v>7.6749491810088504</v>
      </c>
      <c r="E2485">
        <v>-0.54328823845191199</v>
      </c>
      <c r="F2485">
        <v>8.3111787552056504E-4</v>
      </c>
      <c r="G2485">
        <v>0.108743320729679</v>
      </c>
      <c r="H2485">
        <v>0.73210608031857105</v>
      </c>
      <c r="I2485">
        <v>6.0372901438336003E-3</v>
      </c>
    </row>
    <row r="2486" spans="1:9" x14ac:dyDescent="0.25">
      <c r="A2486" s="1">
        <v>18.614838719367899</v>
      </c>
      <c r="B2486">
        <v>9.3694786955479294</v>
      </c>
      <c r="C2486">
        <v>7.3383212493321102</v>
      </c>
      <c r="D2486">
        <v>7.3846499300091102</v>
      </c>
      <c r="E2486">
        <v>-0.60924764048073199</v>
      </c>
      <c r="F2486">
        <v>6.5753046424932597E-4</v>
      </c>
      <c r="G2486">
        <v>0.107583588648424</v>
      </c>
      <c r="H2486">
        <v>0.70919396015948</v>
      </c>
      <c r="I2486">
        <v>5.12458214657734E-4</v>
      </c>
    </row>
    <row r="2487" spans="1:9" x14ac:dyDescent="0.25">
      <c r="A2487" s="1">
        <v>21.2777170538902</v>
      </c>
      <c r="B2487">
        <v>9.9329917264047793</v>
      </c>
      <c r="C2487">
        <v>7.0743548023164404</v>
      </c>
      <c r="D2487">
        <v>6.9513143910147202</v>
      </c>
      <c r="E2487">
        <v>-0.664026457005086</v>
      </c>
      <c r="F2487">
        <v>6.9740474697759598E-4</v>
      </c>
      <c r="G2487">
        <v>0.10376528303768</v>
      </c>
      <c r="H2487">
        <v>0.68608913475378697</v>
      </c>
      <c r="I2487">
        <v>-4.6510813195968703E-3</v>
      </c>
    </row>
    <row r="2488" spans="1:9" x14ac:dyDescent="0.25">
      <c r="A2488" s="1">
        <v>24.180224537849401</v>
      </c>
      <c r="B2488">
        <v>10.4337733280721</v>
      </c>
      <c r="C2488">
        <v>6.7150905060183099</v>
      </c>
      <c r="D2488">
        <v>6.4379886963794801</v>
      </c>
      <c r="E2488">
        <v>-0.70831429984395999</v>
      </c>
      <c r="F2488">
        <v>9.8669465517596208E-4</v>
      </c>
      <c r="G2488">
        <v>9.8115147638380404E-2</v>
      </c>
      <c r="H2488">
        <v>0.66287793436687203</v>
      </c>
      <c r="I2488">
        <v>-8.6780652692865692E-3</v>
      </c>
    </row>
    <row r="2489" spans="1:9" x14ac:dyDescent="0.25">
      <c r="A2489" s="1">
        <v>27.343950867652801</v>
      </c>
      <c r="B2489">
        <v>10.8797114209148</v>
      </c>
      <c r="C2489">
        <v>6.30104565519677</v>
      </c>
      <c r="D2489">
        <v>5.8912913835637397</v>
      </c>
      <c r="E2489">
        <v>-0.74323655045229098</v>
      </c>
      <c r="F2489">
        <v>1.4560843858638099E-3</v>
      </c>
      <c r="G2489">
        <v>9.1428569324179601E-2</v>
      </c>
      <c r="H2489">
        <v>0.63990021645971296</v>
      </c>
      <c r="I2489">
        <v>-1.14422558195128E-2</v>
      </c>
    </row>
    <row r="2490" spans="1:9" x14ac:dyDescent="0.25">
      <c r="A2490" s="1">
        <v>30.7923927903175</v>
      </c>
      <c r="B2490">
        <v>11.2785873600158</v>
      </c>
      <c r="C2490">
        <v>5.8634890876597003</v>
      </c>
      <c r="D2490">
        <v>5.3438029911942904</v>
      </c>
      <c r="E2490">
        <v>-0.77002502617066204</v>
      </c>
      <c r="F2490">
        <v>2.0144442650652399E-3</v>
      </c>
      <c r="G2490">
        <v>8.4266136515527307E-2</v>
      </c>
      <c r="H2490">
        <v>0.61758915087500199</v>
      </c>
      <c r="I2490">
        <v>-1.3072681203777799E-2</v>
      </c>
    </row>
    <row r="2491" spans="1:9" x14ac:dyDescent="0.25">
      <c r="A2491" s="1">
        <v>34.551213085651298</v>
      </c>
      <c r="B2491">
        <v>11.6376872853252</v>
      </c>
      <c r="C2491">
        <v>5.4251570941484504</v>
      </c>
      <c r="D2491">
        <v>4.8170704819562102</v>
      </c>
      <c r="E2491">
        <v>-0.78986133496704602</v>
      </c>
      <c r="F2491">
        <v>2.6097639068995101E-3</v>
      </c>
      <c r="G2491">
        <v>7.6961390800396101E-2</v>
      </c>
      <c r="H2491">
        <v>0.59637422108103799</v>
      </c>
      <c r="I2491">
        <v>-1.3763799891712E-2</v>
      </c>
    </row>
    <row r="2492" spans="1:9" x14ac:dyDescent="0.25">
      <c r="A2492" s="1">
        <v>38.6483111977577</v>
      </c>
      <c r="B2492">
        <v>11.9636140652809</v>
      </c>
      <c r="C2492">
        <v>5.0014723536330301</v>
      </c>
      <c r="D2492">
        <v>4.3243066711176299</v>
      </c>
      <c r="E2492">
        <v>-0.80377477921599705</v>
      </c>
      <c r="F2492">
        <v>3.11043711397816E-3</v>
      </c>
      <c r="G2492">
        <v>6.9716467489899098E-2</v>
      </c>
      <c r="H2492">
        <v>0.57666468235587098</v>
      </c>
      <c r="I2492">
        <v>-1.3714248310989101E-2</v>
      </c>
    </row>
    <row r="2493" spans="1:9" x14ac:dyDescent="0.25">
      <c r="A2493" s="1">
        <v>43.1141293048858</v>
      </c>
      <c r="B2493">
        <v>12.2622392379555</v>
      </c>
      <c r="C2493">
        <v>4.6020541540840298</v>
      </c>
      <c r="D2493">
        <v>3.8728139436799101</v>
      </c>
      <c r="E2493">
        <v>-0.81261164375969297</v>
      </c>
      <c r="F2493">
        <v>3.4691523918495698E-3</v>
      </c>
      <c r="G2493">
        <v>6.26666579312989E-2</v>
      </c>
      <c r="H2493">
        <v>0.55874373507386799</v>
      </c>
      <c r="I2493">
        <v>-1.31109404019448E-2</v>
      </c>
    </row>
    <row r="2494" spans="1:9" x14ac:dyDescent="0.25">
      <c r="A2494" s="1">
        <v>47.981887757778097</v>
      </c>
      <c r="B2494">
        <v>12.538598535290699</v>
      </c>
      <c r="C2494">
        <v>4.2322291855145497</v>
      </c>
      <c r="D2494">
        <v>3.4660467547793599</v>
      </c>
      <c r="E2494">
        <v>-0.817080764800026</v>
      </c>
      <c r="F2494">
        <v>3.62872050994589E-3</v>
      </c>
      <c r="G2494">
        <v>5.5906666527212399E-2</v>
      </c>
      <c r="H2494">
        <v>0.54264108415000301</v>
      </c>
      <c r="I2494">
        <v>-1.21341368884376E-2</v>
      </c>
    </row>
    <row r="2495" spans="1:9" x14ac:dyDescent="0.25">
      <c r="A2495" s="1">
        <v>53.287820518016801</v>
      </c>
      <c r="B2495">
        <v>12.7969106887344</v>
      </c>
      <c r="C2495">
        <v>3.8939454553165702</v>
      </c>
      <c r="D2495">
        <v>3.10389833963769</v>
      </c>
      <c r="E2495">
        <v>-0.81771918739132998</v>
      </c>
      <c r="F2495">
        <v>3.5325018815394399E-3</v>
      </c>
      <c r="G2495">
        <v>4.9535906945042403E-2</v>
      </c>
      <c r="H2495">
        <v>0.52834750692713495</v>
      </c>
      <c r="I2495">
        <v>-1.09470210301446E-2</v>
      </c>
    </row>
    <row r="2496" spans="1:9" x14ac:dyDescent="0.25">
      <c r="A2496" s="1">
        <v>59.071175158023799</v>
      </c>
      <c r="B2496">
        <v>13.040706979191601</v>
      </c>
      <c r="C2496">
        <v>3.5870103946042402</v>
      </c>
      <c r="D2496">
        <v>2.7842384441689001</v>
      </c>
      <c r="E2496">
        <v>-0.81493708353052796</v>
      </c>
      <c r="F2496">
        <v>3.1307632132623999E-3</v>
      </c>
      <c r="G2496">
        <v>4.3653907469516799E-2</v>
      </c>
      <c r="H2496">
        <v>0.51576179462028604</v>
      </c>
      <c r="I2496">
        <v>-9.7023582643606492E-3</v>
      </c>
    </row>
    <row r="2497" spans="1:9" x14ac:dyDescent="0.25">
      <c r="A2497" s="1">
        <v>65.375131070613804</v>
      </c>
      <c r="B2497">
        <v>13.272891832968901</v>
      </c>
      <c r="C2497">
        <v>3.3101610032853102</v>
      </c>
      <c r="D2497">
        <v>2.5041803161479899</v>
      </c>
      <c r="E2497">
        <v>-0.80904020194494997</v>
      </c>
      <c r="F2497">
        <v>2.5134896524384E-3</v>
      </c>
      <c r="G2497">
        <v>3.8311581291918598E-2</v>
      </c>
      <c r="H2497">
        <v>0.50448861908487097</v>
      </c>
      <c r="I2497">
        <v>-8.4996864969323696E-3</v>
      </c>
    </row>
    <row r="2498" spans="1:9" x14ac:dyDescent="0.25">
      <c r="A2498" s="1">
        <v>72.246375679969702</v>
      </c>
      <c r="B2498">
        <v>13.495859834632601</v>
      </c>
      <c r="C2498">
        <v>3.0608767177410701</v>
      </c>
      <c r="D2498">
        <v>2.25976813794286</v>
      </c>
      <c r="E2498">
        <v>-0.80026512009013595</v>
      </c>
      <c r="F2498">
        <v>1.7810588748843599E-3</v>
      </c>
      <c r="G2498">
        <v>3.3534716249516802E-2</v>
      </c>
      <c r="H2498">
        <v>0.49425622297688498</v>
      </c>
      <c r="I2498">
        <v>-7.4006073335771399E-3</v>
      </c>
    </row>
    <row r="2499" spans="1:9" x14ac:dyDescent="0.25">
      <c r="A2499" s="1">
        <v>79.736069738864799</v>
      </c>
      <c r="B2499">
        <v>13.7115813971373</v>
      </c>
      <c r="C2499">
        <v>2.8358827223720602</v>
      </c>
      <c r="D2499">
        <v>2.0463964809831401</v>
      </c>
      <c r="E2499">
        <v>-0.78875062481561597</v>
      </c>
      <c r="F2499">
        <v>1.1165633855890599E-3</v>
      </c>
      <c r="G2499">
        <v>2.92848653145674E-2</v>
      </c>
      <c r="H2499">
        <v>0.48462152413426002</v>
      </c>
      <c r="I2499">
        <v>-6.4136845926044501E-3</v>
      </c>
    </row>
    <row r="2500" spans="1:9" x14ac:dyDescent="0.25">
      <c r="A2500" s="1">
        <v>87.899753153324099</v>
      </c>
      <c r="B2500">
        <v>13.921629925525499</v>
      </c>
      <c r="C2500">
        <v>2.6316215001535102</v>
      </c>
      <c r="D2500">
        <v>1.85959775700496</v>
      </c>
      <c r="E2500">
        <v>-0.77453953444526402</v>
      </c>
      <c r="F2500">
        <v>7.2897565702325804E-4</v>
      </c>
      <c r="G2500">
        <v>2.55253904612152E-2</v>
      </c>
      <c r="H2500">
        <v>0.47547162121583902</v>
      </c>
      <c r="I2500">
        <v>-5.5466700286512099E-3</v>
      </c>
    </row>
    <row r="2501" spans="1:9" x14ac:dyDescent="0.25">
      <c r="A2501" s="1">
        <v>96.798263192176805</v>
      </c>
      <c r="B2501">
        <v>14.1272465919021</v>
      </c>
      <c r="C2501">
        <v>2.4448497103409901</v>
      </c>
      <c r="D2501">
        <v>1.6952552204273199</v>
      </c>
      <c r="E2501">
        <v>-0.75770790620664696</v>
      </c>
      <c r="F2501">
        <v>7.9383768217564695E-4</v>
      </c>
      <c r="G2501">
        <v>2.22116644165384E-2</v>
      </c>
      <c r="H2501">
        <v>0.46657009274403699</v>
      </c>
      <c r="I2501">
        <v>-4.7897210289308302E-3</v>
      </c>
    </row>
    <row r="2502" spans="1:9" x14ac:dyDescent="0.25">
      <c r="A2502" s="1">
        <v>106.497616767883</v>
      </c>
      <c r="B2502">
        <v>14.3294824224773</v>
      </c>
      <c r="C2502">
        <v>2.27231871869171</v>
      </c>
      <c r="D2502">
        <v>1.54963734399109</v>
      </c>
      <c r="E2502">
        <v>-0.73816889846235401</v>
      </c>
      <c r="F2502">
        <v>1.0491346353521101E-3</v>
      </c>
      <c r="G2502">
        <v>1.93046727338981E-2</v>
      </c>
      <c r="H2502">
        <v>0.45788842514100098</v>
      </c>
      <c r="I2502">
        <v>-4.1356563874382999E-3</v>
      </c>
    </row>
    <row r="2503" spans="1:9" x14ac:dyDescent="0.25">
      <c r="A2503" s="1">
        <v>117.06990510225199</v>
      </c>
      <c r="B2503">
        <v>14.529488740197101</v>
      </c>
      <c r="C2503">
        <v>2.1101455295662901</v>
      </c>
      <c r="D2503">
        <v>1.4187646911021801</v>
      </c>
      <c r="E2503">
        <v>-0.715685165259631</v>
      </c>
      <c r="F2503">
        <v>1.23176613874477E-3</v>
      </c>
      <c r="G2503">
        <v>1.6761979805990802E-2</v>
      </c>
      <c r="H2503">
        <v>0.45004044750993399</v>
      </c>
      <c r="I2503">
        <v>-3.57170938934721E-3</v>
      </c>
    </row>
    <row r="2504" spans="1:9" x14ac:dyDescent="0.25">
      <c r="A2504" s="1">
        <v>128.593670427799</v>
      </c>
      <c r="B2504">
        <v>14.728218364051299</v>
      </c>
      <c r="C2504">
        <v>1.95638084796504</v>
      </c>
      <c r="D2504">
        <v>1.29995715951903</v>
      </c>
      <c r="E2504">
        <v>-0.69029188637045102</v>
      </c>
      <c r="F2504">
        <v>1.5364937860608101E-3</v>
      </c>
      <c r="G2504">
        <v>1.45086537685035E-2</v>
      </c>
      <c r="H2504">
        <v>0.44262916335234997</v>
      </c>
      <c r="I2504">
        <v>-3.0686900539285702E-3</v>
      </c>
    </row>
    <row r="2505" spans="1:9" x14ac:dyDescent="0.25">
      <c r="A2505" s="1">
        <v>141.15461230278001</v>
      </c>
      <c r="B2505">
        <v>14.926105913228101</v>
      </c>
      <c r="C2505">
        <v>1.80918325180055</v>
      </c>
      <c r="D2505">
        <v>1.1908850886726301</v>
      </c>
      <c r="E2505">
        <v>-0.66177096366808796</v>
      </c>
      <c r="F2505">
        <v>2.1757807362058801E-3</v>
      </c>
      <c r="G2505">
        <v>1.2496094564130899E-2</v>
      </c>
      <c r="H2505">
        <v>0.43543856949676402</v>
      </c>
      <c r="I2505">
        <v>-2.61774576565988E-3</v>
      </c>
    </row>
    <row r="2506" spans="1:9" x14ac:dyDescent="0.25">
      <c r="A2506" s="1">
        <v>154.84601140022201</v>
      </c>
      <c r="B2506">
        <v>15.122948704740701</v>
      </c>
      <c r="C2506">
        <v>1.6671097620366999</v>
      </c>
      <c r="D2506">
        <v>1.08945631936884</v>
      </c>
      <c r="E2506">
        <v>-0.62994767587563605</v>
      </c>
      <c r="F2506">
        <v>2.2940074042763002E-3</v>
      </c>
      <c r="G2506">
        <v>1.06892976572469E-2</v>
      </c>
      <c r="H2506">
        <v>0.42796391508225701</v>
      </c>
      <c r="I2506">
        <v>-2.2119394355845099E-3</v>
      </c>
    </row>
    <row r="2507" spans="1:9" x14ac:dyDescent="0.25">
      <c r="A2507" s="1">
        <v>169.76969480514501</v>
      </c>
      <c r="B2507">
        <v>15.3186903216752</v>
      </c>
      <c r="C2507">
        <v>1.52787673487277</v>
      </c>
      <c r="D2507">
        <v>0.99335416777240004</v>
      </c>
      <c r="E2507">
        <v>-0.59435772056839697</v>
      </c>
      <c r="F2507">
        <v>1.9071768159553101E-3</v>
      </c>
      <c r="G2507">
        <v>9.0715600644881902E-3</v>
      </c>
      <c r="H2507">
        <v>0.42049201470258601</v>
      </c>
      <c r="I2507">
        <v>-1.84827748426569E-3</v>
      </c>
    </row>
    <row r="2508" spans="1:9" x14ac:dyDescent="0.25">
      <c r="A2508" s="1">
        <v>186.03645980358101</v>
      </c>
      <c r="B2508">
        <v>15.5138531428638</v>
      </c>
      <c r="C2508">
        <v>1.38965390748814</v>
      </c>
      <c r="D2508">
        <v>0.90080839321437001</v>
      </c>
      <c r="E2508">
        <v>-0.55452085312543398</v>
      </c>
      <c r="F2508">
        <v>1.7309191295759E-3</v>
      </c>
      <c r="G2508">
        <v>7.6237103569155602E-3</v>
      </c>
      <c r="H2508">
        <v>0.41356835671757902</v>
      </c>
      <c r="I2508">
        <v>-1.5254382932734199E-3</v>
      </c>
    </row>
    <row r="2509" spans="1:9" x14ac:dyDescent="0.25">
      <c r="A2509" s="1">
        <v>203.76720398664401</v>
      </c>
      <c r="B2509">
        <v>15.707981653964801</v>
      </c>
      <c r="C2509">
        <v>1.2523896325070201</v>
      </c>
      <c r="D2509">
        <v>0.81028623102552999</v>
      </c>
      <c r="E2509">
        <v>-0.51032833956255597</v>
      </c>
      <c r="F2509">
        <v>1.5114840505066401E-3</v>
      </c>
      <c r="G2509">
        <v>6.3211152773032398E-3</v>
      </c>
      <c r="H2509">
        <v>0.40626659150196698</v>
      </c>
      <c r="I2509">
        <v>-1.23728328193411E-3</v>
      </c>
    </row>
    <row r="2510" spans="1:9" x14ac:dyDescent="0.25">
      <c r="A2510" s="1">
        <v>223.09376105666101</v>
      </c>
      <c r="B2510">
        <v>15.899418869322799</v>
      </c>
      <c r="C2510">
        <v>1.1151704237956099</v>
      </c>
      <c r="D2510">
        <v>0.72072740931469603</v>
      </c>
      <c r="E2510">
        <v>-0.46132335022626703</v>
      </c>
      <c r="F2510">
        <v>1.2005215217408001E-3</v>
      </c>
      <c r="G2510">
        <v>5.1386579706067699E-3</v>
      </c>
      <c r="H2510">
        <v>0.398860913184722</v>
      </c>
      <c r="I2510">
        <v>-9.7379795641556403E-4</v>
      </c>
    </row>
    <row r="2511" spans="1:9" x14ac:dyDescent="0.25">
      <c r="A2511" s="1">
        <v>244.15970131754801</v>
      </c>
      <c r="B2511">
        <v>16.086773171729199</v>
      </c>
      <c r="C2511">
        <v>0.97707220822343499</v>
      </c>
      <c r="D2511">
        <v>0.63045317888339503</v>
      </c>
      <c r="E2511">
        <v>-0.40690450768266601</v>
      </c>
      <c r="F2511">
        <v>4.2284289320634899E-4</v>
      </c>
      <c r="G2511">
        <v>4.0764735169738801E-3</v>
      </c>
      <c r="H2511">
        <v>0.39198387512975402</v>
      </c>
      <c r="I2511">
        <v>-7.3895006075568796E-4</v>
      </c>
    </row>
    <row r="2512" spans="1:9" x14ac:dyDescent="0.25">
      <c r="A2512" s="1">
        <v>267.12157949805197</v>
      </c>
      <c r="B2512">
        <v>16.267192372760501</v>
      </c>
      <c r="C2512">
        <v>0.83899066001767297</v>
      </c>
      <c r="D2512">
        <v>0.54027624527553797</v>
      </c>
      <c r="E2512">
        <v>-0.346710858291502</v>
      </c>
      <c r="F2512">
        <v>-5.8721756238194896E-4</v>
      </c>
      <c r="G2512">
        <v>3.1448973567490802E-3</v>
      </c>
      <c r="H2512">
        <v>0.38610939583501103</v>
      </c>
      <c r="I2512">
        <v>-5.4062071141783297E-4</v>
      </c>
    </row>
    <row r="2513" spans="1:9" x14ac:dyDescent="0.25">
      <c r="A2513" s="1">
        <v>292.15002954006098</v>
      </c>
      <c r="B2513">
        <v>16.435941630682699</v>
      </c>
      <c r="C2513">
        <v>0.70134675536450197</v>
      </c>
      <c r="D2513">
        <v>0.44912412740901603</v>
      </c>
      <c r="E2513">
        <v>-0.28023177452965897</v>
      </c>
      <c r="F2513">
        <v>-1.1582393842870301E-3</v>
      </c>
      <c r="G2513">
        <v>2.34889757824653E-3</v>
      </c>
      <c r="H2513">
        <v>0.382469817162852</v>
      </c>
      <c r="I2513">
        <v>-3.8018805074708801E-4</v>
      </c>
    </row>
    <row r="2514" spans="1:9" x14ac:dyDescent="0.25">
      <c r="A2514" s="1">
        <v>319.43101242184599</v>
      </c>
      <c r="B2514">
        <v>16.583544993481301</v>
      </c>
      <c r="C2514">
        <v>0.57141472669955495</v>
      </c>
      <c r="D2514">
        <v>0.36150978485018198</v>
      </c>
      <c r="E2514">
        <v>-0.20714139611502899</v>
      </c>
      <c r="F2514">
        <v>-8.8108120490013899E-4</v>
      </c>
      <c r="G2514">
        <v>1.7052676427185801E-3</v>
      </c>
      <c r="H2514">
        <v>0.38236626084509401</v>
      </c>
      <c r="I2514">
        <v>-2.6224659331191999E-4</v>
      </c>
    </row>
    <row r="2515" spans="1:9" x14ac:dyDescent="0.25">
      <c r="A2515" s="1">
        <v>349.16732590645501</v>
      </c>
      <c r="B2515">
        <v>16.698054612508699</v>
      </c>
      <c r="C2515">
        <v>0.46345236145441898</v>
      </c>
      <c r="D2515">
        <v>0.28660265776886801</v>
      </c>
      <c r="E2515">
        <v>-0.12613329203778401</v>
      </c>
      <c r="F2515">
        <v>-1.0142673416077899E-3</v>
      </c>
      <c r="G2515">
        <v>1.2608759561107399E-3</v>
      </c>
      <c r="H2515">
        <v>0.386945167466134</v>
      </c>
      <c r="I2515">
        <v>-1.9219593888315301E-4</v>
      </c>
    </row>
    <row r="2516" spans="1:9" x14ac:dyDescent="0.25">
      <c r="A2516" s="1">
        <v>379.83785875141598</v>
      </c>
      <c r="B2516">
        <v>16.758510559505499</v>
      </c>
      <c r="C2516">
        <v>0.40179380000009002</v>
      </c>
      <c r="D2516">
        <v>0.24291591026495801</v>
      </c>
      <c r="E2516">
        <v>-4.16607275696836E-2</v>
      </c>
      <c r="F2516">
        <v>-1.3516606860938701E-3</v>
      </c>
      <c r="G2516">
        <v>1.0296599555945499E-3</v>
      </c>
      <c r="H2516">
        <v>0.407793833404967</v>
      </c>
      <c r="I2516">
        <v>-1.5246818078866499E-4</v>
      </c>
    </row>
    <row r="2517" spans="1:9" x14ac:dyDescent="0.25">
      <c r="A2517" s="1" t="s">
        <v>557</v>
      </c>
      <c r="B2517" s="1" t="s">
        <v>614</v>
      </c>
      <c r="C2517" s="1" t="s">
        <v>615</v>
      </c>
      <c r="D2517" s="1" t="s">
        <v>616</v>
      </c>
      <c r="E2517" s="1" t="s">
        <v>617</v>
      </c>
      <c r="F2517" s="1" t="s">
        <v>618</v>
      </c>
      <c r="G2517" s="1" t="s">
        <v>400</v>
      </c>
      <c r="H2517" s="1" t="s">
        <v>619</v>
      </c>
      <c r="I2517" s="1" t="s">
        <v>613</v>
      </c>
    </row>
    <row r="2518" spans="1:9" x14ac:dyDescent="0.25">
      <c r="A2518" s="1">
        <v>-141.555516719818</v>
      </c>
      <c r="B2518">
        <v>-284.59973263165199</v>
      </c>
      <c r="C2518">
        <v>1.0171232414544601E-2</v>
      </c>
      <c r="D2518">
        <v>0</v>
      </c>
      <c r="E2518">
        <v>0</v>
      </c>
      <c r="F2518">
        <v>0</v>
      </c>
      <c r="G2518" s="1">
        <v>5.1282164256094496E-7</v>
      </c>
      <c r="H2518">
        <v>7.1757153569421597E-2</v>
      </c>
      <c r="I2518">
        <v>0</v>
      </c>
    </row>
    <row r="2519" spans="1:9" x14ac:dyDescent="0.25">
      <c r="A2519" s="1">
        <v>-128.95890593528699</v>
      </c>
      <c r="B2519">
        <v>-259.29846016487301</v>
      </c>
      <c r="C2519">
        <v>1.04336059567019E-2</v>
      </c>
      <c r="D2519">
        <v>0</v>
      </c>
      <c r="E2519">
        <v>0</v>
      </c>
      <c r="F2519">
        <v>0</v>
      </c>
      <c r="G2519" s="1">
        <v>8.2702165130066298E-7</v>
      </c>
      <c r="H2519">
        <v>0.38547166020339901</v>
      </c>
      <c r="I2519">
        <v>0</v>
      </c>
    </row>
    <row r="2520" spans="1:9" x14ac:dyDescent="0.25">
      <c r="A2520" s="1">
        <v>-117.402367591857</v>
      </c>
      <c r="B2520">
        <v>-236.082089376657</v>
      </c>
      <c r="C2520">
        <v>1.1016387040428101E-2</v>
      </c>
      <c r="D2520">
        <v>0</v>
      </c>
      <c r="E2520">
        <v>0</v>
      </c>
      <c r="F2520">
        <v>0</v>
      </c>
      <c r="G2520" s="1">
        <v>1.4311374951192501E-6</v>
      </c>
      <c r="H2520">
        <v>0.59549783313708105</v>
      </c>
      <c r="I2520">
        <v>0</v>
      </c>
    </row>
    <row r="2521" spans="1:9" x14ac:dyDescent="0.25">
      <c r="A2521" s="1">
        <v>-106.80001378059301</v>
      </c>
      <c r="B2521">
        <v>-214.779129564969</v>
      </c>
      <c r="C2521">
        <v>1.20395735505665E-2</v>
      </c>
      <c r="D2521">
        <v>0</v>
      </c>
      <c r="E2521">
        <v>0</v>
      </c>
      <c r="F2521">
        <v>0</v>
      </c>
      <c r="G2521" s="1">
        <v>2.3514058936369101E-6</v>
      </c>
      <c r="H2521">
        <v>0.70089393672419698</v>
      </c>
      <c r="I2521">
        <v>0</v>
      </c>
    </row>
    <row r="2522" spans="1:9" x14ac:dyDescent="0.25">
      <c r="A2522" s="1">
        <v>-97.073161005973802</v>
      </c>
      <c r="B2522">
        <v>-195.23216500302999</v>
      </c>
      <c r="C2522">
        <v>1.36487512219765E-2</v>
      </c>
      <c r="D2522">
        <v>0</v>
      </c>
      <c r="E2522">
        <v>0</v>
      </c>
      <c r="F2522">
        <v>0</v>
      </c>
      <c r="G2522" s="1">
        <v>3.6766839698354401E-6</v>
      </c>
      <c r="H2522">
        <v>0.75423913591786196</v>
      </c>
      <c r="I2522">
        <v>0</v>
      </c>
    </row>
    <row r="2523" spans="1:9" x14ac:dyDescent="0.25">
      <c r="A2523" s="1">
        <v>-88.149435520172105</v>
      </c>
      <c r="B2523">
        <v>-177.296668094604</v>
      </c>
      <c r="C2523">
        <v>1.6004837486484499E-2</v>
      </c>
      <c r="D2523">
        <v>0</v>
      </c>
      <c r="E2523">
        <v>0</v>
      </c>
      <c r="F2523">
        <v>0</v>
      </c>
      <c r="G2523" s="1">
        <v>5.5672972568854301E-6</v>
      </c>
      <c r="H2523">
        <v>0.78279620888317802</v>
      </c>
      <c r="I2523">
        <v>0</v>
      </c>
    </row>
    <row r="2524" spans="1:9" x14ac:dyDescent="0.25">
      <c r="A2524" s="1">
        <v>-79.962490797042804</v>
      </c>
      <c r="B2524">
        <v>-160.83997969052101</v>
      </c>
      <c r="C2524">
        <v>1.9286280018334E-2</v>
      </c>
      <c r="D2524">
        <v>0</v>
      </c>
      <c r="E2524">
        <v>0</v>
      </c>
      <c r="F2524">
        <v>0</v>
      </c>
      <c r="G2524" s="1">
        <v>8.2685545801641803E-6</v>
      </c>
      <c r="H2524">
        <v>0.79929039371618804</v>
      </c>
      <c r="I2524">
        <v>0</v>
      </c>
    </row>
    <row r="2525" spans="1:9" x14ac:dyDescent="0.25">
      <c r="A2525" s="1">
        <v>-72.451583743095298</v>
      </c>
      <c r="B2525">
        <v>-145.740322837441</v>
      </c>
      <c r="C2525">
        <v>2.3696014510202E-2</v>
      </c>
      <c r="D2525">
        <v>0</v>
      </c>
      <c r="E2525">
        <v>0</v>
      </c>
      <c r="F2525">
        <v>0</v>
      </c>
      <c r="G2525" s="1">
        <v>1.21324587065396E-5</v>
      </c>
      <c r="H2525">
        <v>0.80983667636272305</v>
      </c>
      <c r="I2525">
        <v>0</v>
      </c>
    </row>
    <row r="2526" spans="1:9" x14ac:dyDescent="0.25">
      <c r="A2526" s="1">
        <v>-65.560821294784503</v>
      </c>
      <c r="B2526">
        <v>-131.88594189753999</v>
      </c>
      <c r="C2526">
        <v>2.9469475336767199E-2</v>
      </c>
      <c r="D2526">
        <v>0</v>
      </c>
      <c r="E2526">
        <v>0</v>
      </c>
      <c r="F2526">
        <v>0</v>
      </c>
      <c r="G2526" s="1">
        <v>1.76508884078963E-5</v>
      </c>
      <c r="H2526">
        <v>0.81743945675690499</v>
      </c>
      <c r="I2526">
        <v>0</v>
      </c>
    </row>
    <row r="2527" spans="1:9" x14ac:dyDescent="0.25">
      <c r="A2527" s="1">
        <v>-59.238972067832897</v>
      </c>
      <c r="B2527">
        <v>-119.174258384316</v>
      </c>
      <c r="C2527">
        <v>3.6882302199792098E-2</v>
      </c>
      <c r="D2527">
        <v>0</v>
      </c>
      <c r="E2527">
        <v>0</v>
      </c>
      <c r="F2527">
        <v>0</v>
      </c>
      <c r="G2527" s="1">
        <v>2.5503615313908701E-5</v>
      </c>
      <c r="H2527">
        <v>0.82357612255636803</v>
      </c>
      <c r="I2527">
        <v>0</v>
      </c>
    </row>
    <row r="2528" spans="1:9" x14ac:dyDescent="0.25">
      <c r="A2528" s="1">
        <v>-53.439136743545497</v>
      </c>
      <c r="B2528">
        <v>-107.511102020948</v>
      </c>
      <c r="C2528">
        <v>4.6257525918004E-2</v>
      </c>
      <c r="D2528">
        <v>0</v>
      </c>
      <c r="E2528">
        <v>0</v>
      </c>
      <c r="F2528">
        <v>0</v>
      </c>
      <c r="G2528" s="1">
        <v>3.6625782590835603E-5</v>
      </c>
      <c r="H2528">
        <v>0.82896628772641801</v>
      </c>
      <c r="I2528">
        <v>0</v>
      </c>
    </row>
    <row r="2529" spans="1:9" x14ac:dyDescent="0.25">
      <c r="A2529" s="1">
        <v>-48.118183016777003</v>
      </c>
      <c r="B2529">
        <v>-96.810079706667906</v>
      </c>
      <c r="C2529">
        <v>5.7972529556256903E-2</v>
      </c>
      <c r="D2529">
        <v>0</v>
      </c>
      <c r="E2529">
        <v>0</v>
      </c>
      <c r="F2529">
        <v>0</v>
      </c>
      <c r="G2529" s="1">
        <v>5.2302403231738698E-5</v>
      </c>
      <c r="H2529">
        <v>0.83396155207627598</v>
      </c>
      <c r="I2529">
        <v>0</v>
      </c>
    </row>
    <row r="2530" spans="1:9" x14ac:dyDescent="0.25">
      <c r="A2530" s="1">
        <v>-43.236604332923797</v>
      </c>
      <c r="B2530">
        <v>-86.991881797670302</v>
      </c>
      <c r="C2530">
        <v>7.24662621582884E-2</v>
      </c>
      <c r="D2530">
        <v>0</v>
      </c>
      <c r="E2530">
        <v>0</v>
      </c>
      <c r="F2530">
        <v>0</v>
      </c>
      <c r="G2530" s="1">
        <v>7.4302450239080998E-5</v>
      </c>
      <c r="H2530">
        <v>0.83874539785781299</v>
      </c>
      <c r="I2530">
        <v>0</v>
      </c>
    </row>
    <row r="2531" spans="1:9" x14ac:dyDescent="0.25">
      <c r="A2531" s="1">
        <v>-38.758049011230398</v>
      </c>
      <c r="B2531">
        <v>-77.983743012159096</v>
      </c>
      <c r="C2531">
        <v>9.0247431597836297E-2</v>
      </c>
      <c r="D2531">
        <v>0</v>
      </c>
      <c r="E2531">
        <v>0</v>
      </c>
      <c r="F2531">
        <v>0</v>
      </c>
      <c r="G2531">
        <v>1.0507341048263799E-4</v>
      </c>
      <c r="H2531">
        <v>0.84343529260828298</v>
      </c>
      <c r="I2531">
        <v>0</v>
      </c>
    </row>
    <row r="2532" spans="1:9" x14ac:dyDescent="0.25">
      <c r="A2532" s="1">
        <v>-34.649320244789102</v>
      </c>
      <c r="B2532">
        <v>-69.718869903146199</v>
      </c>
      <c r="C2532">
        <v>0.11190483226544901</v>
      </c>
      <c r="D2532">
        <v>0</v>
      </c>
      <c r="E2532">
        <v>0</v>
      </c>
      <c r="F2532">
        <v>0</v>
      </c>
      <c r="G2532">
        <v>1.4803015139094099E-4</v>
      </c>
      <c r="H2532">
        <v>0.84813335942880597</v>
      </c>
      <c r="I2532">
        <v>0</v>
      </c>
    </row>
    <row r="2533" spans="1:9" x14ac:dyDescent="0.25">
      <c r="A2533" s="1">
        <v>-30.879811048507602</v>
      </c>
      <c r="B2533">
        <v>-62.135972807019002</v>
      </c>
      <c r="C2533">
        <v>0.13812124050165001</v>
      </c>
      <c r="D2533">
        <v>0</v>
      </c>
      <c r="E2533">
        <v>0</v>
      </c>
      <c r="F2533">
        <v>0</v>
      </c>
      <c r="G2533">
        <v>2.0799301839872399E-4</v>
      </c>
      <c r="H2533">
        <v>0.85294958607267601</v>
      </c>
      <c r="I2533">
        <v>0</v>
      </c>
    </row>
    <row r="2534" spans="1:9" x14ac:dyDescent="0.25">
      <c r="A2534" s="1">
        <v>-27.4215984344482</v>
      </c>
      <c r="B2534">
        <v>-55.1788124187132</v>
      </c>
      <c r="C2534">
        <v>0.169692961197251</v>
      </c>
      <c r="D2534">
        <v>0</v>
      </c>
      <c r="E2534">
        <v>0</v>
      </c>
      <c r="F2534">
        <v>0</v>
      </c>
      <c r="G2534">
        <v>2.91861882634521E-4</v>
      </c>
      <c r="H2534">
        <v>0.85800816376899902</v>
      </c>
      <c r="I2534">
        <v>0</v>
      </c>
    </row>
    <row r="2535" spans="1:9" x14ac:dyDescent="0.25">
      <c r="A2535" s="1">
        <v>-24.248878359794599</v>
      </c>
      <c r="B2535">
        <v>-48.795781888647902</v>
      </c>
      <c r="C2535">
        <v>0.20755781984839</v>
      </c>
      <c r="D2535">
        <v>0</v>
      </c>
      <c r="E2535">
        <v>0</v>
      </c>
      <c r="F2535">
        <v>0</v>
      </c>
      <c r="G2535">
        <v>4.0966210261984701E-4</v>
      </c>
      <c r="H2535">
        <v>0.86344184936686497</v>
      </c>
      <c r="I2535">
        <v>0</v>
      </c>
    </row>
    <row r="2536" spans="1:9" x14ac:dyDescent="0.25">
      <c r="A2536" s="1">
        <v>-21.3381540775299</v>
      </c>
      <c r="B2536">
        <v>-42.939521307147103</v>
      </c>
      <c r="C2536">
        <v>0.25283482802724899</v>
      </c>
      <c r="D2536">
        <v>0</v>
      </c>
      <c r="E2536">
        <v>0</v>
      </c>
      <c r="F2536">
        <v>0</v>
      </c>
      <c r="G2536">
        <v>5.7616699292722701E-4</v>
      </c>
      <c r="H2536">
        <v>0.86937549836092198</v>
      </c>
      <c r="I2536">
        <v>0</v>
      </c>
    </row>
    <row r="2537" spans="1:9" x14ac:dyDescent="0.25">
      <c r="A2537" s="1">
        <v>-18.6677181720733</v>
      </c>
      <c r="B2537">
        <v>-37.5665802477141</v>
      </c>
      <c r="C2537">
        <v>0.30687955051343102</v>
      </c>
      <c r="D2537">
        <v>0</v>
      </c>
      <c r="E2537">
        <v>0</v>
      </c>
      <c r="F2537">
        <v>0</v>
      </c>
      <c r="G2537">
        <v>8.1340141062469196E-4</v>
      </c>
      <c r="H2537">
        <v>0.87590200392567996</v>
      </c>
      <c r="I2537">
        <v>0</v>
      </c>
    </row>
    <row r="2538" spans="1:9" x14ac:dyDescent="0.25">
      <c r="A2538" s="1">
        <v>-16.2178409099578</v>
      </c>
      <c r="B2538">
        <v>-32.6370857952842</v>
      </c>
      <c r="C2538">
        <v>0.37136015462410099</v>
      </c>
      <c r="D2538">
        <v>0</v>
      </c>
      <c r="E2538">
        <v>0</v>
      </c>
      <c r="F2538">
        <v>0</v>
      </c>
      <c r="G2538">
        <v>1.15447308060993E-3</v>
      </c>
      <c r="H2538">
        <v>0.88305627036428502</v>
      </c>
      <c r="I2538">
        <v>0</v>
      </c>
    </row>
    <row r="2539" spans="1:9" x14ac:dyDescent="0.25">
      <c r="A2539" s="1">
        <v>-13.9702051877975</v>
      </c>
      <c r="B2539">
        <v>-28.114452103593301</v>
      </c>
      <c r="C2539">
        <v>0.44835866625333198</v>
      </c>
      <c r="D2539">
        <v>0</v>
      </c>
      <c r="E2539">
        <v>0</v>
      </c>
      <c r="F2539">
        <v>0</v>
      </c>
      <c r="G2539">
        <v>1.6493935575181201E-3</v>
      </c>
      <c r="H2539">
        <v>0.89079666319542095</v>
      </c>
      <c r="I2539">
        <v>0</v>
      </c>
    </row>
    <row r="2540" spans="1:9" x14ac:dyDescent="0.25">
      <c r="A2540" s="1">
        <v>-11.908189058303799</v>
      </c>
      <c r="B2540">
        <v>-23.965110064133</v>
      </c>
      <c r="C2540">
        <v>0.54050362923272399</v>
      </c>
      <c r="D2540">
        <v>0</v>
      </c>
      <c r="E2540">
        <v>0</v>
      </c>
      <c r="F2540">
        <v>0</v>
      </c>
      <c r="G2540">
        <v>2.3738855120927801E-3</v>
      </c>
      <c r="H2540">
        <v>0.89900261830792005</v>
      </c>
      <c r="I2540">
        <v>0</v>
      </c>
    </row>
    <row r="2541" spans="1:9" x14ac:dyDescent="0.25">
      <c r="A2541" s="1">
        <v>-10.016394853591899</v>
      </c>
      <c r="B2541">
        <v>-20.158258653826</v>
      </c>
      <c r="C2541">
        <v>0.65114078488624205</v>
      </c>
      <c r="D2541">
        <v>0</v>
      </c>
      <c r="E2541">
        <v>0</v>
      </c>
      <c r="F2541">
        <v>0</v>
      </c>
      <c r="G2541">
        <v>3.44273080371522E-3</v>
      </c>
      <c r="H2541">
        <v>0.90749188367351696</v>
      </c>
      <c r="I2541">
        <v>0</v>
      </c>
    </row>
    <row r="2542" spans="1:9" x14ac:dyDescent="0.25">
      <c r="A2542" s="1">
        <v>-8.2808375358581507</v>
      </c>
      <c r="B2542">
        <v>-16.665635871908599</v>
      </c>
      <c r="C2542">
        <v>0.78455032006375602</v>
      </c>
      <c r="D2542">
        <v>0</v>
      </c>
      <c r="E2542">
        <v>0</v>
      </c>
      <c r="F2542">
        <v>0</v>
      </c>
      <c r="G2542">
        <v>5.03014291479303E-3</v>
      </c>
      <c r="H2542">
        <v>0.91605241869008203</v>
      </c>
      <c r="I2542">
        <v>0</v>
      </c>
    </row>
    <row r="2543" spans="1:9" x14ac:dyDescent="0.25">
      <c r="A2543" s="1">
        <v>-6.6885209083557102</v>
      </c>
      <c r="B2543">
        <v>-13.4613118779128</v>
      </c>
      <c r="C2543">
        <v>0.94622391739916301</v>
      </c>
      <c r="D2543">
        <v>0</v>
      </c>
      <c r="E2543">
        <v>0</v>
      </c>
      <c r="F2543">
        <v>0</v>
      </c>
      <c r="G2543">
        <v>7.4012214400909198E-3</v>
      </c>
      <c r="H2543">
        <v>0.924477686835808</v>
      </c>
      <c r="I2543">
        <v>0</v>
      </c>
    </row>
    <row r="2544" spans="1:9" x14ac:dyDescent="0.25">
      <c r="A2544" s="1">
        <v>-5.2277201414108196</v>
      </c>
      <c r="B2544">
        <v>-10.521496495067099</v>
      </c>
      <c r="C2544">
        <v>1.1432202423379401</v>
      </c>
      <c r="D2544">
        <v>0</v>
      </c>
      <c r="E2544">
        <v>0</v>
      </c>
      <c r="F2544">
        <v>0</v>
      </c>
      <c r="G2544">
        <v>1.0961225691235E-2</v>
      </c>
      <c r="H2544">
        <v>0.93259428922582399</v>
      </c>
      <c r="I2544">
        <v>0</v>
      </c>
    </row>
    <row r="2545" spans="1:9" x14ac:dyDescent="0.25">
      <c r="A2545" s="1">
        <v>-3.88755798339843</v>
      </c>
      <c r="B2545">
        <v>-7.8243563777049898</v>
      </c>
      <c r="C2545">
        <v>1.38463037755609</v>
      </c>
      <c r="D2545">
        <v>0</v>
      </c>
      <c r="E2545">
        <v>0</v>
      </c>
      <c r="F2545">
        <v>0</v>
      </c>
      <c r="G2545">
        <v>1.6333877734350601E-2</v>
      </c>
      <c r="H2545">
        <v>0.94027557688973096</v>
      </c>
      <c r="I2545">
        <v>0</v>
      </c>
    </row>
    <row r="2546" spans="1:9" x14ac:dyDescent="0.25">
      <c r="A2546" s="1">
        <v>-2.6580518484115601</v>
      </c>
      <c r="B2546">
        <v>-5.3498687451919498</v>
      </c>
      <c r="C2546">
        <v>1.6821980922056801</v>
      </c>
      <c r="D2546">
        <v>0</v>
      </c>
      <c r="E2546">
        <v>0</v>
      </c>
      <c r="F2546">
        <v>0</v>
      </c>
      <c r="G2546">
        <v>2.4487328596496799E-2</v>
      </c>
      <c r="H2546">
        <v>0.94744163038508</v>
      </c>
      <c r="I2546">
        <v>0</v>
      </c>
    </row>
    <row r="2547" spans="1:9" x14ac:dyDescent="0.25">
      <c r="A2547" s="1">
        <v>-1.5300196409225399</v>
      </c>
      <c r="B2547">
        <v>-3.07965422069933</v>
      </c>
      <c r="C2547">
        <v>2.0511613650846598</v>
      </c>
      <c r="D2547">
        <v>0</v>
      </c>
      <c r="E2547">
        <v>0</v>
      </c>
      <c r="F2547">
        <v>0</v>
      </c>
      <c r="G2547">
        <v>3.6938908646370602E-2</v>
      </c>
      <c r="H2547">
        <v>0.95405068133425897</v>
      </c>
      <c r="I2547">
        <v>0</v>
      </c>
    </row>
    <row r="2548" spans="1:9" x14ac:dyDescent="0.25">
      <c r="A2548" s="1">
        <v>-0.49517393112182601</v>
      </c>
      <c r="B2548">
        <v>-0.99685459455754399</v>
      </c>
      <c r="C2548">
        <v>2.5114135921865599</v>
      </c>
      <c r="D2548">
        <v>0</v>
      </c>
      <c r="E2548">
        <v>0</v>
      </c>
      <c r="F2548">
        <v>0</v>
      </c>
      <c r="G2548">
        <v>5.7420733251783498E-2</v>
      </c>
      <c r="H2548">
        <v>0.96101221723654495</v>
      </c>
      <c r="I2548">
        <v>0</v>
      </c>
    </row>
    <row r="2549" spans="1:9" x14ac:dyDescent="0.25">
      <c r="A2549" s="1">
        <v>0.49376130104064903</v>
      </c>
      <c r="B2549">
        <v>0.35106666961405603</v>
      </c>
      <c r="C2549">
        <v>2.9032626613683199</v>
      </c>
      <c r="D2549">
        <v>0.252222518053625</v>
      </c>
      <c r="E2549">
        <v>-3.7136408232494699E-4</v>
      </c>
      <c r="F2549" s="1">
        <v>8.9503300666602699E-5</v>
      </c>
      <c r="G2549">
        <v>2.9649993301605299E-2</v>
      </c>
      <c r="H2549">
        <v>0.81636948206631699</v>
      </c>
      <c r="I2549" s="1">
        <v>6.3403753698761997E-7</v>
      </c>
    </row>
    <row r="2550" spans="1:9" x14ac:dyDescent="0.25">
      <c r="A2550" s="1">
        <v>1.5257111191749499</v>
      </c>
      <c r="B2550">
        <v>1.08407491536531</v>
      </c>
      <c r="C2550">
        <v>3.1753218658850799</v>
      </c>
      <c r="D2550">
        <v>0.85328827093425197</v>
      </c>
      <c r="E2550">
        <v>-3.4822002405759602E-3</v>
      </c>
      <c r="F2550">
        <v>3.0525209189053099E-4</v>
      </c>
      <c r="G2550">
        <v>4.7660240626150603E-2</v>
      </c>
      <c r="H2550">
        <v>0.87075706025769295</v>
      </c>
      <c r="I2550" s="1">
        <v>2.4421018334188001E-5</v>
      </c>
    </row>
    <row r="2551" spans="1:9" x14ac:dyDescent="0.25">
      <c r="A2551" s="1">
        <v>2.6505178213119498</v>
      </c>
      <c r="B2551">
        <v>1.8770522510418599</v>
      </c>
      <c r="C2551">
        <v>3.5466848103258801</v>
      </c>
      <c r="D2551">
        <v>1.6319570118856399</v>
      </c>
      <c r="E2551">
        <v>-1.3962176822756399E-2</v>
      </c>
      <c r="F2551">
        <v>5.8456249848877701E-4</v>
      </c>
      <c r="G2551">
        <v>6.7286021952405101E-2</v>
      </c>
      <c r="H2551">
        <v>0.89295922878168599</v>
      </c>
      <c r="I2551">
        <v>1.3581659168183699E-4</v>
      </c>
    </row>
    <row r="2552" spans="1:9" x14ac:dyDescent="0.25">
      <c r="A2552" s="1">
        <v>3.8765159249305698</v>
      </c>
      <c r="B2552">
        <v>2.7262062063226402</v>
      </c>
      <c r="C2552">
        <v>4.05090769605492</v>
      </c>
      <c r="D2552">
        <v>2.6147743268482202</v>
      </c>
      <c r="E2552">
        <v>-3.6169190017533298E-2</v>
      </c>
      <c r="F2552">
        <v>9.2014975489736097E-4</v>
      </c>
      <c r="G2552">
        <v>8.44825963201635E-2</v>
      </c>
      <c r="H2552">
        <v>0.896904365774571</v>
      </c>
      <c r="I2552">
        <v>3.4063261175384398E-4</v>
      </c>
    </row>
    <row r="2553" spans="1:9" x14ac:dyDescent="0.25">
      <c r="A2553" s="1">
        <v>5.2129346132278398</v>
      </c>
      <c r="B2553">
        <v>3.6211978593627001</v>
      </c>
      <c r="C2553">
        <v>4.6989683802403697</v>
      </c>
      <c r="D2553">
        <v>3.7776896899107002</v>
      </c>
      <c r="E2553">
        <v>-7.4842607025973507E-2</v>
      </c>
      <c r="F2553">
        <v>1.27384293258551E-3</v>
      </c>
      <c r="G2553">
        <v>9.5491739330369904E-2</v>
      </c>
      <c r="H2553">
        <v>0.88721841188360895</v>
      </c>
      <c r="I2553">
        <v>6.9214868509774802E-4</v>
      </c>
    </row>
    <row r="2554" spans="1:9" x14ac:dyDescent="0.25">
      <c r="A2554" s="1">
        <v>6.6695916652679399</v>
      </c>
      <c r="B2554">
        <v>4.5437523090997702</v>
      </c>
      <c r="C2554">
        <v>5.4541265507280601</v>
      </c>
      <c r="D2554">
        <v>5.0187239461006099</v>
      </c>
      <c r="E2554">
        <v>-0.13248434749822699</v>
      </c>
      <c r="F2554">
        <v>1.5774273462480499E-3</v>
      </c>
      <c r="G2554">
        <v>9.9955775577118003E-2</v>
      </c>
      <c r="H2554">
        <v>0.86644118714467799</v>
      </c>
      <c r="I2554">
        <v>1.5886092850896599E-3</v>
      </c>
    </row>
    <row r="2555" spans="1:9" x14ac:dyDescent="0.25">
      <c r="A2555" s="1">
        <v>8.2573878765106201</v>
      </c>
      <c r="B2555">
        <v>5.4686407474586698</v>
      </c>
      <c r="C2555">
        <v>6.22553805022382</v>
      </c>
      <c r="D2555">
        <v>6.1727513303100396</v>
      </c>
      <c r="E2555">
        <v>-0.20736350742135101</v>
      </c>
      <c r="F2555">
        <v>1.7534595098149201E-3</v>
      </c>
      <c r="G2555">
        <v>0.101136229050871</v>
      </c>
      <c r="H2555">
        <v>0.83847202011034305</v>
      </c>
      <c r="I2555">
        <v>3.99186699244741E-3</v>
      </c>
    </row>
    <row r="2556" spans="1:9" x14ac:dyDescent="0.25">
      <c r="A2556" s="1">
        <v>9.9880245327949506</v>
      </c>
      <c r="B2556">
        <v>6.3677424771497</v>
      </c>
      <c r="C2556">
        <v>6.8968469207475902</v>
      </c>
      <c r="D2556">
        <v>7.0756828456061198</v>
      </c>
      <c r="E2556">
        <v>-0.29338981026170402</v>
      </c>
      <c r="F2556">
        <v>1.7407798359141101E-3</v>
      </c>
      <c r="G2556">
        <v>0.102874144208492</v>
      </c>
      <c r="H2556">
        <v>0.808967202117296</v>
      </c>
      <c r="I2556">
        <v>8.0004451028962004E-3</v>
      </c>
    </row>
    <row r="2557" spans="1:9" x14ac:dyDescent="0.25">
      <c r="A2557" s="1">
        <v>11.874474287032999</v>
      </c>
      <c r="B2557">
        <v>7.2161442069122499</v>
      </c>
      <c r="C2557">
        <v>7.3745138990085604</v>
      </c>
      <c r="D2557">
        <v>7.6322414506635798</v>
      </c>
      <c r="E2557">
        <v>-0.38246504616760502</v>
      </c>
      <c r="F2557">
        <v>1.53963232868071E-3</v>
      </c>
      <c r="G2557">
        <v>0.106211642079326</v>
      </c>
      <c r="H2557">
        <v>0.78179756218459695</v>
      </c>
      <c r="I2557">
        <v>1.09209063269304E-2</v>
      </c>
    </row>
    <row r="2558" spans="1:9" x14ac:dyDescent="0.25">
      <c r="A2558" s="1">
        <v>13.9306750893592</v>
      </c>
      <c r="B2558">
        <v>7.9970587705979099</v>
      </c>
      <c r="C2558">
        <v>7.6185544737029796</v>
      </c>
      <c r="D2558">
        <v>7.8367277497949699</v>
      </c>
      <c r="E2558">
        <v>-0.46746765961303899</v>
      </c>
      <c r="F2558">
        <v>1.2221680275544601E-3</v>
      </c>
      <c r="G2558">
        <v>0.109473981685819</v>
      </c>
      <c r="H2558">
        <v>0.75720658467635305</v>
      </c>
      <c r="I2558">
        <v>1.00733689153554E-2</v>
      </c>
    </row>
    <row r="2559" spans="1:9" x14ac:dyDescent="0.25">
      <c r="A2559" s="1">
        <v>16.171883344650201</v>
      </c>
      <c r="B2559">
        <v>8.7031394323119908</v>
      </c>
      <c r="C2559">
        <v>7.6396632283036698</v>
      </c>
      <c r="D2559">
        <v>7.7457476197180002</v>
      </c>
      <c r="E2559">
        <v>-0.54379736432589798</v>
      </c>
      <c r="F2559">
        <v>9.0646164277191795E-4</v>
      </c>
      <c r="G2559">
        <v>0.11067642354535701</v>
      </c>
      <c r="H2559">
        <v>0.73383596460512401</v>
      </c>
      <c r="I2559">
        <v>5.8150700244598303E-3</v>
      </c>
    </row>
    <row r="2560" spans="1:9" x14ac:dyDescent="0.25">
      <c r="A2560" s="1">
        <v>18.614838719367899</v>
      </c>
      <c r="B2560">
        <v>9.3346494709858607</v>
      </c>
      <c r="C2560">
        <v>7.4779173818691902</v>
      </c>
      <c r="D2560">
        <v>7.4391798633707999</v>
      </c>
      <c r="E2560">
        <v>-0.60935704947488301</v>
      </c>
      <c r="F2560">
        <v>7.1567624184049397E-4</v>
      </c>
      <c r="G2560">
        <v>0.109013540422122</v>
      </c>
      <c r="H2560">
        <v>0.71062941971998195</v>
      </c>
      <c r="I2560">
        <v>2.4388476777348399E-4</v>
      </c>
    </row>
    <row r="2561" spans="1:9" x14ac:dyDescent="0.25">
      <c r="A2561" s="1">
        <v>21.2777170538902</v>
      </c>
      <c r="B2561">
        <v>9.8965201427945804</v>
      </c>
      <c r="C2561">
        <v>7.1824526167388996</v>
      </c>
      <c r="D2561">
        <v>6.9936686021859904</v>
      </c>
      <c r="E2561">
        <v>-0.66382323832698498</v>
      </c>
      <c r="F2561">
        <v>7.38849322602792E-4</v>
      </c>
      <c r="G2561">
        <v>0.104809763225456</v>
      </c>
      <c r="H2561">
        <v>0.68724242776030897</v>
      </c>
      <c r="I2561">
        <v>-4.9178029101785096E-3</v>
      </c>
    </row>
    <row r="2562" spans="1:9" x14ac:dyDescent="0.25">
      <c r="A2562" s="1">
        <v>24.180224537849401</v>
      </c>
      <c r="B2562">
        <v>10.3959184853145</v>
      </c>
      <c r="C2562">
        <v>6.7994923327557197</v>
      </c>
      <c r="D2562">
        <v>6.4712654656642297</v>
      </c>
      <c r="E2562">
        <v>-0.70787196419574905</v>
      </c>
      <c r="F2562">
        <v>1.0129920006694401E-3</v>
      </c>
      <c r="G2562">
        <v>9.8875477923274196E-2</v>
      </c>
      <c r="H2562">
        <v>0.66379214437973</v>
      </c>
      <c r="I2562">
        <v>-8.9177745770365104E-3</v>
      </c>
    </row>
    <row r="2563" spans="1:9" x14ac:dyDescent="0.25">
      <c r="A2563" s="1">
        <v>27.343950867652801</v>
      </c>
      <c r="B2563">
        <v>10.840667643935401</v>
      </c>
      <c r="C2563">
        <v>6.3674965136992396</v>
      </c>
      <c r="D2563">
        <v>5.9177162638539604</v>
      </c>
      <c r="E2563">
        <v>-0.74261423436132801</v>
      </c>
      <c r="F2563">
        <v>1.4712571929759301E-3</v>
      </c>
      <c r="G2563">
        <v>9.19834700773247E-2</v>
      </c>
      <c r="H2563">
        <v>0.64062301522777299</v>
      </c>
      <c r="I2563">
        <v>-1.1645954172987799E-2</v>
      </c>
    </row>
    <row r="2564" spans="1:9" x14ac:dyDescent="0.25">
      <c r="A2564" s="1">
        <v>30.7923927903175</v>
      </c>
      <c r="B2564">
        <v>11.2385113624641</v>
      </c>
      <c r="C2564">
        <v>5.9161963076410498</v>
      </c>
      <c r="D2564">
        <v>5.3650162828559296</v>
      </c>
      <c r="E2564">
        <v>-0.76926890090026101</v>
      </c>
      <c r="F2564">
        <v>2.02259516130432E-3</v>
      </c>
      <c r="G2564">
        <v>8.4673140875882194E-2</v>
      </c>
      <c r="H2564">
        <v>0.61816380605944399</v>
      </c>
      <c r="I2564">
        <v>-1.3240005132048999E-2</v>
      </c>
    </row>
    <row r="2565" spans="1:9" x14ac:dyDescent="0.25">
      <c r="A2565" s="1">
        <v>34.551213085651298</v>
      </c>
      <c r="B2565">
        <v>11.5967086171517</v>
      </c>
      <c r="C2565">
        <v>5.4672069282129598</v>
      </c>
      <c r="D2565">
        <v>4.8342519572728202</v>
      </c>
      <c r="E2565">
        <v>-0.78900711017964498</v>
      </c>
      <c r="F2565">
        <v>2.61292203602156E-3</v>
      </c>
      <c r="G2565">
        <v>7.7261094580569095E-2</v>
      </c>
      <c r="H2565">
        <v>0.59683594780134797</v>
      </c>
      <c r="I2565">
        <v>-1.3898038880581101E-2</v>
      </c>
    </row>
    <row r="2566" spans="1:9" x14ac:dyDescent="0.25">
      <c r="A2566" s="1">
        <v>38.6483111977577</v>
      </c>
      <c r="B2566">
        <v>11.921837202251799</v>
      </c>
      <c r="C2566">
        <v>5.0351578880379497</v>
      </c>
      <c r="D2566">
        <v>4.3382867491042303</v>
      </c>
      <c r="E2566">
        <v>-0.80284963015481103</v>
      </c>
      <c r="F2566">
        <v>3.1108659512435201E-3</v>
      </c>
      <c r="G2566">
        <v>6.9936428834375494E-2</v>
      </c>
      <c r="H2566">
        <v>0.57703566478754098</v>
      </c>
      <c r="I2566">
        <v>-1.38193118891431E-2</v>
      </c>
    </row>
    <row r="2567" spans="1:9" x14ac:dyDescent="0.25">
      <c r="A2567" s="1">
        <v>43.1141293048858</v>
      </c>
      <c r="B2567">
        <v>12.2197477606842</v>
      </c>
      <c r="C2567">
        <v>4.6291050751813803</v>
      </c>
      <c r="D2567">
        <v>3.88425624620203</v>
      </c>
      <c r="E2567">
        <v>-0.81163669456016396</v>
      </c>
      <c r="F2567">
        <v>3.4690933954080101E-3</v>
      </c>
      <c r="G2567">
        <v>6.2826010267790194E-2</v>
      </c>
      <c r="H2567">
        <v>0.55903805703349996</v>
      </c>
      <c r="I2567">
        <v>-1.3190700918196E-2</v>
      </c>
    </row>
    <row r="2568" spans="1:9" x14ac:dyDescent="0.25">
      <c r="A2568" s="1">
        <v>47.981887757778097</v>
      </c>
      <c r="B2568">
        <v>12.495459308267501</v>
      </c>
      <c r="C2568">
        <v>4.25396228678522</v>
      </c>
      <c r="D2568">
        <v>3.4754585994962701</v>
      </c>
      <c r="E2568">
        <v>-0.81607270751211303</v>
      </c>
      <c r="F2568">
        <v>3.6298645400160401E-3</v>
      </c>
      <c r="G2568">
        <v>5.6019585540026097E-2</v>
      </c>
      <c r="H2568">
        <v>0.54287118122405797</v>
      </c>
      <c r="I2568">
        <v>-1.2192598824986699E-2</v>
      </c>
    </row>
    <row r="2569" spans="1:9" x14ac:dyDescent="0.25">
      <c r="A2569" s="1">
        <v>53.287820518016801</v>
      </c>
      <c r="B2569">
        <v>12.7531759498426</v>
      </c>
      <c r="C2569">
        <v>3.9113753716330599</v>
      </c>
      <c r="D2569">
        <v>3.1116519289993101</v>
      </c>
      <c r="E2569">
        <v>-0.81669142849912302</v>
      </c>
      <c r="F2569">
        <v>3.5364251582630101E-3</v>
      </c>
      <c r="G2569">
        <v>4.9613140957295798E-2</v>
      </c>
      <c r="H2569">
        <v>0.52852495310487502</v>
      </c>
      <c r="I2569">
        <v>-1.0988149141130599E-2</v>
      </c>
    </row>
    <row r="2570" spans="1:9" x14ac:dyDescent="0.25">
      <c r="A2570" s="1">
        <v>59.071175158023799</v>
      </c>
      <c r="B2570">
        <v>12.996420608253199</v>
      </c>
      <c r="C2570">
        <v>3.60093115071873</v>
      </c>
      <c r="D2570">
        <v>2.7906240262098501</v>
      </c>
      <c r="E2570">
        <v>-0.81390032466600903</v>
      </c>
      <c r="F2570">
        <v>3.1378996074961801E-3</v>
      </c>
      <c r="G2570">
        <v>4.3703881252027899E-2</v>
      </c>
      <c r="H2570">
        <v>0.51589742887995205</v>
      </c>
      <c r="I2570">
        <v>-9.7297803482798099E-3</v>
      </c>
    </row>
    <row r="2571" spans="1:9" x14ac:dyDescent="0.25">
      <c r="A2571" s="1">
        <v>65.375131070613804</v>
      </c>
      <c r="B2571">
        <v>13.228085172713699</v>
      </c>
      <c r="C2571">
        <v>3.3212106803499699</v>
      </c>
      <c r="D2571">
        <v>2.5094681152415799</v>
      </c>
      <c r="E2571">
        <v>-0.80800273255788702</v>
      </c>
      <c r="F2571">
        <v>2.524257876628E-3</v>
      </c>
      <c r="G2571">
        <v>3.8340956945406901E-2</v>
      </c>
      <c r="H2571">
        <v>0.50458941826874504</v>
      </c>
      <c r="I2571">
        <v>-8.5166308445977293E-3</v>
      </c>
    </row>
    <row r="2572" spans="1:9" x14ac:dyDescent="0.25">
      <c r="A2572" s="1">
        <v>72.246375679969702</v>
      </c>
      <c r="B2572">
        <v>13.4505600487599</v>
      </c>
      <c r="C2572">
        <v>3.0695677836229902</v>
      </c>
      <c r="D2572">
        <v>2.2641410240865198</v>
      </c>
      <c r="E2572">
        <v>-0.79923308266276705</v>
      </c>
      <c r="F2572">
        <v>1.79538587943384E-3</v>
      </c>
      <c r="G2572">
        <v>3.35490981884611E-2</v>
      </c>
      <c r="H2572">
        <v>0.49433120531956198</v>
      </c>
      <c r="I2572">
        <v>-7.4100564934368902E-3</v>
      </c>
    </row>
    <row r="2573" spans="1:9" x14ac:dyDescent="0.25">
      <c r="A2573" s="1">
        <v>79.736069738864799</v>
      </c>
      <c r="B2573">
        <v>13.6658093808004</v>
      </c>
      <c r="C2573">
        <v>2.8426306451577701</v>
      </c>
      <c r="D2573">
        <v>2.0500301445793498</v>
      </c>
      <c r="E2573">
        <v>-0.78772952997087498</v>
      </c>
      <c r="F2573">
        <v>1.13186284257044E-3</v>
      </c>
      <c r="G2573">
        <v>2.9288491192332299E-2</v>
      </c>
      <c r="H2573">
        <v>0.48467776043071098</v>
      </c>
      <c r="I2573">
        <v>-6.4179108221246997E-3</v>
      </c>
    </row>
    <row r="2574" spans="1:9" x14ac:dyDescent="0.25">
      <c r="A2574" s="1">
        <v>87.899753153324099</v>
      </c>
      <c r="B2574">
        <v>13.875404484362299</v>
      </c>
      <c r="C2574">
        <v>2.6367736477886501</v>
      </c>
      <c r="D2574">
        <v>1.8625036674973801</v>
      </c>
      <c r="E2574">
        <v>-0.77353495249097304</v>
      </c>
      <c r="F2574">
        <v>7.4418791921599802E-4</v>
      </c>
      <c r="G2574">
        <v>2.5521375197695501E-2</v>
      </c>
      <c r="H2574">
        <v>0.47551357823392298</v>
      </c>
      <c r="I2574">
        <v>-5.5473301436160301E-3</v>
      </c>
    </row>
    <row r="2575" spans="1:9" x14ac:dyDescent="0.25">
      <c r="A2575" s="1">
        <v>96.798263192176805</v>
      </c>
      <c r="B2575">
        <v>14.0805781734893</v>
      </c>
      <c r="C2575">
        <v>2.4487059523535901</v>
      </c>
      <c r="D2575">
        <v>1.6976776553171899</v>
      </c>
      <c r="E2575">
        <v>-0.75672474734936801</v>
      </c>
      <c r="F2575">
        <v>8.1195116864135695E-4</v>
      </c>
      <c r="G2575">
        <v>2.2202432707544701E-2</v>
      </c>
      <c r="H2575">
        <v>0.46659719573932901</v>
      </c>
      <c r="I2575">
        <v>-4.7881205505624002E-3</v>
      </c>
    </row>
    <row r="2576" spans="1:9" x14ac:dyDescent="0.25">
      <c r="A2576" s="1">
        <v>106.497616767883</v>
      </c>
      <c r="B2576">
        <v>14.282379384876201</v>
      </c>
      <c r="C2576">
        <v>2.2751241297485101</v>
      </c>
      <c r="D2576">
        <v>1.5515949429182401</v>
      </c>
      <c r="E2576">
        <v>-0.73721034682160502</v>
      </c>
      <c r="F2576">
        <v>1.0691796622147899E-3</v>
      </c>
      <c r="G2576">
        <v>1.92924912999515E-2</v>
      </c>
      <c r="H2576">
        <v>0.45791023958412902</v>
      </c>
      <c r="I2576">
        <v>-4.1328493017642604E-3</v>
      </c>
    </row>
    <row r="2577" spans="1:9" x14ac:dyDescent="0.25">
      <c r="A2577" s="1">
        <v>117.06990510225199</v>
      </c>
      <c r="B2577">
        <v>14.4819615309843</v>
      </c>
      <c r="C2577">
        <v>2.1120975428489199</v>
      </c>
      <c r="D2577">
        <v>1.4203598735921099</v>
      </c>
      <c r="E2577">
        <v>-0.71475474459109001</v>
      </c>
      <c r="F2577">
        <v>1.2475952753736E-3</v>
      </c>
      <c r="G2577">
        <v>1.67483656266855E-2</v>
      </c>
      <c r="H2577">
        <v>0.450058569242203</v>
      </c>
      <c r="I2577">
        <v>-3.56831963277116E-3</v>
      </c>
    </row>
    <row r="2578" spans="1:9" x14ac:dyDescent="0.25">
      <c r="A2578" s="1">
        <v>128.593670427799</v>
      </c>
      <c r="B2578">
        <v>14.6802816098341</v>
      </c>
      <c r="C2578">
        <v>1.9576475678129099</v>
      </c>
      <c r="D2578">
        <v>1.3012273377302599</v>
      </c>
      <c r="E2578">
        <v>-0.689394070843109</v>
      </c>
      <c r="F2578">
        <v>1.54185605031565E-3</v>
      </c>
      <c r="G2578">
        <v>1.4494455453480101E-2</v>
      </c>
      <c r="H2578">
        <v>0.44264194170624899</v>
      </c>
      <c r="I2578">
        <v>-3.0650092799287898E-3</v>
      </c>
    </row>
    <row r="2579" spans="1:9" x14ac:dyDescent="0.25">
      <c r="A2579" s="1">
        <v>141.15461230278001</v>
      </c>
      <c r="B2579">
        <v>14.8777617035219</v>
      </c>
      <c r="C2579">
        <v>1.80991532831529</v>
      </c>
      <c r="D2579">
        <v>1.1918720995888401</v>
      </c>
      <c r="E2579">
        <v>-0.66091094622672597</v>
      </c>
      <c r="F2579">
        <v>2.17375640571056E-3</v>
      </c>
      <c r="G2579">
        <v>1.2482092700583E-2</v>
      </c>
      <c r="H2579">
        <v>0.43544786043061401</v>
      </c>
      <c r="I2579">
        <v>-2.6140410896360001E-3</v>
      </c>
    </row>
    <row r="2580" spans="1:9" x14ac:dyDescent="0.25">
      <c r="A2580" s="1">
        <v>154.84601140022201</v>
      </c>
      <c r="B2580">
        <v>15.0742053976068</v>
      </c>
      <c r="C2580">
        <v>1.66743896040693</v>
      </c>
      <c r="D2580">
        <v>1.0902355859345401</v>
      </c>
      <c r="E2580">
        <v>-0.62912968359958799</v>
      </c>
      <c r="F2580">
        <v>2.2907343575228399E-3</v>
      </c>
      <c r="G2580">
        <v>1.0676139232213101E-2</v>
      </c>
      <c r="H2580">
        <v>0.42797264120610901</v>
      </c>
      <c r="I2580">
        <v>-2.20842988099178E-3</v>
      </c>
    </row>
    <row r="2581" spans="1:9" x14ac:dyDescent="0.25">
      <c r="A2581" s="1">
        <v>169.76969480514501</v>
      </c>
      <c r="B2581">
        <v>15.2695583646902</v>
      </c>
      <c r="C2581">
        <v>1.52791178641589</v>
      </c>
      <c r="D2581">
        <v>0.99399402026421402</v>
      </c>
      <c r="E2581">
        <v>-0.59358633414010098</v>
      </c>
      <c r="F2581">
        <v>1.9056667125939601E-3</v>
      </c>
      <c r="G2581">
        <v>9.05969751869087E-3</v>
      </c>
      <c r="H2581">
        <v>0.42050627021881498</v>
      </c>
      <c r="I2581">
        <v>-1.8451674236732601E-3</v>
      </c>
    </row>
    <row r="2582" spans="1:9" x14ac:dyDescent="0.25">
      <c r="A2582" s="1">
        <v>186.03645980358101</v>
      </c>
      <c r="B2582">
        <v>15.4643429836044</v>
      </c>
      <c r="C2582">
        <v>1.3894892367692599</v>
      </c>
      <c r="D2582">
        <v>0.90132466351643004</v>
      </c>
      <c r="E2582">
        <v>-0.55380113500139905</v>
      </c>
      <c r="F2582">
        <v>1.7273047248379E-3</v>
      </c>
      <c r="G2582">
        <v>7.6133021917276604E-3</v>
      </c>
      <c r="H2582">
        <v>0.413589525051552</v>
      </c>
      <c r="I2582">
        <v>-1.52279357586796E-3</v>
      </c>
    </row>
    <row r="2583" spans="1:9" x14ac:dyDescent="0.25">
      <c r="A2583" s="1">
        <v>203.76720398664401</v>
      </c>
      <c r="B2583">
        <v>15.6581079190382</v>
      </c>
      <c r="C2583">
        <v>1.2521226685092599</v>
      </c>
      <c r="D2583">
        <v>0.810613333230218</v>
      </c>
      <c r="E2583">
        <v>-0.50966547839329501</v>
      </c>
      <c r="F2583">
        <v>1.49897937127584E-3</v>
      </c>
      <c r="G2583">
        <v>6.3121978881323596E-3</v>
      </c>
      <c r="H2583">
        <v>0.40629057357580201</v>
      </c>
      <c r="I2583">
        <v>-1.2350807063089401E-3</v>
      </c>
    </row>
    <row r="2584" spans="1:9" x14ac:dyDescent="0.25">
      <c r="A2584" s="1">
        <v>223.09376105666101</v>
      </c>
      <c r="B2584">
        <v>15.849189916790399</v>
      </c>
      <c r="C2584">
        <v>1.11487420248942</v>
      </c>
      <c r="D2584">
        <v>0.721061600339576</v>
      </c>
      <c r="E2584">
        <v>-0.46072409984041202</v>
      </c>
      <c r="F2584">
        <v>1.1817266529891299E-3</v>
      </c>
      <c r="G2584">
        <v>5.1313047259401801E-3</v>
      </c>
      <c r="H2584">
        <v>0.39888781447478899</v>
      </c>
      <c r="I2584">
        <v>-9.7203934031812205E-4</v>
      </c>
    </row>
    <row r="2585" spans="1:9" x14ac:dyDescent="0.25">
      <c r="A2585" s="1">
        <v>244.15970131754801</v>
      </c>
      <c r="B2585">
        <v>16.0362057177135</v>
      </c>
      <c r="C2585">
        <v>0.97681254066934697</v>
      </c>
      <c r="D2585">
        <v>0.63068948291427696</v>
      </c>
      <c r="E2585">
        <v>-0.40637520783109699</v>
      </c>
      <c r="F2585">
        <v>4.0174385745501197E-4</v>
      </c>
      <c r="G2585">
        <v>4.0706774479454602E-3</v>
      </c>
      <c r="H2585">
        <v>0.39200600273005898</v>
      </c>
      <c r="I2585">
        <v>-7.3761472509964595E-4</v>
      </c>
    </row>
    <row r="2586" spans="1:9" x14ac:dyDescent="0.25">
      <c r="A2586" s="1">
        <v>267.12157949805197</v>
      </c>
      <c r="B2586">
        <v>16.216292685807598</v>
      </c>
      <c r="C2586">
        <v>0.83882806377788199</v>
      </c>
      <c r="D2586">
        <v>0.54050381283788196</v>
      </c>
      <c r="E2586">
        <v>-0.34625909531013699</v>
      </c>
      <c r="F2586">
        <v>-6.1030627109368105E-4</v>
      </c>
      <c r="G2586">
        <v>3.1406346765586201E-3</v>
      </c>
      <c r="H2586">
        <v>0.38613148808603498</v>
      </c>
      <c r="I2586">
        <v>-5.3967755457985905E-4</v>
      </c>
    </row>
    <row r="2587" spans="1:9" x14ac:dyDescent="0.25">
      <c r="A2587" s="1">
        <v>292.15002954006098</v>
      </c>
      <c r="B2587">
        <v>16.3847410535225</v>
      </c>
      <c r="C2587">
        <v>0.70133788517808104</v>
      </c>
      <c r="D2587">
        <v>0.44932560866063598</v>
      </c>
      <c r="E2587">
        <v>-0.279862345753431</v>
      </c>
      <c r="F2587">
        <v>-1.1813032029048701E-3</v>
      </c>
      <c r="G2587">
        <v>2.3460421666412E-3</v>
      </c>
      <c r="H2587">
        <v>0.38249138015582201</v>
      </c>
      <c r="I2587">
        <v>-3.7958916498224998E-4</v>
      </c>
    </row>
    <row r="2588" spans="1:9" x14ac:dyDescent="0.25">
      <c r="A2588" s="1">
        <v>319.43101242184599</v>
      </c>
      <c r="B2588">
        <v>16.5320894954511</v>
      </c>
      <c r="C2588">
        <v>0.57159638668677404</v>
      </c>
      <c r="D2588">
        <v>0.36176710826118902</v>
      </c>
      <c r="E2588">
        <v>-0.20686373866650801</v>
      </c>
      <c r="F2588">
        <v>-8.9975152747892703E-4</v>
      </c>
      <c r="G2588">
        <v>1.70359822884618E-3</v>
      </c>
      <c r="H2588">
        <v>0.38238077367909301</v>
      </c>
      <c r="I2588">
        <v>-2.6190866158629301E-4</v>
      </c>
    </row>
    <row r="2589" spans="1:9" x14ac:dyDescent="0.25">
      <c r="A2589" s="1">
        <v>349.16732590645501</v>
      </c>
      <c r="B2589">
        <v>16.646402700037601</v>
      </c>
      <c r="C2589">
        <v>0.46382426548023198</v>
      </c>
      <c r="D2589">
        <v>0.28698392454030902</v>
      </c>
      <c r="E2589">
        <v>-0.12595664818746799</v>
      </c>
      <c r="F2589">
        <v>-1.0269111264097699E-3</v>
      </c>
      <c r="G2589">
        <v>1.2600515688253101E-3</v>
      </c>
      <c r="H2589">
        <v>0.38693017543878</v>
      </c>
      <c r="I2589">
        <v>-1.9201411454080499E-4</v>
      </c>
    </row>
    <row r="2590" spans="1:9" x14ac:dyDescent="0.25">
      <c r="A2590" s="1">
        <v>379.83785875141598</v>
      </c>
      <c r="B2590">
        <v>16.706756260783401</v>
      </c>
      <c r="C2590">
        <v>0.40229067350716702</v>
      </c>
      <c r="D2590">
        <v>0.24322666865131101</v>
      </c>
      <c r="E2590">
        <v>-4.15905536957605E-2</v>
      </c>
      <c r="F2590">
        <v>-1.3641580937613499E-3</v>
      </c>
      <c r="G2590">
        <v>1.02930865221771E-3</v>
      </c>
      <c r="H2590">
        <v>0.40775393477170402</v>
      </c>
      <c r="I2590">
        <v>-1.52377066243789E-4</v>
      </c>
    </row>
    <row r="2591" spans="1:9" x14ac:dyDescent="0.25">
      <c r="A2591" s="1" t="s">
        <v>558</v>
      </c>
      <c r="B2591" s="1" t="s">
        <v>614</v>
      </c>
      <c r="C2591" s="1" t="s">
        <v>615</v>
      </c>
      <c r="D2591" s="1" t="s">
        <v>616</v>
      </c>
      <c r="E2591" s="1" t="s">
        <v>617</v>
      </c>
      <c r="F2591" s="1" t="s">
        <v>618</v>
      </c>
      <c r="G2591" s="1" t="s">
        <v>400</v>
      </c>
      <c r="H2591" s="1" t="s">
        <v>619</v>
      </c>
      <c r="I2591" s="1" t="s">
        <v>613</v>
      </c>
    </row>
    <row r="2592" spans="1:9" x14ac:dyDescent="0.25">
      <c r="A2592" s="1">
        <v>-141.555516719818</v>
      </c>
      <c r="B2592">
        <v>-711.04918974366001</v>
      </c>
      <c r="C2592">
        <v>1.10817711338294E-2</v>
      </c>
      <c r="D2592">
        <v>0</v>
      </c>
      <c r="E2592">
        <v>0</v>
      </c>
      <c r="F2592">
        <v>0</v>
      </c>
      <c r="G2592" s="1">
        <v>5.7146574014343897E-7</v>
      </c>
      <c r="H2592">
        <v>7.6421240280938302E-2</v>
      </c>
      <c r="I2592">
        <v>0</v>
      </c>
    </row>
    <row r="2593" spans="1:9" x14ac:dyDescent="0.25">
      <c r="A2593" s="1">
        <v>-128.95890593528699</v>
      </c>
      <c r="B2593">
        <v>-647.80280368056106</v>
      </c>
      <c r="C2593">
        <v>1.1374125146042101E-2</v>
      </c>
      <c r="D2593">
        <v>0</v>
      </c>
      <c r="E2593">
        <v>0</v>
      </c>
      <c r="F2593">
        <v>0</v>
      </c>
      <c r="G2593" s="1">
        <v>9.4282878951190704E-7</v>
      </c>
      <c r="H2593">
        <v>0.401356282516938</v>
      </c>
      <c r="I2593">
        <v>0</v>
      </c>
    </row>
    <row r="2594" spans="1:9" x14ac:dyDescent="0.25">
      <c r="A2594" s="1">
        <v>-117.402367591857</v>
      </c>
      <c r="B2594">
        <v>-589.77382037963696</v>
      </c>
      <c r="C2594">
        <v>1.2031551709848201E-2</v>
      </c>
      <c r="D2594">
        <v>0</v>
      </c>
      <c r="E2594">
        <v>0</v>
      </c>
      <c r="F2594">
        <v>0</v>
      </c>
      <c r="G2594" s="1">
        <v>1.6578409468670499E-6</v>
      </c>
      <c r="H2594">
        <v>0.610739008415489</v>
      </c>
      <c r="I2594">
        <v>0</v>
      </c>
    </row>
    <row r="2595" spans="1:9" x14ac:dyDescent="0.25">
      <c r="A2595" s="1">
        <v>-106.80001378059301</v>
      </c>
      <c r="B2595">
        <v>-536.53220087017803</v>
      </c>
      <c r="C2595">
        <v>1.3199566144060501E-2</v>
      </c>
      <c r="D2595">
        <v>0</v>
      </c>
      <c r="E2595">
        <v>0</v>
      </c>
      <c r="F2595">
        <v>0</v>
      </c>
      <c r="G2595" s="1">
        <v>2.7511440583838302E-6</v>
      </c>
      <c r="H2595">
        <v>0.71326001697580099</v>
      </c>
      <c r="I2595">
        <v>0</v>
      </c>
    </row>
    <row r="2596" spans="1:9" x14ac:dyDescent="0.25">
      <c r="A2596" s="1">
        <v>-97.073161005973802</v>
      </c>
      <c r="B2596">
        <v>-487.68327749695601</v>
      </c>
      <c r="C2596">
        <v>1.5054509230104599E-2</v>
      </c>
      <c r="D2596">
        <v>0</v>
      </c>
      <c r="E2596">
        <v>0</v>
      </c>
      <c r="F2596">
        <v>0</v>
      </c>
      <c r="G2596" s="1">
        <v>4.3361568825983603E-6</v>
      </c>
      <c r="H2596">
        <v>0.764407179641868</v>
      </c>
      <c r="I2596">
        <v>0</v>
      </c>
    </row>
    <row r="2597" spans="1:9" x14ac:dyDescent="0.25">
      <c r="A2597" s="1">
        <v>-88.149435520172105</v>
      </c>
      <c r="B2597">
        <v>-442.864945611618</v>
      </c>
      <c r="C2597">
        <v>1.7792824971805302E-2</v>
      </c>
      <c r="D2597">
        <v>0</v>
      </c>
      <c r="E2597">
        <v>0</v>
      </c>
      <c r="F2597">
        <v>0</v>
      </c>
      <c r="G2597" s="1">
        <v>6.61791570372383E-6</v>
      </c>
      <c r="H2597">
        <v>0.79158463238666499</v>
      </c>
      <c r="I2597">
        <v>0</v>
      </c>
    </row>
    <row r="2598" spans="1:9" x14ac:dyDescent="0.25">
      <c r="A2598" s="1">
        <v>-79.962490797042804</v>
      </c>
      <c r="B2598">
        <v>-401.74478839959897</v>
      </c>
      <c r="C2598">
        <v>2.16352989707531E-2</v>
      </c>
      <c r="D2598">
        <v>0</v>
      </c>
      <c r="E2598">
        <v>0</v>
      </c>
      <c r="F2598">
        <v>0</v>
      </c>
      <c r="G2598" s="1">
        <v>9.9125500934471604E-6</v>
      </c>
      <c r="H2598">
        <v>0.80729513451255097</v>
      </c>
      <c r="I2598">
        <v>0</v>
      </c>
    </row>
    <row r="2599" spans="1:9" x14ac:dyDescent="0.25">
      <c r="A2599" s="1">
        <v>-72.451583743095298</v>
      </c>
      <c r="B2599">
        <v>-364.017870351932</v>
      </c>
      <c r="C2599">
        <v>2.6837064211187901E-2</v>
      </c>
      <c r="D2599">
        <v>0</v>
      </c>
      <c r="E2599">
        <v>0</v>
      </c>
      <c r="F2599">
        <v>0</v>
      </c>
      <c r="G2599" s="1">
        <v>1.46785363446477E-5</v>
      </c>
      <c r="H2599">
        <v>0.81744809377495098</v>
      </c>
      <c r="I2599">
        <v>0</v>
      </c>
    </row>
    <row r="2600" spans="1:9" x14ac:dyDescent="0.25">
      <c r="A2600" s="1">
        <v>-65.560821294784503</v>
      </c>
      <c r="B2600">
        <v>-329.40431342747002</v>
      </c>
      <c r="C2600">
        <v>3.3699011812666102E-2</v>
      </c>
      <c r="D2600">
        <v>0</v>
      </c>
      <c r="E2600">
        <v>0</v>
      </c>
      <c r="F2600">
        <v>0</v>
      </c>
      <c r="G2600" s="1">
        <v>2.1564656389547701E-5</v>
      </c>
      <c r="H2600">
        <v>0.82489668580041497</v>
      </c>
      <c r="I2600">
        <v>0</v>
      </c>
    </row>
    <row r="2601" spans="1:9" x14ac:dyDescent="0.25">
      <c r="A2601" s="1">
        <v>-59.238972067832897</v>
      </c>
      <c r="B2601">
        <v>-297.64735798265701</v>
      </c>
      <c r="C2601">
        <v>4.2579130248967E-2</v>
      </c>
      <c r="D2601">
        <v>0</v>
      </c>
      <c r="E2601">
        <v>0</v>
      </c>
      <c r="F2601">
        <v>0</v>
      </c>
      <c r="G2601" s="1">
        <v>3.1480072625029698E-5</v>
      </c>
      <c r="H2601">
        <v>0.83101544640026304</v>
      </c>
      <c r="I2601">
        <v>0</v>
      </c>
    </row>
    <row r="2602" spans="1:9" x14ac:dyDescent="0.25">
      <c r="A2602" s="1">
        <v>-53.439136743545497</v>
      </c>
      <c r="B2602">
        <v>-268.51132340457201</v>
      </c>
      <c r="C2602">
        <v>5.3903631083428799E-2</v>
      </c>
      <c r="D2602">
        <v>0</v>
      </c>
      <c r="E2602">
        <v>0</v>
      </c>
      <c r="F2602">
        <v>0</v>
      </c>
      <c r="G2602" s="1">
        <v>4.56943255121267E-5</v>
      </c>
      <c r="H2602">
        <v>0.83645943547286095</v>
      </c>
      <c r="I2602">
        <v>0</v>
      </c>
    </row>
    <row r="2603" spans="1:9" x14ac:dyDescent="0.25">
      <c r="A2603" s="1">
        <v>-48.118183016777003</v>
      </c>
      <c r="B2603">
        <v>-241.78002007927699</v>
      </c>
      <c r="C2603">
        <v>6.8178354133040894E-2</v>
      </c>
      <c r="D2603">
        <v>0</v>
      </c>
      <c r="E2603">
        <v>0</v>
      </c>
      <c r="F2603">
        <v>0</v>
      </c>
      <c r="G2603" s="1">
        <v>6.5980129468261594E-5</v>
      </c>
      <c r="H2603">
        <v>0.84154406776527901</v>
      </c>
      <c r="I2603">
        <v>0</v>
      </c>
    </row>
    <row r="2604" spans="1:9" x14ac:dyDescent="0.25">
      <c r="A2604" s="1">
        <v>-43.236604332923797</v>
      </c>
      <c r="B2604">
        <v>-217.255044347308</v>
      </c>
      <c r="C2604">
        <v>8.6001250109818503E-2</v>
      </c>
      <c r="D2604">
        <v>0</v>
      </c>
      <c r="E2604">
        <v>0</v>
      </c>
      <c r="F2604">
        <v>0</v>
      </c>
      <c r="G2604" s="1">
        <v>9.4820715809476E-5</v>
      </c>
      <c r="H2604">
        <v>0.84643678234627395</v>
      </c>
      <c r="I2604">
        <v>0</v>
      </c>
    </row>
    <row r="2605" spans="1:9" x14ac:dyDescent="0.25">
      <c r="A2605" s="1">
        <v>-38.758049011230398</v>
      </c>
      <c r="B2605">
        <v>-194.75435763325501</v>
      </c>
      <c r="C2605">
        <v>0.10807717693227301</v>
      </c>
      <c r="D2605">
        <v>0</v>
      </c>
      <c r="E2605">
        <v>0</v>
      </c>
      <c r="F2605">
        <v>0</v>
      </c>
      <c r="G2605">
        <v>1.35717770076553E-4</v>
      </c>
      <c r="H2605">
        <v>0.85125204905299801</v>
      </c>
      <c r="I2605">
        <v>0</v>
      </c>
    </row>
    <row r="2606" spans="1:9" x14ac:dyDescent="0.25">
      <c r="A2606" s="1">
        <v>-34.649320244789102</v>
      </c>
      <c r="B2606">
        <v>-174.110940797887</v>
      </c>
      <c r="C2606">
        <v>0.13523697241456201</v>
      </c>
      <c r="D2606">
        <v>0</v>
      </c>
      <c r="E2606">
        <v>0</v>
      </c>
      <c r="F2606">
        <v>0</v>
      </c>
      <c r="G2606">
        <v>1.9365954275453801E-4</v>
      </c>
      <c r="H2606">
        <v>0.85609663894947197</v>
      </c>
      <c r="I2606">
        <v>0</v>
      </c>
    </row>
    <row r="2607" spans="1:9" x14ac:dyDescent="0.25">
      <c r="A2607" s="1">
        <v>-30.879811048507602</v>
      </c>
      <c r="B2607">
        <v>-155.17151535477399</v>
      </c>
      <c r="C2607">
        <v>0.168463295837814</v>
      </c>
      <c r="D2607">
        <v>0</v>
      </c>
      <c r="E2607">
        <v>0</v>
      </c>
      <c r="F2607">
        <v>0</v>
      </c>
      <c r="G2607">
        <v>2.7584568081209597E-4</v>
      </c>
      <c r="H2607">
        <v>0.86108757146844594</v>
      </c>
      <c r="I2607">
        <v>0</v>
      </c>
    </row>
    <row r="2608" spans="1:9" x14ac:dyDescent="0.25">
      <c r="A2608" s="1">
        <v>-27.4215984344482</v>
      </c>
      <c r="B2608">
        <v>-137.79546945940601</v>
      </c>
      <c r="C2608">
        <v>0.208926993926108</v>
      </c>
      <c r="D2608">
        <v>0</v>
      </c>
      <c r="E2608">
        <v>0</v>
      </c>
      <c r="F2608">
        <v>0</v>
      </c>
      <c r="G2608">
        <v>3.9282292459603198E-4</v>
      </c>
      <c r="H2608">
        <v>0.86635316166313903</v>
      </c>
      <c r="I2608">
        <v>0</v>
      </c>
    </row>
    <row r="2609" spans="1:9" x14ac:dyDescent="0.25">
      <c r="A2609" s="1">
        <v>-24.248878359794599</v>
      </c>
      <c r="B2609">
        <v>-121.85378180879999</v>
      </c>
      <c r="C2609">
        <v>0.25803885552289002</v>
      </c>
      <c r="D2609">
        <v>0</v>
      </c>
      <c r="E2609">
        <v>0</v>
      </c>
      <c r="F2609">
        <v>0</v>
      </c>
      <c r="G2609">
        <v>5.6027275439149101E-4</v>
      </c>
      <c r="H2609">
        <v>0.87202164671395799</v>
      </c>
      <c r="I2609">
        <v>0</v>
      </c>
    </row>
    <row r="2610" spans="1:9" x14ac:dyDescent="0.25">
      <c r="A2610" s="1">
        <v>-21.3381540775299</v>
      </c>
      <c r="B2610">
        <v>-107.228075091056</v>
      </c>
      <c r="C2610">
        <v>0.31752266544485902</v>
      </c>
      <c r="D2610">
        <v>0</v>
      </c>
      <c r="E2610">
        <v>0</v>
      </c>
      <c r="F2610">
        <v>0</v>
      </c>
      <c r="G2610">
        <v>8.01815420753655E-4</v>
      </c>
      <c r="H2610">
        <v>0.87819944084541102</v>
      </c>
      <c r="I2610">
        <v>0</v>
      </c>
    </row>
    <row r="2611" spans="1:9" x14ac:dyDescent="0.25">
      <c r="A2611" s="1">
        <v>-18.6677181720733</v>
      </c>
      <c r="B2611">
        <v>-93.809738650107604</v>
      </c>
      <c r="C2611">
        <v>0.38951681819011402</v>
      </c>
      <c r="D2611">
        <v>0</v>
      </c>
      <c r="E2611">
        <v>0</v>
      </c>
      <c r="F2611">
        <v>0</v>
      </c>
      <c r="G2611">
        <v>1.1533721434378199E-3</v>
      </c>
      <c r="H2611">
        <v>0.88494439544896097</v>
      </c>
      <c r="I2611">
        <v>0</v>
      </c>
    </row>
    <row r="2612" spans="1:9" x14ac:dyDescent="0.25">
      <c r="A2612" s="1">
        <v>-16.2178409099578</v>
      </c>
      <c r="B2612">
        <v>-81.499122716374501</v>
      </c>
      <c r="C2612">
        <v>0.47671289671754102</v>
      </c>
      <c r="D2612">
        <v>0</v>
      </c>
      <c r="E2612">
        <v>0</v>
      </c>
      <c r="F2612">
        <v>0</v>
      </c>
      <c r="G2612">
        <v>1.6698812545786199E-3</v>
      </c>
      <c r="H2612">
        <v>0.89224257715361699</v>
      </c>
      <c r="I2612">
        <v>0</v>
      </c>
    </row>
    <row r="2613" spans="1:9" x14ac:dyDescent="0.25">
      <c r="A2613" s="1">
        <v>-13.9702051877975</v>
      </c>
      <c r="B2613">
        <v>-70.204792972169699</v>
      </c>
      <c r="C2613">
        <v>0.582540301085126</v>
      </c>
      <c r="D2613">
        <v>0</v>
      </c>
      <c r="E2613">
        <v>0</v>
      </c>
      <c r="F2613">
        <v>0</v>
      </c>
      <c r="G2613">
        <v>2.4355448270455301E-3</v>
      </c>
      <c r="H2613">
        <v>0.89999905243426304</v>
      </c>
      <c r="I2613">
        <v>0</v>
      </c>
    </row>
    <row r="2614" spans="1:9" x14ac:dyDescent="0.25">
      <c r="A2614" s="1">
        <v>-11.908189058303799</v>
      </c>
      <c r="B2614">
        <v>-59.842867652960003</v>
      </c>
      <c r="C2614">
        <v>0.71140704897446305</v>
      </c>
      <c r="D2614">
        <v>0</v>
      </c>
      <c r="E2614">
        <v>0</v>
      </c>
      <c r="F2614">
        <v>0</v>
      </c>
      <c r="G2614">
        <v>3.5793737290396102E-3</v>
      </c>
      <c r="H2614">
        <v>0.90804936349002097</v>
      </c>
      <c r="I2614">
        <v>0</v>
      </c>
    </row>
    <row r="2615" spans="1:9" x14ac:dyDescent="0.25">
      <c r="A2615" s="1">
        <v>-10.016394853591899</v>
      </c>
      <c r="B2615">
        <v>-50.336381551138899</v>
      </c>
      <c r="C2615">
        <v>0.86900844387143406</v>
      </c>
      <c r="D2615">
        <v>0</v>
      </c>
      <c r="E2615">
        <v>0</v>
      </c>
      <c r="F2615">
        <v>0</v>
      </c>
      <c r="G2615">
        <v>5.2987734817338599E-3</v>
      </c>
      <c r="H2615">
        <v>0.91618933193577601</v>
      </c>
      <c r="I2615">
        <v>0</v>
      </c>
    </row>
    <row r="2616" spans="1:9" x14ac:dyDescent="0.25">
      <c r="A2616" s="1">
        <v>-8.2808375358581507</v>
      </c>
      <c r="B2616">
        <v>-41.614723675213597</v>
      </c>
      <c r="C2616">
        <v>1.06271900854523</v>
      </c>
      <c r="D2616">
        <v>0</v>
      </c>
      <c r="E2616">
        <v>0</v>
      </c>
      <c r="F2616">
        <v>0</v>
      </c>
      <c r="G2616">
        <v>7.89551457809466E-3</v>
      </c>
      <c r="H2616">
        <v>0.92421280738276801</v>
      </c>
      <c r="I2616">
        <v>0</v>
      </c>
    </row>
    <row r="2617" spans="1:9" x14ac:dyDescent="0.25">
      <c r="A2617" s="1">
        <v>-6.6885209083557102</v>
      </c>
      <c r="B2617">
        <v>-33.613108602426799</v>
      </c>
      <c r="C2617">
        <v>1.30208928702169</v>
      </c>
      <c r="D2617">
        <v>0</v>
      </c>
      <c r="E2617">
        <v>0</v>
      </c>
      <c r="F2617">
        <v>0</v>
      </c>
      <c r="G2617">
        <v>1.18311406061047E-2</v>
      </c>
      <c r="H2617">
        <v>0.93194405040208295</v>
      </c>
      <c r="I2617">
        <v>0</v>
      </c>
    </row>
    <row r="2618" spans="1:9" x14ac:dyDescent="0.25">
      <c r="A2618" s="1">
        <v>-5.2277201414108196</v>
      </c>
      <c r="B2618">
        <v>-26.272093800715901</v>
      </c>
      <c r="C2618">
        <v>1.5994798840779101</v>
      </c>
      <c r="D2618">
        <v>0</v>
      </c>
      <c r="E2618">
        <v>0</v>
      </c>
      <c r="F2618">
        <v>0</v>
      </c>
      <c r="G2618">
        <v>1.78133962379524E-2</v>
      </c>
      <c r="H2618">
        <v>0.93925606093020397</v>
      </c>
      <c r="I2618">
        <v>0</v>
      </c>
    </row>
    <row r="2619" spans="1:9" x14ac:dyDescent="0.25">
      <c r="A2619" s="1">
        <v>-3.88755798339843</v>
      </c>
      <c r="B2619">
        <v>-19.537155457101601</v>
      </c>
      <c r="C2619">
        <v>1.9708841750328301</v>
      </c>
      <c r="D2619">
        <v>0</v>
      </c>
      <c r="E2619">
        <v>0</v>
      </c>
      <c r="F2619">
        <v>0</v>
      </c>
      <c r="G2619">
        <v>2.6932804375956E-2</v>
      </c>
      <c r="H2619">
        <v>0.94607348772927202</v>
      </c>
      <c r="I2619">
        <v>0</v>
      </c>
    </row>
    <row r="2620" spans="1:9" x14ac:dyDescent="0.25">
      <c r="A2620" s="1">
        <v>-2.6580518484115601</v>
      </c>
      <c r="B2620">
        <v>-13.3582496794684</v>
      </c>
      <c r="C2620">
        <v>2.4370150466512301</v>
      </c>
      <c r="D2620">
        <v>0</v>
      </c>
      <c r="E2620">
        <v>0</v>
      </c>
      <c r="F2620">
        <v>0</v>
      </c>
      <c r="G2620">
        <v>4.0881149847482402E-2</v>
      </c>
      <c r="H2620">
        <v>0.95236438964122405</v>
      </c>
      <c r="I2620">
        <v>0</v>
      </c>
    </row>
    <row r="2621" spans="1:9" x14ac:dyDescent="0.25">
      <c r="A2621" s="1">
        <v>-1.5300196409225399</v>
      </c>
      <c r="B2621">
        <v>-7.6894865321739401</v>
      </c>
      <c r="C2621">
        <v>3.0247607522569</v>
      </c>
      <c r="D2621">
        <v>0</v>
      </c>
      <c r="E2621">
        <v>0</v>
      </c>
      <c r="F2621">
        <v>0</v>
      </c>
      <c r="G2621">
        <v>6.2303666396364803E-2</v>
      </c>
      <c r="H2621">
        <v>0.95812655738254804</v>
      </c>
      <c r="I2621">
        <v>0</v>
      </c>
    </row>
    <row r="2622" spans="1:9" x14ac:dyDescent="0.25">
      <c r="A2622" s="1">
        <v>-0.49517393112182601</v>
      </c>
      <c r="B2622">
        <v>-2.4887413861973999</v>
      </c>
      <c r="C2622">
        <v>3.7691948673620801</v>
      </c>
      <c r="D2622">
        <v>0</v>
      </c>
      <c r="E2622">
        <v>0</v>
      </c>
      <c r="F2622">
        <v>0</v>
      </c>
      <c r="G2622">
        <v>9.8119964257712106E-2</v>
      </c>
      <c r="H2622">
        <v>0.96440019459349002</v>
      </c>
      <c r="I2622">
        <v>0</v>
      </c>
    </row>
    <row r="2623" spans="1:9" x14ac:dyDescent="0.25">
      <c r="A2623" s="1">
        <v>0.49376130104064903</v>
      </c>
      <c r="B2623">
        <v>0.35059233877818402</v>
      </c>
      <c r="C2623">
        <v>4.3006291959491803</v>
      </c>
      <c r="D2623">
        <v>0.31245161322369103</v>
      </c>
      <c r="E2623">
        <v>-4.49918883780778E-4</v>
      </c>
      <c r="F2623">
        <v>1.3067949294314E-4</v>
      </c>
      <c r="G2623">
        <v>1.8509245148666201E-2</v>
      </c>
      <c r="H2623">
        <v>0.55129390269378797</v>
      </c>
      <c r="I2623" s="1">
        <v>5.2392466703116804E-7</v>
      </c>
    </row>
    <row r="2624" spans="1:9" x14ac:dyDescent="0.25">
      <c r="A2624" s="1">
        <v>1.5257111191749499</v>
      </c>
      <c r="B2624">
        <v>1.08250776801268</v>
      </c>
      <c r="C2624">
        <v>4.4809969973010704</v>
      </c>
      <c r="D2624">
        <v>1.01085533068019</v>
      </c>
      <c r="E2624">
        <v>-3.9896780363601397E-3</v>
      </c>
      <c r="F2624">
        <v>4.15918008981005E-4</v>
      </c>
      <c r="G2624">
        <v>3.72849108456604E-2</v>
      </c>
      <c r="H2624">
        <v>0.76397192155980997</v>
      </c>
      <c r="I2624" s="1">
        <v>2.3534821349750402E-5</v>
      </c>
    </row>
    <row r="2625" spans="1:9" x14ac:dyDescent="0.25">
      <c r="A2625" s="1">
        <v>2.6505178213119498</v>
      </c>
      <c r="B2625">
        <v>1.8737320003286999</v>
      </c>
      <c r="C2625">
        <v>4.7349143815073198</v>
      </c>
      <c r="D2625">
        <v>1.85549677253778</v>
      </c>
      <c r="E2625">
        <v>-1.52998469682204E-2</v>
      </c>
      <c r="F2625">
        <v>7.47600482412759E-4</v>
      </c>
      <c r="G2625">
        <v>6.0949447134232101E-2</v>
      </c>
      <c r="H2625">
        <v>0.84304270363233402</v>
      </c>
      <c r="I2625">
        <v>1.4093323978351901E-4</v>
      </c>
    </row>
    <row r="2626" spans="1:9" x14ac:dyDescent="0.25">
      <c r="A2626" s="1">
        <v>3.8765159249305698</v>
      </c>
      <c r="B2626">
        <v>2.7202113759891202</v>
      </c>
      <c r="C2626">
        <v>5.0973756646724704</v>
      </c>
      <c r="D2626">
        <v>2.8701737004088699</v>
      </c>
      <c r="E2626">
        <v>-3.83772276504055E-2</v>
      </c>
      <c r="F2626">
        <v>1.11553112193731E-3</v>
      </c>
      <c r="G2626">
        <v>8.3043198111338104E-2</v>
      </c>
      <c r="H2626">
        <v>0.87058248996361998</v>
      </c>
      <c r="I2626">
        <v>3.6514459790434802E-4</v>
      </c>
    </row>
    <row r="2627" spans="1:9" x14ac:dyDescent="0.25">
      <c r="A2627" s="1">
        <v>5.2129346132278398</v>
      </c>
      <c r="B2627">
        <v>3.6115818989650399</v>
      </c>
      <c r="C2627">
        <v>5.5874403021989902</v>
      </c>
      <c r="D2627">
        <v>4.0329943261107202</v>
      </c>
      <c r="E2627">
        <v>-7.7678800417725499E-2</v>
      </c>
      <c r="F2627">
        <v>1.4809139404849E-3</v>
      </c>
      <c r="G2627">
        <v>9.8099065867214993E-2</v>
      </c>
      <c r="H2627">
        <v>0.87304411587096298</v>
      </c>
      <c r="I2627">
        <v>7.6035229415271602E-4</v>
      </c>
    </row>
    <row r="2628" spans="1:9" x14ac:dyDescent="0.25">
      <c r="A2628" s="1">
        <v>6.6695916652679399</v>
      </c>
      <c r="B2628">
        <v>4.5298486632482202</v>
      </c>
      <c r="C2628">
        <v>6.1812964217082804</v>
      </c>
      <c r="D2628">
        <v>5.2499022558866697</v>
      </c>
      <c r="E2628">
        <v>-0.135522466797493</v>
      </c>
      <c r="F2628">
        <v>1.77930203535085E-3</v>
      </c>
      <c r="G2628">
        <v>0.104881671229291</v>
      </c>
      <c r="H2628">
        <v>0.85993493203710103</v>
      </c>
      <c r="I2628">
        <v>1.73413877476787E-3</v>
      </c>
    </row>
    <row r="2629" spans="1:9" x14ac:dyDescent="0.25">
      <c r="A2629" s="1">
        <v>8.2573878765106201</v>
      </c>
      <c r="B2629">
        <v>5.4502718073503198</v>
      </c>
      <c r="C2629">
        <v>6.80190101757149</v>
      </c>
      <c r="D2629">
        <v>6.3672469423824296</v>
      </c>
      <c r="E2629">
        <v>-0.210172122129482</v>
      </c>
      <c r="F2629">
        <v>1.93933915899146E-3</v>
      </c>
      <c r="G2629">
        <v>0.106692376092782</v>
      </c>
      <c r="H2629">
        <v>0.83713219273216599</v>
      </c>
      <c r="I2629">
        <v>4.2113092368681899E-3</v>
      </c>
    </row>
    <row r="2630" spans="1:9" x14ac:dyDescent="0.25">
      <c r="A2630" s="1">
        <v>9.9880245327949506</v>
      </c>
      <c r="B2630">
        <v>6.3452697289363602</v>
      </c>
      <c r="C2630">
        <v>7.3430167254341097</v>
      </c>
      <c r="D2630">
        <v>7.23122159390826</v>
      </c>
      <c r="E2630">
        <v>-0.29568548763435198</v>
      </c>
      <c r="F2630">
        <v>1.9055462557143201E-3</v>
      </c>
      <c r="G2630">
        <v>0.10798193095487001</v>
      </c>
      <c r="H2630">
        <v>0.81054044242813605</v>
      </c>
      <c r="I2630">
        <v>8.1875543023253398E-3</v>
      </c>
    </row>
    <row r="2631" spans="1:9" x14ac:dyDescent="0.25">
      <c r="A2631" s="1">
        <v>11.874474287032999</v>
      </c>
      <c r="B2631">
        <v>7.1902362954990098</v>
      </c>
      <c r="C2631">
        <v>7.7151553819841503</v>
      </c>
      <c r="D2631">
        <v>7.7529358250626101</v>
      </c>
      <c r="E2631">
        <v>-0.38414981547385701</v>
      </c>
      <c r="F2631">
        <v>1.6824736982025E-3</v>
      </c>
      <c r="G2631">
        <v>0.11044108954227499</v>
      </c>
      <c r="H2631">
        <v>0.78442505584382405</v>
      </c>
      <c r="I2631">
        <v>1.09487316704016E-2</v>
      </c>
    </row>
    <row r="2632" spans="1:9" x14ac:dyDescent="0.25">
      <c r="A2632" s="1">
        <v>13.9306750893592</v>
      </c>
      <c r="B2632">
        <v>7.9684219521657598</v>
      </c>
      <c r="C2632">
        <v>7.87726805354737</v>
      </c>
      <c r="D2632">
        <v>7.9291430471169804</v>
      </c>
      <c r="E2632">
        <v>-0.46857228440764298</v>
      </c>
      <c r="F2632">
        <v>1.34410474725555E-3</v>
      </c>
      <c r="G2632">
        <v>0.11277972496214</v>
      </c>
      <c r="H2632">
        <v>0.75985440541976201</v>
      </c>
      <c r="I2632">
        <v>9.9182212629729694E-3</v>
      </c>
    </row>
    <row r="2633" spans="1:9" x14ac:dyDescent="0.25">
      <c r="A2633" s="1">
        <v>16.171883344650201</v>
      </c>
      <c r="B2633">
        <v>8.6723796663061794</v>
      </c>
      <c r="C2633">
        <v>7.8363799277689203</v>
      </c>
      <c r="D2633">
        <v>7.8161570760050303</v>
      </c>
      <c r="E2633">
        <v>-0.54440920536649895</v>
      </c>
      <c r="F2633">
        <v>1.0086905890323999E-3</v>
      </c>
      <c r="G2633">
        <v>0.113174570840917</v>
      </c>
      <c r="H2633">
        <v>0.73612927890404001</v>
      </c>
      <c r="I2633">
        <v>5.5380348327629799E-3</v>
      </c>
    </row>
    <row r="2634" spans="1:9" x14ac:dyDescent="0.25">
      <c r="A2634" s="1">
        <v>18.614838719367899</v>
      </c>
      <c r="B2634">
        <v>9.3021930185333908</v>
      </c>
      <c r="C2634">
        <v>7.62830996195538</v>
      </c>
      <c r="D2634">
        <v>7.4932155827139004</v>
      </c>
      <c r="E2634">
        <v>-0.60957460938122299</v>
      </c>
      <c r="F2634">
        <v>7.9957677482881697E-4</v>
      </c>
      <c r="G2634">
        <v>0.11086672174779599</v>
      </c>
      <c r="H2634">
        <v>0.71250608682611904</v>
      </c>
      <c r="I2634" s="1">
        <v>-8.0154064767691405E-5</v>
      </c>
    </row>
    <row r="2635" spans="1:9" x14ac:dyDescent="0.25">
      <c r="A2635" s="1">
        <v>21.2777170538902</v>
      </c>
      <c r="B2635">
        <v>9.8627013263479899</v>
      </c>
      <c r="C2635">
        <v>7.2983476111601098</v>
      </c>
      <c r="D2635">
        <v>7.0354678346372399</v>
      </c>
      <c r="E2635">
        <v>-0.66373640646799703</v>
      </c>
      <c r="F2635">
        <v>8.05330978288256E-4</v>
      </c>
      <c r="G2635">
        <v>0.10617439089468</v>
      </c>
      <c r="H2635">
        <v>0.68874522505415903</v>
      </c>
      <c r="I2635">
        <v>-5.2361526120842401E-3</v>
      </c>
    </row>
    <row r="2636" spans="1:9" x14ac:dyDescent="0.25">
      <c r="A2636" s="1">
        <v>24.180224537849401</v>
      </c>
      <c r="B2636">
        <v>10.360967151559899</v>
      </c>
      <c r="C2636">
        <v>6.8896088486283702</v>
      </c>
      <c r="D2636">
        <v>6.5038792219291199</v>
      </c>
      <c r="E2636">
        <v>-0.70755562277080497</v>
      </c>
      <c r="F2636">
        <v>1.0639232540695499E-3</v>
      </c>
      <c r="G2636">
        <v>9.9880781236729194E-2</v>
      </c>
      <c r="H2636">
        <v>0.664986792808682</v>
      </c>
      <c r="I2636">
        <v>-9.2034135185497194E-3</v>
      </c>
    </row>
    <row r="2637" spans="1:9" x14ac:dyDescent="0.25">
      <c r="A2637" s="1">
        <v>27.343950867652801</v>
      </c>
      <c r="B2637">
        <v>10.804763491191</v>
      </c>
      <c r="C2637">
        <v>6.4381873213107603</v>
      </c>
      <c r="D2637">
        <v>5.9434072225817403</v>
      </c>
      <c r="E2637">
        <v>-0.74212809679054303</v>
      </c>
      <c r="F2637">
        <v>1.5106859420443799E-3</v>
      </c>
      <c r="G2637">
        <v>9.2727859172255497E-2</v>
      </c>
      <c r="H2637">
        <v>0.64157321435207204</v>
      </c>
      <c r="I2637">
        <v>-1.1889416228903601E-2</v>
      </c>
    </row>
    <row r="2638" spans="1:9" x14ac:dyDescent="0.25">
      <c r="A2638" s="1">
        <v>30.7923927903175</v>
      </c>
      <c r="B2638">
        <v>11.201788119711001</v>
      </c>
      <c r="C2638">
        <v>5.97207562074043</v>
      </c>
      <c r="D2638">
        <v>5.3855840218429503</v>
      </c>
      <c r="E2638">
        <v>-0.76865888297028695</v>
      </c>
      <c r="F2638">
        <v>2.0542845262357802E-3</v>
      </c>
      <c r="G2638">
        <v>8.5227909465551602E-2</v>
      </c>
      <c r="H2638">
        <v>0.61892413547000602</v>
      </c>
      <c r="I2638">
        <v>-1.34410214588326E-2</v>
      </c>
    </row>
    <row r="2639" spans="1:9" x14ac:dyDescent="0.25">
      <c r="A2639" s="1">
        <v>34.551213085651298</v>
      </c>
      <c r="B2639">
        <v>11.559279118217599</v>
      </c>
      <c r="C2639">
        <v>5.5116419840194704</v>
      </c>
      <c r="D2639">
        <v>4.8509050745614104</v>
      </c>
      <c r="E2639">
        <v>-0.78830812717235399</v>
      </c>
      <c r="F2639">
        <v>2.6383890446321002E-3</v>
      </c>
      <c r="G2639">
        <v>7.7676585845691495E-2</v>
      </c>
      <c r="H2639">
        <v>0.59744993450529604</v>
      </c>
      <c r="I2639">
        <v>-1.4060235709247601E-2</v>
      </c>
    </row>
    <row r="2640" spans="1:9" x14ac:dyDescent="0.25">
      <c r="A2640" s="1">
        <v>38.6483111977577</v>
      </c>
      <c r="B2640">
        <v>11.8837892067806</v>
      </c>
      <c r="C2640">
        <v>5.0706397782605697</v>
      </c>
      <c r="D2640">
        <v>4.3515713926930797</v>
      </c>
      <c r="E2640">
        <v>-0.80208800312111805</v>
      </c>
      <c r="F2640">
        <v>3.1319054596322302E-3</v>
      </c>
      <c r="G2640">
        <v>7.0247247886539702E-2</v>
      </c>
      <c r="H2640">
        <v>0.57753208299463499</v>
      </c>
      <c r="I2640">
        <v>-1.3947079663031801E-2</v>
      </c>
    </row>
    <row r="2641" spans="1:9" x14ac:dyDescent="0.25">
      <c r="A2641" s="1">
        <v>43.1141293048858</v>
      </c>
      <c r="B2641">
        <v>12.1811439541355</v>
      </c>
      <c r="C2641">
        <v>4.6575114179908104</v>
      </c>
      <c r="D2641">
        <v>3.8951462031887099</v>
      </c>
      <c r="E2641">
        <v>-0.81083212085477896</v>
      </c>
      <c r="F2641">
        <v>3.4872639133390602E-3</v>
      </c>
      <c r="G2641">
        <v>6.30566459002109E-2</v>
      </c>
      <c r="H2641">
        <v>0.55943625529292995</v>
      </c>
      <c r="I2641">
        <v>-1.3288580785211701E-2</v>
      </c>
    </row>
    <row r="2642" spans="1:9" x14ac:dyDescent="0.25">
      <c r="A2642" s="1">
        <v>47.981887757778097</v>
      </c>
      <c r="B2642">
        <v>12.4563498390094</v>
      </c>
      <c r="C2642">
        <v>4.2767246158157297</v>
      </c>
      <c r="D2642">
        <v>3.48444837462706</v>
      </c>
      <c r="E2642">
        <v>-0.81524063937504399</v>
      </c>
      <c r="F2642">
        <v>3.6456851655731698E-3</v>
      </c>
      <c r="G2642">
        <v>5.6188260851688897E-2</v>
      </c>
      <c r="H2642">
        <v>0.54318694623164698</v>
      </c>
      <c r="I2642">
        <v>-1.2265294306622E-2</v>
      </c>
    </row>
    <row r="2643" spans="1:9" x14ac:dyDescent="0.25">
      <c r="A2643" s="1">
        <v>53.287820518016801</v>
      </c>
      <c r="B2643">
        <v>12.7136109662429</v>
      </c>
      <c r="C2643">
        <v>3.9295978820265001</v>
      </c>
      <c r="D2643">
        <v>3.1189143980828899</v>
      </c>
      <c r="E2643">
        <v>-0.81584388792607399</v>
      </c>
      <c r="F2643">
        <v>3.5505081326884999E-3</v>
      </c>
      <c r="G2643">
        <v>4.9733944117437902E-2</v>
      </c>
      <c r="H2643">
        <v>0.52877319449328997</v>
      </c>
      <c r="I2643">
        <v>-1.1040398750300299E-2</v>
      </c>
    </row>
    <row r="2644" spans="1:9" x14ac:dyDescent="0.25">
      <c r="A2644" s="1">
        <v>59.071175158023799</v>
      </c>
      <c r="B2644">
        <v>12.9564293635265</v>
      </c>
      <c r="C2644">
        <v>3.6154748228279798</v>
      </c>
      <c r="D2644">
        <v>2.79656704167299</v>
      </c>
      <c r="E2644">
        <v>-0.81304644955413896</v>
      </c>
      <c r="F2644">
        <v>3.1504859666009501E-3</v>
      </c>
      <c r="G2644">
        <v>4.3787992804882603E-2</v>
      </c>
      <c r="H2644">
        <v>0.51609191350815797</v>
      </c>
      <c r="I2644">
        <v>-9.7659311128215406E-3</v>
      </c>
    </row>
    <row r="2645" spans="1:9" x14ac:dyDescent="0.25">
      <c r="A2645" s="1">
        <v>65.375131070613804</v>
      </c>
      <c r="B2645">
        <v>13.1876885620133</v>
      </c>
      <c r="C2645">
        <v>3.33276166601493</v>
      </c>
      <c r="D2645">
        <v>2.51443813700606</v>
      </c>
      <c r="E2645">
        <v>-0.80714960931135304</v>
      </c>
      <c r="F2645">
        <v>2.5361892794248E-3</v>
      </c>
      <c r="G2645">
        <v>3.8397152976325698E-2</v>
      </c>
      <c r="H2645">
        <v>0.50473903293137901</v>
      </c>
      <c r="I2645">
        <v>-8.5404617666215692E-3</v>
      </c>
    </row>
    <row r="2646" spans="1:9" x14ac:dyDescent="0.25">
      <c r="A2646" s="1">
        <v>72.246375679969702</v>
      </c>
      <c r="B2646">
        <v>13.4097873253003</v>
      </c>
      <c r="C2646">
        <v>3.0786763205367702</v>
      </c>
      <c r="D2646">
        <v>2.2680463533208202</v>
      </c>
      <c r="E2646">
        <v>-0.798385853812834</v>
      </c>
      <c r="F2646">
        <v>1.80787866426241E-3</v>
      </c>
      <c r="G2646">
        <v>3.3584632139972197E-2</v>
      </c>
      <c r="H2646">
        <v>0.49444593420979799</v>
      </c>
      <c r="I2646">
        <v>-7.4249684062371304E-3</v>
      </c>
    </row>
    <row r="2647" spans="1:9" x14ac:dyDescent="0.25">
      <c r="A2647" s="1">
        <v>79.736069738864799</v>
      </c>
      <c r="B2647">
        <v>13.624664723612399</v>
      </c>
      <c r="C2647">
        <v>2.8497422455867398</v>
      </c>
      <c r="D2647">
        <v>2.0532608005154001</v>
      </c>
      <c r="E2647">
        <v>-0.78689282729013199</v>
      </c>
      <c r="F2647">
        <v>1.14358286158872E-3</v>
      </c>
      <c r="G2647">
        <v>2.93088890498646E-2</v>
      </c>
      <c r="H2647">
        <v>0.484766047774154</v>
      </c>
      <c r="I2647">
        <v>-6.4264912778049001E-3</v>
      </c>
    </row>
    <row r="2648" spans="1:9" x14ac:dyDescent="0.25">
      <c r="A2648" s="1">
        <v>87.899753153324099</v>
      </c>
      <c r="B2648">
        <v>13.833900430537801</v>
      </c>
      <c r="C2648">
        <v>2.64225857048209</v>
      </c>
      <c r="D2648">
        <v>1.8652112742995699</v>
      </c>
      <c r="E2648">
        <v>-0.77271293079470205</v>
      </c>
      <c r="F2648">
        <v>7.5509584650991903E-4</v>
      </c>
      <c r="G2648">
        <v>2.5530780786162902E-2</v>
      </c>
      <c r="H2648">
        <v>0.475581067316176</v>
      </c>
      <c r="I2648">
        <v>-5.5515032330877697E-3</v>
      </c>
    </row>
    <row r="2649" spans="1:9" x14ac:dyDescent="0.25">
      <c r="A2649" s="1">
        <v>96.798263192176805</v>
      </c>
      <c r="B2649">
        <v>14.0387230810896</v>
      </c>
      <c r="C2649">
        <v>2.45287951813201</v>
      </c>
      <c r="D2649">
        <v>1.6997163479395101</v>
      </c>
      <c r="E2649">
        <v>-0.75592152970059101</v>
      </c>
      <c r="F2649">
        <v>8.2494520369325096E-4</v>
      </c>
      <c r="G2649">
        <v>2.2204056325361599E-2</v>
      </c>
      <c r="H2649">
        <v>0.46664438031793398</v>
      </c>
      <c r="I2649">
        <v>-4.7893922320567696E-3</v>
      </c>
    </row>
    <row r="2650" spans="1:9" x14ac:dyDescent="0.25">
      <c r="A2650" s="1">
        <v>106.497616767883</v>
      </c>
      <c r="B2650">
        <v>14.240177432932001</v>
      </c>
      <c r="C2650">
        <v>2.27823999733004</v>
      </c>
      <c r="D2650">
        <v>1.5532775032131101</v>
      </c>
      <c r="E2650">
        <v>-0.73642793139119</v>
      </c>
      <c r="F2650">
        <v>1.0831504583657899E-3</v>
      </c>
      <c r="G2650">
        <v>1.9289194254481699E-2</v>
      </c>
      <c r="H2650">
        <v>0.45794712458078801</v>
      </c>
      <c r="I2650">
        <v>-4.1324053325556102E-3</v>
      </c>
    </row>
    <row r="2651" spans="1:9" x14ac:dyDescent="0.25">
      <c r="A2651" s="1">
        <v>117.06990510225199</v>
      </c>
      <c r="B2651">
        <v>14.4394168985263</v>
      </c>
      <c r="C2651">
        <v>2.1143577235759001</v>
      </c>
      <c r="D2651">
        <v>1.4218438958372901</v>
      </c>
      <c r="E2651">
        <v>-0.71399589177433898</v>
      </c>
      <c r="F2651">
        <v>1.2588468408013501E-3</v>
      </c>
      <c r="G2651">
        <v>1.6742107126191799E-2</v>
      </c>
      <c r="H2651">
        <v>0.45008775509869797</v>
      </c>
      <c r="I2651">
        <v>-3.5668828097381298E-3</v>
      </c>
    </row>
    <row r="2652" spans="1:9" x14ac:dyDescent="0.25">
      <c r="A2652" s="1">
        <v>128.593670427799</v>
      </c>
      <c r="B2652">
        <v>14.6374026549236</v>
      </c>
      <c r="C2652">
        <v>1.95921987988973</v>
      </c>
      <c r="D2652">
        <v>1.30240655912176</v>
      </c>
      <c r="E2652">
        <v>-0.688662416165432</v>
      </c>
      <c r="F2652">
        <v>1.5458489276580401E-3</v>
      </c>
      <c r="G2652">
        <v>1.4486399418320001E-2</v>
      </c>
      <c r="H2652">
        <v>0.44266261751068497</v>
      </c>
      <c r="I2652">
        <v>-3.0629469438089498E-3</v>
      </c>
    </row>
    <row r="2653" spans="1:9" x14ac:dyDescent="0.25">
      <c r="A2653" s="1">
        <v>141.15461230278001</v>
      </c>
      <c r="B2653">
        <v>14.8345609632508</v>
      </c>
      <c r="C2653">
        <v>1.8109495634384301</v>
      </c>
      <c r="D2653">
        <v>1.1928111941630299</v>
      </c>
      <c r="E2653">
        <v>-0.66021090257219694</v>
      </c>
      <c r="F2653">
        <v>2.172378502138E-3</v>
      </c>
      <c r="G2653">
        <v>1.24732231617043E-2</v>
      </c>
      <c r="H2653">
        <v>0.43546255070644302</v>
      </c>
      <c r="I2653">
        <v>-2.6116767114479399E-3</v>
      </c>
    </row>
    <row r="2654" spans="1:9" x14ac:dyDescent="0.25">
      <c r="A2654" s="1">
        <v>154.84601140022201</v>
      </c>
      <c r="B2654">
        <v>15.0306745139137</v>
      </c>
      <c r="C2654">
        <v>1.66806588229233</v>
      </c>
      <c r="D2654">
        <v>1.09109997377778</v>
      </c>
      <c r="E2654">
        <v>-0.62846453648809397</v>
      </c>
      <c r="F2654">
        <v>2.2883366451502299E-3</v>
      </c>
      <c r="G2654">
        <v>1.06672501367591E-2</v>
      </c>
      <c r="H2654">
        <v>0.42798489122665601</v>
      </c>
      <c r="I2654">
        <v>-2.2060182375526799E-3</v>
      </c>
    </row>
    <row r="2655" spans="1:9" x14ac:dyDescent="0.25">
      <c r="A2655" s="1">
        <v>169.76969480514501</v>
      </c>
      <c r="B2655">
        <v>15.225709874667301</v>
      </c>
      <c r="C2655">
        <v>1.52823726503052</v>
      </c>
      <c r="D2655">
        <v>0.99460019387615695</v>
      </c>
      <c r="E2655">
        <v>-0.59295937024787704</v>
      </c>
      <c r="F2655">
        <v>1.9052813971150099E-3</v>
      </c>
      <c r="G2655">
        <v>9.0513939723831805E-3</v>
      </c>
      <c r="H2655">
        <v>0.42052313337661301</v>
      </c>
      <c r="I2655">
        <v>-1.84296312113998E-3</v>
      </c>
    </row>
    <row r="2656" spans="1:9" x14ac:dyDescent="0.25">
      <c r="A2656" s="1">
        <v>186.03645980358101</v>
      </c>
      <c r="B2656">
        <v>15.420185245312799</v>
      </c>
      <c r="C2656">
        <v>1.38960140170723</v>
      </c>
      <c r="D2656">
        <v>0.90178533855696796</v>
      </c>
      <c r="E2656">
        <v>-0.55321643153607203</v>
      </c>
      <c r="F2656">
        <v>1.7266124450073599E-3</v>
      </c>
      <c r="G2656">
        <v>7.6058525988613899E-3</v>
      </c>
      <c r="H2656">
        <v>0.41361307473195102</v>
      </c>
      <c r="I2656">
        <v>-1.5208880101536899E-3</v>
      </c>
    </row>
    <row r="2657" spans="1:9" x14ac:dyDescent="0.25">
      <c r="A2657" s="1">
        <v>203.76720398664401</v>
      </c>
      <c r="B2657">
        <v>15.613649290539399</v>
      </c>
      <c r="C2657">
        <v>1.25211165231</v>
      </c>
      <c r="D2657">
        <v>0.81104652578313496</v>
      </c>
      <c r="E2657">
        <v>-0.50912716435345795</v>
      </c>
      <c r="F2657">
        <v>1.49156406148738E-3</v>
      </c>
      <c r="G2657">
        <v>6.3057154093127104E-3</v>
      </c>
      <c r="H2657">
        <v>0.406316690324597</v>
      </c>
      <c r="I2657">
        <v>-1.2334703730862201E-3</v>
      </c>
    </row>
    <row r="2658" spans="1:9" x14ac:dyDescent="0.25">
      <c r="A2658" s="1">
        <v>223.09376105666101</v>
      </c>
      <c r="B2658">
        <v>15.8044554722682</v>
      </c>
      <c r="C2658">
        <v>1.1148051008758499</v>
      </c>
      <c r="D2658">
        <v>0.72120844839901599</v>
      </c>
      <c r="E2658">
        <v>-0.46023789677676402</v>
      </c>
      <c r="F2658">
        <v>1.16888208362044E-3</v>
      </c>
      <c r="G2658">
        <v>5.1259034074963E-3</v>
      </c>
      <c r="H2658">
        <v>0.39891615360452898</v>
      </c>
      <c r="I2658">
        <v>-9.7073821170132202E-4</v>
      </c>
    </row>
    <row r="2659" spans="1:9" x14ac:dyDescent="0.25">
      <c r="A2659" s="1">
        <v>244.15970131754801</v>
      </c>
      <c r="B2659">
        <v>15.991182920076</v>
      </c>
      <c r="C2659">
        <v>0.97674422592715704</v>
      </c>
      <c r="D2659">
        <v>0.63095069300829498</v>
      </c>
      <c r="E2659">
        <v>-0.40594620109021701</v>
      </c>
      <c r="F2659">
        <v>3.85987556734448E-4</v>
      </c>
      <c r="G2659">
        <v>4.0663928522514398E-3</v>
      </c>
      <c r="H2659">
        <v>0.39202999559357499</v>
      </c>
      <c r="I2659">
        <v>-7.36617686739709E-4</v>
      </c>
    </row>
    <row r="2660" spans="1:9" x14ac:dyDescent="0.25">
      <c r="A2660" s="1">
        <v>267.12157949805197</v>
      </c>
      <c r="B2660">
        <v>16.171006609238699</v>
      </c>
      <c r="C2660">
        <v>0.83881325628926096</v>
      </c>
      <c r="D2660">
        <v>0.54072378547080702</v>
      </c>
      <c r="E2660">
        <v>-0.34589353648892501</v>
      </c>
      <c r="F2660">
        <v>-6.2747498974062598E-4</v>
      </c>
      <c r="G2660">
        <v>3.1374790356691398E-3</v>
      </c>
      <c r="H2660">
        <v>0.38615459530991397</v>
      </c>
      <c r="I2660">
        <v>-5.3897072496258199E-4</v>
      </c>
    </row>
    <row r="2661" spans="1:9" x14ac:dyDescent="0.25">
      <c r="A2661" s="1">
        <v>292.15002954006098</v>
      </c>
      <c r="B2661">
        <v>16.339204235114199</v>
      </c>
      <c r="C2661">
        <v>0.70143023526412196</v>
      </c>
      <c r="D2661">
        <v>0.44958972520312901</v>
      </c>
      <c r="E2661">
        <v>-0.27956417506738501</v>
      </c>
      <c r="F2661">
        <v>-1.19765208418737E-3</v>
      </c>
      <c r="G2661">
        <v>2.3439446032766701E-3</v>
      </c>
      <c r="H2661">
        <v>0.38251240969621603</v>
      </c>
      <c r="I2661">
        <v>-3.7914398533159201E-4</v>
      </c>
    </row>
    <row r="2662" spans="1:9" x14ac:dyDescent="0.25">
      <c r="A2662" s="1">
        <v>319.43101242184599</v>
      </c>
      <c r="B2662">
        <v>16.4863479045407</v>
      </c>
      <c r="C2662">
        <v>0.571829944417929</v>
      </c>
      <c r="D2662">
        <v>0.36203544915707597</v>
      </c>
      <c r="E2662">
        <v>-0.20664048108785599</v>
      </c>
      <c r="F2662">
        <v>-9.1434623125146797E-4</v>
      </c>
      <c r="G2662">
        <v>1.7024081390186001E-3</v>
      </c>
      <c r="H2662">
        <v>0.38239671504794498</v>
      </c>
      <c r="I2662">
        <v>-2.6166140627898197E-4</v>
      </c>
    </row>
    <row r="2663" spans="1:9" x14ac:dyDescent="0.25">
      <c r="A2663" s="1">
        <v>349.16732590645501</v>
      </c>
      <c r="B2663">
        <v>16.600510664023499</v>
      </c>
      <c r="C2663">
        <v>0.46420160607191502</v>
      </c>
      <c r="D2663">
        <v>0.28716190554718202</v>
      </c>
      <c r="E2663">
        <v>-0.12581618735875799</v>
      </c>
      <c r="F2663">
        <v>-1.0381294763250699E-3</v>
      </c>
      <c r="G2663">
        <v>1.25950915287517E-3</v>
      </c>
      <c r="H2663">
        <v>0.38692070013763502</v>
      </c>
      <c r="I2663">
        <v>-1.9188400234016999E-4</v>
      </c>
    </row>
    <row r="2664" spans="1:9" x14ac:dyDescent="0.25">
      <c r="A2664" s="1">
        <v>379.83785875141598</v>
      </c>
      <c r="B2664">
        <v>16.660780644156102</v>
      </c>
      <c r="C2664">
        <v>0.402763261302229</v>
      </c>
      <c r="D2664">
        <v>0.243456525989725</v>
      </c>
      <c r="E2664">
        <v>-4.1537000008177102E-2</v>
      </c>
      <c r="F2664">
        <v>-1.37571601756838E-3</v>
      </c>
      <c r="G2664">
        <v>1.02912958201539E-3</v>
      </c>
      <c r="H2664">
        <v>0.40772152649223398</v>
      </c>
      <c r="I2664">
        <v>-1.52316885995191E-4</v>
      </c>
    </row>
    <row r="2665" spans="1:9" x14ac:dyDescent="0.25">
      <c r="A2665" s="1" t="s">
        <v>559</v>
      </c>
      <c r="B2665" s="1" t="s">
        <v>614</v>
      </c>
      <c r="C2665" s="1" t="s">
        <v>615</v>
      </c>
      <c r="D2665" s="1" t="s">
        <v>616</v>
      </c>
      <c r="E2665" s="1" t="s">
        <v>617</v>
      </c>
      <c r="F2665" s="1" t="s">
        <v>618</v>
      </c>
      <c r="G2665" s="1" t="s">
        <v>400</v>
      </c>
      <c r="H2665" s="1" t="s">
        <v>619</v>
      </c>
      <c r="I2665" s="1" t="s">
        <v>613</v>
      </c>
    </row>
    <row r="2666" spans="1:9" x14ac:dyDescent="0.25">
      <c r="A2666" s="1">
        <v>-141.555516719818</v>
      </c>
      <c r="B2666">
        <v>-1421.7405341327999</v>
      </c>
      <c r="C2666">
        <v>1.1408550768743E-2</v>
      </c>
      <c r="D2666">
        <v>0</v>
      </c>
      <c r="E2666">
        <v>0</v>
      </c>
      <c r="F2666">
        <v>0</v>
      </c>
      <c r="G2666" s="1">
        <v>5.9273100186274495E-7</v>
      </c>
      <c r="H2666">
        <v>7.8189938112473906E-2</v>
      </c>
      <c r="I2666">
        <v>0</v>
      </c>
    </row>
    <row r="2667" spans="1:9" x14ac:dyDescent="0.25">
      <c r="A2667" s="1">
        <v>-128.95890593528699</v>
      </c>
      <c r="B2667">
        <v>-1295.25317803034</v>
      </c>
      <c r="C2667">
        <v>1.17117432635314E-2</v>
      </c>
      <c r="D2667">
        <v>0</v>
      </c>
      <c r="E2667">
        <v>0</v>
      </c>
      <c r="F2667">
        <v>0</v>
      </c>
      <c r="G2667" s="1">
        <v>9.8625560612464205E-7</v>
      </c>
      <c r="H2667">
        <v>0.407202764933979</v>
      </c>
      <c r="I2667">
        <v>0</v>
      </c>
    </row>
    <row r="2668" spans="1:9" x14ac:dyDescent="0.25">
      <c r="A2668" s="1">
        <v>-117.402367591857</v>
      </c>
      <c r="B2668">
        <v>-1179.2047061861399</v>
      </c>
      <c r="C2668">
        <v>1.2396722620363501E-2</v>
      </c>
      <c r="D2668">
        <v>0</v>
      </c>
      <c r="E2668">
        <v>0</v>
      </c>
      <c r="F2668">
        <v>0</v>
      </c>
      <c r="G2668" s="1">
        <v>1.74435311713905E-6</v>
      </c>
      <c r="H2668">
        <v>0.61624805723879295</v>
      </c>
      <c r="I2668">
        <v>0</v>
      </c>
    </row>
    <row r="2669" spans="1:9" x14ac:dyDescent="0.25">
      <c r="A2669" s="1">
        <v>-106.80001378059301</v>
      </c>
      <c r="B2669">
        <v>-1072.7339708269501</v>
      </c>
      <c r="C2669">
        <v>1.3619082594412401E-2</v>
      </c>
      <c r="D2669">
        <v>0</v>
      </c>
      <c r="E2669">
        <v>0</v>
      </c>
      <c r="F2669">
        <v>0</v>
      </c>
      <c r="G2669" s="1">
        <v>2.90526851203676E-6</v>
      </c>
      <c r="H2669">
        <v>0.71770166721166495</v>
      </c>
      <c r="I2669">
        <v>0</v>
      </c>
    </row>
    <row r="2670" spans="1:9" x14ac:dyDescent="0.25">
      <c r="A2670" s="1">
        <v>-97.073161005973802</v>
      </c>
      <c r="B2670">
        <v>-975.05090113290998</v>
      </c>
      <c r="C2670">
        <v>1.55673560025718E-2</v>
      </c>
      <c r="D2670">
        <v>0</v>
      </c>
      <c r="E2670">
        <v>0</v>
      </c>
      <c r="F2670">
        <v>0</v>
      </c>
      <c r="G2670" s="1">
        <v>4.5927570386861099E-6</v>
      </c>
      <c r="H2670">
        <v>0.76806231318705398</v>
      </c>
      <c r="I2670">
        <v>0</v>
      </c>
    </row>
    <row r="2671" spans="1:9" x14ac:dyDescent="0.25">
      <c r="A2671" s="1">
        <v>-88.149435520172105</v>
      </c>
      <c r="B2671">
        <v>-885.43041856893694</v>
      </c>
      <c r="C2671">
        <v>1.8452250010071999E-2</v>
      </c>
      <c r="D2671">
        <v>0</v>
      </c>
      <c r="E2671">
        <v>0</v>
      </c>
      <c r="F2671">
        <v>0</v>
      </c>
      <c r="G2671" s="1">
        <v>7.0307586332285497E-6</v>
      </c>
      <c r="H2671">
        <v>0.79476089065215705</v>
      </c>
      <c r="I2671">
        <v>0</v>
      </c>
    </row>
    <row r="2672" spans="1:9" x14ac:dyDescent="0.25">
      <c r="A2672" s="1">
        <v>-79.962490797042804</v>
      </c>
      <c r="B2672">
        <v>-803.20728831895997</v>
      </c>
      <c r="C2672">
        <v>2.2511833445900499E-2</v>
      </c>
      <c r="D2672">
        <v>0</v>
      </c>
      <c r="E2672">
        <v>0</v>
      </c>
      <c r="F2672">
        <v>0</v>
      </c>
      <c r="G2672" s="1">
        <v>1.0565653290406301E-5</v>
      </c>
      <c r="H2672">
        <v>0.81021133707891602</v>
      </c>
      <c r="I2672">
        <v>0</v>
      </c>
    </row>
    <row r="2673" spans="1:9" x14ac:dyDescent="0.25">
      <c r="A2673" s="1">
        <v>-72.451583743095298</v>
      </c>
      <c r="B2673">
        <v>-727.77110444912103</v>
      </c>
      <c r="C2673">
        <v>2.80229330251737E-2</v>
      </c>
      <c r="D2673">
        <v>0</v>
      </c>
      <c r="E2673">
        <v>0</v>
      </c>
      <c r="F2673">
        <v>0</v>
      </c>
      <c r="G2673" s="1">
        <v>1.5702012365625901E-5</v>
      </c>
      <c r="H2673">
        <v>0.82024568478673998</v>
      </c>
      <c r="I2673">
        <v>0</v>
      </c>
    </row>
    <row r="2674" spans="1:9" x14ac:dyDescent="0.25">
      <c r="A2674" s="1">
        <v>-65.560821294784503</v>
      </c>
      <c r="B2674">
        <v>-658.56180998691696</v>
      </c>
      <c r="C2674">
        <v>3.5314130139422098E-2</v>
      </c>
      <c r="D2674">
        <v>0</v>
      </c>
      <c r="E2674">
        <v>0</v>
      </c>
      <c r="F2674">
        <v>0</v>
      </c>
      <c r="G2674" s="1">
        <v>2.3157592479723301E-5</v>
      </c>
      <c r="H2674">
        <v>0.82766120455651004</v>
      </c>
      <c r="I2674">
        <v>0</v>
      </c>
    </row>
    <row r="2675" spans="1:9" x14ac:dyDescent="0.25">
      <c r="A2675" s="1">
        <v>-59.238972067832897</v>
      </c>
      <c r="B2675">
        <v>-595.06555132278595</v>
      </c>
      <c r="C2675">
        <v>4.4778833651495903E-2</v>
      </c>
      <c r="D2675">
        <v>0</v>
      </c>
      <c r="E2675">
        <v>0</v>
      </c>
      <c r="F2675">
        <v>0</v>
      </c>
      <c r="G2675" s="1">
        <v>3.3944076421219497E-5</v>
      </c>
      <c r="H2675">
        <v>0.83379502215922596</v>
      </c>
      <c r="I2675">
        <v>0</v>
      </c>
    </row>
    <row r="2676" spans="1:9" x14ac:dyDescent="0.25">
      <c r="A2676" s="1">
        <v>-53.439136743545497</v>
      </c>
      <c r="B2676">
        <v>-536.81090036639398</v>
      </c>
      <c r="C2676">
        <v>5.6888386221922299E-2</v>
      </c>
      <c r="D2676">
        <v>0</v>
      </c>
      <c r="E2676">
        <v>0</v>
      </c>
      <c r="F2676">
        <v>0</v>
      </c>
      <c r="G2676" s="1">
        <v>4.9483103949290399E-5</v>
      </c>
      <c r="H2676">
        <v>0.83927925442471496</v>
      </c>
      <c r="I2676">
        <v>0</v>
      </c>
    </row>
    <row r="2677" spans="1:9" x14ac:dyDescent="0.25">
      <c r="A2677" s="1">
        <v>-48.118183016777003</v>
      </c>
      <c r="B2677">
        <v>-483.36517699965702</v>
      </c>
      <c r="C2677">
        <v>7.2205767495084297E-2</v>
      </c>
      <c r="D2677">
        <v>0</v>
      </c>
      <c r="E2677">
        <v>0</v>
      </c>
      <c r="F2677">
        <v>0</v>
      </c>
      <c r="G2677" s="1">
        <v>7.1773542228630301E-5</v>
      </c>
      <c r="H2677">
        <v>0.84441727305591496</v>
      </c>
      <c r="I2677">
        <v>0</v>
      </c>
    </row>
    <row r="2678" spans="1:9" x14ac:dyDescent="0.25">
      <c r="A2678" s="1">
        <v>-43.236604332923797</v>
      </c>
      <c r="B2678">
        <v>-434.331507039158</v>
      </c>
      <c r="C2678">
        <v>9.1400922443042903E-2</v>
      </c>
      <c r="D2678">
        <v>0</v>
      </c>
      <c r="E2678">
        <v>0</v>
      </c>
      <c r="F2678">
        <v>0</v>
      </c>
      <c r="G2678">
        <v>1.03636859295797E-4</v>
      </c>
      <c r="H2678">
        <v>0.84937200627102005</v>
      </c>
      <c r="I2678">
        <v>0</v>
      </c>
    </row>
    <row r="2679" spans="1:9" x14ac:dyDescent="0.25">
      <c r="A2679" s="1">
        <v>-38.758049011230398</v>
      </c>
      <c r="B2679">
        <v>-389.34576318570799</v>
      </c>
      <c r="C2679">
        <v>0.11526924390115301</v>
      </c>
      <c r="D2679">
        <v>0</v>
      </c>
      <c r="E2679">
        <v>0</v>
      </c>
      <c r="F2679">
        <v>0</v>
      </c>
      <c r="G2679">
        <v>1.4908575171141E-4</v>
      </c>
      <c r="H2679">
        <v>0.854258547257291</v>
      </c>
      <c r="I2679">
        <v>0</v>
      </c>
    </row>
    <row r="2680" spans="1:9" x14ac:dyDescent="0.25">
      <c r="A2680" s="1">
        <v>-34.649320244789102</v>
      </c>
      <c r="B2680">
        <v>-348.07382358023398</v>
      </c>
      <c r="C2680">
        <v>0.14475560344105401</v>
      </c>
      <c r="D2680">
        <v>0</v>
      </c>
      <c r="E2680">
        <v>0</v>
      </c>
      <c r="F2680">
        <v>0</v>
      </c>
      <c r="G2680">
        <v>2.13890724549017E-4</v>
      </c>
      <c r="H2680">
        <v>0.85918709327256904</v>
      </c>
      <c r="I2680">
        <v>0</v>
      </c>
    </row>
    <row r="2681" spans="1:9" x14ac:dyDescent="0.25">
      <c r="A2681" s="1">
        <v>-30.879811048507602</v>
      </c>
      <c r="B2681">
        <v>-310.209131249873</v>
      </c>
      <c r="C2681">
        <v>0.18098728372609901</v>
      </c>
      <c r="D2681">
        <v>0</v>
      </c>
      <c r="E2681">
        <v>0</v>
      </c>
      <c r="F2681">
        <v>0</v>
      </c>
      <c r="G2681">
        <v>3.0646631191523E-4</v>
      </c>
      <c r="H2681">
        <v>0.86427851450652204</v>
      </c>
      <c r="I2681">
        <v>0</v>
      </c>
    </row>
    <row r="2682" spans="1:9" x14ac:dyDescent="0.25">
      <c r="A2682" s="1">
        <v>-27.4215984344482</v>
      </c>
      <c r="B2682">
        <v>-275.47043743142302</v>
      </c>
      <c r="C2682">
        <v>0.225320278738457</v>
      </c>
      <c r="D2682">
        <v>0</v>
      </c>
      <c r="E2682">
        <v>0</v>
      </c>
      <c r="F2682">
        <v>0</v>
      </c>
      <c r="G2682">
        <v>4.3927231524094098E-4</v>
      </c>
      <c r="H2682">
        <v>0.86966305758245799</v>
      </c>
      <c r="I2682">
        <v>0</v>
      </c>
    </row>
    <row r="2683" spans="1:9" x14ac:dyDescent="0.25">
      <c r="A2683" s="1">
        <v>-24.248878359794599</v>
      </c>
      <c r="B2683">
        <v>-243.599691160856</v>
      </c>
      <c r="C2683">
        <v>0.27940545356674201</v>
      </c>
      <c r="D2683">
        <v>0</v>
      </c>
      <c r="E2683">
        <v>0</v>
      </c>
      <c r="F2683">
        <v>0</v>
      </c>
      <c r="G2683">
        <v>6.3103499838248903E-4</v>
      </c>
      <c r="H2683">
        <v>0.875465841861092</v>
      </c>
      <c r="I2683">
        <v>0</v>
      </c>
    </row>
    <row r="2684" spans="1:9" x14ac:dyDescent="0.25">
      <c r="A2684" s="1">
        <v>-21.3381540775299</v>
      </c>
      <c r="B2684">
        <v>-214.36015035146301</v>
      </c>
      <c r="C2684">
        <v>0.34528198538191501</v>
      </c>
      <c r="D2684">
        <v>0</v>
      </c>
      <c r="E2684">
        <v>0</v>
      </c>
      <c r="F2684">
        <v>0</v>
      </c>
      <c r="G2684">
        <v>9.1025188343564901E-4</v>
      </c>
      <c r="H2684">
        <v>0.88178284800807205</v>
      </c>
      <c r="I2684">
        <v>0</v>
      </c>
    </row>
    <row r="2685" spans="1:9" x14ac:dyDescent="0.25">
      <c r="A2685" s="1">
        <v>-18.6677181720733</v>
      </c>
      <c r="B2685">
        <v>-187.53461824291799</v>
      </c>
      <c r="C2685">
        <v>0.42550727768980701</v>
      </c>
      <c r="D2685">
        <v>0</v>
      </c>
      <c r="E2685">
        <v>0</v>
      </c>
      <c r="F2685">
        <v>0</v>
      </c>
      <c r="G2685">
        <v>1.32066836595214E-3</v>
      </c>
      <c r="H2685">
        <v>0.88865329057459397</v>
      </c>
      <c r="I2685">
        <v>0</v>
      </c>
    </row>
    <row r="2686" spans="1:9" x14ac:dyDescent="0.25">
      <c r="A2686" s="1">
        <v>-16.2178409099578</v>
      </c>
      <c r="B2686">
        <v>-162.92381357931899</v>
      </c>
      <c r="C2686">
        <v>0.52333459654425996</v>
      </c>
      <c r="D2686">
        <v>0</v>
      </c>
      <c r="E2686">
        <v>0</v>
      </c>
      <c r="F2686">
        <v>0</v>
      </c>
      <c r="G2686">
        <v>1.9297395892823399E-3</v>
      </c>
      <c r="H2686">
        <v>0.89603871307855099</v>
      </c>
      <c r="I2686">
        <v>0</v>
      </c>
    </row>
    <row r="2687" spans="1:9" x14ac:dyDescent="0.25">
      <c r="A2687" s="1">
        <v>-13.9702051877975</v>
      </c>
      <c r="B2687">
        <v>-140.344895411371</v>
      </c>
      <c r="C2687">
        <v>0.64294931079433304</v>
      </c>
      <c r="D2687">
        <v>0</v>
      </c>
      <c r="E2687">
        <v>0</v>
      </c>
      <c r="F2687">
        <v>0</v>
      </c>
      <c r="G2687">
        <v>2.8415741515198001E-3</v>
      </c>
      <c r="H2687">
        <v>0.90381930575477798</v>
      </c>
      <c r="I2687">
        <v>0</v>
      </c>
    </row>
    <row r="2688" spans="1:9" x14ac:dyDescent="0.25">
      <c r="A2688" s="1">
        <v>-11.908189058303799</v>
      </c>
      <c r="B2688">
        <v>-119.630129985599</v>
      </c>
      <c r="C2688">
        <v>0.78977729201338398</v>
      </c>
      <c r="D2688">
        <v>0</v>
      </c>
      <c r="E2688">
        <v>0</v>
      </c>
      <c r="F2688">
        <v>0</v>
      </c>
      <c r="G2688">
        <v>4.2166117487624803E-3</v>
      </c>
      <c r="H2688">
        <v>0.91181222196812295</v>
      </c>
      <c r="I2688">
        <v>0</v>
      </c>
    </row>
    <row r="2689" spans="1:9" x14ac:dyDescent="0.25">
      <c r="A2689" s="1">
        <v>-10.016394853591899</v>
      </c>
      <c r="B2689">
        <v>-100.625620319037</v>
      </c>
      <c r="C2689">
        <v>0.97088053196680402</v>
      </c>
      <c r="D2689">
        <v>0</v>
      </c>
      <c r="E2689">
        <v>0</v>
      </c>
      <c r="F2689">
        <v>0</v>
      </c>
      <c r="G2689">
        <v>6.30150965980874E-3</v>
      </c>
      <c r="H2689">
        <v>0.91980668483663097</v>
      </c>
      <c r="I2689">
        <v>0</v>
      </c>
    </row>
    <row r="2690" spans="1:9" x14ac:dyDescent="0.25">
      <c r="A2690" s="1">
        <v>-8.2808375358581507</v>
      </c>
      <c r="B2690">
        <v>-83.190169502882895</v>
      </c>
      <c r="C2690">
        <v>1.19545863004671</v>
      </c>
      <c r="D2690">
        <v>0</v>
      </c>
      <c r="E2690">
        <v>0</v>
      </c>
      <c r="F2690">
        <v>0</v>
      </c>
      <c r="G2690">
        <v>9.4747396115826606E-3</v>
      </c>
      <c r="H2690">
        <v>0.92760294680219102</v>
      </c>
      <c r="I2690">
        <v>0</v>
      </c>
    </row>
    <row r="2691" spans="1:9" x14ac:dyDescent="0.25">
      <c r="A2691" s="1">
        <v>-6.6885209083557102</v>
      </c>
      <c r="B2691">
        <v>-67.194252660958696</v>
      </c>
      <c r="C2691">
        <v>1.4754835481042201</v>
      </c>
      <c r="D2691">
        <v>0</v>
      </c>
      <c r="E2691">
        <v>0</v>
      </c>
      <c r="F2691">
        <v>0</v>
      </c>
      <c r="G2691">
        <v>1.43167703754397E-2</v>
      </c>
      <c r="H2691">
        <v>0.935041806247501</v>
      </c>
      <c r="I2691">
        <v>0</v>
      </c>
    </row>
    <row r="2692" spans="1:9" x14ac:dyDescent="0.25">
      <c r="A2692" s="1">
        <v>-5.2277201414108196</v>
      </c>
      <c r="B2692">
        <v>-52.519009803323698</v>
      </c>
      <c r="C2692">
        <v>1.82650958723045</v>
      </c>
      <c r="D2692">
        <v>0</v>
      </c>
      <c r="E2692">
        <v>0</v>
      </c>
      <c r="F2692">
        <v>0</v>
      </c>
      <c r="G2692">
        <v>2.1719384080779398E-2</v>
      </c>
      <c r="H2692">
        <v>0.94201802938692902</v>
      </c>
      <c r="I2692">
        <v>0</v>
      </c>
    </row>
    <row r="2693" spans="1:9" x14ac:dyDescent="0.25">
      <c r="A2693" s="1">
        <v>-3.88755798339843</v>
      </c>
      <c r="B2693">
        <v>-39.0554016620802</v>
      </c>
      <c r="C2693">
        <v>2.2687179952750398</v>
      </c>
      <c r="D2693">
        <v>0</v>
      </c>
      <c r="E2693">
        <v>0</v>
      </c>
      <c r="F2693">
        <v>0</v>
      </c>
      <c r="G2693">
        <v>3.3057998466738299E-2</v>
      </c>
      <c r="H2693">
        <v>0.94847836136963304</v>
      </c>
      <c r="I2693">
        <v>0</v>
      </c>
    </row>
    <row r="2694" spans="1:9" x14ac:dyDescent="0.25">
      <c r="A2694" s="1">
        <v>-2.6580518484115601</v>
      </c>
      <c r="B2694">
        <v>-26.703424033610801</v>
      </c>
      <c r="C2694">
        <v>2.8282941348217001</v>
      </c>
      <c r="D2694">
        <v>0</v>
      </c>
      <c r="E2694">
        <v>0</v>
      </c>
      <c r="F2694">
        <v>0</v>
      </c>
      <c r="G2694">
        <v>5.0466637969111598E-2</v>
      </c>
      <c r="H2694">
        <v>0.95441027965762304</v>
      </c>
      <c r="I2694">
        <v>0</v>
      </c>
    </row>
    <row r="2695" spans="1:9" x14ac:dyDescent="0.25">
      <c r="A2695" s="1">
        <v>-1.5300196409225399</v>
      </c>
      <c r="B2695">
        <v>-15.3712803305077</v>
      </c>
      <c r="C2695">
        <v>3.5392604642918299</v>
      </c>
      <c r="D2695">
        <v>0</v>
      </c>
      <c r="E2695">
        <v>0</v>
      </c>
      <c r="F2695">
        <v>0</v>
      </c>
      <c r="G2695">
        <v>7.7279300360241901E-2</v>
      </c>
      <c r="H2695">
        <v>0.95982664120289996</v>
      </c>
      <c r="I2695">
        <v>0</v>
      </c>
    </row>
    <row r="2696" spans="1:9" x14ac:dyDescent="0.25">
      <c r="A2696" s="1">
        <v>-0.49517393112182601</v>
      </c>
      <c r="B2696">
        <v>-4.9747714430975902</v>
      </c>
      <c r="C2696">
        <v>4.44600554254699</v>
      </c>
      <c r="D2696">
        <v>0</v>
      </c>
      <c r="E2696">
        <v>0</v>
      </c>
      <c r="F2696">
        <v>0</v>
      </c>
      <c r="G2696">
        <v>0.122432315145924</v>
      </c>
      <c r="H2696">
        <v>0.96581402266342697</v>
      </c>
      <c r="I2696">
        <v>0</v>
      </c>
    </row>
    <row r="2697" spans="1:9" x14ac:dyDescent="0.25">
      <c r="A2697" s="1">
        <v>0.49376130104064903</v>
      </c>
      <c r="B2697">
        <v>0.35040016165494597</v>
      </c>
      <c r="C2697">
        <v>5.0526035417819699</v>
      </c>
      <c r="D2697">
        <v>0.34092570770168901</v>
      </c>
      <c r="E2697">
        <v>-4.8656916613356698E-4</v>
      </c>
      <c r="F2697">
        <v>1.4862357199629301E-4</v>
      </c>
      <c r="G2697">
        <v>1.56413782867348E-2</v>
      </c>
      <c r="H2697">
        <v>0.36834642416929703</v>
      </c>
      <c r="I2697" s="1">
        <v>4.8190856152834604E-7</v>
      </c>
    </row>
    <row r="2698" spans="1:9" x14ac:dyDescent="0.25">
      <c r="A2698" s="1">
        <v>1.5257111191749499</v>
      </c>
      <c r="B2698">
        <v>1.0818809717011399</v>
      </c>
      <c r="C2698">
        <v>5.1726452052872904</v>
      </c>
      <c r="D2698">
        <v>1.0852772760048099</v>
      </c>
      <c r="E2698">
        <v>-4.2277446640975698E-3</v>
      </c>
      <c r="F2698">
        <v>4.6463268049578199E-4</v>
      </c>
      <c r="G2698">
        <v>3.4057510324191798E-2</v>
      </c>
      <c r="H2698">
        <v>0.69965786689841103</v>
      </c>
      <c r="I2698" s="1">
        <v>2.30733870773868E-5</v>
      </c>
    </row>
    <row r="2699" spans="1:9" x14ac:dyDescent="0.25">
      <c r="A2699" s="1">
        <v>2.6505178213119498</v>
      </c>
      <c r="B2699">
        <v>1.8723529784989299</v>
      </c>
      <c r="C2699">
        <v>5.35560567628941</v>
      </c>
      <c r="D2699">
        <v>1.9609881412124901</v>
      </c>
      <c r="E2699">
        <v>-1.5928962511266999E-2</v>
      </c>
      <c r="F2699">
        <v>8.2007860866557401E-4</v>
      </c>
      <c r="G2699">
        <v>5.9283280036585097E-2</v>
      </c>
      <c r="H2699">
        <v>0.81735977178262798</v>
      </c>
      <c r="I2699">
        <v>1.4339072453502401E-4</v>
      </c>
    </row>
    <row r="2700" spans="1:9" x14ac:dyDescent="0.25">
      <c r="A2700" s="1">
        <v>3.8765159249305698</v>
      </c>
      <c r="B2700">
        <v>2.7176371513915001</v>
      </c>
      <c r="C2700">
        <v>5.6371848799158499</v>
      </c>
      <c r="D2700">
        <v>2.9904629227021098</v>
      </c>
      <c r="E2700">
        <v>-3.9417453292513997E-2</v>
      </c>
      <c r="F2700">
        <v>1.2034061627248501E-3</v>
      </c>
      <c r="G2700">
        <v>8.3502519065793604E-2</v>
      </c>
      <c r="H2700">
        <v>0.85842615998748495</v>
      </c>
      <c r="I2700">
        <v>3.7750459084588401E-4</v>
      </c>
    </row>
    <row r="2701" spans="1:9" x14ac:dyDescent="0.25">
      <c r="A2701" s="1">
        <v>5.2129346132278398</v>
      </c>
      <c r="B2701">
        <v>3.6073862104725798</v>
      </c>
      <c r="C2701">
        <v>6.0405757784410996</v>
      </c>
      <c r="D2701">
        <v>4.1529059292822703</v>
      </c>
      <c r="E2701">
        <v>-7.9016692620534595E-2</v>
      </c>
      <c r="F2701">
        <v>1.57538915376979E-3</v>
      </c>
      <c r="G2701">
        <v>0.10030424756553701</v>
      </c>
      <c r="H2701">
        <v>0.86705373451901702</v>
      </c>
      <c r="I2701">
        <v>7.9477067779619404E-4</v>
      </c>
    </row>
    <row r="2702" spans="1:9" x14ac:dyDescent="0.25">
      <c r="A2702" s="1">
        <v>6.6695916652679399</v>
      </c>
      <c r="B2702">
        <v>4.5237139045309904</v>
      </c>
      <c r="C2702">
        <v>6.5483916619405802</v>
      </c>
      <c r="D2702">
        <v>5.3581431012574603</v>
      </c>
      <c r="E2702">
        <v>-0.13695740611966001</v>
      </c>
      <c r="F2702">
        <v>1.8730411319392501E-3</v>
      </c>
      <c r="G2702">
        <v>0.10799666089082301</v>
      </c>
      <c r="H2702">
        <v>0.85752198648862599</v>
      </c>
      <c r="I2702">
        <v>1.8062008794563599E-3</v>
      </c>
    </row>
    <row r="2703" spans="1:9" x14ac:dyDescent="0.25">
      <c r="A2703" s="1">
        <v>8.2573878765106201</v>
      </c>
      <c r="B2703">
        <v>5.4421311139178199</v>
      </c>
      <c r="C2703">
        <v>7.0902043947748403</v>
      </c>
      <c r="D2703">
        <v>6.4579911710954603</v>
      </c>
      <c r="E2703">
        <v>-0.21150114845835399</v>
      </c>
      <c r="F2703">
        <v>2.02742353669673E-3</v>
      </c>
      <c r="G2703">
        <v>0.109917081205476</v>
      </c>
      <c r="H2703">
        <v>0.83700089931830102</v>
      </c>
      <c r="I2703">
        <v>4.3167256437771397E-3</v>
      </c>
    </row>
    <row r="2704" spans="1:9" x14ac:dyDescent="0.25">
      <c r="A2704" s="1">
        <v>9.9880245327949506</v>
      </c>
      <c r="B2704">
        <v>6.3353069781374902</v>
      </c>
      <c r="C2704">
        <v>7.5643702246150797</v>
      </c>
      <c r="D2704">
        <v>7.3033173179037902</v>
      </c>
      <c r="E2704">
        <v>-0.29677583728399598</v>
      </c>
      <c r="F2704">
        <v>1.9853907313256498E-3</v>
      </c>
      <c r="G2704">
        <v>0.110833971047771</v>
      </c>
      <c r="H2704">
        <v>0.81164236435451997</v>
      </c>
      <c r="I2704">
        <v>8.2716962336521205E-3</v>
      </c>
    </row>
    <row r="2705" spans="1:9" x14ac:dyDescent="0.25">
      <c r="A2705" s="1">
        <v>11.874474287032999</v>
      </c>
      <c r="B2705">
        <v>7.17875237754106</v>
      </c>
      <c r="C2705">
        <v>7.8829249434033501</v>
      </c>
      <c r="D2705">
        <v>7.8086694992796497</v>
      </c>
      <c r="E2705">
        <v>-0.38495634411306801</v>
      </c>
      <c r="F2705">
        <v>1.75328580138187E-3</v>
      </c>
      <c r="G2705">
        <v>0.112756277995604</v>
      </c>
      <c r="H2705">
        <v>0.78592990790884498</v>
      </c>
      <c r="I2705">
        <v>1.0950490970349299E-2</v>
      </c>
    </row>
    <row r="2706" spans="1:9" x14ac:dyDescent="0.25">
      <c r="A2706" s="1">
        <v>13.9306750893592</v>
      </c>
      <c r="B2706">
        <v>7.9557679056239001</v>
      </c>
      <c r="C2706">
        <v>8.0038725104637702</v>
      </c>
      <c r="D2706">
        <v>7.9715559560990403</v>
      </c>
      <c r="E2706">
        <v>-0.46911036215067597</v>
      </c>
      <c r="F2706">
        <v>1.4058961672610501E-3</v>
      </c>
      <c r="G2706">
        <v>0.11457080725190499</v>
      </c>
      <c r="H2706">
        <v>0.76130583121902595</v>
      </c>
      <c r="I2706">
        <v>9.8292025072466305E-3</v>
      </c>
    </row>
    <row r="2707" spans="1:9" x14ac:dyDescent="0.25">
      <c r="A2707" s="1">
        <v>16.171883344650201</v>
      </c>
      <c r="B2707">
        <v>8.6588313072037604</v>
      </c>
      <c r="C2707">
        <v>7.9321104132406797</v>
      </c>
      <c r="D2707">
        <v>7.8483131716091101</v>
      </c>
      <c r="E2707">
        <v>-0.54472045665341595</v>
      </c>
      <c r="F2707">
        <v>1.0617057250610999E-3</v>
      </c>
      <c r="G2707">
        <v>0.114521871495294</v>
      </c>
      <c r="H2707">
        <v>0.73736787118607405</v>
      </c>
      <c r="I2707">
        <v>5.3904028458551297E-3</v>
      </c>
    </row>
    <row r="2708" spans="1:9" x14ac:dyDescent="0.25">
      <c r="A2708" s="1">
        <v>18.614838719367899</v>
      </c>
      <c r="B2708">
        <v>9.2879425822806301</v>
      </c>
      <c r="C2708">
        <v>7.7011439210601296</v>
      </c>
      <c r="D2708">
        <v>7.5178596715251702</v>
      </c>
      <c r="E2708">
        <v>-0.60970562989311505</v>
      </c>
      <c r="F2708">
        <v>8.4436415708254598E-4</v>
      </c>
      <c r="G2708">
        <v>0.111865313274505</v>
      </c>
      <c r="H2708">
        <v>0.713514178160922</v>
      </c>
      <c r="I2708">
        <v>-2.4899064877973701E-4</v>
      </c>
    </row>
    <row r="2709" spans="1:9" x14ac:dyDescent="0.25">
      <c r="A2709" s="1">
        <v>21.2777170538902</v>
      </c>
      <c r="B2709">
        <v>9.8478992580485301</v>
      </c>
      <c r="C2709">
        <v>7.3542366528510499</v>
      </c>
      <c r="D2709">
        <v>7.0543800712173397</v>
      </c>
      <c r="E2709">
        <v>-0.66372943742496004</v>
      </c>
      <c r="F2709">
        <v>8.4227985399453701E-4</v>
      </c>
      <c r="G2709">
        <v>0.10691099918533099</v>
      </c>
      <c r="H2709">
        <v>0.689551632215197</v>
      </c>
      <c r="I2709">
        <v>-5.4005101227155902E-3</v>
      </c>
    </row>
    <row r="2710" spans="1:9" x14ac:dyDescent="0.25">
      <c r="A2710" s="1">
        <v>24.180224537849401</v>
      </c>
      <c r="B2710">
        <v>10.3457221060109</v>
      </c>
      <c r="C2710">
        <v>6.9329005087917697</v>
      </c>
      <c r="D2710">
        <v>6.5187386781079697</v>
      </c>
      <c r="E2710">
        <v>-0.70744562279245804</v>
      </c>
      <c r="F2710">
        <v>1.09378161998638E-3</v>
      </c>
      <c r="G2710">
        <v>0.100425344227449</v>
      </c>
      <c r="H2710">
        <v>0.665628774876033</v>
      </c>
      <c r="I2710">
        <v>-9.3503973673891294E-3</v>
      </c>
    </row>
    <row r="2711" spans="1:9" x14ac:dyDescent="0.25">
      <c r="A2711" s="1">
        <v>27.343950867652801</v>
      </c>
      <c r="B2711">
        <v>10.7891506909441</v>
      </c>
      <c r="C2711">
        <v>6.4720273686404202</v>
      </c>
      <c r="D2711">
        <v>5.9550770839420997</v>
      </c>
      <c r="E2711">
        <v>-0.74194259991035105</v>
      </c>
      <c r="F2711">
        <v>1.53523085643228E-3</v>
      </c>
      <c r="G2711">
        <v>9.3132933466471099E-2</v>
      </c>
      <c r="H2711">
        <v>0.64208516727917497</v>
      </c>
      <c r="I2711">
        <v>-1.2014649836437101E-2</v>
      </c>
    </row>
    <row r="2712" spans="1:9" x14ac:dyDescent="0.25">
      <c r="A2712" s="1">
        <v>30.7923927903175</v>
      </c>
      <c r="B2712">
        <v>11.185857713134199</v>
      </c>
      <c r="C2712">
        <v>5.9987342506899504</v>
      </c>
      <c r="D2712">
        <v>5.3947949176788299</v>
      </c>
      <c r="E2712">
        <v>-0.768419184740054</v>
      </c>
      <c r="F2712">
        <v>2.07520169068041E-3</v>
      </c>
      <c r="G2712">
        <v>8.5531340296283898E-2</v>
      </c>
      <c r="H2712">
        <v>0.61933485694385204</v>
      </c>
      <c r="I2712">
        <v>-1.35445248645546E-2</v>
      </c>
    </row>
    <row r="2713" spans="1:9" x14ac:dyDescent="0.25">
      <c r="A2713" s="1">
        <v>34.551213085651298</v>
      </c>
      <c r="B2713">
        <v>11.5430812536787</v>
      </c>
      <c r="C2713">
        <v>5.5327684789929998</v>
      </c>
      <c r="D2713">
        <v>4.8584319003563499</v>
      </c>
      <c r="E2713">
        <v>-0.78803004033111201</v>
      </c>
      <c r="F2713">
        <v>2.6562119576519702E-3</v>
      </c>
      <c r="G2713">
        <v>7.7905058634624894E-2</v>
      </c>
      <c r="H2713">
        <v>0.59778231645867197</v>
      </c>
      <c r="I2713">
        <v>-1.4143868963209299E-2</v>
      </c>
    </row>
    <row r="2714" spans="1:9" x14ac:dyDescent="0.25">
      <c r="A2714" s="1">
        <v>38.6483111977577</v>
      </c>
      <c r="B2714">
        <v>11.867357316524901</v>
      </c>
      <c r="C2714">
        <v>5.0874525012832201</v>
      </c>
      <c r="D2714">
        <v>4.3575047268883997</v>
      </c>
      <c r="E2714">
        <v>-0.80178335559373803</v>
      </c>
      <c r="F2714">
        <v>3.1473527453274499E-3</v>
      </c>
      <c r="G2714">
        <v>7.0419198256586102E-2</v>
      </c>
      <c r="H2714">
        <v>0.57780150739036196</v>
      </c>
      <c r="I2714">
        <v>-1.40130864071084E-2</v>
      </c>
    </row>
    <row r="2715" spans="1:9" x14ac:dyDescent="0.25">
      <c r="A2715" s="1">
        <v>43.1141293048858</v>
      </c>
      <c r="B2715">
        <v>12.1645031123471</v>
      </c>
      <c r="C2715">
        <v>4.6709254289391398</v>
      </c>
      <c r="D2715">
        <v>3.8999434382737399</v>
      </c>
      <c r="E2715">
        <v>-0.81050977555598702</v>
      </c>
      <c r="F2715">
        <v>3.5008226046615298E-3</v>
      </c>
      <c r="G2715">
        <v>6.3185214718974606E-2</v>
      </c>
      <c r="H2715">
        <v>0.55965351921162099</v>
      </c>
      <c r="I2715">
        <v>-1.33393054185314E-2</v>
      </c>
    </row>
    <row r="2716" spans="1:9" x14ac:dyDescent="0.25">
      <c r="A2716" s="1">
        <v>47.981887757778097</v>
      </c>
      <c r="B2716">
        <v>12.4395334779334</v>
      </c>
      <c r="C2716">
        <v>4.2874383703366004</v>
      </c>
      <c r="D2716">
        <v>3.4881671013401201</v>
      </c>
      <c r="E2716">
        <v>-0.81490729711077703</v>
      </c>
      <c r="F2716">
        <v>3.6571661188374298E-3</v>
      </c>
      <c r="G2716">
        <v>5.6283204211640202E-2</v>
      </c>
      <c r="H2716">
        <v>0.54336028666287695</v>
      </c>
      <c r="I2716">
        <v>-1.23031410499052E-2</v>
      </c>
    </row>
    <row r="2717" spans="1:9" x14ac:dyDescent="0.25">
      <c r="A2717" s="1">
        <v>53.287820518016801</v>
      </c>
      <c r="B2717">
        <v>12.696610727817999</v>
      </c>
      <c r="C2717">
        <v>3.93815074468128</v>
      </c>
      <c r="D2717">
        <v>3.1222270811395401</v>
      </c>
      <c r="E2717">
        <v>-0.81550471205675901</v>
      </c>
      <c r="F2717">
        <v>3.56013491477074E-3</v>
      </c>
      <c r="G2717">
        <v>4.9802884261041402E-2</v>
      </c>
      <c r="H2717">
        <v>0.528910480158027</v>
      </c>
      <c r="I2717">
        <v>-1.10678194875245E-2</v>
      </c>
    </row>
    <row r="2718" spans="1:9" x14ac:dyDescent="0.25">
      <c r="A2718" s="1">
        <v>59.071175158023799</v>
      </c>
      <c r="B2718">
        <v>12.9392786799979</v>
      </c>
      <c r="C2718">
        <v>3.6222845507835899</v>
      </c>
      <c r="D2718">
        <v>2.7991651428215398</v>
      </c>
      <c r="E2718">
        <v>-0.81270522159913305</v>
      </c>
      <c r="F2718">
        <v>3.1582347982992399E-3</v>
      </c>
      <c r="G2718">
        <v>4.3837014950773599E-2</v>
      </c>
      <c r="H2718">
        <v>0.51620058870056695</v>
      </c>
      <c r="I2718">
        <v>-9.7851800333961098E-3</v>
      </c>
    </row>
    <row r="2719" spans="1:9" x14ac:dyDescent="0.25">
      <c r="A2719" s="1">
        <v>65.375131070613804</v>
      </c>
      <c r="B2719">
        <v>13.170395791442299</v>
      </c>
      <c r="C2719">
        <v>3.3381610343296599</v>
      </c>
      <c r="D2719">
        <v>2.5162755199106801</v>
      </c>
      <c r="E2719">
        <v>-0.80680921130161998</v>
      </c>
      <c r="F2719">
        <v>2.5426049760602499E-3</v>
      </c>
      <c r="G2719">
        <v>3.8431007476712499E-2</v>
      </c>
      <c r="H2719">
        <v>0.504823795882127</v>
      </c>
      <c r="I2719">
        <v>-8.5534673227342008E-3</v>
      </c>
    </row>
    <row r="2720" spans="1:9" x14ac:dyDescent="0.25">
      <c r="A2720" s="1">
        <v>72.246375679969702</v>
      </c>
      <c r="B2720">
        <v>13.392335751564501</v>
      </c>
      <c r="C2720">
        <v>3.0829300041280199</v>
      </c>
      <c r="D2720">
        <v>2.2700933133898999</v>
      </c>
      <c r="E2720">
        <v>-0.79804831076301697</v>
      </c>
      <c r="F2720">
        <v>1.8140091073089099E-3</v>
      </c>
      <c r="G2720">
        <v>3.3607197277719499E-2</v>
      </c>
      <c r="H2720">
        <v>0.49451172518643399</v>
      </c>
      <c r="I2720">
        <v>-7.4334300290957696E-3</v>
      </c>
    </row>
    <row r="2721" spans="1:9" x14ac:dyDescent="0.25">
      <c r="A2721" s="1">
        <v>79.736069738864799</v>
      </c>
      <c r="B2721">
        <v>13.607087778956799</v>
      </c>
      <c r="C2721">
        <v>2.8530648457388699</v>
      </c>
      <c r="D2721">
        <v>2.0545366703144898</v>
      </c>
      <c r="E2721">
        <v>-0.78656006571677595</v>
      </c>
      <c r="F2721">
        <v>1.14887418831249E-3</v>
      </c>
      <c r="G2721">
        <v>2.9323126199459301E-2</v>
      </c>
      <c r="H2721">
        <v>0.48481705467160902</v>
      </c>
      <c r="I2721">
        <v>-6.43169855730667E-3</v>
      </c>
    </row>
    <row r="2722" spans="1:9" x14ac:dyDescent="0.25">
      <c r="A2722" s="1">
        <v>87.899753153324099</v>
      </c>
      <c r="B2722">
        <v>13.816173040778599</v>
      </c>
      <c r="C2722">
        <v>2.6448274909235199</v>
      </c>
      <c r="D2722">
        <v>1.8663707224902899</v>
      </c>
      <c r="E2722">
        <v>-0.77238652258142604</v>
      </c>
      <c r="F2722">
        <v>7.5985537788236703E-4</v>
      </c>
      <c r="G2722">
        <v>2.5538933593478402E-2</v>
      </c>
      <c r="H2722">
        <v>0.475620314046316</v>
      </c>
      <c r="I2722">
        <v>-5.5544285754215101E-3</v>
      </c>
    </row>
    <row r="2723" spans="1:9" x14ac:dyDescent="0.25">
      <c r="A2723" s="1">
        <v>96.798263192176805</v>
      </c>
      <c r="B2723">
        <v>14.0208619623494</v>
      </c>
      <c r="C2723">
        <v>2.4548446936267401</v>
      </c>
      <c r="D2723">
        <v>1.7007104312698</v>
      </c>
      <c r="E2723">
        <v>-0.75560289888050503</v>
      </c>
      <c r="F2723">
        <v>8.3049337927965496E-4</v>
      </c>
      <c r="G2723">
        <v>2.2207857836964599E-2</v>
      </c>
      <c r="H2723">
        <v>0.46667250233959401</v>
      </c>
      <c r="I2723">
        <v>-4.7907932424394398E-3</v>
      </c>
    </row>
    <row r="2724" spans="1:9" x14ac:dyDescent="0.25">
      <c r="A2724" s="1">
        <v>106.497616767883</v>
      </c>
      <c r="B2724">
        <v>14.2221909432721</v>
      </c>
      <c r="C2724">
        <v>2.27972074619219</v>
      </c>
      <c r="D2724">
        <v>1.5539942755966001</v>
      </c>
      <c r="E2724">
        <v>-0.73611784294759597</v>
      </c>
      <c r="F2724">
        <v>1.0886710033336799E-3</v>
      </c>
      <c r="G2724">
        <v>1.9290145912130598E-2</v>
      </c>
      <c r="H2724">
        <v>0.45796896636068002</v>
      </c>
      <c r="I2724">
        <v>-4.1328672609960201E-3</v>
      </c>
    </row>
    <row r="2725" spans="1:9" x14ac:dyDescent="0.25">
      <c r="A2725" s="1">
        <v>117.06990510225199</v>
      </c>
      <c r="B2725">
        <v>14.4212966798853</v>
      </c>
      <c r="C2725">
        <v>2.1154478981004998</v>
      </c>
      <c r="D2725">
        <v>1.42239870112849</v>
      </c>
      <c r="E2725">
        <v>-0.71369535748051705</v>
      </c>
      <c r="F2725">
        <v>1.2628388667678E-3</v>
      </c>
      <c r="G2725">
        <v>1.6741247610722799E-2</v>
      </c>
      <c r="H2725">
        <v>0.450104767389925</v>
      </c>
      <c r="I2725">
        <v>-3.5667668857736101E-3</v>
      </c>
    </row>
    <row r="2726" spans="1:9" x14ac:dyDescent="0.25">
      <c r="A2726" s="1">
        <v>128.593670427799</v>
      </c>
      <c r="B2726">
        <v>14.619165423424199</v>
      </c>
      <c r="C2726">
        <v>1.9599970226741901</v>
      </c>
      <c r="D2726">
        <v>1.30282942954389</v>
      </c>
      <c r="E2726">
        <v>-0.68837298136942704</v>
      </c>
      <c r="F2726">
        <v>1.54726261617488E-3</v>
      </c>
      <c r="G2726">
        <v>1.4484365193805001E-2</v>
      </c>
      <c r="H2726">
        <v>0.44267461729271201</v>
      </c>
      <c r="I2726">
        <v>-3.06244716831579E-3</v>
      </c>
    </row>
    <row r="2727" spans="1:9" x14ac:dyDescent="0.25">
      <c r="A2727" s="1">
        <v>141.15461230278001</v>
      </c>
      <c r="B2727">
        <v>14.816181644709101</v>
      </c>
      <c r="C2727">
        <v>1.81148177462367</v>
      </c>
      <c r="D2727">
        <v>1.19338696801725</v>
      </c>
      <c r="E2727">
        <v>-0.65993428802457299</v>
      </c>
      <c r="F2727">
        <v>2.1720722733405999E-3</v>
      </c>
      <c r="G2727">
        <v>1.24705294796072E-2</v>
      </c>
      <c r="H2727">
        <v>0.43547099154329899</v>
      </c>
      <c r="I2727">
        <v>-2.6109574875376302E-3</v>
      </c>
    </row>
    <row r="2728" spans="1:9" x14ac:dyDescent="0.25">
      <c r="A2728" s="1">
        <v>154.84601140022201</v>
      </c>
      <c r="B2728">
        <v>15.012178182513701</v>
      </c>
      <c r="C2728">
        <v>1.6684128210353899</v>
      </c>
      <c r="D2728">
        <v>1.0910882981776699</v>
      </c>
      <c r="E2728">
        <v>-0.628201886689431</v>
      </c>
      <c r="F2728">
        <v>2.2870131603324002E-3</v>
      </c>
      <c r="G2728">
        <v>1.06643070823071E-2</v>
      </c>
      <c r="H2728">
        <v>0.42799159438066797</v>
      </c>
      <c r="I2728">
        <v>-2.2052094931642998E-3</v>
      </c>
    </row>
    <row r="2729" spans="1:9" x14ac:dyDescent="0.25">
      <c r="A2729" s="1">
        <v>169.76969480514501</v>
      </c>
      <c r="B2729">
        <v>15.2070881723475</v>
      </c>
      <c r="C2729">
        <v>1.5284464297490099</v>
      </c>
      <c r="D2729">
        <v>0.99447877714736599</v>
      </c>
      <c r="E2729">
        <v>-0.59271185275722005</v>
      </c>
      <c r="F2729">
        <v>1.90519130870716E-3</v>
      </c>
      <c r="G2729">
        <v>9.0485250282808793E-3</v>
      </c>
      <c r="H2729">
        <v>0.42053158993740403</v>
      </c>
      <c r="I2729">
        <v>-1.8421966770669101E-3</v>
      </c>
    </row>
    <row r="2730" spans="1:9" x14ac:dyDescent="0.25">
      <c r="A2730" s="1">
        <v>186.03645980358101</v>
      </c>
      <c r="B2730">
        <v>15.401429814011999</v>
      </c>
      <c r="C2730">
        <v>1.38971142063235</v>
      </c>
      <c r="D2730">
        <v>0.90216095540604702</v>
      </c>
      <c r="E2730">
        <v>-0.55298565465520799</v>
      </c>
      <c r="F2730">
        <v>1.72673470518378E-3</v>
      </c>
      <c r="G2730">
        <v>7.6032123084963203E-3</v>
      </c>
      <c r="H2730">
        <v>0.41362438361649001</v>
      </c>
      <c r="I2730">
        <v>-1.5202114992892599E-3</v>
      </c>
    </row>
    <row r="2731" spans="1:9" x14ac:dyDescent="0.25">
      <c r="A2731" s="1">
        <v>203.76720398664401</v>
      </c>
      <c r="B2731">
        <v>15.5947852044415</v>
      </c>
      <c r="C2731">
        <v>1.25216172594301</v>
      </c>
      <c r="D2731">
        <v>0.81109839605812695</v>
      </c>
      <c r="E2731">
        <v>-0.50891474072246301</v>
      </c>
      <c r="F2731">
        <v>1.4892604761188399E-3</v>
      </c>
      <c r="G2731">
        <v>6.3033794623529602E-3</v>
      </c>
      <c r="H2731">
        <v>0.406328974933436</v>
      </c>
      <c r="I2731">
        <v>-1.23288962153344E-3</v>
      </c>
    </row>
    <row r="2732" spans="1:9" x14ac:dyDescent="0.25">
      <c r="A2732" s="1">
        <v>223.09376105666101</v>
      </c>
      <c r="B2732">
        <v>15.7854660152506</v>
      </c>
      <c r="C2732">
        <v>1.1148226266474099</v>
      </c>
      <c r="D2732">
        <v>0.72161328346230602</v>
      </c>
      <c r="E2732">
        <v>-0.46004609234035598</v>
      </c>
      <c r="F2732">
        <v>1.16464007708346E-3</v>
      </c>
      <c r="G2732">
        <v>5.1239360358311297E-3</v>
      </c>
      <c r="H2732">
        <v>0.39892934292787702</v>
      </c>
      <c r="I2732">
        <v>-9.7026316559523703E-4</v>
      </c>
    </row>
    <row r="2733" spans="1:9" x14ac:dyDescent="0.25">
      <c r="A2733" s="1">
        <v>244.15970131754801</v>
      </c>
      <c r="B2733">
        <v>15.972101524384</v>
      </c>
      <c r="C2733">
        <v>0.97675366838366895</v>
      </c>
      <c r="D2733">
        <v>0.630762522998914</v>
      </c>
      <c r="E2733">
        <v>-0.40577704489814298</v>
      </c>
      <c r="F2733">
        <v>3.7997520468164599E-4</v>
      </c>
      <c r="G2733">
        <v>4.0648224997647201E-3</v>
      </c>
      <c r="H2733">
        <v>0.39204143080814102</v>
      </c>
      <c r="I2733">
        <v>-7.36250811706272E-4</v>
      </c>
    </row>
    <row r="2734" spans="1:9" x14ac:dyDescent="0.25">
      <c r="A2734" s="1">
        <v>267.12157949805197</v>
      </c>
      <c r="B2734">
        <v>16.151816558749601</v>
      </c>
      <c r="C2734">
        <v>0.83883643322797197</v>
      </c>
      <c r="D2734">
        <v>0.54086177738698604</v>
      </c>
      <c r="E2734">
        <v>-0.34574954010446801</v>
      </c>
      <c r="F2734">
        <v>-6.3360348166562898E-4</v>
      </c>
      <c r="G2734">
        <v>3.1363189055598401E-3</v>
      </c>
      <c r="H2734">
        <v>0.38616547976657101</v>
      </c>
      <c r="I2734">
        <v>-5.3870931385945704E-4</v>
      </c>
    </row>
    <row r="2735" spans="1:9" x14ac:dyDescent="0.25">
      <c r="A2735" s="1">
        <v>292.15002954006098</v>
      </c>
      <c r="B2735">
        <v>16.3199138878893</v>
      </c>
      <c r="C2735">
        <v>0.70149046669126802</v>
      </c>
      <c r="D2735">
        <v>0.44984546705341999</v>
      </c>
      <c r="E2735">
        <v>-0.27944684170654399</v>
      </c>
      <c r="F2735">
        <v>-1.2033053980153501E-3</v>
      </c>
      <c r="G2735">
        <v>2.3431760259692001E-3</v>
      </c>
      <c r="H2735">
        <v>0.38252187861164699</v>
      </c>
      <c r="I2735">
        <v>-3.7898019308426999E-4</v>
      </c>
    </row>
    <row r="2736" spans="1:9" x14ac:dyDescent="0.25">
      <c r="A2736" s="1">
        <v>319.43101242184599</v>
      </c>
      <c r="B2736">
        <v>16.466982334764001</v>
      </c>
      <c r="C2736">
        <v>0.57194200205525103</v>
      </c>
      <c r="D2736">
        <v>0.36195612932249099</v>
      </c>
      <c r="E2736">
        <v>-0.20655278713260999</v>
      </c>
      <c r="F2736">
        <v>-9.1979683040981097E-4</v>
      </c>
      <c r="G2736">
        <v>1.70198077309594E-3</v>
      </c>
      <c r="H2736">
        <v>0.38240438773788099</v>
      </c>
      <c r="I2736">
        <v>-2.6157120691062301E-4</v>
      </c>
    </row>
    <row r="2737" spans="1:9" x14ac:dyDescent="0.25">
      <c r="A2737" s="1">
        <v>349.16732590645501</v>
      </c>
      <c r="B2737">
        <v>16.581069871695</v>
      </c>
      <c r="C2737">
        <v>0.46436760016537498</v>
      </c>
      <c r="D2737">
        <v>0.28737715741241898</v>
      </c>
      <c r="E2737">
        <v>-0.125761306236569</v>
      </c>
      <c r="F2737">
        <v>-1.04241339613005E-3</v>
      </c>
      <c r="G2737">
        <v>1.25932608964467E-3</v>
      </c>
      <c r="H2737">
        <v>0.38691805128111301</v>
      </c>
      <c r="I2737">
        <v>-1.9183703801842401E-4</v>
      </c>
    </row>
    <row r="2738" spans="1:9" x14ac:dyDescent="0.25">
      <c r="A2738" s="1">
        <v>379.83785875141598</v>
      </c>
      <c r="B2738">
        <v>16.641314777643601</v>
      </c>
      <c r="C2738">
        <v>0.402965487245867</v>
      </c>
      <c r="D2738">
        <v>0.243454198137561</v>
      </c>
      <c r="E2738">
        <v>-4.1516474920823603E-2</v>
      </c>
      <c r="F2738">
        <v>-1.3805150679186799E-3</v>
      </c>
      <c r="G2738">
        <v>1.0290845693124199E-3</v>
      </c>
      <c r="H2738">
        <v>0.40770907956097702</v>
      </c>
      <c r="I2738">
        <v>-1.5229651708458799E-4</v>
      </c>
    </row>
    <row r="2739" spans="1:9" x14ac:dyDescent="0.25">
      <c r="A2739" s="1" t="s">
        <v>560</v>
      </c>
      <c r="B2739" s="1" t="s">
        <v>614</v>
      </c>
      <c r="C2739" s="1" t="s">
        <v>615</v>
      </c>
      <c r="D2739" s="1" t="s">
        <v>616</v>
      </c>
      <c r="E2739" s="1" t="s">
        <v>617</v>
      </c>
      <c r="F2739" s="1" t="s">
        <v>618</v>
      </c>
      <c r="G2739" s="1" t="s">
        <v>400</v>
      </c>
      <c r="H2739" s="1" t="s">
        <v>619</v>
      </c>
      <c r="I2739" s="1" t="s">
        <v>613</v>
      </c>
    </row>
    <row r="2740" spans="1:9" x14ac:dyDescent="0.25">
      <c r="A2740" s="1">
        <v>-141.555516719818</v>
      </c>
      <c r="B2740">
        <v>-22.589426452135399</v>
      </c>
      <c r="C2740">
        <v>1.25786754489183E-3</v>
      </c>
      <c r="D2740">
        <v>0</v>
      </c>
      <c r="E2740">
        <v>0</v>
      </c>
      <c r="F2740">
        <v>0</v>
      </c>
      <c r="G2740" s="1">
        <v>1.71476219988919E-8</v>
      </c>
      <c r="H2740">
        <v>4.8117232784880601E-2</v>
      </c>
      <c r="I2740">
        <v>0</v>
      </c>
    </row>
    <row r="2741" spans="1:9" x14ac:dyDescent="0.25">
      <c r="A2741" s="1">
        <v>-128.95890593528699</v>
      </c>
      <c r="B2741">
        <v>-20.587835839232099</v>
      </c>
      <c r="C2741">
        <v>1.28256764975101E-3</v>
      </c>
      <c r="D2741">
        <v>0</v>
      </c>
      <c r="E2741">
        <v>0</v>
      </c>
      <c r="F2741">
        <v>0</v>
      </c>
      <c r="G2741" s="1">
        <v>2.4433950818636399E-8</v>
      </c>
      <c r="H2741">
        <v>0.29272004328323198</v>
      </c>
      <c r="I2741">
        <v>0</v>
      </c>
    </row>
    <row r="2742" spans="1:9" x14ac:dyDescent="0.25">
      <c r="A2742" s="1">
        <v>-117.402367591857</v>
      </c>
      <c r="B2742">
        <v>-18.7500423329227</v>
      </c>
      <c r="C2742">
        <v>1.33310164164557E-3</v>
      </c>
      <c r="D2742">
        <v>0</v>
      </c>
      <c r="E2742">
        <v>0</v>
      </c>
      <c r="F2742">
        <v>0</v>
      </c>
      <c r="G2742" s="1">
        <v>3.8423168542633903E-8</v>
      </c>
      <c r="H2742">
        <v>0.49720837324368999</v>
      </c>
      <c r="I2742">
        <v>0</v>
      </c>
    </row>
    <row r="2743" spans="1:9" x14ac:dyDescent="0.25">
      <c r="A2743" s="1">
        <v>-106.80001378059301</v>
      </c>
      <c r="B2743">
        <v>-17.0627587052339</v>
      </c>
      <c r="C2743">
        <v>1.41463406255256E-3</v>
      </c>
      <c r="D2743">
        <v>0</v>
      </c>
      <c r="E2743">
        <v>0</v>
      </c>
      <c r="F2743">
        <v>0</v>
      </c>
      <c r="G2743" s="1">
        <v>5.9545355956536201E-8</v>
      </c>
      <c r="H2743">
        <v>0.61746860987401997</v>
      </c>
      <c r="I2743">
        <v>0</v>
      </c>
    </row>
    <row r="2744" spans="1:9" x14ac:dyDescent="0.25">
      <c r="A2744" s="1">
        <v>-97.073161005973802</v>
      </c>
      <c r="B2744">
        <v>-15.513750843917601</v>
      </c>
      <c r="C2744">
        <v>1.5340693175962901E-3</v>
      </c>
      <c r="D2744">
        <v>0</v>
      </c>
      <c r="E2744">
        <v>0</v>
      </c>
      <c r="F2744">
        <v>0</v>
      </c>
      <c r="G2744" s="1">
        <v>8.93641276136225E-8</v>
      </c>
      <c r="H2744">
        <v>0.68492699068975804</v>
      </c>
      <c r="I2744">
        <v>0</v>
      </c>
    </row>
    <row r="2745" spans="1:9" x14ac:dyDescent="0.25">
      <c r="A2745" s="1">
        <v>-88.149435520172105</v>
      </c>
      <c r="B2745">
        <v>-14.091764619415301</v>
      </c>
      <c r="C2745">
        <v>1.6991791587587699E-3</v>
      </c>
      <c r="D2745">
        <v>0</v>
      </c>
      <c r="E2745">
        <v>0</v>
      </c>
      <c r="F2745">
        <v>0</v>
      </c>
      <c r="G2745" s="1">
        <v>1.30630386765973E-7</v>
      </c>
      <c r="H2745">
        <v>0.72369122990948198</v>
      </c>
      <c r="I2745">
        <v>0</v>
      </c>
    </row>
    <row r="2746" spans="1:9" x14ac:dyDescent="0.25">
      <c r="A2746" s="1">
        <v>-79.962490797042804</v>
      </c>
      <c r="B2746">
        <v>-12.7864548413359</v>
      </c>
      <c r="C2746">
        <v>1.91839660617232E-3</v>
      </c>
      <c r="D2746">
        <v>0</v>
      </c>
      <c r="E2746">
        <v>0</v>
      </c>
      <c r="F2746">
        <v>0</v>
      </c>
      <c r="G2746" s="1">
        <v>1.8740617009960201E-7</v>
      </c>
      <c r="H2746">
        <v>0.74709095100522505</v>
      </c>
      <c r="I2746">
        <v>0</v>
      </c>
    </row>
    <row r="2747" spans="1:9" x14ac:dyDescent="0.25">
      <c r="A2747" s="1">
        <v>-72.451583743095298</v>
      </c>
      <c r="B2747">
        <v>-11.588299588327899</v>
      </c>
      <c r="C2747">
        <v>2.2008729515857902E-3</v>
      </c>
      <c r="D2747">
        <v>0</v>
      </c>
      <c r="E2747">
        <v>0</v>
      </c>
      <c r="F2747">
        <v>0</v>
      </c>
      <c r="G2747" s="1">
        <v>2.6529957635834599E-7</v>
      </c>
      <c r="H2747">
        <v>0.76227349620269902</v>
      </c>
      <c r="I2747">
        <v>0</v>
      </c>
    </row>
    <row r="2748" spans="1:9" x14ac:dyDescent="0.25">
      <c r="A2748" s="1">
        <v>-65.560821294784503</v>
      </c>
      <c r="B2748">
        <v>-10.488552149226599</v>
      </c>
      <c r="C2748">
        <v>2.5566082515933999E-3</v>
      </c>
      <c r="D2748">
        <v>0</v>
      </c>
      <c r="E2748">
        <v>0</v>
      </c>
      <c r="F2748">
        <v>0</v>
      </c>
      <c r="G2748" s="1">
        <v>3.7185175215492798E-7</v>
      </c>
      <c r="H2748">
        <v>0.77311793423645103</v>
      </c>
      <c r="I2748">
        <v>0</v>
      </c>
    </row>
    <row r="2749" spans="1:9" x14ac:dyDescent="0.25">
      <c r="A2749" s="1">
        <v>-59.238972067832897</v>
      </c>
      <c r="B2749">
        <v>-9.4791678900175906</v>
      </c>
      <c r="C2749">
        <v>2.9965895051544999E-3</v>
      </c>
      <c r="D2749">
        <v>0</v>
      </c>
      <c r="E2749">
        <v>0</v>
      </c>
      <c r="F2749">
        <v>0</v>
      </c>
      <c r="G2749" s="1">
        <v>5.1711002577903202E-7</v>
      </c>
      <c r="H2749">
        <v>0.78174770814940298</v>
      </c>
      <c r="I2749">
        <v>0</v>
      </c>
    </row>
    <row r="2750" spans="1:9" x14ac:dyDescent="0.25">
      <c r="A2750" s="1">
        <v>-53.439136743545497</v>
      </c>
      <c r="B2750">
        <v>-8.5527551502266093</v>
      </c>
      <c r="C2750">
        <v>3.5329222645374401E-3</v>
      </c>
      <c r="D2750">
        <v>0</v>
      </c>
      <c r="E2750">
        <v>0</v>
      </c>
      <c r="F2750">
        <v>0</v>
      </c>
      <c r="G2750" s="1">
        <v>7.14423712503631E-7</v>
      </c>
      <c r="H2750">
        <v>0.78931852610099595</v>
      </c>
      <c r="I2750">
        <v>0</v>
      </c>
    </row>
    <row r="2751" spans="1:9" x14ac:dyDescent="0.25">
      <c r="A2751" s="1">
        <v>-48.118183016777003</v>
      </c>
      <c r="B2751">
        <v>-7.7025230050363804</v>
      </c>
      <c r="C2751">
        <v>4.1789570768315598E-3</v>
      </c>
      <c r="D2751">
        <v>0</v>
      </c>
      <c r="E2751">
        <v>0</v>
      </c>
      <c r="F2751">
        <v>0</v>
      </c>
      <c r="G2751" s="1">
        <v>9.8151864995843497E-7</v>
      </c>
      <c r="H2751">
        <v>0.79644395180517902</v>
      </c>
      <c r="I2751">
        <v>0</v>
      </c>
    </row>
    <row r="2752" spans="1:9" x14ac:dyDescent="0.25">
      <c r="A2752" s="1">
        <v>-43.236604332923797</v>
      </c>
      <c r="B2752">
        <v>-6.9222290274032598</v>
      </c>
      <c r="C2752">
        <v>4.9494237494642698E-3</v>
      </c>
      <c r="D2752">
        <v>0</v>
      </c>
      <c r="E2752">
        <v>0</v>
      </c>
      <c r="F2752">
        <v>0</v>
      </c>
      <c r="G2752" s="1">
        <v>1.3419387445168201E-6</v>
      </c>
      <c r="H2752">
        <v>0.80343438321462601</v>
      </c>
      <c r="I2752">
        <v>0</v>
      </c>
    </row>
    <row r="2753" spans="1:9" x14ac:dyDescent="0.25">
      <c r="A2753" s="1">
        <v>-38.758049011230398</v>
      </c>
      <c r="B2753">
        <v>-6.2061427215391003</v>
      </c>
      <c r="C2753">
        <v>5.86058168287165E-3</v>
      </c>
      <c r="D2753">
        <v>0</v>
      </c>
      <c r="E2753">
        <v>0</v>
      </c>
      <c r="F2753">
        <v>0</v>
      </c>
      <c r="G2753" s="1">
        <v>1.82698420987748E-6</v>
      </c>
      <c r="H2753">
        <v>0.81043438387778299</v>
      </c>
      <c r="I2753">
        <v>0</v>
      </c>
    </row>
    <row r="2754" spans="1:9" x14ac:dyDescent="0.25">
      <c r="A2754" s="1">
        <v>-34.649320244789102</v>
      </c>
      <c r="B2754">
        <v>-5.548996419301</v>
      </c>
      <c r="C2754">
        <v>6.9303998226170503E-3</v>
      </c>
      <c r="D2754">
        <v>0</v>
      </c>
      <c r="E2754">
        <v>0</v>
      </c>
      <c r="F2754">
        <v>0</v>
      </c>
      <c r="G2754" s="1">
        <v>2.4783373398058401E-6</v>
      </c>
      <c r="H2754">
        <v>0.817502812964925</v>
      </c>
      <c r="I2754">
        <v>0</v>
      </c>
    </row>
    <row r="2755" spans="1:9" x14ac:dyDescent="0.25">
      <c r="A2755" s="1">
        <v>-30.879811048507602</v>
      </c>
      <c r="B2755">
        <v>-4.94595289270368</v>
      </c>
      <c r="C2755">
        <v>8.1787723783905593E-3</v>
      </c>
      <c r="D2755">
        <v>0</v>
      </c>
      <c r="E2755">
        <v>0</v>
      </c>
      <c r="F2755">
        <v>0</v>
      </c>
      <c r="G2755" s="1">
        <v>3.3516567879576801E-6</v>
      </c>
      <c r="H2755">
        <v>0.82465962723769604</v>
      </c>
      <c r="I2755">
        <v>0</v>
      </c>
    </row>
    <row r="2756" spans="1:9" x14ac:dyDescent="0.25">
      <c r="A2756" s="1">
        <v>-27.4215984344482</v>
      </c>
      <c r="B2756">
        <v>-4.3925708769166096</v>
      </c>
      <c r="C2756">
        <v>9.6277926641895207E-3</v>
      </c>
      <c r="D2756">
        <v>0</v>
      </c>
      <c r="E2756">
        <v>0</v>
      </c>
      <c r="F2756">
        <v>0</v>
      </c>
      <c r="G2756" s="1">
        <v>4.5216105087959497E-6</v>
      </c>
      <c r="H2756">
        <v>0.83191408997329597</v>
      </c>
      <c r="I2756">
        <v>0</v>
      </c>
    </row>
    <row r="2757" spans="1:9" x14ac:dyDescent="0.25">
      <c r="A2757" s="1">
        <v>-24.248878359794599</v>
      </c>
      <c r="B2757">
        <v>-3.8847695485034199</v>
      </c>
      <c r="C2757">
        <v>1.1302096236830501E-2</v>
      </c>
      <c r="D2757">
        <v>0</v>
      </c>
      <c r="E2757">
        <v>0</v>
      </c>
      <c r="F2757">
        <v>0</v>
      </c>
      <c r="G2757" s="1">
        <v>6.0891486326930501E-6</v>
      </c>
      <c r="H2757">
        <v>0.83928268968523201</v>
      </c>
      <c r="I2757">
        <v>0</v>
      </c>
    </row>
    <row r="2758" spans="1:9" x14ac:dyDescent="0.25">
      <c r="A2758" s="1">
        <v>-21.3381540775299</v>
      </c>
      <c r="B2758">
        <v>-3.4188044959955999</v>
      </c>
      <c r="C2758">
        <v>1.3229319717966301E-2</v>
      </c>
      <c r="D2758">
        <v>0</v>
      </c>
      <c r="E2758">
        <v>0</v>
      </c>
      <c r="F2758">
        <v>0</v>
      </c>
      <c r="G2758" s="1">
        <v>8.1924596929461305E-6</v>
      </c>
      <c r="H2758">
        <v>0.84680150475709404</v>
      </c>
      <c r="I2758">
        <v>0</v>
      </c>
    </row>
    <row r="2759" spans="1:9" x14ac:dyDescent="0.25">
      <c r="A2759" s="1">
        <v>-18.6677181720733</v>
      </c>
      <c r="B2759">
        <v>-2.99123428764727</v>
      </c>
      <c r="C2759">
        <v>1.5440754657374E-2</v>
      </c>
      <c r="D2759">
        <v>0</v>
      </c>
      <c r="E2759">
        <v>0</v>
      </c>
      <c r="F2759">
        <v>0</v>
      </c>
      <c r="G2759" s="1">
        <v>1.10242424231934E-5</v>
      </c>
      <c r="H2759">
        <v>0.85453491922037905</v>
      </c>
      <c r="I2759">
        <v>0</v>
      </c>
    </row>
    <row r="2760" spans="1:9" x14ac:dyDescent="0.25">
      <c r="A2760" s="1">
        <v>-16.2178409099578</v>
      </c>
      <c r="B2760">
        <v>-2.5989016657972002</v>
      </c>
      <c r="C2760">
        <v>1.7972309885589802E-2</v>
      </c>
      <c r="D2760">
        <v>0</v>
      </c>
      <c r="E2760">
        <v>0</v>
      </c>
      <c r="F2760">
        <v>0</v>
      </c>
      <c r="G2760" s="1">
        <v>1.48602176870262E-5</v>
      </c>
      <c r="H2760">
        <v>0.86258112927836705</v>
      </c>
      <c r="I2760">
        <v>0</v>
      </c>
    </row>
    <row r="2761" spans="1:9" x14ac:dyDescent="0.25">
      <c r="A2761" s="1">
        <v>-13.9702051877975</v>
      </c>
      <c r="B2761">
        <v>-2.23890847268488</v>
      </c>
      <c r="C2761">
        <v>2.0866031606339801E-2</v>
      </c>
      <c r="D2761">
        <v>0</v>
      </c>
      <c r="E2761">
        <v>0</v>
      </c>
      <c r="F2761">
        <v>0</v>
      </c>
      <c r="G2761" s="1">
        <v>2.01080938722384E-5</v>
      </c>
      <c r="H2761">
        <v>0.87107242404751095</v>
      </c>
      <c r="I2761">
        <v>0</v>
      </c>
    </row>
    <row r="2762" spans="1:9" x14ac:dyDescent="0.25">
      <c r="A2762" s="1">
        <v>-11.908189058303799</v>
      </c>
      <c r="B2762">
        <v>-1.9085916210242699</v>
      </c>
      <c r="C2762">
        <v>2.4172494188973701E-2</v>
      </c>
      <c r="D2762">
        <v>0</v>
      </c>
      <c r="E2762">
        <v>0</v>
      </c>
      <c r="F2762">
        <v>0</v>
      </c>
      <c r="G2762" s="1">
        <v>2.73942740019279E-5</v>
      </c>
      <c r="H2762">
        <v>0.88016532838587902</v>
      </c>
      <c r="I2762">
        <v>0</v>
      </c>
    </row>
    <row r="2763" spans="1:9" x14ac:dyDescent="0.25">
      <c r="A2763" s="1">
        <v>-10.016394853591899</v>
      </c>
      <c r="B2763">
        <v>-1.6055074226388</v>
      </c>
      <c r="C2763">
        <v>2.7954687581314201E-2</v>
      </c>
      <c r="D2763">
        <v>0</v>
      </c>
      <c r="E2763">
        <v>0</v>
      </c>
      <c r="F2763">
        <v>0</v>
      </c>
      <c r="G2763" s="1">
        <v>3.77208937495368E-5</v>
      </c>
      <c r="H2763">
        <v>0.89001363356025298</v>
      </c>
      <c r="I2763">
        <v>0</v>
      </c>
    </row>
    <row r="2764" spans="1:9" x14ac:dyDescent="0.25">
      <c r="A2764" s="1">
        <v>-8.2808375358581507</v>
      </c>
      <c r="B2764">
        <v>-1.3274159170963999</v>
      </c>
      <c r="C2764">
        <v>3.2294269807493801E-2</v>
      </c>
      <c r="D2764">
        <v>0</v>
      </c>
      <c r="E2764">
        <v>0</v>
      </c>
      <c r="F2764">
        <v>0</v>
      </c>
      <c r="G2764" s="1">
        <v>5.2755918846244702E-5</v>
      </c>
      <c r="H2764">
        <v>0.90071974771162</v>
      </c>
      <c r="I2764">
        <v>0</v>
      </c>
    </row>
    <row r="2765" spans="1:9" x14ac:dyDescent="0.25">
      <c r="A2765" s="1">
        <v>-6.6885209083557102</v>
      </c>
      <c r="B2765">
        <v>-1.0722563199044399</v>
      </c>
      <c r="C2765">
        <v>3.7301711349501901E-2</v>
      </c>
      <c r="D2765">
        <v>0</v>
      </c>
      <c r="E2765">
        <v>0</v>
      </c>
      <c r="F2765">
        <v>0</v>
      </c>
      <c r="G2765" s="1">
        <v>7.5381830771178198E-5</v>
      </c>
      <c r="H2765">
        <v>0.91226960638968302</v>
      </c>
      <c r="I2765">
        <v>0</v>
      </c>
    </row>
    <row r="2766" spans="1:9" x14ac:dyDescent="0.25">
      <c r="A2766" s="1">
        <v>-5.2277201414108196</v>
      </c>
      <c r="B2766">
        <v>-0.83814075396370602</v>
      </c>
      <c r="C2766">
        <v>4.3132895450702403E-2</v>
      </c>
      <c r="D2766">
        <v>0</v>
      </c>
      <c r="E2766">
        <v>0</v>
      </c>
      <c r="F2766">
        <v>0</v>
      </c>
      <c r="G2766">
        <v>1.10768163822797E-4</v>
      </c>
      <c r="H2766">
        <v>0.92447376401166304</v>
      </c>
      <c r="I2766">
        <v>0</v>
      </c>
    </row>
    <row r="2767" spans="1:9" x14ac:dyDescent="0.25">
      <c r="A2767" s="1">
        <v>-3.88755798339843</v>
      </c>
      <c r="B2767">
        <v>-0.62333492155161196</v>
      </c>
      <c r="C2767">
        <v>5.0016754737486901E-2</v>
      </c>
      <c r="D2767">
        <v>0</v>
      </c>
      <c r="E2767">
        <v>0</v>
      </c>
      <c r="F2767">
        <v>0</v>
      </c>
      <c r="G2767">
        <v>1.68565382434621E-4</v>
      </c>
      <c r="H2767">
        <v>0.93695031499070602</v>
      </c>
      <c r="I2767">
        <v>0</v>
      </c>
    </row>
    <row r="2768" spans="1:9" x14ac:dyDescent="0.25">
      <c r="A2768" s="1">
        <v>-2.6580518484115601</v>
      </c>
      <c r="B2768">
        <v>-0.42624765674558002</v>
      </c>
      <c r="C2768">
        <v>5.83028545832227E-2</v>
      </c>
      <c r="D2768">
        <v>0</v>
      </c>
      <c r="E2768">
        <v>0</v>
      </c>
      <c r="F2768">
        <v>0</v>
      </c>
      <c r="G2768">
        <v>2.6765946099266099E-4</v>
      </c>
      <c r="H2768">
        <v>0.94917538167033999</v>
      </c>
      <c r="I2768">
        <v>0</v>
      </c>
    </row>
    <row r="2769" spans="1:9" x14ac:dyDescent="0.25">
      <c r="A2769" s="1">
        <v>-1.5300196409225399</v>
      </c>
      <c r="B2769">
        <v>-0.245419433088717</v>
      </c>
      <c r="C2769">
        <v>6.8547606938819394E-2</v>
      </c>
      <c r="D2769">
        <v>0</v>
      </c>
      <c r="E2769">
        <v>0</v>
      </c>
      <c r="F2769">
        <v>0</v>
      </c>
      <c r="G2769">
        <v>4.47174763532416E-4</v>
      </c>
      <c r="H2769">
        <v>0.96058699461225505</v>
      </c>
      <c r="I2769">
        <v>0</v>
      </c>
    </row>
    <row r="2770" spans="1:9" x14ac:dyDescent="0.25">
      <c r="A2770" s="1">
        <v>-0.49517393112182601</v>
      </c>
      <c r="B2770">
        <v>-7.9508781740186399E-2</v>
      </c>
      <c r="C2770">
        <v>8.1679564736583304E-2</v>
      </c>
      <c r="D2770">
        <v>0</v>
      </c>
      <c r="E2770">
        <v>0</v>
      </c>
      <c r="F2770">
        <v>0</v>
      </c>
      <c r="G2770">
        <v>7.9652179320919398E-4</v>
      </c>
      <c r="H2770">
        <v>0.97079619388432703</v>
      </c>
      <c r="I2770">
        <v>0</v>
      </c>
    </row>
    <row r="2771" spans="1:9" x14ac:dyDescent="0.25">
      <c r="A2771" s="1">
        <v>0.49376130104064903</v>
      </c>
      <c r="B2771">
        <v>0.35391102477002301</v>
      </c>
      <c r="C2771">
        <v>0.15001783259335999</v>
      </c>
      <c r="D2771">
        <v>5.8524101149383098E-2</v>
      </c>
      <c r="E2771">
        <v>-1.09724454647299E-4</v>
      </c>
      <c r="F2771" s="1">
        <v>-2.5702268814517299E-7</v>
      </c>
      <c r="G2771">
        <v>0.1090379638812</v>
      </c>
      <c r="H2771">
        <v>0.99738126236903801</v>
      </c>
      <c r="I2771" s="1">
        <v>1.0358270870356099E-6</v>
      </c>
    </row>
    <row r="2772" spans="1:9" x14ac:dyDescent="0.25">
      <c r="A2772" s="1">
        <v>1.5257111191749499</v>
      </c>
      <c r="B2772">
        <v>1.09318259271818</v>
      </c>
      <c r="C2772">
        <v>0.39792875933483202</v>
      </c>
      <c r="D2772">
        <v>0.34493727218775999</v>
      </c>
      <c r="E2772">
        <v>-1.8161786731328499E-3</v>
      </c>
      <c r="F2772" s="1">
        <v>7.5206286282465302E-5</v>
      </c>
      <c r="G2772">
        <v>0.112331665176719</v>
      </c>
      <c r="H2772">
        <v>0.99156078962302496</v>
      </c>
      <c r="I2772" s="1">
        <v>2.5692653198284399E-5</v>
      </c>
    </row>
    <row r="2773" spans="1:9" x14ac:dyDescent="0.25">
      <c r="A2773" s="1">
        <v>2.6505178213119498</v>
      </c>
      <c r="B2773">
        <v>1.8948141785061601</v>
      </c>
      <c r="C2773">
        <v>0.85582877752563902</v>
      </c>
      <c r="D2773">
        <v>0.907416038968898</v>
      </c>
      <c r="E2773">
        <v>-9.6005458384034407E-3</v>
      </c>
      <c r="F2773">
        <v>2.6489340590793198E-4</v>
      </c>
      <c r="G2773">
        <v>0.113334932542192</v>
      </c>
      <c r="H2773">
        <v>0.98045554344697305</v>
      </c>
      <c r="I2773">
        <v>1.18058201303605E-4</v>
      </c>
    </row>
    <row r="2774" spans="1:9" x14ac:dyDescent="0.25">
      <c r="A2774" s="1">
        <v>3.8765159249305698</v>
      </c>
      <c r="B2774">
        <v>2.75585799838441</v>
      </c>
      <c r="C2774">
        <v>1.5548599850317899</v>
      </c>
      <c r="D2774">
        <v>1.7818490835165099</v>
      </c>
      <c r="E2774">
        <v>-2.90082859185797E-2</v>
      </c>
      <c r="F2774">
        <v>5.6839643980295901E-4</v>
      </c>
      <c r="G2774">
        <v>0.111262161260391</v>
      </c>
      <c r="H2774">
        <v>0.96224288142174097</v>
      </c>
      <c r="I2774">
        <v>2.71494982736112E-4</v>
      </c>
    </row>
    <row r="2775" spans="1:9" x14ac:dyDescent="0.25">
      <c r="A2775" s="1">
        <v>5.2129346132278398</v>
      </c>
      <c r="B2775">
        <v>3.6660448680820599</v>
      </c>
      <c r="C2775">
        <v>2.4862591741729401</v>
      </c>
      <c r="D2775">
        <v>2.9385280427218201</v>
      </c>
      <c r="E2775">
        <v>-6.5698174495060699E-2</v>
      </c>
      <c r="F2775">
        <v>9.4588369876682696E-4</v>
      </c>
      <c r="G2775">
        <v>0.10598988271349601</v>
      </c>
      <c r="H2775">
        <v>0.93467360801930099</v>
      </c>
      <c r="I2775">
        <v>5.0438280609418505E-4</v>
      </c>
    </row>
    <row r="2776" spans="1:9" x14ac:dyDescent="0.25">
      <c r="A2776" s="1">
        <v>6.6695916652679399</v>
      </c>
      <c r="B2776">
        <v>4.6062162827423503</v>
      </c>
      <c r="C2776">
        <v>3.5772683546990001</v>
      </c>
      <c r="D2776">
        <v>4.2514741035918302</v>
      </c>
      <c r="E2776">
        <v>-0.122773339215505</v>
      </c>
      <c r="F2776">
        <v>1.31158010311011E-3</v>
      </c>
      <c r="G2776">
        <v>9.9451738737780904E-2</v>
      </c>
      <c r="H2776">
        <v>0.89697578843341297</v>
      </c>
      <c r="I2776">
        <v>1.1696878886854199E-3</v>
      </c>
    </row>
    <row r="2777" spans="1:9" x14ac:dyDescent="0.25">
      <c r="A2777" s="1">
        <v>8.2573878765106201</v>
      </c>
      <c r="B2777">
        <v>5.5494957208589399</v>
      </c>
      <c r="C2777">
        <v>4.6939467101861201</v>
      </c>
      <c r="D2777">
        <v>5.5204334193759204</v>
      </c>
      <c r="E2777">
        <v>-0.19853009053734699</v>
      </c>
      <c r="F2777">
        <v>1.5628960357934199E-3</v>
      </c>
      <c r="G2777">
        <v>9.5106148722313502E-2</v>
      </c>
      <c r="H2777">
        <v>0.85347273565275505</v>
      </c>
      <c r="I2777">
        <v>3.3107707775936802E-3</v>
      </c>
    </row>
    <row r="2778" spans="1:9" x14ac:dyDescent="0.25">
      <c r="A2778" s="1">
        <v>9.9880245327949506</v>
      </c>
      <c r="B2778">
        <v>6.4660084676186296</v>
      </c>
      <c r="C2778">
        <v>5.6834557781763904</v>
      </c>
      <c r="D2778">
        <v>6.5483508245828101</v>
      </c>
      <c r="E2778">
        <v>-0.28640491372367899</v>
      </c>
      <c r="F2778">
        <v>1.6188809602098501E-3</v>
      </c>
      <c r="G2778">
        <v>9.5325776351429595E-2</v>
      </c>
      <c r="H2778">
        <v>0.81290103956358895</v>
      </c>
      <c r="I2778">
        <v>7.3258399393290102E-3</v>
      </c>
    </row>
    <row r="2779" spans="1:9" x14ac:dyDescent="0.25">
      <c r="A2779" s="1">
        <v>11.874474287032999</v>
      </c>
      <c r="B2779">
        <v>7.3297145259173302</v>
      </c>
      <c r="C2779">
        <v>6.4316937725807799</v>
      </c>
      <c r="D2779">
        <v>7.2189585534692204</v>
      </c>
      <c r="E2779">
        <v>-0.37769132819190399</v>
      </c>
      <c r="F2779">
        <v>1.46946081030297E-3</v>
      </c>
      <c r="G2779">
        <v>9.9246942462616505E-2</v>
      </c>
      <c r="H2779">
        <v>0.78024446578513496</v>
      </c>
      <c r="I2779">
        <v>1.06350995037205E-2</v>
      </c>
    </row>
    <row r="2780" spans="1:9" x14ac:dyDescent="0.25">
      <c r="A2780" s="1">
        <v>13.9306750893592</v>
      </c>
      <c r="B2780">
        <v>8.1235634180265706</v>
      </c>
      <c r="C2780">
        <v>6.8936387746137902</v>
      </c>
      <c r="D2780">
        <v>7.5178286967341901</v>
      </c>
      <c r="E2780">
        <v>-0.46483210568959599</v>
      </c>
      <c r="F2780">
        <v>1.18708883178006E-3</v>
      </c>
      <c r="G2780">
        <v>0.10385158946379699</v>
      </c>
      <c r="H2780">
        <v>0.753878620244676</v>
      </c>
      <c r="I2780">
        <v>1.02872254927965E-2</v>
      </c>
    </row>
    <row r="2781" spans="1:9" x14ac:dyDescent="0.25">
      <c r="A2781" s="1">
        <v>16.171883344650201</v>
      </c>
      <c r="B2781">
        <v>8.8404792288274194</v>
      </c>
      <c r="C2781">
        <v>7.0843712457306296</v>
      </c>
      <c r="D2781">
        <v>7.5008529246597098</v>
      </c>
      <c r="E2781">
        <v>-0.543022750043754</v>
      </c>
      <c r="F2781">
        <v>8.9854590044354595E-4</v>
      </c>
      <c r="G2781">
        <v>0.106471612869001</v>
      </c>
      <c r="H2781">
        <v>0.73038852017689604</v>
      </c>
      <c r="I2781">
        <v>6.3799692023136598E-3</v>
      </c>
    </row>
    <row r="2782" spans="1:9" x14ac:dyDescent="0.25">
      <c r="A2782" s="1">
        <v>18.614838719367899</v>
      </c>
      <c r="B2782">
        <v>9.4811316806313304</v>
      </c>
      <c r="C2782">
        <v>7.0520717494876903</v>
      </c>
      <c r="D2782">
        <v>7.2507059436230996</v>
      </c>
      <c r="E2782">
        <v>-0.61011455587746399</v>
      </c>
      <c r="F2782">
        <v>7.3622518866016103E-4</v>
      </c>
      <c r="G2782">
        <v>0.10602212371054399</v>
      </c>
      <c r="H2782">
        <v>0.70762022475978303</v>
      </c>
      <c r="I2782">
        <v>9.5325380737545603E-4</v>
      </c>
    </row>
    <row r="2783" spans="1:9" x14ac:dyDescent="0.25">
      <c r="A2783" s="1">
        <v>21.2777170538902</v>
      </c>
      <c r="B2783">
        <v>10.0508219717724</v>
      </c>
      <c r="C2783">
        <v>6.8544256833936004</v>
      </c>
      <c r="D2783">
        <v>6.8475730636203203</v>
      </c>
      <c r="E2783">
        <v>-0.66580241633114901</v>
      </c>
      <c r="F2783">
        <v>7.9413454757985E-4</v>
      </c>
      <c r="G2783">
        <v>0.102754942348654</v>
      </c>
      <c r="H2783">
        <v>0.68479075789726795</v>
      </c>
      <c r="I2783">
        <v>-4.2143266434739902E-3</v>
      </c>
    </row>
    <row r="2784" spans="1:9" x14ac:dyDescent="0.25">
      <c r="A2784" s="1">
        <v>24.180224537849401</v>
      </c>
      <c r="B2784">
        <v>10.5569723218868</v>
      </c>
      <c r="C2784">
        <v>6.5452184242823703</v>
      </c>
      <c r="D2784">
        <v>6.3568282473520803</v>
      </c>
      <c r="E2784">
        <v>-0.710805291463944</v>
      </c>
      <c r="F2784">
        <v>1.10416030134919E-3</v>
      </c>
      <c r="G2784">
        <v>9.7501691611783306E-2</v>
      </c>
      <c r="H2784">
        <v>0.66186161933868404</v>
      </c>
      <c r="I2784">
        <v>-8.2974884348179408E-3</v>
      </c>
    </row>
    <row r="2785" spans="1:9" x14ac:dyDescent="0.25">
      <c r="A2785" s="1">
        <v>27.343950867652801</v>
      </c>
      <c r="B2785">
        <v>11.0076099958925</v>
      </c>
      <c r="C2785">
        <v>6.1690441190460099</v>
      </c>
      <c r="D2785">
        <v>5.8270863535232698</v>
      </c>
      <c r="E2785">
        <v>-0.74628169072209105</v>
      </c>
      <c r="F2785">
        <v>1.5867370672202701E-3</v>
      </c>
      <c r="G2785">
        <v>9.1086741137913693E-2</v>
      </c>
      <c r="H2785">
        <v>0.63912442305381001</v>
      </c>
      <c r="I2785">
        <v>-1.11343963059574E-2</v>
      </c>
    </row>
    <row r="2786" spans="1:9" x14ac:dyDescent="0.25">
      <c r="A2786" s="1">
        <v>30.7923927903175</v>
      </c>
      <c r="B2786">
        <v>11.410623436533101</v>
      </c>
      <c r="C2786">
        <v>5.7603580053626997</v>
      </c>
      <c r="D2786">
        <v>5.2924379836845601</v>
      </c>
      <c r="E2786">
        <v>-0.77349433276727997</v>
      </c>
      <c r="F2786">
        <v>2.1461727201705699E-3</v>
      </c>
      <c r="G2786">
        <v>8.4103386913187805E-2</v>
      </c>
      <c r="H2786">
        <v>0.616997542735372</v>
      </c>
      <c r="I2786">
        <v>-1.28350734373829E-2</v>
      </c>
    </row>
    <row r="2787" spans="1:9" x14ac:dyDescent="0.25">
      <c r="A2787" s="1">
        <v>34.551213085651298</v>
      </c>
      <c r="B2787">
        <v>11.773390983622701</v>
      </c>
      <c r="C2787">
        <v>5.3442798789055201</v>
      </c>
      <c r="D2787">
        <v>4.7755469341176697</v>
      </c>
      <c r="E2787">
        <v>-0.79365155716590496</v>
      </c>
      <c r="F2787">
        <v>2.7347976070943802E-3</v>
      </c>
      <c r="G2787">
        <v>7.6913673100601099E-2</v>
      </c>
      <c r="H2787">
        <v>0.59591516805051403</v>
      </c>
      <c r="I2787">
        <v>-1.35865491561676E-2</v>
      </c>
    </row>
    <row r="2788" spans="1:9" x14ac:dyDescent="0.25">
      <c r="A2788" s="1">
        <v>38.6483111977577</v>
      </c>
      <c r="B2788">
        <v>12.102592295287399</v>
      </c>
      <c r="C2788">
        <v>4.9379532348100996</v>
      </c>
      <c r="D2788">
        <v>4.2904553388897497</v>
      </c>
      <c r="E2788">
        <v>-0.80780371299693599</v>
      </c>
      <c r="F2788">
        <v>3.22022339197676E-3</v>
      </c>
      <c r="G2788">
        <v>6.97431276706207E-2</v>
      </c>
      <c r="H2788">
        <v>0.57630967936343203</v>
      </c>
      <c r="I2788">
        <v>-1.3587301694813101E-2</v>
      </c>
    </row>
    <row r="2789" spans="1:9" x14ac:dyDescent="0.25">
      <c r="A2789" s="1">
        <v>43.1141293048858</v>
      </c>
      <c r="B2789">
        <v>12.404163684575099</v>
      </c>
      <c r="C2789">
        <v>4.5522323199047898</v>
      </c>
      <c r="D2789">
        <v>3.84509670387013</v>
      </c>
      <c r="E2789">
        <v>-0.81681353626692399</v>
      </c>
      <c r="F2789">
        <v>3.5541641870345799E-3</v>
      </c>
      <c r="G2789">
        <v>6.2742270932230504E-2</v>
      </c>
      <c r="H2789">
        <v>0.55847986459759302</v>
      </c>
      <c r="I2789">
        <v>-1.3025870944073901E-2</v>
      </c>
    </row>
    <row r="2790" spans="1:9" x14ac:dyDescent="0.25">
      <c r="A2790" s="1">
        <v>47.981887757778097</v>
      </c>
      <c r="B2790">
        <v>12.683201218182401</v>
      </c>
      <c r="C2790">
        <v>4.19335459205357</v>
      </c>
      <c r="D2790">
        <v>3.4432092806719901</v>
      </c>
      <c r="E2790">
        <v>-0.821401007807261</v>
      </c>
      <c r="F2790">
        <v>3.6785891667948599E-3</v>
      </c>
      <c r="G2790">
        <v>5.6013874049329303E-2</v>
      </c>
      <c r="H2790">
        <v>0.54245506243182495</v>
      </c>
      <c r="I2790">
        <v>-1.20831065417657E-2</v>
      </c>
    </row>
    <row r="2791" spans="1:9" x14ac:dyDescent="0.25">
      <c r="A2791" s="1">
        <v>53.287820518016801</v>
      </c>
      <c r="B2791">
        <v>12.943973775925301</v>
      </c>
      <c r="C2791">
        <v>3.8639261692538098</v>
      </c>
      <c r="D2791">
        <v>3.0850854809923001</v>
      </c>
      <c r="E2791">
        <v>-0.82211154911458395</v>
      </c>
      <c r="F2791">
        <v>3.5385945030672701E-3</v>
      </c>
      <c r="G2791">
        <v>4.9663366641362998E-2</v>
      </c>
      <c r="H2791">
        <v>0.52822944766325997</v>
      </c>
      <c r="I2791">
        <v>-1.0923010971473E-2</v>
      </c>
    </row>
    <row r="2792" spans="1:9" x14ac:dyDescent="0.25">
      <c r="A2792" s="1">
        <v>59.071175158023799</v>
      </c>
      <c r="B2792">
        <v>13.190054429015399</v>
      </c>
      <c r="C2792">
        <v>3.56422145501447</v>
      </c>
      <c r="D2792">
        <v>2.76877027069962</v>
      </c>
      <c r="E2792">
        <v>-0.81936359328720798</v>
      </c>
      <c r="F2792">
        <v>3.09038895225108E-3</v>
      </c>
      <c r="G2792">
        <v>4.3793140632580697E-2</v>
      </c>
      <c r="H2792">
        <v>0.51569599000286903</v>
      </c>
      <c r="I2792">
        <v>-9.6989112107609791E-3</v>
      </c>
    </row>
    <row r="2793" spans="1:9" x14ac:dyDescent="0.25">
      <c r="A2793" s="1">
        <v>65.375131070613804</v>
      </c>
      <c r="B2793">
        <v>13.4243836478984</v>
      </c>
      <c r="C2793">
        <v>3.2932962036843199</v>
      </c>
      <c r="D2793">
        <v>2.4914272433900999</v>
      </c>
      <c r="E2793">
        <v>-0.81347075085823195</v>
      </c>
      <c r="F2793">
        <v>2.4283205741195101E-3</v>
      </c>
      <c r="G2793">
        <v>3.8456277664881799E-2</v>
      </c>
      <c r="H2793">
        <v>0.50446344926472697</v>
      </c>
      <c r="I2793">
        <v>-8.5111225832410903E-3</v>
      </c>
    </row>
    <row r="2794" spans="1:9" x14ac:dyDescent="0.25">
      <c r="A2794" s="1">
        <v>72.246375679969702</v>
      </c>
      <c r="B2794">
        <v>13.6493784794307</v>
      </c>
      <c r="C2794">
        <v>3.04889080680646</v>
      </c>
      <c r="D2794">
        <v>2.2493102683137201</v>
      </c>
      <c r="E2794">
        <v>-0.80467614500089601</v>
      </c>
      <c r="F2794">
        <v>1.6609386425023699E-3</v>
      </c>
      <c r="G2794">
        <v>3.3679455754548497E-2</v>
      </c>
      <c r="H2794">
        <v>0.49425346700150402</v>
      </c>
      <c r="I2794">
        <v>-7.4214519306104003E-3</v>
      </c>
    </row>
    <row r="2795" spans="1:9" x14ac:dyDescent="0.25">
      <c r="A2795" s="1">
        <v>79.736069738864799</v>
      </c>
      <c r="B2795">
        <v>13.8670312764777</v>
      </c>
      <c r="C2795">
        <v>2.8279310294485498</v>
      </c>
      <c r="D2795">
        <v>2.0379259348884999</v>
      </c>
      <c r="E2795">
        <v>-0.793119331334595</v>
      </c>
      <c r="F2795">
        <v>9.8365590001659397E-4</v>
      </c>
      <c r="G2795">
        <v>2.94262127411937E-2</v>
      </c>
      <c r="H2795">
        <v>0.484632523154988</v>
      </c>
      <c r="I2795">
        <v>-6.44005453748494E-3</v>
      </c>
    </row>
    <row r="2796" spans="1:9" x14ac:dyDescent="0.25">
      <c r="A2796" s="1">
        <v>87.899753153324099</v>
      </c>
      <c r="B2796">
        <v>14.0789347720986</v>
      </c>
      <c r="C2796">
        <v>2.6269961271377298</v>
      </c>
      <c r="D2796">
        <v>1.8527375829239701</v>
      </c>
      <c r="E2796">
        <v>-0.77884404457784395</v>
      </c>
      <c r="F2796">
        <v>5.9939752167064103E-4</v>
      </c>
      <c r="G2796">
        <v>2.5661283556245001E-2</v>
      </c>
      <c r="H2796">
        <v>0.47549167008503201</v>
      </c>
      <c r="I2796">
        <v>-5.5759013158674601E-3</v>
      </c>
    </row>
    <row r="2797" spans="1:9" x14ac:dyDescent="0.25">
      <c r="A2797" s="1">
        <v>96.798263192176805</v>
      </c>
      <c r="B2797">
        <v>14.286346332142299</v>
      </c>
      <c r="C2797">
        <v>2.4429291719134101</v>
      </c>
      <c r="D2797">
        <v>1.68982135043631</v>
      </c>
      <c r="E2797">
        <v>-0.76192743221099701</v>
      </c>
      <c r="F2797">
        <v>6.6681789439055597E-4</v>
      </c>
      <c r="G2797">
        <v>2.2340583458845299E-2</v>
      </c>
      <c r="H2797">
        <v>0.46660094929261398</v>
      </c>
      <c r="I2797">
        <v>-4.8196907198319299E-3</v>
      </c>
    </row>
    <row r="2798" spans="1:9" x14ac:dyDescent="0.25">
      <c r="A2798" s="1">
        <v>106.497616767883</v>
      </c>
      <c r="B2798">
        <v>14.490327430395601</v>
      </c>
      <c r="C2798">
        <v>2.2725703744645198</v>
      </c>
      <c r="D2798">
        <v>1.5454139670551099</v>
      </c>
      <c r="E2798">
        <v>-0.74228801693573399</v>
      </c>
      <c r="F2798">
        <v>9.3461402228262004E-4</v>
      </c>
      <c r="G2798">
        <v>1.94246839467681E-2</v>
      </c>
      <c r="H2798">
        <v>0.45790684600956399</v>
      </c>
      <c r="I2798">
        <v>-4.1645473617132897E-3</v>
      </c>
    </row>
    <row r="2799" spans="1:9" x14ac:dyDescent="0.25">
      <c r="A2799" s="1">
        <v>117.06990510225199</v>
      </c>
      <c r="B2799">
        <v>14.6920320016986</v>
      </c>
      <c r="C2799">
        <v>2.1121178584371698</v>
      </c>
      <c r="D2799">
        <v>1.4154764757882501</v>
      </c>
      <c r="E2799">
        <v>-0.71968834388981495</v>
      </c>
      <c r="F2799">
        <v>1.15959029676568E-3</v>
      </c>
      <c r="G2799">
        <v>1.6872266009424802E-2</v>
      </c>
      <c r="H2799">
        <v>0.45004794013017002</v>
      </c>
      <c r="I2799">
        <v>-3.5986568561202502E-3</v>
      </c>
    </row>
    <row r="2800" spans="1:9" x14ac:dyDescent="0.25">
      <c r="A2800" s="1">
        <v>128.593670427799</v>
      </c>
      <c r="B2800">
        <v>14.892414954556401</v>
      </c>
      <c r="C2800">
        <v>1.9596768375579099</v>
      </c>
      <c r="D2800">
        <v>1.29749366169852</v>
      </c>
      <c r="E2800">
        <v>-0.69416103370234405</v>
      </c>
      <c r="F2800">
        <v>1.52537938930225E-3</v>
      </c>
      <c r="G2800">
        <v>1.46092378644449E-2</v>
      </c>
      <c r="H2800">
        <v>0.442634013671937</v>
      </c>
      <c r="I2800">
        <v>-3.09350940368118E-3</v>
      </c>
    </row>
    <row r="2801" spans="1:9" x14ac:dyDescent="0.25">
      <c r="A2801" s="1">
        <v>141.15461230278001</v>
      </c>
      <c r="B2801">
        <v>15.091925012385699</v>
      </c>
      <c r="C2801">
        <v>1.81343478937895</v>
      </c>
      <c r="D2801">
        <v>1.18906400252897</v>
      </c>
      <c r="E2801">
        <v>-0.66548619723770996</v>
      </c>
      <c r="F2801">
        <v>2.2008257302855499E-3</v>
      </c>
      <c r="G2801">
        <v>1.25865811768264E-2</v>
      </c>
      <c r="H2801">
        <v>0.43544083571044001</v>
      </c>
      <c r="I2801">
        <v>-2.6401588940237601E-3</v>
      </c>
    </row>
    <row r="2802" spans="1:9" x14ac:dyDescent="0.25">
      <c r="A2802" s="1">
        <v>154.84601140022201</v>
      </c>
      <c r="B2802">
        <v>15.290355835547899</v>
      </c>
      <c r="C2802">
        <v>1.67199508874161</v>
      </c>
      <c r="D2802">
        <v>1.0882204273745599</v>
      </c>
      <c r="E2802">
        <v>-0.63349020854549798</v>
      </c>
      <c r="F2802">
        <v>2.3229063272777102E-3</v>
      </c>
      <c r="G2802">
        <v>1.0769268162966601E-2</v>
      </c>
      <c r="H2802">
        <v>0.42796067496519002</v>
      </c>
      <c r="I2802">
        <v>-2.2317037633342901E-3</v>
      </c>
    </row>
    <row r="2803" spans="1:9" x14ac:dyDescent="0.25">
      <c r="A2803" s="1">
        <v>169.76969480514501</v>
      </c>
      <c r="B2803">
        <v>15.4876546637809</v>
      </c>
      <c r="C2803">
        <v>1.5331218763978101</v>
      </c>
      <c r="D2803">
        <v>0.99260859604735596</v>
      </c>
      <c r="E2803">
        <v>-0.59770750559651098</v>
      </c>
      <c r="F2803">
        <v>1.93501391207145E-3</v>
      </c>
      <c r="G2803">
        <v>9.1410240684763507E-3</v>
      </c>
      <c r="H2803">
        <v>0.42047209583885198</v>
      </c>
      <c r="I2803">
        <v>-1.86521827977666E-3</v>
      </c>
    </row>
    <row r="2804" spans="1:9" x14ac:dyDescent="0.25">
      <c r="A2804" s="1">
        <v>186.03645980358101</v>
      </c>
      <c r="B2804">
        <v>15.6843412640227</v>
      </c>
      <c r="C2804">
        <v>1.3949868924722399</v>
      </c>
      <c r="D2804">
        <v>0.90042322229278804</v>
      </c>
      <c r="E2804">
        <v>-0.55765593024184101</v>
      </c>
      <c r="F2804">
        <v>1.77792994429345E-3</v>
      </c>
      <c r="G2804">
        <v>7.68323032554292E-3</v>
      </c>
      <c r="H2804">
        <v>0.41353632769948401</v>
      </c>
      <c r="I2804">
        <v>-1.53964835977241E-3</v>
      </c>
    </row>
    <row r="2805" spans="1:9" x14ac:dyDescent="0.25">
      <c r="A2805" s="1">
        <v>203.76720398664401</v>
      </c>
      <c r="B2805">
        <v>15.8799585547952</v>
      </c>
      <c r="C2805">
        <v>1.2575140250427099</v>
      </c>
      <c r="D2805">
        <v>0.81013279824221196</v>
      </c>
      <c r="E2805">
        <v>-0.51322707732943595</v>
      </c>
      <c r="F2805">
        <v>1.5952378354613401E-3</v>
      </c>
      <c r="G2805">
        <v>6.3712329412496304E-3</v>
      </c>
      <c r="H2805">
        <v>0.40623047140774099</v>
      </c>
      <c r="I2805">
        <v>-1.2489404847212599E-3</v>
      </c>
    </row>
    <row r="2806" spans="1:9" x14ac:dyDescent="0.25">
      <c r="A2806" s="1">
        <v>223.09376105666101</v>
      </c>
      <c r="B2806">
        <v>16.072847460927601</v>
      </c>
      <c r="C2806">
        <v>1.11987505621908</v>
      </c>
      <c r="D2806">
        <v>0.720688708578751</v>
      </c>
      <c r="E2806">
        <v>-0.46396033990222002</v>
      </c>
      <c r="F2806">
        <v>1.30569179167531E-3</v>
      </c>
      <c r="G2806">
        <v>5.1795482619731098E-3</v>
      </c>
      <c r="H2806">
        <v>0.39880932809408298</v>
      </c>
      <c r="I2806">
        <v>-9.8297787853279198E-4</v>
      </c>
    </row>
    <row r="2807" spans="1:9" x14ac:dyDescent="0.25">
      <c r="A2807" s="1">
        <v>244.15970131754801</v>
      </c>
      <c r="B2807">
        <v>16.261605917634601</v>
      </c>
      <c r="C2807">
        <v>0.98117195116003098</v>
      </c>
      <c r="D2807">
        <v>0.63052741305438798</v>
      </c>
      <c r="E2807">
        <v>-0.40925423596257299</v>
      </c>
      <c r="F2807">
        <v>5.2882811344695502E-4</v>
      </c>
      <c r="G2807">
        <v>4.1086383473325997E-3</v>
      </c>
      <c r="H2807">
        <v>0.39193764707194401</v>
      </c>
      <c r="I2807">
        <v>-7.4585550301932402E-4</v>
      </c>
    </row>
    <row r="2808" spans="1:9" x14ac:dyDescent="0.25">
      <c r="A2808" s="1">
        <v>267.12157949805197</v>
      </c>
      <c r="B2808">
        <v>16.443385393144801</v>
      </c>
      <c r="C2808">
        <v>0.84229745120852295</v>
      </c>
      <c r="D2808">
        <v>0.54020066566460101</v>
      </c>
      <c r="E2808">
        <v>-0.34874167968561398</v>
      </c>
      <c r="F2808">
        <v>-4.7798235653695898E-4</v>
      </c>
      <c r="G2808">
        <v>3.1689007346334102E-3</v>
      </c>
      <c r="H2808">
        <v>0.38604861774012</v>
      </c>
      <c r="I2808">
        <v>-5.4553581540120097E-4</v>
      </c>
    </row>
    <row r="2809" spans="1:9" x14ac:dyDescent="0.25">
      <c r="A2809" s="1">
        <v>292.15002954006098</v>
      </c>
      <c r="B2809">
        <v>16.613390449779299</v>
      </c>
      <c r="C2809">
        <v>0.70369756936724803</v>
      </c>
      <c r="D2809">
        <v>0.44890609512049501</v>
      </c>
      <c r="E2809">
        <v>-0.28192286916903597</v>
      </c>
      <c r="F2809">
        <v>-1.0542480709565701E-3</v>
      </c>
      <c r="G2809">
        <v>2.3656531123351101E-3</v>
      </c>
      <c r="H2809">
        <v>0.38239382564644098</v>
      </c>
      <c r="I2809">
        <v>-3.8340888327687299E-4</v>
      </c>
    </row>
    <row r="2810" spans="1:9" x14ac:dyDescent="0.25">
      <c r="A2810" s="1">
        <v>319.43101242184599</v>
      </c>
      <c r="B2810">
        <v>16.7620908081254</v>
      </c>
      <c r="C2810">
        <v>0.57268838532228805</v>
      </c>
      <c r="D2810">
        <v>0.36109532725201299</v>
      </c>
      <c r="E2810">
        <v>-0.208454472514817</v>
      </c>
      <c r="F2810">
        <v>-8.1786660744257095E-4</v>
      </c>
      <c r="G2810">
        <v>1.71601965626828E-3</v>
      </c>
      <c r="H2810">
        <v>0.38231264460295</v>
      </c>
      <c r="I2810">
        <v>-2.6417542522895303E-4</v>
      </c>
    </row>
    <row r="2811" spans="1:9" x14ac:dyDescent="0.25">
      <c r="A2811" s="1">
        <v>349.16732590645501</v>
      </c>
      <c r="B2811">
        <v>16.8774790683484</v>
      </c>
      <c r="C2811">
        <v>0.463661526172918</v>
      </c>
      <c r="D2811">
        <v>0.28593053698510401</v>
      </c>
      <c r="E2811">
        <v>-0.127032710119695</v>
      </c>
      <c r="F2811">
        <v>-9.8872629836090011E-4</v>
      </c>
      <c r="G2811">
        <v>1.26726135543492E-3</v>
      </c>
      <c r="H2811">
        <v>0.38698005402664298</v>
      </c>
      <c r="I2811">
        <v>-1.9332692608822901E-4</v>
      </c>
    </row>
    <row r="2812" spans="1:9" x14ac:dyDescent="0.25">
      <c r="A2812" s="1">
        <v>379.83785875141598</v>
      </c>
      <c r="B2812">
        <v>16.9384741102999</v>
      </c>
      <c r="C2812">
        <v>0.401245422184764</v>
      </c>
      <c r="D2812">
        <v>0.24201030048498801</v>
      </c>
      <c r="E2812">
        <v>-4.2121596231964098E-2</v>
      </c>
      <c r="F2812">
        <v>-1.3297663923359699E-3</v>
      </c>
      <c r="G2812">
        <v>1.03345183658856E-3</v>
      </c>
      <c r="H2812">
        <v>0.407913291792938</v>
      </c>
      <c r="I2812">
        <v>-1.5314773797716201E-4</v>
      </c>
    </row>
    <row r="2813" spans="1:9" x14ac:dyDescent="0.25">
      <c r="A2813" s="1" t="s">
        <v>561</v>
      </c>
      <c r="B2813" s="1" t="s">
        <v>614</v>
      </c>
      <c r="C2813" s="1" t="s">
        <v>615</v>
      </c>
      <c r="D2813" s="1" t="s">
        <v>616</v>
      </c>
      <c r="E2813" s="1" t="s">
        <v>617</v>
      </c>
      <c r="F2813" s="1" t="s">
        <v>618</v>
      </c>
      <c r="G2813" s="1" t="s">
        <v>400</v>
      </c>
      <c r="H2813" s="1" t="s">
        <v>619</v>
      </c>
      <c r="I2813" s="1" t="s">
        <v>613</v>
      </c>
    </row>
    <row r="2814" spans="1:9" x14ac:dyDescent="0.25">
      <c r="A2814" s="1">
        <v>-141.555516719818</v>
      </c>
      <c r="B2814">
        <v>-45.155019465674698</v>
      </c>
      <c r="C2814">
        <v>2.0758770643038299E-3</v>
      </c>
      <c r="D2814">
        <v>0</v>
      </c>
      <c r="E2814">
        <v>0</v>
      </c>
      <c r="F2814">
        <v>0</v>
      </c>
      <c r="G2814" s="1">
        <v>3.3908426810946801E-8</v>
      </c>
      <c r="H2814">
        <v>5.6388002493432302E-2</v>
      </c>
      <c r="I2814">
        <v>0</v>
      </c>
    </row>
    <row r="2815" spans="1:9" x14ac:dyDescent="0.25">
      <c r="A2815" s="1">
        <v>-128.95890593528699</v>
      </c>
      <c r="B2815">
        <v>-41.152189278443402</v>
      </c>
      <c r="C2815">
        <v>2.12174808883783E-3</v>
      </c>
      <c r="D2815">
        <v>0</v>
      </c>
      <c r="E2815">
        <v>0</v>
      </c>
      <c r="F2815">
        <v>0</v>
      </c>
      <c r="G2815" s="1">
        <v>5.0559610962452799E-8</v>
      </c>
      <c r="H2815">
        <v>0.32790109295809</v>
      </c>
      <c r="I2815">
        <v>0</v>
      </c>
    </row>
    <row r="2816" spans="1:9" x14ac:dyDescent="0.25">
      <c r="A2816" s="1">
        <v>-117.402367591857</v>
      </c>
      <c r="B2816">
        <v>-37.477229120423097</v>
      </c>
      <c r="C2816">
        <v>2.2185733661149402E-3</v>
      </c>
      <c r="D2816">
        <v>0</v>
      </c>
      <c r="E2816">
        <v>0</v>
      </c>
      <c r="F2816">
        <v>0</v>
      </c>
      <c r="G2816" s="1">
        <v>8.2603198411690404E-8</v>
      </c>
      <c r="H2816">
        <v>0.53675777656505097</v>
      </c>
      <c r="I2816">
        <v>0</v>
      </c>
    </row>
    <row r="2817" spans="1:9" x14ac:dyDescent="0.25">
      <c r="A2817" s="1">
        <v>-106.80001378059301</v>
      </c>
      <c r="B2817">
        <v>-34.1034851340847</v>
      </c>
      <c r="C2817">
        <v>2.3802311444296302E-3</v>
      </c>
      <c r="D2817">
        <v>0</v>
      </c>
      <c r="E2817">
        <v>0</v>
      </c>
      <c r="F2817">
        <v>0</v>
      </c>
      <c r="G2817" s="1">
        <v>1.31267717705441E-7</v>
      </c>
      <c r="H2817">
        <v>0.65207415681458702</v>
      </c>
      <c r="I2817">
        <v>0</v>
      </c>
    </row>
    <row r="2818" spans="1:9" x14ac:dyDescent="0.25">
      <c r="A2818" s="1">
        <v>-97.073161005973802</v>
      </c>
      <c r="B2818">
        <v>-31.006434767534</v>
      </c>
      <c r="C2818">
        <v>2.6243892848610102E-3</v>
      </c>
      <c r="D2818">
        <v>0</v>
      </c>
      <c r="E2818">
        <v>0</v>
      </c>
      <c r="F2818">
        <v>0</v>
      </c>
      <c r="G2818" s="1">
        <v>2.0066876748736601E-7</v>
      </c>
      <c r="H2818">
        <v>0.71406074786943097</v>
      </c>
      <c r="I2818">
        <v>0</v>
      </c>
    </row>
    <row r="2819" spans="1:9" x14ac:dyDescent="0.25">
      <c r="A2819" s="1">
        <v>-88.149435520172105</v>
      </c>
      <c r="B2819">
        <v>-28.163534239892901</v>
      </c>
      <c r="C2819">
        <v>2.9707789504202099E-3</v>
      </c>
      <c r="D2819">
        <v>0</v>
      </c>
      <c r="E2819">
        <v>0</v>
      </c>
      <c r="F2819">
        <v>0</v>
      </c>
      <c r="G2819" s="1">
        <v>2.9805115284586801E-7</v>
      </c>
      <c r="H2819">
        <v>0.74863673765201599</v>
      </c>
      <c r="I2819">
        <v>0</v>
      </c>
    </row>
    <row r="2820" spans="1:9" x14ac:dyDescent="0.25">
      <c r="A2820" s="1">
        <v>-79.962490797042804</v>
      </c>
      <c r="B2820">
        <v>-25.5540409324961</v>
      </c>
      <c r="C2820">
        <v>3.4409955130619398E-3</v>
      </c>
      <c r="D2820">
        <v>0</v>
      </c>
      <c r="E2820">
        <v>0</v>
      </c>
      <c r="F2820">
        <v>0</v>
      </c>
      <c r="G2820" s="1">
        <v>4.3423021478283799E-7</v>
      </c>
      <c r="H2820">
        <v>0.76915152139159604</v>
      </c>
      <c r="I2820">
        <v>0</v>
      </c>
    </row>
    <row r="2821" spans="1:9" x14ac:dyDescent="0.25">
      <c r="A2821" s="1">
        <v>-72.451583743095298</v>
      </c>
      <c r="B2821">
        <v>-23.158894286517999</v>
      </c>
      <c r="C2821">
        <v>4.0588882170843003E-3</v>
      </c>
      <c r="D2821">
        <v>0</v>
      </c>
      <c r="E2821">
        <v>0</v>
      </c>
      <c r="F2821">
        <v>0</v>
      </c>
      <c r="G2821" s="1">
        <v>6.24370869398927E-7</v>
      </c>
      <c r="H2821">
        <v>0.78245827663376499</v>
      </c>
      <c r="I2821">
        <v>0</v>
      </c>
    </row>
    <row r="2822" spans="1:9" x14ac:dyDescent="0.25">
      <c r="A2822" s="1">
        <v>-65.560821294784503</v>
      </c>
      <c r="B2822">
        <v>-20.9605737159299</v>
      </c>
      <c r="C2822">
        <v>4.8511028297723302E-3</v>
      </c>
      <c r="D2822">
        <v>0</v>
      </c>
      <c r="E2822">
        <v>0</v>
      </c>
      <c r="F2822">
        <v>0</v>
      </c>
      <c r="G2822" s="1">
        <v>8.8923450151190404E-7</v>
      </c>
      <c r="H2822">
        <v>0.79214024413228601</v>
      </c>
      <c r="I2822">
        <v>0</v>
      </c>
    </row>
    <row r="2823" spans="1:9" x14ac:dyDescent="0.25">
      <c r="A2823" s="1">
        <v>-59.238972067832897</v>
      </c>
      <c r="B2823">
        <v>-18.942975326095699</v>
      </c>
      <c r="C2823">
        <v>5.8476374251930797E-3</v>
      </c>
      <c r="D2823">
        <v>0</v>
      </c>
      <c r="E2823">
        <v>0</v>
      </c>
      <c r="F2823">
        <v>0</v>
      </c>
      <c r="G2823" s="1">
        <v>1.2570046222735099E-6</v>
      </c>
      <c r="H2823">
        <v>0.80007862021970799</v>
      </c>
      <c r="I2823">
        <v>0</v>
      </c>
    </row>
    <row r="2824" spans="1:9" x14ac:dyDescent="0.25">
      <c r="A2824" s="1">
        <v>-53.439136743545497</v>
      </c>
      <c r="B2824">
        <v>-17.091299079944399</v>
      </c>
      <c r="C2824">
        <v>7.0823883879842396E-3</v>
      </c>
      <c r="D2824">
        <v>0</v>
      </c>
      <c r="E2824">
        <v>0</v>
      </c>
      <c r="F2824">
        <v>0</v>
      </c>
      <c r="G2824" s="1">
        <v>1.76581841658229E-6</v>
      </c>
      <c r="H2824">
        <v>0.80724331514459602</v>
      </c>
      <c r="I2824">
        <v>0</v>
      </c>
    </row>
    <row r="2825" spans="1:9" x14ac:dyDescent="0.25">
      <c r="A2825" s="1">
        <v>-48.118183016777003</v>
      </c>
      <c r="B2825">
        <v>-15.3919547697799</v>
      </c>
      <c r="C2825">
        <v>8.5936994908590199E-3</v>
      </c>
      <c r="D2825">
        <v>0</v>
      </c>
      <c r="E2825">
        <v>0</v>
      </c>
      <c r="F2825">
        <v>0</v>
      </c>
      <c r="G2825" s="1">
        <v>2.4671990928393198E-6</v>
      </c>
      <c r="H2825">
        <v>0.81411134171501598</v>
      </c>
      <c r="I2825">
        <v>0</v>
      </c>
    </row>
    <row r="2826" spans="1:9" x14ac:dyDescent="0.25">
      <c r="A2826" s="1">
        <v>-43.236604332923797</v>
      </c>
      <c r="B2826">
        <v>-13.8324491834538</v>
      </c>
      <c r="C2826">
        <v>1.04249313704103E-2</v>
      </c>
      <c r="D2826">
        <v>0</v>
      </c>
      <c r="E2826">
        <v>0</v>
      </c>
      <c r="F2826">
        <v>0</v>
      </c>
      <c r="G2826" s="1">
        <v>3.4306943579158698E-6</v>
      </c>
      <c r="H2826">
        <v>0.82089730638312797</v>
      </c>
      <c r="I2826">
        <v>0</v>
      </c>
    </row>
    <row r="2827" spans="1:9" x14ac:dyDescent="0.25">
      <c r="A2827" s="1">
        <v>-38.758049011230398</v>
      </c>
      <c r="B2827">
        <v>-12.4013150608437</v>
      </c>
      <c r="C2827">
        <v>1.2625085212093301E-2</v>
      </c>
      <c r="D2827">
        <v>0</v>
      </c>
      <c r="E2827">
        <v>0</v>
      </c>
      <c r="F2827">
        <v>0</v>
      </c>
      <c r="G2827" s="1">
        <v>4.7501671241203503E-6</v>
      </c>
      <c r="H2827">
        <v>0.82768259615497297</v>
      </c>
      <c r="I2827">
        <v>0</v>
      </c>
    </row>
    <row r="2828" spans="1:9" x14ac:dyDescent="0.25">
      <c r="A2828" s="1">
        <v>-34.649320244789102</v>
      </c>
      <c r="B2828">
        <v>-11.0880149761485</v>
      </c>
      <c r="C2828">
        <v>1.5249504675259901E-2</v>
      </c>
      <c r="D2828">
        <v>0</v>
      </c>
      <c r="E2828">
        <v>0</v>
      </c>
      <c r="F2828">
        <v>0</v>
      </c>
      <c r="G2828" s="1">
        <v>6.5523872577770697E-6</v>
      </c>
      <c r="H2828">
        <v>0.83448788855756295</v>
      </c>
      <c r="I2828">
        <v>0</v>
      </c>
    </row>
    <row r="2829" spans="1:9" x14ac:dyDescent="0.25">
      <c r="A2829" s="1">
        <v>-30.879811048507602</v>
      </c>
      <c r="B2829">
        <v>-9.8828723838823596</v>
      </c>
      <c r="C2829">
        <v>1.8360708031993099E-2</v>
      </c>
      <c r="D2829">
        <v>0</v>
      </c>
      <c r="E2829">
        <v>0</v>
      </c>
      <c r="F2829">
        <v>0</v>
      </c>
      <c r="G2829" s="1">
        <v>9.0089095382310798E-6</v>
      </c>
      <c r="H2829">
        <v>0.841313362674184</v>
      </c>
      <c r="I2829">
        <v>0</v>
      </c>
    </row>
    <row r="2830" spans="1:9" x14ac:dyDescent="0.25">
      <c r="A2830" s="1">
        <v>-27.4215984344482</v>
      </c>
      <c r="B2830">
        <v>-8.7770016201111201</v>
      </c>
      <c r="C2830">
        <v>2.2029373991757001E-2</v>
      </c>
      <c r="D2830">
        <v>0</v>
      </c>
      <c r="E2830">
        <v>0</v>
      </c>
      <c r="F2830">
        <v>0</v>
      </c>
      <c r="G2830" s="1">
        <v>1.2352853752634699E-5</v>
      </c>
      <c r="H2830">
        <v>0.84816138778238803</v>
      </c>
      <c r="I2830">
        <v>0</v>
      </c>
    </row>
    <row r="2831" spans="1:9" x14ac:dyDescent="0.25">
      <c r="A2831" s="1">
        <v>-24.248878359794599</v>
      </c>
      <c r="B2831">
        <v>-7.7622431274774204</v>
      </c>
      <c r="C2831">
        <v>2.6335585718217099E-2</v>
      </c>
      <c r="D2831">
        <v>0</v>
      </c>
      <c r="E2831">
        <v>0</v>
      </c>
      <c r="F2831">
        <v>0</v>
      </c>
      <c r="G2831" s="1">
        <v>1.6903396942034002E-5</v>
      </c>
      <c r="H2831">
        <v>0.85505002963681798</v>
      </c>
      <c r="I2831">
        <v>0</v>
      </c>
    </row>
    <row r="2832" spans="1:9" x14ac:dyDescent="0.25">
      <c r="A2832" s="1">
        <v>-21.3381540775299</v>
      </c>
      <c r="B2832">
        <v>-6.8311049487712499</v>
      </c>
      <c r="C2832">
        <v>3.1370460457743797E-2</v>
      </c>
      <c r="D2832">
        <v>0</v>
      </c>
      <c r="E2832">
        <v>0</v>
      </c>
      <c r="F2832">
        <v>0</v>
      </c>
      <c r="G2832" s="1">
        <v>2.3102980633026899E-5</v>
      </c>
      <c r="H2832">
        <v>0.86202164491103395</v>
      </c>
      <c r="I2832">
        <v>0</v>
      </c>
    </row>
    <row r="2833" spans="1:9" x14ac:dyDescent="0.25">
      <c r="A2833" s="1">
        <v>-18.6677181720733</v>
      </c>
      <c r="B2833">
        <v>-5.9767094442891597</v>
      </c>
      <c r="C2833">
        <v>3.7238437502063501E-2</v>
      </c>
      <c r="D2833">
        <v>0</v>
      </c>
      <c r="E2833">
        <v>0</v>
      </c>
      <c r="F2833">
        <v>0</v>
      </c>
      <c r="G2833" s="1">
        <v>3.1576375387871203E-5</v>
      </c>
      <c r="H2833">
        <v>0.86914827759115598</v>
      </c>
      <c r="I2833">
        <v>0</v>
      </c>
    </row>
    <row r="2834" spans="1:9" x14ac:dyDescent="0.25">
      <c r="A2834" s="1">
        <v>-16.2178409099578</v>
      </c>
      <c r="B2834">
        <v>-5.1927420987086998</v>
      </c>
      <c r="C2834">
        <v>4.4060697278513701E-2</v>
      </c>
      <c r="D2834">
        <v>0</v>
      </c>
      <c r="E2834">
        <v>0</v>
      </c>
      <c r="F2834">
        <v>0</v>
      </c>
      <c r="G2834" s="1">
        <v>4.32286662754108E-5</v>
      </c>
      <c r="H2834">
        <v>0.87653384724865302</v>
      </c>
      <c r="I2834">
        <v>0</v>
      </c>
    </row>
    <row r="2835" spans="1:9" x14ac:dyDescent="0.25">
      <c r="A2835" s="1">
        <v>-13.9702051877975</v>
      </c>
      <c r="B2835">
        <v>-4.4734055517512097</v>
      </c>
      <c r="C2835">
        <v>5.1980441435810099E-2</v>
      </c>
      <c r="D2835">
        <v>0</v>
      </c>
      <c r="E2835">
        <v>0</v>
      </c>
      <c r="F2835">
        <v>0</v>
      </c>
      <c r="G2835" s="1">
        <v>5.94140799833695E-5</v>
      </c>
      <c r="H2835">
        <v>0.88431113177202603</v>
      </c>
      <c r="I2835">
        <v>0</v>
      </c>
    </row>
    <row r="2836" spans="1:9" x14ac:dyDescent="0.25">
      <c r="A2836" s="1">
        <v>-11.908189058303799</v>
      </c>
      <c r="B2836">
        <v>-3.8133798973905599</v>
      </c>
      <c r="C2836">
        <v>6.1171277942147599E-2</v>
      </c>
      <c r="D2836">
        <v>0</v>
      </c>
      <c r="E2836">
        <v>0</v>
      </c>
      <c r="F2836">
        <v>0</v>
      </c>
      <c r="G2836" s="1">
        <v>8.2235279063155506E-5</v>
      </c>
      <c r="H2836">
        <v>0.89262844930927498</v>
      </c>
      <c r="I2836">
        <v>0</v>
      </c>
    </row>
    <row r="2837" spans="1:9" x14ac:dyDescent="0.25">
      <c r="A2837" s="1">
        <v>-10.016394853591899</v>
      </c>
      <c r="B2837">
        <v>-3.2077793264101002</v>
      </c>
      <c r="C2837">
        <v>7.1850705199234796E-2</v>
      </c>
      <c r="D2837">
        <v>0</v>
      </c>
      <c r="E2837">
        <v>0</v>
      </c>
      <c r="F2837">
        <v>0</v>
      </c>
      <c r="G2837">
        <v>1.1508561670552799E-4</v>
      </c>
      <c r="H2837">
        <v>0.90162038114062804</v>
      </c>
      <c r="I2837">
        <v>0</v>
      </c>
    </row>
    <row r="2838" spans="1:9" x14ac:dyDescent="0.25">
      <c r="A2838" s="1">
        <v>-8.2808375358581507</v>
      </c>
      <c r="B2838">
        <v>-2.6521218284304</v>
      </c>
      <c r="C2838">
        <v>8.4301813597175701E-2</v>
      </c>
      <c r="D2838">
        <v>0</v>
      </c>
      <c r="E2838">
        <v>0</v>
      </c>
      <c r="F2838">
        <v>0</v>
      </c>
      <c r="G2838">
        <v>1.6365017140580499E-4</v>
      </c>
      <c r="H2838">
        <v>0.91136027145811005</v>
      </c>
      <c r="I2838">
        <v>0</v>
      </c>
    </row>
    <row r="2839" spans="1:9" x14ac:dyDescent="0.25">
      <c r="A2839" s="1">
        <v>-6.6885209083557102</v>
      </c>
      <c r="B2839">
        <v>-2.14229262539099</v>
      </c>
      <c r="C2839">
        <v>9.8908426474785593E-2</v>
      </c>
      <c r="D2839">
        <v>0</v>
      </c>
      <c r="E2839">
        <v>0</v>
      </c>
      <c r="F2839">
        <v>0</v>
      </c>
      <c r="G2839">
        <v>2.3779651551819801E-4</v>
      </c>
      <c r="H2839">
        <v>0.92180337449176997</v>
      </c>
      <c r="I2839">
        <v>0</v>
      </c>
    </row>
    <row r="2840" spans="1:9" x14ac:dyDescent="0.25">
      <c r="A2840" s="1">
        <v>-5.2277201414108196</v>
      </c>
      <c r="B2840">
        <v>-1.6745154407146099</v>
      </c>
      <c r="C2840">
        <v>0.116212336070476</v>
      </c>
      <c r="D2840">
        <v>0</v>
      </c>
      <c r="E2840">
        <v>0</v>
      </c>
      <c r="F2840">
        <v>0</v>
      </c>
      <c r="G2840">
        <v>3.55263620470054E-4</v>
      </c>
      <c r="H2840">
        <v>0.93274477229731201</v>
      </c>
      <c r="I2840">
        <v>0</v>
      </c>
    </row>
    <row r="2841" spans="1:9" x14ac:dyDescent="0.25">
      <c r="A2841" s="1">
        <v>-3.88755798339843</v>
      </c>
      <c r="B2841">
        <v>-1.2453253356079299</v>
      </c>
      <c r="C2841">
        <v>0.13700851495875299</v>
      </c>
      <c r="D2841">
        <v>0</v>
      </c>
      <c r="E2841">
        <v>0</v>
      </c>
      <c r="F2841">
        <v>0</v>
      </c>
      <c r="G2841">
        <v>5.49186873854068E-4</v>
      </c>
      <c r="H2841">
        <v>0.94382231464667699</v>
      </c>
      <c r="I2841">
        <v>0</v>
      </c>
    </row>
    <row r="2842" spans="1:9" x14ac:dyDescent="0.25">
      <c r="A2842" s="1">
        <v>-2.6580518484115601</v>
      </c>
      <c r="B2842">
        <v>-0.85154154536227999</v>
      </c>
      <c r="C2842">
        <v>0.16250846786536599</v>
      </c>
      <c r="D2842">
        <v>0</v>
      </c>
      <c r="E2842">
        <v>0</v>
      </c>
      <c r="F2842">
        <v>0</v>
      </c>
      <c r="G2842">
        <v>8.8434788220979497E-4</v>
      </c>
      <c r="H2842">
        <v>0.954578042800591</v>
      </c>
      <c r="I2842">
        <v>0</v>
      </c>
    </row>
    <row r="2843" spans="1:9" x14ac:dyDescent="0.25">
      <c r="A2843" s="1">
        <v>-1.5300196409225399</v>
      </c>
      <c r="B2843">
        <v>-0.49024501706387202</v>
      </c>
      <c r="C2843">
        <v>0.194635049123425</v>
      </c>
      <c r="D2843">
        <v>0</v>
      </c>
      <c r="E2843">
        <v>0</v>
      </c>
      <c r="F2843">
        <v>0</v>
      </c>
      <c r="G2843">
        <v>1.4946312035308399E-3</v>
      </c>
      <c r="H2843">
        <v>0.964553910739819</v>
      </c>
      <c r="I2843">
        <v>0</v>
      </c>
    </row>
    <row r="2844" spans="1:9" x14ac:dyDescent="0.25">
      <c r="A2844" s="1">
        <v>-0.49517393112182601</v>
      </c>
      <c r="B2844">
        <v>-0.15875855919818699</v>
      </c>
      <c r="C2844">
        <v>0.23658564797735401</v>
      </c>
      <c r="D2844">
        <v>0</v>
      </c>
      <c r="E2844">
        <v>0</v>
      </c>
      <c r="F2844">
        <v>0</v>
      </c>
      <c r="G2844">
        <v>2.6915625996880399E-3</v>
      </c>
      <c r="H2844">
        <v>0.97353356945633895</v>
      </c>
      <c r="I2844">
        <v>0</v>
      </c>
    </row>
    <row r="2845" spans="1:9" x14ac:dyDescent="0.25">
      <c r="A2845" s="1">
        <v>0.49376130104064903</v>
      </c>
      <c r="B2845">
        <v>0.35353026457217102</v>
      </c>
      <c r="C2845">
        <v>0.34693119625229502</v>
      </c>
      <c r="D2845">
        <v>8.4264170536315602E-2</v>
      </c>
      <c r="E2845">
        <v>-1.4610724898172101E-4</v>
      </c>
      <c r="F2845" s="1">
        <v>-2.6311725197241901E-6</v>
      </c>
      <c r="G2845">
        <v>9.4808521780632801E-2</v>
      </c>
      <c r="H2845">
        <v>0.99341131421018403</v>
      </c>
      <c r="I2845" s="1">
        <v>9.7177038706658102E-7</v>
      </c>
    </row>
    <row r="2846" spans="1:9" x14ac:dyDescent="0.25">
      <c r="A2846" s="1">
        <v>1.5257111191749499</v>
      </c>
      <c r="B2846">
        <v>1.09196315330539</v>
      </c>
      <c r="C2846">
        <v>0.62834211670491102</v>
      </c>
      <c r="D2846">
        <v>0.41285545456358702</v>
      </c>
      <c r="E2846">
        <v>-2.0447230861342599E-3</v>
      </c>
      <c r="F2846" s="1">
        <v>6.6670528471584402E-5</v>
      </c>
      <c r="G2846">
        <v>0.100946025928617</v>
      </c>
      <c r="H2846">
        <v>0.98651084886444596</v>
      </c>
      <c r="I2846" s="1">
        <v>2.5531417142753299E-5</v>
      </c>
    </row>
    <row r="2847" spans="1:9" x14ac:dyDescent="0.25">
      <c r="A2847" s="1">
        <v>2.6505178213119498</v>
      </c>
      <c r="B2847">
        <v>1.8924311402448599</v>
      </c>
      <c r="C2847">
        <v>1.1027428634177701</v>
      </c>
      <c r="D2847">
        <v>1.0048506020200101</v>
      </c>
      <c r="E2847">
        <v>-1.01973545304841E-2</v>
      </c>
      <c r="F2847">
        <v>2.47926082683265E-4</v>
      </c>
      <c r="G2847">
        <v>0.104836540272323</v>
      </c>
      <c r="H2847">
        <v>0.97464518738243</v>
      </c>
      <c r="I2847">
        <v>1.20333951080908E-4</v>
      </c>
    </row>
    <row r="2848" spans="1:9" x14ac:dyDescent="0.25">
      <c r="A2848" s="1">
        <v>3.8765159249305698</v>
      </c>
      <c r="B2848">
        <v>2.7518700817561901</v>
      </c>
      <c r="C2848">
        <v>1.80119207224071</v>
      </c>
      <c r="D2848">
        <v>1.89476319037634</v>
      </c>
      <c r="E2848">
        <v>-2.9989715704726399E-2</v>
      </c>
      <c r="F2848">
        <v>5.4032425402318997E-4</v>
      </c>
      <c r="G2848">
        <v>0.105647000575659</v>
      </c>
      <c r="H2848">
        <v>0.95616466296767</v>
      </c>
      <c r="I2848">
        <v>2.7999191150809898E-4</v>
      </c>
    </row>
    <row r="2849" spans="1:9" x14ac:dyDescent="0.25">
      <c r="A2849" s="1">
        <v>5.2129346132278398</v>
      </c>
      <c r="B2849">
        <v>3.6599962975558999</v>
      </c>
      <c r="C2849">
        <v>2.7169077703175701</v>
      </c>
      <c r="D2849">
        <v>3.0534236463356099</v>
      </c>
      <c r="E2849">
        <v>-6.6958203729578794E-2</v>
      </c>
      <c r="F2849">
        <v>9.0455006067822401E-4</v>
      </c>
      <c r="G2849">
        <v>0.102870115772523</v>
      </c>
      <c r="H2849">
        <v>0.92896427988761299</v>
      </c>
      <c r="I2849">
        <v>5.2776392669467097E-4</v>
      </c>
    </row>
    <row r="2850" spans="1:9" x14ac:dyDescent="0.25">
      <c r="A2850" s="1">
        <v>6.6695916652679399</v>
      </c>
      <c r="B2850">
        <v>4.5977629575869496</v>
      </c>
      <c r="C2850">
        <v>3.7814019606871101</v>
      </c>
      <c r="D2850">
        <v>4.3578123024816797</v>
      </c>
      <c r="E2850">
        <v>-0.12412493643362101</v>
      </c>
      <c r="F2850">
        <v>1.25729585828405E-3</v>
      </c>
      <c r="G2850">
        <v>9.8143840443229394E-2</v>
      </c>
      <c r="H2850">
        <v>0.89237271469617896</v>
      </c>
      <c r="I2850">
        <v>1.2244039402563699E-3</v>
      </c>
    </row>
    <row r="2851" spans="1:9" x14ac:dyDescent="0.25">
      <c r="A2851" s="1">
        <v>8.2573878765106201</v>
      </c>
      <c r="B2851">
        <v>5.5385071443123</v>
      </c>
      <c r="C2851">
        <v>4.8663187538174402</v>
      </c>
      <c r="D2851">
        <v>5.6121734473787503</v>
      </c>
      <c r="E2851">
        <v>-0.19978018619958099</v>
      </c>
      <c r="F2851">
        <v>1.49916945399615E-3</v>
      </c>
      <c r="G2851">
        <v>9.48622926349596E-2</v>
      </c>
      <c r="H2851">
        <v>0.85049571011408498</v>
      </c>
      <c r="I2851">
        <v>3.4059619590716501E-3</v>
      </c>
    </row>
    <row r="2852" spans="1:9" x14ac:dyDescent="0.25">
      <c r="A2852" s="1">
        <v>9.9880245327949506</v>
      </c>
      <c r="B2852">
        <v>6.4525859974985202</v>
      </c>
      <c r="C2852">
        <v>5.8239612478891098</v>
      </c>
      <c r="D2852">
        <v>6.6237611126935603</v>
      </c>
      <c r="E2852">
        <v>-0.287420773910528</v>
      </c>
      <c r="F2852">
        <v>1.5510146527835001E-3</v>
      </c>
      <c r="G2852">
        <v>9.5556063785628004E-2</v>
      </c>
      <c r="H2852">
        <v>0.81141912372139802</v>
      </c>
      <c r="I2852">
        <v>7.4329299438308499E-3</v>
      </c>
    </row>
    <row r="2853" spans="1:9" x14ac:dyDescent="0.25">
      <c r="A2853" s="1">
        <v>11.874474287032999</v>
      </c>
      <c r="B2853">
        <v>7.3141130177964602</v>
      </c>
      <c r="C2853">
        <v>6.5435702864184098</v>
      </c>
      <c r="D2853">
        <v>7.2791522727729498</v>
      </c>
      <c r="E2853">
        <v>-0.37841965418482398</v>
      </c>
      <c r="F2853">
        <v>1.4027031167402899E-3</v>
      </c>
      <c r="G2853">
        <v>9.9605479043699999E-2</v>
      </c>
      <c r="H2853">
        <v>0.7796805184865</v>
      </c>
      <c r="I2853">
        <v>1.0704511845736E-2</v>
      </c>
    </row>
    <row r="2854" spans="1:9" x14ac:dyDescent="0.25">
      <c r="A2854" s="1">
        <v>13.9306750893592</v>
      </c>
      <c r="B2854">
        <v>8.1060813787588106</v>
      </c>
      <c r="C2854">
        <v>6.9815245816691798</v>
      </c>
      <c r="D2854">
        <v>7.5651704281858203</v>
      </c>
      <c r="E2854">
        <v>-0.46527764286096601</v>
      </c>
      <c r="F2854">
        <v>1.1250723394626301E-3</v>
      </c>
      <c r="G2854">
        <v>0.104182640041025</v>
      </c>
      <c r="H2854">
        <v>0.75373831625930299</v>
      </c>
      <c r="I2854">
        <v>1.02983100397121E-2</v>
      </c>
    </row>
    <row r="2855" spans="1:9" x14ac:dyDescent="0.25">
      <c r="A2855" s="1">
        <v>16.171883344650201</v>
      </c>
      <c r="B2855">
        <v>8.8213890789737199</v>
      </c>
      <c r="C2855">
        <v>7.1530007364720198</v>
      </c>
      <c r="D2855">
        <v>7.5379200502967496</v>
      </c>
      <c r="E2855">
        <v>-0.543218246573834</v>
      </c>
      <c r="F2855">
        <v>8.4207676541535098E-4</v>
      </c>
      <c r="G2855">
        <v>0.10672442796511999</v>
      </c>
      <c r="H2855">
        <v>0.730408180386242</v>
      </c>
      <c r="I2855">
        <v>6.3455628697400299E-3</v>
      </c>
    </row>
    <row r="2856" spans="1:9" x14ac:dyDescent="0.25">
      <c r="A2856" s="1">
        <v>18.614838719367899</v>
      </c>
      <c r="B2856">
        <v>9.4606585328196395</v>
      </c>
      <c r="C2856">
        <v>7.10564481411771</v>
      </c>
      <c r="D2856">
        <v>7.2797985867529098</v>
      </c>
      <c r="E2856">
        <v>-0.61010084455256797</v>
      </c>
      <c r="F2856">
        <v>6.8350648873478795E-4</v>
      </c>
      <c r="G2856">
        <v>0.106193896362486</v>
      </c>
      <c r="H2856">
        <v>0.70768439745466805</v>
      </c>
      <c r="I2856">
        <v>8.9651531521902001E-4</v>
      </c>
    </row>
    <row r="2857" spans="1:9" x14ac:dyDescent="0.25">
      <c r="A2857" s="1">
        <v>21.2777170538902</v>
      </c>
      <c r="B2857">
        <v>10.029148789188699</v>
      </c>
      <c r="C2857">
        <v>6.8963976887256404</v>
      </c>
      <c r="D2857">
        <v>6.8705651398824203</v>
      </c>
      <c r="E2857">
        <v>-0.66561883812005096</v>
      </c>
      <c r="F2857">
        <v>7.4226226703337798E-4</v>
      </c>
      <c r="G2857">
        <v>0.102860547778095</v>
      </c>
      <c r="H2857">
        <v>0.68485329776128301</v>
      </c>
      <c r="I2857">
        <v>-4.2751484211985399E-3</v>
      </c>
    </row>
    <row r="2858" spans="1:9" x14ac:dyDescent="0.25">
      <c r="A2858" s="1">
        <v>24.180224537849401</v>
      </c>
      <c r="B2858">
        <v>10.534249419039901</v>
      </c>
      <c r="C2858">
        <v>6.5783036473611496</v>
      </c>
      <c r="D2858">
        <v>6.3751939181777999</v>
      </c>
      <c r="E2858">
        <v>-0.71048644249057102</v>
      </c>
      <c r="F2858">
        <v>1.0515271706128999E-3</v>
      </c>
      <c r="G2858">
        <v>9.7559367710155401E-2</v>
      </c>
      <c r="H2858">
        <v>0.661907089817793</v>
      </c>
      <c r="I2858">
        <v>-8.3524164241250698E-3</v>
      </c>
    </row>
    <row r="2859" spans="1:9" x14ac:dyDescent="0.25">
      <c r="A2859" s="1">
        <v>27.343950867652801</v>
      </c>
      <c r="B2859">
        <v>10.9839648332176</v>
      </c>
      <c r="C2859">
        <v>6.1953130330631199</v>
      </c>
      <c r="D2859">
        <v>5.8419013796312198</v>
      </c>
      <c r="E2859">
        <v>-0.74585631353344695</v>
      </c>
      <c r="F2859">
        <v>1.53467337891231E-3</v>
      </c>
      <c r="G2859">
        <v>9.1112496395861303E-2</v>
      </c>
      <c r="H2859">
        <v>0.63915145438873799</v>
      </c>
      <c r="I2859">
        <v>-1.11797615276274E-2</v>
      </c>
    </row>
    <row r="2860" spans="1:9" x14ac:dyDescent="0.25">
      <c r="A2860" s="1">
        <v>30.7923927903175</v>
      </c>
      <c r="B2860">
        <v>11.386164146448399</v>
      </c>
      <c r="C2860">
        <v>5.78136031772633</v>
      </c>
      <c r="D2860">
        <v>5.30453111345743</v>
      </c>
      <c r="E2860">
        <v>-0.77298598548420006</v>
      </c>
      <c r="F2860">
        <v>2.0976504995527901E-3</v>
      </c>
      <c r="G2860">
        <v>8.4109356418608602E-2</v>
      </c>
      <c r="H2860">
        <v>0.61701063031604597</v>
      </c>
      <c r="I2860">
        <v>-1.28707136623191E-2</v>
      </c>
    </row>
    <row r="2861" spans="1:9" x14ac:dyDescent="0.25">
      <c r="A2861" s="1">
        <v>34.551213085651298</v>
      </c>
      <c r="B2861">
        <v>11.748209765992</v>
      </c>
      <c r="C2861">
        <v>5.3611669970400904</v>
      </c>
      <c r="D2861">
        <v>4.7855117313636404</v>
      </c>
      <c r="E2861">
        <v>-0.793078994310081</v>
      </c>
      <c r="F2861">
        <v>2.6920500933068198E-3</v>
      </c>
      <c r="G2861">
        <v>7.6908171810030401E-2</v>
      </c>
      <c r="H2861">
        <v>0.59591994508257795</v>
      </c>
      <c r="I2861">
        <v>-1.3613741382542399E-2</v>
      </c>
    </row>
    <row r="2862" spans="1:9" x14ac:dyDescent="0.25">
      <c r="A2862" s="1">
        <v>38.6483111977577</v>
      </c>
      <c r="B2862">
        <v>12.076767768124901</v>
      </c>
      <c r="C2862">
        <v>4.9515852806633402</v>
      </c>
      <c r="D2862">
        <v>4.29872708678257</v>
      </c>
      <c r="E2862">
        <v>-0.80718212790497801</v>
      </c>
      <c r="F2862">
        <v>3.18553057316042E-3</v>
      </c>
      <c r="G2862">
        <v>6.9731081762075597E-2</v>
      </c>
      <c r="H2862">
        <v>0.57630882010701501</v>
      </c>
      <c r="I2862">
        <v>-1.36073879073653E-2</v>
      </c>
    </row>
    <row r="2863" spans="1:9" x14ac:dyDescent="0.25">
      <c r="A2863" s="1">
        <v>43.1141293048858</v>
      </c>
      <c r="B2863">
        <v>12.3777608840455</v>
      </c>
      <c r="C2863">
        <v>4.5632573893555204</v>
      </c>
      <c r="D2863">
        <v>3.8520172197251199</v>
      </c>
      <c r="E2863">
        <v>-0.81615509116219598</v>
      </c>
      <c r="F2863">
        <v>3.52988702328054E-3</v>
      </c>
      <c r="G2863">
        <v>6.2726381396795705E-2</v>
      </c>
      <c r="H2863">
        <v>0.55847387716933405</v>
      </c>
      <c r="I2863">
        <v>-1.3039872997661701E-2</v>
      </c>
    </row>
    <row r="2864" spans="1:9" x14ac:dyDescent="0.25">
      <c r="A2864" s="1">
        <v>47.981887757778097</v>
      </c>
      <c r="B2864">
        <v>12.6562755164419</v>
      </c>
      <c r="C2864">
        <v>4.2022642651105002</v>
      </c>
      <c r="D2864">
        <v>3.4490143035787701</v>
      </c>
      <c r="E2864">
        <v>-0.82071602519518005</v>
      </c>
      <c r="F2864">
        <v>3.6672489541945698E-3</v>
      </c>
      <c r="G2864">
        <v>5.59956864891775E-2</v>
      </c>
      <c r="H2864">
        <v>0.54244414050865897</v>
      </c>
      <c r="I2864">
        <v>-1.20919419499751E-2</v>
      </c>
    </row>
    <row r="2865" spans="1:9" x14ac:dyDescent="0.25">
      <c r="A2865" s="1">
        <v>53.287820518016801</v>
      </c>
      <c r="B2865">
        <v>12.9165700975534</v>
      </c>
      <c r="C2865">
        <v>3.8710981441774401</v>
      </c>
      <c r="D2865">
        <v>3.08995297828154</v>
      </c>
      <c r="E2865">
        <v>-0.82140891598564603</v>
      </c>
      <c r="F2865">
        <v>3.5422200077639102E-3</v>
      </c>
      <c r="G2865">
        <v>4.9643602859627697E-2</v>
      </c>
      <c r="H2865">
        <v>0.52821242313100503</v>
      </c>
      <c r="I2865">
        <v>-1.0927480797576701E-2</v>
      </c>
    </row>
    <row r="2866" spans="1:9" x14ac:dyDescent="0.25">
      <c r="A2866" s="1">
        <v>59.071175158023799</v>
      </c>
      <c r="B2866">
        <v>13.1622082957727</v>
      </c>
      <c r="C2866">
        <v>3.56995073703705</v>
      </c>
      <c r="D2866">
        <v>2.77287154451784</v>
      </c>
      <c r="E2866">
        <v>-0.81865044467996095</v>
      </c>
      <c r="F2866">
        <v>3.1095903327126402E-3</v>
      </c>
      <c r="G2866">
        <v>4.3772537543512499E-2</v>
      </c>
      <c r="H2866">
        <v>0.51567522066629501</v>
      </c>
      <c r="I2866">
        <v>-9.6999612128066404E-3</v>
      </c>
    </row>
    <row r="2867" spans="1:9" x14ac:dyDescent="0.25">
      <c r="A2867" s="1">
        <v>65.375131070613804</v>
      </c>
      <c r="B2867">
        <v>13.3961243129995</v>
      </c>
      <c r="C2867">
        <v>3.2978231462443302</v>
      </c>
      <c r="D2867">
        <v>2.49488715857151</v>
      </c>
      <c r="E2867">
        <v>-0.81275275205289599</v>
      </c>
      <c r="F2867">
        <v>2.4621402982121202E-3</v>
      </c>
      <c r="G2867">
        <v>3.84353937823846E-2</v>
      </c>
      <c r="H2867">
        <v>0.50444084783143495</v>
      </c>
      <c r="I2867">
        <v>-8.5096308918743493E-3</v>
      </c>
    </row>
    <row r="2868" spans="1:9" x14ac:dyDescent="0.25">
      <c r="A2868" s="1">
        <v>72.246375679969702</v>
      </c>
      <c r="B2868">
        <v>13.620731539438401</v>
      </c>
      <c r="C2868">
        <v>3.0524096956000299</v>
      </c>
      <c r="D2868">
        <v>2.2522258701051099</v>
      </c>
      <c r="E2868">
        <v>-0.80395748404247702</v>
      </c>
      <c r="F2868">
        <v>1.70547060204003E-3</v>
      </c>
      <c r="G2868">
        <v>3.3658850488352002E-2</v>
      </c>
      <c r="H2868">
        <v>0.49423224813378003</v>
      </c>
      <c r="I2868">
        <v>-7.4183553043324904E-3</v>
      </c>
    </row>
    <row r="2869" spans="1:9" x14ac:dyDescent="0.25">
      <c r="A2869" s="1">
        <v>79.736069738864799</v>
      </c>
      <c r="B2869">
        <v>13.8380181489241</v>
      </c>
      <c r="C2869">
        <v>2.8306000971560201</v>
      </c>
      <c r="D2869">
        <v>2.04034853890637</v>
      </c>
      <c r="E2869">
        <v>-0.79240431999255401</v>
      </c>
      <c r="F2869">
        <v>1.0312637565908899E-3</v>
      </c>
      <c r="G2869">
        <v>2.9406124690491298E-2</v>
      </c>
      <c r="H2869">
        <v>0.48461234723374003</v>
      </c>
      <c r="I2869">
        <v>-6.4359496258797099E-3</v>
      </c>
    </row>
    <row r="2870" spans="1:9" x14ac:dyDescent="0.25">
      <c r="A2870" s="1">
        <v>87.899753153324099</v>
      </c>
      <c r="B2870">
        <v>14.0495721731064</v>
      </c>
      <c r="C2870">
        <v>2.6289487126904501</v>
      </c>
      <c r="D2870">
        <v>1.85475860935299</v>
      </c>
      <c r="E2870">
        <v>-0.77813682273020901</v>
      </c>
      <c r="F2870">
        <v>6.4438975782255101E-4</v>
      </c>
      <c r="G2870">
        <v>2.5641863607612801E-2</v>
      </c>
      <c r="H2870">
        <v>0.47547196514138301</v>
      </c>
      <c r="I2870">
        <v>-5.5712140666561898E-3</v>
      </c>
    </row>
    <row r="2871" spans="1:9" x14ac:dyDescent="0.25">
      <c r="A2871" s="1">
        <v>96.798263192176805</v>
      </c>
      <c r="B2871">
        <v>14.2566473211822</v>
      </c>
      <c r="C2871">
        <v>2.4442803015997998</v>
      </c>
      <c r="D2871">
        <v>1.6914839398097099</v>
      </c>
      <c r="E2871">
        <v>-0.76123188955353105</v>
      </c>
      <c r="F2871">
        <v>7.0795567310191895E-4</v>
      </c>
      <c r="G2871">
        <v>2.2322024549617799E-2</v>
      </c>
      <c r="H2871">
        <v>0.46658265664847698</v>
      </c>
      <c r="I2871">
        <v>-4.8148121596684901E-3</v>
      </c>
    </row>
    <row r="2872" spans="1:9" x14ac:dyDescent="0.25">
      <c r="A2872" s="1">
        <v>106.497616767883</v>
      </c>
      <c r="B2872">
        <v>14.4603019326654</v>
      </c>
      <c r="C2872">
        <v>2.2734223415634598</v>
      </c>
      <c r="D2872">
        <v>1.5468015648947999</v>
      </c>
      <c r="E2872">
        <v>-0.74160698588657503</v>
      </c>
      <c r="F2872">
        <v>9.6822844798957297E-4</v>
      </c>
      <c r="G2872">
        <v>1.9407261914542701E-2</v>
      </c>
      <c r="H2872">
        <v>0.45789478737521899</v>
      </c>
      <c r="I2872">
        <v>-4.1598217596829998E-3</v>
      </c>
    </row>
    <row r="2873" spans="1:9" x14ac:dyDescent="0.25">
      <c r="A2873" s="1">
        <v>117.06990510225199</v>
      </c>
      <c r="B2873">
        <v>14.661692554290299</v>
      </c>
      <c r="C2873">
        <v>2.1125609385556299</v>
      </c>
      <c r="D2873">
        <v>1.4166078840862699</v>
      </c>
      <c r="E2873">
        <v>-0.71902448851914302</v>
      </c>
      <c r="F2873">
        <v>1.1784291532044801E-3</v>
      </c>
      <c r="G2873">
        <v>1.6856083788901601E-2</v>
      </c>
      <c r="H2873">
        <v>0.45004056366616102</v>
      </c>
      <c r="I2873">
        <v>-3.5942396614549298E-3</v>
      </c>
    </row>
    <row r="2874" spans="1:9" x14ac:dyDescent="0.25">
      <c r="A2874" s="1">
        <v>128.593670427799</v>
      </c>
      <c r="B2874">
        <v>14.861769915531299</v>
      </c>
      <c r="C2874">
        <v>1.9597910054412</v>
      </c>
      <c r="D2874">
        <v>1.2984077264049301</v>
      </c>
      <c r="E2874">
        <v>-0.69351741575155101</v>
      </c>
      <c r="F2874">
        <v>1.5270915645637601E-3</v>
      </c>
      <c r="G2874">
        <v>1.45942974810411E-2</v>
      </c>
      <c r="H2874">
        <v>0.44262941298354203</v>
      </c>
      <c r="I2874">
        <v>-3.0894160025289599E-3</v>
      </c>
    </row>
    <row r="2875" spans="1:9" x14ac:dyDescent="0.25">
      <c r="A2875" s="1">
        <v>141.15461230278001</v>
      </c>
      <c r="B2875">
        <v>15.0609822174263</v>
      </c>
      <c r="C2875">
        <v>1.8132945832064999</v>
      </c>
      <c r="D2875">
        <v>1.1897964423423899</v>
      </c>
      <c r="E2875">
        <v>-0.66486603859030702</v>
      </c>
      <c r="F2875">
        <v>2.1939482468248E-3</v>
      </c>
      <c r="G2875">
        <v>1.2572986214733101E-2</v>
      </c>
      <c r="H2875">
        <v>0.43543803783731899</v>
      </c>
      <c r="I2875">
        <v>-2.6364418214343799E-3</v>
      </c>
    </row>
    <row r="2876" spans="1:9" x14ac:dyDescent="0.25">
      <c r="A2876" s="1">
        <v>154.84601140022201</v>
      </c>
      <c r="B2876">
        <v>15.2591225979578</v>
      </c>
      <c r="C2876">
        <v>1.6716653181012999</v>
      </c>
      <c r="D2876">
        <v>1.08878819743447</v>
      </c>
      <c r="E2876">
        <v>-0.63289692740936898</v>
      </c>
      <c r="F2876">
        <v>2.3160208374817201E-3</v>
      </c>
      <c r="G2876">
        <v>1.07571462025227E-2</v>
      </c>
      <c r="H2876">
        <v>0.42795966798936902</v>
      </c>
      <c r="I2876">
        <v>-2.2284133951186299E-3</v>
      </c>
    </row>
    <row r="2877" spans="1:9" x14ac:dyDescent="0.25">
      <c r="A2877" s="1">
        <v>169.76969480514501</v>
      </c>
      <c r="B2877">
        <v>15.456136729727399</v>
      </c>
      <c r="C2877">
        <v>1.5326577653534801</v>
      </c>
      <c r="D2877">
        <v>0.99305206778300503</v>
      </c>
      <c r="E2877">
        <v>-0.597144420622855</v>
      </c>
      <c r="F2877">
        <v>1.92804872782603E-3</v>
      </c>
      <c r="G2877">
        <v>9.1304114160082103E-3</v>
      </c>
      <c r="H2877">
        <v>0.42047440278931397</v>
      </c>
      <c r="I2877">
        <v>-1.8623830757766801E-3</v>
      </c>
    </row>
    <row r="2878" spans="1:9" x14ac:dyDescent="0.25">
      <c r="A2878" s="1">
        <v>186.03645980358101</v>
      </c>
      <c r="B2878">
        <v>15.652545946809299</v>
      </c>
      <c r="C2878">
        <v>1.394448386316</v>
      </c>
      <c r="D2878">
        <v>0.90074569256398795</v>
      </c>
      <c r="E2878">
        <v>-0.55712667077781797</v>
      </c>
      <c r="F2878">
        <v>1.76501561190729E-3</v>
      </c>
      <c r="G2878">
        <v>7.6740522061984401E-3</v>
      </c>
      <c r="H2878">
        <v>0.41353911548419398</v>
      </c>
      <c r="I2878">
        <v>-1.53724880181184E-3</v>
      </c>
    </row>
    <row r="2879" spans="1:9" x14ac:dyDescent="0.25">
      <c r="A2879" s="1">
        <v>203.76720398664401</v>
      </c>
      <c r="B2879">
        <v>15.8478905558315</v>
      </c>
      <c r="C2879">
        <v>1.2569663625650001</v>
      </c>
      <c r="D2879">
        <v>0.81038029827028302</v>
      </c>
      <c r="E2879">
        <v>-0.51273519730784201</v>
      </c>
      <c r="F2879">
        <v>1.5730272365169599E-3</v>
      </c>
      <c r="G2879">
        <v>6.3634530489432503E-3</v>
      </c>
      <c r="H2879">
        <v>0.40623290979453902</v>
      </c>
      <c r="I2879">
        <v>-1.2469691842138899E-3</v>
      </c>
    </row>
    <row r="2880" spans="1:9" x14ac:dyDescent="0.25">
      <c r="A2880" s="1">
        <v>223.09376105666101</v>
      </c>
      <c r="B2880">
        <v>16.0405156606537</v>
      </c>
      <c r="C2880">
        <v>1.11935965546779</v>
      </c>
      <c r="D2880">
        <v>0.72085919282795496</v>
      </c>
      <c r="E2880">
        <v>-0.46350961361472298</v>
      </c>
      <c r="F2880">
        <v>1.27780685223913E-3</v>
      </c>
      <c r="G2880">
        <v>5.1732082788007701E-3</v>
      </c>
      <c r="H2880">
        <v>0.398815894956492</v>
      </c>
      <c r="I2880">
        <v>-9.814359210351749E-4</v>
      </c>
    </row>
    <row r="2881" spans="1:9" x14ac:dyDescent="0.25">
      <c r="A2881" s="1">
        <v>244.15970131754801</v>
      </c>
      <c r="B2881">
        <v>16.229018151733001</v>
      </c>
      <c r="C2881">
        <v>0.98072279067184498</v>
      </c>
      <c r="D2881">
        <v>0.63068568220975996</v>
      </c>
      <c r="E2881">
        <v>-0.40884870642712801</v>
      </c>
      <c r="F2881">
        <v>4.9993105788254295E-4</v>
      </c>
      <c r="G2881">
        <v>4.10368155347751E-3</v>
      </c>
      <c r="H2881">
        <v>0.39194428418890098</v>
      </c>
      <c r="I2881">
        <v>-7.4470550733902899E-4</v>
      </c>
    </row>
    <row r="2882" spans="1:9" x14ac:dyDescent="0.25">
      <c r="A2882" s="1">
        <v>267.12157949805197</v>
      </c>
      <c r="B2882">
        <v>16.410550019676698</v>
      </c>
      <c r="C2882">
        <v>0.84195358841720203</v>
      </c>
      <c r="D2882">
        <v>0.54035907483089296</v>
      </c>
      <c r="E2882">
        <v>-0.34838691155163498</v>
      </c>
      <c r="F2882">
        <v>-5.0756645708541204E-4</v>
      </c>
      <c r="G2882">
        <v>3.16526286289572E-3</v>
      </c>
      <c r="H2882">
        <v>0.386060697157525</v>
      </c>
      <c r="I2882">
        <v>-5.4472445331495796E-4</v>
      </c>
    </row>
    <row r="2883" spans="1:9" x14ac:dyDescent="0.25">
      <c r="A2883" s="1">
        <v>292.15002954006098</v>
      </c>
      <c r="B2883">
        <v>16.580328363898101</v>
      </c>
      <c r="C2883">
        <v>0.70349248207315196</v>
      </c>
      <c r="D2883">
        <v>0.44905010174137899</v>
      </c>
      <c r="E2883">
        <v>-0.28162145680808798</v>
      </c>
      <c r="F2883">
        <v>-1.08240882087591E-3</v>
      </c>
      <c r="G2883">
        <v>2.363199146641E-3</v>
      </c>
      <c r="H2883">
        <v>0.382411472346257</v>
      </c>
      <c r="I2883">
        <v>-3.82890436734995E-4</v>
      </c>
    </row>
    <row r="2884" spans="1:9" x14ac:dyDescent="0.25">
      <c r="A2884" s="1">
        <v>319.43101242184599</v>
      </c>
      <c r="B2884">
        <v>16.728828128772701</v>
      </c>
      <c r="C2884">
        <v>0.572656660099082</v>
      </c>
      <c r="D2884">
        <v>0.361265194265462</v>
      </c>
      <c r="E2884">
        <v>-0.20821298174101799</v>
      </c>
      <c r="F2884">
        <v>-8.3410888319350701E-4</v>
      </c>
      <c r="G2884">
        <v>1.7145482401658299E-3</v>
      </c>
      <c r="H2884">
        <v>0.38232543379154099</v>
      </c>
      <c r="I2884">
        <v>-2.6388586657031301E-4</v>
      </c>
    </row>
    <row r="2885" spans="1:9" x14ac:dyDescent="0.25">
      <c r="A2885" s="1">
        <v>349.16732590645501</v>
      </c>
      <c r="B2885">
        <v>16.844051317284698</v>
      </c>
      <c r="C2885">
        <v>0.463819472718214</v>
      </c>
      <c r="D2885">
        <v>0.28616370351464399</v>
      </c>
      <c r="E2885">
        <v>-0.12685663613371201</v>
      </c>
      <c r="F2885">
        <v>-9.9451218699579702E-4</v>
      </c>
      <c r="G2885">
        <v>1.2665252277032401E-3</v>
      </c>
      <c r="H2885">
        <v>0.386974453676938</v>
      </c>
      <c r="I2885">
        <v>-1.9318289292477001E-4</v>
      </c>
    </row>
    <row r="2886" spans="1:9" x14ac:dyDescent="0.25">
      <c r="A2886" s="1">
        <v>379.83785875141598</v>
      </c>
      <c r="B2886">
        <v>16.904937704439199</v>
      </c>
      <c r="C2886">
        <v>0.40155341079471502</v>
      </c>
      <c r="D2886">
        <v>0.242303184500897</v>
      </c>
      <c r="E2886">
        <v>-4.2015801290843903E-2</v>
      </c>
      <c r="F2886">
        <v>-1.33587205414979E-3</v>
      </c>
      <c r="G2886">
        <v>1.03318477029731E-3</v>
      </c>
      <c r="H2886">
        <v>0.407889626858286</v>
      </c>
      <c r="I2886">
        <v>-1.5308315755077501E-4</v>
      </c>
    </row>
    <row r="2887" spans="1:9" x14ac:dyDescent="0.25">
      <c r="A2887" s="1" t="s">
        <v>562</v>
      </c>
      <c r="B2887" s="1" t="s">
        <v>614</v>
      </c>
      <c r="C2887" s="1" t="s">
        <v>615</v>
      </c>
      <c r="D2887" s="1" t="s">
        <v>616</v>
      </c>
      <c r="E2887" s="1" t="s">
        <v>617</v>
      </c>
      <c r="F2887" s="1" t="s">
        <v>618</v>
      </c>
      <c r="G2887" s="1" t="s">
        <v>400</v>
      </c>
      <c r="H2887" s="1" t="s">
        <v>619</v>
      </c>
      <c r="I2887" s="1" t="s">
        <v>613</v>
      </c>
    </row>
    <row r="2888" spans="1:9" x14ac:dyDescent="0.25">
      <c r="A2888" s="1">
        <v>-141.555516719818</v>
      </c>
      <c r="B2888">
        <v>-112.765401845017</v>
      </c>
      <c r="C2888">
        <v>3.1781732083230301E-3</v>
      </c>
      <c r="D2888">
        <v>0</v>
      </c>
      <c r="E2888">
        <v>0</v>
      </c>
      <c r="F2888">
        <v>0</v>
      </c>
      <c r="G2888" s="1">
        <v>5.8917794801382999E-8</v>
      </c>
      <c r="H2888">
        <v>6.90032228003538E-2</v>
      </c>
      <c r="I2888">
        <v>0</v>
      </c>
    </row>
    <row r="2889" spans="1:9" x14ac:dyDescent="0.25">
      <c r="A2889" s="1">
        <v>-128.95890593528699</v>
      </c>
      <c r="B2889">
        <v>-102.760158881881</v>
      </c>
      <c r="C2889">
        <v>3.2542247739015401E-3</v>
      </c>
      <c r="D2889">
        <v>0</v>
      </c>
      <c r="E2889">
        <v>0</v>
      </c>
      <c r="F2889">
        <v>0</v>
      </c>
      <c r="G2889" s="1">
        <v>9.37784266052954E-8</v>
      </c>
      <c r="H2889">
        <v>0.37602706778324302</v>
      </c>
      <c r="I2889">
        <v>0</v>
      </c>
    </row>
    <row r="2890" spans="1:9" x14ac:dyDescent="0.25">
      <c r="A2890" s="1">
        <v>-117.402367591857</v>
      </c>
      <c r="B2890">
        <v>-93.575986788013495</v>
      </c>
      <c r="C2890">
        <v>3.4217741678155699E-3</v>
      </c>
      <c r="D2890">
        <v>0</v>
      </c>
      <c r="E2890">
        <v>0</v>
      </c>
      <c r="F2890">
        <v>0</v>
      </c>
      <c r="G2890" s="1">
        <v>1.6108258676639199E-7</v>
      </c>
      <c r="H2890">
        <v>0.58659681552164999</v>
      </c>
      <c r="I2890">
        <v>0</v>
      </c>
    </row>
    <row r="2891" spans="1:9" x14ac:dyDescent="0.25">
      <c r="A2891" s="1">
        <v>-106.80001378059301</v>
      </c>
      <c r="B2891">
        <v>-85.145895701983505</v>
      </c>
      <c r="C2891">
        <v>3.7140007605156902E-3</v>
      </c>
      <c r="D2891">
        <v>0</v>
      </c>
      <c r="E2891">
        <v>0</v>
      </c>
      <c r="F2891">
        <v>0</v>
      </c>
      <c r="G2891" s="1">
        <v>2.6419531581778299E-7</v>
      </c>
      <c r="H2891">
        <v>0.69386718958874305</v>
      </c>
      <c r="I2891">
        <v>0</v>
      </c>
    </row>
    <row r="2892" spans="1:9" x14ac:dyDescent="0.25">
      <c r="A2892" s="1">
        <v>-97.073161005973802</v>
      </c>
      <c r="B2892">
        <v>-77.408278353848999</v>
      </c>
      <c r="C2892">
        <v>4.1719266493384097E-3</v>
      </c>
      <c r="D2892">
        <v>0</v>
      </c>
      <c r="E2892">
        <v>0</v>
      </c>
      <c r="F2892">
        <v>0</v>
      </c>
      <c r="G2892" s="1">
        <v>4.13552330944311E-7</v>
      </c>
      <c r="H2892">
        <v>0.74865822538811799</v>
      </c>
      <c r="I2892">
        <v>0</v>
      </c>
    </row>
    <row r="2893" spans="1:9" x14ac:dyDescent="0.25">
      <c r="A2893" s="1">
        <v>-88.149435520172105</v>
      </c>
      <c r="B2893">
        <v>-70.306538131424801</v>
      </c>
      <c r="C2893">
        <v>4.8415977812187897E-3</v>
      </c>
      <c r="D2893">
        <v>0</v>
      </c>
      <c r="E2893">
        <v>0</v>
      </c>
      <c r="F2893">
        <v>0</v>
      </c>
      <c r="G2893" s="1">
        <v>6.2764477036680795E-7</v>
      </c>
      <c r="H2893">
        <v>0.77827509079103396</v>
      </c>
      <c r="I2893">
        <v>0</v>
      </c>
    </row>
    <row r="2894" spans="1:9" x14ac:dyDescent="0.25">
      <c r="A2894" s="1">
        <v>-79.962490797042804</v>
      </c>
      <c r="B2894">
        <v>-63.788641924002697</v>
      </c>
      <c r="C2894">
        <v>5.7745662467227604E-3</v>
      </c>
      <c r="D2894">
        <v>0</v>
      </c>
      <c r="E2894">
        <v>0</v>
      </c>
      <c r="F2894">
        <v>0</v>
      </c>
      <c r="G2894" s="1">
        <v>9.3463349017186495E-7</v>
      </c>
      <c r="H2894">
        <v>0.79569549020780705</v>
      </c>
      <c r="I2894">
        <v>0</v>
      </c>
    </row>
    <row r="2895" spans="1:9" x14ac:dyDescent="0.25">
      <c r="A2895" s="1">
        <v>-72.451583743095298</v>
      </c>
      <c r="B2895">
        <v>-57.8067857998997</v>
      </c>
      <c r="C2895">
        <v>7.0296495634929101E-3</v>
      </c>
      <c r="D2895">
        <v>0</v>
      </c>
      <c r="E2895">
        <v>0</v>
      </c>
      <c r="F2895">
        <v>0</v>
      </c>
      <c r="G2895" s="1">
        <v>1.37507659583002E-6</v>
      </c>
      <c r="H2895">
        <v>0.80723696480421303</v>
      </c>
      <c r="I2895">
        <v>0</v>
      </c>
    </row>
    <row r="2896" spans="1:9" x14ac:dyDescent="0.25">
      <c r="A2896" s="1">
        <v>-65.560821294784503</v>
      </c>
      <c r="B2896">
        <v>-52.317048146912398</v>
      </c>
      <c r="C2896">
        <v>8.67506635022826E-3</v>
      </c>
      <c r="D2896">
        <v>0</v>
      </c>
      <c r="E2896">
        <v>0</v>
      </c>
      <c r="F2896">
        <v>0</v>
      </c>
      <c r="G2896" s="1">
        <v>2.0062114710110899E-6</v>
      </c>
      <c r="H2896">
        <v>0.81603304047884095</v>
      </c>
      <c r="I2896">
        <v>0</v>
      </c>
    </row>
    <row r="2897" spans="1:9" x14ac:dyDescent="0.25">
      <c r="A2897" s="1">
        <v>-59.238972067832897</v>
      </c>
      <c r="B2897">
        <v>-47.2790762450188</v>
      </c>
      <c r="C2897">
        <v>1.0790710317898E-2</v>
      </c>
      <c r="D2897">
        <v>0</v>
      </c>
      <c r="E2897">
        <v>0</v>
      </c>
      <c r="F2897">
        <v>0</v>
      </c>
      <c r="G2897" s="1">
        <v>2.9082079090008099E-6</v>
      </c>
      <c r="H2897">
        <v>0.82362057035152603</v>
      </c>
      <c r="I2897">
        <v>0</v>
      </c>
    </row>
    <row r="2898" spans="1:9" x14ac:dyDescent="0.25">
      <c r="A2898" s="1">
        <v>-53.439136743545497</v>
      </c>
      <c r="B2898">
        <v>-42.655810450354203</v>
      </c>
      <c r="C2898">
        <v>1.34705203844475E-2</v>
      </c>
      <c r="D2898">
        <v>0</v>
      </c>
      <c r="E2898">
        <v>0</v>
      </c>
      <c r="F2898">
        <v>0</v>
      </c>
      <c r="G2898" s="1">
        <v>4.1929186150131396E-6</v>
      </c>
      <c r="H2898">
        <v>0.83071631822943903</v>
      </c>
      <c r="I2898">
        <v>0</v>
      </c>
    </row>
    <row r="2899" spans="1:9" x14ac:dyDescent="0.25">
      <c r="A2899" s="1">
        <v>-48.118183016777003</v>
      </c>
      <c r="B2899">
        <v>-38.413210468703497</v>
      </c>
      <c r="C2899">
        <v>1.6824998886744099E-2</v>
      </c>
      <c r="D2899">
        <v>0</v>
      </c>
      <c r="E2899">
        <v>0</v>
      </c>
      <c r="F2899">
        <v>0</v>
      </c>
      <c r="G2899" s="1">
        <v>6.0159521548967999E-6</v>
      </c>
      <c r="H2899">
        <v>0.83761994787657901</v>
      </c>
      <c r="I2899">
        <v>0</v>
      </c>
    </row>
    <row r="2900" spans="1:9" x14ac:dyDescent="0.25">
      <c r="A2900" s="1">
        <v>-43.236604332923797</v>
      </c>
      <c r="B2900">
        <v>-34.520015061238396</v>
      </c>
      <c r="C2900">
        <v>2.0983917009790101E-2</v>
      </c>
      <c r="D2900">
        <v>0</v>
      </c>
      <c r="E2900">
        <v>0</v>
      </c>
      <c r="F2900">
        <v>0</v>
      </c>
      <c r="G2900" s="1">
        <v>8.59332715872618E-6</v>
      </c>
      <c r="H2900">
        <v>0.84442972113873305</v>
      </c>
      <c r="I2900">
        <v>0</v>
      </c>
    </row>
    <row r="2901" spans="1:9" x14ac:dyDescent="0.25">
      <c r="A2901" s="1">
        <v>-38.758049011230398</v>
      </c>
      <c r="B2901">
        <v>-30.947520555892499</v>
      </c>
      <c r="C2901">
        <v>2.60993029978361E-2</v>
      </c>
      <c r="D2901">
        <v>0</v>
      </c>
      <c r="E2901">
        <v>0</v>
      </c>
      <c r="F2901">
        <v>0</v>
      </c>
      <c r="G2901" s="1">
        <v>1.2224545747518E-5</v>
      </c>
      <c r="H2901">
        <v>0.85115798381160601</v>
      </c>
      <c r="I2901">
        <v>0</v>
      </c>
    </row>
    <row r="2902" spans="1:9" x14ac:dyDescent="0.25">
      <c r="A2902" s="1">
        <v>-34.649320244789102</v>
      </c>
      <c r="B2902">
        <v>-27.669365627282801</v>
      </c>
      <c r="C2902">
        <v>3.2348829948614703E-2</v>
      </c>
      <c r="D2902">
        <v>0</v>
      </c>
      <c r="E2902">
        <v>0</v>
      </c>
      <c r="F2902">
        <v>0</v>
      </c>
      <c r="G2902" s="1">
        <v>1.7324779946093799E-5</v>
      </c>
      <c r="H2902">
        <v>0.85779058155340204</v>
      </c>
      <c r="I2902">
        <v>0</v>
      </c>
    </row>
    <row r="2903" spans="1:9" x14ac:dyDescent="0.25">
      <c r="A2903" s="1">
        <v>-30.879811048507602</v>
      </c>
      <c r="B2903">
        <v>-24.661351598390901</v>
      </c>
      <c r="C2903">
        <v>3.99397669359461E-2</v>
      </c>
      <c r="D2903">
        <v>0</v>
      </c>
      <c r="E2903">
        <v>0</v>
      </c>
      <c r="F2903">
        <v>0</v>
      </c>
      <c r="G2903" s="1">
        <v>2.4470367829373102E-5</v>
      </c>
      <c r="H2903">
        <v>0.86431628378437697</v>
      </c>
      <c r="I2903">
        <v>0</v>
      </c>
    </row>
    <row r="2904" spans="1:9" x14ac:dyDescent="0.25">
      <c r="A2904" s="1">
        <v>-27.4215984344482</v>
      </c>
      <c r="B2904">
        <v>-21.901254384183801</v>
      </c>
      <c r="C2904">
        <v>4.91136678242588E-2</v>
      </c>
      <c r="D2904">
        <v>0</v>
      </c>
      <c r="E2904">
        <v>0</v>
      </c>
      <c r="F2904">
        <v>0</v>
      </c>
      <c r="G2904" s="1">
        <v>3.4464567297519E-5</v>
      </c>
      <c r="H2904">
        <v>0.87074104584238399</v>
      </c>
      <c r="I2904">
        <v>0</v>
      </c>
    </row>
    <row r="2905" spans="1:9" x14ac:dyDescent="0.25">
      <c r="A2905" s="1">
        <v>-24.248878359794599</v>
      </c>
      <c r="B2905">
        <v>-19.368677180783401</v>
      </c>
      <c r="C2905">
        <v>6.01522035055779E-2</v>
      </c>
      <c r="D2905">
        <v>0</v>
      </c>
      <c r="E2905">
        <v>0</v>
      </c>
      <c r="F2905">
        <v>0</v>
      </c>
      <c r="G2905" s="1">
        <v>4.8435736182227598E-5</v>
      </c>
      <c r="H2905">
        <v>0.87709511945734497</v>
      </c>
      <c r="I2905">
        <v>0</v>
      </c>
    </row>
    <row r="2906" spans="1:9" x14ac:dyDescent="0.25">
      <c r="A2906" s="1">
        <v>-21.3381540775299</v>
      </c>
      <c r="B2906">
        <v>-17.044894796574098</v>
      </c>
      <c r="C2906">
        <v>7.3384791422270806E-2</v>
      </c>
      <c r="D2906">
        <v>0</v>
      </c>
      <c r="E2906">
        <v>0</v>
      </c>
      <c r="F2906">
        <v>0</v>
      </c>
      <c r="G2906" s="1">
        <v>6.7989555985135998E-5</v>
      </c>
      <c r="H2906">
        <v>0.88343634335542198</v>
      </c>
      <c r="I2906">
        <v>0</v>
      </c>
    </row>
    <row r="2907" spans="1:9" x14ac:dyDescent="0.25">
      <c r="A2907" s="1">
        <v>-18.6677181720733</v>
      </c>
      <c r="B2907">
        <v>-14.9127157441914</v>
      </c>
      <c r="C2907">
        <v>8.9199175857452503E-2</v>
      </c>
      <c r="D2907">
        <v>0</v>
      </c>
      <c r="E2907">
        <v>0</v>
      </c>
      <c r="F2907">
        <v>0</v>
      </c>
      <c r="G2907" s="1">
        <v>9.5455036280526394E-5</v>
      </c>
      <c r="H2907">
        <v>0.88985088754523201</v>
      </c>
      <c r="I2907">
        <v>0</v>
      </c>
    </row>
    <row r="2908" spans="1:9" x14ac:dyDescent="0.25">
      <c r="A2908" s="1">
        <v>-16.2178409099578</v>
      </c>
      <c r="B2908">
        <v>-12.9563631381482</v>
      </c>
      <c r="C2908">
        <v>0.108056986528102</v>
      </c>
      <c r="D2908">
        <v>0</v>
      </c>
      <c r="E2908">
        <v>0</v>
      </c>
      <c r="F2908">
        <v>0</v>
      </c>
      <c r="G2908">
        <v>1.3429800166312499E-4</v>
      </c>
      <c r="H2908">
        <v>0.896450670171833</v>
      </c>
      <c r="I2908">
        <v>0</v>
      </c>
    </row>
    <row r="2909" spans="1:9" x14ac:dyDescent="0.25">
      <c r="A2909" s="1">
        <v>-13.9702051877975</v>
      </c>
      <c r="B2909">
        <v>-11.161352980566701</v>
      </c>
      <c r="C2909">
        <v>0.13051755038590801</v>
      </c>
      <c r="D2909">
        <v>0</v>
      </c>
      <c r="E2909">
        <v>0</v>
      </c>
      <c r="F2909">
        <v>0</v>
      </c>
      <c r="G2909">
        <v>1.8983991650560399E-4</v>
      </c>
      <c r="H2909">
        <v>0.90336501434483796</v>
      </c>
      <c r="I2909">
        <v>0</v>
      </c>
    </row>
    <row r="2910" spans="1:9" x14ac:dyDescent="0.25">
      <c r="A2910" s="1">
        <v>-11.908189058303799</v>
      </c>
      <c r="B2910">
        <v>-9.5143928196855008</v>
      </c>
      <c r="C2910">
        <v>0.15727520094472899</v>
      </c>
      <c r="D2910">
        <v>0</v>
      </c>
      <c r="E2910">
        <v>0</v>
      </c>
      <c r="F2910">
        <v>0</v>
      </c>
      <c r="G2910">
        <v>2.7053894544695799E-4</v>
      </c>
      <c r="H2910">
        <v>0.91072172796179696</v>
      </c>
      <c r="I2910">
        <v>0</v>
      </c>
    </row>
    <row r="2911" spans="1:9" x14ac:dyDescent="0.25">
      <c r="A2911" s="1">
        <v>-10.016394853591899</v>
      </c>
      <c r="B2911">
        <v>-8.0032830202594507</v>
      </c>
      <c r="C2911">
        <v>0.18921867365690101</v>
      </c>
      <c r="D2911">
        <v>0</v>
      </c>
      <c r="E2911">
        <v>0</v>
      </c>
      <c r="F2911">
        <v>0</v>
      </c>
      <c r="G2911">
        <v>3.9031595632798102E-4</v>
      </c>
      <c r="H2911">
        <v>0.91861464323890396</v>
      </c>
      <c r="I2911">
        <v>0</v>
      </c>
    </row>
    <row r="2912" spans="1:9" x14ac:dyDescent="0.25">
      <c r="A2912" s="1">
        <v>-8.2808375358581507</v>
      </c>
      <c r="B2912">
        <v>-6.6168275673748997</v>
      </c>
      <c r="C2912">
        <v>0.22752596862264701</v>
      </c>
      <c r="D2912">
        <v>0</v>
      </c>
      <c r="E2912">
        <v>0</v>
      </c>
      <c r="F2912">
        <v>0</v>
      </c>
      <c r="G2912">
        <v>5.7284922855615095E-4</v>
      </c>
      <c r="H2912">
        <v>0.92706038569424698</v>
      </c>
      <c r="I2912">
        <v>0</v>
      </c>
    </row>
    <row r="2913" spans="1:9" x14ac:dyDescent="0.25">
      <c r="A2913" s="1">
        <v>-6.6885209083557102</v>
      </c>
      <c r="B2913">
        <v>-5.34475160405335</v>
      </c>
      <c r="C2913">
        <v>0.27381677115230901</v>
      </c>
      <c r="D2913">
        <v>0</v>
      </c>
      <c r="E2913">
        <v>0</v>
      </c>
      <c r="F2913">
        <v>0</v>
      </c>
      <c r="G2913">
        <v>8.5967501201616797E-4</v>
      </c>
      <c r="H2913">
        <v>0.93595924631845695</v>
      </c>
      <c r="I2913">
        <v>0</v>
      </c>
    </row>
    <row r="2914" spans="1:9" x14ac:dyDescent="0.25">
      <c r="A2914" s="1">
        <v>-5.2277201414108196</v>
      </c>
      <c r="B2914">
        <v>-4.1776259719967896</v>
      </c>
      <c r="C2914">
        <v>0.33039967244593099</v>
      </c>
      <c r="D2914">
        <v>0</v>
      </c>
      <c r="E2914">
        <v>0</v>
      </c>
      <c r="F2914">
        <v>0</v>
      </c>
      <c r="G2914">
        <v>1.32594381263993E-3</v>
      </c>
      <c r="H2914">
        <v>0.94508376297169105</v>
      </c>
      <c r="I2914">
        <v>0</v>
      </c>
    </row>
    <row r="2915" spans="1:9" x14ac:dyDescent="0.25">
      <c r="A2915" s="1">
        <v>-3.88755798339843</v>
      </c>
      <c r="B2915">
        <v>-3.1067976862300299</v>
      </c>
      <c r="C2915">
        <v>0.40068023393549601</v>
      </c>
      <c r="D2915">
        <v>0</v>
      </c>
      <c r="E2915">
        <v>0</v>
      </c>
      <c r="F2915">
        <v>0</v>
      </c>
      <c r="G2915">
        <v>2.1124101238519802E-3</v>
      </c>
      <c r="H2915">
        <v>0.95411219603590502</v>
      </c>
      <c r="I2915">
        <v>0</v>
      </c>
    </row>
    <row r="2916" spans="1:9" x14ac:dyDescent="0.25">
      <c r="A2916" s="1">
        <v>-2.6580518484115601</v>
      </c>
      <c r="B2916">
        <v>-2.12432638445088</v>
      </c>
      <c r="C2916">
        <v>0.48985794072279099</v>
      </c>
      <c r="D2916">
        <v>0</v>
      </c>
      <c r="E2916">
        <v>0</v>
      </c>
      <c r="F2916">
        <v>0</v>
      </c>
      <c r="G2916">
        <v>3.49404621014764E-3</v>
      </c>
      <c r="H2916">
        <v>0.96269928662314597</v>
      </c>
      <c r="I2916">
        <v>0</v>
      </c>
    </row>
    <row r="2917" spans="1:9" x14ac:dyDescent="0.25">
      <c r="A2917" s="1">
        <v>-1.5300196409225399</v>
      </c>
      <c r="B2917">
        <v>-1.2229259267091801</v>
      </c>
      <c r="C2917">
        <v>0.60617337482696698</v>
      </c>
      <c r="D2917">
        <v>0</v>
      </c>
      <c r="E2917">
        <v>0</v>
      </c>
      <c r="F2917">
        <v>0</v>
      </c>
      <c r="G2917">
        <v>6.0369227299906904E-3</v>
      </c>
      <c r="H2917">
        <v>0.97054991055721695</v>
      </c>
      <c r="I2917">
        <v>0</v>
      </c>
    </row>
    <row r="2918" spans="1:9" x14ac:dyDescent="0.25">
      <c r="A2918" s="1">
        <v>-0.49517393112182601</v>
      </c>
      <c r="B2918">
        <v>-0.395910386332882</v>
      </c>
      <c r="C2918">
        <v>0.76327274578603599</v>
      </c>
      <c r="D2918">
        <v>0</v>
      </c>
      <c r="E2918">
        <v>0</v>
      </c>
      <c r="F2918">
        <v>0</v>
      </c>
      <c r="G2918">
        <v>1.10981269529293E-2</v>
      </c>
      <c r="H2918">
        <v>0.97769500753743499</v>
      </c>
      <c r="I2918">
        <v>0</v>
      </c>
    </row>
    <row r="2919" spans="1:9" x14ac:dyDescent="0.25">
      <c r="A2919" s="1">
        <v>0.49376130104064903</v>
      </c>
      <c r="B2919">
        <v>0.35275198587997397</v>
      </c>
      <c r="C2919">
        <v>0.98241563713671398</v>
      </c>
      <c r="D2919">
        <v>0.14068419173347599</v>
      </c>
      <c r="E2919">
        <v>-2.2441586632624501E-4</v>
      </c>
      <c r="F2919" s="1">
        <v>1.29092817858979E-5</v>
      </c>
      <c r="G2919">
        <v>6.7877631148638706E-2</v>
      </c>
      <c r="H2919">
        <v>0.97395995651513001</v>
      </c>
      <c r="I2919" s="1">
        <v>8.3348251722534596E-7</v>
      </c>
    </row>
    <row r="2920" spans="1:9" x14ac:dyDescent="0.25">
      <c r="A2920" s="1">
        <v>1.5257111191749499</v>
      </c>
      <c r="B2920">
        <v>1.0894644199296699</v>
      </c>
      <c r="C2920">
        <v>1.30213235034608</v>
      </c>
      <c r="D2920">
        <v>0.56140027768902201</v>
      </c>
      <c r="E2920">
        <v>-2.5393677058934698E-3</v>
      </c>
      <c r="F2920">
        <v>1.0429657261852199E-4</v>
      </c>
      <c r="G2920">
        <v>7.9186962197330804E-2</v>
      </c>
      <c r="H2920">
        <v>0.967270121459192</v>
      </c>
      <c r="I2920" s="1">
        <v>2.5036197199070599E-5</v>
      </c>
    </row>
    <row r="2921" spans="1:9" x14ac:dyDescent="0.25">
      <c r="A2921" s="1">
        <v>2.6505178213119498</v>
      </c>
      <c r="B2921">
        <v>1.88751509882359</v>
      </c>
      <c r="C2921">
        <v>1.7801528484561699</v>
      </c>
      <c r="D2921">
        <v>1.2173664680715199</v>
      </c>
      <c r="E2921">
        <v>-1.1490568326608001E-2</v>
      </c>
      <c r="F2921">
        <v>2.9586818589715002E-4</v>
      </c>
      <c r="G2921">
        <v>8.8942079325027096E-2</v>
      </c>
      <c r="H2921">
        <v>0.95631024821940402</v>
      </c>
      <c r="I2921">
        <v>1.2504560802259501E-4</v>
      </c>
    </row>
    <row r="2922" spans="1:9" x14ac:dyDescent="0.25">
      <c r="A2922" s="1">
        <v>3.8765159249305698</v>
      </c>
      <c r="B2922">
        <v>2.74358952887206</v>
      </c>
      <c r="C2922">
        <v>2.4478175030362999</v>
      </c>
      <c r="D2922">
        <v>2.1401826013563299</v>
      </c>
      <c r="E2922">
        <v>-3.2115514840658499E-2</v>
      </c>
      <c r="F2922">
        <v>5.8521213172570098E-4</v>
      </c>
      <c r="G2922">
        <v>9.5706073769592406E-2</v>
      </c>
      <c r="H2922">
        <v>0.93967492298418398</v>
      </c>
      <c r="I2922">
        <v>2.9885138407848E-4</v>
      </c>
    </row>
    <row r="2923" spans="1:9" x14ac:dyDescent="0.25">
      <c r="A2923" s="1">
        <v>5.2129346132278398</v>
      </c>
      <c r="B2923">
        <v>3.6473780414446999</v>
      </c>
      <c r="C2923">
        <v>3.3034090746089499</v>
      </c>
      <c r="D2923">
        <v>3.3020631405210201</v>
      </c>
      <c r="E2923">
        <v>-6.96829905341637E-2</v>
      </c>
      <c r="F2923">
        <v>9.3376224794297603E-4</v>
      </c>
      <c r="G2923">
        <v>9.8030365710298606E-2</v>
      </c>
      <c r="H2923">
        <v>0.91532215819436602</v>
      </c>
      <c r="I2923">
        <v>5.8027964475523201E-4</v>
      </c>
    </row>
    <row r="2924" spans="1:9" x14ac:dyDescent="0.25">
      <c r="A2924" s="1">
        <v>6.6695916652679399</v>
      </c>
      <c r="B2924">
        <v>4.5800823118895098</v>
      </c>
      <c r="C2924">
        <v>4.28840207317094</v>
      </c>
      <c r="D2924">
        <v>4.5867106971117897</v>
      </c>
      <c r="E2924">
        <v>-0.12703916544921701</v>
      </c>
      <c r="F2924">
        <v>1.2635904150276899E-3</v>
      </c>
      <c r="G2924">
        <v>9.6889209787039701E-2</v>
      </c>
      <c r="H2924">
        <v>0.88260029119758798</v>
      </c>
      <c r="I2924">
        <v>1.3453524376834901E-3</v>
      </c>
    </row>
    <row r="2925" spans="1:9" x14ac:dyDescent="0.25">
      <c r="A2925" s="1">
        <v>8.2573878765106201</v>
      </c>
      <c r="B2925">
        <v>5.5155113103225704</v>
      </c>
      <c r="C2925">
        <v>5.2868777550922603</v>
      </c>
      <c r="D2925">
        <v>5.8084340851998402</v>
      </c>
      <c r="E2925">
        <v>-0.20246400078260199</v>
      </c>
      <c r="F2925">
        <v>1.4828306951543699E-3</v>
      </c>
      <c r="G2925">
        <v>9.5572961919968696E-2</v>
      </c>
      <c r="H2925">
        <v>0.84499573895744995</v>
      </c>
      <c r="I2925">
        <v>3.61007815369326E-3</v>
      </c>
    </row>
    <row r="2926" spans="1:9" x14ac:dyDescent="0.25">
      <c r="A2926" s="1">
        <v>9.9880245327949506</v>
      </c>
      <c r="B2926">
        <v>6.4245298797622201</v>
      </c>
      <c r="C2926">
        <v>6.1621047719146302</v>
      </c>
      <c r="D2926">
        <v>6.7840012795926397</v>
      </c>
      <c r="E2926">
        <v>-0.28958916141770302</v>
      </c>
      <c r="F2926">
        <v>1.5176967565527901E-3</v>
      </c>
      <c r="G2926">
        <v>9.6999405357395999E-2</v>
      </c>
      <c r="H2926">
        <v>0.80928652928053602</v>
      </c>
      <c r="I2926">
        <v>7.6495158452794801E-3</v>
      </c>
    </row>
    <row r="2927" spans="1:9" x14ac:dyDescent="0.25">
      <c r="A2927" s="1">
        <v>11.874474287032999</v>
      </c>
      <c r="B2927">
        <v>7.2815790687113804</v>
      </c>
      <c r="C2927">
        <v>6.8099694535936903</v>
      </c>
      <c r="D2927">
        <v>7.4061633342928799</v>
      </c>
      <c r="E2927">
        <v>-0.37996260636201401</v>
      </c>
      <c r="F2927">
        <v>1.3600730423466399E-3</v>
      </c>
      <c r="G2927">
        <v>0.10109580749826801</v>
      </c>
      <c r="H2927">
        <v>0.77937472653000395</v>
      </c>
      <c r="I2927">
        <v>1.08226108639752E-2</v>
      </c>
    </row>
    <row r="2928" spans="1:9" x14ac:dyDescent="0.25">
      <c r="A2928" s="1">
        <v>13.9306750893592</v>
      </c>
      <c r="B2928">
        <v>8.0697348477676307</v>
      </c>
      <c r="C2928">
        <v>7.1890880884515997</v>
      </c>
      <c r="D2928">
        <v>7.66436960428062</v>
      </c>
      <c r="E2928">
        <v>-0.46621105696852899</v>
      </c>
      <c r="F2928">
        <v>1.07951944841788E-3</v>
      </c>
      <c r="G2928">
        <v>0.105439162083221</v>
      </c>
      <c r="H2928">
        <v>0.75414207693883695</v>
      </c>
      <c r="I2928">
        <v>1.02781624394586E-2</v>
      </c>
    </row>
    <row r="2929" spans="1:9" x14ac:dyDescent="0.25">
      <c r="A2929" s="1">
        <v>16.171883344650201</v>
      </c>
      <c r="B2929">
        <v>8.7818228660508808</v>
      </c>
      <c r="C2929">
        <v>7.3140718764684403</v>
      </c>
      <c r="D2929">
        <v>7.6150800797295997</v>
      </c>
      <c r="E2929">
        <v>-0.54361787842176701</v>
      </c>
      <c r="F2929">
        <v>7.9601492334465795E-4</v>
      </c>
      <c r="G2929">
        <v>0.107681010559099</v>
      </c>
      <c r="H2929">
        <v>0.73098742086656199</v>
      </c>
      <c r="I2929">
        <v>6.2224614458805099E-3</v>
      </c>
    </row>
    <row r="2930" spans="1:9" x14ac:dyDescent="0.25">
      <c r="A2930" s="1">
        <v>18.614838719367899</v>
      </c>
      <c r="B2930">
        <v>9.4183560995742504</v>
      </c>
      <c r="C2930">
        <v>7.2307751032780097</v>
      </c>
      <c r="D2930">
        <v>7.3399748168215098</v>
      </c>
      <c r="E2930">
        <v>-0.61005806568865195</v>
      </c>
      <c r="F2930">
        <v>6.3538352208657395E-4</v>
      </c>
      <c r="G2930">
        <v>0.10687760813109699</v>
      </c>
      <c r="H2930">
        <v>0.70823501376490094</v>
      </c>
      <c r="I2930">
        <v>7.2610061301706E-4</v>
      </c>
    </row>
    <row r="2931" spans="1:9" x14ac:dyDescent="0.25">
      <c r="A2931" s="1">
        <v>21.2777170538902</v>
      </c>
      <c r="B2931">
        <v>9.9844914721682496</v>
      </c>
      <c r="C2931">
        <v>6.9940590134866403</v>
      </c>
      <c r="D2931">
        <v>6.9178434741712502</v>
      </c>
      <c r="E2931">
        <v>-0.66522055175977401</v>
      </c>
      <c r="F2931">
        <v>6.8864162564626801E-4</v>
      </c>
      <c r="G2931">
        <v>0.10332853774008301</v>
      </c>
      <c r="H2931">
        <v>0.68531130603938895</v>
      </c>
      <c r="I2931">
        <v>-4.4504841743071904E-3</v>
      </c>
    </row>
    <row r="2932" spans="1:9" x14ac:dyDescent="0.25">
      <c r="A2932" s="1">
        <v>24.180224537849401</v>
      </c>
      <c r="B2932">
        <v>10.487546466512899</v>
      </c>
      <c r="C2932">
        <v>6.65504048849097</v>
      </c>
      <c r="D2932">
        <v>6.4127258139988799</v>
      </c>
      <c r="E2932">
        <v>-0.70980791712537405</v>
      </c>
      <c r="F2932">
        <v>9.9085984395557206E-4</v>
      </c>
      <c r="G2932">
        <v>9.7869419824681197E-2</v>
      </c>
      <c r="H2932">
        <v>0.66226359508775101</v>
      </c>
      <c r="I2932">
        <v>-8.5099459131023607E-3</v>
      </c>
    </row>
    <row r="2933" spans="1:9" x14ac:dyDescent="0.25">
      <c r="A2933" s="1">
        <v>27.343950867652801</v>
      </c>
      <c r="B2933">
        <v>10.935472733190601</v>
      </c>
      <c r="C2933">
        <v>6.2560595032919899</v>
      </c>
      <c r="D2933">
        <v>5.8720197034031596</v>
      </c>
      <c r="E2933">
        <v>-0.74495989318163902</v>
      </c>
      <c r="F2933">
        <v>1.46990791110737E-3</v>
      </c>
      <c r="G2933">
        <v>9.1312493027582098E-2</v>
      </c>
      <c r="H2933">
        <v>0.63941984247005001</v>
      </c>
      <c r="I2933">
        <v>-1.1311263912338301E-2</v>
      </c>
    </row>
    <row r="2934" spans="1:9" x14ac:dyDescent="0.25">
      <c r="A2934" s="1">
        <v>30.7923927903175</v>
      </c>
      <c r="B2934">
        <v>11.3360965518638</v>
      </c>
      <c r="C2934">
        <v>5.8297846683417598</v>
      </c>
      <c r="D2934">
        <v>5.3289775591519604</v>
      </c>
      <c r="E2934">
        <v>-0.77192180722243497</v>
      </c>
      <c r="F2934">
        <v>2.0338421423823499E-3</v>
      </c>
      <c r="G2934">
        <v>8.4235091606577703E-2</v>
      </c>
      <c r="H2934">
        <v>0.61721174386676703</v>
      </c>
      <c r="I2934">
        <v>-1.2975981344906899E-2</v>
      </c>
    </row>
    <row r="2935" spans="1:9" x14ac:dyDescent="0.25">
      <c r="A2935" s="1">
        <v>34.551213085651298</v>
      </c>
      <c r="B2935">
        <v>11.6967489870622</v>
      </c>
      <c r="C2935">
        <v>5.3999875109774003</v>
      </c>
      <c r="D2935">
        <v>4.8055359287285402</v>
      </c>
      <c r="E2935">
        <v>-0.79188689515570099</v>
      </c>
      <c r="F2935">
        <v>2.6325256063516899E-3</v>
      </c>
      <c r="G2935">
        <v>7.6984509594839295E-2</v>
      </c>
      <c r="H2935">
        <v>0.59607350110884805</v>
      </c>
      <c r="I2935">
        <v>-1.36958201788661E-2</v>
      </c>
    </row>
    <row r="2936" spans="1:9" x14ac:dyDescent="0.25">
      <c r="A2936" s="1">
        <v>38.6483111977577</v>
      </c>
      <c r="B2936">
        <v>12.0240652947112</v>
      </c>
      <c r="C2936">
        <v>4.9828266495068201</v>
      </c>
      <c r="D2936">
        <v>4.3152555695249699</v>
      </c>
      <c r="E2936">
        <v>-0.80589367952467295</v>
      </c>
      <c r="F2936">
        <v>3.1338966637472201E-3</v>
      </c>
      <c r="G2936">
        <v>6.97737893307772E-2</v>
      </c>
      <c r="H2936">
        <v>0.57642547094850805</v>
      </c>
      <c r="I2936">
        <v>-1.3669592077316601E-2</v>
      </c>
    </row>
    <row r="2937" spans="1:9" x14ac:dyDescent="0.25">
      <c r="A2937" s="1">
        <v>43.1141293048858</v>
      </c>
      <c r="B2937">
        <v>12.323943131825301</v>
      </c>
      <c r="C2937">
        <v>4.5884481465199496</v>
      </c>
      <c r="D2937">
        <v>3.8657511818715902</v>
      </c>
      <c r="E2937">
        <v>-0.81479554854838399</v>
      </c>
      <c r="F2937">
        <v>3.49015107401577E-3</v>
      </c>
      <c r="G2937">
        <v>6.2745266046460302E-2</v>
      </c>
      <c r="H2937">
        <v>0.55855803983916996</v>
      </c>
      <c r="I2937">
        <v>-1.3084986018372199E-2</v>
      </c>
    </row>
    <row r="2938" spans="1:9" x14ac:dyDescent="0.25">
      <c r="A2938" s="1">
        <v>47.981887757778097</v>
      </c>
      <c r="B2938">
        <v>12.601447483560399</v>
      </c>
      <c r="C2938">
        <v>4.2225629713964503</v>
      </c>
      <c r="D2938">
        <v>3.4604779408123099</v>
      </c>
      <c r="E2938">
        <v>-0.81930623131028502</v>
      </c>
      <c r="F2938">
        <v>3.64392321080177E-3</v>
      </c>
      <c r="G2938">
        <v>5.5997478473274902E-2</v>
      </c>
      <c r="H2938">
        <v>0.54250054435520501</v>
      </c>
      <c r="I2938">
        <v>-1.2122673719839499E-2</v>
      </c>
    </row>
    <row r="2939" spans="1:9" x14ac:dyDescent="0.25">
      <c r="A2939" s="1">
        <v>53.287820518016801</v>
      </c>
      <c r="B2939">
        <v>12.860816931760199</v>
      </c>
      <c r="C2939">
        <v>3.8873952518475101</v>
      </c>
      <c r="D2939">
        <v>3.09953024865038</v>
      </c>
      <c r="E2939">
        <v>-0.81996660708234304</v>
      </c>
      <c r="F2939">
        <v>3.5391176276570999E-3</v>
      </c>
      <c r="G2939">
        <v>4.9632725829828202E-2</v>
      </c>
      <c r="H2939">
        <v>0.52824406294278503</v>
      </c>
      <c r="I2939">
        <v>-1.09463415162869E-2</v>
      </c>
    </row>
    <row r="2940" spans="1:9" x14ac:dyDescent="0.25">
      <c r="A2940" s="1">
        <v>59.071175158023799</v>
      </c>
      <c r="B2940">
        <v>13.1055973839372</v>
      </c>
      <c r="C2940">
        <v>3.5829449878731499</v>
      </c>
      <c r="D2940">
        <v>2.7808794574575901</v>
      </c>
      <c r="E2940">
        <v>-0.81719018046881697</v>
      </c>
      <c r="F2940">
        <v>3.1277453747697299E-3</v>
      </c>
      <c r="G2940">
        <v>4.3752504138402301E-2</v>
      </c>
      <c r="H2940">
        <v>0.51568797712026304</v>
      </c>
      <c r="I2940">
        <v>-9.7094500077854803E-3</v>
      </c>
    </row>
    <row r="2941" spans="1:9" x14ac:dyDescent="0.25">
      <c r="A2941" s="1">
        <v>65.375131070613804</v>
      </c>
      <c r="B2941">
        <v>13.3387120720356</v>
      </c>
      <c r="C2941">
        <v>3.3080816599072902</v>
      </c>
      <c r="D2941">
        <v>2.50157704152257</v>
      </c>
      <c r="E2941">
        <v>-0.81128577595899198</v>
      </c>
      <c r="F2941">
        <v>2.5006607331742401E-3</v>
      </c>
      <c r="G2941">
        <v>3.8408996026383903E-2</v>
      </c>
      <c r="H2941">
        <v>0.50443940654160102</v>
      </c>
      <c r="I2941">
        <v>-8.5120610211484003E-3</v>
      </c>
    </row>
    <row r="2942" spans="1:9" x14ac:dyDescent="0.25">
      <c r="A2942" s="1">
        <v>72.246375679969702</v>
      </c>
      <c r="B2942">
        <v>13.5625639386832</v>
      </c>
      <c r="C2942">
        <v>3.0603902881631702</v>
      </c>
      <c r="D2942">
        <v>2.2578065922882602</v>
      </c>
      <c r="E2942">
        <v>-0.802492489321039</v>
      </c>
      <c r="F2942">
        <v>1.7598620741140899E-3</v>
      </c>
      <c r="G2942">
        <v>3.3628611130342101E-2</v>
      </c>
      <c r="H2942">
        <v>0.49422405799333802</v>
      </c>
      <c r="I2942">
        <v>-7.4160399037768799E-3</v>
      </c>
    </row>
    <row r="2943" spans="1:9" x14ac:dyDescent="0.25">
      <c r="A2943" s="1">
        <v>79.736069738864799</v>
      </c>
      <c r="B2943">
        <v>13.779131754896</v>
      </c>
      <c r="C2943">
        <v>2.8366744580438601</v>
      </c>
      <c r="D2943">
        <v>2.04499030538397</v>
      </c>
      <c r="E2943">
        <v>-0.79094958761340095</v>
      </c>
      <c r="F2943">
        <v>1.0917678003426899E-3</v>
      </c>
      <c r="G2943">
        <v>2.9373742635870399E-2</v>
      </c>
      <c r="H2943">
        <v>0.48460032704183098</v>
      </c>
      <c r="I2943">
        <v>-6.4305435980822204E-3</v>
      </c>
    </row>
    <row r="2944" spans="1:9" x14ac:dyDescent="0.25">
      <c r="A2944" s="1">
        <v>87.899753153324099</v>
      </c>
      <c r="B2944">
        <v>13.9899993732929</v>
      </c>
      <c r="C2944">
        <v>2.6334287291029499</v>
      </c>
      <c r="D2944">
        <v>1.85862158635279</v>
      </c>
      <c r="E2944">
        <v>-0.776700456361754</v>
      </c>
      <c r="F2944">
        <v>7.0412494719316004E-4</v>
      </c>
      <c r="G2944">
        <v>2.56085034445304E-2</v>
      </c>
      <c r="H2944">
        <v>0.47545757213362599</v>
      </c>
      <c r="I2944">
        <v>-5.5638952387573196E-3</v>
      </c>
    </row>
    <row r="2945" spans="1:9" x14ac:dyDescent="0.25">
      <c r="A2945" s="1">
        <v>96.798263192176805</v>
      </c>
      <c r="B2945">
        <v>14.1964100554942</v>
      </c>
      <c r="C2945">
        <v>2.4474395186407598</v>
      </c>
      <c r="D2945">
        <v>1.69465438892258</v>
      </c>
      <c r="E2945">
        <v>-0.75982146104617998</v>
      </c>
      <c r="F2945">
        <v>7.6753043585417403E-4</v>
      </c>
      <c r="G2945">
        <v>2.2288633556879801E-2</v>
      </c>
      <c r="H2945">
        <v>0.46656514466275201</v>
      </c>
      <c r="I2945">
        <v>-4.8065363604277598E-3</v>
      </c>
    </row>
    <row r="2946" spans="1:9" x14ac:dyDescent="0.25">
      <c r="A2946" s="1">
        <v>106.497616767883</v>
      </c>
      <c r="B2946">
        <v>14.3994231857716</v>
      </c>
      <c r="C2946">
        <v>2.2754966775781802</v>
      </c>
      <c r="D2946">
        <v>1.5493611370817999</v>
      </c>
      <c r="E2946">
        <v>-0.74022780883786599</v>
      </c>
      <c r="F2946">
        <v>1.0232961050727601E-3</v>
      </c>
      <c r="G2946">
        <v>1.93749509229484E-2</v>
      </c>
      <c r="H2946">
        <v>0.45788380686101698</v>
      </c>
      <c r="I2946">
        <v>-4.1514293567593502E-3</v>
      </c>
    </row>
    <row r="2947" spans="1:9" x14ac:dyDescent="0.25">
      <c r="A2947" s="1">
        <v>117.06990510225199</v>
      </c>
      <c r="B2947">
        <v>14.6001879975557</v>
      </c>
      <c r="C2947">
        <v>2.1137494004684698</v>
      </c>
      <c r="D2947">
        <v>1.4187171703752199</v>
      </c>
      <c r="E2947">
        <v>-0.717681847092009</v>
      </c>
      <c r="F2947">
        <v>1.2154986295966699E-3</v>
      </c>
      <c r="G2947">
        <v>1.6825491041169399E-2</v>
      </c>
      <c r="H2947">
        <v>0.45003517385188202</v>
      </c>
      <c r="I2947">
        <v>-3.5861658963898301E-3</v>
      </c>
    </row>
    <row r="2948" spans="1:9" x14ac:dyDescent="0.25">
      <c r="A2948" s="1">
        <v>128.593670427799</v>
      </c>
      <c r="B2948">
        <v>14.7996614888667</v>
      </c>
      <c r="C2948">
        <v>1.96026899403525</v>
      </c>
      <c r="D2948">
        <v>1.3000969037304599</v>
      </c>
      <c r="E2948">
        <v>-0.692217646934424</v>
      </c>
      <c r="F2948">
        <v>1.53773719393465E-3</v>
      </c>
      <c r="G2948">
        <v>1.45656590874263E-2</v>
      </c>
      <c r="H2948">
        <v>0.442625710064735</v>
      </c>
      <c r="I2948">
        <v>-3.0817856801849102E-3</v>
      </c>
    </row>
    <row r="2949" spans="1:9" x14ac:dyDescent="0.25">
      <c r="A2949" s="1">
        <v>141.15461230278001</v>
      </c>
      <c r="B2949">
        <v>14.9982803684085</v>
      </c>
      <c r="C2949">
        <v>1.81322347864761</v>
      </c>
      <c r="D2949">
        <v>1.1911486257058701</v>
      </c>
      <c r="E2949">
        <v>-0.66361602490524396</v>
      </c>
      <c r="F2949">
        <v>2.1890763952362199E-3</v>
      </c>
      <c r="G2949">
        <v>1.2546689897037999E-2</v>
      </c>
      <c r="H2949">
        <v>0.43543598084777502</v>
      </c>
      <c r="I2949">
        <v>-2.6294146571902701E-3</v>
      </c>
    </row>
    <row r="2950" spans="1:9" x14ac:dyDescent="0.25">
      <c r="A2950" s="1">
        <v>154.84601140022201</v>
      </c>
      <c r="B2950">
        <v>15.195841953194099</v>
      </c>
      <c r="C2950">
        <v>1.6711851834944</v>
      </c>
      <c r="D2950">
        <v>1.0898519026136799</v>
      </c>
      <c r="E2950">
        <v>-0.63170300826708703</v>
      </c>
      <c r="F2950">
        <v>2.30926902017082E-3</v>
      </c>
      <c r="G2950">
        <v>1.0733558898808599E-2</v>
      </c>
      <c r="H2950">
        <v>0.42796023838069902</v>
      </c>
      <c r="I2950">
        <v>-2.2221303642562E-3</v>
      </c>
    </row>
    <row r="2951" spans="1:9" x14ac:dyDescent="0.25">
      <c r="A2951" s="1">
        <v>169.76969480514501</v>
      </c>
      <c r="B2951">
        <v>15.392291915824901</v>
      </c>
      <c r="C2951">
        <v>1.53188605913489</v>
      </c>
      <c r="D2951">
        <v>0.993813597755829</v>
      </c>
      <c r="E2951">
        <v>-0.59601359055172898</v>
      </c>
      <c r="F2951">
        <v>1.9202825550353E-3</v>
      </c>
      <c r="G2951">
        <v>9.1096963027459607E-3</v>
      </c>
      <c r="H2951">
        <v>0.42048188039121798</v>
      </c>
      <c r="I2951">
        <v>-1.8569495621624001E-3</v>
      </c>
    </row>
    <row r="2952" spans="1:9" x14ac:dyDescent="0.25">
      <c r="A2952" s="1">
        <v>186.03645980358101</v>
      </c>
      <c r="B2952">
        <v>15.5881484561025</v>
      </c>
      <c r="C2952">
        <v>1.3935005639767</v>
      </c>
      <c r="D2952">
        <v>0.901348816136046</v>
      </c>
      <c r="E2952">
        <v>-0.55606635908538304</v>
      </c>
      <c r="F2952">
        <v>1.7470315474927001E-3</v>
      </c>
      <c r="G2952">
        <v>7.6561331391686903E-3</v>
      </c>
      <c r="H2952">
        <v>0.41355146937639897</v>
      </c>
      <c r="I2952">
        <v>-1.53266202900388E-3</v>
      </c>
    </row>
    <row r="2953" spans="1:9" x14ac:dyDescent="0.25">
      <c r="A2953" s="1">
        <v>203.76720398664401</v>
      </c>
      <c r="B2953">
        <v>15.78295397017</v>
      </c>
      <c r="C2953">
        <v>1.2559676081875499</v>
      </c>
      <c r="D2953">
        <v>0.81084557848750405</v>
      </c>
      <c r="E2953">
        <v>-0.51175254350402399</v>
      </c>
      <c r="F2953">
        <v>1.53751620484901E-3</v>
      </c>
      <c r="G2953">
        <v>6.3482489161588501E-3</v>
      </c>
      <c r="H2953">
        <v>0.40624697894052703</v>
      </c>
      <c r="I2953">
        <v>-1.2431905420127599E-3</v>
      </c>
    </row>
    <row r="2954" spans="1:9" x14ac:dyDescent="0.25">
      <c r="A2954" s="1">
        <v>223.09376105666101</v>
      </c>
      <c r="B2954">
        <v>15.9750556514024</v>
      </c>
      <c r="C2954">
        <v>1.11840045926042</v>
      </c>
      <c r="D2954">
        <v>0.721212252102861</v>
      </c>
      <c r="E2954">
        <v>-0.46261320402587103</v>
      </c>
      <c r="F2954">
        <v>1.23193064578556E-3</v>
      </c>
      <c r="G2954">
        <v>5.1607695716163896E-3</v>
      </c>
      <c r="H2954">
        <v>0.398836701531875</v>
      </c>
      <c r="I2954">
        <v>-9.7845736378335702E-4</v>
      </c>
    </row>
    <row r="2955" spans="1:9" x14ac:dyDescent="0.25">
      <c r="A2955" s="1">
        <v>244.15970131754801</v>
      </c>
      <c r="B2955">
        <v>16.163051435014498</v>
      </c>
      <c r="C2955">
        <v>0.979882054373447</v>
      </c>
      <c r="D2955">
        <v>0.63092892352911301</v>
      </c>
      <c r="E2955">
        <v>-0.40804692646427299</v>
      </c>
      <c r="F2955">
        <v>4.5338852918811102E-4</v>
      </c>
      <c r="G2955">
        <v>4.0939204054091698E-3</v>
      </c>
      <c r="H2955">
        <v>0.39196327241332302</v>
      </c>
      <c r="I2955">
        <v>-7.4247117982652799E-4</v>
      </c>
    </row>
    <row r="2956" spans="1:9" x14ac:dyDescent="0.25">
      <c r="A2956" s="1">
        <v>267.12157949805197</v>
      </c>
      <c r="B2956">
        <v>16.344093311613701</v>
      </c>
      <c r="C2956">
        <v>0.84131157290812997</v>
      </c>
      <c r="D2956">
        <v>0.54060372027413595</v>
      </c>
      <c r="E2956">
        <v>-0.347690835247426</v>
      </c>
      <c r="F2956">
        <v>-5.5629103181141601E-4</v>
      </c>
      <c r="G2956">
        <v>3.1580667556328299E-3</v>
      </c>
      <c r="H2956">
        <v>0.38608601953438099</v>
      </c>
      <c r="I2956">
        <v>-5.4314580418016796E-4</v>
      </c>
    </row>
    <row r="2957" spans="1:9" x14ac:dyDescent="0.25">
      <c r="A2957" s="1">
        <v>292.15002954006098</v>
      </c>
      <c r="B2957">
        <v>16.513419275766498</v>
      </c>
      <c r="C2957">
        <v>0.70311979117596302</v>
      </c>
      <c r="D2957">
        <v>0.44931003179726697</v>
      </c>
      <c r="E2957">
        <v>-0.28103698751110301</v>
      </c>
      <c r="F2957">
        <v>-1.13091506036595E-3</v>
      </c>
      <c r="G2957">
        <v>2.3583132283378299E-3</v>
      </c>
      <c r="H2957">
        <v>0.38244351523773101</v>
      </c>
      <c r="I2957">
        <v>-3.8187876610815998E-4</v>
      </c>
    </row>
    <row r="2958" spans="1:9" x14ac:dyDescent="0.25">
      <c r="A2958" s="1">
        <v>319.43101242184599</v>
      </c>
      <c r="B2958">
        <v>16.661522032728701</v>
      </c>
      <c r="C2958">
        <v>0.57261506321679501</v>
      </c>
      <c r="D2958">
        <v>0.361587866735195</v>
      </c>
      <c r="E2958">
        <v>-0.20775372155777</v>
      </c>
      <c r="F2958">
        <v>-8.6641050881584598E-4</v>
      </c>
      <c r="G2958">
        <v>1.7115924628643699E-3</v>
      </c>
      <c r="H2958">
        <v>0.38234718555840103</v>
      </c>
      <c r="I2958">
        <v>-2.6331249581656898E-4</v>
      </c>
    </row>
    <row r="2959" spans="1:9" x14ac:dyDescent="0.25">
      <c r="A2959" s="1">
        <v>349.16732590645501</v>
      </c>
      <c r="B2959">
        <v>16.776426570153198</v>
      </c>
      <c r="C2959">
        <v>0.46412760439568801</v>
      </c>
      <c r="D2959">
        <v>0.28655464975474498</v>
      </c>
      <c r="E2959">
        <v>-0.126533913803695</v>
      </c>
      <c r="F2959">
        <v>-1.0111555866000701E-3</v>
      </c>
      <c r="G2959">
        <v>1.26499909803422E-3</v>
      </c>
      <c r="H2959">
        <v>0.38695892989240699</v>
      </c>
      <c r="I2959">
        <v>-1.92883664288127E-4</v>
      </c>
    </row>
    <row r="2960" spans="1:9" x14ac:dyDescent="0.25">
      <c r="A2960" s="1">
        <v>379.83785875141598</v>
      </c>
      <c r="B2960">
        <v>16.837112363836098</v>
      </c>
      <c r="C2960">
        <v>0.40212543051820199</v>
      </c>
      <c r="D2960">
        <v>0.24276061846866401</v>
      </c>
      <c r="E2960">
        <v>-4.1839126484818502E-2</v>
      </c>
      <c r="F2960">
        <v>-1.3521572109600399E-3</v>
      </c>
      <c r="G2960">
        <v>1.0325404417148899E-3</v>
      </c>
      <c r="H2960">
        <v>0.40783946195582998</v>
      </c>
      <c r="I2960">
        <v>-1.5293849553159E-4</v>
      </c>
    </row>
    <row r="2961" spans="1:9" x14ac:dyDescent="0.25">
      <c r="A2961" s="1" t="s">
        <v>563</v>
      </c>
      <c r="B2961" s="1" t="s">
        <v>614</v>
      </c>
      <c r="C2961" s="1" t="s">
        <v>615</v>
      </c>
      <c r="D2961" s="1" t="s">
        <v>616</v>
      </c>
      <c r="E2961" s="1" t="s">
        <v>617</v>
      </c>
      <c r="F2961" s="1" t="s">
        <v>618</v>
      </c>
      <c r="G2961" s="1" t="s">
        <v>400</v>
      </c>
      <c r="H2961" s="1" t="s">
        <v>619</v>
      </c>
      <c r="I2961" s="1" t="s">
        <v>613</v>
      </c>
    </row>
    <row r="2962" spans="1:9" x14ac:dyDescent="0.25">
      <c r="A2962" s="1">
        <v>-141.555516719818</v>
      </c>
      <c r="B2962">
        <v>-225.30891599217</v>
      </c>
      <c r="C2962">
        <v>3.7667493650134702E-3</v>
      </c>
      <c r="D2962">
        <v>0</v>
      </c>
      <c r="E2962">
        <v>0</v>
      </c>
      <c r="F2962">
        <v>0</v>
      </c>
      <c r="G2962" s="1">
        <v>7.3302326230706398E-8</v>
      </c>
      <c r="H2962">
        <v>7.6877402999480204E-2</v>
      </c>
      <c r="I2962">
        <v>0</v>
      </c>
    </row>
    <row r="2963" spans="1:9" x14ac:dyDescent="0.25">
      <c r="A2963" s="1">
        <v>-128.95890593528699</v>
      </c>
      <c r="B2963">
        <v>-205.30179000654701</v>
      </c>
      <c r="C2963">
        <v>3.8597502406258399E-3</v>
      </c>
      <c r="D2963">
        <v>0</v>
      </c>
      <c r="E2963">
        <v>0</v>
      </c>
      <c r="F2963">
        <v>0</v>
      </c>
      <c r="G2963" s="1">
        <v>1.2126882682705899E-7</v>
      </c>
      <c r="H2963">
        <v>0.40317157979061002</v>
      </c>
      <c r="I2963">
        <v>0</v>
      </c>
    </row>
    <row r="2964" spans="1:9" x14ac:dyDescent="0.25">
      <c r="A2964" s="1">
        <v>-117.402367591857</v>
      </c>
      <c r="B2964">
        <v>-186.93932989397601</v>
      </c>
      <c r="C2964">
        <v>4.0698236614382099E-3</v>
      </c>
      <c r="D2964">
        <v>0</v>
      </c>
      <c r="E2964">
        <v>0</v>
      </c>
      <c r="F2964">
        <v>0</v>
      </c>
      <c r="G2964" s="1">
        <v>2.1407723587385501E-7</v>
      </c>
      <c r="H2964">
        <v>0.61282635446439404</v>
      </c>
      <c r="I2964">
        <v>0</v>
      </c>
    </row>
    <row r="2965" spans="1:9" x14ac:dyDescent="0.25">
      <c r="A2965" s="1">
        <v>-106.80001378059301</v>
      </c>
      <c r="B2965">
        <v>-170.086904002815</v>
      </c>
      <c r="C2965">
        <v>4.44511995234473E-3</v>
      </c>
      <c r="D2965">
        <v>0</v>
      </c>
      <c r="E2965">
        <v>0</v>
      </c>
      <c r="F2965">
        <v>0</v>
      </c>
      <c r="G2965" s="1">
        <v>3.5711629651213801E-7</v>
      </c>
      <c r="H2965">
        <v>0.71519657751769306</v>
      </c>
      <c r="I2965">
        <v>0</v>
      </c>
    </row>
    <row r="2966" spans="1:9" x14ac:dyDescent="0.25">
      <c r="A2966" s="1">
        <v>-97.073161005973802</v>
      </c>
      <c r="B2966">
        <v>-154.62078795143901</v>
      </c>
      <c r="C2966">
        <v>5.0447698706231397E-3</v>
      </c>
      <c r="D2966">
        <v>0</v>
      </c>
      <c r="E2966">
        <v>0</v>
      </c>
      <c r="F2966">
        <v>0</v>
      </c>
      <c r="G2966" s="1">
        <v>5.6652050357763797E-7</v>
      </c>
      <c r="H2966">
        <v>0.766209505495553</v>
      </c>
      <c r="I2966">
        <v>0</v>
      </c>
    </row>
    <row r="2967" spans="1:9" x14ac:dyDescent="0.25">
      <c r="A2967" s="1">
        <v>-88.149435520172105</v>
      </c>
      <c r="B2967">
        <v>-140.427345538228</v>
      </c>
      <c r="C2967">
        <v>5.9357396352894597E-3</v>
      </c>
      <c r="D2967">
        <v>0</v>
      </c>
      <c r="E2967">
        <v>0</v>
      </c>
      <c r="F2967">
        <v>0</v>
      </c>
      <c r="G2967" s="1">
        <v>8.7106981542506304E-7</v>
      </c>
      <c r="H2967">
        <v>0.79347609244680295</v>
      </c>
      <c r="I2967">
        <v>0</v>
      </c>
    </row>
    <row r="2968" spans="1:9" x14ac:dyDescent="0.25">
      <c r="A2968" s="1">
        <v>-79.962490797042804</v>
      </c>
      <c r="B2968">
        <v>-127.402184577375</v>
      </c>
      <c r="C2968">
        <v>7.1943879041246901E-3</v>
      </c>
      <c r="D2968">
        <v>0</v>
      </c>
      <c r="E2968">
        <v>0</v>
      </c>
      <c r="F2968">
        <v>0</v>
      </c>
      <c r="G2968" s="1">
        <v>1.3152637298126099E-6</v>
      </c>
      <c r="H2968">
        <v>0.80961413122801296</v>
      </c>
      <c r="I2968">
        <v>0</v>
      </c>
    </row>
    <row r="2969" spans="1:9" x14ac:dyDescent="0.25">
      <c r="A2969" s="1">
        <v>-72.451583743095298</v>
      </c>
      <c r="B2969">
        <v>-115.44941303142799</v>
      </c>
      <c r="C2969">
        <v>8.9099044239423705E-3</v>
      </c>
      <c r="D2969">
        <v>0</v>
      </c>
      <c r="E2969">
        <v>0</v>
      </c>
      <c r="F2969">
        <v>0</v>
      </c>
      <c r="G2969" s="1">
        <v>1.96447398806265E-6</v>
      </c>
      <c r="H2969">
        <v>0.82059062811616801</v>
      </c>
      <c r="I2969">
        <v>0</v>
      </c>
    </row>
    <row r="2970" spans="1:9" x14ac:dyDescent="0.25">
      <c r="A2970" s="1">
        <v>-65.560821294784503</v>
      </c>
      <c r="B2970">
        <v>-104.48097036638799</v>
      </c>
      <c r="C2970">
        <v>1.1188461503611699E-2</v>
      </c>
      <c r="D2970">
        <v>0</v>
      </c>
      <c r="E2970">
        <v>0</v>
      </c>
      <c r="F2970">
        <v>0</v>
      </c>
      <c r="G2970" s="1">
        <v>2.9130206268996798E-6</v>
      </c>
      <c r="H2970">
        <v>0.82926668629014499</v>
      </c>
      <c r="I2970">
        <v>0</v>
      </c>
    </row>
    <row r="2971" spans="1:9" x14ac:dyDescent="0.25">
      <c r="A2971" s="1">
        <v>-59.238972067832897</v>
      </c>
      <c r="B2971">
        <v>-94.416000697105702</v>
      </c>
      <c r="C2971">
        <v>1.4157776526780901E-2</v>
      </c>
      <c r="D2971">
        <v>0</v>
      </c>
      <c r="E2971">
        <v>0</v>
      </c>
      <c r="F2971">
        <v>0</v>
      </c>
      <c r="G2971" s="1">
        <v>4.2960410663326304E-6</v>
      </c>
      <c r="H2971">
        <v>0.83697672012531699</v>
      </c>
      <c r="I2971">
        <v>0</v>
      </c>
    </row>
    <row r="2972" spans="1:9" x14ac:dyDescent="0.25">
      <c r="A2972" s="1">
        <v>-53.439136743545497</v>
      </c>
      <c r="B2972">
        <v>-85.180246827840406</v>
      </c>
      <c r="C2972">
        <v>1.7972099755165501E-2</v>
      </c>
      <c r="D2972">
        <v>0</v>
      </c>
      <c r="E2972">
        <v>0</v>
      </c>
      <c r="F2972">
        <v>0</v>
      </c>
      <c r="G2972" s="1">
        <v>6.3063407212133904E-6</v>
      </c>
      <c r="H2972">
        <v>0.84429334808020895</v>
      </c>
      <c r="I2972">
        <v>0</v>
      </c>
    </row>
    <row r="2973" spans="1:9" x14ac:dyDescent="0.25">
      <c r="A2973" s="1">
        <v>-48.118183016777003</v>
      </c>
      <c r="B2973">
        <v>-76.705527873426206</v>
      </c>
      <c r="C2973">
        <v>2.2817700632738299E-2</v>
      </c>
      <c r="D2973">
        <v>0</v>
      </c>
      <c r="E2973">
        <v>0</v>
      </c>
      <c r="F2973">
        <v>0</v>
      </c>
      <c r="G2973" s="1">
        <v>9.2180926751215193E-6</v>
      </c>
      <c r="H2973">
        <v>0.85142058310498303</v>
      </c>
      <c r="I2973">
        <v>0</v>
      </c>
    </row>
    <row r="2974" spans="1:9" x14ac:dyDescent="0.25">
      <c r="A2974" s="1">
        <v>-43.236604332923797</v>
      </c>
      <c r="B2974">
        <v>-68.929258670746904</v>
      </c>
      <c r="C2974">
        <v>2.8918973862898299E-2</v>
      </c>
      <c r="D2974">
        <v>0</v>
      </c>
      <c r="E2974">
        <v>0</v>
      </c>
      <c r="F2974">
        <v>0</v>
      </c>
      <c r="G2974" s="1">
        <v>1.34202289247014E-5</v>
      </c>
      <c r="H2974">
        <v>0.85839999968098402</v>
      </c>
      <c r="I2974">
        <v>0</v>
      </c>
    </row>
    <row r="2975" spans="1:9" x14ac:dyDescent="0.25">
      <c r="A2975" s="1">
        <v>-38.758049011230398</v>
      </c>
      <c r="B2975">
        <v>-61.793977548271002</v>
      </c>
      <c r="C2975">
        <v>3.6545391595912198E-2</v>
      </c>
      <c r="D2975">
        <v>0</v>
      </c>
      <c r="E2975">
        <v>0</v>
      </c>
      <c r="F2975">
        <v>0</v>
      </c>
      <c r="G2975" s="1">
        <v>1.9463677005621299E-5</v>
      </c>
      <c r="H2975">
        <v>0.86521589153627398</v>
      </c>
      <c r="I2975">
        <v>0</v>
      </c>
    </row>
    <row r="2976" spans="1:9" x14ac:dyDescent="0.25">
      <c r="A2976" s="1">
        <v>-34.649320244789102</v>
      </c>
      <c r="B2976">
        <v>-55.246930512502402</v>
      </c>
      <c r="C2976">
        <v>4.6019582273099199E-2</v>
      </c>
      <c r="D2976">
        <v>0</v>
      </c>
      <c r="E2976">
        <v>0</v>
      </c>
      <c r="F2976">
        <v>0</v>
      </c>
      <c r="G2976" s="1">
        <v>2.8128707615124399E-5</v>
      </c>
      <c r="H2976">
        <v>0.871845545096677</v>
      </c>
      <c r="I2976">
        <v>0</v>
      </c>
    </row>
    <row r="2977" spans="1:9" x14ac:dyDescent="0.25">
      <c r="A2977" s="1">
        <v>-30.879811048507602</v>
      </c>
      <c r="B2977">
        <v>-49.239695135220501</v>
      </c>
      <c r="C2977">
        <v>5.77269183862959E-2</v>
      </c>
      <c r="D2977">
        <v>0</v>
      </c>
      <c r="E2977">
        <v>0</v>
      </c>
      <c r="F2977">
        <v>0</v>
      </c>
      <c r="G2977" s="1">
        <v>4.0522286882087099E-5</v>
      </c>
      <c r="H2977">
        <v>0.87828111050919899</v>
      </c>
      <c r="I2977">
        <v>0</v>
      </c>
    </row>
    <row r="2978" spans="1:9" x14ac:dyDescent="0.25">
      <c r="A2978" s="1">
        <v>-27.4215984344482</v>
      </c>
      <c r="B2978">
        <v>-43.727823246359399</v>
      </c>
      <c r="C2978">
        <v>7.2127120595222999E-2</v>
      </c>
      <c r="D2978">
        <v>0</v>
      </c>
      <c r="E2978">
        <v>0</v>
      </c>
      <c r="F2978">
        <v>0</v>
      </c>
      <c r="G2978" s="1">
        <v>5.8222260236917098E-5</v>
      </c>
      <c r="H2978">
        <v>0.88453875188436903</v>
      </c>
      <c r="I2978">
        <v>0</v>
      </c>
    </row>
    <row r="2979" spans="1:9" x14ac:dyDescent="0.25">
      <c r="A2979" s="1">
        <v>-24.248878359794599</v>
      </c>
      <c r="B2979">
        <v>-38.670514969616697</v>
      </c>
      <c r="C2979">
        <v>8.9768906500572898E-2</v>
      </c>
      <c r="D2979">
        <v>0</v>
      </c>
      <c r="E2979">
        <v>0</v>
      </c>
      <c r="F2979">
        <v>0</v>
      </c>
      <c r="G2979" s="1">
        <v>8.3497852297710994E-5</v>
      </c>
      <c r="H2979">
        <v>0.89066198949838604</v>
      </c>
      <c r="I2979">
        <v>0</v>
      </c>
    </row>
    <row r="2980" spans="1:9" x14ac:dyDescent="0.25">
      <c r="A2980" s="1">
        <v>-21.3381540775299</v>
      </c>
      <c r="B2980">
        <v>-34.030325145549597</v>
      </c>
      <c r="C2980">
        <v>0.111309268992723</v>
      </c>
      <c r="D2980">
        <v>0</v>
      </c>
      <c r="E2980">
        <v>0</v>
      </c>
      <c r="F2980">
        <v>0</v>
      </c>
      <c r="G2980">
        <v>1.19659566055645E-4</v>
      </c>
      <c r="H2980">
        <v>0.89672192571583798</v>
      </c>
      <c r="I2980">
        <v>0</v>
      </c>
    </row>
    <row r="2981" spans="1:9" x14ac:dyDescent="0.25">
      <c r="A2981" s="1">
        <v>-18.6677181720733</v>
      </c>
      <c r="B2981">
        <v>-29.7728833365213</v>
      </c>
      <c r="C2981">
        <v>0.13754047577582401</v>
      </c>
      <c r="D2981">
        <v>0</v>
      </c>
      <c r="E2981">
        <v>0</v>
      </c>
      <c r="F2981">
        <v>0</v>
      </c>
      <c r="G2981">
        <v>1.7163597835906299E-4</v>
      </c>
      <c r="H2981">
        <v>0.90281477806399402</v>
      </c>
      <c r="I2981">
        <v>0</v>
      </c>
    </row>
    <row r="2982" spans="1:9" x14ac:dyDescent="0.25">
      <c r="A2982" s="1">
        <v>-16.2178409099578</v>
      </c>
      <c r="B2982">
        <v>-25.8666483086492</v>
      </c>
      <c r="C2982">
        <v>0.169429609654449</v>
      </c>
      <c r="D2982">
        <v>0</v>
      </c>
      <c r="E2982">
        <v>0</v>
      </c>
      <c r="F2982">
        <v>0</v>
      </c>
      <c r="G2982">
        <v>2.4695917197658401E-4</v>
      </c>
      <c r="H2982">
        <v>0.90905569958039201</v>
      </c>
      <c r="I2982">
        <v>0</v>
      </c>
    </row>
    <row r="2983" spans="1:9" x14ac:dyDescent="0.25">
      <c r="A2983" s="1">
        <v>-13.9702051877975</v>
      </c>
      <c r="B2983">
        <v>-22.28267028414</v>
      </c>
      <c r="C2983">
        <v>0.20817892961567599</v>
      </c>
      <c r="D2983">
        <v>0</v>
      </c>
      <c r="E2983">
        <v>0</v>
      </c>
      <c r="F2983">
        <v>0</v>
      </c>
      <c r="G2983">
        <v>3.5749787079879502E-4</v>
      </c>
      <c r="H2983">
        <v>0.91556579676401795</v>
      </c>
      <c r="I2983">
        <v>0</v>
      </c>
    </row>
    <row r="2984" spans="1:9" x14ac:dyDescent="0.25">
      <c r="A2984" s="1">
        <v>-11.908189058303799</v>
      </c>
      <c r="B2984">
        <v>-18.9943841445684</v>
      </c>
      <c r="C2984">
        <v>0.25531987513336801</v>
      </c>
      <c r="D2984">
        <v>0</v>
      </c>
      <c r="E2984">
        <v>0</v>
      </c>
      <c r="F2984">
        <v>0</v>
      </c>
      <c r="G2984">
        <v>5.2257004739908496E-4</v>
      </c>
      <c r="H2984">
        <v>0.92244866938177705</v>
      </c>
      <c r="I2984">
        <v>0</v>
      </c>
    </row>
    <row r="2985" spans="1:9" x14ac:dyDescent="0.25">
      <c r="A2985" s="1">
        <v>-10.016394853591899</v>
      </c>
      <c r="B2985">
        <v>-15.977409490379999</v>
      </c>
      <c r="C2985">
        <v>0.31286177591651698</v>
      </c>
      <c r="D2985">
        <v>0</v>
      </c>
      <c r="E2985">
        <v>0</v>
      </c>
      <c r="F2985">
        <v>0</v>
      </c>
      <c r="G2985">
        <v>7.7462030996684902E-4</v>
      </c>
      <c r="H2985">
        <v>0.92975648727684002</v>
      </c>
      <c r="I2985">
        <v>0</v>
      </c>
    </row>
    <row r="2986" spans="1:9" x14ac:dyDescent="0.25">
      <c r="A2986" s="1">
        <v>-8.2808375358581507</v>
      </c>
      <c r="B2986">
        <v>-13.209375252198001</v>
      </c>
      <c r="C2986">
        <v>0.38352836934978202</v>
      </c>
      <c r="D2986">
        <v>0</v>
      </c>
      <c r="E2986">
        <v>0</v>
      </c>
      <c r="F2986">
        <v>0</v>
      </c>
      <c r="G2986">
        <v>1.16972490663488E-3</v>
      </c>
      <c r="H2986">
        <v>0.93745360671900102</v>
      </c>
      <c r="I2986">
        <v>0</v>
      </c>
    </row>
    <row r="2987" spans="1:9" x14ac:dyDescent="0.25">
      <c r="A2987" s="1">
        <v>-6.6885209083557102</v>
      </c>
      <c r="B2987">
        <v>-10.6697516807313</v>
      </c>
      <c r="C2987">
        <v>0.47113591007310601</v>
      </c>
      <c r="D2987">
        <v>0</v>
      </c>
      <c r="E2987">
        <v>0</v>
      </c>
      <c r="F2987">
        <v>0</v>
      </c>
      <c r="G2987">
        <v>1.80741333125888E-3</v>
      </c>
      <c r="H2987">
        <v>0.94539610636653604</v>
      </c>
      <c r="I2987">
        <v>0</v>
      </c>
    </row>
    <row r="2988" spans="1:9" x14ac:dyDescent="0.25">
      <c r="A2988" s="1">
        <v>-5.2277201414108196</v>
      </c>
      <c r="B2988">
        <v>-8.3397017952945003</v>
      </c>
      <c r="C2988">
        <v>0.581203120482219</v>
      </c>
      <c r="D2988">
        <v>0</v>
      </c>
      <c r="E2988">
        <v>0</v>
      </c>
      <c r="F2988">
        <v>0</v>
      </c>
      <c r="G2988">
        <v>2.86916620651663E-3</v>
      </c>
      <c r="H2988">
        <v>0.95334607506157898</v>
      </c>
      <c r="I2988">
        <v>0</v>
      </c>
    </row>
    <row r="2989" spans="1:9" x14ac:dyDescent="0.25">
      <c r="A2989" s="1">
        <v>-3.88755798339843</v>
      </c>
      <c r="B2989">
        <v>-6.2019395579542902</v>
      </c>
      <c r="C2989">
        <v>0.72195477363498795</v>
      </c>
      <c r="D2989">
        <v>0</v>
      </c>
      <c r="E2989">
        <v>0</v>
      </c>
      <c r="F2989">
        <v>0</v>
      </c>
      <c r="G2989">
        <v>4.69630907869304E-3</v>
      </c>
      <c r="H2989">
        <v>0.96102345591528804</v>
      </c>
      <c r="I2989">
        <v>0</v>
      </c>
    </row>
    <row r="2990" spans="1:9" x14ac:dyDescent="0.25">
      <c r="A2990" s="1">
        <v>-2.6580518484115601</v>
      </c>
      <c r="B2990">
        <v>-4.2406024130951501</v>
      </c>
      <c r="C2990">
        <v>0.90602487634481799</v>
      </c>
      <c r="D2990">
        <v>0</v>
      </c>
      <c r="E2990">
        <v>0</v>
      </c>
      <c r="F2990">
        <v>0</v>
      </c>
      <c r="G2990">
        <v>7.9561404524665699E-3</v>
      </c>
      <c r="H2990">
        <v>0.96817361425497495</v>
      </c>
      <c r="I2990">
        <v>0</v>
      </c>
    </row>
    <row r="2991" spans="1:9" x14ac:dyDescent="0.25">
      <c r="A2991" s="1">
        <v>-1.5300196409225399</v>
      </c>
      <c r="B2991">
        <v>-2.4411379312124</v>
      </c>
      <c r="C2991">
        <v>1.1534856947757599</v>
      </c>
      <c r="D2991">
        <v>0</v>
      </c>
      <c r="E2991">
        <v>0</v>
      </c>
      <c r="F2991">
        <v>0</v>
      </c>
      <c r="G2991">
        <v>1.4018893851483799E-2</v>
      </c>
      <c r="H2991">
        <v>0.97461674751565897</v>
      </c>
      <c r="I2991">
        <v>0</v>
      </c>
    </row>
    <row r="2992" spans="1:9" x14ac:dyDescent="0.25">
      <c r="A2992" s="1">
        <v>-0.49517393112182601</v>
      </c>
      <c r="B2992">
        <v>-0.79019097508452196</v>
      </c>
      <c r="C2992">
        <v>1.4975454185425501</v>
      </c>
      <c r="D2992">
        <v>0</v>
      </c>
      <c r="E2992">
        <v>0</v>
      </c>
      <c r="F2992">
        <v>0</v>
      </c>
      <c r="G2992">
        <v>2.6238709065939399E-2</v>
      </c>
      <c r="H2992">
        <v>0.98053395402528998</v>
      </c>
      <c r="I2992">
        <v>0</v>
      </c>
    </row>
    <row r="2993" spans="1:9" x14ac:dyDescent="0.25">
      <c r="A2993" s="1">
        <v>0.49376130104064903</v>
      </c>
      <c r="B2993">
        <v>0.35204257918932103</v>
      </c>
      <c r="C2993">
        <v>1.8542967338007199</v>
      </c>
      <c r="D2993">
        <v>0.19749274116306101</v>
      </c>
      <c r="E2993">
        <v>-3.0132817583058502E-4</v>
      </c>
      <c r="F2993" s="1">
        <v>4.6939817877475902E-5</v>
      </c>
      <c r="G2993">
        <v>4.6091198345995399E-2</v>
      </c>
      <c r="H2993">
        <v>0.92583091112565796</v>
      </c>
      <c r="I2993" s="1">
        <v>7.0369173334334196E-7</v>
      </c>
    </row>
    <row r="2994" spans="1:9" x14ac:dyDescent="0.25">
      <c r="A2994" s="1">
        <v>1.5257111191749499</v>
      </c>
      <c r="B2994">
        <v>1.0871800410602299</v>
      </c>
      <c r="C2994">
        <v>2.1704759594385399</v>
      </c>
      <c r="D2994">
        <v>0.71054482830883103</v>
      </c>
      <c r="E2994">
        <v>-3.0291498163200802E-3</v>
      </c>
      <c r="F2994">
        <v>1.9258425910319101E-4</v>
      </c>
      <c r="G2994">
        <v>6.1243516649406797E-2</v>
      </c>
      <c r="H2994">
        <v>0.93085768709704397</v>
      </c>
      <c r="I2994" s="1">
        <v>2.44179097817442E-5</v>
      </c>
    </row>
    <row r="2995" spans="1:9" x14ac:dyDescent="0.25">
      <c r="A2995" s="1">
        <v>2.6505178213119498</v>
      </c>
      <c r="B2995">
        <v>1.8829719538841401</v>
      </c>
      <c r="C2995">
        <v>2.6133643674195302</v>
      </c>
      <c r="D2995">
        <v>1.42998304297862</v>
      </c>
      <c r="E2995">
        <v>-1.2773780005280899E-2</v>
      </c>
      <c r="F2995">
        <v>4.2093423553044799E-4</v>
      </c>
      <c r="G2995">
        <v>7.6282843087806806E-2</v>
      </c>
      <c r="H2995">
        <v>0.92865915217699302</v>
      </c>
      <c r="I2995">
        <v>1.2970061916714199E-4</v>
      </c>
    </row>
    <row r="2996" spans="1:9" x14ac:dyDescent="0.25">
      <c r="A2996" s="1">
        <v>3.8765159249305698</v>
      </c>
      <c r="B2996">
        <v>2.7358619625721099</v>
      </c>
      <c r="C2996">
        <v>3.2150754662068399</v>
      </c>
      <c r="D2996">
        <v>2.3845932759442801</v>
      </c>
      <c r="E2996">
        <v>-3.4225052138074898E-2</v>
      </c>
      <c r="F2996">
        <v>7.2734020101401602E-4</v>
      </c>
      <c r="G2996">
        <v>8.8592256213903195E-2</v>
      </c>
      <c r="H2996">
        <v>0.91904939923322604</v>
      </c>
      <c r="I2996">
        <v>3.1880548854307998E-4</v>
      </c>
    </row>
    <row r="2997" spans="1:9" x14ac:dyDescent="0.25">
      <c r="A2997" s="1">
        <v>5.2129346132278398</v>
      </c>
      <c r="B2997">
        <v>3.6355132347945101</v>
      </c>
      <c r="C2997">
        <v>3.97987924908933</v>
      </c>
      <c r="D2997">
        <v>3.5482747858830401</v>
      </c>
      <c r="E2997">
        <v>-7.2383019187185801E-2</v>
      </c>
      <c r="F2997">
        <v>1.0736057577125299E-3</v>
      </c>
      <c r="G2997">
        <v>9.5605434138235093E-2</v>
      </c>
      <c r="H2997">
        <v>0.90073783464498602</v>
      </c>
      <c r="I2997">
        <v>6.3606068954966902E-4</v>
      </c>
    </row>
    <row r="2998" spans="1:9" x14ac:dyDescent="0.25">
      <c r="A2998" s="1">
        <v>6.6695916652679399</v>
      </c>
      <c r="B2998">
        <v>4.5633875905577099</v>
      </c>
      <c r="C2998">
        <v>4.8600203491887202</v>
      </c>
      <c r="D2998">
        <v>4.8118130143906397</v>
      </c>
      <c r="E2998">
        <v>-0.12991833509074999</v>
      </c>
      <c r="F2998">
        <v>1.3869770835170101E-3</v>
      </c>
      <c r="G2998">
        <v>9.7596383980911999E-2</v>
      </c>
      <c r="H2998">
        <v>0.87361181895641504</v>
      </c>
      <c r="I2998">
        <v>1.4706048422932899E-3</v>
      </c>
    </row>
    <row r="2999" spans="1:9" x14ac:dyDescent="0.25">
      <c r="A2999" s="1">
        <v>8.2573878765106201</v>
      </c>
      <c r="B2999">
        <v>5.4937735437456503</v>
      </c>
      <c r="C2999">
        <v>5.7523015870124201</v>
      </c>
      <c r="D2999">
        <v>5.9998442699464096</v>
      </c>
      <c r="E2999">
        <v>-0.205103626138149</v>
      </c>
      <c r="F2999">
        <v>1.5832226933302699E-3</v>
      </c>
      <c r="G2999">
        <v>9.7800205347852096E-2</v>
      </c>
      <c r="H2999">
        <v>0.84089459017547896</v>
      </c>
      <c r="I2999">
        <v>3.8133573659933999E-3</v>
      </c>
    </row>
    <row r="3000" spans="1:9" x14ac:dyDescent="0.25">
      <c r="A3000" s="1">
        <v>9.9880245327949506</v>
      </c>
      <c r="B3000">
        <v>6.3980447343591598</v>
      </c>
      <c r="C3000">
        <v>6.5305814721481799</v>
      </c>
      <c r="D3000">
        <v>6.9388213350371402</v>
      </c>
      <c r="E3000">
        <v>-0.29170921759435697</v>
      </c>
      <c r="F3000">
        <v>1.59491079944422E-3</v>
      </c>
      <c r="G3000">
        <v>9.9581083182103E-2</v>
      </c>
      <c r="H3000">
        <v>0.80849998569212</v>
      </c>
      <c r="I3000">
        <v>7.8498097925138507E-3</v>
      </c>
    </row>
    <row r="3001" spans="1:9" x14ac:dyDescent="0.25">
      <c r="A3001" s="1">
        <v>11.874474287032999</v>
      </c>
      <c r="B3001">
        <v>7.2509577277157504</v>
      </c>
      <c r="C3001">
        <v>7.0965274070175104</v>
      </c>
      <c r="D3001">
        <v>7.5276819629891003</v>
      </c>
      <c r="E3001">
        <v>-0.38145998617091198</v>
      </c>
      <c r="F3001">
        <v>1.4177211698460099E-3</v>
      </c>
      <c r="G3001">
        <v>0.103434196404233</v>
      </c>
      <c r="H3001">
        <v>0.78014535003542496</v>
      </c>
      <c r="I3001">
        <v>1.0905510593134901E-2</v>
      </c>
    </row>
    <row r="3002" spans="1:9" x14ac:dyDescent="0.25">
      <c r="A3002" s="1">
        <v>13.9306750893592</v>
      </c>
      <c r="B3002">
        <v>8.0356584931764807</v>
      </c>
      <c r="C3002">
        <v>7.4099408513023803</v>
      </c>
      <c r="D3002">
        <v>7.7583704097196398</v>
      </c>
      <c r="E3002">
        <v>-0.46710839612546001</v>
      </c>
      <c r="F3002">
        <v>1.1219109784661599E-3</v>
      </c>
      <c r="G3002">
        <v>0.107329133246921</v>
      </c>
      <c r="H3002">
        <v>0.75536089898390801</v>
      </c>
      <c r="I3002">
        <v>1.0210070326523201E-2</v>
      </c>
    </row>
    <row r="3003" spans="1:9" x14ac:dyDescent="0.25">
      <c r="A3003" s="1">
        <v>16.171883344650201</v>
      </c>
      <c r="B3003">
        <v>8.7448859649751292</v>
      </c>
      <c r="C3003">
        <v>7.4838930261662204</v>
      </c>
      <c r="D3003">
        <v>7.6874747339531604</v>
      </c>
      <c r="E3003">
        <v>-0.54399553459476002</v>
      </c>
      <c r="F3003">
        <v>8.2567265809949802E-4</v>
      </c>
      <c r="G3003">
        <v>0.10911326863811401</v>
      </c>
      <c r="H3003">
        <v>0.73218194058128705</v>
      </c>
      <c r="I3003">
        <v>6.0470854656694299E-3</v>
      </c>
    </row>
    <row r="3004" spans="1:9" x14ac:dyDescent="0.25">
      <c r="A3004" s="1">
        <v>18.614838719367899</v>
      </c>
      <c r="B3004">
        <v>9.37902879296281</v>
      </c>
      <c r="C3004">
        <v>7.3616778808527998</v>
      </c>
      <c r="D3004">
        <v>7.3959323003812898</v>
      </c>
      <c r="E3004">
        <v>-0.61001025081444105</v>
      </c>
      <c r="F3004">
        <v>6.5278925574474599E-4</v>
      </c>
      <c r="G3004">
        <v>0.107921108903362</v>
      </c>
      <c r="H3004">
        <v>0.70925809489210001</v>
      </c>
      <c r="I3004">
        <v>5.0489945190351705E-4</v>
      </c>
    </row>
    <row r="3005" spans="1:9" x14ac:dyDescent="0.25">
      <c r="A3005" s="1">
        <v>21.2777170538902</v>
      </c>
      <c r="B3005">
        <v>9.9431373356882506</v>
      </c>
      <c r="C3005">
        <v>7.0955276511673899</v>
      </c>
      <c r="D3005">
        <v>6.96141509929772</v>
      </c>
      <c r="E3005">
        <v>-0.66483547164733603</v>
      </c>
      <c r="F3005">
        <v>6.9307648724102101E-4</v>
      </c>
      <c r="G3005">
        <v>0.104071048023978</v>
      </c>
      <c r="H3005">
        <v>0.68614056571417104</v>
      </c>
      <c r="I3005">
        <v>-4.6722134995803603E-3</v>
      </c>
    </row>
    <row r="3006" spans="1:9" x14ac:dyDescent="0.25">
      <c r="A3006" s="1">
        <v>24.180224537849401</v>
      </c>
      <c r="B3006">
        <v>10.444449674249</v>
      </c>
      <c r="C3006">
        <v>6.73426670451948</v>
      </c>
      <c r="D3006">
        <v>6.4469885304639902</v>
      </c>
      <c r="E3006">
        <v>-0.70916098259573901</v>
      </c>
      <c r="F3006">
        <v>9.8287782035915089E-4</v>
      </c>
      <c r="G3006">
        <v>9.8390840451928793E-2</v>
      </c>
      <c r="H3006">
        <v>0.662918187298975</v>
      </c>
      <c r="I3006">
        <v>-8.7083887071305807E-3</v>
      </c>
    </row>
    <row r="3007" spans="1:9" x14ac:dyDescent="0.25">
      <c r="A3007" s="1">
        <v>27.343950867652801</v>
      </c>
      <c r="B3007">
        <v>10.8908620870713</v>
      </c>
      <c r="C3007">
        <v>6.3183951675653898</v>
      </c>
      <c r="D3007">
        <v>5.8992903204851004</v>
      </c>
      <c r="E3007">
        <v>-0.74411272458689703</v>
      </c>
      <c r="F3007">
        <v>1.4531074046246399E-3</v>
      </c>
      <c r="G3007">
        <v>9.1676400701948393E-2</v>
      </c>
      <c r="H3007">
        <v>0.639931452367133</v>
      </c>
      <c r="I3007">
        <v>-1.1477991353219801E-2</v>
      </c>
    </row>
    <row r="3008" spans="1:9" x14ac:dyDescent="0.25">
      <c r="A3008" s="1">
        <v>30.7923927903175</v>
      </c>
      <c r="B3008">
        <v>11.2901601082686</v>
      </c>
      <c r="C3008">
        <v>5.8791727217915204</v>
      </c>
      <c r="D3008">
        <v>5.3509561317159102</v>
      </c>
      <c r="E3008">
        <v>-0.77092312947143005</v>
      </c>
      <c r="F3008">
        <v>2.0126096968049001E-3</v>
      </c>
      <c r="G3008">
        <v>8.4488347961076404E-2</v>
      </c>
      <c r="H3008">
        <v>0.61761322583606504</v>
      </c>
      <c r="I3008">
        <v>-1.3110881764188899E-2</v>
      </c>
    </row>
    <row r="3009" spans="1:9" x14ac:dyDescent="0.25">
      <c r="A3009" s="1">
        <v>34.551213085651298</v>
      </c>
      <c r="B3009">
        <v>11.649646593913801</v>
      </c>
      <c r="C3009">
        <v>5.43932936296821</v>
      </c>
      <c r="D3009">
        <v>4.8233409287662603</v>
      </c>
      <c r="E3009">
        <v>-0.79077506742622405</v>
      </c>
      <c r="F3009">
        <v>2.6093157945040499E-3</v>
      </c>
      <c r="G3009">
        <v>7.71600043503822E-2</v>
      </c>
      <c r="H3009">
        <v>0.59639273171797103</v>
      </c>
      <c r="I3009">
        <v>-1.38022341981534E-2</v>
      </c>
    </row>
    <row r="3010" spans="1:9" x14ac:dyDescent="0.25">
      <c r="A3010" s="1">
        <v>38.6483111977577</v>
      </c>
      <c r="B3010">
        <v>11.975926501959901</v>
      </c>
      <c r="C3010">
        <v>5.0142803305542998</v>
      </c>
      <c r="D3010">
        <v>4.3297897850237899</v>
      </c>
      <c r="E3010">
        <v>-0.80469848261555299</v>
      </c>
      <c r="F3010">
        <v>3.1114405415119499E-3</v>
      </c>
      <c r="G3010">
        <v>6.9893285828150895E-2</v>
      </c>
      <c r="H3010">
        <v>0.57667898037762999</v>
      </c>
      <c r="I3010">
        <v>-1.3751275326718101E-2</v>
      </c>
    </row>
    <row r="3011" spans="1:9" x14ac:dyDescent="0.25">
      <c r="A3011" s="1">
        <v>43.1141293048858</v>
      </c>
      <c r="B3011">
        <v>12.274871370479801</v>
      </c>
      <c r="C3011">
        <v>4.6136389036843903</v>
      </c>
      <c r="D3011">
        <v>3.8777078398489899</v>
      </c>
      <c r="E3011">
        <v>-0.81354044980630402</v>
      </c>
      <c r="F3011">
        <v>3.4714097498374499E-3</v>
      </c>
      <c r="G3011">
        <v>6.2823315299093699E-2</v>
      </c>
      <c r="H3011">
        <v>0.55875503299736196</v>
      </c>
      <c r="I3011">
        <v>-1.3145398258185E-2</v>
      </c>
    </row>
    <row r="3012" spans="1:9" x14ac:dyDescent="0.25">
      <c r="A3012" s="1">
        <v>47.981887757778097</v>
      </c>
      <c r="B3012">
        <v>12.551527378991601</v>
      </c>
      <c r="C3012">
        <v>4.2427223299150798</v>
      </c>
      <c r="D3012">
        <v>3.4703652934618701</v>
      </c>
      <c r="E3012">
        <v>-0.81801035731180904</v>
      </c>
      <c r="F3012">
        <v>3.63198837304566E-3</v>
      </c>
      <c r="G3012">
        <v>5.6044661754767501E-2</v>
      </c>
      <c r="H3012">
        <v>0.54265012011259395</v>
      </c>
      <c r="I3012">
        <v>-1.2165304032189799E-2</v>
      </c>
    </row>
    <row r="3013" spans="1:9" x14ac:dyDescent="0.25">
      <c r="A3013" s="1">
        <v>53.287820518016801</v>
      </c>
      <c r="B3013">
        <v>12.8101195274893</v>
      </c>
      <c r="C3013">
        <v>3.9034686019117499</v>
      </c>
      <c r="D3013">
        <v>3.1077738636824899</v>
      </c>
      <c r="E3013">
        <v>-0.81864573652525296</v>
      </c>
      <c r="F3013">
        <v>3.5366010754896301E-3</v>
      </c>
      <c r="G3013">
        <v>4.9656733542057997E-2</v>
      </c>
      <c r="H3013">
        <v>0.52835440231898601</v>
      </c>
      <c r="I3013">
        <v>-1.09745431655225E-2</v>
      </c>
    </row>
    <row r="3014" spans="1:9" x14ac:dyDescent="0.25">
      <c r="A3014" s="1">
        <v>59.071175158023799</v>
      </c>
      <c r="B3014">
        <v>13.054179096877901</v>
      </c>
      <c r="C3014">
        <v>3.5956734192516699</v>
      </c>
      <c r="D3014">
        <v>2.7876732274246798</v>
      </c>
      <c r="E3014">
        <v>-0.815857194061819</v>
      </c>
      <c r="F3014">
        <v>3.1353334551469398E-3</v>
      </c>
      <c r="G3014">
        <v>4.3759238187382497E-2</v>
      </c>
      <c r="H3014">
        <v>0.51576721480057097</v>
      </c>
      <c r="I3014">
        <v>-9.7262870232299094E-3</v>
      </c>
    </row>
    <row r="3015" spans="1:9" x14ac:dyDescent="0.25">
      <c r="A3015" s="1">
        <v>65.375131070613804</v>
      </c>
      <c r="B3015">
        <v>13.286618871525301</v>
      </c>
      <c r="C3015">
        <v>3.3180626225757899</v>
      </c>
      <c r="D3015">
        <v>2.5071657853902298</v>
      </c>
      <c r="E3015">
        <v>-0.80995060404799002</v>
      </c>
      <c r="F3015">
        <v>2.5181466522000099E-3</v>
      </c>
      <c r="G3015">
        <v>3.8403122875177803E-2</v>
      </c>
      <c r="H3015">
        <v>0.50449320266848197</v>
      </c>
      <c r="I3015">
        <v>-8.5203041765939003E-3</v>
      </c>
    </row>
    <row r="3016" spans="1:9" x14ac:dyDescent="0.25">
      <c r="A3016" s="1">
        <v>72.246375679969702</v>
      </c>
      <c r="B3016">
        <v>13.509829256967</v>
      </c>
      <c r="C3016">
        <v>3.0681042028635899</v>
      </c>
      <c r="D3016">
        <v>2.2624615053456898</v>
      </c>
      <c r="E3016">
        <v>-0.80116285346606197</v>
      </c>
      <c r="F3016">
        <v>1.7855019566622699E-3</v>
      </c>
      <c r="G3016">
        <v>3.3614127801250303E-2</v>
      </c>
      <c r="H3016">
        <v>0.49426049083651202</v>
      </c>
      <c r="I3016">
        <v>-7.4183154471997304E-3</v>
      </c>
    </row>
    <row r="3017" spans="1:9" x14ac:dyDescent="0.25">
      <c r="A3017" s="1">
        <v>79.736069738864799</v>
      </c>
      <c r="B3017">
        <v>13.725786934703899</v>
      </c>
      <c r="C3017">
        <v>2.8425107545735702</v>
      </c>
      <c r="D3017">
        <v>2.0488305894980701</v>
      </c>
      <c r="E3017">
        <v>-0.78963272503536797</v>
      </c>
      <c r="F3017">
        <v>1.1205690527581499E-3</v>
      </c>
      <c r="G3017">
        <v>2.9353596916617802E-2</v>
      </c>
      <c r="H3017">
        <v>0.48462509472555199</v>
      </c>
      <c r="I3017">
        <v>-6.4288296730974897E-3</v>
      </c>
    </row>
    <row r="3018" spans="1:9" x14ac:dyDescent="0.25">
      <c r="A3018" s="1">
        <v>87.899753153324099</v>
      </c>
      <c r="B3018">
        <v>13.936067399293499</v>
      </c>
      <c r="C3018">
        <v>2.6377136014141902</v>
      </c>
      <c r="D3018">
        <v>1.8617251329100699</v>
      </c>
      <c r="E3018">
        <v>-0.775403239304568</v>
      </c>
      <c r="F3018">
        <v>7.3304604887965E-4</v>
      </c>
      <c r="G3018">
        <v>2.5584772655969E-2</v>
      </c>
      <c r="H3018">
        <v>0.47547420493589698</v>
      </c>
      <c r="I3018">
        <v>-5.5596001472396298E-3</v>
      </c>
    </row>
    <row r="3019" spans="1:9" x14ac:dyDescent="0.25">
      <c r="A3019" s="1">
        <v>96.798263192176805</v>
      </c>
      <c r="B3019">
        <v>14.141909733325599</v>
      </c>
      <c r="C3019">
        <v>2.4504588156443199</v>
      </c>
      <c r="D3019">
        <v>1.69718560301875</v>
      </c>
      <c r="E3019">
        <v>-0.75855041307453397</v>
      </c>
      <c r="F3019">
        <v>7.9891777424487298E-4</v>
      </c>
      <c r="G3019">
        <v>2.2262915205262801E-2</v>
      </c>
      <c r="H3019">
        <v>0.46657216255716399</v>
      </c>
      <c r="I3019">
        <v>-4.8007647392983898E-3</v>
      </c>
    </row>
    <row r="3020" spans="1:9" x14ac:dyDescent="0.25">
      <c r="A3020" s="1">
        <v>106.497616767883</v>
      </c>
      <c r="B3020">
        <v>14.344362873494999</v>
      </c>
      <c r="C3020">
        <v>2.2774883205646499</v>
      </c>
      <c r="D3020">
        <v>1.55140940451473</v>
      </c>
      <c r="E3020">
        <v>-0.73898742383166804</v>
      </c>
      <c r="F3020">
        <v>1.05542786443056E-3</v>
      </c>
      <c r="G3020">
        <v>1.9348876475549399E-2</v>
      </c>
      <c r="H3020">
        <v>0.45789048542223698</v>
      </c>
      <c r="I3020">
        <v>-4.1451045406208503E-3</v>
      </c>
    </row>
    <row r="3021" spans="1:9" x14ac:dyDescent="0.25">
      <c r="A3021" s="1">
        <v>117.06990510225199</v>
      </c>
      <c r="B3021">
        <v>14.5445927693549</v>
      </c>
      <c r="C3021">
        <v>2.1149088196741599</v>
      </c>
      <c r="D3021">
        <v>1.42036085169349</v>
      </c>
      <c r="E3021">
        <v>-0.71647664462189598</v>
      </c>
      <c r="F3021">
        <v>1.23898373236429E-3</v>
      </c>
      <c r="G3021">
        <v>1.68000860832325E-2</v>
      </c>
      <c r="H3021">
        <v>0.45004226741487602</v>
      </c>
      <c r="I3021">
        <v>-3.5798063213156E-3</v>
      </c>
    </row>
    <row r="3022" spans="1:9" x14ac:dyDescent="0.25">
      <c r="A3022" s="1">
        <v>128.593670427799</v>
      </c>
      <c r="B3022">
        <v>14.743539702803201</v>
      </c>
      <c r="C3022">
        <v>1.96076515220471</v>
      </c>
      <c r="D3022">
        <v>1.3013691427379399</v>
      </c>
      <c r="E3022">
        <v>-0.69105335699100801</v>
      </c>
      <c r="F3022">
        <v>1.5447509735412399E-3</v>
      </c>
      <c r="G3022">
        <v>1.454141039409E-2</v>
      </c>
      <c r="H3022">
        <v>0.44263057507883902</v>
      </c>
      <c r="I3022">
        <v>-3.07559294120107E-3</v>
      </c>
    </row>
    <row r="3023" spans="1:9" x14ac:dyDescent="0.25">
      <c r="A3023" s="1">
        <v>141.15461230278001</v>
      </c>
      <c r="B3023">
        <v>14.9416424720589</v>
      </c>
      <c r="C3023">
        <v>1.8132104595030201</v>
      </c>
      <c r="D3023">
        <v>1.19215653952054</v>
      </c>
      <c r="E3023">
        <v>-0.66249913176275099</v>
      </c>
      <c r="F3023">
        <v>2.1852498685583002E-3</v>
      </c>
      <c r="G3023">
        <v>1.25241348044776E-2</v>
      </c>
      <c r="H3023">
        <v>0.43543980695694401</v>
      </c>
      <c r="I3023">
        <v>-2.6235954702174798E-3</v>
      </c>
    </row>
    <row r="3024" spans="1:9" x14ac:dyDescent="0.25">
      <c r="A3024" s="1">
        <v>154.84601140022201</v>
      </c>
      <c r="B3024">
        <v>15.1387004836503</v>
      </c>
      <c r="C3024">
        <v>1.67079732743979</v>
      </c>
      <c r="D3024">
        <v>1.09065100356019</v>
      </c>
      <c r="E3024">
        <v>-0.630639159922599</v>
      </c>
      <c r="F3024">
        <v>2.3038249067975302E-3</v>
      </c>
      <c r="G3024">
        <v>1.0713157430035401E-2</v>
      </c>
      <c r="H3024">
        <v>0.42796508865865701</v>
      </c>
      <c r="I3024">
        <v>-2.21685576488868E-3</v>
      </c>
    </row>
    <row r="3025" spans="1:9" x14ac:dyDescent="0.25">
      <c r="A3025" s="1">
        <v>169.76969480514501</v>
      </c>
      <c r="B3025">
        <v>15.3346552311483</v>
      </c>
      <c r="C3025">
        <v>1.5312351019056401</v>
      </c>
      <c r="D3025">
        <v>0.99444595917021394</v>
      </c>
      <c r="E3025">
        <v>-0.59500885345018795</v>
      </c>
      <c r="F3025">
        <v>1.91569923006112E-3</v>
      </c>
      <c r="G3025">
        <v>9.0917124275973395E-3</v>
      </c>
      <c r="H3025">
        <v>0.42049299884604202</v>
      </c>
      <c r="I3025">
        <v>-1.8523661253036299E-3</v>
      </c>
    </row>
    <row r="3026" spans="1:9" x14ac:dyDescent="0.25">
      <c r="A3026" s="1">
        <v>186.03645980358101</v>
      </c>
      <c r="B3026">
        <v>15.5300332724157</v>
      </c>
      <c r="C3026">
        <v>1.3926883696491199</v>
      </c>
      <c r="D3026">
        <v>0.90173998794249199</v>
      </c>
      <c r="E3026">
        <v>-0.55512735620610498</v>
      </c>
      <c r="F3026">
        <v>1.7371306658856801E-3</v>
      </c>
      <c r="G3026">
        <v>7.6405758485316002E-3</v>
      </c>
      <c r="H3026">
        <v>0.41356916565310797</v>
      </c>
      <c r="I3026">
        <v>-1.5287990998186199E-3</v>
      </c>
    </row>
    <row r="3027" spans="1:9" x14ac:dyDescent="0.25">
      <c r="A3027" s="1">
        <v>203.76720398664401</v>
      </c>
      <c r="B3027">
        <v>15.7243707350496</v>
      </c>
      <c r="C3027">
        <v>1.25510247887649</v>
      </c>
      <c r="D3027">
        <v>0.81112104013851505</v>
      </c>
      <c r="E3027">
        <v>-0.51088591832451102</v>
      </c>
      <c r="F3027">
        <v>1.51508918718703E-3</v>
      </c>
      <c r="G3027">
        <v>6.3350510349939803E-3</v>
      </c>
      <c r="H3027">
        <v>0.40626741817658302</v>
      </c>
      <c r="I3027">
        <v>-1.2400013768955999E-3</v>
      </c>
    </row>
    <row r="3028" spans="1:9" x14ac:dyDescent="0.25">
      <c r="A3028" s="1">
        <v>223.09376105666101</v>
      </c>
      <c r="B3028">
        <v>15.916021080971101</v>
      </c>
      <c r="C3028">
        <v>1.1175645872577999</v>
      </c>
      <c r="D3028">
        <v>0.72144509752400598</v>
      </c>
      <c r="E3028">
        <v>-0.46182736592615498</v>
      </c>
      <c r="F3028">
        <v>1.20145632270308E-3</v>
      </c>
      <c r="G3028">
        <v>5.1499527033383903E-3</v>
      </c>
      <c r="H3028">
        <v>0.39886142070091501</v>
      </c>
      <c r="I3028">
        <v>-9.7593059551148297E-4</v>
      </c>
    </row>
    <row r="3029" spans="1:9" x14ac:dyDescent="0.25">
      <c r="A3029" s="1">
        <v>244.15970131754801</v>
      </c>
      <c r="B3029">
        <v>16.103575976848902</v>
      </c>
      <c r="C3029">
        <v>0.97914990632493903</v>
      </c>
      <c r="D3029">
        <v>0.63114628566501496</v>
      </c>
      <c r="E3029">
        <v>-0.40734968944099198</v>
      </c>
      <c r="F3029">
        <v>4.21761782346805E-4</v>
      </c>
      <c r="G3029">
        <v>4.0854107525144503E-3</v>
      </c>
      <c r="H3029">
        <v>0.39198383267946502</v>
      </c>
      <c r="I3029">
        <v>-7.4056411173371102E-4</v>
      </c>
    </row>
    <row r="3030" spans="1:9" x14ac:dyDescent="0.25">
      <c r="A3030" s="1">
        <v>267.12157949805197</v>
      </c>
      <c r="B3030">
        <v>16.284197860867099</v>
      </c>
      <c r="C3030">
        <v>0.84075339496748402</v>
      </c>
      <c r="D3030">
        <v>0.54074666386836101</v>
      </c>
      <c r="E3030">
        <v>-0.347091923538555</v>
      </c>
      <c r="F3030">
        <v>-5.90007420876595E-4</v>
      </c>
      <c r="G3030">
        <v>3.1517736398653899E-3</v>
      </c>
      <c r="H3030">
        <v>0.38610872313804201</v>
      </c>
      <c r="I3030">
        <v>-5.4179663718428102E-4</v>
      </c>
    </row>
    <row r="3031" spans="1:9" x14ac:dyDescent="0.25">
      <c r="A3031" s="1">
        <v>292.15002954006098</v>
      </c>
      <c r="B3031">
        <v>16.453130996138199</v>
      </c>
      <c r="C3031">
        <v>0.70279824691821602</v>
      </c>
      <c r="D3031">
        <v>0.44955674059964501</v>
      </c>
      <c r="E3031">
        <v>-0.280542517831465</v>
      </c>
      <c r="F3031">
        <v>-1.16510181057735E-3</v>
      </c>
      <c r="G3031">
        <v>2.3540183952823202E-3</v>
      </c>
      <c r="H3031">
        <v>0.38246842463046399</v>
      </c>
      <c r="I3031">
        <v>-3.8101038037707103E-4</v>
      </c>
    </row>
    <row r="3032" spans="1:9" x14ac:dyDescent="0.25">
      <c r="A3032" s="1">
        <v>319.43101242184599</v>
      </c>
      <c r="B3032">
        <v>16.600901520163099</v>
      </c>
      <c r="C3032">
        <v>0.572573752469554</v>
      </c>
      <c r="D3032">
        <v>0.36184146177958398</v>
      </c>
      <c r="E3032">
        <v>-0.20737585875908801</v>
      </c>
      <c r="F3032">
        <v>-8.9259870971886103E-4</v>
      </c>
      <c r="G3032">
        <v>1.7089654376949901E-3</v>
      </c>
      <c r="H3032">
        <v>0.38236343926402599</v>
      </c>
      <c r="I3032">
        <v>-2.6280989274809E-4</v>
      </c>
    </row>
    <row r="3033" spans="1:9" x14ac:dyDescent="0.25">
      <c r="A3033" s="1">
        <v>349.16732590645501</v>
      </c>
      <c r="B3033">
        <v>16.715544868171499</v>
      </c>
      <c r="C3033">
        <v>0.46436645562519102</v>
      </c>
      <c r="D3033">
        <v>0.28682423024794101</v>
      </c>
      <c r="E3033">
        <v>-0.12628375736694999</v>
      </c>
      <c r="F3033">
        <v>-1.02795784764828E-3</v>
      </c>
      <c r="G3033">
        <v>1.2635755790658999E-3</v>
      </c>
      <c r="H3033">
        <v>0.386941657644024</v>
      </c>
      <c r="I3033">
        <v>-1.9260383486581199E-4</v>
      </c>
    </row>
    <row r="3034" spans="1:9" x14ac:dyDescent="0.25">
      <c r="A3034" s="1">
        <v>379.83785875141598</v>
      </c>
      <c r="B3034">
        <v>16.7760781272355</v>
      </c>
      <c r="C3034">
        <v>0.40255720830235397</v>
      </c>
      <c r="D3034">
        <v>0.243157203177126</v>
      </c>
      <c r="E3034">
        <v>-4.1724308589134E-2</v>
      </c>
      <c r="F3034">
        <v>-1.3686577042289799E-3</v>
      </c>
      <c r="G3034">
        <v>1.03181391898347E-3</v>
      </c>
      <c r="H3034">
        <v>0.407793102008149</v>
      </c>
      <c r="I3034">
        <v>-1.52786483719163E-4</v>
      </c>
    </row>
    <row r="3035" spans="1:9" x14ac:dyDescent="0.25">
      <c r="A3035" s="1" t="s">
        <v>564</v>
      </c>
      <c r="B3035" s="1" t="s">
        <v>614</v>
      </c>
      <c r="C3035" s="1" t="s">
        <v>615</v>
      </c>
      <c r="D3035" s="1" t="s">
        <v>616</v>
      </c>
      <c r="E3035" s="1" t="s">
        <v>617</v>
      </c>
      <c r="F3035" s="1" t="s">
        <v>618</v>
      </c>
      <c r="G3035" s="1" t="s">
        <v>400</v>
      </c>
      <c r="H3035" s="1" t="s">
        <v>619</v>
      </c>
      <c r="I3035" s="1" t="s">
        <v>613</v>
      </c>
    </row>
    <row r="3036" spans="1:9" x14ac:dyDescent="0.25">
      <c r="A3036" s="1">
        <v>-141.555516719818</v>
      </c>
      <c r="B3036">
        <v>-450.20770171371402</v>
      </c>
      <c r="C3036">
        <v>4.1208065556287898E-3</v>
      </c>
      <c r="D3036">
        <v>0</v>
      </c>
      <c r="E3036">
        <v>0</v>
      </c>
      <c r="F3036">
        <v>0</v>
      </c>
      <c r="G3036" s="1">
        <v>8.2120655162665204E-8</v>
      </c>
      <c r="H3036">
        <v>8.2185879553253904E-2</v>
      </c>
      <c r="I3036">
        <v>0</v>
      </c>
    </row>
    <row r="3037" spans="1:9" x14ac:dyDescent="0.25">
      <c r="A3037" s="1">
        <v>-128.95890593528699</v>
      </c>
      <c r="B3037">
        <v>-410.19963470784103</v>
      </c>
      <c r="C3037">
        <v>4.2239143693344498E-3</v>
      </c>
      <c r="D3037">
        <v>0</v>
      </c>
      <c r="E3037">
        <v>0</v>
      </c>
      <c r="F3037">
        <v>0</v>
      </c>
      <c r="G3037" s="1">
        <v>1.3932687574813501E-7</v>
      </c>
      <c r="H3037">
        <v>0.42036719393719002</v>
      </c>
      <c r="I3037">
        <v>0</v>
      </c>
    </row>
    <row r="3038" spans="1:9" x14ac:dyDescent="0.25">
      <c r="A3038" s="1">
        <v>-117.402367591857</v>
      </c>
      <c r="B3038">
        <v>-373.48557996240601</v>
      </c>
      <c r="C3038">
        <v>4.4607330340688898E-3</v>
      </c>
      <c r="D3038">
        <v>0</v>
      </c>
      <c r="E3038">
        <v>0</v>
      </c>
      <c r="F3038">
        <v>0</v>
      </c>
      <c r="G3038" s="1">
        <v>2.5018788322483901E-7</v>
      </c>
      <c r="H3038">
        <v>0.62880891722922605</v>
      </c>
      <c r="I3038">
        <v>0</v>
      </c>
    </row>
    <row r="3039" spans="1:9" x14ac:dyDescent="0.25">
      <c r="A3039" s="1">
        <v>-106.80001378059301</v>
      </c>
      <c r="B3039">
        <v>-339.79510404554298</v>
      </c>
      <c r="C3039">
        <v>4.8904078374051299E-3</v>
      </c>
      <c r="D3039">
        <v>0</v>
      </c>
      <c r="E3039">
        <v>0</v>
      </c>
      <c r="F3039">
        <v>0</v>
      </c>
      <c r="G3039" s="1">
        <v>4.21796998636647E-7</v>
      </c>
      <c r="H3039">
        <v>0.72800042602702897</v>
      </c>
      <c r="I3039">
        <v>0</v>
      </c>
    </row>
    <row r="3040" spans="1:9" x14ac:dyDescent="0.25">
      <c r="A3040" s="1">
        <v>-97.073161005973802</v>
      </c>
      <c r="B3040">
        <v>-308.879738510523</v>
      </c>
      <c r="C3040">
        <v>5.5854320991467398E-3</v>
      </c>
      <c r="D3040">
        <v>0</v>
      </c>
      <c r="E3040">
        <v>0</v>
      </c>
      <c r="F3040">
        <v>0</v>
      </c>
      <c r="G3040" s="1">
        <v>6.7497511576619598E-7</v>
      </c>
      <c r="H3040">
        <v>0.77674743429654902</v>
      </c>
      <c r="I3040">
        <v>0</v>
      </c>
    </row>
    <row r="3041" spans="1:9" x14ac:dyDescent="0.25">
      <c r="A3041" s="1">
        <v>-88.149435520172105</v>
      </c>
      <c r="B3041">
        <v>-280.511442012462</v>
      </c>
      <c r="C3041">
        <v>6.6285429972808502E-3</v>
      </c>
      <c r="D3041">
        <v>0</v>
      </c>
      <c r="E3041">
        <v>0</v>
      </c>
      <c r="F3041">
        <v>0</v>
      </c>
      <c r="G3041" s="1">
        <v>1.0470768959489601E-6</v>
      </c>
      <c r="H3041">
        <v>0.80270071180555902</v>
      </c>
      <c r="I3041">
        <v>0</v>
      </c>
    </row>
    <row r="3042" spans="1:9" x14ac:dyDescent="0.25">
      <c r="A3042" s="1">
        <v>-79.962490797042804</v>
      </c>
      <c r="B3042">
        <v>-254.480761534843</v>
      </c>
      <c r="C3042">
        <v>8.1153884360224797E-3</v>
      </c>
      <c r="D3042">
        <v>0</v>
      </c>
      <c r="E3042">
        <v>0</v>
      </c>
      <c r="F3042">
        <v>0</v>
      </c>
      <c r="G3042" s="1">
        <v>1.59654637640471E-6</v>
      </c>
      <c r="H3042">
        <v>0.81820589609679995</v>
      </c>
      <c r="I3042">
        <v>0</v>
      </c>
    </row>
    <row r="3043" spans="1:9" x14ac:dyDescent="0.25">
      <c r="A3043" s="1">
        <v>-72.451583743095298</v>
      </c>
      <c r="B3043">
        <v>-230.595444951329</v>
      </c>
      <c r="C3043">
        <v>1.01596338857535E-2</v>
      </c>
      <c r="D3043">
        <v>0</v>
      </c>
      <c r="E3043">
        <v>0</v>
      </c>
      <c r="F3043">
        <v>0</v>
      </c>
      <c r="G3043" s="1">
        <v>2.4105551219246699E-6</v>
      </c>
      <c r="H3043">
        <v>0.82899294041735905</v>
      </c>
      <c r="I3043">
        <v>0</v>
      </c>
    </row>
    <row r="3044" spans="1:9" x14ac:dyDescent="0.25">
      <c r="A3044" s="1">
        <v>-65.560821294784503</v>
      </c>
      <c r="B3044">
        <v>-208.67898672309801</v>
      </c>
      <c r="C3044">
        <v>1.28991578773938E-2</v>
      </c>
      <c r="D3044">
        <v>0</v>
      </c>
      <c r="E3044">
        <v>0</v>
      </c>
      <c r="F3044">
        <v>0</v>
      </c>
      <c r="G3044" s="1">
        <v>3.61701048242935E-6</v>
      </c>
      <c r="H3044">
        <v>0.83774272822080598</v>
      </c>
      <c r="I3044">
        <v>0</v>
      </c>
    </row>
    <row r="3045" spans="1:9" x14ac:dyDescent="0.25">
      <c r="A3045" s="1">
        <v>-59.238972067832897</v>
      </c>
      <c r="B3045">
        <v>-188.56933239934199</v>
      </c>
      <c r="C3045">
        <v>1.6503060075594E-2</v>
      </c>
      <c r="D3045">
        <v>0</v>
      </c>
      <c r="E3045">
        <v>0</v>
      </c>
      <c r="F3045">
        <v>0</v>
      </c>
      <c r="G3045" s="1">
        <v>5.4023622543368801E-6</v>
      </c>
      <c r="H3045">
        <v>0.84565698722178195</v>
      </c>
      <c r="I3045">
        <v>0</v>
      </c>
    </row>
    <row r="3046" spans="1:9" x14ac:dyDescent="0.25">
      <c r="A3046" s="1">
        <v>-53.439136743545497</v>
      </c>
      <c r="B3046">
        <v>-170.11775027898301</v>
      </c>
      <c r="C3046">
        <v>2.1179555141083502E-2</v>
      </c>
      <c r="D3046">
        <v>0</v>
      </c>
      <c r="E3046">
        <v>0</v>
      </c>
      <c r="F3046">
        <v>0</v>
      </c>
      <c r="G3046" s="1">
        <v>8.0372626818885305E-6</v>
      </c>
      <c r="H3046">
        <v>0.85321609989850999</v>
      </c>
      <c r="I3046">
        <v>0</v>
      </c>
    </row>
    <row r="3047" spans="1:9" x14ac:dyDescent="0.25">
      <c r="A3047" s="1">
        <v>-48.118183016777003</v>
      </c>
      <c r="B3047">
        <v>-153.18769471434101</v>
      </c>
      <c r="C3047">
        <v>2.7184917245140602E-2</v>
      </c>
      <c r="D3047">
        <v>0</v>
      </c>
      <c r="E3047">
        <v>0</v>
      </c>
      <c r="F3047">
        <v>0</v>
      </c>
      <c r="G3047" s="1">
        <v>1.1913319850513901E-5</v>
      </c>
      <c r="H3047">
        <v>0.86056591855902098</v>
      </c>
      <c r="I3047">
        <v>0</v>
      </c>
    </row>
    <row r="3048" spans="1:9" x14ac:dyDescent="0.25">
      <c r="A3048" s="1">
        <v>-43.236604332923797</v>
      </c>
      <c r="B3048">
        <v>-137.653870008263</v>
      </c>
      <c r="C3048">
        <v>3.4833738458070702E-2</v>
      </c>
      <c r="D3048">
        <v>0</v>
      </c>
      <c r="E3048">
        <v>0</v>
      </c>
      <c r="F3048">
        <v>0</v>
      </c>
      <c r="G3048" s="1">
        <v>1.75958918227685E-5</v>
      </c>
      <c r="H3048">
        <v>0.86771685734835102</v>
      </c>
      <c r="I3048">
        <v>0</v>
      </c>
    </row>
    <row r="3049" spans="1:9" x14ac:dyDescent="0.25">
      <c r="A3049" s="1">
        <v>-38.758049011230398</v>
      </c>
      <c r="B3049">
        <v>-123.40125669998299</v>
      </c>
      <c r="C3049">
        <v>4.4510917360540803E-2</v>
      </c>
      <c r="D3049">
        <v>0</v>
      </c>
      <c r="E3049">
        <v>0</v>
      </c>
      <c r="F3049">
        <v>0</v>
      </c>
      <c r="G3049" s="1">
        <v>2.5900245832929099E-5</v>
      </c>
      <c r="H3049">
        <v>0.87464099510090199</v>
      </c>
      <c r="I3049">
        <v>0</v>
      </c>
    </row>
    <row r="3050" spans="1:9" x14ac:dyDescent="0.25">
      <c r="A3050" s="1">
        <v>-34.649320244789102</v>
      </c>
      <c r="B3050">
        <v>-110.324288296077</v>
      </c>
      <c r="C3050">
        <v>5.6685981443881102E-2</v>
      </c>
      <c r="D3050">
        <v>0</v>
      </c>
      <c r="E3050">
        <v>0</v>
      </c>
      <c r="F3050">
        <v>0</v>
      </c>
      <c r="G3050" s="1">
        <v>3.80023852983697E-5</v>
      </c>
      <c r="H3050">
        <v>0.88131529089152605</v>
      </c>
      <c r="I3050">
        <v>0</v>
      </c>
    </row>
    <row r="3051" spans="1:9" x14ac:dyDescent="0.25">
      <c r="A3051" s="1">
        <v>-30.879811048507602</v>
      </c>
      <c r="B3051">
        <v>-98.326078149799201</v>
      </c>
      <c r="C3051">
        <v>7.1930416163797806E-2</v>
      </c>
      <c r="D3051">
        <v>0</v>
      </c>
      <c r="E3051">
        <v>0</v>
      </c>
      <c r="F3051">
        <v>0</v>
      </c>
      <c r="G3051" s="1">
        <v>5.5602928532749699E-5</v>
      </c>
      <c r="H3051">
        <v>0.88773858794743998</v>
      </c>
      <c r="I3051">
        <v>0</v>
      </c>
    </row>
    <row r="3052" spans="1:9" x14ac:dyDescent="0.25">
      <c r="A3052" s="1">
        <v>-27.4215984344482</v>
      </c>
      <c r="B3052">
        <v>-87.317711115378799</v>
      </c>
      <c r="C3052">
        <v>9.0939216721442007E-2</v>
      </c>
      <c r="D3052">
        <v>0</v>
      </c>
      <c r="E3052">
        <v>0</v>
      </c>
      <c r="F3052">
        <v>0</v>
      </c>
      <c r="G3052" s="1">
        <v>8.1175826454270303E-5</v>
      </c>
      <c r="H3052">
        <v>0.89393749491433305</v>
      </c>
      <c r="I3052">
        <v>0</v>
      </c>
    </row>
    <row r="3053" spans="1:9" x14ac:dyDescent="0.25">
      <c r="A3053" s="1">
        <v>-24.248878359794599</v>
      </c>
      <c r="B3053">
        <v>-77.217597887787903</v>
      </c>
      <c r="C3053">
        <v>0.11455849338904101</v>
      </c>
      <c r="D3053">
        <v>0</v>
      </c>
      <c r="E3053">
        <v>0</v>
      </c>
      <c r="F3053">
        <v>0</v>
      </c>
      <c r="G3053">
        <v>1.1835840802346799E-4</v>
      </c>
      <c r="H3053">
        <v>0.89996737454949505</v>
      </c>
      <c r="I3053">
        <v>0</v>
      </c>
    </row>
    <row r="3054" spans="1:9" x14ac:dyDescent="0.25">
      <c r="A3054" s="1">
        <v>-21.3381540775299</v>
      </c>
      <c r="B3054">
        <v>-67.950845013868005</v>
      </c>
      <c r="C3054">
        <v>0.14382268694929901</v>
      </c>
      <c r="D3054">
        <v>0</v>
      </c>
      <c r="E3054">
        <v>0</v>
      </c>
      <c r="F3054">
        <v>0</v>
      </c>
      <c r="G3054">
        <v>1.72585839727219E-4</v>
      </c>
      <c r="H3054">
        <v>0.905910397545862</v>
      </c>
      <c r="I3054">
        <v>0</v>
      </c>
    </row>
    <row r="3055" spans="1:9" x14ac:dyDescent="0.25">
      <c r="A3055" s="1">
        <v>-18.6677181720733</v>
      </c>
      <c r="B3055">
        <v>-59.448741393938597</v>
      </c>
      <c r="C3055">
        <v>0.180007253310704</v>
      </c>
      <c r="D3055">
        <v>0</v>
      </c>
      <c r="E3055">
        <v>0</v>
      </c>
      <c r="F3055">
        <v>0</v>
      </c>
      <c r="G3055">
        <v>2.5216030799765502E-4</v>
      </c>
      <c r="H3055">
        <v>0.91187021490107201</v>
      </c>
      <c r="I3055">
        <v>0</v>
      </c>
    </row>
    <row r="3056" spans="1:9" x14ac:dyDescent="0.25">
      <c r="A3056" s="1">
        <v>-16.2178409099578</v>
      </c>
      <c r="B3056">
        <v>-51.648227936687803</v>
      </c>
      <c r="C3056">
        <v>0.22470675154988401</v>
      </c>
      <c r="D3056">
        <v>0</v>
      </c>
      <c r="E3056">
        <v>0</v>
      </c>
      <c r="F3056">
        <v>0</v>
      </c>
      <c r="G3056">
        <v>3.70111765884132E-4</v>
      </c>
      <c r="H3056">
        <v>0.91796202732218901</v>
      </c>
      <c r="I3056">
        <v>0</v>
      </c>
    </row>
    <row r="3057" spans="1:9" x14ac:dyDescent="0.25">
      <c r="A3057" s="1">
        <v>-13.9702051877975</v>
      </c>
      <c r="B3057">
        <v>-44.491438518773698</v>
      </c>
      <c r="C3057">
        <v>0.27995438576871901</v>
      </c>
      <c r="D3057">
        <v>0</v>
      </c>
      <c r="E3057">
        <v>0</v>
      </c>
      <c r="F3057">
        <v>0</v>
      </c>
      <c r="G3057">
        <v>5.4751679373350704E-4</v>
      </c>
      <c r="H3057">
        <v>0.92429479914488899</v>
      </c>
      <c r="I3057">
        <v>0</v>
      </c>
    </row>
    <row r="3058" spans="1:9" x14ac:dyDescent="0.25">
      <c r="A3058" s="1">
        <v>-11.908189058303799</v>
      </c>
      <c r="B3058">
        <v>-37.925276596780797</v>
      </c>
      <c r="C3058">
        <v>0.34840876186205999</v>
      </c>
      <c r="D3058">
        <v>0</v>
      </c>
      <c r="E3058">
        <v>0</v>
      </c>
      <c r="F3058">
        <v>0</v>
      </c>
      <c r="G3058">
        <v>8.1951931896560295E-4</v>
      </c>
      <c r="H3058">
        <v>0.93094370292495299</v>
      </c>
      <c r="I3058">
        <v>0</v>
      </c>
    </row>
    <row r="3059" spans="1:9" x14ac:dyDescent="0.25">
      <c r="A3059" s="1">
        <v>-10.016394853591899</v>
      </c>
      <c r="B3059">
        <v>-31.901018982876</v>
      </c>
      <c r="C3059">
        <v>0.43364939348631099</v>
      </c>
      <c r="D3059">
        <v>0</v>
      </c>
      <c r="E3059">
        <v>0</v>
      </c>
      <c r="F3059">
        <v>0</v>
      </c>
      <c r="G3059">
        <v>1.24638491396967E-3</v>
      </c>
      <c r="H3059">
        <v>0.93791663048642104</v>
      </c>
      <c r="I3059">
        <v>0</v>
      </c>
    </row>
    <row r="3060" spans="1:9" x14ac:dyDescent="0.25">
      <c r="A3060" s="1">
        <v>-8.2808375358581507</v>
      </c>
      <c r="B3060">
        <v>-26.373962586123401</v>
      </c>
      <c r="C3060">
        <v>0.54064594565114199</v>
      </c>
      <c r="D3060">
        <v>0</v>
      </c>
      <c r="E3060">
        <v>0</v>
      </c>
      <c r="F3060">
        <v>0</v>
      </c>
      <c r="G3060">
        <v>1.93403998452686E-3</v>
      </c>
      <c r="H3060">
        <v>0.94512783243804899</v>
      </c>
      <c r="I3060">
        <v>0</v>
      </c>
    </row>
    <row r="3061" spans="1:9" x14ac:dyDescent="0.25">
      <c r="A3061" s="1">
        <v>-6.6885209083557102</v>
      </c>
      <c r="B3061">
        <v>-21.3030829073227</v>
      </c>
      <c r="C3061">
        <v>0.676507586637624</v>
      </c>
      <c r="D3061">
        <v>0</v>
      </c>
      <c r="E3061">
        <v>0</v>
      </c>
      <c r="F3061">
        <v>0</v>
      </c>
      <c r="G3061">
        <v>3.0729022071932302E-3</v>
      </c>
      <c r="H3061">
        <v>0.95239766735541598</v>
      </c>
      <c r="I3061">
        <v>0</v>
      </c>
    </row>
    <row r="3062" spans="1:9" x14ac:dyDescent="0.25">
      <c r="A3062" s="1">
        <v>-5.2277201414108196</v>
      </c>
      <c r="B3062">
        <v>-16.6507477754093</v>
      </c>
      <c r="C3062">
        <v>0.85168911875014996</v>
      </c>
      <c r="D3062">
        <v>0</v>
      </c>
      <c r="E3062">
        <v>0</v>
      </c>
      <c r="F3062">
        <v>0</v>
      </c>
      <c r="G3062">
        <v>5.0132966644578104E-3</v>
      </c>
      <c r="H3062">
        <v>0.95948865919355997</v>
      </c>
      <c r="I3062">
        <v>0</v>
      </c>
    </row>
    <row r="3063" spans="1:9" x14ac:dyDescent="0.25">
      <c r="A3063" s="1">
        <v>-3.88755798339843</v>
      </c>
      <c r="B3063">
        <v>-12.3824154124893</v>
      </c>
      <c r="C3063">
        <v>1.08196874375318</v>
      </c>
      <c r="D3063">
        <v>0</v>
      </c>
      <c r="E3063">
        <v>0</v>
      </c>
      <c r="F3063">
        <v>0</v>
      </c>
      <c r="G3063">
        <v>8.4176900493621292E-3</v>
      </c>
      <c r="H3063">
        <v>0.96616627807178201</v>
      </c>
      <c r="I3063">
        <v>0</v>
      </c>
    </row>
    <row r="3064" spans="1:9" x14ac:dyDescent="0.25">
      <c r="A3064" s="1">
        <v>-2.6580518484115601</v>
      </c>
      <c r="B3064">
        <v>-8.4664045871533293</v>
      </c>
      <c r="C3064">
        <v>1.39179276695569</v>
      </c>
      <c r="D3064">
        <v>0</v>
      </c>
      <c r="E3064">
        <v>0</v>
      </c>
      <c r="F3064">
        <v>0</v>
      </c>
      <c r="G3064">
        <v>1.45837952361798E-2</v>
      </c>
      <c r="H3064">
        <v>0.97225497544703499</v>
      </c>
      <c r="I3064">
        <v>0</v>
      </c>
    </row>
    <row r="3065" spans="1:9" x14ac:dyDescent="0.25">
      <c r="A3065" s="1">
        <v>-1.5300196409225399</v>
      </c>
      <c r="B3065">
        <v>-4.8736417831219603</v>
      </c>
      <c r="C3065">
        <v>1.82018686112283</v>
      </c>
      <c r="D3065">
        <v>0</v>
      </c>
      <c r="E3065">
        <v>0</v>
      </c>
      <c r="F3065">
        <v>0</v>
      </c>
      <c r="G3065">
        <v>2.6172340837387301E-2</v>
      </c>
      <c r="H3065">
        <v>0.97766346061077702</v>
      </c>
      <c r="I3065">
        <v>0</v>
      </c>
    </row>
    <row r="3066" spans="1:9" x14ac:dyDescent="0.25">
      <c r="A3066" s="1">
        <v>-0.49517393112182601</v>
      </c>
      <c r="B3066">
        <v>-1.57744388965143</v>
      </c>
      <c r="C3066">
        <v>2.4317939404700399</v>
      </c>
      <c r="D3066">
        <v>0</v>
      </c>
      <c r="E3066">
        <v>0</v>
      </c>
      <c r="F3066">
        <v>0</v>
      </c>
      <c r="G3066">
        <v>4.97948589341249E-2</v>
      </c>
      <c r="H3066">
        <v>0.98267030648742504</v>
      </c>
      <c r="I3066">
        <v>0</v>
      </c>
    </row>
    <row r="3067" spans="1:9" x14ac:dyDescent="0.25">
      <c r="A3067" s="1">
        <v>0.49376130104064903</v>
      </c>
      <c r="B3067">
        <v>0.35138353097066999</v>
      </c>
      <c r="C3067">
        <v>2.9635779260831399</v>
      </c>
      <c r="D3067">
        <v>0.25532422734013599</v>
      </c>
      <c r="E3067">
        <v>-3.7771524062162298E-4</v>
      </c>
      <c r="F3067" s="1">
        <v>8.8477948941564596E-5</v>
      </c>
      <c r="G3067">
        <v>2.9352825041359699E-2</v>
      </c>
      <c r="H3067">
        <v>0.80892526114586705</v>
      </c>
      <c r="I3067" s="1">
        <v>5.8950509370690699E-7</v>
      </c>
    </row>
    <row r="3068" spans="1:9" x14ac:dyDescent="0.25">
      <c r="A3068" s="1">
        <v>1.5257111191749499</v>
      </c>
      <c r="B3068">
        <v>1.0850499740503801</v>
      </c>
      <c r="C3068">
        <v>3.23468458703235</v>
      </c>
      <c r="D3068">
        <v>0.86198100568411096</v>
      </c>
      <c r="E3068">
        <v>-3.5197406683641101E-3</v>
      </c>
      <c r="F3068">
        <v>3.02500923794313E-4</v>
      </c>
      <c r="G3068">
        <v>4.6981332095374299E-2</v>
      </c>
      <c r="H3068">
        <v>0.86552470721274199</v>
      </c>
      <c r="I3068" s="1">
        <v>2.37456709988115E-5</v>
      </c>
    </row>
    <row r="3069" spans="1:9" x14ac:dyDescent="0.25">
      <c r="A3069" s="1">
        <v>2.6505178213119498</v>
      </c>
      <c r="B3069">
        <v>1.87869386511669</v>
      </c>
      <c r="C3069">
        <v>3.6038291264628599</v>
      </c>
      <c r="D3069">
        <v>1.6451608102692501</v>
      </c>
      <c r="E3069">
        <v>-1.4062448393740001E-2</v>
      </c>
      <c r="F3069">
        <v>5.8038475109229001E-4</v>
      </c>
      <c r="G3069">
        <v>6.6715384785091703E-2</v>
      </c>
      <c r="H3069">
        <v>0.88981193298851302</v>
      </c>
      <c r="I3069">
        <v>1.3462930735011399E-4</v>
      </c>
    </row>
    <row r="3070" spans="1:9" x14ac:dyDescent="0.25">
      <c r="A3070" s="1">
        <v>3.8765159249305698</v>
      </c>
      <c r="B3070">
        <v>2.7285122862718998</v>
      </c>
      <c r="C3070">
        <v>4.1042919115547001</v>
      </c>
      <c r="D3070">
        <v>2.63091274566046</v>
      </c>
      <c r="E3070">
        <v>-3.63450050019802E-2</v>
      </c>
      <c r="F3070">
        <v>9.1483560689734295E-4</v>
      </c>
      <c r="G3070">
        <v>8.4214376868337798E-2</v>
      </c>
      <c r="H3070">
        <v>0.89496183937171503</v>
      </c>
      <c r="I3070">
        <v>3.4070558965110497E-4</v>
      </c>
    </row>
    <row r="3071" spans="1:9" x14ac:dyDescent="0.25">
      <c r="A3071" s="1">
        <v>5.2129346132278398</v>
      </c>
      <c r="B3071">
        <v>3.6241495995484301</v>
      </c>
      <c r="C3071">
        <v>4.7472991646958098</v>
      </c>
      <c r="D3071">
        <v>3.7951095249074802</v>
      </c>
      <c r="E3071">
        <v>-7.5094422370573802E-2</v>
      </c>
      <c r="F3071">
        <v>1.2675784373598301E-3</v>
      </c>
      <c r="G3071">
        <v>9.5555884717398704E-2</v>
      </c>
      <c r="H3071">
        <v>0.88603329115521101</v>
      </c>
      <c r="I3071">
        <v>6.9680459319100899E-4</v>
      </c>
    </row>
    <row r="3072" spans="1:9" x14ac:dyDescent="0.25">
      <c r="A3072" s="1">
        <v>6.6695916652679399</v>
      </c>
      <c r="B3072">
        <v>4.5473350829146799</v>
      </c>
      <c r="C3072">
        <v>5.4967864247102796</v>
      </c>
      <c r="D3072">
        <v>5.0359795113855901</v>
      </c>
      <c r="E3072">
        <v>-0.13280363142127699</v>
      </c>
      <c r="F3072">
        <v>1.5704579763019799E-3</v>
      </c>
      <c r="G3072">
        <v>0.100254866142325</v>
      </c>
      <c r="H3072">
        <v>0.86579227256825297</v>
      </c>
      <c r="I3072">
        <v>1.60304487192524E-3</v>
      </c>
    </row>
    <row r="3073" spans="1:9" x14ac:dyDescent="0.25">
      <c r="A3073" s="1">
        <v>8.2573878765106201</v>
      </c>
      <c r="B3073">
        <v>5.47284828635678</v>
      </c>
      <c r="C3073">
        <v>6.2626726564711301</v>
      </c>
      <c r="D3073">
        <v>6.1889559971041503</v>
      </c>
      <c r="E3073">
        <v>-0.20773989123148301</v>
      </c>
      <c r="F3073">
        <v>1.74628741848712E-3</v>
      </c>
      <c r="G3073">
        <v>0.101541259733547</v>
      </c>
      <c r="H3073">
        <v>0.83820842571044196</v>
      </c>
      <c r="I3073">
        <v>4.0197931750923701E-3</v>
      </c>
    </row>
    <row r="3074" spans="1:9" x14ac:dyDescent="0.25">
      <c r="A3074" s="1">
        <v>9.9880245327949506</v>
      </c>
      <c r="B3074">
        <v>6.3725726916156704</v>
      </c>
      <c r="C3074">
        <v>6.9291086471644796</v>
      </c>
      <c r="D3074">
        <v>7.0904373955787801</v>
      </c>
      <c r="E3074">
        <v>-0.293816637699373</v>
      </c>
      <c r="F3074">
        <v>1.7339680564627199E-3</v>
      </c>
      <c r="G3074">
        <v>0.103295041379269</v>
      </c>
      <c r="H3074">
        <v>0.808935304834418</v>
      </c>
      <c r="I3074">
        <v>8.0378654060722504E-3</v>
      </c>
    </row>
    <row r="3075" spans="1:9" x14ac:dyDescent="0.25">
      <c r="A3075" s="1">
        <v>11.874474287032999</v>
      </c>
      <c r="B3075">
        <v>7.2215845598541204</v>
      </c>
      <c r="C3075">
        <v>7.4026982010224298</v>
      </c>
      <c r="D3075">
        <v>7.6455559283686201</v>
      </c>
      <c r="E3075">
        <v>-0.38293947843678899</v>
      </c>
      <c r="F3075">
        <v>1.5336291387130999E-3</v>
      </c>
      <c r="G3075">
        <v>0.106608534162656</v>
      </c>
      <c r="H3075">
        <v>0.78186596909152495</v>
      </c>
      <c r="I3075">
        <v>1.09564695925106E-2</v>
      </c>
    </row>
    <row r="3076" spans="1:9" x14ac:dyDescent="0.25">
      <c r="A3076" s="1">
        <v>13.9306750893592</v>
      </c>
      <c r="B3076">
        <v>8.0030925458930504</v>
      </c>
      <c r="C3076">
        <v>7.6433703939573903</v>
      </c>
      <c r="D3076">
        <v>7.8486129539623102</v>
      </c>
      <c r="E3076">
        <v>-0.46798782060143701</v>
      </c>
      <c r="F3076">
        <v>1.2171783078394601E-3</v>
      </c>
      <c r="G3076">
        <v>0.109835428505794</v>
      </c>
      <c r="H3076">
        <v>0.75730022478726799</v>
      </c>
      <c r="I3076">
        <v>1.00966276092706E-2</v>
      </c>
    </row>
    <row r="3077" spans="1:9" x14ac:dyDescent="0.25">
      <c r="A3077" s="1">
        <v>16.171883344650201</v>
      </c>
      <c r="B3077">
        <v>8.7097290186844791</v>
      </c>
      <c r="C3077">
        <v>7.6616664410575996</v>
      </c>
      <c r="D3077">
        <v>7.7562999420199397</v>
      </c>
      <c r="E3077">
        <v>-0.54436009961932696</v>
      </c>
      <c r="F3077">
        <v>9.0240313644368E-4</v>
      </c>
      <c r="G3077">
        <v>0.111001241711781</v>
      </c>
      <c r="H3077">
        <v>0.73392483950237397</v>
      </c>
      <c r="I3077">
        <v>5.8218805906349001E-3</v>
      </c>
    </row>
    <row r="3078" spans="1:9" x14ac:dyDescent="0.25">
      <c r="A3078" s="1">
        <v>18.614838719367899</v>
      </c>
      <c r="B3078">
        <v>9.3417447200678296</v>
      </c>
      <c r="C3078">
        <v>7.4975279333699199</v>
      </c>
      <c r="D3078">
        <v>7.4485115621310296</v>
      </c>
      <c r="E3078">
        <v>-0.609957783947771</v>
      </c>
      <c r="F3078">
        <v>7.1235430579644199E-4</v>
      </c>
      <c r="G3078">
        <v>0.109303527208179</v>
      </c>
      <c r="H3078">
        <v>0.71070495206531903</v>
      </c>
      <c r="I3078">
        <v>2.35645651084973E-4</v>
      </c>
    </row>
    <row r="3079" spans="1:9" x14ac:dyDescent="0.25">
      <c r="A3079" s="1">
        <v>21.2777170538902</v>
      </c>
      <c r="B3079">
        <v>9.9040750852488006</v>
      </c>
      <c r="C3079">
        <v>7.1999898336975798</v>
      </c>
      <c r="D3079">
        <v>7.0020128335265799</v>
      </c>
      <c r="E3079">
        <v>-0.66445639700089398</v>
      </c>
      <c r="F3079">
        <v>7.3615472714177598E-4</v>
      </c>
      <c r="G3079">
        <v>0.105067738254426</v>
      </c>
      <c r="H3079">
        <v>0.68730381215115299</v>
      </c>
      <c r="I3079">
        <v>-4.9372220804884603E-3</v>
      </c>
    </row>
    <row r="3080" spans="1:9" x14ac:dyDescent="0.25">
      <c r="A3080" s="1">
        <v>24.180224537849401</v>
      </c>
      <c r="B3080">
        <v>10.403882972773101</v>
      </c>
      <c r="C3080">
        <v>6.8152080140126703</v>
      </c>
      <c r="D3080">
        <v>6.4786075540475396</v>
      </c>
      <c r="E3080">
        <v>-0.70853167914571302</v>
      </c>
      <c r="F3080">
        <v>1.0110884919632499E-3</v>
      </c>
      <c r="G3080">
        <v>9.9104656916010503E-2</v>
      </c>
      <c r="H3080">
        <v>0.66384097578442203</v>
      </c>
      <c r="I3080">
        <v>-8.9443669909699298E-3</v>
      </c>
    </row>
    <row r="3081" spans="1:9" x14ac:dyDescent="0.25">
      <c r="A3081" s="1">
        <v>27.343950867652801</v>
      </c>
      <c r="B3081">
        <v>10.8489998860918</v>
      </c>
      <c r="C3081">
        <v>6.3815978210276398</v>
      </c>
      <c r="D3081">
        <v>5.9241740084502696</v>
      </c>
      <c r="E3081">
        <v>-0.74329494553304698</v>
      </c>
      <c r="F3081">
        <v>1.4704219443055801E-3</v>
      </c>
      <c r="G3081">
        <v>9.2187037835238406E-2</v>
      </c>
      <c r="H3081">
        <v>0.64066151510343905</v>
      </c>
      <c r="I3081">
        <v>-1.167647906872E-2</v>
      </c>
    </row>
    <row r="3082" spans="1:9" x14ac:dyDescent="0.25">
      <c r="A3082" s="1">
        <v>30.7923927903175</v>
      </c>
      <c r="B3082">
        <v>11.2471737480424</v>
      </c>
      <c r="C3082">
        <v>5.9288589279590402</v>
      </c>
      <c r="D3082">
        <v>5.3706891726652604</v>
      </c>
      <c r="E3082">
        <v>-0.76996550986889301</v>
      </c>
      <c r="F3082">
        <v>2.0230440895130999E-3</v>
      </c>
      <c r="G3082">
        <v>8.4853919428821103E-2</v>
      </c>
      <c r="H3082">
        <v>0.61819407663752901</v>
      </c>
      <c r="I3082">
        <v>-1.32720518497597E-2</v>
      </c>
    </row>
    <row r="3083" spans="1:9" x14ac:dyDescent="0.25">
      <c r="A3083" s="1">
        <v>34.551213085651298</v>
      </c>
      <c r="B3083">
        <v>11.6056677139066</v>
      </c>
      <c r="C3083">
        <v>5.4785876635256496</v>
      </c>
      <c r="D3083">
        <v>4.8392833033081297</v>
      </c>
      <c r="E3083">
        <v>-0.78971497328979001</v>
      </c>
      <c r="F3083">
        <v>2.61479746717601E-3</v>
      </c>
      <c r="G3083">
        <v>7.7421443789302297E-2</v>
      </c>
      <c r="H3083">
        <v>0.59685979361685704</v>
      </c>
      <c r="I3083">
        <v>-1.39298537435155E-2</v>
      </c>
    </row>
    <row r="3084" spans="1:9" x14ac:dyDescent="0.25">
      <c r="A3084" s="1">
        <v>38.6483111977577</v>
      </c>
      <c r="B3084">
        <v>11.931067935999399</v>
      </c>
      <c r="C3084">
        <v>5.0453957999776096</v>
      </c>
      <c r="D3084">
        <v>4.3426705269525101</v>
      </c>
      <c r="E3084">
        <v>-0.80356468072158305</v>
      </c>
      <c r="F3084">
        <v>3.1141544702591099E-3</v>
      </c>
      <c r="G3084">
        <v>7.0078269018710601E-2</v>
      </c>
      <c r="H3084">
        <v>0.57705450267886105</v>
      </c>
      <c r="I3084">
        <v>-1.3849630224275201E-2</v>
      </c>
    </row>
    <row r="3085" spans="1:9" x14ac:dyDescent="0.25">
      <c r="A3085" s="1">
        <v>43.1141293048858</v>
      </c>
      <c r="B3085">
        <v>12.2292250572405</v>
      </c>
      <c r="C3085">
        <v>4.6383283522485401</v>
      </c>
      <c r="D3085">
        <v>3.8881581346978602</v>
      </c>
      <c r="E3085">
        <v>-0.81235529073455803</v>
      </c>
      <c r="F3085">
        <v>3.4735878773766498E-3</v>
      </c>
      <c r="G3085">
        <v>6.2950981990296903E-2</v>
      </c>
      <c r="H3085">
        <v>0.55905309609143505</v>
      </c>
      <c r="I3085">
        <v>-1.3218652434931699E-2</v>
      </c>
    </row>
    <row r="3086" spans="1:9" x14ac:dyDescent="0.25">
      <c r="A3086" s="1">
        <v>47.981887757778097</v>
      </c>
      <c r="B3086">
        <v>12.5051706305407</v>
      </c>
      <c r="C3086">
        <v>4.2622868136734402</v>
      </c>
      <c r="D3086">
        <v>3.4788292683207098</v>
      </c>
      <c r="E3086">
        <v>-0.81679169707128196</v>
      </c>
      <c r="F3086">
        <v>3.6353097699371398E-3</v>
      </c>
      <c r="G3086">
        <v>5.6129145833421601E-2</v>
      </c>
      <c r="H3086">
        <v>0.542883242192847</v>
      </c>
      <c r="I3086">
        <v>-1.2217678894764401E-2</v>
      </c>
    </row>
    <row r="3087" spans="1:9" x14ac:dyDescent="0.25">
      <c r="A3087" s="1">
        <v>53.287820518016801</v>
      </c>
      <c r="B3087">
        <v>12.7631045817099</v>
      </c>
      <c r="C3087">
        <v>3.9189064460392</v>
      </c>
      <c r="D3087">
        <v>3.1146953832567199</v>
      </c>
      <c r="E3087">
        <v>-0.81740794443026998</v>
      </c>
      <c r="F3087">
        <v>3.54261193499364E-3</v>
      </c>
      <c r="G3087">
        <v>4.9708674758857797E-2</v>
      </c>
      <c r="H3087">
        <v>0.52853443570473302</v>
      </c>
      <c r="I3087">
        <v>-1.1010150409922001E-2</v>
      </c>
    </row>
    <row r="3088" spans="1:9" x14ac:dyDescent="0.25">
      <c r="A3088" s="1">
        <v>59.071175158023799</v>
      </c>
      <c r="B3088">
        <v>13.006554012622599</v>
      </c>
      <c r="C3088">
        <v>3.6077620526677401</v>
      </c>
      <c r="D3088">
        <v>2.7933426597420699</v>
      </c>
      <c r="E3088">
        <v>-0.81461175726871504</v>
      </c>
      <c r="F3088">
        <v>3.1443674488408802E-3</v>
      </c>
      <c r="G3088">
        <v>4.37868580040532E-2</v>
      </c>
      <c r="H3088">
        <v>0.51590493981219399</v>
      </c>
      <c r="I3088">
        <v>-9.7487966741367001E-3</v>
      </c>
    </row>
    <row r="3089" spans="1:9" x14ac:dyDescent="0.25">
      <c r="A3089" s="1">
        <v>65.375131070613804</v>
      </c>
      <c r="B3089">
        <v>13.238414991523999</v>
      </c>
      <c r="C3089">
        <v>3.32742438900513</v>
      </c>
      <c r="D3089">
        <v>2.5118542607924201</v>
      </c>
      <c r="E3089">
        <v>-0.80870655125984003</v>
      </c>
      <c r="F3089">
        <v>2.5306051737777101E-3</v>
      </c>
      <c r="G3089">
        <v>3.8412827827006599E-2</v>
      </c>
      <c r="H3089">
        <v>0.50459562754742204</v>
      </c>
      <c r="I3089">
        <v>-8.5329262487660092E-3</v>
      </c>
    </row>
    <row r="3090" spans="1:9" x14ac:dyDescent="0.25">
      <c r="A3090" s="1">
        <v>72.246375679969702</v>
      </c>
      <c r="B3090">
        <v>13.4610821029804</v>
      </c>
      <c r="C3090">
        <v>3.07523640501585</v>
      </c>
      <c r="D3090">
        <v>2.2661866541732198</v>
      </c>
      <c r="E3090">
        <v>-0.79992693839482998</v>
      </c>
      <c r="F3090">
        <v>1.8012053175711399E-3</v>
      </c>
      <c r="G3090">
        <v>3.3611257953126E-2</v>
      </c>
      <c r="H3090">
        <v>0.49433650810725399</v>
      </c>
      <c r="I3090">
        <v>-7.4239847217653001E-3</v>
      </c>
    </row>
    <row r="3091" spans="1:9" x14ac:dyDescent="0.25">
      <c r="A3091" s="1">
        <v>79.736069738864799</v>
      </c>
      <c r="B3091">
        <v>13.676515312369901</v>
      </c>
      <c r="C3091">
        <v>2.8478168428633701</v>
      </c>
      <c r="D3091">
        <v>2.0518386396455601</v>
      </c>
      <c r="E3091">
        <v>-0.78841128576202102</v>
      </c>
      <c r="F3091">
        <v>1.13691316223867E-3</v>
      </c>
      <c r="G3091">
        <v>2.9342154234973099E-2</v>
      </c>
      <c r="H3091">
        <v>0.48468213215704598</v>
      </c>
      <c r="I3091">
        <v>-6.4297772286135198E-3</v>
      </c>
    </row>
    <row r="3092" spans="1:9" x14ac:dyDescent="0.25">
      <c r="A3092" s="1">
        <v>87.899753153324099</v>
      </c>
      <c r="B3092">
        <v>13.8862859352193</v>
      </c>
      <c r="C3092">
        <v>2.64152978452038</v>
      </c>
      <c r="D3092">
        <v>1.86417045274169</v>
      </c>
      <c r="E3092">
        <v>-0.77420240824307895</v>
      </c>
      <c r="F3092">
        <v>7.4887751224608399E-4</v>
      </c>
      <c r="G3092">
        <v>2.55676379021752E-2</v>
      </c>
      <c r="H3092">
        <v>0.475516923740334</v>
      </c>
      <c r="I3092">
        <v>-5.5574304006152601E-3</v>
      </c>
    </row>
    <row r="3093" spans="1:9" x14ac:dyDescent="0.25">
      <c r="A3093" s="1">
        <v>96.798263192176805</v>
      </c>
      <c r="B3093">
        <v>14.0916351436339</v>
      </c>
      <c r="C3093">
        <v>2.4530755206384001</v>
      </c>
      <c r="D3093">
        <v>1.6990980264636499</v>
      </c>
      <c r="E3093">
        <v>-0.75737579117760201</v>
      </c>
      <c r="F3093">
        <v>8.1692813897508098E-4</v>
      </c>
      <c r="G3093">
        <v>2.22422797616663E-2</v>
      </c>
      <c r="H3093">
        <v>0.46659983377521802</v>
      </c>
      <c r="I3093">
        <v>-4.7967226711163298E-3</v>
      </c>
    </row>
    <row r="3094" spans="1:9" x14ac:dyDescent="0.25">
      <c r="A3094" s="1">
        <v>106.497616767883</v>
      </c>
      <c r="B3094">
        <v>14.293603516247099</v>
      </c>
      <c r="C3094">
        <v>2.2791434687372298</v>
      </c>
      <c r="D3094">
        <v>1.55302492533929</v>
      </c>
      <c r="E3094">
        <v>-0.73784269327530305</v>
      </c>
      <c r="F3094">
        <v>1.0746343901539301E-3</v>
      </c>
      <c r="G3094">
        <v>1.9326803365092501E-2</v>
      </c>
      <c r="H3094">
        <v>0.45791251493295299</v>
      </c>
      <c r="I3094">
        <v>-4.1401939242663296E-3</v>
      </c>
    </row>
    <row r="3095" spans="1:9" x14ac:dyDescent="0.25">
      <c r="A3095" s="1">
        <v>117.06990510225199</v>
      </c>
      <c r="B3095">
        <v>14.493361181642801</v>
      </c>
      <c r="C3095">
        <v>2.1157939784384201</v>
      </c>
      <c r="D3095">
        <v>1.4215435050948999</v>
      </c>
      <c r="E3095">
        <v>-0.715365981835</v>
      </c>
      <c r="F3095">
        <v>1.25340759906279E-3</v>
      </c>
      <c r="G3095">
        <v>1.67779048540285E-2</v>
      </c>
      <c r="H3095">
        <v>0.45006045592485999</v>
      </c>
      <c r="I3095">
        <v>-3.5746021866492599E-3</v>
      </c>
    </row>
    <row r="3096" spans="1:9" x14ac:dyDescent="0.25">
      <c r="A3096" s="1">
        <v>128.593670427799</v>
      </c>
      <c r="B3096">
        <v>14.6918442426882</v>
      </c>
      <c r="C3096">
        <v>1.96104270319916</v>
      </c>
      <c r="D3096">
        <v>1.3023499183040499</v>
      </c>
      <c r="E3096">
        <v>-0.68998194463088203</v>
      </c>
      <c r="F3096">
        <v>1.54845999164376E-3</v>
      </c>
      <c r="G3096">
        <v>1.45198201373477E-2</v>
      </c>
      <c r="H3096">
        <v>0.44264336882308303</v>
      </c>
      <c r="I3096">
        <v>-3.0703584323219101E-3</v>
      </c>
    </row>
    <row r="3097" spans="1:9" x14ac:dyDescent="0.25">
      <c r="A3097" s="1">
        <v>141.15461230278001</v>
      </c>
      <c r="B3097">
        <v>14.889495676632899</v>
      </c>
      <c r="C3097">
        <v>1.8130279053437901</v>
      </c>
      <c r="D3097">
        <v>1.19288091610531</v>
      </c>
      <c r="E3097">
        <v>-0.66147293472249702</v>
      </c>
      <c r="F3097">
        <v>2.1813110809667802E-3</v>
      </c>
      <c r="G3097">
        <v>1.2503783922822E-2</v>
      </c>
      <c r="H3097">
        <v>0.43544904847444699</v>
      </c>
      <c r="I3097">
        <v>-2.6185684901391601E-3</v>
      </c>
    </row>
    <row r="3098" spans="1:9" x14ac:dyDescent="0.25">
      <c r="A3098" s="1">
        <v>154.84601140022201</v>
      </c>
      <c r="B3098">
        <v>15.0861065319441</v>
      </c>
      <c r="C3098">
        <v>1.6702831427624401</v>
      </c>
      <c r="D3098">
        <v>1.0911119886870999</v>
      </c>
      <c r="E3098">
        <v>-0.62966320292594902</v>
      </c>
      <c r="F3098">
        <v>2.2986755331042001E-3</v>
      </c>
      <c r="G3098">
        <v>1.06945782022459E-2</v>
      </c>
      <c r="H3098">
        <v>0.42797367545364001</v>
      </c>
      <c r="I3098">
        <v>-2.2122298130108501E-3</v>
      </c>
    </row>
    <row r="3099" spans="1:9" x14ac:dyDescent="0.25">
      <c r="A3099" s="1">
        <v>169.76969480514501</v>
      </c>
      <c r="B3099">
        <v>15.2816224812232</v>
      </c>
      <c r="C3099">
        <v>1.53049601508227</v>
      </c>
      <c r="D3099">
        <v>0.99483252935819999</v>
      </c>
      <c r="E3099">
        <v>-0.59408834785225495</v>
      </c>
      <c r="F3099">
        <v>1.9124597870917299E-3</v>
      </c>
      <c r="G3099">
        <v>9.0752581567337398E-3</v>
      </c>
      <c r="H3099">
        <v>0.420507123380084</v>
      </c>
      <c r="I3099">
        <v>-1.84832445630816E-3</v>
      </c>
    </row>
    <row r="3100" spans="1:9" x14ac:dyDescent="0.25">
      <c r="A3100" s="1">
        <v>186.03645980358101</v>
      </c>
      <c r="B3100">
        <v>15.4765700823329</v>
      </c>
      <c r="C3100">
        <v>1.3918169453670599</v>
      </c>
      <c r="D3100">
        <v>0.90210109004192496</v>
      </c>
      <c r="E3100">
        <v>-0.55426847728056705</v>
      </c>
      <c r="F3100">
        <v>1.7317819662742301E-3</v>
      </c>
      <c r="G3100">
        <v>7.6263148837115496E-3</v>
      </c>
      <c r="H3100">
        <v>0.41359028823232402</v>
      </c>
      <c r="I3100">
        <v>-1.52538681718223E-3</v>
      </c>
    </row>
    <row r="3101" spans="1:9" x14ac:dyDescent="0.25">
      <c r="A3101" s="1">
        <v>203.76720398664401</v>
      </c>
      <c r="B3101">
        <v>15.6704979999624</v>
      </c>
      <c r="C3101">
        <v>1.25419485851113</v>
      </c>
      <c r="D3101">
        <v>0.81128716627144803</v>
      </c>
      <c r="E3101">
        <v>-0.51009467337562997</v>
      </c>
      <c r="F3101">
        <v>1.5006946912774499E-3</v>
      </c>
      <c r="G3101">
        <v>6.3229412717280302E-3</v>
      </c>
      <c r="H3101">
        <v>0.40629137521651398</v>
      </c>
      <c r="I3101">
        <v>-1.23717618512523E-3</v>
      </c>
    </row>
    <row r="3102" spans="1:9" x14ac:dyDescent="0.25">
      <c r="A3102" s="1">
        <v>223.09376105666101</v>
      </c>
      <c r="B3102">
        <v>15.861742979910201</v>
      </c>
      <c r="C3102">
        <v>1.1166937352458299</v>
      </c>
      <c r="D3102">
        <v>0.72159443154714797</v>
      </c>
      <c r="E3102">
        <v>-0.46111171315245503</v>
      </c>
      <c r="F3102">
        <v>1.18047602181467E-3</v>
      </c>
      <c r="G3102">
        <v>5.1400039498638601E-3</v>
      </c>
      <c r="H3102">
        <v>0.398888368847789</v>
      </c>
      <c r="I3102">
        <v>-9.7368193464798098E-4</v>
      </c>
    </row>
    <row r="3103" spans="1:9" x14ac:dyDescent="0.25">
      <c r="A3103" s="1">
        <v>244.15970131754801</v>
      </c>
      <c r="B3103">
        <v>16.0489134049676</v>
      </c>
      <c r="C3103">
        <v>0.97838249213203399</v>
      </c>
      <c r="D3103">
        <v>0.63109397371623499</v>
      </c>
      <c r="E3103">
        <v>-0.40671694277071901</v>
      </c>
      <c r="F3103">
        <v>3.98599756865647E-4</v>
      </c>
      <c r="G3103">
        <v>4.0775551659029997E-3</v>
      </c>
      <c r="H3103">
        <v>0.39200618172951701</v>
      </c>
      <c r="I3103">
        <v>-7.3885698072693399E-4</v>
      </c>
    </row>
    <row r="3104" spans="1:9" x14ac:dyDescent="0.25">
      <c r="A3104" s="1">
        <v>267.12157949805197</v>
      </c>
      <c r="B3104">
        <v>16.229154997196002</v>
      </c>
      <c r="C3104">
        <v>0.84015065149345203</v>
      </c>
      <c r="D3104">
        <v>0.54081550877791695</v>
      </c>
      <c r="E3104">
        <v>-0.34655099530217298</v>
      </c>
      <c r="F3104">
        <v>-6.1448349326897599E-4</v>
      </c>
      <c r="G3104">
        <v>3.14592277692785E-3</v>
      </c>
      <c r="H3104">
        <v>0.38613136075542598</v>
      </c>
      <c r="I3104">
        <v>-5.4058228555663905E-4</v>
      </c>
    </row>
    <row r="3105" spans="1:9" x14ac:dyDescent="0.25">
      <c r="A3105" s="1">
        <v>292.15002954006098</v>
      </c>
      <c r="B3105">
        <v>16.397741272922602</v>
      </c>
      <c r="C3105">
        <v>0.70241783037479</v>
      </c>
      <c r="D3105">
        <v>0.44977608809880898</v>
      </c>
      <c r="E3105">
        <v>-0.28009946385048801</v>
      </c>
      <c r="F3105">
        <v>-1.1894729664646999E-3</v>
      </c>
      <c r="G3105">
        <v>2.3499784700521699E-3</v>
      </c>
      <c r="H3105">
        <v>0.382490873912396</v>
      </c>
      <c r="I3105">
        <v>-3.80222072887563E-4</v>
      </c>
    </row>
    <row r="3106" spans="1:9" x14ac:dyDescent="0.25">
      <c r="A3106" s="1">
        <v>319.43101242184599</v>
      </c>
      <c r="B3106">
        <v>16.545219264801499</v>
      </c>
      <c r="C3106">
        <v>0.57244971292718905</v>
      </c>
      <c r="D3106">
        <v>0.36196441335350898</v>
      </c>
      <c r="E3106">
        <v>-0.20704154157114801</v>
      </c>
      <c r="F3106">
        <v>-9.1333699099865298E-4</v>
      </c>
      <c r="G3106">
        <v>1.7064418251849301E-3</v>
      </c>
      <c r="H3106">
        <v>0.38237948457719301</v>
      </c>
      <c r="I3106">
        <v>-2.6234279638943399E-4</v>
      </c>
    </row>
    <row r="3107" spans="1:9" x14ac:dyDescent="0.25">
      <c r="A3107" s="1">
        <v>349.16732590645501</v>
      </c>
      <c r="B3107">
        <v>16.659636945154499</v>
      </c>
      <c r="C3107">
        <v>0.46449067400196098</v>
      </c>
      <c r="D3107">
        <v>0.28708346255828798</v>
      </c>
      <c r="E3107">
        <v>-0.12606897248149199</v>
      </c>
      <c r="F3107">
        <v>-1.0431374417050499E-3</v>
      </c>
      <c r="G3107">
        <v>1.26213320269049E-3</v>
      </c>
      <c r="H3107">
        <v>0.38692849007392</v>
      </c>
      <c r="I3107">
        <v>-1.9232936088096799E-4</v>
      </c>
    </row>
    <row r="3108" spans="1:9" x14ac:dyDescent="0.25">
      <c r="A3108" s="1">
        <v>379.83785875141598</v>
      </c>
      <c r="B3108">
        <v>16.7200406542681</v>
      </c>
      <c r="C3108">
        <v>0.40284495285781302</v>
      </c>
      <c r="D3108">
        <v>0.24335108440470199</v>
      </c>
      <c r="E3108">
        <v>-4.1635319566045902E-2</v>
      </c>
      <c r="F3108">
        <v>-1.38405824873514E-3</v>
      </c>
      <c r="G3108">
        <v>1.0309800739829499E-3</v>
      </c>
      <c r="H3108">
        <v>0.40775374482865401</v>
      </c>
      <c r="I3108">
        <v>-1.5262424560686299E-4</v>
      </c>
    </row>
    <row r="3109" spans="1:9" x14ac:dyDescent="0.25">
      <c r="A3109" s="1" t="s">
        <v>565</v>
      </c>
      <c r="B3109" s="1" t="s">
        <v>614</v>
      </c>
      <c r="C3109" s="1" t="s">
        <v>615</v>
      </c>
      <c r="D3109" s="1" t="s">
        <v>616</v>
      </c>
      <c r="E3109" s="1" t="s">
        <v>617</v>
      </c>
      <c r="F3109" s="1" t="s">
        <v>618</v>
      </c>
      <c r="G3109" s="1" t="s">
        <v>400</v>
      </c>
      <c r="H3109" s="1" t="s">
        <v>619</v>
      </c>
      <c r="I3109" s="1" t="s">
        <v>613</v>
      </c>
    </row>
    <row r="3110" spans="1:9" x14ac:dyDescent="0.25">
      <c r="A3110" s="1">
        <v>-141.555516719818</v>
      </c>
      <c r="B3110">
        <v>-1124.56485148395</v>
      </c>
      <c r="C3110">
        <v>4.3519083874505697E-3</v>
      </c>
      <c r="D3110">
        <v>0</v>
      </c>
      <c r="E3110">
        <v>0</v>
      </c>
      <c r="F3110">
        <v>0</v>
      </c>
      <c r="G3110" s="1">
        <v>8.7812097659734005E-8</v>
      </c>
      <c r="H3110">
        <v>8.5981075369362295E-2</v>
      </c>
      <c r="I3110">
        <v>0</v>
      </c>
    </row>
    <row r="3111" spans="1:9" x14ac:dyDescent="0.25">
      <c r="A3111" s="1">
        <v>-128.95890593528699</v>
      </c>
      <c r="B3111">
        <v>-1024.5590431185999</v>
      </c>
      <c r="C3111">
        <v>4.4612865824339102E-3</v>
      </c>
      <c r="D3111">
        <v>0</v>
      </c>
      <c r="E3111">
        <v>0</v>
      </c>
      <c r="F3111">
        <v>0</v>
      </c>
      <c r="G3111" s="1">
        <v>1.51636089680939E-7</v>
      </c>
      <c r="H3111">
        <v>0.43215533756601399</v>
      </c>
      <c r="I3111">
        <v>0</v>
      </c>
    </row>
    <row r="3112" spans="1:9" x14ac:dyDescent="0.25">
      <c r="A3112" s="1">
        <v>-117.402367591857</v>
      </c>
      <c r="B3112">
        <v>-932.79929804528899</v>
      </c>
      <c r="C3112">
        <v>4.7155597643924897E-3</v>
      </c>
      <c r="D3112">
        <v>0</v>
      </c>
      <c r="E3112">
        <v>0</v>
      </c>
      <c r="F3112">
        <v>0</v>
      </c>
      <c r="G3112" s="1">
        <v>2.7546871235806201E-7</v>
      </c>
      <c r="H3112">
        <v>0.63949403738671295</v>
      </c>
      <c r="I3112">
        <v>0</v>
      </c>
    </row>
    <row r="3113" spans="1:9" x14ac:dyDescent="0.25">
      <c r="A3113" s="1">
        <v>-106.80001378059301</v>
      </c>
      <c r="B3113">
        <v>-848.60647363389603</v>
      </c>
      <c r="C3113">
        <v>5.1819833611044903E-3</v>
      </c>
      <c r="D3113">
        <v>0</v>
      </c>
      <c r="E3113">
        <v>0</v>
      </c>
      <c r="F3113">
        <v>0</v>
      </c>
      <c r="G3113" s="1">
        <v>4.6778780983514E-7</v>
      </c>
      <c r="H3113">
        <v>0.73648238056980397</v>
      </c>
      <c r="I3113">
        <v>0</v>
      </c>
    </row>
    <row r="3114" spans="1:9" x14ac:dyDescent="0.25">
      <c r="A3114" s="1">
        <v>-97.073161005973802</v>
      </c>
      <c r="B3114">
        <v>-771.35732596839603</v>
      </c>
      <c r="C3114">
        <v>5.9429505737587799E-3</v>
      </c>
      <c r="D3114">
        <v>0</v>
      </c>
      <c r="E3114">
        <v>0</v>
      </c>
      <c r="F3114">
        <v>0</v>
      </c>
      <c r="G3114" s="1">
        <v>7.5317271892205696E-7</v>
      </c>
      <c r="H3114">
        <v>0.78373448706246396</v>
      </c>
      <c r="I3114">
        <v>0</v>
      </c>
    </row>
    <row r="3115" spans="1:9" x14ac:dyDescent="0.25">
      <c r="A3115" s="1">
        <v>-88.149435520172105</v>
      </c>
      <c r="B3115">
        <v>-700.47982933248204</v>
      </c>
      <c r="C3115">
        <v>7.0930787733194103E-3</v>
      </c>
      <c r="D3115">
        <v>0</v>
      </c>
      <c r="E3115">
        <v>0</v>
      </c>
      <c r="F3115">
        <v>0</v>
      </c>
      <c r="G3115" s="1">
        <v>1.17593821024719E-6</v>
      </c>
      <c r="H3115">
        <v>0.80886513852161401</v>
      </c>
      <c r="I3115">
        <v>0</v>
      </c>
    </row>
    <row r="3116" spans="1:9" x14ac:dyDescent="0.25">
      <c r="A3116" s="1">
        <v>-79.962490797042804</v>
      </c>
      <c r="B3116">
        <v>-635.44893031443303</v>
      </c>
      <c r="C3116">
        <v>8.7429138875397203E-3</v>
      </c>
      <c r="D3116">
        <v>0</v>
      </c>
      <c r="E3116">
        <v>0</v>
      </c>
      <c r="F3116">
        <v>0</v>
      </c>
      <c r="G3116" s="1">
        <v>1.8060729953566201E-6</v>
      </c>
      <c r="H3116">
        <v>0.82401618219686701</v>
      </c>
      <c r="I3116">
        <v>0</v>
      </c>
    </row>
    <row r="3117" spans="1:9" x14ac:dyDescent="0.25">
      <c r="A3117" s="1">
        <v>-72.451583743095298</v>
      </c>
      <c r="B3117">
        <v>-575.782736531149</v>
      </c>
      <c r="C3117">
        <v>1.1025542244179501E-2</v>
      </c>
      <c r="D3117">
        <v>0</v>
      </c>
      <c r="E3117">
        <v>0</v>
      </c>
      <c r="F3117">
        <v>0</v>
      </c>
      <c r="G3117" s="1">
        <v>2.74922373669372E-6</v>
      </c>
      <c r="H3117">
        <v>0.83474887087584504</v>
      </c>
      <c r="I3117">
        <v>0</v>
      </c>
    </row>
    <row r="3118" spans="1:9" x14ac:dyDescent="0.25">
      <c r="A3118" s="1">
        <v>-65.560821294784503</v>
      </c>
      <c r="B3118">
        <v>-521.03907310689601</v>
      </c>
      <c r="C3118">
        <v>1.41047051820703E-2</v>
      </c>
      <c r="D3118">
        <v>0</v>
      </c>
      <c r="E3118">
        <v>0</v>
      </c>
      <c r="F3118">
        <v>0</v>
      </c>
      <c r="G3118" s="1">
        <v>4.1624629471410597E-6</v>
      </c>
      <c r="H3118">
        <v>0.84361670820431001</v>
      </c>
      <c r="I3118">
        <v>0</v>
      </c>
    </row>
    <row r="3119" spans="1:9" x14ac:dyDescent="0.25">
      <c r="A3119" s="1">
        <v>-59.238972067832897</v>
      </c>
      <c r="B3119">
        <v>-470.812172881018</v>
      </c>
      <c r="C3119">
        <v>1.8184170532723601E-2</v>
      </c>
      <c r="D3119">
        <v>0</v>
      </c>
      <c r="E3119">
        <v>0</v>
      </c>
      <c r="F3119">
        <v>0</v>
      </c>
      <c r="G3119" s="1">
        <v>6.27789602234507E-6</v>
      </c>
      <c r="H3119">
        <v>0.85172840880795797</v>
      </c>
      <c r="I3119">
        <v>0</v>
      </c>
    </row>
    <row r="3120" spans="1:9" x14ac:dyDescent="0.25">
      <c r="A3120" s="1">
        <v>-53.439136743545497</v>
      </c>
      <c r="B3120">
        <v>-424.729583925258</v>
      </c>
      <c r="C3120">
        <v>2.35185370125983E-2</v>
      </c>
      <c r="D3120">
        <v>0</v>
      </c>
      <c r="E3120">
        <v>0</v>
      </c>
      <c r="F3120">
        <v>0</v>
      </c>
      <c r="G3120" s="1">
        <v>9.4371608984697995E-6</v>
      </c>
      <c r="H3120">
        <v>0.85950099657779799</v>
      </c>
      <c r="I3120">
        <v>0</v>
      </c>
    </row>
    <row r="3121" spans="1:9" x14ac:dyDescent="0.25">
      <c r="A3121" s="1">
        <v>-48.118183016777003</v>
      </c>
      <c r="B3121">
        <v>-382.449578544747</v>
      </c>
      <c r="C3121">
        <v>3.0425776662228801E-2</v>
      </c>
      <c r="D3121">
        <v>0</v>
      </c>
      <c r="E3121">
        <v>0</v>
      </c>
      <c r="F3121">
        <v>0</v>
      </c>
      <c r="G3121" s="1">
        <v>1.41416718723377E-5</v>
      </c>
      <c r="H3121">
        <v>0.86704243995028096</v>
      </c>
      <c r="I3121">
        <v>0</v>
      </c>
    </row>
    <row r="3122" spans="1:9" x14ac:dyDescent="0.25">
      <c r="A3122" s="1">
        <v>-43.236604332923797</v>
      </c>
      <c r="B3122">
        <v>-343.65856227899701</v>
      </c>
      <c r="C3122">
        <v>3.9301962977079601E-2</v>
      </c>
      <c r="D3122">
        <v>0</v>
      </c>
      <c r="E3122">
        <v>0</v>
      </c>
      <c r="F3122">
        <v>0</v>
      </c>
      <c r="G3122" s="1">
        <v>2.1126045843480702E-5</v>
      </c>
      <c r="H3122">
        <v>0.87434467488169798</v>
      </c>
      <c r="I3122">
        <v>0</v>
      </c>
    </row>
    <row r="3123" spans="1:9" x14ac:dyDescent="0.25">
      <c r="A3123" s="1">
        <v>-38.758049011230398</v>
      </c>
      <c r="B3123">
        <v>-308.06878379310302</v>
      </c>
      <c r="C3123">
        <v>5.0638941982055402E-2</v>
      </c>
      <c r="D3123">
        <v>0</v>
      </c>
      <c r="E3123">
        <v>0</v>
      </c>
      <c r="F3123">
        <v>0</v>
      </c>
      <c r="G3123" s="1">
        <v>3.1465931796453999E-5</v>
      </c>
      <c r="H3123">
        <v>0.88137430299406805</v>
      </c>
      <c r="I3123">
        <v>0</v>
      </c>
    </row>
    <row r="3124" spans="1:9" x14ac:dyDescent="0.25">
      <c r="A3124" s="1">
        <v>-34.649320244789102</v>
      </c>
      <c r="B3124">
        <v>-275.41621193016698</v>
      </c>
      <c r="C3124">
        <v>6.5045895189719899E-2</v>
      </c>
      <c r="D3124">
        <v>0</v>
      </c>
      <c r="E3124">
        <v>0</v>
      </c>
      <c r="F3124">
        <v>0</v>
      </c>
      <c r="G3124" s="1">
        <v>4.6737993543736402E-5</v>
      </c>
      <c r="H3124">
        <v>0.88811068134627402</v>
      </c>
      <c r="I3124">
        <v>0</v>
      </c>
    </row>
    <row r="3125" spans="1:9" x14ac:dyDescent="0.25">
      <c r="A3125" s="1">
        <v>-30.879811048507602</v>
      </c>
      <c r="B3125">
        <v>-245.45852141852299</v>
      </c>
      <c r="C3125">
        <v>8.3276064166490096E-2</v>
      </c>
      <c r="D3125">
        <v>0</v>
      </c>
      <c r="E3125">
        <v>0</v>
      </c>
      <c r="F3125">
        <v>0</v>
      </c>
      <c r="G3125" s="1">
        <v>6.92617287292307E-5</v>
      </c>
      <c r="H3125">
        <v>0.89455962042846704</v>
      </c>
      <c r="I3125">
        <v>0</v>
      </c>
    </row>
    <row r="3126" spans="1:9" x14ac:dyDescent="0.25">
      <c r="A3126" s="1">
        <v>-27.4215984344482</v>
      </c>
      <c r="B3126">
        <v>-217.97339618529</v>
      </c>
      <c r="C3126">
        <v>0.10626059494352499</v>
      </c>
      <c r="D3126">
        <v>0</v>
      </c>
      <c r="E3126">
        <v>0</v>
      </c>
      <c r="F3126">
        <v>0</v>
      </c>
      <c r="G3126">
        <v>1.02475565685495E-4</v>
      </c>
      <c r="H3126">
        <v>0.90075744818808001</v>
      </c>
      <c r="I3126">
        <v>0</v>
      </c>
    </row>
    <row r="3127" spans="1:9" x14ac:dyDescent="0.25">
      <c r="A3127" s="1">
        <v>-24.248878359794599</v>
      </c>
      <c r="B3127">
        <v>-192.756836848955</v>
      </c>
      <c r="C3127">
        <v>0.13515308119581401</v>
      </c>
      <c r="D3127">
        <v>0</v>
      </c>
      <c r="E3127">
        <v>0</v>
      </c>
      <c r="F3127">
        <v>0</v>
      </c>
      <c r="G3127">
        <v>1.5154223078067699E-4</v>
      </c>
      <c r="H3127">
        <v>0.90677039366961998</v>
      </c>
      <c r="I3127">
        <v>0</v>
      </c>
    </row>
    <row r="3128" spans="1:9" x14ac:dyDescent="0.25">
      <c r="A3128" s="1">
        <v>-21.3381540775299</v>
      </c>
      <c r="B3128">
        <v>-169.62166671591601</v>
      </c>
      <c r="C3128">
        <v>0.17139086867574299</v>
      </c>
      <c r="D3128">
        <v>0</v>
      </c>
      <c r="E3128">
        <v>0</v>
      </c>
      <c r="F3128">
        <v>0</v>
      </c>
      <c r="G3128">
        <v>2.24359051469264E-4</v>
      </c>
      <c r="H3128">
        <v>0.91269062428734904</v>
      </c>
      <c r="I3128">
        <v>0</v>
      </c>
    </row>
    <row r="3129" spans="1:9" x14ac:dyDescent="0.25">
      <c r="A3129" s="1">
        <v>-18.6677181720733</v>
      </c>
      <c r="B3129">
        <v>-148.396139902079</v>
      </c>
      <c r="C3129">
        <v>0.21678356483031799</v>
      </c>
      <c r="D3129">
        <v>0</v>
      </c>
      <c r="E3129">
        <v>0</v>
      </c>
      <c r="F3129">
        <v>0</v>
      </c>
      <c r="G3129">
        <v>3.3330168805048203E-4</v>
      </c>
      <c r="H3129">
        <v>0.91862786681699704</v>
      </c>
      <c r="I3129">
        <v>0</v>
      </c>
    </row>
    <row r="3130" spans="1:9" x14ac:dyDescent="0.25">
      <c r="A3130" s="1">
        <v>-16.2178409099578</v>
      </c>
      <c r="B3130">
        <v>-128.92267639252199</v>
      </c>
      <c r="C3130">
        <v>0.273646252548437</v>
      </c>
      <c r="D3130">
        <v>0</v>
      </c>
      <c r="E3130">
        <v>0</v>
      </c>
      <c r="F3130">
        <v>0</v>
      </c>
      <c r="G3130">
        <v>4.98321388953172E-4</v>
      </c>
      <c r="H3130">
        <v>0.92469506086769204</v>
      </c>
      <c r="I3130">
        <v>0</v>
      </c>
    </row>
    <row r="3131" spans="1:9" x14ac:dyDescent="0.25">
      <c r="A3131" s="1">
        <v>-13.9702051877975</v>
      </c>
      <c r="B3131">
        <v>-111.05668303246399</v>
      </c>
      <c r="C3131">
        <v>0.34500597236333502</v>
      </c>
      <c r="D3131">
        <v>0</v>
      </c>
      <c r="E3131">
        <v>0</v>
      </c>
      <c r="F3131">
        <v>0</v>
      </c>
      <c r="G3131">
        <v>7.5255889080994996E-4</v>
      </c>
      <c r="H3131">
        <v>0.93098508377356504</v>
      </c>
      <c r="I3131">
        <v>0</v>
      </c>
    </row>
    <row r="3132" spans="1:9" x14ac:dyDescent="0.25">
      <c r="A3132" s="1">
        <v>-11.908189058303799</v>
      </c>
      <c r="B3132">
        <v>-94.665500933926793</v>
      </c>
      <c r="C3132">
        <v>0.43492673609776</v>
      </c>
      <c r="D3132">
        <v>0</v>
      </c>
      <c r="E3132">
        <v>0</v>
      </c>
      <c r="F3132">
        <v>0</v>
      </c>
      <c r="G3132">
        <v>1.15265299745533E-3</v>
      </c>
      <c r="H3132">
        <v>0.93753967620082201</v>
      </c>
      <c r="I3132">
        <v>0</v>
      </c>
    </row>
    <row r="3133" spans="1:9" x14ac:dyDescent="0.25">
      <c r="A3133" s="1">
        <v>-10.016394853591899</v>
      </c>
      <c r="B3133">
        <v>-79.627405381452505</v>
      </c>
      <c r="C3133">
        <v>0.54902648347458105</v>
      </c>
      <c r="D3133">
        <v>0</v>
      </c>
      <c r="E3133">
        <v>0</v>
      </c>
      <c r="F3133">
        <v>0</v>
      </c>
      <c r="G3133">
        <v>1.79783255114557E-3</v>
      </c>
      <c r="H3133">
        <v>0.94431888877246295</v>
      </c>
      <c r="I3133">
        <v>0</v>
      </c>
    </row>
    <row r="3134" spans="1:9" x14ac:dyDescent="0.25">
      <c r="A3134" s="1">
        <v>-8.2808375358581507</v>
      </c>
      <c r="B3134">
        <v>-65.830736854922307</v>
      </c>
      <c r="C3134">
        <v>0.69530072184619696</v>
      </c>
      <c r="D3134">
        <v>0</v>
      </c>
      <c r="E3134">
        <v>0</v>
      </c>
      <c r="F3134">
        <v>0</v>
      </c>
      <c r="G3134">
        <v>2.86560296642483E-3</v>
      </c>
      <c r="H3134">
        <v>0.95118858808151896</v>
      </c>
      <c r="I3134">
        <v>0</v>
      </c>
    </row>
    <row r="3135" spans="1:9" x14ac:dyDescent="0.25">
      <c r="A3135" s="1">
        <v>-6.6885209083557102</v>
      </c>
      <c r="B3135">
        <v>-53.173012985538897</v>
      </c>
      <c r="C3135">
        <v>0.88543982041175895</v>
      </c>
      <c r="D3135">
        <v>0</v>
      </c>
      <c r="E3135">
        <v>0</v>
      </c>
      <c r="F3135">
        <v>0</v>
      </c>
      <c r="G3135">
        <v>4.6794658154276402E-3</v>
      </c>
      <c r="H3135">
        <v>0.95794187937806197</v>
      </c>
      <c r="I3135">
        <v>0</v>
      </c>
    </row>
    <row r="3136" spans="1:9" x14ac:dyDescent="0.25">
      <c r="A3136" s="1">
        <v>-5.2277201414108196</v>
      </c>
      <c r="B3136">
        <v>-41.560239015769497</v>
      </c>
      <c r="C3136">
        <v>1.13695052274756</v>
      </c>
      <c r="D3136">
        <v>0</v>
      </c>
      <c r="E3136">
        <v>0</v>
      </c>
      <c r="F3136">
        <v>0</v>
      </c>
      <c r="G3136">
        <v>7.8406188192984699E-3</v>
      </c>
      <c r="H3136">
        <v>0.96435247544034197</v>
      </c>
      <c r="I3136">
        <v>0</v>
      </c>
    </row>
    <row r="3137" spans="1:9" x14ac:dyDescent="0.25">
      <c r="A3137" s="1">
        <v>-3.88755798339843</v>
      </c>
      <c r="B3137">
        <v>-30.906151394795899</v>
      </c>
      <c r="C3137">
        <v>1.4766313788405501</v>
      </c>
      <c r="D3137">
        <v>0</v>
      </c>
      <c r="E3137">
        <v>0</v>
      </c>
      <c r="F3137">
        <v>0</v>
      </c>
      <c r="G3137">
        <v>1.3493471539544701E-2</v>
      </c>
      <c r="H3137">
        <v>0.97023573221575199</v>
      </c>
      <c r="I3137">
        <v>0</v>
      </c>
    </row>
    <row r="3138" spans="1:9" x14ac:dyDescent="0.25">
      <c r="A3138" s="1">
        <v>-2.6580518484115601</v>
      </c>
      <c r="B3138">
        <v>-21.1316327142234</v>
      </c>
      <c r="C3138">
        <v>1.9464336492319401</v>
      </c>
      <c r="D3138">
        <v>0</v>
      </c>
      <c r="E3138">
        <v>0</v>
      </c>
      <c r="F3138">
        <v>0</v>
      </c>
      <c r="G3138">
        <v>2.3886775296388801E-2</v>
      </c>
      <c r="H3138">
        <v>0.97548741553864404</v>
      </c>
      <c r="I3138">
        <v>0</v>
      </c>
    </row>
    <row r="3139" spans="1:9" x14ac:dyDescent="0.25">
      <c r="A3139" s="1">
        <v>-1.5300196409225399</v>
      </c>
      <c r="B3139">
        <v>-12.1640597792978</v>
      </c>
      <c r="C3139">
        <v>2.6137675316991</v>
      </c>
      <c r="D3139">
        <v>0</v>
      </c>
      <c r="E3139">
        <v>0</v>
      </c>
      <c r="F3139">
        <v>0</v>
      </c>
      <c r="G3139">
        <v>4.3628433265672298E-2</v>
      </c>
      <c r="H3139">
        <v>0.98008659901778195</v>
      </c>
      <c r="I3139">
        <v>0</v>
      </c>
    </row>
    <row r="3140" spans="1:9" x14ac:dyDescent="0.25">
      <c r="A3140" s="1">
        <v>-0.49517393112182601</v>
      </c>
      <c r="B3140">
        <v>-3.9368355574722602</v>
      </c>
      <c r="C3140">
        <v>3.5906073982653202</v>
      </c>
      <c r="D3140">
        <v>0</v>
      </c>
      <c r="E3140">
        <v>0</v>
      </c>
      <c r="F3140">
        <v>0</v>
      </c>
      <c r="G3140">
        <v>8.4295214360463402E-2</v>
      </c>
      <c r="H3140">
        <v>0.98437654399750096</v>
      </c>
      <c r="I3140">
        <v>0</v>
      </c>
    </row>
    <row r="3141" spans="1:9" x14ac:dyDescent="0.25">
      <c r="A3141" s="1">
        <v>0.49376130104064903</v>
      </c>
      <c r="B3141">
        <v>0.35076631580635498</v>
      </c>
      <c r="C3141">
        <v>4.3464505760527201</v>
      </c>
      <c r="D3141">
        <v>0.31471952307127898</v>
      </c>
      <c r="E3141">
        <v>-4.5424963801260601E-4</v>
      </c>
      <c r="F3141">
        <v>1.3043696459170401E-4</v>
      </c>
      <c r="G3141">
        <v>1.8323985897447902E-2</v>
      </c>
      <c r="H3141">
        <v>0.53992268370640495</v>
      </c>
      <c r="I3141" s="1">
        <v>4.9930278092391596E-7</v>
      </c>
    </row>
    <row r="3142" spans="1:9" x14ac:dyDescent="0.25">
      <c r="A3142" s="1">
        <v>1.5257111191749499</v>
      </c>
      <c r="B3142">
        <v>1.0830494997386499</v>
      </c>
      <c r="C3142">
        <v>4.52552275791711</v>
      </c>
      <c r="D3142">
        <v>1.0171567686543199</v>
      </c>
      <c r="E3142">
        <v>-4.0156467321200498E-3</v>
      </c>
      <c r="F3142">
        <v>4.1519748063014703E-4</v>
      </c>
      <c r="G3142">
        <v>3.6812686652269902E-2</v>
      </c>
      <c r="H3142">
        <v>0.75770749968439299</v>
      </c>
      <c r="I3142" s="1">
        <v>2.30806174906794E-5</v>
      </c>
    </row>
    <row r="3143" spans="1:9" x14ac:dyDescent="0.25">
      <c r="A3143" s="1">
        <v>2.6505178213119498</v>
      </c>
      <c r="B3143">
        <v>1.87462477062984</v>
      </c>
      <c r="C3143">
        <v>4.7772120085215102</v>
      </c>
      <c r="D3143">
        <v>1.86499137845566</v>
      </c>
      <c r="E3143">
        <v>-1.5369121471567101E-2</v>
      </c>
      <c r="F3143">
        <v>7.4638576167642898E-4</v>
      </c>
      <c r="G3143">
        <v>6.05420213712431E-2</v>
      </c>
      <c r="H3143">
        <v>0.84015784668701998</v>
      </c>
      <c r="I3143">
        <v>1.4013145277332501E-4</v>
      </c>
    </row>
    <row r="3144" spans="1:9" x14ac:dyDescent="0.25">
      <c r="A3144" s="1">
        <v>3.8765159249305698</v>
      </c>
      <c r="B3144">
        <v>2.7214635429267502</v>
      </c>
      <c r="C3144">
        <v>5.13629975949637</v>
      </c>
      <c r="D3144">
        <v>2.8815790464742799</v>
      </c>
      <c r="E3144">
        <v>-3.84974730382181E-2</v>
      </c>
      <c r="F3144">
        <v>1.1138004060718999E-3</v>
      </c>
      <c r="G3144">
        <v>8.2854619713729205E-2</v>
      </c>
      <c r="H3144">
        <v>0.86908681502533702</v>
      </c>
      <c r="I3144">
        <v>3.65355799897827E-4</v>
      </c>
    </row>
    <row r="3145" spans="1:9" x14ac:dyDescent="0.25">
      <c r="A3145" s="1">
        <v>5.2129346132278398</v>
      </c>
      <c r="B3145">
        <v>3.6131516722325898</v>
      </c>
      <c r="C3145">
        <v>5.6220552032327502</v>
      </c>
      <c r="D3145">
        <v>4.0451436451015601</v>
      </c>
      <c r="E3145">
        <v>-7.7847829411848798E-2</v>
      </c>
      <c r="F3145">
        <v>1.4786192934970999E-3</v>
      </c>
      <c r="G3145">
        <v>9.81498251885453E-2</v>
      </c>
      <c r="H3145">
        <v>0.87222800494103003</v>
      </c>
      <c r="I3145">
        <v>7.6408198789674803E-4</v>
      </c>
    </row>
    <row r="3146" spans="1:9" x14ac:dyDescent="0.25">
      <c r="A3146" s="1">
        <v>6.6695916652679399</v>
      </c>
      <c r="B3146">
        <v>4.5317360428456901</v>
      </c>
      <c r="C3146">
        <v>6.2112015398877496</v>
      </c>
      <c r="D3146">
        <v>5.2617026724299398</v>
      </c>
      <c r="E3146">
        <v>-0.135731051891372</v>
      </c>
      <c r="F3146">
        <v>1.7764666724726301E-3</v>
      </c>
      <c r="G3146">
        <v>0.10509719914881401</v>
      </c>
      <c r="H3146">
        <v>0.85952130778966196</v>
      </c>
      <c r="I3146">
        <v>1.7449937682342501E-3</v>
      </c>
    </row>
    <row r="3147" spans="1:9" x14ac:dyDescent="0.25">
      <c r="A3147" s="1">
        <v>8.2573878765106201</v>
      </c>
      <c r="B3147">
        <v>5.4524767932777003</v>
      </c>
      <c r="C3147">
        <v>6.8272926415380901</v>
      </c>
      <c r="D3147">
        <v>6.3779998630916497</v>
      </c>
      <c r="E3147">
        <v>-0.21040999819577899</v>
      </c>
      <c r="F3147">
        <v>1.93621409224052E-3</v>
      </c>
      <c r="G3147">
        <v>0.106977440202179</v>
      </c>
      <c r="H3147">
        <v>0.83697875645533404</v>
      </c>
      <c r="I3147">
        <v>4.2313966773407097E-3</v>
      </c>
    </row>
    <row r="3148" spans="1:9" x14ac:dyDescent="0.25">
      <c r="A3148" s="1">
        <v>9.9880245327949506</v>
      </c>
      <c r="B3148">
        <v>6.3477756050710301</v>
      </c>
      <c r="C3148">
        <v>7.3644877270028104</v>
      </c>
      <c r="D3148">
        <v>7.2407871232317502</v>
      </c>
      <c r="E3148">
        <v>-0.29594615598273599</v>
      </c>
      <c r="F3148">
        <v>1.90249575699862E-3</v>
      </c>
      <c r="G3148">
        <v>0.10827150914280299</v>
      </c>
      <c r="H3148">
        <v>0.81053660805907901</v>
      </c>
      <c r="I3148">
        <v>8.2132036911300201E-3</v>
      </c>
    </row>
    <row r="3149" spans="1:9" x14ac:dyDescent="0.25">
      <c r="A3149" s="1">
        <v>11.874474287032999</v>
      </c>
      <c r="B3149">
        <v>7.1930597779636001</v>
      </c>
      <c r="C3149">
        <v>7.7334136592583098</v>
      </c>
      <c r="D3149">
        <v>7.7613747705541103</v>
      </c>
      <c r="E3149">
        <v>-0.38443095886911399</v>
      </c>
      <c r="F3149">
        <v>1.6797830549383701E-3</v>
      </c>
      <c r="G3149">
        <v>0.110707406038349</v>
      </c>
      <c r="H3149">
        <v>0.78448502145612997</v>
      </c>
      <c r="I3149">
        <v>1.0971778098873499E-2</v>
      </c>
    </row>
    <row r="3150" spans="1:9" x14ac:dyDescent="0.25">
      <c r="A3150" s="1">
        <v>13.9306750893592</v>
      </c>
      <c r="B3150">
        <v>7.9715630409602696</v>
      </c>
      <c r="C3150">
        <v>7.8929505431390101</v>
      </c>
      <c r="D3150">
        <v>7.9365072156581302</v>
      </c>
      <c r="E3150">
        <v>-0.46887330791127502</v>
      </c>
      <c r="F3150">
        <v>1.3419648064271999E-3</v>
      </c>
      <c r="G3150">
        <v>0.11301596354134499</v>
      </c>
      <c r="H3150">
        <v>0.75992952032923899</v>
      </c>
      <c r="I3150">
        <v>9.9322122398314699E-3</v>
      </c>
    </row>
    <row r="3151" spans="1:9" x14ac:dyDescent="0.25">
      <c r="A3151" s="1">
        <v>16.171883344650201</v>
      </c>
      <c r="B3151">
        <v>8.6758132872466707</v>
      </c>
      <c r="C3151">
        <v>7.8499890828185004</v>
      </c>
      <c r="D3151">
        <v>7.8227141477490099</v>
      </c>
      <c r="E3151">
        <v>-0.54472945496776204</v>
      </c>
      <c r="F3151">
        <v>1.0072032783745701E-3</v>
      </c>
      <c r="G3151">
        <v>0.113381518354539</v>
      </c>
      <c r="H3151">
        <v>0.73619970376266897</v>
      </c>
      <c r="I3151">
        <v>5.5411127920198498E-3</v>
      </c>
    </row>
    <row r="3152" spans="1:9" x14ac:dyDescent="0.25">
      <c r="A3152" s="1">
        <v>18.614838719367899</v>
      </c>
      <c r="B3152">
        <v>9.3059108135585404</v>
      </c>
      <c r="C3152">
        <v>7.6402251975336704</v>
      </c>
      <c r="D3152">
        <v>7.4988173673810996</v>
      </c>
      <c r="E3152">
        <v>-0.609912551113868</v>
      </c>
      <c r="F3152">
        <v>7.98739116906783E-4</v>
      </c>
      <c r="G3152">
        <v>0.111047281150583</v>
      </c>
      <c r="H3152">
        <v>0.712566148412765</v>
      </c>
      <c r="I3152" s="1">
        <v>-8.6444318940710296E-5</v>
      </c>
    </row>
    <row r="3153" spans="1:9" x14ac:dyDescent="0.25">
      <c r="A3153" s="1">
        <v>21.2777170538902</v>
      </c>
      <c r="B3153">
        <v>9.8666698632125502</v>
      </c>
      <c r="C3153">
        <v>7.3088516286923904</v>
      </c>
      <c r="D3153">
        <v>7.0402995241609601</v>
      </c>
      <c r="E3153">
        <v>-0.664089819295684</v>
      </c>
      <c r="F3153">
        <v>8.0521802479264202E-4</v>
      </c>
      <c r="G3153">
        <v>0.106331864928239</v>
      </c>
      <c r="H3153">
        <v>0.68879441589422297</v>
      </c>
      <c r="I3153">
        <v>-5.2490332538770099E-3</v>
      </c>
    </row>
    <row r="3154" spans="1:9" x14ac:dyDescent="0.25">
      <c r="A3154" s="1">
        <v>24.180224537849401</v>
      </c>
      <c r="B3154">
        <v>10.36516135608</v>
      </c>
      <c r="C3154">
        <v>6.89891567712891</v>
      </c>
      <c r="D3154">
        <v>6.5082722318007402</v>
      </c>
      <c r="E3154">
        <v>-0.70792201995354498</v>
      </c>
      <c r="F3154">
        <v>1.06471000277989E-3</v>
      </c>
      <c r="G3154">
        <v>0.100018395264066</v>
      </c>
      <c r="H3154">
        <v>0.66502632577859999</v>
      </c>
      <c r="I3154">
        <v>-9.2202716780616506E-3</v>
      </c>
    </row>
    <row r="3155" spans="1:9" x14ac:dyDescent="0.25">
      <c r="A3155" s="1">
        <v>27.343950867652801</v>
      </c>
      <c r="B3155">
        <v>10.8091582891826</v>
      </c>
      <c r="C3155">
        <v>6.44646291910614</v>
      </c>
      <c r="D3155">
        <v>5.9472654793872204</v>
      </c>
      <c r="E3155">
        <v>-0.742504868083674</v>
      </c>
      <c r="F3155">
        <v>1.5125295516266401E-3</v>
      </c>
      <c r="G3155">
        <v>9.2848442897373207E-2</v>
      </c>
      <c r="H3155">
        <v>0.64160472295397897</v>
      </c>
      <c r="I3155">
        <v>-1.1908248375983701E-2</v>
      </c>
    </row>
    <row r="3156" spans="1:9" x14ac:dyDescent="0.25">
      <c r="A3156" s="1">
        <v>30.7923927903175</v>
      </c>
      <c r="B3156">
        <v>11.206366795051499</v>
      </c>
      <c r="C3156">
        <v>5.9794527544919198</v>
      </c>
      <c r="D3156">
        <v>5.3890210515816097</v>
      </c>
      <c r="E3156">
        <v>-0.76904360032236296</v>
      </c>
      <c r="F3156">
        <v>2.0573449826218602E-3</v>
      </c>
      <c r="G3156">
        <v>8.5333813364783198E-2</v>
      </c>
      <c r="H3156">
        <v>0.61894916922393695</v>
      </c>
      <c r="I3156">
        <v>-1.3460416229723601E-2</v>
      </c>
    </row>
    <row r="3157" spans="1:9" x14ac:dyDescent="0.25">
      <c r="A3157" s="1">
        <v>34.551213085651298</v>
      </c>
      <c r="B3157">
        <v>11.564024954784299</v>
      </c>
      <c r="C3157">
        <v>5.5182316741248503</v>
      </c>
      <c r="D3157">
        <v>4.8537387801338099</v>
      </c>
      <c r="E3157">
        <v>-0.78869856722076404</v>
      </c>
      <c r="F3157">
        <v>2.64266978439694E-3</v>
      </c>
      <c r="G3157">
        <v>7.7769666591304396E-2</v>
      </c>
      <c r="H3157">
        <v>0.59746989251623195</v>
      </c>
      <c r="I3157">
        <v>-1.40792038693653E-2</v>
      </c>
    </row>
    <row r="3158" spans="1:9" x14ac:dyDescent="0.25">
      <c r="A3158" s="1">
        <v>38.6483111977577</v>
      </c>
      <c r="B3158">
        <v>11.8886854884509</v>
      </c>
      <c r="C3158">
        <v>5.0765370215550503</v>
      </c>
      <c r="D3158">
        <v>4.35417278736589</v>
      </c>
      <c r="E3158">
        <v>-0.802481988661088</v>
      </c>
      <c r="F3158">
        <v>3.1374448715935999E-3</v>
      </c>
      <c r="G3158">
        <v>7.0328959013731596E-2</v>
      </c>
      <c r="H3158">
        <v>0.57754803705472402</v>
      </c>
      <c r="I3158">
        <v>-1.39649400452147E-2</v>
      </c>
    </row>
    <row r="3159" spans="1:9" x14ac:dyDescent="0.25">
      <c r="A3159" s="1">
        <v>43.1141293048858</v>
      </c>
      <c r="B3159">
        <v>12.1861823228482</v>
      </c>
      <c r="C3159">
        <v>4.6627997659077698</v>
      </c>
      <c r="D3159">
        <v>3.8972235156141202</v>
      </c>
      <c r="E3159">
        <v>-0.81122783947750099</v>
      </c>
      <c r="F3159">
        <v>3.4937930428135E-3</v>
      </c>
      <c r="G3159">
        <v>6.3128164662424796E-2</v>
      </c>
      <c r="H3159">
        <v>0.55944908006000404</v>
      </c>
      <c r="I3159">
        <v>-1.3304876603154801E-2</v>
      </c>
    </row>
    <row r="3160" spans="1:9" x14ac:dyDescent="0.25">
      <c r="A3160" s="1">
        <v>47.981887757778097</v>
      </c>
      <c r="B3160">
        <v>12.461513578641799</v>
      </c>
      <c r="C3160">
        <v>4.2814773189268998</v>
      </c>
      <c r="D3160">
        <v>3.4864452910939399</v>
      </c>
      <c r="E3160">
        <v>-0.81563647968887099</v>
      </c>
      <c r="F3160">
        <v>3.6530264487099899E-3</v>
      </c>
      <c r="G3160">
        <v>5.62505920578188E-2</v>
      </c>
      <c r="H3160">
        <v>0.54319728084772301</v>
      </c>
      <c r="I3160">
        <v>-1.22797802040992E-2</v>
      </c>
    </row>
    <row r="3161" spans="1:9" x14ac:dyDescent="0.25">
      <c r="A3161" s="1">
        <v>53.287820518016801</v>
      </c>
      <c r="B3161">
        <v>12.718891718733699</v>
      </c>
      <c r="C3161">
        <v>3.93388103752747</v>
      </c>
      <c r="D3161">
        <v>3.1207608748502902</v>
      </c>
      <c r="E3161">
        <v>-0.81623826173123404</v>
      </c>
      <c r="F3161">
        <v>3.5584284965435101E-3</v>
      </c>
      <c r="G3161">
        <v>4.9788018321776997E-2</v>
      </c>
      <c r="H3161">
        <v>0.52878137864445196</v>
      </c>
      <c r="I3161">
        <v>-1.1053005945390699E-2</v>
      </c>
    </row>
    <row r="3162" spans="1:9" x14ac:dyDescent="0.25">
      <c r="A3162" s="1">
        <v>59.071175158023799</v>
      </c>
      <c r="B3162">
        <v>12.9618271288756</v>
      </c>
      <c r="C3162">
        <v>3.6193447993227799</v>
      </c>
      <c r="D3162">
        <v>2.7980416190294202</v>
      </c>
      <c r="E3162">
        <v>-0.81343803790026603</v>
      </c>
      <c r="F3162">
        <v>3.1584633760880698E-3</v>
      </c>
      <c r="G3162">
        <v>4.3834745108741802E-2</v>
      </c>
      <c r="H3162">
        <v>0.51609847541832399</v>
      </c>
      <c r="I3162">
        <v>-9.7767511700310606E-3</v>
      </c>
    </row>
    <row r="3163" spans="1:9" x14ac:dyDescent="0.25">
      <c r="A3163" s="1">
        <v>65.375131070613804</v>
      </c>
      <c r="B3163">
        <v>13.1931949821595</v>
      </c>
      <c r="C3163">
        <v>3.3362691094066599</v>
      </c>
      <c r="D3163">
        <v>2.5156470462837301</v>
      </c>
      <c r="E3163">
        <v>-0.80753702035519104</v>
      </c>
      <c r="F3163">
        <v>2.5439143022351002E-3</v>
      </c>
      <c r="G3163">
        <v>3.8437486104873603E-2</v>
      </c>
      <c r="H3163">
        <v>0.50474437285248797</v>
      </c>
      <c r="I3163">
        <v>-8.5496789581107104E-3</v>
      </c>
    </row>
    <row r="3164" spans="1:9" x14ac:dyDescent="0.25">
      <c r="A3164" s="1">
        <v>72.246375679969702</v>
      </c>
      <c r="B3164">
        <v>13.4154024002437</v>
      </c>
      <c r="C3164">
        <v>3.0818644372173698</v>
      </c>
      <c r="D3164">
        <v>2.2692148094871301</v>
      </c>
      <c r="E3164">
        <v>-0.798767763098298</v>
      </c>
      <c r="F3164">
        <v>1.814846340154E-3</v>
      </c>
      <c r="G3164">
        <v>3.3619390710330502E-2</v>
      </c>
      <c r="H3164">
        <v>0.49445037966880201</v>
      </c>
      <c r="I3164">
        <v>-7.4328038665309104E-3</v>
      </c>
    </row>
    <row r="3165" spans="1:9" x14ac:dyDescent="0.25">
      <c r="A3165" s="1">
        <v>79.736069738864799</v>
      </c>
      <c r="B3165">
        <v>13.630371737230201</v>
      </c>
      <c r="C3165">
        <v>2.8526482331121401</v>
      </c>
      <c r="D3165">
        <v>2.0543816393149501</v>
      </c>
      <c r="E3165">
        <v>-0.78726804654971005</v>
      </c>
      <c r="F3165">
        <v>1.1495968442961899E-3</v>
      </c>
      <c r="G3165">
        <v>2.9338802476773999E-2</v>
      </c>
      <c r="H3165">
        <v>0.484769658646373</v>
      </c>
      <c r="I3165">
        <v>-6.4331351483483904E-3</v>
      </c>
    </row>
    <row r="3166" spans="1:9" x14ac:dyDescent="0.25">
      <c r="A3166" s="1">
        <v>87.899753153324099</v>
      </c>
      <c r="B3166">
        <v>13.8397077408914</v>
      </c>
      <c r="C3166">
        <v>2.6449139037073599</v>
      </c>
      <c r="D3166">
        <v>1.8663131556396999</v>
      </c>
      <c r="E3166">
        <v>-0.77308025501832001</v>
      </c>
      <c r="F3166">
        <v>7.6021289041924497E-4</v>
      </c>
      <c r="G3166">
        <v>2.5556499352374699E-2</v>
      </c>
      <c r="H3166">
        <v>0.47558386298287902</v>
      </c>
      <c r="I3166">
        <v>-5.5571369094935099E-3</v>
      </c>
    </row>
    <row r="3167" spans="1:9" x14ac:dyDescent="0.25">
      <c r="A3167" s="1">
        <v>96.798263192176805</v>
      </c>
      <c r="B3167">
        <v>14.0446306881789</v>
      </c>
      <c r="C3167">
        <v>2.45531052148135</v>
      </c>
      <c r="D3167">
        <v>1.7007000424724501</v>
      </c>
      <c r="E3167">
        <v>-0.756279743385465</v>
      </c>
      <c r="F3167">
        <v>8.2969760383491697E-4</v>
      </c>
      <c r="G3167">
        <v>2.2226156946002499E-2</v>
      </c>
      <c r="H3167">
        <v>0.46664653704985498</v>
      </c>
      <c r="I3167">
        <v>-4.7941756994188903E-3</v>
      </c>
    </row>
    <row r="3168" spans="1:9" x14ac:dyDescent="0.25">
      <c r="A3168" s="1">
        <v>106.497616767883</v>
      </c>
      <c r="B3168">
        <v>14.2461769786958</v>
      </c>
      <c r="C3168">
        <v>2.2804684170669298</v>
      </c>
      <c r="D3168">
        <v>1.5539961712606001</v>
      </c>
      <c r="E3168">
        <v>-0.73677586874604994</v>
      </c>
      <c r="F3168">
        <v>1.0875977842569799E-3</v>
      </c>
      <c r="G3168">
        <v>1.9308188250150501E-2</v>
      </c>
      <c r="H3168">
        <v>0.45794889089847302</v>
      </c>
      <c r="I3168">
        <v>-4.13647959758498E-3</v>
      </c>
    </row>
    <row r="3169" spans="1:9" x14ac:dyDescent="0.25">
      <c r="A3169" s="1">
        <v>117.06990510225199</v>
      </c>
      <c r="B3169">
        <v>14.4455167410258</v>
      </c>
      <c r="C3169">
        <v>2.1163994401953898</v>
      </c>
      <c r="D3169">
        <v>1.4223823604007799</v>
      </c>
      <c r="E3169">
        <v>-0.71433221716686102</v>
      </c>
      <c r="F3169">
        <v>1.26309680767397E-3</v>
      </c>
      <c r="G3169">
        <v>1.6758433690741401E-2</v>
      </c>
      <c r="H3169">
        <v>0.45008917528984199</v>
      </c>
      <c r="I3169">
        <v>-3.5703609810370301E-3</v>
      </c>
    </row>
    <row r="3170" spans="1:9" x14ac:dyDescent="0.25">
      <c r="A3170" s="1">
        <v>128.593670427799</v>
      </c>
      <c r="B3170">
        <v>14.6436027941589</v>
      </c>
      <c r="C3170">
        <v>1.9610879125364</v>
      </c>
      <c r="D3170">
        <v>1.30303382012975</v>
      </c>
      <c r="E3170">
        <v>-0.68898586490401903</v>
      </c>
      <c r="F3170">
        <v>1.5503632226372801E-3</v>
      </c>
      <c r="G3170">
        <v>1.4500401214493201E-2</v>
      </c>
      <c r="H3170">
        <v>0.44266366364999199</v>
      </c>
      <c r="I3170">
        <v>-3.0659034856110601E-3</v>
      </c>
    </row>
    <row r="3171" spans="1:9" x14ac:dyDescent="0.25">
      <c r="A3171" s="1">
        <v>141.15461230278001</v>
      </c>
      <c r="B3171">
        <v>14.8408363250379</v>
      </c>
      <c r="C3171">
        <v>1.81265535751412</v>
      </c>
      <c r="D3171">
        <v>1.19352621992705</v>
      </c>
      <c r="E3171">
        <v>-0.66052005449838203</v>
      </c>
      <c r="F3171">
        <v>2.1778277615355202E-3</v>
      </c>
      <c r="G3171">
        <v>1.2485184017514099E-2</v>
      </c>
      <c r="H3171">
        <v>0.43546336158252302</v>
      </c>
      <c r="I3171">
        <v>-2.6141747243889398E-3</v>
      </c>
    </row>
    <row r="3172" spans="1:9" x14ac:dyDescent="0.25">
      <c r="A3172" s="1">
        <v>154.84601140022201</v>
      </c>
      <c r="B3172">
        <v>15.037050172436601</v>
      </c>
      <c r="C3172">
        <v>1.6696177357133699</v>
      </c>
      <c r="D3172">
        <v>1.09146035664428</v>
      </c>
      <c r="E3172">
        <v>-0.62875795200186702</v>
      </c>
      <c r="F3172">
        <v>2.29410005055642E-3</v>
      </c>
      <c r="G3172">
        <v>1.06774072400236E-2</v>
      </c>
      <c r="H3172">
        <v>0.42798556055106601</v>
      </c>
      <c r="I3172">
        <v>-2.20811239960981E-3</v>
      </c>
    </row>
    <row r="3173" spans="1:9" x14ac:dyDescent="0.25">
      <c r="A3173" s="1">
        <v>169.76969480514501</v>
      </c>
      <c r="B3173">
        <v>15.232177471864601</v>
      </c>
      <c r="C3173">
        <v>1.5296398990251601</v>
      </c>
      <c r="D3173">
        <v>0.99490694910673205</v>
      </c>
      <c r="E3173">
        <v>-0.59323532071128204</v>
      </c>
      <c r="F3173">
        <v>1.91012872735443E-3</v>
      </c>
      <c r="G3173">
        <v>9.0599592016723605E-3</v>
      </c>
      <c r="H3173">
        <v>0.42052366618525</v>
      </c>
      <c r="I3173">
        <v>-1.8447014460079101E-3</v>
      </c>
    </row>
    <row r="3174" spans="1:9" x14ac:dyDescent="0.25">
      <c r="A3174" s="1">
        <v>186.03645980358101</v>
      </c>
      <c r="B3174">
        <v>15.4267364231233</v>
      </c>
      <c r="C3174">
        <v>1.39085553161308</v>
      </c>
      <c r="D3174">
        <v>0.90242001514039305</v>
      </c>
      <c r="E3174">
        <v>-0.55347328043446897</v>
      </c>
      <c r="F3174">
        <v>1.7291596518403101E-3</v>
      </c>
      <c r="G3174">
        <v>7.6130105598438101E-3</v>
      </c>
      <c r="H3174">
        <v>0.41361356672766703</v>
      </c>
      <c r="I3174">
        <v>-1.5223148072841101E-3</v>
      </c>
    </row>
    <row r="3175" spans="1:9" x14ac:dyDescent="0.25">
      <c r="A3175" s="1">
        <v>203.76720398664401</v>
      </c>
      <c r="B3175">
        <v>15.6202924070243</v>
      </c>
      <c r="C3175">
        <v>1.25321584745184</v>
      </c>
      <c r="D3175">
        <v>0.81127779301474601</v>
      </c>
      <c r="E3175">
        <v>-0.50936286806903297</v>
      </c>
      <c r="F3175">
        <v>1.4912626456418899E-3</v>
      </c>
      <c r="G3175">
        <v>6.3116212294774699E-3</v>
      </c>
      <c r="H3175">
        <v>0.40631719047346798</v>
      </c>
      <c r="I3175">
        <v>-1.2346221323093699E-3</v>
      </c>
    </row>
    <row r="3176" spans="1:9" x14ac:dyDescent="0.25">
      <c r="A3176" s="1">
        <v>223.09376105666101</v>
      </c>
      <c r="B3176">
        <v>15.8111905274276</v>
      </c>
      <c r="C3176">
        <v>1.1157615788002899</v>
      </c>
      <c r="D3176">
        <v>0.72163435031062795</v>
      </c>
      <c r="E3176">
        <v>-0.46045066345320801</v>
      </c>
      <c r="F3176">
        <v>1.1655727097149801E-3</v>
      </c>
      <c r="G3176">
        <v>5.1306829288480299E-3</v>
      </c>
      <c r="H3176">
        <v>0.39891654278317101</v>
      </c>
      <c r="I3176">
        <v>-9.7164089001100301E-4</v>
      </c>
    </row>
    <row r="3177" spans="1:9" x14ac:dyDescent="0.25">
      <c r="A3177" s="1">
        <v>244.15970131754801</v>
      </c>
      <c r="B3177">
        <v>15.998009913909801</v>
      </c>
      <c r="C3177">
        <v>0.97755591951840404</v>
      </c>
      <c r="D3177">
        <v>0.63104990985107901</v>
      </c>
      <c r="E3177">
        <v>-0.40613356832529701</v>
      </c>
      <c r="F3177">
        <v>3.8088658376199798E-4</v>
      </c>
      <c r="G3177">
        <v>4.07016949163032E-3</v>
      </c>
      <c r="H3177">
        <v>0.392030204790079</v>
      </c>
      <c r="I3177">
        <v>-7.3730000825388204E-4</v>
      </c>
    </row>
    <row r="3178" spans="1:9" x14ac:dyDescent="0.25">
      <c r="A3178" s="1">
        <v>267.12157949805197</v>
      </c>
      <c r="B3178">
        <v>16.177908825624399</v>
      </c>
      <c r="C3178">
        <v>0.83948259769520905</v>
      </c>
      <c r="D3178">
        <v>0.540949461991722</v>
      </c>
      <c r="E3178">
        <v>-0.34605342891660801</v>
      </c>
      <c r="F3178">
        <v>-6.3271245873536795E-4</v>
      </c>
      <c r="G3178">
        <v>3.1403814397993599E-3</v>
      </c>
      <c r="H3178">
        <v>0.38615468157531502</v>
      </c>
      <c r="I3178">
        <v>-5.3946755960488399E-4</v>
      </c>
    </row>
    <row r="3179" spans="1:9" x14ac:dyDescent="0.25">
      <c r="A3179" s="1">
        <v>292.15002954006098</v>
      </c>
      <c r="B3179">
        <v>16.346190032113</v>
      </c>
      <c r="C3179">
        <v>0.70196187417926603</v>
      </c>
      <c r="D3179">
        <v>0.44956224318756299</v>
      </c>
      <c r="E3179">
        <v>-0.27969369756909801</v>
      </c>
      <c r="F3179">
        <v>-1.20695749081304E-3</v>
      </c>
      <c r="G3179">
        <v>2.3461042595730101E-3</v>
      </c>
      <c r="H3179">
        <v>0.38251232280933001</v>
      </c>
      <c r="I3179">
        <v>-3.7949157479073397E-4</v>
      </c>
    </row>
    <row r="3180" spans="1:9" x14ac:dyDescent="0.25">
      <c r="A3180" s="1">
        <v>319.43101242184599</v>
      </c>
      <c r="B3180">
        <v>16.493392207968601</v>
      </c>
      <c r="C3180">
        <v>0.57223411017015902</v>
      </c>
      <c r="D3180">
        <v>0.36222520124376101</v>
      </c>
      <c r="E3180">
        <v>-0.20673731003385001</v>
      </c>
      <c r="F3180">
        <v>-9.2952023729608597E-4</v>
      </c>
      <c r="G3180">
        <v>1.7039686304194E-3</v>
      </c>
      <c r="H3180">
        <v>0.38239629301216999</v>
      </c>
      <c r="I3180">
        <v>-2.6189990171892398E-4</v>
      </c>
    </row>
    <row r="3181" spans="1:9" x14ac:dyDescent="0.25">
      <c r="A3181" s="1">
        <v>349.16732590645501</v>
      </c>
      <c r="B3181">
        <v>16.607613473880701</v>
      </c>
      <c r="C3181">
        <v>0.46450326394397701</v>
      </c>
      <c r="D3181">
        <v>0.28720399542291802</v>
      </c>
      <c r="E3181">
        <v>-0.125876713034448</v>
      </c>
      <c r="F3181">
        <v>-1.0561428540950099E-3</v>
      </c>
      <c r="G3181">
        <v>1.2606532263100699E-3</v>
      </c>
      <c r="H3181">
        <v>0.386920138704137</v>
      </c>
      <c r="I3181">
        <v>-1.92057407363375E-4</v>
      </c>
    </row>
    <row r="3182" spans="1:9" x14ac:dyDescent="0.25">
      <c r="A3182" s="1">
        <v>379.83785875141598</v>
      </c>
      <c r="B3182">
        <v>16.667908528197199</v>
      </c>
      <c r="C3182">
        <v>0.40300468774714499</v>
      </c>
      <c r="D3182">
        <v>0.243565651808723</v>
      </c>
      <c r="E3182">
        <v>-4.1560300637752803E-2</v>
      </c>
      <c r="F3182">
        <v>-1.3979264371444301E-3</v>
      </c>
      <c r="G3182">
        <v>1.0300516410180799E-3</v>
      </c>
      <c r="H3182">
        <v>0.40772156410861199</v>
      </c>
      <c r="I3182">
        <v>-1.5245330210346099E-4</v>
      </c>
    </row>
    <row r="3183" spans="1:9" x14ac:dyDescent="0.25">
      <c r="A3183" s="1" t="s">
        <v>566</v>
      </c>
      <c r="B3183" s="1" t="s">
        <v>614</v>
      </c>
      <c r="C3183" s="1" t="s">
        <v>615</v>
      </c>
      <c r="D3183" s="1" t="s">
        <v>616</v>
      </c>
      <c r="E3183" s="1" t="s">
        <v>617</v>
      </c>
      <c r="F3183" s="1" t="s">
        <v>618</v>
      </c>
      <c r="G3183" s="1" t="s">
        <v>400</v>
      </c>
      <c r="H3183" s="1" t="s">
        <v>619</v>
      </c>
      <c r="I3183" s="1" t="s">
        <v>613</v>
      </c>
    </row>
    <row r="3184" spans="1:9" x14ac:dyDescent="0.25">
      <c r="A3184" s="1">
        <v>-141.555516719818</v>
      </c>
      <c r="B3184">
        <v>-2248.3043236749099</v>
      </c>
      <c r="C3184">
        <v>4.4315698931238403E-3</v>
      </c>
      <c r="D3184">
        <v>0</v>
      </c>
      <c r="E3184">
        <v>0</v>
      </c>
      <c r="F3184">
        <v>0</v>
      </c>
      <c r="G3184" s="1">
        <v>8.9727954749152506E-8</v>
      </c>
      <c r="H3184">
        <v>8.73631102767784E-2</v>
      </c>
      <c r="I3184">
        <v>0</v>
      </c>
    </row>
    <row r="3185" spans="1:9" x14ac:dyDescent="0.25">
      <c r="A3185" s="1">
        <v>-128.95890593528699</v>
      </c>
      <c r="B3185">
        <v>-2048.3052774684402</v>
      </c>
      <c r="C3185">
        <v>4.5429747848721898E-3</v>
      </c>
      <c r="D3185">
        <v>0</v>
      </c>
      <c r="E3185">
        <v>0</v>
      </c>
      <c r="F3185">
        <v>0</v>
      </c>
      <c r="G3185" s="1">
        <v>1.5593203286412499E-7</v>
      </c>
      <c r="H3185">
        <v>0.43634754453131003</v>
      </c>
      <c r="I3185">
        <v>0</v>
      </c>
    </row>
    <row r="3186" spans="1:9" x14ac:dyDescent="0.25">
      <c r="A3186" s="1">
        <v>-117.402367591857</v>
      </c>
      <c r="B3186">
        <v>-1864.8075851457099</v>
      </c>
      <c r="C3186">
        <v>4.80312435356292E-3</v>
      </c>
      <c r="D3186">
        <v>0</v>
      </c>
      <c r="E3186">
        <v>0</v>
      </c>
      <c r="F3186">
        <v>0</v>
      </c>
      <c r="G3186" s="1">
        <v>2.8443943666367402E-7</v>
      </c>
      <c r="H3186">
        <v>0.64324141136756496</v>
      </c>
      <c r="I3186">
        <v>0</v>
      </c>
    </row>
    <row r="3187" spans="1:9" x14ac:dyDescent="0.25">
      <c r="A3187" s="1">
        <v>-106.80001378059301</v>
      </c>
      <c r="B3187">
        <v>-1696.4509555118</v>
      </c>
      <c r="C3187">
        <v>5.2822446340759404E-3</v>
      </c>
      <c r="D3187">
        <v>0</v>
      </c>
      <c r="E3187">
        <v>0</v>
      </c>
      <c r="F3187">
        <v>0</v>
      </c>
      <c r="G3187" s="1">
        <v>4.8426399358647503E-7</v>
      </c>
      <c r="H3187">
        <v>0.73944196017325603</v>
      </c>
      <c r="I3187">
        <v>0</v>
      </c>
    </row>
    <row r="3188" spans="1:9" x14ac:dyDescent="0.25">
      <c r="A3188" s="1">
        <v>-97.073161005973802</v>
      </c>
      <c r="B3188">
        <v>-1541.98662734198</v>
      </c>
      <c r="C3188">
        <v>6.0663653134266698E-3</v>
      </c>
      <c r="D3188">
        <v>0</v>
      </c>
      <c r="E3188">
        <v>0</v>
      </c>
      <c r="F3188">
        <v>0</v>
      </c>
      <c r="G3188" s="1">
        <v>7.8143205068936798E-7</v>
      </c>
      <c r="H3188">
        <v>0.78617357778308805</v>
      </c>
      <c r="I3188">
        <v>0</v>
      </c>
    </row>
    <row r="3189" spans="1:9" x14ac:dyDescent="0.25">
      <c r="A3189" s="1">
        <v>-88.149435520172105</v>
      </c>
      <c r="B3189">
        <v>-1400.26901132035</v>
      </c>
      <c r="C3189">
        <v>7.2545153837739696E-3</v>
      </c>
      <c r="D3189">
        <v>0</v>
      </c>
      <c r="E3189">
        <v>0</v>
      </c>
      <c r="F3189">
        <v>0</v>
      </c>
      <c r="G3189" s="1">
        <v>1.22295990779353E-6</v>
      </c>
      <c r="H3189">
        <v>0.81102641922086305</v>
      </c>
      <c r="I3189">
        <v>0</v>
      </c>
    </row>
    <row r="3190" spans="1:9" x14ac:dyDescent="0.25">
      <c r="A3190" s="1">
        <v>-79.962490797042804</v>
      </c>
      <c r="B3190">
        <v>-1270.2467301981401</v>
      </c>
      <c r="C3190">
        <v>8.9628539377154901E-3</v>
      </c>
      <c r="D3190">
        <v>0</v>
      </c>
      <c r="E3190">
        <v>0</v>
      </c>
      <c r="F3190">
        <v>0</v>
      </c>
      <c r="G3190" s="1">
        <v>1.88337506416314E-6</v>
      </c>
      <c r="H3190">
        <v>0.82606675880237501</v>
      </c>
      <c r="I3190">
        <v>0</v>
      </c>
    </row>
    <row r="3191" spans="1:9" x14ac:dyDescent="0.25">
      <c r="A3191" s="1">
        <v>-72.451583743095298</v>
      </c>
      <c r="B3191">
        <v>-1150.95506310629</v>
      </c>
      <c r="C3191">
        <v>1.13319146382076E-2</v>
      </c>
      <c r="D3191">
        <v>0</v>
      </c>
      <c r="E3191">
        <v>0</v>
      </c>
      <c r="F3191">
        <v>0</v>
      </c>
      <c r="G3191" s="1">
        <v>2.8756950199628699E-6</v>
      </c>
      <c r="H3191">
        <v>0.83679460885535695</v>
      </c>
      <c r="I3191">
        <v>0</v>
      </c>
    </row>
    <row r="3192" spans="1:9" x14ac:dyDescent="0.25">
      <c r="A3192" s="1">
        <v>-65.560821294784503</v>
      </c>
      <c r="B3192">
        <v>-1041.5088579194501</v>
      </c>
      <c r="C3192">
        <v>1.4535519495872199E-2</v>
      </c>
      <c r="D3192">
        <v>0</v>
      </c>
      <c r="E3192">
        <v>0</v>
      </c>
      <c r="F3192">
        <v>0</v>
      </c>
      <c r="G3192" s="1">
        <v>4.3688088074498303E-6</v>
      </c>
      <c r="H3192">
        <v>0.845717471292877</v>
      </c>
      <c r="I3192">
        <v>0</v>
      </c>
    </row>
    <row r="3193" spans="1:9" x14ac:dyDescent="0.25">
      <c r="A3193" s="1">
        <v>-59.238972067832897</v>
      </c>
      <c r="B3193">
        <v>-941.09584480690899</v>
      </c>
      <c r="C3193">
        <v>1.8791176971853001E-2</v>
      </c>
      <c r="D3193">
        <v>0</v>
      </c>
      <c r="E3193">
        <v>0</v>
      </c>
      <c r="F3193">
        <v>0</v>
      </c>
      <c r="G3193" s="1">
        <v>6.6136070718041396E-6</v>
      </c>
      <c r="H3193">
        <v>0.85391052222169295</v>
      </c>
      <c r="I3193">
        <v>0</v>
      </c>
    </row>
    <row r="3194" spans="1:9" x14ac:dyDescent="0.25">
      <c r="A3194" s="1">
        <v>-53.439136743545497</v>
      </c>
      <c r="B3194">
        <v>-848.97078558969497</v>
      </c>
      <c r="C3194">
        <v>2.4372160565209199E-2</v>
      </c>
      <c r="D3194">
        <v>0</v>
      </c>
      <c r="E3194">
        <v>0</v>
      </c>
      <c r="F3194">
        <v>0</v>
      </c>
      <c r="G3194" s="1">
        <v>9.9814063574061793E-6</v>
      </c>
      <c r="H3194">
        <v>0.86176846698165499</v>
      </c>
      <c r="I3194">
        <v>0</v>
      </c>
    </row>
    <row r="3195" spans="1:9" x14ac:dyDescent="0.25">
      <c r="A3195" s="1">
        <v>-48.118183016777003</v>
      </c>
      <c r="B3195">
        <v>-764.44979025888404</v>
      </c>
      <c r="C3195">
        <v>3.16216646736786E-2</v>
      </c>
      <c r="D3195">
        <v>0</v>
      </c>
      <c r="E3195">
        <v>0</v>
      </c>
      <c r="F3195">
        <v>0</v>
      </c>
      <c r="G3195" s="1">
        <v>1.50202957963223E-5</v>
      </c>
      <c r="H3195">
        <v>0.86938631968443503</v>
      </c>
      <c r="I3195">
        <v>0</v>
      </c>
    </row>
    <row r="3196" spans="1:9" x14ac:dyDescent="0.25">
      <c r="A3196" s="1">
        <v>-43.236604332923797</v>
      </c>
      <c r="B3196">
        <v>-686.90543586778597</v>
      </c>
      <c r="C3196">
        <v>4.0969611674475097E-2</v>
      </c>
      <c r="D3196">
        <v>0</v>
      </c>
      <c r="E3196">
        <v>0</v>
      </c>
      <c r="F3196">
        <v>0</v>
      </c>
      <c r="G3196" s="1">
        <v>2.2538082244903199E-5</v>
      </c>
      <c r="H3196">
        <v>0.87675013602599405</v>
      </c>
      <c r="I3196">
        <v>0</v>
      </c>
    </row>
    <row r="3197" spans="1:9" x14ac:dyDescent="0.25">
      <c r="A3197" s="1">
        <v>-38.758049011230398</v>
      </c>
      <c r="B3197">
        <v>-615.76201915311799</v>
      </c>
      <c r="C3197">
        <v>5.2953014456573001E-2</v>
      </c>
      <c r="D3197">
        <v>0</v>
      </c>
      <c r="E3197">
        <v>0</v>
      </c>
      <c r="F3197">
        <v>0</v>
      </c>
      <c r="G3197" s="1">
        <v>3.37250193930316E-5</v>
      </c>
      <c r="H3197">
        <v>0.88382522779249095</v>
      </c>
      <c r="I3197">
        <v>0</v>
      </c>
    </row>
    <row r="3198" spans="1:9" x14ac:dyDescent="0.25">
      <c r="A3198" s="1">
        <v>-34.649320244789102</v>
      </c>
      <c r="B3198">
        <v>-550.49129392373504</v>
      </c>
      <c r="C3198">
        <v>6.8241044533237399E-2</v>
      </c>
      <c r="D3198">
        <v>0</v>
      </c>
      <c r="E3198">
        <v>0</v>
      </c>
      <c r="F3198">
        <v>0</v>
      </c>
      <c r="G3198" s="1">
        <v>5.0337436691776797E-5</v>
      </c>
      <c r="H3198">
        <v>0.89059230882857798</v>
      </c>
      <c r="I3198">
        <v>0</v>
      </c>
    </row>
    <row r="3199" spans="1:9" x14ac:dyDescent="0.25">
      <c r="A3199" s="1">
        <v>-30.879811048507602</v>
      </c>
      <c r="B3199">
        <v>-490.60862635242898</v>
      </c>
      <c r="C3199">
        <v>8.7666404067283196E-2</v>
      </c>
      <c r="D3199">
        <v>0</v>
      </c>
      <c r="E3199">
        <v>0</v>
      </c>
      <c r="F3199">
        <v>0</v>
      </c>
      <c r="G3199" s="1">
        <v>7.4978033221611903E-5</v>
      </c>
      <c r="H3199">
        <v>0.89706029225725203</v>
      </c>
      <c r="I3199">
        <v>0</v>
      </c>
    </row>
    <row r="3200" spans="1:9" x14ac:dyDescent="0.25">
      <c r="A3200" s="1">
        <v>-27.4215984344482</v>
      </c>
      <c r="B3200">
        <v>-435.66931742894599</v>
      </c>
      <c r="C3200">
        <v>0.112265469723832</v>
      </c>
      <c r="D3200">
        <v>0</v>
      </c>
      <c r="E3200">
        <v>0</v>
      </c>
      <c r="F3200">
        <v>0</v>
      </c>
      <c r="G3200">
        <v>1.1153667455467E-4</v>
      </c>
      <c r="H3200">
        <v>0.90326971987359705</v>
      </c>
      <c r="I3200">
        <v>0</v>
      </c>
    </row>
    <row r="3201" spans="1:9" x14ac:dyDescent="0.25">
      <c r="A3201" s="1">
        <v>-24.248878359794599</v>
      </c>
      <c r="B3201">
        <v>-385.26536839026198</v>
      </c>
      <c r="C3201">
        <v>0.1433316523855</v>
      </c>
      <c r="D3201">
        <v>0</v>
      </c>
      <c r="E3201">
        <v>0</v>
      </c>
      <c r="F3201">
        <v>0</v>
      </c>
      <c r="G3201">
        <v>1.6590848110061501E-4</v>
      </c>
      <c r="H3201">
        <v>0.90929169856667302</v>
      </c>
      <c r="I3201">
        <v>0</v>
      </c>
    </row>
    <row r="3202" spans="1:9" x14ac:dyDescent="0.25">
      <c r="A3202" s="1">
        <v>-21.3381540775299</v>
      </c>
      <c r="B3202">
        <v>-339.022438386261</v>
      </c>
      <c r="C3202">
        <v>0.18248963578420799</v>
      </c>
      <c r="D3202">
        <v>0</v>
      </c>
      <c r="E3202">
        <v>0</v>
      </c>
      <c r="F3202">
        <v>0</v>
      </c>
      <c r="G3202">
        <v>2.4720670874594901E-4</v>
      </c>
      <c r="H3202">
        <v>0.91522286297084898</v>
      </c>
      <c r="I3202">
        <v>0</v>
      </c>
    </row>
    <row r="3203" spans="1:9" x14ac:dyDescent="0.25">
      <c r="A3203" s="1">
        <v>-18.6677181720733</v>
      </c>
      <c r="B3203">
        <v>-296.59709572232498</v>
      </c>
      <c r="C3203">
        <v>0.23180374120806899</v>
      </c>
      <c r="D3203">
        <v>0</v>
      </c>
      <c r="E3203">
        <v>0</v>
      </c>
      <c r="F3203">
        <v>0</v>
      </c>
      <c r="G3203">
        <v>3.6988003854122501E-4</v>
      </c>
      <c r="H3203">
        <v>0.921175519257597</v>
      </c>
      <c r="I3203">
        <v>0</v>
      </c>
    </row>
    <row r="3204" spans="1:9" x14ac:dyDescent="0.25">
      <c r="A3204" s="1">
        <v>-16.2178409099578</v>
      </c>
      <c r="B3204">
        <v>-257.67422163653401</v>
      </c>
      <c r="C3204">
        <v>0.29394232996865199</v>
      </c>
      <c r="D3204">
        <v>0</v>
      </c>
      <c r="E3204">
        <v>0</v>
      </c>
      <c r="F3204">
        <v>0</v>
      </c>
      <c r="G3204">
        <v>5.5751046098828205E-4</v>
      </c>
      <c r="H3204">
        <v>0.92726086242867101</v>
      </c>
      <c r="I3204">
        <v>0</v>
      </c>
    </row>
    <row r="3205" spans="1:9" x14ac:dyDescent="0.25">
      <c r="A3205" s="1">
        <v>-13.9702051877975</v>
      </c>
      <c r="B3205">
        <v>-221.96469720619899</v>
      </c>
      <c r="C3205">
        <v>0.37243423405236997</v>
      </c>
      <c r="D3205">
        <v>0</v>
      </c>
      <c r="E3205">
        <v>0</v>
      </c>
      <c r="F3205">
        <v>0</v>
      </c>
      <c r="G3205">
        <v>8.4975226228391405E-4</v>
      </c>
      <c r="H3205">
        <v>0.933563060290997</v>
      </c>
      <c r="I3205">
        <v>0</v>
      </c>
    </row>
    <row r="3206" spans="1:9" x14ac:dyDescent="0.25">
      <c r="A3206" s="1">
        <v>-11.908189058303799</v>
      </c>
      <c r="B3206">
        <v>-189.203278310776</v>
      </c>
      <c r="C3206">
        <v>0.47207493375974602</v>
      </c>
      <c r="D3206">
        <v>0</v>
      </c>
      <c r="E3206">
        <v>0</v>
      </c>
      <c r="F3206">
        <v>0</v>
      </c>
      <c r="G3206">
        <v>1.31515250614484E-3</v>
      </c>
      <c r="H3206">
        <v>0.94010669542286796</v>
      </c>
      <c r="I3206">
        <v>0</v>
      </c>
    </row>
    <row r="3207" spans="1:9" x14ac:dyDescent="0.25">
      <c r="A3207" s="1">
        <v>-10.016394853591899</v>
      </c>
      <c r="B3207">
        <v>-159.14660327899401</v>
      </c>
      <c r="C3207">
        <v>0.59957456416700605</v>
      </c>
      <c r="D3207">
        <v>0</v>
      </c>
      <c r="E3207">
        <v>0</v>
      </c>
      <c r="F3207">
        <v>0</v>
      </c>
      <c r="G3207">
        <v>2.0750050045116901E-3</v>
      </c>
      <c r="H3207">
        <v>0.94682871674433</v>
      </c>
      <c r="I3207">
        <v>0</v>
      </c>
    </row>
    <row r="3208" spans="1:9" x14ac:dyDescent="0.25">
      <c r="A3208" s="1">
        <v>-8.2808375358581507</v>
      </c>
      <c r="B3208">
        <v>-131.571386502862</v>
      </c>
      <c r="C3208">
        <v>0.76459354515757005</v>
      </c>
      <c r="D3208">
        <v>0</v>
      </c>
      <c r="E3208">
        <v>0</v>
      </c>
      <c r="F3208">
        <v>0</v>
      </c>
      <c r="G3208">
        <v>3.3480904492089402E-3</v>
      </c>
      <c r="H3208">
        <v>0.95357366396526999</v>
      </c>
      <c r="I3208">
        <v>0</v>
      </c>
    </row>
    <row r="3209" spans="1:9" x14ac:dyDescent="0.25">
      <c r="A3209" s="1">
        <v>-6.6885209083557102</v>
      </c>
      <c r="B3209">
        <v>-106.27278861570301</v>
      </c>
      <c r="C3209">
        <v>0.98140157453430599</v>
      </c>
      <c r="D3209">
        <v>0</v>
      </c>
      <c r="E3209">
        <v>0</v>
      </c>
      <c r="F3209">
        <v>0</v>
      </c>
      <c r="G3209">
        <v>5.5357660456247602E-3</v>
      </c>
      <c r="H3209">
        <v>0.96012524432013602</v>
      </c>
      <c r="I3209">
        <v>0</v>
      </c>
    </row>
    <row r="3210" spans="1:9" x14ac:dyDescent="0.25">
      <c r="A3210" s="1">
        <v>-5.2277201414108196</v>
      </c>
      <c r="B3210">
        <v>-83.062853534698803</v>
      </c>
      <c r="C3210">
        <v>1.27155295493113</v>
      </c>
      <c r="D3210">
        <v>0</v>
      </c>
      <c r="E3210">
        <v>0</v>
      </c>
      <c r="F3210">
        <v>0</v>
      </c>
      <c r="G3210">
        <v>9.3876322862251893E-3</v>
      </c>
      <c r="H3210">
        <v>0.96626578396367901</v>
      </c>
      <c r="I3210">
        <v>0</v>
      </c>
    </row>
    <row r="3211" spans="1:9" x14ac:dyDescent="0.25">
      <c r="A3211" s="1">
        <v>-3.88755798339843</v>
      </c>
      <c r="B3211">
        <v>-61.769171171069402</v>
      </c>
      <c r="C3211">
        <v>1.6682694673774401</v>
      </c>
      <c r="D3211">
        <v>0</v>
      </c>
      <c r="E3211">
        <v>0</v>
      </c>
      <c r="F3211">
        <v>0</v>
      </c>
      <c r="G3211">
        <v>1.6335456319451599E-2</v>
      </c>
      <c r="H3211">
        <v>0.97183468350285596</v>
      </c>
      <c r="I3211">
        <v>0</v>
      </c>
    </row>
    <row r="3212" spans="1:9" x14ac:dyDescent="0.25">
      <c r="A3212" s="1">
        <v>-2.6580518484115601</v>
      </c>
      <c r="B3212">
        <v>-42.233540140271501</v>
      </c>
      <c r="C3212">
        <v>2.2238276986106098</v>
      </c>
      <c r="D3212">
        <v>0</v>
      </c>
      <c r="E3212">
        <v>0</v>
      </c>
      <c r="F3212">
        <v>0</v>
      </c>
      <c r="G3212">
        <v>2.91976254693436E-2</v>
      </c>
      <c r="H3212">
        <v>0.97675795240089802</v>
      </c>
      <c r="I3212">
        <v>0</v>
      </c>
    </row>
    <row r="3213" spans="1:9" x14ac:dyDescent="0.25">
      <c r="A3213" s="1">
        <v>-1.5300196409225399</v>
      </c>
      <c r="B3213">
        <v>-24.310797633409798</v>
      </c>
      <c r="C3213">
        <v>3.0225208871181799</v>
      </c>
      <c r="D3213">
        <v>0</v>
      </c>
      <c r="E3213">
        <v>0</v>
      </c>
      <c r="F3213">
        <v>0</v>
      </c>
      <c r="G3213">
        <v>5.3749316115587101E-2</v>
      </c>
      <c r="H3213">
        <v>0.98104190954775705</v>
      </c>
      <c r="I3213">
        <v>0</v>
      </c>
    </row>
    <row r="3214" spans="1:9" x14ac:dyDescent="0.25">
      <c r="A3214" s="1">
        <v>-0.49517393112182601</v>
      </c>
      <c r="B3214">
        <v>-7.8678498821262002</v>
      </c>
      <c r="C3214">
        <v>4.2046125754316002</v>
      </c>
      <c r="D3214">
        <v>0</v>
      </c>
      <c r="E3214">
        <v>0</v>
      </c>
      <c r="F3214">
        <v>0</v>
      </c>
      <c r="G3214">
        <v>0.104558317267365</v>
      </c>
      <c r="H3214">
        <v>0.98505141992912504</v>
      </c>
      <c r="I3214">
        <v>0</v>
      </c>
    </row>
    <row r="3215" spans="1:9" x14ac:dyDescent="0.25">
      <c r="A3215" s="1">
        <v>0.49376130104064903</v>
      </c>
      <c r="B3215">
        <v>0.35049807858432502</v>
      </c>
      <c r="C3215">
        <v>5.0827673260428599</v>
      </c>
      <c r="D3215">
        <v>0.34237290528131997</v>
      </c>
      <c r="E3215">
        <v>-4.8924217465762796E-4</v>
      </c>
      <c r="F3215">
        <v>1.48562087645682E-4</v>
      </c>
      <c r="G3215">
        <v>1.5548505078941399E-2</v>
      </c>
      <c r="H3215">
        <v>0.359293915831424</v>
      </c>
      <c r="I3215" s="1">
        <v>4.6864331948176001E-7</v>
      </c>
    </row>
    <row r="3216" spans="1:9" x14ac:dyDescent="0.25">
      <c r="A3216" s="1">
        <v>1.5257111191749499</v>
      </c>
      <c r="B3216">
        <v>1.0821961982246699</v>
      </c>
      <c r="C3216">
        <v>5.2017480007982702</v>
      </c>
      <c r="D3216">
        <v>1.08925627025042</v>
      </c>
      <c r="E3216">
        <v>-4.2438859516498997E-3</v>
      </c>
      <c r="F3216">
        <v>4.6441403853653498E-4</v>
      </c>
      <c r="G3216">
        <v>3.3774596490103302E-2</v>
      </c>
      <c r="H3216">
        <v>0.69484588455749596</v>
      </c>
      <c r="I3216" s="1">
        <v>2.2795705546648501E-5</v>
      </c>
    </row>
    <row r="3217" spans="1:9" x14ac:dyDescent="0.25">
      <c r="A3217" s="1">
        <v>2.6505178213119498</v>
      </c>
      <c r="B3217">
        <v>1.87286879849399</v>
      </c>
      <c r="C3217">
        <v>5.3830660566373396</v>
      </c>
      <c r="D3217">
        <v>1.9668910421743</v>
      </c>
      <c r="E3217">
        <v>-1.59720391941078E-2</v>
      </c>
      <c r="F3217">
        <v>8.1963881020956895E-4</v>
      </c>
      <c r="G3217">
        <v>5.90345405214555E-2</v>
      </c>
      <c r="H3217">
        <v>0.81537780469602195</v>
      </c>
      <c r="I3217">
        <v>1.4289962009221999E-4</v>
      </c>
    </row>
    <row r="3218" spans="1:9" x14ac:dyDescent="0.25">
      <c r="A3218" s="1">
        <v>3.8765159249305698</v>
      </c>
      <c r="B3218">
        <v>2.71833684873546</v>
      </c>
      <c r="C3218">
        <v>5.6622794957048903</v>
      </c>
      <c r="D3218">
        <v>2.9976195971840598</v>
      </c>
      <c r="E3218">
        <v>-3.9491989925671801E-2</v>
      </c>
      <c r="F3218">
        <v>1.20270582930372E-3</v>
      </c>
      <c r="G3218">
        <v>8.3390962789338302E-2</v>
      </c>
      <c r="H3218">
        <v>0.85747064621792701</v>
      </c>
      <c r="I3218">
        <v>3.7769037850375901E-4</v>
      </c>
    </row>
    <row r="3219" spans="1:9" x14ac:dyDescent="0.25">
      <c r="A3219" s="1">
        <v>5.2129346132278398</v>
      </c>
      <c r="B3219">
        <v>3.6082697851654402</v>
      </c>
      <c r="C3219">
        <v>6.0627237755282204</v>
      </c>
      <c r="D3219">
        <v>4.1604514849440104</v>
      </c>
      <c r="E3219">
        <v>-7.9120769058355203E-2</v>
      </c>
      <c r="F3219">
        <v>1.5743268957587101E-3</v>
      </c>
      <c r="G3219">
        <v>0.100343021339418</v>
      </c>
      <c r="H3219">
        <v>0.86655588069607004</v>
      </c>
      <c r="I3219">
        <v>7.9725607316226996E-4</v>
      </c>
    </row>
    <row r="3220" spans="1:9" x14ac:dyDescent="0.25">
      <c r="A3220" s="1">
        <v>6.6695916652679399</v>
      </c>
      <c r="B3220">
        <v>4.5247479243275004</v>
      </c>
      <c r="C3220">
        <v>6.5673624154788497</v>
      </c>
      <c r="D3220">
        <v>5.3655261944012498</v>
      </c>
      <c r="E3220">
        <v>-0.13708450926782201</v>
      </c>
      <c r="F3220">
        <v>1.8716450810493E-3</v>
      </c>
      <c r="G3220">
        <v>0.10813744436374099</v>
      </c>
      <c r="H3220">
        <v>0.85727794958846204</v>
      </c>
      <c r="I3220">
        <v>1.8132301633138001E-3</v>
      </c>
    </row>
    <row r="3221" spans="1:9" x14ac:dyDescent="0.25">
      <c r="A3221" s="1">
        <v>8.2573878765106201</v>
      </c>
      <c r="B3221">
        <v>5.4433322949405998</v>
      </c>
      <c r="C3221">
        <v>7.1061564235796499</v>
      </c>
      <c r="D3221">
        <v>6.4646157535804702</v>
      </c>
      <c r="E3221">
        <v>-0.211644164169452</v>
      </c>
      <c r="F3221">
        <v>2.02581576520495E-3</v>
      </c>
      <c r="G3221">
        <v>0.11009910725674001</v>
      </c>
      <c r="H3221">
        <v>0.83691465918887198</v>
      </c>
      <c r="I3221">
        <v>4.3294848143751201E-3</v>
      </c>
    </row>
    <row r="3222" spans="1:9" x14ac:dyDescent="0.25">
      <c r="A3222" s="1">
        <v>9.9880245327949506</v>
      </c>
      <c r="B3222">
        <v>6.33667532038654</v>
      </c>
      <c r="C3222">
        <v>7.5777167076925904</v>
      </c>
      <c r="D3222">
        <v>7.3092553809986098</v>
      </c>
      <c r="E3222">
        <v>-0.29693024222432801</v>
      </c>
      <c r="F3222">
        <v>1.9837731954371199E-3</v>
      </c>
      <c r="G3222">
        <v>0.111016272996861</v>
      </c>
      <c r="H3222">
        <v>0.811645414338525</v>
      </c>
      <c r="I3222">
        <v>8.2876479899872003E-3</v>
      </c>
    </row>
    <row r="3223" spans="1:9" x14ac:dyDescent="0.25">
      <c r="A3223" s="1">
        <v>11.874474287032999</v>
      </c>
      <c r="B3223">
        <v>7.1803045971390098</v>
      </c>
      <c r="C3223">
        <v>7.8941528826015697</v>
      </c>
      <c r="D3223">
        <v>7.81379855034531</v>
      </c>
      <c r="E3223">
        <v>-0.385120606399799</v>
      </c>
      <c r="F3223">
        <v>1.75190293009063E-3</v>
      </c>
      <c r="G3223">
        <v>0.11292181420740401</v>
      </c>
      <c r="H3223">
        <v>0.78597087362185902</v>
      </c>
      <c r="I3223">
        <v>1.09644715828077E-2</v>
      </c>
    </row>
    <row r="3224" spans="1:9" x14ac:dyDescent="0.25">
      <c r="A3224" s="1">
        <v>13.9306750893592</v>
      </c>
      <c r="B3224">
        <v>7.95750400257075</v>
      </c>
      <c r="C3224">
        <v>8.0134196924028007</v>
      </c>
      <c r="D3224">
        <v>7.9759145688465001</v>
      </c>
      <c r="E3224">
        <v>-0.46928430699346502</v>
      </c>
      <c r="F3224">
        <v>1.4049003390636801E-3</v>
      </c>
      <c r="G3224">
        <v>0.114715804152325</v>
      </c>
      <c r="H3224">
        <v>0.76135548227399596</v>
      </c>
      <c r="I3224">
        <v>9.8373860759344792E-3</v>
      </c>
    </row>
    <row r="3225" spans="1:9" x14ac:dyDescent="0.25">
      <c r="A3225" s="1">
        <v>16.171883344650201</v>
      </c>
      <c r="B3225">
        <v>8.6607178492542598</v>
      </c>
      <c r="C3225">
        <v>7.9403219167857904</v>
      </c>
      <c r="D3225">
        <v>7.8522918453230401</v>
      </c>
      <c r="E3225">
        <v>-0.54490396943915598</v>
      </c>
      <c r="F3225">
        <v>1.06127572733858E-3</v>
      </c>
      <c r="G3225">
        <v>0.11464738058688601</v>
      </c>
      <c r="H3225">
        <v>0.73741419905017602</v>
      </c>
      <c r="I3225">
        <v>5.3918806024493802E-3</v>
      </c>
    </row>
    <row r="3226" spans="1:9" x14ac:dyDescent="0.25">
      <c r="A3226" s="1">
        <v>18.614838719367899</v>
      </c>
      <c r="B3226">
        <v>9.2899795694347702</v>
      </c>
      <c r="C3226">
        <v>7.7082795568329399</v>
      </c>
      <c r="D3226">
        <v>7.5213431227295002</v>
      </c>
      <c r="E3226">
        <v>-0.60989816443090505</v>
      </c>
      <c r="F3226">
        <v>8.4457815856210704E-4</v>
      </c>
      <c r="G3226">
        <v>0.111973628446022</v>
      </c>
      <c r="H3226">
        <v>0.71355370874421498</v>
      </c>
      <c r="I3226">
        <v>-2.53109107654955E-4</v>
      </c>
    </row>
    <row r="3227" spans="1:9" x14ac:dyDescent="0.25">
      <c r="A3227" s="1">
        <v>21.2777170538902</v>
      </c>
      <c r="B3227">
        <v>9.8501034064289392</v>
      </c>
      <c r="C3227">
        <v>7.3604887036023499</v>
      </c>
      <c r="D3227">
        <v>7.0569437984347498</v>
      </c>
      <c r="E3227">
        <v>-0.66392995135561195</v>
      </c>
      <c r="F3227">
        <v>8.4321945318746995E-4</v>
      </c>
      <c r="G3227">
        <v>0.10700457900758401</v>
      </c>
      <c r="H3227">
        <v>0.68958410252549096</v>
      </c>
      <c r="I3227">
        <v>-5.4084637575183697E-3</v>
      </c>
    </row>
    <row r="3228" spans="1:9" x14ac:dyDescent="0.25">
      <c r="A3228" s="1">
        <v>24.180224537849401</v>
      </c>
      <c r="B3228">
        <v>10.3480432672497</v>
      </c>
      <c r="C3228">
        <v>6.9384131865846497</v>
      </c>
      <c r="D3228">
        <v>6.52103584927647</v>
      </c>
      <c r="E3228">
        <v>-0.70765298648641095</v>
      </c>
      <c r="F3228">
        <v>1.0956454103552499E-3</v>
      </c>
      <c r="G3228">
        <v>0.100506461676205</v>
      </c>
      <c r="H3228">
        <v>0.66565496622610498</v>
      </c>
      <c r="I3228">
        <v>-9.3605829373594098E-3</v>
      </c>
    </row>
    <row r="3229" spans="1:9" x14ac:dyDescent="0.25">
      <c r="A3229" s="1">
        <v>27.343950867652801</v>
      </c>
      <c r="B3229">
        <v>10.7915888650413</v>
      </c>
      <c r="C3229">
        <v>6.4769099770623999</v>
      </c>
      <c r="D3229">
        <v>5.9570065408814097</v>
      </c>
      <c r="E3229">
        <v>-0.74215549315251395</v>
      </c>
      <c r="F3229">
        <v>1.5381136651738999E-3</v>
      </c>
      <c r="G3229">
        <v>9.32035349898062E-2</v>
      </c>
      <c r="H3229">
        <v>0.64210610251619604</v>
      </c>
      <c r="I3229">
        <v>-1.20258854311826E-2</v>
      </c>
    </row>
    <row r="3230" spans="1:9" x14ac:dyDescent="0.25">
      <c r="A3230" s="1">
        <v>30.7923927903175</v>
      </c>
      <c r="B3230">
        <v>11.1883961839672</v>
      </c>
      <c r="C3230">
        <v>6.0030732025248597</v>
      </c>
      <c r="D3230">
        <v>5.3967240738214501</v>
      </c>
      <c r="E3230">
        <v>-0.76863627343915197</v>
      </c>
      <c r="F3230">
        <v>2.0792739388964402E-3</v>
      </c>
      <c r="G3230">
        <v>8.5593004069014905E-2</v>
      </c>
      <c r="H3230">
        <v>0.61935155097380101</v>
      </c>
      <c r="I3230">
        <v>-1.35559918985156E-2</v>
      </c>
    </row>
    <row r="3231" spans="1:9" x14ac:dyDescent="0.25">
      <c r="A3231" s="1">
        <v>34.551213085651298</v>
      </c>
      <c r="B3231">
        <v>11.545720021247501</v>
      </c>
      <c r="C3231">
        <v>5.5366341634621099</v>
      </c>
      <c r="D3231">
        <v>4.8597088377111497</v>
      </c>
      <c r="E3231">
        <v>-0.78825029872641805</v>
      </c>
      <c r="F3231">
        <v>2.66140573719016E-3</v>
      </c>
      <c r="G3231">
        <v>7.7959003110953495E-2</v>
      </c>
      <c r="H3231">
        <v>0.59779565840429905</v>
      </c>
      <c r="I3231">
        <v>-1.4155004152293199E-2</v>
      </c>
    </row>
    <row r="3232" spans="1:9" x14ac:dyDescent="0.25">
      <c r="A3232" s="1">
        <v>38.6483111977577</v>
      </c>
      <c r="B3232">
        <v>11.8700796647068</v>
      </c>
      <c r="C3232">
        <v>5.0909038622059697</v>
      </c>
      <c r="D3232">
        <v>4.3588399258867696</v>
      </c>
      <c r="E3232">
        <v>-0.80200547131333599</v>
      </c>
      <c r="F3232">
        <v>3.1536300011947098E-3</v>
      </c>
      <c r="G3232">
        <v>7.0466361483604203E-2</v>
      </c>
      <c r="H3232">
        <v>0.57781221020776596</v>
      </c>
      <c r="I3232">
        <v>-1.4023505874032701E-2</v>
      </c>
    </row>
    <row r="3233" spans="1:9" x14ac:dyDescent="0.25">
      <c r="A3233" s="1">
        <v>43.1141293048858</v>
      </c>
      <c r="B3233">
        <v>12.1672923250194</v>
      </c>
      <c r="C3233">
        <v>4.6740128260836</v>
      </c>
      <c r="D3233">
        <v>3.9012210634208602</v>
      </c>
      <c r="E3233">
        <v>-0.81073283062131396</v>
      </c>
      <c r="F3233">
        <v>3.5081201537605E-3</v>
      </c>
      <c r="G3233">
        <v>6.3226352834859695E-2</v>
      </c>
      <c r="H3233">
        <v>0.559662147253427</v>
      </c>
      <c r="I3233">
        <v>-1.33487625467388E-2</v>
      </c>
    </row>
    <row r="3234" spans="1:9" x14ac:dyDescent="0.25">
      <c r="A3234" s="1">
        <v>47.981887757778097</v>
      </c>
      <c r="B3234">
        <v>12.4424062712189</v>
      </c>
      <c r="C3234">
        <v>4.2902067269049704</v>
      </c>
      <c r="D3234">
        <v>3.4889488711930401</v>
      </c>
      <c r="E3234">
        <v>-0.81513036421050999</v>
      </c>
      <c r="F3234">
        <v>3.6650914964275702E-3</v>
      </c>
      <c r="G3234">
        <v>5.6318952949116798E-2</v>
      </c>
      <c r="H3234">
        <v>0.54336724899940503</v>
      </c>
      <c r="I3234">
        <v>-1.23115110460956E-2</v>
      </c>
    </row>
    <row r="3235" spans="1:9" x14ac:dyDescent="0.25">
      <c r="A3235" s="1">
        <v>53.287820518016801</v>
      </c>
      <c r="B3235">
        <v>12.6995336694713</v>
      </c>
      <c r="C3235">
        <v>3.9406392611748302</v>
      </c>
      <c r="D3235">
        <v>3.1233714826375301</v>
      </c>
      <c r="E3235">
        <v>-0.81572695965867104</v>
      </c>
      <c r="F3235">
        <v>3.5685362548814499E-3</v>
      </c>
      <c r="G3235">
        <v>4.9833810491927102E-2</v>
      </c>
      <c r="H3235">
        <v>0.52891601878987904</v>
      </c>
      <c r="I3235">
        <v>-1.10750732524667E-2</v>
      </c>
    </row>
    <row r="3236" spans="1:9" x14ac:dyDescent="0.25">
      <c r="A3236" s="1">
        <v>59.071175158023799</v>
      </c>
      <c r="B3236">
        <v>12.942285202264401</v>
      </c>
      <c r="C3236">
        <v>3.62452756340782</v>
      </c>
      <c r="D3236">
        <v>2.7996030315507801</v>
      </c>
      <c r="E3236">
        <v>-0.81292589480353705</v>
      </c>
      <c r="F3236">
        <v>3.16664580418514E-3</v>
      </c>
      <c r="G3236">
        <v>4.3863691543878397E-2</v>
      </c>
      <c r="H3236">
        <v>0.51620501686110598</v>
      </c>
      <c r="I3236">
        <v>-9.7913837556279897E-3</v>
      </c>
    </row>
    <row r="3237" spans="1:9" x14ac:dyDescent="0.25">
      <c r="A3237" s="1">
        <v>65.375131070613804</v>
      </c>
      <c r="B3237">
        <v>13.1734357459541</v>
      </c>
      <c r="C3237">
        <v>3.3401877288592501</v>
      </c>
      <c r="D3237">
        <v>2.5172662939785799</v>
      </c>
      <c r="E3237">
        <v>-0.80702751341442203</v>
      </c>
      <c r="F3237">
        <v>2.5507019583000702E-3</v>
      </c>
      <c r="G3237">
        <v>3.8453972547059199E-2</v>
      </c>
      <c r="H3237">
        <v>0.504827414025526</v>
      </c>
      <c r="I3237">
        <v>-8.5587360763127104E-3</v>
      </c>
    </row>
    <row r="3238" spans="1:9" x14ac:dyDescent="0.25">
      <c r="A3238" s="1">
        <v>72.246375679969702</v>
      </c>
      <c r="B3238">
        <v>13.3954592866894</v>
      </c>
      <c r="C3238">
        <v>3.0847664188521402</v>
      </c>
      <c r="D3238">
        <v>2.2705472191956</v>
      </c>
      <c r="E3238">
        <v>-0.79826355252408099</v>
      </c>
      <c r="F3238">
        <v>1.82127433339522E-3</v>
      </c>
      <c r="G3238">
        <v>3.3626951120152598E-2</v>
      </c>
      <c r="H3238">
        <v>0.49451469293551797</v>
      </c>
      <c r="I3238">
        <v>-7.4378973921959499E-3</v>
      </c>
    </row>
    <row r="3239" spans="1:9" x14ac:dyDescent="0.25">
      <c r="A3239" s="1">
        <v>79.736069738864799</v>
      </c>
      <c r="B3239">
        <v>13.6102614624496</v>
      </c>
      <c r="C3239">
        <v>2.85473301305603</v>
      </c>
      <c r="D3239">
        <v>2.0548322343619398</v>
      </c>
      <c r="E3239">
        <v>-0.78677149002244495</v>
      </c>
      <c r="F3239">
        <v>1.15503440820246E-3</v>
      </c>
      <c r="G3239">
        <v>2.9340098079627001E-2</v>
      </c>
      <c r="H3239">
        <v>0.48481946918972402</v>
      </c>
      <c r="I3239">
        <v>-6.4354767504775402E-3</v>
      </c>
    </row>
    <row r="3240" spans="1:9" x14ac:dyDescent="0.25">
      <c r="A3240" s="1">
        <v>87.899753153324099</v>
      </c>
      <c r="B3240">
        <v>13.819413588761901</v>
      </c>
      <c r="C3240">
        <v>2.6463457234766699</v>
      </c>
      <c r="D3240">
        <v>1.86686258871019</v>
      </c>
      <c r="E3240">
        <v>-0.77259346691200004</v>
      </c>
      <c r="F3240">
        <v>7.6508850141327595E-4</v>
      </c>
      <c r="G3240">
        <v>2.55535041430297E-2</v>
      </c>
      <c r="H3240">
        <v>0.47562219552627699</v>
      </c>
      <c r="I3240">
        <v>-5.5576248391336399E-3</v>
      </c>
    </row>
    <row r="3241" spans="1:9" x14ac:dyDescent="0.25">
      <c r="A3241" s="1">
        <v>96.798263192176805</v>
      </c>
      <c r="B3241">
        <v>14.024152658700499</v>
      </c>
      <c r="C3241">
        <v>2.45622901497845</v>
      </c>
      <c r="D3241">
        <v>1.7010597715701901</v>
      </c>
      <c r="E3241">
        <v>-0.75580481021120505</v>
      </c>
      <c r="F3241">
        <v>8.3497885206633795E-4</v>
      </c>
      <c r="G3241">
        <v>2.2220363721858202E-2</v>
      </c>
      <c r="H3241">
        <v>0.46667394354770397</v>
      </c>
      <c r="I3241">
        <v>-4.7935043395895003E-3</v>
      </c>
    </row>
    <row r="3242" spans="1:9" x14ac:dyDescent="0.25">
      <c r="A3242" s="1">
        <v>106.497616767883</v>
      </c>
      <c r="B3242">
        <v>14.2255150718685</v>
      </c>
      <c r="C3242">
        <v>2.2809841754870299</v>
      </c>
      <c r="D3242">
        <v>1.5545335204840001</v>
      </c>
      <c r="E3242">
        <v>-0.73631392473766399</v>
      </c>
      <c r="F3242">
        <v>1.09271100375246E-3</v>
      </c>
      <c r="G3242">
        <v>1.9300882846427898E-2</v>
      </c>
      <c r="H3242">
        <v>0.45797013622524502</v>
      </c>
      <c r="I3242">
        <v>-4.1351724622158397E-3</v>
      </c>
    </row>
    <row r="3243" spans="1:9" x14ac:dyDescent="0.25">
      <c r="A3243" s="1">
        <v>117.06990510225199</v>
      </c>
      <c r="B3243">
        <v>14.4247043890949</v>
      </c>
      <c r="C3243">
        <v>2.1165998777949899</v>
      </c>
      <c r="D3243">
        <v>1.42227395689642</v>
      </c>
      <c r="E3243">
        <v>-0.71388491590176695</v>
      </c>
      <c r="F3243">
        <v>1.2662365514139E-3</v>
      </c>
      <c r="G3243">
        <v>1.6750470075274401E-2</v>
      </c>
      <c r="H3243">
        <v>0.45010566184682199</v>
      </c>
      <c r="I3243">
        <v>-3.5687338335829099E-3</v>
      </c>
    </row>
    <row r="3244" spans="1:9" x14ac:dyDescent="0.25">
      <c r="A3244" s="1">
        <v>128.593670427799</v>
      </c>
      <c r="B3244">
        <v>14.6225898487564</v>
      </c>
      <c r="C3244">
        <v>1.9610451353470499</v>
      </c>
      <c r="D3244">
        <v>1.3037122137696899</v>
      </c>
      <c r="E3244">
        <v>-0.68855524431988802</v>
      </c>
      <c r="F3244">
        <v>1.55112711062296E-3</v>
      </c>
      <c r="G3244">
        <v>1.4492268442091401E-2</v>
      </c>
      <c r="H3244">
        <v>0.44267529988327498</v>
      </c>
      <c r="I3244">
        <v>-3.0641174364847601E-3</v>
      </c>
    </row>
    <row r="3245" spans="1:9" x14ac:dyDescent="0.25">
      <c r="A3245" s="1">
        <v>141.15461230278001</v>
      </c>
      <c r="B3245">
        <v>14.8196729345318</v>
      </c>
      <c r="C3245">
        <v>1.8124334597860801</v>
      </c>
      <c r="D3245">
        <v>1.19381931575293</v>
      </c>
      <c r="E3245">
        <v>-0.66010837997202498</v>
      </c>
      <c r="F3245">
        <v>2.1763333875604099E-3</v>
      </c>
      <c r="G3245">
        <v>1.2477276132549E-2</v>
      </c>
      <c r="H3245">
        <v>0.43547149839488603</v>
      </c>
      <c r="I3245">
        <v>-2.6123665585386499E-3</v>
      </c>
    </row>
    <row r="3246" spans="1:9" x14ac:dyDescent="0.25">
      <c r="A3246" s="1">
        <v>154.84601140022201</v>
      </c>
      <c r="B3246">
        <v>15.015719620704299</v>
      </c>
      <c r="C3246">
        <v>1.6692729429831501</v>
      </c>
      <c r="D3246">
        <v>1.09139162265863</v>
      </c>
      <c r="E3246">
        <v>-0.62836720282956804</v>
      </c>
      <c r="F3246">
        <v>2.2920078838494901E-3</v>
      </c>
      <c r="G3246">
        <v>1.0670034204673899E-2</v>
      </c>
      <c r="H3246">
        <v>0.42799200590675301</v>
      </c>
      <c r="I3246">
        <v>-2.20639052616085E-3</v>
      </c>
    </row>
    <row r="3247" spans="1:9" x14ac:dyDescent="0.25">
      <c r="A3247" s="1">
        <v>169.76969480514501</v>
      </c>
      <c r="B3247">
        <v>15.2106964750286</v>
      </c>
      <c r="C3247">
        <v>1.52921742062999</v>
      </c>
      <c r="D3247">
        <v>0.99434417841238898</v>
      </c>
      <c r="E3247">
        <v>-0.59286726597234796</v>
      </c>
      <c r="F3247">
        <v>1.90913692031827E-3</v>
      </c>
      <c r="G3247">
        <v>9.0533530584878397E-3</v>
      </c>
      <c r="H3247">
        <v>0.42053191456118899</v>
      </c>
      <c r="I3247">
        <v>-1.84317687205382E-3</v>
      </c>
    </row>
    <row r="3248" spans="1:9" x14ac:dyDescent="0.25">
      <c r="A3248" s="1">
        <v>186.03645980358101</v>
      </c>
      <c r="B3248">
        <v>15.4050715489384</v>
      </c>
      <c r="C3248">
        <v>1.39039270817646</v>
      </c>
      <c r="D3248">
        <v>0.90268016526719896</v>
      </c>
      <c r="E3248">
        <v>-0.55313034715798504</v>
      </c>
      <c r="F3248">
        <v>1.7287053591542199E-3</v>
      </c>
      <c r="G3248">
        <v>7.6072461353063701E-3</v>
      </c>
      <c r="H3248">
        <v>0.41362468839694699</v>
      </c>
      <c r="I3248">
        <v>-1.5210157319186599E-3</v>
      </c>
    </row>
    <row r="3249" spans="1:9" x14ac:dyDescent="0.25">
      <c r="A3249" s="1">
        <v>203.76720398664401</v>
      </c>
      <c r="B3249">
        <v>15.5984770877357</v>
      </c>
      <c r="C3249">
        <v>1.25275030573228</v>
      </c>
      <c r="D3249">
        <v>0.81138285032959101</v>
      </c>
      <c r="E3249">
        <v>-0.50904744918981104</v>
      </c>
      <c r="F3249">
        <v>1.4881942504106E-3</v>
      </c>
      <c r="G3249">
        <v>6.3067064129630999E-3</v>
      </c>
      <c r="H3249">
        <v>0.40632929366702703</v>
      </c>
      <c r="I3249">
        <v>-1.23353884262865E-3</v>
      </c>
    </row>
    <row r="3250" spans="1:9" x14ac:dyDescent="0.25">
      <c r="A3250" s="1">
        <v>223.09376105666101</v>
      </c>
      <c r="B3250">
        <v>15.789208046912799</v>
      </c>
      <c r="C3250">
        <v>1.11532014395834</v>
      </c>
      <c r="D3250">
        <v>0.72208180564296698</v>
      </c>
      <c r="E3250">
        <v>-0.46016594496487601</v>
      </c>
      <c r="F3250">
        <v>1.1605136935089199E-3</v>
      </c>
      <c r="G3250">
        <v>5.1266282641346996E-3</v>
      </c>
      <c r="H3250">
        <v>0.39892958416596602</v>
      </c>
      <c r="I3250">
        <v>-9.7077186100418499E-4</v>
      </c>
    </row>
    <row r="3251" spans="1:9" x14ac:dyDescent="0.25">
      <c r="A3251" s="1">
        <v>244.15970131754801</v>
      </c>
      <c r="B3251">
        <v>15.975893704414</v>
      </c>
      <c r="C3251">
        <v>0.97716298456672301</v>
      </c>
      <c r="D3251">
        <v>0.63063805127589101</v>
      </c>
      <c r="E3251">
        <v>-0.40588246398903</v>
      </c>
      <c r="F3251">
        <v>3.7440972437322799E-4</v>
      </c>
      <c r="G3251">
        <v>4.0669492041968099E-3</v>
      </c>
      <c r="H3251">
        <v>0.39204160433759999</v>
      </c>
      <c r="I3251">
        <v>-7.3663517413364199E-4</v>
      </c>
    </row>
    <row r="3252" spans="1:9" x14ac:dyDescent="0.25">
      <c r="A3252" s="1">
        <v>267.12157949805197</v>
      </c>
      <c r="B3252">
        <v>16.155658887147499</v>
      </c>
      <c r="C3252">
        <v>0.83915962276223299</v>
      </c>
      <c r="D3252">
        <v>0.54090854256176502</v>
      </c>
      <c r="E3252">
        <v>-0.34583953429354503</v>
      </c>
      <c r="F3252">
        <v>-6.3918660215814098E-4</v>
      </c>
      <c r="G3252">
        <v>3.1379529510895498E-3</v>
      </c>
      <c r="H3252">
        <v>0.38616554125880997</v>
      </c>
      <c r="I3252">
        <v>-5.3898903047822197E-4</v>
      </c>
    </row>
    <row r="3253" spans="1:9" x14ac:dyDescent="0.25">
      <c r="A3253" s="1">
        <v>292.15002954006098</v>
      </c>
      <c r="B3253">
        <v>16.3237896485325</v>
      </c>
      <c r="C3253">
        <v>0.70173203620370705</v>
      </c>
      <c r="D3253">
        <v>0.449819357772346</v>
      </c>
      <c r="E3253">
        <v>-0.27951962891336002</v>
      </c>
      <c r="F3253">
        <v>-1.2126687179142099E-3</v>
      </c>
      <c r="G3253">
        <v>2.3443917402131901E-3</v>
      </c>
      <c r="H3253">
        <v>0.38252185753461398</v>
      </c>
      <c r="I3253">
        <v>-3.7917587149902202E-4</v>
      </c>
    </row>
    <row r="3254" spans="1:9" x14ac:dyDescent="0.25">
      <c r="A3254" s="1">
        <v>319.43101242184599</v>
      </c>
      <c r="B3254">
        <v>16.470891527652299</v>
      </c>
      <c r="C3254">
        <v>0.57210896185449001</v>
      </c>
      <c r="D3254">
        <v>0.36245806633532901</v>
      </c>
      <c r="E3254">
        <v>-0.206607202401208</v>
      </c>
      <c r="F3254">
        <v>-9.3537246514262403E-4</v>
      </c>
      <c r="G3254">
        <v>1.7028592919264801E-3</v>
      </c>
      <c r="H3254">
        <v>0.38240419695910799</v>
      </c>
      <c r="I3254">
        <v>-2.61705575885423E-4</v>
      </c>
    </row>
    <row r="3255" spans="1:9" x14ac:dyDescent="0.25">
      <c r="A3255" s="1">
        <v>349.16732590645501</v>
      </c>
      <c r="B3255">
        <v>16.585029212951302</v>
      </c>
      <c r="C3255">
        <v>0.46447647455031099</v>
      </c>
      <c r="D3255">
        <v>0.28756484001216598</v>
      </c>
      <c r="E3255">
        <v>-0.12579513694200201</v>
      </c>
      <c r="F3255">
        <v>-1.06126601364645E-3</v>
      </c>
      <c r="G3255">
        <v>1.2599704561427501E-3</v>
      </c>
      <c r="H3255">
        <v>0.386917770851959</v>
      </c>
      <c r="I3255">
        <v>-1.91934783456423E-4</v>
      </c>
    </row>
    <row r="3256" spans="1:9" x14ac:dyDescent="0.25">
      <c r="A3256" s="1">
        <v>379.83785875141598</v>
      </c>
      <c r="B3256">
        <v>16.645274118899898</v>
      </c>
      <c r="C3256">
        <v>0.403040848063561</v>
      </c>
      <c r="D3256">
        <v>0.244066543318812</v>
      </c>
      <c r="E3256">
        <v>-4.1529408267918198E-2</v>
      </c>
      <c r="F3256">
        <v>-1.4033625017349099E-3</v>
      </c>
      <c r="G3256">
        <v>1.0296045102953699E-3</v>
      </c>
      <c r="H3256">
        <v>0.40770912318918501</v>
      </c>
      <c r="I3256">
        <v>-1.5237342384200899E-4</v>
      </c>
    </row>
    <row r="3257" spans="1:9" x14ac:dyDescent="0.25">
      <c r="A3257" s="1" t="s">
        <v>567</v>
      </c>
      <c r="B3257" s="1" t="s">
        <v>614</v>
      </c>
      <c r="C3257" s="1" t="s">
        <v>615</v>
      </c>
      <c r="D3257" s="1" t="s">
        <v>616</v>
      </c>
      <c r="E3257" s="1" t="s">
        <v>617</v>
      </c>
      <c r="F3257" s="1" t="s">
        <v>618</v>
      </c>
      <c r="G3257" s="1" t="s">
        <v>400</v>
      </c>
      <c r="H3257" s="1" t="s">
        <v>619</v>
      </c>
      <c r="I3257" s="1" t="s">
        <v>613</v>
      </c>
    </row>
    <row r="3258" spans="1:9" x14ac:dyDescent="0.25">
      <c r="A3258" s="1">
        <v>-141.555516719818</v>
      </c>
      <c r="B3258">
        <v>-31.950072196823701</v>
      </c>
      <c r="C3258">
        <v>6.69411332994782E-4</v>
      </c>
      <c r="D3258">
        <v>0</v>
      </c>
      <c r="E3258">
        <v>0</v>
      </c>
      <c r="F3258">
        <v>0</v>
      </c>
      <c r="G3258" s="1">
        <v>4.6347157931780903E-9</v>
      </c>
      <c r="H3258">
        <v>6.7584037296978094E-2</v>
      </c>
      <c r="I3258">
        <v>0</v>
      </c>
    </row>
    <row r="3259" spans="1:9" x14ac:dyDescent="0.25">
      <c r="A3259" s="1">
        <v>-128.95890593528699</v>
      </c>
      <c r="B3259">
        <v>-29.119338916939899</v>
      </c>
      <c r="C3259">
        <v>6.8634569359021303E-4</v>
      </c>
      <c r="D3259">
        <v>0</v>
      </c>
      <c r="E3259">
        <v>0</v>
      </c>
      <c r="F3259">
        <v>0</v>
      </c>
      <c r="G3259" s="1">
        <v>7.3567465470603097E-9</v>
      </c>
      <c r="H3259">
        <v>0.36904456462433299</v>
      </c>
      <c r="I3259">
        <v>0</v>
      </c>
    </row>
    <row r="3260" spans="1:9" x14ac:dyDescent="0.25">
      <c r="A3260" s="1">
        <v>-117.402367591857</v>
      </c>
      <c r="B3260">
        <v>-26.520207516056701</v>
      </c>
      <c r="C3260">
        <v>7.21347987385718E-4</v>
      </c>
      <c r="D3260">
        <v>0</v>
      </c>
      <c r="E3260">
        <v>0</v>
      </c>
      <c r="F3260">
        <v>0</v>
      </c>
      <c r="G3260" s="1">
        <v>1.25922279889667E-8</v>
      </c>
      <c r="H3260">
        <v>0.57617332706991997</v>
      </c>
      <c r="I3260">
        <v>0</v>
      </c>
    </row>
    <row r="3261" spans="1:9" x14ac:dyDescent="0.25">
      <c r="A3261" s="1">
        <v>-106.80001378059301</v>
      </c>
      <c r="B3261">
        <v>-24.133899519917801</v>
      </c>
      <c r="C3261">
        <v>7.7847908263054498E-4</v>
      </c>
      <c r="D3261">
        <v>0</v>
      </c>
      <c r="E3261">
        <v>0</v>
      </c>
      <c r="F3261">
        <v>0</v>
      </c>
      <c r="G3261" s="1">
        <v>2.0535896760126499E-8</v>
      </c>
      <c r="H3261">
        <v>0.68126322193876598</v>
      </c>
      <c r="I3261">
        <v>0</v>
      </c>
    </row>
    <row r="3262" spans="1:9" x14ac:dyDescent="0.25">
      <c r="A3262" s="1">
        <v>-97.073161005973802</v>
      </c>
      <c r="B3262">
        <v>-21.943122099665199</v>
      </c>
      <c r="C3262">
        <v>8.6308773470891297E-4</v>
      </c>
      <c r="D3262">
        <v>0</v>
      </c>
      <c r="E3262">
        <v>0</v>
      </c>
      <c r="F3262">
        <v>0</v>
      </c>
      <c r="G3262" s="1">
        <v>3.1854212428961099E-8</v>
      </c>
      <c r="H3262">
        <v>0.73423587379307798</v>
      </c>
      <c r="I3262">
        <v>0</v>
      </c>
    </row>
    <row r="3263" spans="1:9" x14ac:dyDescent="0.25">
      <c r="A3263" s="1">
        <v>-88.149435520172105</v>
      </c>
      <c r="B3263">
        <v>-19.931961506557901</v>
      </c>
      <c r="C3263">
        <v>9.812529860580379E-4</v>
      </c>
      <c r="D3263">
        <v>0</v>
      </c>
      <c r="E3263">
        <v>0</v>
      </c>
      <c r="F3263">
        <v>0</v>
      </c>
      <c r="G3263" s="1">
        <v>4.7732445634662802E-8</v>
      </c>
      <c r="H3263">
        <v>0.76212535548183002</v>
      </c>
      <c r="I3263">
        <v>0</v>
      </c>
    </row>
    <row r="3264" spans="1:9" x14ac:dyDescent="0.25">
      <c r="A3264" s="1">
        <v>-79.962490797042804</v>
      </c>
      <c r="B3264">
        <v>-18.085795312327502</v>
      </c>
      <c r="C3264">
        <v>1.13974853900177E-3</v>
      </c>
      <c r="D3264">
        <v>0</v>
      </c>
      <c r="E3264">
        <v>0</v>
      </c>
      <c r="F3264">
        <v>0</v>
      </c>
      <c r="G3264" s="1">
        <v>6.9954978648867306E-8</v>
      </c>
      <c r="H3264">
        <v>0.777874505392955</v>
      </c>
      <c r="I3264">
        <v>0</v>
      </c>
    </row>
    <row r="3265" spans="1:9" x14ac:dyDescent="0.25">
      <c r="A3265" s="1">
        <v>-72.451583743095298</v>
      </c>
      <c r="B3265">
        <v>-16.391167038259301</v>
      </c>
      <c r="C3265">
        <v>1.34621271829128E-3</v>
      </c>
      <c r="D3265">
        <v>0</v>
      </c>
      <c r="E3265">
        <v>0</v>
      </c>
      <c r="F3265">
        <v>0</v>
      </c>
      <c r="G3265" s="1">
        <v>1.0103476566325399E-7</v>
      </c>
      <c r="H3265">
        <v>0.787845124676953</v>
      </c>
      <c r="I3265">
        <v>0</v>
      </c>
    </row>
    <row r="3266" spans="1:9" x14ac:dyDescent="0.25">
      <c r="A3266" s="1">
        <v>-65.560821294784503</v>
      </c>
      <c r="B3266">
        <v>-14.835706753608999</v>
      </c>
      <c r="C3266">
        <v>1.60935957952992E-3</v>
      </c>
      <c r="D3266">
        <v>0</v>
      </c>
      <c r="E3266">
        <v>0</v>
      </c>
      <c r="F3266">
        <v>0</v>
      </c>
      <c r="G3266" s="1">
        <v>1.4440898323503301E-7</v>
      </c>
      <c r="H3266">
        <v>0.79522966259087802</v>
      </c>
      <c r="I3266">
        <v>0</v>
      </c>
    </row>
    <row r="3267" spans="1:9" x14ac:dyDescent="0.25">
      <c r="A3267" s="1">
        <v>-59.238972067832897</v>
      </c>
      <c r="B3267">
        <v>-13.4080391369287</v>
      </c>
      <c r="C3267">
        <v>1.9391620747226401E-3</v>
      </c>
      <c r="D3267">
        <v>0</v>
      </c>
      <c r="E3267">
        <v>0</v>
      </c>
      <c r="F3267">
        <v>0</v>
      </c>
      <c r="G3267" s="1">
        <v>2.0472440532071001E-7</v>
      </c>
      <c r="H3267">
        <v>0.80161985569934402</v>
      </c>
      <c r="I3267">
        <v>0</v>
      </c>
    </row>
    <row r="3268" spans="1:9" x14ac:dyDescent="0.25">
      <c r="A3268" s="1">
        <v>-53.439136743545497</v>
      </c>
      <c r="B3268">
        <v>-12.0977145220611</v>
      </c>
      <c r="C3268">
        <v>2.3469905790815598E-3</v>
      </c>
      <c r="D3268">
        <v>0</v>
      </c>
      <c r="E3268">
        <v>0</v>
      </c>
      <c r="F3268">
        <v>0</v>
      </c>
      <c r="G3268" s="1">
        <v>2.8825074654659201E-7</v>
      </c>
      <c r="H3268">
        <v>0.80778821791613797</v>
      </c>
      <c r="I3268">
        <v>0</v>
      </c>
    </row>
    <row r="3269" spans="1:9" x14ac:dyDescent="0.25">
      <c r="A3269" s="1">
        <v>-48.118183016777003</v>
      </c>
      <c r="B3269">
        <v>-10.895129496556899</v>
      </c>
      <c r="C3269">
        <v>2.8457348616779E-3</v>
      </c>
      <c r="D3269">
        <v>0</v>
      </c>
      <c r="E3269">
        <v>0</v>
      </c>
      <c r="F3269">
        <v>0</v>
      </c>
      <c r="G3269" s="1">
        <v>4.0347723974631898E-7</v>
      </c>
      <c r="H3269">
        <v>0.81409461161070795</v>
      </c>
      <c r="I3269">
        <v>0</v>
      </c>
    </row>
    <row r="3270" spans="1:9" x14ac:dyDescent="0.25">
      <c r="A3270" s="1">
        <v>-43.236604332923797</v>
      </c>
      <c r="B3270">
        <v>-9.7914569029112002</v>
      </c>
      <c r="C3270">
        <v>3.4499436601053901E-3</v>
      </c>
      <c r="D3270">
        <v>0</v>
      </c>
      <c r="E3270">
        <v>0</v>
      </c>
      <c r="F3270">
        <v>0</v>
      </c>
      <c r="G3270" s="1">
        <v>5.6196059785085199E-7</v>
      </c>
      <c r="H3270">
        <v>0.820693655533272</v>
      </c>
      <c r="I3270">
        <v>0</v>
      </c>
    </row>
    <row r="3271" spans="1:9" x14ac:dyDescent="0.25">
      <c r="A3271" s="1">
        <v>-38.758049011230398</v>
      </c>
      <c r="B3271">
        <v>-8.7785915111650397</v>
      </c>
      <c r="C3271">
        <v>4.1760267074706396E-3</v>
      </c>
      <c r="D3271">
        <v>0</v>
      </c>
      <c r="E3271">
        <v>0</v>
      </c>
      <c r="F3271">
        <v>0</v>
      </c>
      <c r="G3271" s="1">
        <v>7.7951077279458903E-7</v>
      </c>
      <c r="H3271">
        <v>0.82763514846769703</v>
      </c>
      <c r="I3271">
        <v>0</v>
      </c>
    </row>
    <row r="3272" spans="1:9" x14ac:dyDescent="0.25">
      <c r="A3272" s="1">
        <v>-34.649320244789102</v>
      </c>
      <c r="B3272">
        <v>-7.8490852439303502</v>
      </c>
      <c r="C3272">
        <v>5.0425377937227001E-3</v>
      </c>
      <c r="D3272">
        <v>0</v>
      </c>
      <c r="E3272">
        <v>0</v>
      </c>
      <c r="F3272">
        <v>0</v>
      </c>
      <c r="G3272" s="1">
        <v>1.0778384502474399E-6</v>
      </c>
      <c r="H3272">
        <v>0.83491219787359505</v>
      </c>
      <c r="I3272">
        <v>0</v>
      </c>
    </row>
    <row r="3273" spans="1:9" x14ac:dyDescent="0.25">
      <c r="A3273" s="1">
        <v>-30.879811048507602</v>
      </c>
      <c r="B3273">
        <v>-6.9960991175372698</v>
      </c>
      <c r="C3273">
        <v>6.0705511561868998E-3</v>
      </c>
      <c r="D3273">
        <v>0</v>
      </c>
      <c r="E3273">
        <v>0</v>
      </c>
      <c r="F3273">
        <v>0</v>
      </c>
      <c r="G3273" s="1">
        <v>1.48685941818937E-6</v>
      </c>
      <c r="H3273">
        <v>0.84248778693792603</v>
      </c>
      <c r="I3273">
        <v>0</v>
      </c>
    </row>
    <row r="3274" spans="1:9" x14ac:dyDescent="0.25">
      <c r="A3274" s="1">
        <v>-27.4215984344482</v>
      </c>
      <c r="B3274">
        <v>-6.2133499593932804</v>
      </c>
      <c r="C3274">
        <v>7.2841409793096903E-3</v>
      </c>
      <c r="D3274">
        <v>0</v>
      </c>
      <c r="E3274">
        <v>0</v>
      </c>
      <c r="F3274">
        <v>0</v>
      </c>
      <c r="G3274" s="1">
        <v>2.0479622170368402E-6</v>
      </c>
      <c r="H3274">
        <v>0.85031274127550305</v>
      </c>
      <c r="I3274">
        <v>0</v>
      </c>
    </row>
    <row r="3275" spans="1:9" x14ac:dyDescent="0.25">
      <c r="A3275" s="1">
        <v>-24.248878359794599</v>
      </c>
      <c r="B3275">
        <v>-5.4950686176766297</v>
      </c>
      <c r="C3275">
        <v>8.7109880344871694E-3</v>
      </c>
      <c r="D3275">
        <v>0</v>
      </c>
      <c r="E3275">
        <v>0</v>
      </c>
      <c r="F3275">
        <v>0</v>
      </c>
      <c r="G3275" s="1">
        <v>2.81871911371034E-6</v>
      </c>
      <c r="H3275">
        <v>0.85833807459185196</v>
      </c>
      <c r="I3275">
        <v>0</v>
      </c>
    </row>
    <row r="3276" spans="1:9" x14ac:dyDescent="0.25">
      <c r="A3276" s="1">
        <v>-21.3381540775299</v>
      </c>
      <c r="B3276">
        <v>-4.83595921578749</v>
      </c>
      <c r="C3276">
        <v>1.03831467119995E-2</v>
      </c>
      <c r="D3276">
        <v>0</v>
      </c>
      <c r="E3276">
        <v>0</v>
      </c>
      <c r="F3276">
        <v>0</v>
      </c>
      <c r="G3276" s="1">
        <v>3.8798285088992298E-6</v>
      </c>
      <c r="H3276">
        <v>0.86652338380396698</v>
      </c>
      <c r="I3276">
        <v>0</v>
      </c>
    </row>
    <row r="3277" spans="1:9" x14ac:dyDescent="0.25">
      <c r="A3277" s="1">
        <v>-18.6677181720733</v>
      </c>
      <c r="B3277">
        <v>-4.2311573620413103</v>
      </c>
      <c r="C3277">
        <v>1.2338029169088501E-2</v>
      </c>
      <c r="D3277">
        <v>0</v>
      </c>
      <c r="E3277">
        <v>0</v>
      </c>
      <c r="F3277">
        <v>0</v>
      </c>
      <c r="G3277" s="1">
        <v>5.3456781349652203E-6</v>
      </c>
      <c r="H3277">
        <v>0.87484298936011196</v>
      </c>
      <c r="I3277">
        <v>0</v>
      </c>
    </row>
    <row r="3278" spans="1:9" x14ac:dyDescent="0.25">
      <c r="A3278" s="1">
        <v>-16.2178409099578</v>
      </c>
      <c r="B3278">
        <v>-3.6761977621813</v>
      </c>
      <c r="C3278">
        <v>1.4619712497676501E-2</v>
      </c>
      <c r="D3278">
        <v>0</v>
      </c>
      <c r="E3278">
        <v>0</v>
      </c>
      <c r="F3278">
        <v>0</v>
      </c>
      <c r="G3278" s="1">
        <v>7.38116390828835E-6</v>
      </c>
      <c r="H3278">
        <v>0.88329196816883904</v>
      </c>
      <c r="I3278">
        <v>0</v>
      </c>
    </row>
    <row r="3279" spans="1:9" x14ac:dyDescent="0.25">
      <c r="A3279" s="1">
        <v>-13.9702051877975</v>
      </c>
      <c r="B3279">
        <v>-3.1669786976177798</v>
      </c>
      <c r="C3279">
        <v>1.72807773655793E-2</v>
      </c>
      <c r="D3279">
        <v>0</v>
      </c>
      <c r="E3279">
        <v>0</v>
      </c>
      <c r="F3279">
        <v>0</v>
      </c>
      <c r="G3279" s="1">
        <v>1.0230002760774601E-5</v>
      </c>
      <c r="H3279">
        <v>0.89189306327892404</v>
      </c>
      <c r="I3279">
        <v>0</v>
      </c>
    </row>
    <row r="3280" spans="1:9" x14ac:dyDescent="0.25">
      <c r="A3280" s="1">
        <v>-11.908189058303799</v>
      </c>
      <c r="B3280">
        <v>-2.6997369512443101</v>
      </c>
      <c r="C3280">
        <v>2.03850408297362E-2</v>
      </c>
      <c r="D3280">
        <v>0</v>
      </c>
      <c r="E3280">
        <v>0</v>
      </c>
      <c r="F3280">
        <v>0</v>
      </c>
      <c r="G3280" s="1">
        <v>1.4265523543766499E-5</v>
      </c>
      <c r="H3280">
        <v>0.900704275665271</v>
      </c>
      <c r="I3280">
        <v>0</v>
      </c>
    </row>
    <row r="3281" spans="1:9" x14ac:dyDescent="0.25">
      <c r="A3281" s="1">
        <v>-10.016394853591899</v>
      </c>
      <c r="B3281">
        <v>-2.27101698708652</v>
      </c>
      <c r="C3281">
        <v>2.4011945603104701E-2</v>
      </c>
      <c r="D3281">
        <v>0</v>
      </c>
      <c r="E3281">
        <v>0</v>
      </c>
      <c r="F3281">
        <v>0</v>
      </c>
      <c r="G3281" s="1">
        <v>2.00879391977473E-5</v>
      </c>
      <c r="H3281">
        <v>0.90982433330843004</v>
      </c>
      <c r="I3281">
        <v>0</v>
      </c>
    </row>
    <row r="3282" spans="1:9" x14ac:dyDescent="0.25">
      <c r="A3282" s="1">
        <v>-8.2808375358581507</v>
      </c>
      <c r="B3282">
        <v>-1.8776463984970599</v>
      </c>
      <c r="C3282">
        <v>2.82639861532719E-2</v>
      </c>
      <c r="D3282">
        <v>0</v>
      </c>
      <c r="E3282">
        <v>0</v>
      </c>
      <c r="F3282">
        <v>0</v>
      </c>
      <c r="G3282" s="1">
        <v>2.8722238389960299E-5</v>
      </c>
      <c r="H3282">
        <v>0.91938688245991695</v>
      </c>
      <c r="I3282">
        <v>0</v>
      </c>
    </row>
    <row r="3283" spans="1:9" x14ac:dyDescent="0.25">
      <c r="A3283" s="1">
        <v>-6.6885209083557102</v>
      </c>
      <c r="B3283">
        <v>-1.51671396824463</v>
      </c>
      <c r="C3283">
        <v>3.3279967038053901E-2</v>
      </c>
      <c r="D3283">
        <v>0</v>
      </c>
      <c r="E3283">
        <v>0</v>
      </c>
      <c r="F3283">
        <v>0</v>
      </c>
      <c r="G3283" s="1">
        <v>4.2043076344796699E-5</v>
      </c>
      <c r="H3283">
        <v>0.929526566998224</v>
      </c>
      <c r="I3283">
        <v>0</v>
      </c>
    </row>
    <row r="3284" spans="1:9" x14ac:dyDescent="0.25">
      <c r="A3284" s="1">
        <v>-5.2277201414108196</v>
      </c>
      <c r="B3284">
        <v>-1.18554772860302</v>
      </c>
      <c r="C3284">
        <v>3.9259583694276699E-2</v>
      </c>
      <c r="D3284">
        <v>0</v>
      </c>
      <c r="E3284">
        <v>0</v>
      </c>
      <c r="F3284">
        <v>0</v>
      </c>
      <c r="G3284" s="1">
        <v>6.3736263462487803E-5</v>
      </c>
      <c r="H3284">
        <v>0.94029800028495303</v>
      </c>
      <c r="I3284">
        <v>0</v>
      </c>
    </row>
    <row r="3285" spans="1:9" x14ac:dyDescent="0.25">
      <c r="A3285" s="1">
        <v>-3.88755798339843</v>
      </c>
      <c r="B3285">
        <v>-0.881695110955526</v>
      </c>
      <c r="C3285">
        <v>4.6510996860004997E-2</v>
      </c>
      <c r="D3285">
        <v>0</v>
      </c>
      <c r="E3285">
        <v>0</v>
      </c>
      <c r="F3285">
        <v>0</v>
      </c>
      <c r="G3285" s="1">
        <v>1.01615690599814E-4</v>
      </c>
      <c r="H3285">
        <v>0.951553683477533</v>
      </c>
      <c r="I3285">
        <v>0</v>
      </c>
    </row>
    <row r="3286" spans="1:9" x14ac:dyDescent="0.25">
      <c r="A3286" s="1">
        <v>-2.6580518484115601</v>
      </c>
      <c r="B3286">
        <v>-0.60290518491460798</v>
      </c>
      <c r="C3286">
        <v>5.5547597634922098E-2</v>
      </c>
      <c r="D3286">
        <v>0</v>
      </c>
      <c r="E3286">
        <v>0</v>
      </c>
      <c r="F3286">
        <v>0</v>
      </c>
      <c r="G3286">
        <v>1.7371008618246699E-4</v>
      </c>
      <c r="H3286">
        <v>0.96284744381001497</v>
      </c>
      <c r="I3286">
        <v>0</v>
      </c>
    </row>
    <row r="3287" spans="1:9" x14ac:dyDescent="0.25">
      <c r="A3287" s="1">
        <v>-1.5300196409225399</v>
      </c>
      <c r="B3287">
        <v>-0.34711298695697301</v>
      </c>
      <c r="C3287">
        <v>6.7300058139017599E-2</v>
      </c>
      <c r="D3287">
        <v>0</v>
      </c>
      <c r="E3287">
        <v>0</v>
      </c>
      <c r="F3287">
        <v>0</v>
      </c>
      <c r="G3287">
        <v>3.2630852399080298E-4</v>
      </c>
      <c r="H3287">
        <v>0.97347455889379897</v>
      </c>
      <c r="I3287">
        <v>0</v>
      </c>
    </row>
    <row r="3288" spans="1:9" x14ac:dyDescent="0.25">
      <c r="A3288" s="1">
        <v>-0.49517393112182601</v>
      </c>
      <c r="B3288">
        <v>-0.112422281922091</v>
      </c>
      <c r="C3288">
        <v>8.3635181532442204E-2</v>
      </c>
      <c r="D3288">
        <v>0</v>
      </c>
      <c r="E3288">
        <v>0</v>
      </c>
      <c r="F3288">
        <v>0</v>
      </c>
      <c r="G3288">
        <v>6.9900010240803504E-4</v>
      </c>
      <c r="H3288">
        <v>0.98273292101122001</v>
      </c>
      <c r="I3288">
        <v>0</v>
      </c>
    </row>
    <row r="3289" spans="1:9" x14ac:dyDescent="0.25">
      <c r="A3289" s="1">
        <v>0.49376130104064903</v>
      </c>
      <c r="B3289">
        <v>0.353998284927318</v>
      </c>
      <c r="C3289">
        <v>0.15559562399261101</v>
      </c>
      <c r="D3289">
        <v>5.9048215501050001E-2</v>
      </c>
      <c r="E3289">
        <v>-1.11525406996282E-4</v>
      </c>
      <c r="F3289" s="1">
        <v>1.0053892670792301E-6</v>
      </c>
      <c r="G3289">
        <v>0.10897248121337</v>
      </c>
      <c r="H3289">
        <v>0.99725910373539595</v>
      </c>
      <c r="I3289" s="1">
        <v>1.0051028478622901E-6</v>
      </c>
    </row>
    <row r="3290" spans="1:9" x14ac:dyDescent="0.25">
      <c r="A3290" s="1">
        <v>1.5257111191749499</v>
      </c>
      <c r="B3290">
        <v>1.0934505959513801</v>
      </c>
      <c r="C3290">
        <v>0.40451773410259301</v>
      </c>
      <c r="D3290">
        <v>0.346523864584181</v>
      </c>
      <c r="E3290">
        <v>-1.8257057699422E-3</v>
      </c>
      <c r="F3290" s="1">
        <v>7.8842578583005103E-5</v>
      </c>
      <c r="G3290">
        <v>0.11214159805736899</v>
      </c>
      <c r="H3290">
        <v>0.99140069930397001</v>
      </c>
      <c r="I3290" s="1">
        <v>2.53838727609155E-5</v>
      </c>
    </row>
    <row r="3291" spans="1:9" x14ac:dyDescent="0.25">
      <c r="A3291" s="1">
        <v>2.6505178213119498</v>
      </c>
      <c r="B3291">
        <v>1.89526867098243</v>
      </c>
      <c r="C3291">
        <v>0.86317264807805005</v>
      </c>
      <c r="D3291">
        <v>0.90997116878750395</v>
      </c>
      <c r="E3291">
        <v>-9.62501832468661E-3</v>
      </c>
      <c r="F3291">
        <v>2.7069268072085902E-4</v>
      </c>
      <c r="G3291">
        <v>0.11313694473223999</v>
      </c>
      <c r="H3291">
        <v>0.98025664578826499</v>
      </c>
      <c r="I3291">
        <v>1.17437527833549E-4</v>
      </c>
    </row>
    <row r="3292" spans="1:9" x14ac:dyDescent="0.25">
      <c r="A3292" s="1">
        <v>3.8765159249305698</v>
      </c>
      <c r="B3292">
        <v>2.7564997636719801</v>
      </c>
      <c r="C3292">
        <v>1.56255315494139</v>
      </c>
      <c r="D3292">
        <v>1.78512246215995</v>
      </c>
      <c r="E3292">
        <v>-2.90505404769974E-2</v>
      </c>
      <c r="F3292">
        <v>5.7601528437932698E-4</v>
      </c>
      <c r="G3292">
        <v>0.111121799875757</v>
      </c>
      <c r="H3292">
        <v>0.96201865048365898</v>
      </c>
      <c r="I3292">
        <v>2.7100459121369398E-4</v>
      </c>
    </row>
    <row r="3293" spans="1:9" x14ac:dyDescent="0.25">
      <c r="A3293" s="1">
        <v>5.2129346132278398</v>
      </c>
      <c r="B3293">
        <v>3.6668718166656098</v>
      </c>
      <c r="C3293">
        <v>2.4938758029577901</v>
      </c>
      <c r="D3293">
        <v>2.9421828284952598</v>
      </c>
      <c r="E3293">
        <v>-6.5758673853114097E-2</v>
      </c>
      <c r="F3293">
        <v>9.54830088663132E-4</v>
      </c>
      <c r="G3293">
        <v>0.105935007149444</v>
      </c>
      <c r="H3293">
        <v>0.93445676515026899</v>
      </c>
      <c r="I3293">
        <v>5.04897684510825E-4</v>
      </c>
    </row>
    <row r="3294" spans="1:9" x14ac:dyDescent="0.25">
      <c r="A3294" s="1">
        <v>6.6695916652679399</v>
      </c>
      <c r="B3294">
        <v>4.6072263251065504</v>
      </c>
      <c r="C3294">
        <v>3.58449870117198</v>
      </c>
      <c r="D3294">
        <v>4.2551991100174096</v>
      </c>
      <c r="E3294">
        <v>-0.12285086020342501</v>
      </c>
      <c r="F3294">
        <v>1.32129311152503E-3</v>
      </c>
      <c r="G3294">
        <v>9.9469173934544602E-2</v>
      </c>
      <c r="H3294">
        <v>0.89680827932089502</v>
      </c>
      <c r="I3294">
        <v>1.1727914988414101E-3</v>
      </c>
    </row>
    <row r="3295" spans="1:9" x14ac:dyDescent="0.25">
      <c r="A3295" s="1">
        <v>8.2573878765106201</v>
      </c>
      <c r="B3295">
        <v>5.5506876163540602</v>
      </c>
      <c r="C3295">
        <v>4.7006522849850603</v>
      </c>
      <c r="D3295">
        <v>5.52402458282985</v>
      </c>
      <c r="E3295">
        <v>-0.19862313526171399</v>
      </c>
      <c r="F3295">
        <v>1.5728706327531E-3</v>
      </c>
      <c r="G3295">
        <v>9.5165175270626595E-2</v>
      </c>
      <c r="H3295">
        <v>0.85337963350897905</v>
      </c>
      <c r="I3295">
        <v>3.3177436088986201E-3</v>
      </c>
    </row>
    <row r="3296" spans="1:9" x14ac:dyDescent="0.25">
      <c r="A3296" s="1">
        <v>9.9880245327949506</v>
      </c>
      <c r="B3296">
        <v>6.4673808123515704</v>
      </c>
      <c r="C3296">
        <v>5.6896271388447701</v>
      </c>
      <c r="D3296">
        <v>6.5517069252514801</v>
      </c>
      <c r="E3296">
        <v>-0.28651266701796801</v>
      </c>
      <c r="F3296">
        <v>1.62870743169624E-3</v>
      </c>
      <c r="G3296">
        <v>9.5401157867116906E-2</v>
      </c>
      <c r="H3296">
        <v>0.81287034291936999</v>
      </c>
      <c r="I3296">
        <v>7.3360112874874201E-3</v>
      </c>
    </row>
    <row r="3297" spans="1:9" x14ac:dyDescent="0.25">
      <c r="A3297" s="1">
        <v>11.874474287032999</v>
      </c>
      <c r="B3297">
        <v>7.3312635326415503</v>
      </c>
      <c r="C3297">
        <v>6.4373712641600598</v>
      </c>
      <c r="D3297">
        <v>7.2220433038258802</v>
      </c>
      <c r="E3297">
        <v>-0.37781348005223098</v>
      </c>
      <c r="F3297">
        <v>1.47882426944022E-3</v>
      </c>
      <c r="G3297">
        <v>9.9325497398181403E-2</v>
      </c>
      <c r="H3297">
        <v>0.78024586922360195</v>
      </c>
      <c r="I3297">
        <v>1.0645732823780099E-2</v>
      </c>
    </row>
    <row r="3298" spans="1:9" x14ac:dyDescent="0.25">
      <c r="A3298" s="1">
        <v>13.9306750893592</v>
      </c>
      <c r="B3298">
        <v>8.1252809898701699</v>
      </c>
      <c r="C3298">
        <v>6.8988658896309403</v>
      </c>
      <c r="D3298">
        <v>7.5206337273581099</v>
      </c>
      <c r="E3298">
        <v>-0.46496813698870398</v>
      </c>
      <c r="F3298">
        <v>1.19574777077838E-3</v>
      </c>
      <c r="G3298">
        <v>0.103927984779132</v>
      </c>
      <c r="H3298">
        <v>0.75389078044469304</v>
      </c>
      <c r="I3298">
        <v>1.02953543108941E-2</v>
      </c>
    </row>
    <row r="3299" spans="1:9" x14ac:dyDescent="0.25">
      <c r="A3299" s="1">
        <v>16.171883344650201</v>
      </c>
      <c r="B3299">
        <v>8.8423531551852097</v>
      </c>
      <c r="C3299">
        <v>7.0891788867705996</v>
      </c>
      <c r="D3299">
        <v>7.50338710815684</v>
      </c>
      <c r="E3299">
        <v>-0.54317154438398996</v>
      </c>
      <c r="F3299">
        <v>9.0630087850456398E-4</v>
      </c>
      <c r="G3299">
        <v>0.10654370023094201</v>
      </c>
      <c r="H3299">
        <v>0.73040226884930604</v>
      </c>
      <c r="I3299">
        <v>6.3840478870142098E-3</v>
      </c>
    </row>
    <row r="3300" spans="1:9" x14ac:dyDescent="0.25">
      <c r="A3300" s="1">
        <v>18.614838719367899</v>
      </c>
      <c r="B3300">
        <v>9.4831479552208702</v>
      </c>
      <c r="C3300">
        <v>7.0564828073541497</v>
      </c>
      <c r="D3300">
        <v>7.2529798300617303</v>
      </c>
      <c r="E3300">
        <v>-0.61027451862125104</v>
      </c>
      <c r="F3300">
        <v>7.4293529290914801E-4</v>
      </c>
      <c r="G3300">
        <v>0.10608894916325801</v>
      </c>
      <c r="H3300">
        <v>0.70763262639747704</v>
      </c>
      <c r="I3300">
        <v>9.5327918103769701E-4</v>
      </c>
    </row>
    <row r="3301" spans="1:9" x14ac:dyDescent="0.25">
      <c r="A3301" s="1">
        <v>21.2777170538902</v>
      </c>
      <c r="B3301">
        <v>10.0529660985811</v>
      </c>
      <c r="C3301">
        <v>6.8584596152696502</v>
      </c>
      <c r="D3301">
        <v>6.8496032268370799</v>
      </c>
      <c r="E3301">
        <v>-0.66597164484632099</v>
      </c>
      <c r="F3301">
        <v>7.9971190962639595E-4</v>
      </c>
      <c r="G3301">
        <v>0.102816118196247</v>
      </c>
      <c r="H3301">
        <v>0.68480106137622199</v>
      </c>
      <c r="I3301">
        <v>-4.21752180894658E-3</v>
      </c>
    </row>
    <row r="3302" spans="1:9" x14ac:dyDescent="0.25">
      <c r="A3302" s="1">
        <v>24.180224537849401</v>
      </c>
      <c r="B3302">
        <v>10.5592303272809</v>
      </c>
      <c r="C3302">
        <v>6.5488946873511402</v>
      </c>
      <c r="D3302">
        <v>6.3586329215776898</v>
      </c>
      <c r="E3302">
        <v>-0.710982038348971</v>
      </c>
      <c r="F3302">
        <v>1.1086236563245099E-3</v>
      </c>
      <c r="G3302">
        <v>9.7557253296228899E-2</v>
      </c>
      <c r="H3302">
        <v>0.66186995064610599</v>
      </c>
      <c r="I3302">
        <v>-8.3029083157430492E-3</v>
      </c>
    </row>
    <row r="3303" spans="1:9" x14ac:dyDescent="0.25">
      <c r="A3303" s="1">
        <v>27.343950867652801</v>
      </c>
      <c r="B3303">
        <v>11.0099701263482</v>
      </c>
      <c r="C3303">
        <v>6.1723844595709796</v>
      </c>
      <c r="D3303">
        <v>5.8286806444453099</v>
      </c>
      <c r="E3303">
        <v>-0.74646412454289801</v>
      </c>
      <c r="F3303">
        <v>1.59024123794575E-3</v>
      </c>
      <c r="G3303">
        <v>9.1136937794592796E-2</v>
      </c>
      <c r="H3303">
        <v>0.63913115379585095</v>
      </c>
      <c r="I3303">
        <v>-1.11411867995489E-2</v>
      </c>
    </row>
    <row r="3304" spans="1:9" x14ac:dyDescent="0.25">
      <c r="A3304" s="1">
        <v>30.7923927903175</v>
      </c>
      <c r="B3304">
        <v>11.4130747220951</v>
      </c>
      <c r="C3304">
        <v>5.7633853141475404</v>
      </c>
      <c r="D3304">
        <v>5.2938416453357702</v>
      </c>
      <c r="E3304">
        <v>-0.77368089224153602</v>
      </c>
      <c r="F3304">
        <v>2.1489135496115998E-3</v>
      </c>
      <c r="G3304">
        <v>8.4148508020342599E-2</v>
      </c>
      <c r="H3304">
        <v>0.61700284818178097</v>
      </c>
      <c r="I3304">
        <v>-1.28425313408816E-2</v>
      </c>
    </row>
    <row r="3305" spans="1:9" x14ac:dyDescent="0.25">
      <c r="A3305" s="1">
        <v>34.551213085651298</v>
      </c>
      <c r="B3305">
        <v>11.7759242826613</v>
      </c>
      <c r="C3305">
        <v>5.3470193358342604</v>
      </c>
      <c r="D3305">
        <v>4.77679002150012</v>
      </c>
      <c r="E3305">
        <v>-0.79384082147826196</v>
      </c>
      <c r="F3305">
        <v>2.7369866315879099E-3</v>
      </c>
      <c r="G3305">
        <v>7.6954019011259006E-2</v>
      </c>
      <c r="H3305">
        <v>0.59591913789193596</v>
      </c>
      <c r="I3305">
        <v>-1.3594146999500799E-2</v>
      </c>
    </row>
    <row r="3306" spans="1:9" x14ac:dyDescent="0.25">
      <c r="A3306" s="1">
        <v>38.6483111977577</v>
      </c>
      <c r="B3306">
        <v>12.1052000333096</v>
      </c>
      <c r="C3306">
        <v>4.9404300197667697</v>
      </c>
      <c r="D3306">
        <v>4.2915422451825602</v>
      </c>
      <c r="E3306">
        <v>-0.80799449508051702</v>
      </c>
      <c r="F3306">
        <v>3.22200756641629E-3</v>
      </c>
      <c r="G3306">
        <v>6.9779014581052706E-2</v>
      </c>
      <c r="H3306">
        <v>0.57631254393737597</v>
      </c>
      <c r="I3306">
        <v>-1.3594660907673301E-2</v>
      </c>
    </row>
    <row r="3307" spans="1:9" x14ac:dyDescent="0.25">
      <c r="A3307" s="1">
        <v>43.1141293048858</v>
      </c>
      <c r="B3307">
        <v>12.4068398542243</v>
      </c>
      <c r="C3307">
        <v>4.5544713266383798</v>
      </c>
      <c r="D3307">
        <v>3.84605617378512</v>
      </c>
      <c r="E3307">
        <v>-0.81700468821633698</v>
      </c>
      <c r="F3307">
        <v>3.55555376649079E-3</v>
      </c>
      <c r="G3307">
        <v>6.2774011533743096E-2</v>
      </c>
      <c r="H3307">
        <v>0.55848199032783497</v>
      </c>
      <c r="I3307">
        <v>-1.3032730336435899E-2</v>
      </c>
    </row>
    <row r="3308" spans="1:9" x14ac:dyDescent="0.25">
      <c r="A3308" s="1">
        <v>47.981887757778097</v>
      </c>
      <c r="B3308">
        <v>12.685940595670299</v>
      </c>
      <c r="C3308">
        <v>4.1953798559079303</v>
      </c>
      <c r="D3308">
        <v>3.4440446538155101</v>
      </c>
      <c r="E3308">
        <v>-0.82159157852573494</v>
      </c>
      <c r="F3308">
        <v>3.6795000534718802E-3</v>
      </c>
      <c r="G3308">
        <v>5.60417688756129E-2</v>
      </c>
      <c r="H3308">
        <v>0.54245663766645902</v>
      </c>
      <c r="I3308">
        <v>-1.2089316234509999E-2</v>
      </c>
    </row>
    <row r="3309" spans="1:9" x14ac:dyDescent="0.25">
      <c r="A3309" s="1">
        <v>53.287820518016801</v>
      </c>
      <c r="B3309">
        <v>12.946772182221199</v>
      </c>
      <c r="C3309">
        <v>3.86576086716765</v>
      </c>
      <c r="D3309">
        <v>3.0858176008563101</v>
      </c>
      <c r="E3309">
        <v>-0.82230068261858302</v>
      </c>
      <c r="F3309">
        <v>3.53904992965137E-3</v>
      </c>
      <c r="G3309">
        <v>4.9687722658020197E-2</v>
      </c>
      <c r="H3309">
        <v>0.52823055219138604</v>
      </c>
      <c r="I3309">
        <v>-1.09284955635786E-2</v>
      </c>
    </row>
    <row r="3310" spans="1:9" x14ac:dyDescent="0.25">
      <c r="A3310" s="1">
        <v>59.071175158023799</v>
      </c>
      <c r="B3310">
        <v>13.1929082074675</v>
      </c>
      <c r="C3310">
        <v>3.5658859025760399</v>
      </c>
      <c r="D3310">
        <v>2.7694170924782902</v>
      </c>
      <c r="E3310">
        <v>-0.81955041808357598</v>
      </c>
      <c r="F3310">
        <v>3.0904526848586199E-3</v>
      </c>
      <c r="G3310">
        <v>4.3814317011201601E-2</v>
      </c>
      <c r="H3310">
        <v>0.51569695674727001</v>
      </c>
      <c r="I3310">
        <v>-9.7036856177517301E-3</v>
      </c>
    </row>
    <row r="3311" spans="1:9" x14ac:dyDescent="0.25">
      <c r="A3311" s="1">
        <v>65.375131070613804</v>
      </c>
      <c r="B3311">
        <v>13.427289664233699</v>
      </c>
      <c r="C3311">
        <v>3.2948089996715999</v>
      </c>
      <c r="D3311">
        <v>2.49200566893477</v>
      </c>
      <c r="E3311">
        <v>-0.81365454349621102</v>
      </c>
      <c r="F3311">
        <v>2.42797097604426E-3</v>
      </c>
      <c r="G3311">
        <v>3.8474618890579397E-2</v>
      </c>
      <c r="H3311">
        <v>0.50446441809856801</v>
      </c>
      <c r="I3311">
        <v>-8.5152314755621503E-3</v>
      </c>
    </row>
    <row r="3312" spans="1:9" x14ac:dyDescent="0.25">
      <c r="A3312" s="1">
        <v>72.246375679969702</v>
      </c>
      <c r="B3312">
        <v>13.6523351665127</v>
      </c>
      <c r="C3312">
        <v>3.0502688331871601</v>
      </c>
      <c r="D3312">
        <v>2.2498189400791602</v>
      </c>
      <c r="E3312">
        <v>-0.80485615012664702</v>
      </c>
      <c r="F3312">
        <v>1.6600895794920401E-3</v>
      </c>
      <c r="G3312">
        <v>3.3695289600404701E-2</v>
      </c>
      <c r="H3312">
        <v>0.49425444093943299</v>
      </c>
      <c r="I3312">
        <v>-7.4249686430328601E-3</v>
      </c>
    </row>
    <row r="3313" spans="1:9" x14ac:dyDescent="0.25">
      <c r="A3313" s="1">
        <v>79.736069738864799</v>
      </c>
      <c r="B3313">
        <v>13.8700365447911</v>
      </c>
      <c r="C3313">
        <v>2.8291885929749601</v>
      </c>
      <c r="D3313">
        <v>2.0383716166363599</v>
      </c>
      <c r="E3313">
        <v>-0.79329481172310501</v>
      </c>
      <c r="F3313">
        <v>9.8225933027289202E-4</v>
      </c>
      <c r="G3313">
        <v>2.9439818639977199E-2</v>
      </c>
      <c r="H3313">
        <v>0.48463313829975202</v>
      </c>
      <c r="I3313">
        <v>-6.4430401040022197E-3</v>
      </c>
    </row>
    <row r="3314" spans="1:9" x14ac:dyDescent="0.25">
      <c r="A3314" s="1">
        <v>87.899753153324099</v>
      </c>
      <c r="B3314">
        <v>14.0819865321281</v>
      </c>
      <c r="C3314">
        <v>2.6281455316168101</v>
      </c>
      <c r="D3314">
        <v>1.8531479753162401</v>
      </c>
      <c r="E3314">
        <v>-0.779014381552396</v>
      </c>
      <c r="F3314">
        <v>5.9759146322348395E-4</v>
      </c>
      <c r="G3314">
        <v>2.5672940416635402E-2</v>
      </c>
      <c r="H3314">
        <v>0.47549173569409398</v>
      </c>
      <c r="I3314">
        <v>-5.5784225050818604E-3</v>
      </c>
    </row>
    <row r="3315" spans="1:9" x14ac:dyDescent="0.25">
      <c r="A3315" s="1">
        <v>96.798263192176805</v>
      </c>
      <c r="B3315">
        <v>14.2894435391302</v>
      </c>
      <c r="C3315">
        <v>2.4439795736666299</v>
      </c>
      <c r="D3315">
        <v>1.6901773315170501</v>
      </c>
      <c r="E3315">
        <v>-0.76209177849559095</v>
      </c>
      <c r="F3315">
        <v>6.6491570525129202E-4</v>
      </c>
      <c r="G3315">
        <v>2.2350567894876799E-2</v>
      </c>
      <c r="H3315">
        <v>0.46660111867735599</v>
      </c>
      <c r="I3315">
        <v>-4.8218297555417504E-3</v>
      </c>
    </row>
    <row r="3316" spans="1:9" x14ac:dyDescent="0.25">
      <c r="A3316" s="1">
        <v>106.497616767883</v>
      </c>
      <c r="B3316">
        <v>14.4934690395842</v>
      </c>
      <c r="C3316">
        <v>2.2735289268680301</v>
      </c>
      <c r="D3316">
        <v>1.5457370314425301</v>
      </c>
      <c r="E3316">
        <v>-0.74244571912299395</v>
      </c>
      <c r="F3316">
        <v>9.3245440711707496E-4</v>
      </c>
      <c r="G3316">
        <v>1.9433214839256599E-2</v>
      </c>
      <c r="H3316">
        <v>0.45790738411355097</v>
      </c>
      <c r="I3316">
        <v>-4.16636405009067E-3</v>
      </c>
    </row>
    <row r="3317" spans="1:9" x14ac:dyDescent="0.25">
      <c r="A3317" s="1">
        <v>117.06990510225199</v>
      </c>
      <c r="B3317">
        <v>14.6952169683303</v>
      </c>
      <c r="C3317">
        <v>2.1129904272594202</v>
      </c>
      <c r="D3317">
        <v>1.41576684954078</v>
      </c>
      <c r="E3317">
        <v>-0.71983865236441302</v>
      </c>
      <c r="F3317">
        <v>1.1570132469153501E-3</v>
      </c>
      <c r="G3317">
        <v>1.6879525913655501E-2</v>
      </c>
      <c r="H3317">
        <v>0.45004835718568398</v>
      </c>
      <c r="I3317">
        <v>-3.6001950830228798E-3</v>
      </c>
    </row>
    <row r="3318" spans="1:9" x14ac:dyDescent="0.25">
      <c r="A3318" s="1">
        <v>128.593670427799</v>
      </c>
      <c r="B3318">
        <v>14.8956417114946</v>
      </c>
      <c r="C3318">
        <v>1.9604687162972401</v>
      </c>
      <c r="D3318">
        <v>1.2977539227113799</v>
      </c>
      <c r="E3318">
        <v>-0.69430309488684006</v>
      </c>
      <c r="F3318">
        <v>1.52264150096445E-3</v>
      </c>
      <c r="G3318">
        <v>1.46153849575761E-2</v>
      </c>
      <c r="H3318">
        <v>0.44263437783646198</v>
      </c>
      <c r="I3318">
        <v>-3.0948008507521601E-3</v>
      </c>
    </row>
    <row r="3319" spans="1:9" x14ac:dyDescent="0.25">
      <c r="A3319" s="1">
        <v>141.15461230278001</v>
      </c>
      <c r="B3319">
        <v>15.095193037251599</v>
      </c>
      <c r="C3319">
        <v>1.81414998392599</v>
      </c>
      <c r="D3319">
        <v>1.18928364727217</v>
      </c>
      <c r="E3319">
        <v>-0.66561917696004103</v>
      </c>
      <c r="F3319">
        <v>2.1984924331906598E-3</v>
      </c>
      <c r="G3319">
        <v>1.25917523659785E-2</v>
      </c>
      <c r="H3319">
        <v>0.43544117953803002</v>
      </c>
      <c r="I3319">
        <v>-2.6412354106347801E-3</v>
      </c>
    </row>
    <row r="3320" spans="1:9" x14ac:dyDescent="0.25">
      <c r="A3320" s="1">
        <v>154.84601140022201</v>
      </c>
      <c r="B3320">
        <v>15.293663561205101</v>
      </c>
      <c r="C3320">
        <v>1.6726367465818801</v>
      </c>
      <c r="D3320">
        <v>1.08841959985993</v>
      </c>
      <c r="E3320">
        <v>-0.63361330088787904</v>
      </c>
      <c r="F3320">
        <v>2.3208624462902399E-3</v>
      </c>
      <c r="G3320">
        <v>1.0773578695863701E-2</v>
      </c>
      <c r="H3320">
        <v>0.42796104625980702</v>
      </c>
      <c r="I3320">
        <v>-2.2325910920391301E-3</v>
      </c>
    </row>
    <row r="3321" spans="1:9" x14ac:dyDescent="0.25">
      <c r="A3321" s="1">
        <v>169.76969480514501</v>
      </c>
      <c r="B3321">
        <v>15.4910005230929</v>
      </c>
      <c r="C3321">
        <v>1.5336924296791901</v>
      </c>
      <c r="D3321">
        <v>0.99278886099641706</v>
      </c>
      <c r="E3321">
        <v>-0.59781960735214801</v>
      </c>
      <c r="F3321">
        <v>1.93252224939338E-3</v>
      </c>
      <c r="G3321">
        <v>9.1445772435435006E-3</v>
      </c>
      <c r="H3321">
        <v>0.42047271250430701</v>
      </c>
      <c r="I3321">
        <v>-1.86593876405223E-3</v>
      </c>
    </row>
    <row r="3322" spans="1:9" x14ac:dyDescent="0.25">
      <c r="A3322" s="1">
        <v>186.03645980358101</v>
      </c>
      <c r="B3322">
        <v>15.6877242122317</v>
      </c>
      <c r="C3322">
        <v>1.3954873426673899</v>
      </c>
      <c r="D3322">
        <v>0.90057364114282301</v>
      </c>
      <c r="E3322">
        <v>-0.557755906199911</v>
      </c>
      <c r="F3322">
        <v>1.7746800112273401E-3</v>
      </c>
      <c r="G3322">
        <v>7.6861210989749001E-3</v>
      </c>
      <c r="H3322">
        <v>0.41353745263073499</v>
      </c>
      <c r="I3322">
        <v>-1.5402269774883401E-3</v>
      </c>
    </row>
    <row r="3323" spans="1:9" x14ac:dyDescent="0.25">
      <c r="A3323" s="1">
        <v>203.76720398664401</v>
      </c>
      <c r="B3323">
        <v>15.8833759800072</v>
      </c>
      <c r="C3323">
        <v>1.2579462320294299</v>
      </c>
      <c r="D3323">
        <v>0.81026216771773496</v>
      </c>
      <c r="E3323">
        <v>-0.51331385698786103</v>
      </c>
      <c r="F3323">
        <v>1.59186481567983E-3</v>
      </c>
      <c r="G3323">
        <v>6.3735383431072299E-3</v>
      </c>
      <c r="H3323">
        <v>0.40623190560656602</v>
      </c>
      <c r="I3323">
        <v>-1.24939407160216E-3</v>
      </c>
    </row>
    <row r="3324" spans="1:9" x14ac:dyDescent="0.25">
      <c r="A3324" s="1">
        <v>223.09376105666101</v>
      </c>
      <c r="B3324">
        <v>16.0762967512484</v>
      </c>
      <c r="C3324">
        <v>1.1202404506726</v>
      </c>
      <c r="D3324">
        <v>0.72080142024176197</v>
      </c>
      <c r="E3324">
        <v>-0.46403259372892303</v>
      </c>
      <c r="F3324">
        <v>1.3029394552706399E-3</v>
      </c>
      <c r="G3324">
        <v>5.1813400007466402E-3</v>
      </c>
      <c r="H3324">
        <v>0.398811432091916</v>
      </c>
      <c r="I3324">
        <v>-9.8332195123105692E-4</v>
      </c>
    </row>
    <row r="3325" spans="1:9" x14ac:dyDescent="0.25">
      <c r="A3325" s="1">
        <v>244.15970131754801</v>
      </c>
      <c r="B3325">
        <v>16.265083416412299</v>
      </c>
      <c r="C3325">
        <v>0.98147289369447799</v>
      </c>
      <c r="D3325">
        <v>0.63062487981745197</v>
      </c>
      <c r="E3325">
        <v>-0.40931065064320399</v>
      </c>
      <c r="F3325">
        <v>5.2635305651153202E-4</v>
      </c>
      <c r="G3325">
        <v>4.1099886777238304E-3</v>
      </c>
      <c r="H3325">
        <v>0.39194074513279398</v>
      </c>
      <c r="I3325">
        <v>-7.4610611807683397E-4</v>
      </c>
    </row>
    <row r="3326" spans="1:9" x14ac:dyDescent="0.25">
      <c r="A3326" s="1">
        <v>267.12157949805197</v>
      </c>
      <c r="B3326">
        <v>16.446885876591001</v>
      </c>
      <c r="C3326">
        <v>0.84253859151839305</v>
      </c>
      <c r="D3326">
        <v>0.54026527173848704</v>
      </c>
      <c r="E3326">
        <v>-0.34878079820825098</v>
      </c>
      <c r="F3326">
        <v>-4.8072363272386702E-4</v>
      </c>
      <c r="G3326">
        <v>3.1698867524773198E-3</v>
      </c>
      <c r="H3326">
        <v>0.38605323993031398</v>
      </c>
      <c r="I3326">
        <v>-5.4571325355831895E-4</v>
      </c>
    </row>
    <row r="3327" spans="1:9" x14ac:dyDescent="0.25">
      <c r="A3327" s="1">
        <v>292.15002954006098</v>
      </c>
      <c r="B3327">
        <v>16.616906604590501</v>
      </c>
      <c r="C3327">
        <v>0.70388720536886895</v>
      </c>
      <c r="D3327">
        <v>0.44895427380013297</v>
      </c>
      <c r="E3327">
        <v>-0.28194315207151699</v>
      </c>
      <c r="F3327">
        <v>-1.0572584259117301E-3</v>
      </c>
      <c r="G3327">
        <v>2.3663566986295501E-3</v>
      </c>
      <c r="H3327">
        <v>0.38240103562865801</v>
      </c>
      <c r="I3327">
        <v>-3.8353442759990399E-4</v>
      </c>
    </row>
    <row r="3328" spans="1:9" x14ac:dyDescent="0.25">
      <c r="A3328" s="1">
        <v>319.43101242184599</v>
      </c>
      <c r="B3328">
        <v>16.765611141967302</v>
      </c>
      <c r="C3328">
        <v>0.57284250481134602</v>
      </c>
      <c r="D3328">
        <v>0.36113127122529198</v>
      </c>
      <c r="E3328">
        <v>-0.20845402192940499</v>
      </c>
      <c r="F3328">
        <v>-8.2085950362870803E-4</v>
      </c>
      <c r="G3328">
        <v>1.7165347052249E-3</v>
      </c>
      <c r="H3328">
        <v>0.38232318411627297</v>
      </c>
      <c r="I3328">
        <v>-2.6426799582827601E-4</v>
      </c>
    </row>
    <row r="3329" spans="1:9" x14ac:dyDescent="0.25">
      <c r="A3329" s="1">
        <v>349.16732590645501</v>
      </c>
      <c r="B3329">
        <v>16.880987909856</v>
      </c>
      <c r="C3329">
        <v>0.46380777694821601</v>
      </c>
      <c r="D3329">
        <v>0.28596789349018598</v>
      </c>
      <c r="E3329">
        <v>-0.12700957691954801</v>
      </c>
      <c r="F3329">
        <v>-9.9142464562156606E-4</v>
      </c>
      <c r="G3329">
        <v>1.26770230877612E-3</v>
      </c>
      <c r="H3329">
        <v>0.386992797066389</v>
      </c>
      <c r="I3329">
        <v>-1.9340637618139999E-4</v>
      </c>
    </row>
    <row r="3330" spans="1:9" x14ac:dyDescent="0.25">
      <c r="A3330" s="1">
        <v>379.83785875141598</v>
      </c>
      <c r="B3330">
        <v>16.941953698592901</v>
      </c>
      <c r="C3330">
        <v>0.40142110910290102</v>
      </c>
      <c r="D3330">
        <v>0.242073013174986</v>
      </c>
      <c r="E3330">
        <v>-4.2075145601432003E-2</v>
      </c>
      <c r="F3330">
        <v>-1.33290305888888E-3</v>
      </c>
      <c r="G3330">
        <v>1.0339348140387199E-3</v>
      </c>
      <c r="H3330">
        <v>0.40791978032159898</v>
      </c>
      <c r="I3330">
        <v>-1.53224774942137E-4</v>
      </c>
    </row>
    <row r="3331" spans="1:9" x14ac:dyDescent="0.25">
      <c r="A3331" s="1" t="s">
        <v>568</v>
      </c>
      <c r="B3331" s="1" t="s">
        <v>614</v>
      </c>
      <c r="C3331" s="1" t="s">
        <v>615</v>
      </c>
      <c r="D3331" s="1" t="s">
        <v>616</v>
      </c>
      <c r="E3331" s="1" t="s">
        <v>617</v>
      </c>
      <c r="F3331" s="1" t="s">
        <v>618</v>
      </c>
      <c r="G3331" s="1" t="s">
        <v>400</v>
      </c>
      <c r="H3331" s="1" t="s">
        <v>619</v>
      </c>
      <c r="I3331" s="1" t="s">
        <v>613</v>
      </c>
    </row>
    <row r="3332" spans="1:9" x14ac:dyDescent="0.25">
      <c r="A3332" s="1">
        <v>-141.555516719818</v>
      </c>
      <c r="B3332">
        <v>-63.874970703402099</v>
      </c>
      <c r="C3332">
        <v>9.6852353923541305E-4</v>
      </c>
      <c r="D3332">
        <v>0</v>
      </c>
      <c r="E3332">
        <v>0</v>
      </c>
      <c r="F3332">
        <v>0</v>
      </c>
      <c r="G3332" s="1">
        <v>8.6938584004936294E-9</v>
      </c>
      <c r="H3332">
        <v>7.41815157241901E-2</v>
      </c>
      <c r="I3332">
        <v>0</v>
      </c>
    </row>
    <row r="3333" spans="1:9" x14ac:dyDescent="0.25">
      <c r="A3333" s="1">
        <v>-128.95890593528699</v>
      </c>
      <c r="B3333">
        <v>-58.213871898332101</v>
      </c>
      <c r="C3333">
        <v>9.9871169471352108E-4</v>
      </c>
      <c r="D3333">
        <v>0</v>
      </c>
      <c r="E3333">
        <v>0</v>
      </c>
      <c r="F3333">
        <v>0</v>
      </c>
      <c r="G3333" s="1">
        <v>1.4247940493650101E-8</v>
      </c>
      <c r="H3333">
        <v>0.39257847992745099</v>
      </c>
      <c r="I3333">
        <v>0</v>
      </c>
    </row>
    <row r="3334" spans="1:9" x14ac:dyDescent="0.25">
      <c r="A3334" s="1">
        <v>-117.402367591857</v>
      </c>
      <c r="B3334">
        <v>-53.0162610253482</v>
      </c>
      <c r="C3334">
        <v>1.0623473325332799E-3</v>
      </c>
      <c r="D3334">
        <v>0</v>
      </c>
      <c r="E3334">
        <v>0</v>
      </c>
      <c r="F3334">
        <v>0</v>
      </c>
      <c r="G3334" s="1">
        <v>2.4966546273486E-8</v>
      </c>
      <c r="H3334">
        <v>0.600013040486986</v>
      </c>
      <c r="I3334">
        <v>0</v>
      </c>
    </row>
    <row r="3335" spans="1:9" x14ac:dyDescent="0.25">
      <c r="A3335" s="1">
        <v>-106.80001378059301</v>
      </c>
      <c r="B3335">
        <v>-48.244501734354998</v>
      </c>
      <c r="C3335">
        <v>1.1685103503964701E-3</v>
      </c>
      <c r="D3335">
        <v>0</v>
      </c>
      <c r="E3335">
        <v>0</v>
      </c>
      <c r="F3335">
        <v>0</v>
      </c>
      <c r="G3335" s="1">
        <v>4.1361115111326899E-8</v>
      </c>
      <c r="H3335">
        <v>0.70174980665216702</v>
      </c>
      <c r="I3335">
        <v>0</v>
      </c>
    </row>
    <row r="3336" spans="1:9" x14ac:dyDescent="0.25">
      <c r="A3336" s="1">
        <v>-97.073161005973802</v>
      </c>
      <c r="B3336">
        <v>-43.863949861207502</v>
      </c>
      <c r="C3336">
        <v>1.3289560366261601E-3</v>
      </c>
      <c r="D3336">
        <v>0</v>
      </c>
      <c r="E3336">
        <v>0</v>
      </c>
      <c r="F3336">
        <v>0</v>
      </c>
      <c r="G3336" s="1">
        <v>6.5038495544400502E-8</v>
      </c>
      <c r="H3336">
        <v>0.75213027016314404</v>
      </c>
      <c r="I3336">
        <v>0</v>
      </c>
    </row>
    <row r="3337" spans="1:9" x14ac:dyDescent="0.25">
      <c r="A3337" s="1">
        <v>-88.149435520172105</v>
      </c>
      <c r="B3337">
        <v>-39.842752834239498</v>
      </c>
      <c r="C3337">
        <v>1.5572050405667399E-3</v>
      </c>
      <c r="D3337">
        <v>0</v>
      </c>
      <c r="E3337">
        <v>0</v>
      </c>
      <c r="F3337">
        <v>0</v>
      </c>
      <c r="G3337" s="1">
        <v>9.8854791984848097E-8</v>
      </c>
      <c r="H3337">
        <v>0.77855593678697999</v>
      </c>
      <c r="I3337">
        <v>0</v>
      </c>
    </row>
    <row r="3338" spans="1:9" x14ac:dyDescent="0.25">
      <c r="A3338" s="1">
        <v>-79.962490797042804</v>
      </c>
      <c r="B3338">
        <v>-36.151603111454698</v>
      </c>
      <c r="C3338">
        <v>1.8687020182598501E-3</v>
      </c>
      <c r="D3338">
        <v>0</v>
      </c>
      <c r="E3338">
        <v>0</v>
      </c>
      <c r="F3338">
        <v>0</v>
      </c>
      <c r="G3338" s="1">
        <v>1.47158873129771E-7</v>
      </c>
      <c r="H3338">
        <v>0.79370454340570396</v>
      </c>
      <c r="I3338">
        <v>0</v>
      </c>
    </row>
    <row r="3339" spans="1:9" x14ac:dyDescent="0.25">
      <c r="A3339" s="1">
        <v>-72.451583743095298</v>
      </c>
      <c r="B3339">
        <v>-32.763566840270101</v>
      </c>
      <c r="C3339">
        <v>2.2813819646750602E-3</v>
      </c>
      <c r="D3339">
        <v>0</v>
      </c>
      <c r="E3339">
        <v>0</v>
      </c>
      <c r="F3339">
        <v>0</v>
      </c>
      <c r="G3339" s="1">
        <v>2.1617814928553899E-7</v>
      </c>
      <c r="H3339">
        <v>0.80364093161651595</v>
      </c>
      <c r="I3339">
        <v>0</v>
      </c>
    </row>
    <row r="3340" spans="1:9" x14ac:dyDescent="0.25">
      <c r="A3340" s="1">
        <v>-65.560821294784503</v>
      </c>
      <c r="B3340">
        <v>-29.653879085013202</v>
      </c>
      <c r="C3340">
        <v>2.8163112931325501E-3</v>
      </c>
      <c r="D3340">
        <v>0</v>
      </c>
      <c r="E3340">
        <v>0</v>
      </c>
      <c r="F3340">
        <v>0</v>
      </c>
      <c r="G3340" s="1">
        <v>3.1460182478026899E-7</v>
      </c>
      <c r="H3340">
        <v>0.81131430482661104</v>
      </c>
      <c r="I3340">
        <v>0</v>
      </c>
    </row>
    <row r="3341" spans="1:9" x14ac:dyDescent="0.25">
      <c r="A3341" s="1">
        <v>-59.238972067832897</v>
      </c>
      <c r="B3341">
        <v>-26.7997703971504</v>
      </c>
      <c r="C3341">
        <v>3.49826583368429E-3</v>
      </c>
      <c r="D3341">
        <v>0</v>
      </c>
      <c r="E3341">
        <v>0</v>
      </c>
      <c r="F3341">
        <v>0</v>
      </c>
      <c r="G3341" s="1">
        <v>4.5443891818008898E-7</v>
      </c>
      <c r="H3341">
        <v>0.81813836291250797</v>
      </c>
      <c r="I3341">
        <v>0</v>
      </c>
    </row>
    <row r="3342" spans="1:9" x14ac:dyDescent="0.25">
      <c r="A3342" s="1">
        <v>-53.439136743545497</v>
      </c>
      <c r="B3342">
        <v>-24.180333086305801</v>
      </c>
      <c r="C3342">
        <v>4.3562384154487398E-3</v>
      </c>
      <c r="D3342">
        <v>0</v>
      </c>
      <c r="E3342">
        <v>0</v>
      </c>
      <c r="F3342">
        <v>0</v>
      </c>
      <c r="G3342" s="1">
        <v>6.5227411811719104E-7</v>
      </c>
      <c r="H3342">
        <v>0.82476753446025397</v>
      </c>
      <c r="I3342">
        <v>0</v>
      </c>
    </row>
    <row r="3343" spans="1:9" x14ac:dyDescent="0.25">
      <c r="A3343" s="1">
        <v>-48.118183016777003</v>
      </c>
      <c r="B3343">
        <v>-21.7763394324272</v>
      </c>
      <c r="C3343">
        <v>5.4239485446612203E-3</v>
      </c>
      <c r="D3343">
        <v>0</v>
      </c>
      <c r="E3343">
        <v>0</v>
      </c>
      <c r="F3343">
        <v>0</v>
      </c>
      <c r="G3343" s="1">
        <v>9.3109526762447097E-7</v>
      </c>
      <c r="H3343">
        <v>0.83148924545538305</v>
      </c>
      <c r="I3343">
        <v>0</v>
      </c>
    </row>
    <row r="3344" spans="1:9" x14ac:dyDescent="0.25">
      <c r="A3344" s="1">
        <v>-43.236604332923797</v>
      </c>
      <c r="B3344">
        <v>-19.570137210020299</v>
      </c>
      <c r="C3344">
        <v>6.7404625967971803E-3</v>
      </c>
      <c r="D3344">
        <v>0</v>
      </c>
      <c r="E3344">
        <v>0</v>
      </c>
      <c r="F3344">
        <v>0</v>
      </c>
      <c r="G3344" s="1">
        <v>1.32290984259375E-6</v>
      </c>
      <c r="H3344">
        <v>0.83841434520416502</v>
      </c>
      <c r="I3344">
        <v>0</v>
      </c>
    </row>
    <row r="3345" spans="1:9" x14ac:dyDescent="0.25">
      <c r="A3345" s="1">
        <v>-38.758049011230398</v>
      </c>
      <c r="B3345">
        <v>-17.545503422075399</v>
      </c>
      <c r="C3345">
        <v>8.3510217639752807E-3</v>
      </c>
      <c r="D3345">
        <v>0</v>
      </c>
      <c r="E3345">
        <v>0</v>
      </c>
      <c r="F3345">
        <v>0</v>
      </c>
      <c r="G3345" s="1">
        <v>1.8724323534766699E-6</v>
      </c>
      <c r="H3345">
        <v>0.84556415897803705</v>
      </c>
      <c r="I3345">
        <v>0</v>
      </c>
    </row>
    <row r="3346" spans="1:9" x14ac:dyDescent="0.25">
      <c r="A3346" s="1">
        <v>-34.649320244789102</v>
      </c>
      <c r="B3346">
        <v>-15.6875408690586</v>
      </c>
      <c r="C3346">
        <v>1.03081413276823E-2</v>
      </c>
      <c r="D3346">
        <v>0</v>
      </c>
      <c r="E3346">
        <v>0</v>
      </c>
      <c r="F3346">
        <v>0</v>
      </c>
      <c r="G3346" s="1">
        <v>2.6422614043344301E-6</v>
      </c>
      <c r="H3346">
        <v>0.852912217162203</v>
      </c>
      <c r="I3346">
        <v>0</v>
      </c>
    </row>
    <row r="3347" spans="1:9" x14ac:dyDescent="0.25">
      <c r="A3347" s="1">
        <v>-30.879811048507602</v>
      </c>
      <c r="B3347">
        <v>-13.9825663598417</v>
      </c>
      <c r="C3347">
        <v>1.2672996066543801E-2</v>
      </c>
      <c r="D3347">
        <v>0</v>
      </c>
      <c r="E3347">
        <v>0</v>
      </c>
      <c r="F3347">
        <v>0</v>
      </c>
      <c r="G3347" s="1">
        <v>3.72020900660707E-6</v>
      </c>
      <c r="H3347">
        <v>0.86040928774838898</v>
      </c>
      <c r="I3347">
        <v>0</v>
      </c>
    </row>
    <row r="3348" spans="1:9" x14ac:dyDescent="0.25">
      <c r="A3348" s="1">
        <v>-27.4215984344482</v>
      </c>
      <c r="B3348">
        <v>-12.4180145939975</v>
      </c>
      <c r="C3348">
        <v>1.5517137066599299E-2</v>
      </c>
      <c r="D3348">
        <v>0</v>
      </c>
      <c r="E3348">
        <v>0</v>
      </c>
      <c r="F3348">
        <v>0</v>
      </c>
      <c r="G3348" s="1">
        <v>5.2298148768112903E-6</v>
      </c>
      <c r="H3348">
        <v>0.86800117964221102</v>
      </c>
      <c r="I3348">
        <v>0</v>
      </c>
    </row>
    <row r="3349" spans="1:9" x14ac:dyDescent="0.25">
      <c r="A3349" s="1">
        <v>-24.248878359794599</v>
      </c>
      <c r="B3349">
        <v>-10.9823493573977</v>
      </c>
      <c r="C3349">
        <v>1.8924623203850199E-2</v>
      </c>
      <c r="D3349">
        <v>0</v>
      </c>
      <c r="E3349">
        <v>0</v>
      </c>
      <c r="F3349">
        <v>0</v>
      </c>
      <c r="G3349" s="1">
        <v>7.34568392749146E-6</v>
      </c>
      <c r="H3349">
        <v>0.87564085403510405</v>
      </c>
      <c r="I3349">
        <v>0</v>
      </c>
    </row>
    <row r="3350" spans="1:9" x14ac:dyDescent="0.25">
      <c r="A3350" s="1">
        <v>-21.3381540775299</v>
      </c>
      <c r="B3350">
        <v>-9.6649747178121803</v>
      </c>
      <c r="C3350">
        <v>2.29946773940118E-2</v>
      </c>
      <c r="D3350">
        <v>0</v>
      </c>
      <c r="E3350">
        <v>0</v>
      </c>
      <c r="F3350">
        <v>0</v>
      </c>
      <c r="G3350" s="1">
        <v>1.0316333627464701E-5</v>
      </c>
      <c r="H3350">
        <v>0.88329557090964606</v>
      </c>
      <c r="I3350">
        <v>0</v>
      </c>
    </row>
    <row r="3351" spans="1:9" x14ac:dyDescent="0.25">
      <c r="A3351" s="1">
        <v>-18.6677181720733</v>
      </c>
      <c r="B3351">
        <v>-8.4561629366292905</v>
      </c>
      <c r="C3351">
        <v>2.78451000941928E-2</v>
      </c>
      <c r="D3351">
        <v>0</v>
      </c>
      <c r="E3351">
        <v>0</v>
      </c>
      <c r="F3351">
        <v>0</v>
      </c>
      <c r="G3351" s="1">
        <v>1.44993340239452E-5</v>
      </c>
      <c r="H3351">
        <v>0.89095134960186195</v>
      </c>
      <c r="I3351">
        <v>0</v>
      </c>
    </row>
    <row r="3352" spans="1:9" x14ac:dyDescent="0.25">
      <c r="A3352" s="1">
        <v>-16.2178409099578</v>
      </c>
      <c r="B3352">
        <v>-7.3469855148508501</v>
      </c>
      <c r="C3352">
        <v>3.3616810579032402E-2</v>
      </c>
      <c r="D3352">
        <v>0</v>
      </c>
      <c r="E3352">
        <v>0</v>
      </c>
      <c r="F3352">
        <v>0</v>
      </c>
      <c r="G3352" s="1">
        <v>2.04178081969637E-5</v>
      </c>
      <c r="H3352">
        <v>0.89861701494026602</v>
      </c>
      <c r="I3352">
        <v>0</v>
      </c>
    </row>
    <row r="3353" spans="1:9" x14ac:dyDescent="0.25">
      <c r="A3353" s="1">
        <v>-13.9702051877975</v>
      </c>
      <c r="B3353">
        <v>-6.3292431943281899</v>
      </c>
      <c r="C3353">
        <v>4.0480200032890101E-2</v>
      </c>
      <c r="D3353">
        <v>0</v>
      </c>
      <c r="E3353">
        <v>0</v>
      </c>
      <c r="F3353">
        <v>0</v>
      </c>
      <c r="G3353" s="1">
        <v>2.88564066385745E-5</v>
      </c>
      <c r="H3353">
        <v>0.90632893481031496</v>
      </c>
      <c r="I3353">
        <v>0</v>
      </c>
    </row>
    <row r="3354" spans="1:9" x14ac:dyDescent="0.25">
      <c r="A3354" s="1">
        <v>-11.908189058303799</v>
      </c>
      <c r="B3354">
        <v>-5.3954084960907096</v>
      </c>
      <c r="C3354">
        <v>4.8644652246409001E-2</v>
      </c>
      <c r="D3354">
        <v>0</v>
      </c>
      <c r="E3354">
        <v>0</v>
      </c>
      <c r="F3354">
        <v>0</v>
      </c>
      <c r="G3354" s="1">
        <v>4.10347127677681E-5</v>
      </c>
      <c r="H3354">
        <v>0.91415575877521404</v>
      </c>
      <c r="I3354">
        <v>0</v>
      </c>
    </row>
    <row r="3355" spans="1:9" x14ac:dyDescent="0.25">
      <c r="A3355" s="1">
        <v>-10.016394853591899</v>
      </c>
      <c r="B3355">
        <v>-4.5385729600838696</v>
      </c>
      <c r="C3355">
        <v>5.8373780307706902E-2</v>
      </c>
      <c r="D3355">
        <v>0</v>
      </c>
      <c r="E3355">
        <v>0</v>
      </c>
      <c r="F3355">
        <v>0</v>
      </c>
      <c r="G3355" s="1">
        <v>5.8941064302444998E-5</v>
      </c>
      <c r="H3355">
        <v>0.92220017594056902</v>
      </c>
      <c r="I3355">
        <v>0</v>
      </c>
    </row>
    <row r="3356" spans="1:9" x14ac:dyDescent="0.25">
      <c r="A3356" s="1">
        <v>-8.2808375358581507</v>
      </c>
      <c r="B3356">
        <v>-3.7523954296647899</v>
      </c>
      <c r="C3356">
        <v>7.0011210052520298E-2</v>
      </c>
      <c r="D3356">
        <v>0</v>
      </c>
      <c r="E3356">
        <v>0</v>
      </c>
      <c r="F3356">
        <v>0</v>
      </c>
      <c r="G3356" s="1">
        <v>8.6014012866840494E-5</v>
      </c>
      <c r="H3356">
        <v>0.93058910712576903</v>
      </c>
      <c r="I3356">
        <v>0</v>
      </c>
    </row>
    <row r="3357" spans="1:9" x14ac:dyDescent="0.25">
      <c r="A3357" s="1">
        <v>-6.6885209083557102</v>
      </c>
      <c r="B3357">
        <v>-3.03105451512852</v>
      </c>
      <c r="C3357">
        <v>8.4026515916210298E-2</v>
      </c>
      <c r="D3357">
        <v>0</v>
      </c>
      <c r="E3357">
        <v>0</v>
      </c>
      <c r="F3357">
        <v>0</v>
      </c>
      <c r="G3357">
        <v>1.28607984981755E-4</v>
      </c>
      <c r="H3357">
        <v>0.93943750969791895</v>
      </c>
      <c r="I3357">
        <v>0</v>
      </c>
    </row>
    <row r="3358" spans="1:9" x14ac:dyDescent="0.25">
      <c r="A3358" s="1">
        <v>-5.2277201414108196</v>
      </c>
      <c r="B3358">
        <v>-2.36920837053799</v>
      </c>
      <c r="C3358">
        <v>0.101100372935056</v>
      </c>
      <c r="D3358">
        <v>0</v>
      </c>
      <c r="E3358">
        <v>0</v>
      </c>
      <c r="F3358">
        <v>0</v>
      </c>
      <c r="G3358">
        <v>1.99311187218825E-4</v>
      </c>
      <c r="H3358">
        <v>0.94877340499818397</v>
      </c>
      <c r="I3358">
        <v>0</v>
      </c>
    </row>
    <row r="3359" spans="1:9" x14ac:dyDescent="0.25">
      <c r="A3359" s="1">
        <v>-3.88755798339843</v>
      </c>
      <c r="B3359">
        <v>-1.76195420936452</v>
      </c>
      <c r="C3359">
        <v>0.122289021805565</v>
      </c>
      <c r="D3359">
        <v>0</v>
      </c>
      <c r="E3359">
        <v>0</v>
      </c>
      <c r="F3359">
        <v>0</v>
      </c>
      <c r="G3359">
        <v>3.2493472628760799E-4</v>
      </c>
      <c r="H3359">
        <v>0.95843913817090398</v>
      </c>
      <c r="I3359">
        <v>0</v>
      </c>
    </row>
    <row r="3360" spans="1:9" x14ac:dyDescent="0.25">
      <c r="A3360" s="1">
        <v>-2.6580518484115601</v>
      </c>
      <c r="B3360">
        <v>-1.2047930439166099</v>
      </c>
      <c r="C3360">
        <v>0.149358407555093</v>
      </c>
      <c r="D3360">
        <v>0</v>
      </c>
      <c r="E3360">
        <v>0</v>
      </c>
      <c r="F3360">
        <v>0</v>
      </c>
      <c r="G3360">
        <v>5.6745665419879305E-4</v>
      </c>
      <c r="H3360">
        <v>0.96803442833778097</v>
      </c>
      <c r="I3360">
        <v>0</v>
      </c>
    </row>
    <row r="3361" spans="1:9" x14ac:dyDescent="0.25">
      <c r="A3361" s="1">
        <v>-1.5300196409225399</v>
      </c>
      <c r="B3361">
        <v>-0.69359546952651796</v>
      </c>
      <c r="C3361">
        <v>0.18551449453771901</v>
      </c>
      <c r="D3361">
        <v>0</v>
      </c>
      <c r="E3361">
        <v>0</v>
      </c>
      <c r="F3361">
        <v>0</v>
      </c>
      <c r="G3361">
        <v>1.0858820754490301E-3</v>
      </c>
      <c r="H3361">
        <v>0.976983728959394</v>
      </c>
      <c r="I3361">
        <v>0</v>
      </c>
    </row>
    <row r="3362" spans="1:9" x14ac:dyDescent="0.25">
      <c r="A3362" s="1">
        <v>-0.49517393112182601</v>
      </c>
      <c r="B3362">
        <v>-0.22457280311969999</v>
      </c>
      <c r="C3362">
        <v>0.237183366204645</v>
      </c>
      <c r="D3362">
        <v>0</v>
      </c>
      <c r="E3362">
        <v>0</v>
      </c>
      <c r="F3362">
        <v>0</v>
      </c>
      <c r="G3362">
        <v>2.3627963135734202E-3</v>
      </c>
      <c r="H3362">
        <v>0.98479790681497104</v>
      </c>
      <c r="I3362">
        <v>0</v>
      </c>
    </row>
    <row r="3363" spans="1:9" x14ac:dyDescent="0.25">
      <c r="A3363" s="1">
        <v>0.49376130104064903</v>
      </c>
      <c r="B3363">
        <v>0.35370265353234398</v>
      </c>
      <c r="C3363">
        <v>0.35830012849434101</v>
      </c>
      <c r="D3363">
        <v>8.5228160455406099E-2</v>
      </c>
      <c r="E3363">
        <v>-1.4920287164025699E-4</v>
      </c>
      <c r="F3363" s="1">
        <v>-1.8293232965832599E-6</v>
      </c>
      <c r="G3363">
        <v>9.47067618488939E-2</v>
      </c>
      <c r="H3363">
        <v>0.99310569803926696</v>
      </c>
      <c r="I3363" s="1">
        <v>9.2202925189124101E-7</v>
      </c>
    </row>
    <row r="3364" spans="1:9" x14ac:dyDescent="0.25">
      <c r="A3364" s="1">
        <v>1.5257111191749499</v>
      </c>
      <c r="B3364">
        <v>1.0924925881973</v>
      </c>
      <c r="C3364">
        <v>0.64135024509073402</v>
      </c>
      <c r="D3364">
        <v>0.41575910628757601</v>
      </c>
      <c r="E3364">
        <v>-2.0614134863263201E-3</v>
      </c>
      <c r="F3364" s="1">
        <v>6.9278958278556804E-5</v>
      </c>
      <c r="G3364">
        <v>0.10061946512801299</v>
      </c>
      <c r="H3364">
        <v>0.98613768321572703</v>
      </c>
      <c r="I3364" s="1">
        <v>2.5015687672569601E-5</v>
      </c>
    </row>
    <row r="3365" spans="1:9" x14ac:dyDescent="0.25">
      <c r="A3365" s="1">
        <v>2.6505178213119498</v>
      </c>
      <c r="B3365">
        <v>1.8933309907017599</v>
      </c>
      <c r="C3365">
        <v>1.1169421004656099</v>
      </c>
      <c r="D3365">
        <v>1.0095173433693001</v>
      </c>
      <c r="E3365">
        <v>-1.02407661513683E-2</v>
      </c>
      <c r="F3365">
        <v>2.5248506795647502E-4</v>
      </c>
      <c r="G3365">
        <v>0.104504474806442</v>
      </c>
      <c r="H3365">
        <v>0.97421572283732605</v>
      </c>
      <c r="I3365">
        <v>1.19310136240259E-4</v>
      </c>
    </row>
    <row r="3366" spans="1:9" x14ac:dyDescent="0.25">
      <c r="A3366" s="1">
        <v>3.8765159249305698</v>
      </c>
      <c r="B3366">
        <v>2.7531448859441601</v>
      </c>
      <c r="C3366">
        <v>1.8158879681943401</v>
      </c>
      <c r="D3366">
        <v>1.9007446194139599</v>
      </c>
      <c r="E3366">
        <v>-3.0065571664862401E-2</v>
      </c>
      <c r="F3366">
        <v>5.4678335478899203E-4</v>
      </c>
      <c r="G3366">
        <v>0.10542184484681801</v>
      </c>
      <c r="H3366">
        <v>0.95571411631418102</v>
      </c>
      <c r="I3366">
        <v>2.7925706683853702E-4</v>
      </c>
    </row>
    <row r="3367" spans="1:9" x14ac:dyDescent="0.25">
      <c r="A3367" s="1">
        <v>5.2129346132278398</v>
      </c>
      <c r="B3367">
        <v>3.66164571266384</v>
      </c>
      <c r="C3367">
        <v>2.7313856313662801</v>
      </c>
      <c r="D3367">
        <v>3.0601255933942499</v>
      </c>
      <c r="E3367">
        <v>-6.7068232155174198E-2</v>
      </c>
      <c r="F3367">
        <v>9.1259197793984502E-4</v>
      </c>
      <c r="G3367">
        <v>0.10279646090911</v>
      </c>
      <c r="H3367">
        <v>0.92855493761776497</v>
      </c>
      <c r="I3367">
        <v>5.2889092357400196E-4</v>
      </c>
    </row>
    <row r="3368" spans="1:9" x14ac:dyDescent="0.25">
      <c r="A3368" s="1">
        <v>6.6695916652679399</v>
      </c>
      <c r="B3368">
        <v>4.5997846818831301</v>
      </c>
      <c r="C3368">
        <v>3.7951559000698798</v>
      </c>
      <c r="D3368">
        <v>4.3646918029195696</v>
      </c>
      <c r="E3368">
        <v>-0.124268003651165</v>
      </c>
      <c r="F3368">
        <v>1.26643975810966E-3</v>
      </c>
      <c r="G3368">
        <v>9.8195509071042006E-2</v>
      </c>
      <c r="H3368">
        <v>0.89207249198903604</v>
      </c>
      <c r="I3368">
        <v>1.23020935535744E-3</v>
      </c>
    </row>
    <row r="3369" spans="1:9" x14ac:dyDescent="0.25">
      <c r="A3369" s="1">
        <v>8.2573878765106201</v>
      </c>
      <c r="B3369">
        <v>5.5408995127141996</v>
      </c>
      <c r="C3369">
        <v>4.8791358870601798</v>
      </c>
      <c r="D3369">
        <v>5.6188674456976297</v>
      </c>
      <c r="E3369">
        <v>-0.19995458351856801</v>
      </c>
      <c r="F3369">
        <v>1.5089618256637499E-3</v>
      </c>
      <c r="G3369">
        <v>9.49846353497458E-2</v>
      </c>
      <c r="H3369">
        <v>0.85033686012156595</v>
      </c>
      <c r="I3369">
        <v>3.4188022070889999E-3</v>
      </c>
    </row>
    <row r="3370" spans="1:9" x14ac:dyDescent="0.25">
      <c r="A3370" s="1">
        <v>9.9880245327949506</v>
      </c>
      <c r="B3370">
        <v>6.4553455982193899</v>
      </c>
      <c r="C3370">
        <v>5.8358387136413503</v>
      </c>
      <c r="D3370">
        <v>6.6300851773847604</v>
      </c>
      <c r="E3370">
        <v>-0.28762570227779999</v>
      </c>
      <c r="F3370">
        <v>1.5610757513369899E-3</v>
      </c>
      <c r="G3370">
        <v>9.5705394430554494E-2</v>
      </c>
      <c r="H3370">
        <v>0.81137168322298503</v>
      </c>
      <c r="I3370">
        <v>7.4517442899942003E-3</v>
      </c>
    </row>
    <row r="3371" spans="1:9" x14ac:dyDescent="0.25">
      <c r="A3371" s="1">
        <v>11.874474287032999</v>
      </c>
      <c r="B3371">
        <v>7.3172309703961496</v>
      </c>
      <c r="C3371">
        <v>6.5545796184416201</v>
      </c>
      <c r="D3371">
        <v>7.2850218547201804</v>
      </c>
      <c r="E3371">
        <v>-0.37865486517131303</v>
      </c>
      <c r="F3371">
        <v>1.41271117632348E-3</v>
      </c>
      <c r="G3371">
        <v>9.9759439669578703E-2</v>
      </c>
      <c r="H3371">
        <v>0.77968858295516597</v>
      </c>
      <c r="I3371">
        <v>1.0724324372643101E-2</v>
      </c>
    </row>
    <row r="3372" spans="1:9" x14ac:dyDescent="0.25">
      <c r="A3372" s="1">
        <v>13.9306750893592</v>
      </c>
      <c r="B3372">
        <v>8.10954018354645</v>
      </c>
      <c r="C3372">
        <v>6.9917310187537902</v>
      </c>
      <c r="D3372">
        <v>7.5705621384072401</v>
      </c>
      <c r="E3372">
        <v>-0.46554202550807899</v>
      </c>
      <c r="F3372">
        <v>1.1347340649386199E-3</v>
      </c>
      <c r="G3372">
        <v>0.104332230269362</v>
      </c>
      <c r="H3372">
        <v>0.75376417172641197</v>
      </c>
      <c r="I3372">
        <v>1.0313500939447599E-2</v>
      </c>
    </row>
    <row r="3373" spans="1:9" x14ac:dyDescent="0.25">
      <c r="A3373" s="1">
        <v>16.171883344650201</v>
      </c>
      <c r="B3373">
        <v>8.8251631393865306</v>
      </c>
      <c r="C3373">
        <v>7.1624466266048303</v>
      </c>
      <c r="D3373">
        <v>7.5428299839319202</v>
      </c>
      <c r="E3373">
        <v>-0.54350957238222297</v>
      </c>
      <c r="F3373">
        <v>8.5110160201576595E-4</v>
      </c>
      <c r="G3373">
        <v>0.10686590050698901</v>
      </c>
      <c r="H3373">
        <v>0.730435988628229</v>
      </c>
      <c r="I3373">
        <v>6.35308345740498E-3</v>
      </c>
    </row>
    <row r="3374" spans="1:9" x14ac:dyDescent="0.25">
      <c r="A3374" s="1">
        <v>18.614838719367899</v>
      </c>
      <c r="B3374">
        <v>9.4647193792112692</v>
      </c>
      <c r="C3374">
        <v>7.1143587708032996</v>
      </c>
      <c r="D3374">
        <v>7.28423355070667</v>
      </c>
      <c r="E3374">
        <v>-0.61041578454884504</v>
      </c>
      <c r="F3374">
        <v>6.9166312876227701E-4</v>
      </c>
      <c r="G3374">
        <v>0.10632539436359099</v>
      </c>
      <c r="H3374">
        <v>0.70770909524426495</v>
      </c>
      <c r="I3374">
        <v>8.9628250421282501E-4</v>
      </c>
    </row>
    <row r="3375" spans="1:9" x14ac:dyDescent="0.25">
      <c r="A3375" s="1">
        <v>21.2777170538902</v>
      </c>
      <c r="B3375">
        <v>10.033466645965699</v>
      </c>
      <c r="C3375">
        <v>6.9044066086583102</v>
      </c>
      <c r="D3375">
        <v>6.8745514733341802</v>
      </c>
      <c r="E3375">
        <v>-0.66595369606714805</v>
      </c>
      <c r="F3375">
        <v>7.4941262194737205E-4</v>
      </c>
      <c r="G3375">
        <v>0.10298125507521801</v>
      </c>
      <c r="H3375">
        <v>0.68487374023834202</v>
      </c>
      <c r="I3375">
        <v>-4.2816001023146697E-3</v>
      </c>
    </row>
    <row r="3376" spans="1:9" x14ac:dyDescent="0.25">
      <c r="A3376" s="1">
        <v>24.180224537849401</v>
      </c>
      <c r="B3376">
        <v>10.5387976448819</v>
      </c>
      <c r="C3376">
        <v>6.5856367163155802</v>
      </c>
      <c r="D3376">
        <v>6.37874885137016</v>
      </c>
      <c r="E3376">
        <v>-0.71083735594351805</v>
      </c>
      <c r="F3376">
        <v>1.05768895763071E-3</v>
      </c>
      <c r="G3376">
        <v>9.7669238978018103E-2</v>
      </c>
      <c r="H3376">
        <v>0.66192355533584601</v>
      </c>
      <c r="I3376">
        <v>-8.3631994376494791E-3</v>
      </c>
    </row>
    <row r="3377" spans="1:9" x14ac:dyDescent="0.25">
      <c r="A3377" s="1">
        <v>27.343950867652801</v>
      </c>
      <c r="B3377">
        <v>10.988717309182899</v>
      </c>
      <c r="C3377">
        <v>6.20200401497471</v>
      </c>
      <c r="D3377">
        <v>5.8450724720118599</v>
      </c>
      <c r="E3377">
        <v>-0.746219762654459</v>
      </c>
      <c r="F3377">
        <v>1.54003080419398E-3</v>
      </c>
      <c r="G3377">
        <v>9.1211935643308997E-2</v>
      </c>
      <c r="H3377">
        <v>0.63916459196738895</v>
      </c>
      <c r="I3377">
        <v>-1.11932026553399E-2</v>
      </c>
    </row>
    <row r="3378" spans="1:9" x14ac:dyDescent="0.25">
      <c r="A3378" s="1">
        <v>30.7923927903175</v>
      </c>
      <c r="B3378">
        <v>11.391100499762601</v>
      </c>
      <c r="C3378">
        <v>5.7874498437716104</v>
      </c>
      <c r="D3378">
        <v>5.3073434381739597</v>
      </c>
      <c r="E3378">
        <v>-0.77335884328238302</v>
      </c>
      <c r="F3378">
        <v>2.1024065047590798E-3</v>
      </c>
      <c r="G3378">
        <v>8.4198931719076497E-2</v>
      </c>
      <c r="H3378">
        <v>0.61702094878047398</v>
      </c>
      <c r="I3378">
        <v>-1.2885486547654999E-2</v>
      </c>
    </row>
    <row r="3379" spans="1:9" x14ac:dyDescent="0.25">
      <c r="A3379" s="1">
        <v>34.551213085651298</v>
      </c>
      <c r="B3379">
        <v>11.753311713396</v>
      </c>
      <c r="C3379">
        <v>5.3667002765562701</v>
      </c>
      <c r="D3379">
        <v>4.7880073968088004</v>
      </c>
      <c r="E3379">
        <v>-0.79345841674678996</v>
      </c>
      <c r="F3379">
        <v>2.69642316139077E-3</v>
      </c>
      <c r="G3379">
        <v>7.69884691343449E-2</v>
      </c>
      <c r="H3379">
        <v>0.59592778542503499</v>
      </c>
      <c r="I3379">
        <v>-1.3628826083987499E-2</v>
      </c>
    </row>
    <row r="3380" spans="1:9" x14ac:dyDescent="0.25">
      <c r="A3380" s="1">
        <v>38.6483111977577</v>
      </c>
      <c r="B3380">
        <v>12.0820206830114</v>
      </c>
      <c r="C3380">
        <v>4.9566080952577698</v>
      </c>
      <c r="D3380">
        <v>4.3009188602760302</v>
      </c>
      <c r="E3380">
        <v>-0.80756573940110399</v>
      </c>
      <c r="F3380">
        <v>3.1896512424505101E-3</v>
      </c>
      <c r="G3380">
        <v>6.9802713627117194E-2</v>
      </c>
      <c r="H3380">
        <v>0.57631476050601904</v>
      </c>
      <c r="I3380">
        <v>-1.3622050737576901E-2</v>
      </c>
    </row>
    <row r="3381" spans="1:9" x14ac:dyDescent="0.25">
      <c r="A3381" s="1">
        <v>43.1141293048858</v>
      </c>
      <c r="B3381">
        <v>12.383151184564801</v>
      </c>
      <c r="C3381">
        <v>4.5678178097158897</v>
      </c>
      <c r="D3381">
        <v>3.85396086360507</v>
      </c>
      <c r="E3381">
        <v>-0.81654081384056498</v>
      </c>
      <c r="F3381">
        <v>3.53370271032735E-3</v>
      </c>
      <c r="G3381">
        <v>6.2789933197432299E-2</v>
      </c>
      <c r="H3381">
        <v>0.55847842132231795</v>
      </c>
      <c r="I3381">
        <v>-1.3053598614258401E-2</v>
      </c>
    </row>
    <row r="3382" spans="1:9" x14ac:dyDescent="0.25">
      <c r="A3382" s="1">
        <v>47.981887757778097</v>
      </c>
      <c r="B3382">
        <v>12.661793277396299</v>
      </c>
      <c r="C3382">
        <v>4.2064086451142497</v>
      </c>
      <c r="D3382">
        <v>3.4507291997773799</v>
      </c>
      <c r="E3382">
        <v>-0.82110188452024602</v>
      </c>
      <c r="F3382">
        <v>3.6705682356474598E-3</v>
      </c>
      <c r="G3382">
        <v>5.6051727851137698E-2</v>
      </c>
      <c r="H3382">
        <v>0.54244765813497098</v>
      </c>
      <c r="I3382">
        <v>-1.21044150097057E-2</v>
      </c>
    </row>
    <row r="3383" spans="1:9" x14ac:dyDescent="0.25">
      <c r="A3383" s="1">
        <v>53.287820518016801</v>
      </c>
      <c r="B3383">
        <v>12.9222074832603</v>
      </c>
      <c r="C3383">
        <v>3.8748702624865698</v>
      </c>
      <c r="D3383">
        <v>3.0914719805847399</v>
      </c>
      <c r="E3383">
        <v>-0.82179320492371399</v>
      </c>
      <c r="F3383">
        <v>3.5449774017782799E-3</v>
      </c>
      <c r="G3383">
        <v>4.9692720745336302E-2</v>
      </c>
      <c r="H3383">
        <v>0.52821504163597399</v>
      </c>
      <c r="I3383">
        <v>-1.09385433779373E-2</v>
      </c>
    </row>
    <row r="3384" spans="1:9" x14ac:dyDescent="0.25">
      <c r="A3384" s="1">
        <v>59.071175158023799</v>
      </c>
      <c r="B3384">
        <v>13.1679585153073</v>
      </c>
      <c r="C3384">
        <v>3.5733906525579702</v>
      </c>
      <c r="D3384">
        <v>2.77420868905766</v>
      </c>
      <c r="E3384">
        <v>-0.81903171310031697</v>
      </c>
      <c r="F3384">
        <v>3.1117309483096401E-3</v>
      </c>
      <c r="G3384">
        <v>4.3815411188997698E-2</v>
      </c>
      <c r="H3384">
        <v>0.51567740751384605</v>
      </c>
      <c r="I3384">
        <v>-9.7096286933375207E-3</v>
      </c>
    </row>
    <row r="3385" spans="1:9" x14ac:dyDescent="0.25">
      <c r="A3385" s="1">
        <v>65.375131070613804</v>
      </c>
      <c r="B3385">
        <v>13.401982142573599</v>
      </c>
      <c r="C3385">
        <v>3.3009674842629102</v>
      </c>
      <c r="D3385">
        <v>2.49606935379503</v>
      </c>
      <c r="E3385">
        <v>-0.81312949090618303</v>
      </c>
      <c r="F3385">
        <v>2.4635455873376999E-3</v>
      </c>
      <c r="G3385">
        <v>3.8472687154336202E-2</v>
      </c>
      <c r="H3385">
        <v>0.50444282345346203</v>
      </c>
      <c r="I3385">
        <v>-8.5179901035921692E-3</v>
      </c>
    </row>
    <row r="3386" spans="1:9" x14ac:dyDescent="0.25">
      <c r="A3386" s="1">
        <v>72.246375679969702</v>
      </c>
      <c r="B3386">
        <v>13.626691755263501</v>
      </c>
      <c r="C3386">
        <v>3.05529136164655</v>
      </c>
      <c r="D3386">
        <v>2.25328010729607</v>
      </c>
      <c r="E3386">
        <v>-0.80432847421034404</v>
      </c>
      <c r="F3386">
        <v>1.70597197062816E-3</v>
      </c>
      <c r="G3386">
        <v>3.36912154908037E-2</v>
      </c>
      <c r="H3386">
        <v>0.49423412866956601</v>
      </c>
      <c r="I3386">
        <v>-7.4255518730551601E-3</v>
      </c>
    </row>
    <row r="3387" spans="1:9" x14ac:dyDescent="0.25">
      <c r="A3387" s="1">
        <v>79.736069738864799</v>
      </c>
      <c r="B3387">
        <v>13.8440776167274</v>
      </c>
      <c r="C3387">
        <v>2.8332474186000001</v>
      </c>
      <c r="D3387">
        <v>2.04130824792253</v>
      </c>
      <c r="E3387">
        <v>-0.79276823549974196</v>
      </c>
      <c r="F3387">
        <v>1.03078522976157E-3</v>
      </c>
      <c r="G3387">
        <v>2.94341218664744E-2</v>
      </c>
      <c r="H3387">
        <v>0.484613739028325</v>
      </c>
      <c r="I3387">
        <v>-6.44210557253667E-3</v>
      </c>
    </row>
    <row r="3388" spans="1:9" x14ac:dyDescent="0.25">
      <c r="A3388" s="1">
        <v>87.899753153324099</v>
      </c>
      <c r="B3388">
        <v>14.055727758614699</v>
      </c>
      <c r="C3388">
        <v>2.6313854387407001</v>
      </c>
      <c r="D3388">
        <v>1.8556363319833</v>
      </c>
      <c r="E3388">
        <v>-0.77849249797364595</v>
      </c>
      <c r="F3388">
        <v>6.4323229288660796E-4</v>
      </c>
      <c r="G3388">
        <v>2.5666034079231601E-2</v>
      </c>
      <c r="H3388">
        <v>0.47547267691307998</v>
      </c>
      <c r="I3388">
        <v>-5.57646580304153E-3</v>
      </c>
    </row>
    <row r="3389" spans="1:9" x14ac:dyDescent="0.25">
      <c r="A3389" s="1">
        <v>96.798263192176805</v>
      </c>
      <c r="B3389">
        <v>14.262897979638</v>
      </c>
      <c r="C3389">
        <v>2.4465253171693502</v>
      </c>
      <c r="D3389">
        <v>1.6922567265534001</v>
      </c>
      <c r="E3389">
        <v>-0.76157793182090305</v>
      </c>
      <c r="F3389">
        <v>7.0659707407805998E-4</v>
      </c>
      <c r="G3389">
        <v>2.2342880049843201E-2</v>
      </c>
      <c r="H3389">
        <v>0.46658331128633501</v>
      </c>
      <c r="I3389">
        <v>-4.8193027655915504E-3</v>
      </c>
    </row>
    <row r="3390" spans="1:9" x14ac:dyDescent="0.25">
      <c r="A3390" s="1">
        <v>106.497616767883</v>
      </c>
      <c r="B3390">
        <v>14.466645574553301</v>
      </c>
      <c r="C3390">
        <v>2.2754909548772599</v>
      </c>
      <c r="D3390">
        <v>1.54749146448024</v>
      </c>
      <c r="E3390">
        <v>-0.74194214304172601</v>
      </c>
      <c r="F3390">
        <v>9.6666270216055298E-4</v>
      </c>
      <c r="G3390">
        <v>1.9425235389707699E-2</v>
      </c>
      <c r="H3390">
        <v>0.45789573764269098</v>
      </c>
      <c r="I3390">
        <v>-4.1636657971490503E-3</v>
      </c>
    </row>
    <row r="3391" spans="1:9" x14ac:dyDescent="0.25">
      <c r="A3391" s="1">
        <v>117.06990510225199</v>
      </c>
      <c r="B3391">
        <v>14.668127090095</v>
      </c>
      <c r="C3391">
        <v>2.1144651672856098</v>
      </c>
      <c r="D3391">
        <v>1.41723381479236</v>
      </c>
      <c r="E3391">
        <v>-0.71934750302067296</v>
      </c>
      <c r="F3391">
        <v>1.1765460181404801E-3</v>
      </c>
      <c r="G3391">
        <v>1.6871547836499599E-2</v>
      </c>
      <c r="H3391">
        <v>0.45004141478367399</v>
      </c>
      <c r="I3391">
        <v>-3.5975294005072102E-3</v>
      </c>
    </row>
    <row r="3392" spans="1:9" x14ac:dyDescent="0.25">
      <c r="A3392" s="1">
        <v>128.593670427799</v>
      </c>
      <c r="B3392">
        <v>14.8682953452528</v>
      </c>
      <c r="C3392">
        <v>1.96154143658404</v>
      </c>
      <c r="D3392">
        <v>1.2989766212070599</v>
      </c>
      <c r="E3392">
        <v>-0.69382690806292002</v>
      </c>
      <c r="F3392">
        <v>1.5252340314176999E-3</v>
      </c>
      <c r="G3392">
        <v>1.46075572088339E-2</v>
      </c>
      <c r="H3392">
        <v>0.442630073073359</v>
      </c>
      <c r="I3392">
        <v>-3.0922142207791201E-3</v>
      </c>
    </row>
    <row r="3393" spans="1:9" x14ac:dyDescent="0.25">
      <c r="A3393" s="1">
        <v>141.15461230278001</v>
      </c>
      <c r="B3393">
        <v>15.0675954067916</v>
      </c>
      <c r="C3393">
        <v>1.81489937161101</v>
      </c>
      <c r="D3393">
        <v>1.1903257941030201</v>
      </c>
      <c r="E3393">
        <v>-0.66516053560043598</v>
      </c>
      <c r="F3393">
        <v>2.1927414573904001E-3</v>
      </c>
      <c r="G3393">
        <v>1.25843006200335E-2</v>
      </c>
      <c r="H3393">
        <v>0.43543859347173203</v>
      </c>
      <c r="I3393">
        <v>-2.63880706772058E-3</v>
      </c>
    </row>
    <row r="3394" spans="1:9" x14ac:dyDescent="0.25">
      <c r="A3394" s="1">
        <v>154.84601140022201</v>
      </c>
      <c r="B3394">
        <v>15.2658245917246</v>
      </c>
      <c r="C3394">
        <v>1.67313061567097</v>
      </c>
      <c r="D3394">
        <v>1.08924405285866</v>
      </c>
      <c r="E3394">
        <v>-0.63317490198752302</v>
      </c>
      <c r="F3394">
        <v>2.31513549678076E-3</v>
      </c>
      <c r="G3394">
        <v>1.0766734228321201E-2</v>
      </c>
      <c r="H3394">
        <v>0.427960168598427</v>
      </c>
      <c r="I3394">
        <v>-2.2303937190968999E-3</v>
      </c>
    </row>
    <row r="3395" spans="1:9" x14ac:dyDescent="0.25">
      <c r="A3395" s="1">
        <v>169.76969480514501</v>
      </c>
      <c r="B3395">
        <v>15.4629254383802</v>
      </c>
      <c r="C3395">
        <v>1.5339878641140099</v>
      </c>
      <c r="D3395">
        <v>0.99345519943317095</v>
      </c>
      <c r="E3395">
        <v>-0.59740431700624497</v>
      </c>
      <c r="F3395">
        <v>1.9265240837647601E-3</v>
      </c>
      <c r="G3395">
        <v>9.1384703365716795E-3</v>
      </c>
      <c r="H3395">
        <v>0.42047499417657502</v>
      </c>
      <c r="I3395">
        <v>-1.86402251315037E-3</v>
      </c>
    </row>
    <row r="3396" spans="1:9" x14ac:dyDescent="0.25">
      <c r="A3396" s="1">
        <v>186.03645980358101</v>
      </c>
      <c r="B3396">
        <v>15.659419280832999</v>
      </c>
      <c r="C3396">
        <v>1.39564514614517</v>
      </c>
      <c r="D3396">
        <v>0.90112963885260999</v>
      </c>
      <c r="E3396">
        <v>-0.55736650724907599</v>
      </c>
      <c r="F3396">
        <v>1.7625165372148501E-3</v>
      </c>
      <c r="G3396">
        <v>7.6807587729439703E-3</v>
      </c>
      <c r="H3396">
        <v>0.41353999313786699</v>
      </c>
      <c r="I3396">
        <v>-1.53859022460432E-3</v>
      </c>
    </row>
    <row r="3397" spans="1:9" x14ac:dyDescent="0.25">
      <c r="A3397" s="1">
        <v>203.76720398664401</v>
      </c>
      <c r="B3397">
        <v>15.854848515225999</v>
      </c>
      <c r="C3397">
        <v>1.25803164334061</v>
      </c>
      <c r="D3397">
        <v>0.81071888269305503</v>
      </c>
      <c r="E3397">
        <v>-0.512953040670455</v>
      </c>
      <c r="F3397">
        <v>1.57000002179151E-3</v>
      </c>
      <c r="G3397">
        <v>6.3689550710760304E-3</v>
      </c>
      <c r="H3397">
        <v>0.40623381808383802</v>
      </c>
      <c r="I3397">
        <v>-1.2480474343461599E-3</v>
      </c>
    </row>
    <row r="3398" spans="1:9" x14ac:dyDescent="0.25">
      <c r="A3398" s="1">
        <v>223.09376105666101</v>
      </c>
      <c r="B3398">
        <v>16.047555111146</v>
      </c>
      <c r="C3398">
        <v>1.12029488786507</v>
      </c>
      <c r="D3398">
        <v>0.72115256652025095</v>
      </c>
      <c r="E3398">
        <v>-0.463703398699854</v>
      </c>
      <c r="F3398">
        <v>1.27482362597927E-3</v>
      </c>
      <c r="G3398">
        <v>5.1776294523978002E-3</v>
      </c>
      <c r="H3398">
        <v>0.398817010276308</v>
      </c>
      <c r="I3398">
        <v>-9.822761942162579E-4</v>
      </c>
    </row>
    <row r="3399" spans="1:9" x14ac:dyDescent="0.25">
      <c r="A3399" s="1">
        <v>244.15970131754801</v>
      </c>
      <c r="B3399">
        <v>16.236137003807698</v>
      </c>
      <c r="C3399">
        <v>0.98152876156217606</v>
      </c>
      <c r="D3399">
        <v>0.63092003117793505</v>
      </c>
      <c r="E3399">
        <v>-0.40901607367932202</v>
      </c>
      <c r="F3399">
        <v>4.9672446825650099E-4</v>
      </c>
      <c r="G3399">
        <v>4.1071463904921298E-3</v>
      </c>
      <c r="H3399">
        <v>0.39194584664242499</v>
      </c>
      <c r="I3399">
        <v>-7.4533619288109595E-4</v>
      </c>
    </row>
    <row r="3400" spans="1:9" x14ac:dyDescent="0.25">
      <c r="A3400" s="1">
        <v>267.12157949805197</v>
      </c>
      <c r="B3400">
        <v>16.417743049545599</v>
      </c>
      <c r="C3400">
        <v>0.84263308761727695</v>
      </c>
      <c r="D3400">
        <v>0.54054891188070797</v>
      </c>
      <c r="E3400">
        <v>-0.34852551756932099</v>
      </c>
      <c r="F3400">
        <v>-5.1130206964607704E-4</v>
      </c>
      <c r="G3400">
        <v>3.1679012841753498E-3</v>
      </c>
      <c r="H3400">
        <v>0.38606271163518102</v>
      </c>
      <c r="I3400">
        <v>-5.4518088797279201E-4</v>
      </c>
    </row>
    <row r="3401" spans="1:9" x14ac:dyDescent="0.25">
      <c r="A3401" s="1">
        <v>292.15002954006098</v>
      </c>
      <c r="B3401">
        <v>16.587587213499901</v>
      </c>
      <c r="C3401">
        <v>0.70405073154755804</v>
      </c>
      <c r="D3401">
        <v>0.44920851904615799</v>
      </c>
      <c r="E3401">
        <v>-0.28172857708980598</v>
      </c>
      <c r="F3401">
        <v>-1.08687793492834E-3</v>
      </c>
      <c r="G3401">
        <v>2.36514715051583E-3</v>
      </c>
      <c r="H3401">
        <v>0.38241454496763699</v>
      </c>
      <c r="I3401">
        <v>-3.8321067883837103E-4</v>
      </c>
    </row>
    <row r="3402" spans="1:9" x14ac:dyDescent="0.25">
      <c r="A3402" s="1">
        <v>319.43101242184599</v>
      </c>
      <c r="B3402">
        <v>16.736141305773</v>
      </c>
      <c r="C3402">
        <v>0.57310721549561605</v>
      </c>
      <c r="D3402">
        <v>0.36137340545659602</v>
      </c>
      <c r="E3402">
        <v>-0.20828580731315</v>
      </c>
      <c r="F3402">
        <v>-8.3919758791547701E-4</v>
      </c>
      <c r="G3402">
        <v>1.71595733021981E-3</v>
      </c>
      <c r="H3402">
        <v>0.38232967262432699</v>
      </c>
      <c r="I3402">
        <v>-2.6410805900539599E-4</v>
      </c>
    </row>
    <row r="3403" spans="1:9" x14ac:dyDescent="0.25">
      <c r="A3403" s="1">
        <v>349.16732590645501</v>
      </c>
      <c r="B3403">
        <v>16.851401060803202</v>
      </c>
      <c r="C3403">
        <v>0.46419005336943903</v>
      </c>
      <c r="D3403">
        <v>0.28625434547848999</v>
      </c>
      <c r="E3403">
        <v>-0.12689178033095899</v>
      </c>
      <c r="F3403">
        <v>-9.9959903794903009E-4</v>
      </c>
      <c r="G3403">
        <v>1.26758620799729E-3</v>
      </c>
      <c r="H3403">
        <v>0.38697974063812302</v>
      </c>
      <c r="I3403">
        <v>-1.9334996562609099E-4</v>
      </c>
    </row>
    <row r="3404" spans="1:9" x14ac:dyDescent="0.25">
      <c r="A3404" s="1">
        <v>379.83785875141598</v>
      </c>
      <c r="B3404">
        <v>16.912297895534302</v>
      </c>
      <c r="C3404">
        <v>0.40189147935135899</v>
      </c>
      <c r="D3404">
        <v>0.24237340709260999</v>
      </c>
      <c r="E3404">
        <v>-4.2012058647315199E-2</v>
      </c>
      <c r="F3404">
        <v>-1.3416454847484599E-3</v>
      </c>
      <c r="G3404">
        <v>1.0340964103233701E-3</v>
      </c>
      <c r="H3404">
        <v>0.40789286021769999</v>
      </c>
      <c r="I3404">
        <v>-1.5322097114239399E-4</v>
      </c>
    </row>
    <row r="3405" spans="1:9" x14ac:dyDescent="0.25">
      <c r="A3405" s="1" t="s">
        <v>569</v>
      </c>
      <c r="B3405" s="1" t="s">
        <v>614</v>
      </c>
      <c r="C3405" s="1" t="s">
        <v>615</v>
      </c>
      <c r="D3405" s="1" t="s">
        <v>616</v>
      </c>
      <c r="E3405" s="1" t="s">
        <v>617</v>
      </c>
      <c r="F3405" s="1" t="s">
        <v>618</v>
      </c>
      <c r="G3405" s="1" t="s">
        <v>400</v>
      </c>
      <c r="H3405" s="1" t="s">
        <v>619</v>
      </c>
      <c r="I3405" s="1" t="s">
        <v>613</v>
      </c>
    </row>
    <row r="3406" spans="1:9" x14ac:dyDescent="0.25">
      <c r="A3406" s="1">
        <v>-141.555516719818</v>
      </c>
      <c r="B3406">
        <v>-159.54268240638399</v>
      </c>
      <c r="C3406">
        <v>1.37046280313942E-3</v>
      </c>
      <c r="D3406">
        <v>0</v>
      </c>
      <c r="E3406">
        <v>0</v>
      </c>
      <c r="F3406">
        <v>0</v>
      </c>
      <c r="G3406" s="1">
        <v>1.4083995550806499E-8</v>
      </c>
      <c r="H3406">
        <v>8.3996316656303902E-2</v>
      </c>
      <c r="I3406">
        <v>0</v>
      </c>
    </row>
    <row r="3407" spans="1:9" x14ac:dyDescent="0.25">
      <c r="A3407" s="1">
        <v>-128.95890593528699</v>
      </c>
      <c r="B3407">
        <v>-145.39210013158899</v>
      </c>
      <c r="C3407">
        <v>1.4158079427552101E-3</v>
      </c>
      <c r="D3407">
        <v>0</v>
      </c>
      <c r="E3407">
        <v>0</v>
      </c>
      <c r="F3407">
        <v>0</v>
      </c>
      <c r="G3407" s="1">
        <v>2.4161097513075701E-8</v>
      </c>
      <c r="H3407">
        <v>0.42496658117087599</v>
      </c>
      <c r="I3407">
        <v>0</v>
      </c>
    </row>
    <row r="3408" spans="1:9" x14ac:dyDescent="0.25">
      <c r="A3408" s="1">
        <v>-117.402367591857</v>
      </c>
      <c r="B3408">
        <v>-132.40190094121101</v>
      </c>
      <c r="C3408">
        <v>1.5146096196213101E-3</v>
      </c>
      <c r="D3408">
        <v>0</v>
      </c>
      <c r="E3408">
        <v>0</v>
      </c>
      <c r="F3408">
        <v>0</v>
      </c>
      <c r="G3408" s="1">
        <v>4.36919168949334E-8</v>
      </c>
      <c r="H3408">
        <v>0.63115115972720703</v>
      </c>
      <c r="I3408">
        <v>0</v>
      </c>
    </row>
    <row r="3409" spans="1:9" x14ac:dyDescent="0.25">
      <c r="A3409" s="1">
        <v>-106.80001378059301</v>
      </c>
      <c r="B3409">
        <v>-120.477538445669</v>
      </c>
      <c r="C3409">
        <v>1.6852725484456099E-3</v>
      </c>
      <c r="D3409">
        <v>0</v>
      </c>
      <c r="E3409">
        <v>0</v>
      </c>
      <c r="F3409">
        <v>0</v>
      </c>
      <c r="G3409" s="1">
        <v>7.3889513112546104E-8</v>
      </c>
      <c r="H3409">
        <v>0.72779237844496802</v>
      </c>
      <c r="I3409">
        <v>0</v>
      </c>
    </row>
    <row r="3410" spans="1:9" x14ac:dyDescent="0.25">
      <c r="A3410" s="1">
        <v>-97.073161005973802</v>
      </c>
      <c r="B3410">
        <v>-109.532088807303</v>
      </c>
      <c r="C3410">
        <v>1.9512177489581001E-3</v>
      </c>
      <c r="D3410">
        <v>0</v>
      </c>
      <c r="E3410">
        <v>0</v>
      </c>
      <c r="F3410">
        <v>0</v>
      </c>
      <c r="G3410" s="1">
        <v>1.18312372610562E-7</v>
      </c>
      <c r="H3410">
        <v>0.77457423759032695</v>
      </c>
      <c r="I3410">
        <v>0</v>
      </c>
    </row>
    <row r="3411" spans="1:9" x14ac:dyDescent="0.25">
      <c r="A3411" s="1">
        <v>-88.149435520172105</v>
      </c>
      <c r="B3411">
        <v>-99.485615527707694</v>
      </c>
      <c r="C3411">
        <v>2.3397906780480899E-3</v>
      </c>
      <c r="D3411">
        <v>0</v>
      </c>
      <c r="E3411">
        <v>0</v>
      </c>
      <c r="F3411">
        <v>0</v>
      </c>
      <c r="G3411" s="1">
        <v>1.8332548648053399E-7</v>
      </c>
      <c r="H3411">
        <v>0.79905277616000203</v>
      </c>
      <c r="I3411">
        <v>0</v>
      </c>
    </row>
    <row r="3412" spans="1:9" x14ac:dyDescent="0.25">
      <c r="A3412" s="1">
        <v>-79.962490797042804</v>
      </c>
      <c r="B3412">
        <v>-90.264642889875503</v>
      </c>
      <c r="C3412">
        <v>2.8831816680853699E-3</v>
      </c>
      <c r="D3412">
        <v>0</v>
      </c>
      <c r="E3412">
        <v>0</v>
      </c>
      <c r="F3412">
        <v>0</v>
      </c>
      <c r="G3412" s="1">
        <v>2.7881451948996698E-7</v>
      </c>
      <c r="H3412">
        <v>0.81343711073489899</v>
      </c>
      <c r="I3412">
        <v>0</v>
      </c>
    </row>
    <row r="3413" spans="1:9" x14ac:dyDescent="0.25">
      <c r="A3413" s="1">
        <v>-72.451583743095298</v>
      </c>
      <c r="B3413">
        <v>-81.801658653545701</v>
      </c>
      <c r="C3413">
        <v>3.6201294643293399E-3</v>
      </c>
      <c r="D3413">
        <v>0</v>
      </c>
      <c r="E3413">
        <v>0</v>
      </c>
      <c r="F3413">
        <v>0</v>
      </c>
      <c r="G3413" s="1">
        <v>4.1932071407746399E-7</v>
      </c>
      <c r="H3413">
        <v>0.823358484935789</v>
      </c>
      <c r="I3413">
        <v>0</v>
      </c>
    </row>
    <row r="3414" spans="1:9" x14ac:dyDescent="0.25">
      <c r="A3414" s="1">
        <v>-65.560821294784503</v>
      </c>
      <c r="B3414">
        <v>-74.034604213464604</v>
      </c>
      <c r="C3414">
        <v>4.5978082073161704E-3</v>
      </c>
      <c r="D3414">
        <v>0</v>
      </c>
      <c r="E3414">
        <v>0</v>
      </c>
      <c r="F3414">
        <v>0</v>
      </c>
      <c r="G3414" s="1">
        <v>6.2578522386824697E-7</v>
      </c>
      <c r="H3414">
        <v>0.83143520866320697</v>
      </c>
      <c r="I3414">
        <v>0</v>
      </c>
    </row>
    <row r="3415" spans="1:9" x14ac:dyDescent="0.25">
      <c r="A3415" s="1">
        <v>-59.238972067832897</v>
      </c>
      <c r="B3415">
        <v>-66.906469233411897</v>
      </c>
      <c r="C3415">
        <v>5.8736991863787402E-3</v>
      </c>
      <c r="D3415">
        <v>0</v>
      </c>
      <c r="E3415">
        <v>0</v>
      </c>
      <c r="F3415">
        <v>0</v>
      </c>
      <c r="G3415" s="1">
        <v>9.28179724871469E-7</v>
      </c>
      <c r="H3415">
        <v>0.838851497165644</v>
      </c>
      <c r="I3415">
        <v>0</v>
      </c>
    </row>
    <row r="3416" spans="1:9" x14ac:dyDescent="0.25">
      <c r="A3416" s="1">
        <v>-53.439136743545497</v>
      </c>
      <c r="B3416">
        <v>-60.364877922165803</v>
      </c>
      <c r="C3416">
        <v>7.5174991983336702E-3</v>
      </c>
      <c r="D3416">
        <v>0</v>
      </c>
      <c r="E3416">
        <v>0</v>
      </c>
      <c r="F3416">
        <v>0</v>
      </c>
      <c r="G3416" s="1">
        <v>1.36945595146587E-6</v>
      </c>
      <c r="H3416">
        <v>0.84611619057972798</v>
      </c>
      <c r="I3416">
        <v>0</v>
      </c>
    </row>
    <row r="3417" spans="1:9" x14ac:dyDescent="0.25">
      <c r="A3417" s="1">
        <v>-48.118183016777003</v>
      </c>
      <c r="B3417">
        <v>-54.361717099774197</v>
      </c>
      <c r="C3417">
        <v>9.6133137837847108E-3</v>
      </c>
      <c r="D3417">
        <v>0</v>
      </c>
      <c r="E3417">
        <v>0</v>
      </c>
      <c r="F3417">
        <v>0</v>
      </c>
      <c r="G3417" s="1">
        <v>2.01141590153586E-6</v>
      </c>
      <c r="H3417">
        <v>0.85342771878997004</v>
      </c>
      <c r="I3417">
        <v>0</v>
      </c>
    </row>
    <row r="3418" spans="1:9" x14ac:dyDescent="0.25">
      <c r="A3418" s="1">
        <v>-43.236604332923797</v>
      </c>
      <c r="B3418">
        <v>-48.852797696072201</v>
      </c>
      <c r="C3418">
        <v>1.22624347489542E-2</v>
      </c>
      <c r="D3418">
        <v>0</v>
      </c>
      <c r="E3418">
        <v>0</v>
      </c>
      <c r="F3418">
        <v>0</v>
      </c>
      <c r="G3418" s="1">
        <v>2.9432754716429699E-6</v>
      </c>
      <c r="H3418">
        <v>0.86083840575133996</v>
      </c>
      <c r="I3418">
        <v>0</v>
      </c>
    </row>
    <row r="3419" spans="1:9" x14ac:dyDescent="0.25">
      <c r="A3419" s="1">
        <v>-38.758049011230398</v>
      </c>
      <c r="B3419">
        <v>-43.797539233866701</v>
      </c>
      <c r="C3419">
        <v>1.55869685480761E-2</v>
      </c>
      <c r="D3419">
        <v>0</v>
      </c>
      <c r="E3419">
        <v>0</v>
      </c>
      <c r="F3419">
        <v>0</v>
      </c>
      <c r="G3419" s="1">
        <v>4.2939890752924298E-6</v>
      </c>
      <c r="H3419">
        <v>0.86832627163901599</v>
      </c>
      <c r="I3419">
        <v>0</v>
      </c>
    </row>
    <row r="3420" spans="1:9" x14ac:dyDescent="0.25">
      <c r="A3420" s="1">
        <v>-34.649320244789102</v>
      </c>
      <c r="B3420">
        <v>-39.158668938729498</v>
      </c>
      <c r="C3420">
        <v>1.97344680944497E-2</v>
      </c>
      <c r="D3420">
        <v>0</v>
      </c>
      <c r="E3420">
        <v>0</v>
      </c>
      <c r="F3420">
        <v>0</v>
      </c>
      <c r="G3420" s="1">
        <v>6.2499821688719603E-6</v>
      </c>
      <c r="H3420">
        <v>0.87583251925578498</v>
      </c>
      <c r="I3420">
        <v>0</v>
      </c>
    </row>
    <row r="3421" spans="1:9" x14ac:dyDescent="0.25">
      <c r="A3421" s="1">
        <v>-30.879811048507602</v>
      </c>
      <c r="B3421">
        <v>-34.901973086673401</v>
      </c>
      <c r="C3421">
        <v>2.4883662726504101E-2</v>
      </c>
      <c r="D3421">
        <v>0</v>
      </c>
      <c r="E3421">
        <v>0</v>
      </c>
      <c r="F3421">
        <v>0</v>
      </c>
      <c r="G3421" s="1">
        <v>9.0809221199687999E-6</v>
      </c>
      <c r="H3421">
        <v>0.88328806653415703</v>
      </c>
      <c r="I3421">
        <v>0</v>
      </c>
    </row>
    <row r="3422" spans="1:9" x14ac:dyDescent="0.25">
      <c r="A3422" s="1">
        <v>-27.4215984344482</v>
      </c>
      <c r="B3422">
        <v>-30.9960295461897</v>
      </c>
      <c r="C3422">
        <v>3.1251513225021899E-2</v>
      </c>
      <c r="D3422">
        <v>0</v>
      </c>
      <c r="E3422">
        <v>0</v>
      </c>
      <c r="F3422">
        <v>0</v>
      </c>
      <c r="G3422" s="1">
        <v>1.31776669732044E-5</v>
      </c>
      <c r="H3422">
        <v>0.89063227305306203</v>
      </c>
      <c r="I3422">
        <v>0</v>
      </c>
    </row>
    <row r="3423" spans="1:9" x14ac:dyDescent="0.25">
      <c r="A3423" s="1">
        <v>-24.248878359794599</v>
      </c>
      <c r="B3423">
        <v>-27.411993602927399</v>
      </c>
      <c r="C3423">
        <v>3.9101936696606797E-2</v>
      </c>
      <c r="D3423">
        <v>0</v>
      </c>
      <c r="E3423">
        <v>0</v>
      </c>
      <c r="F3423">
        <v>0</v>
      </c>
      <c r="G3423" s="1">
        <v>1.9109001201662999E-5</v>
      </c>
      <c r="H3423">
        <v>0.89782331403128901</v>
      </c>
      <c r="I3423">
        <v>0</v>
      </c>
    </row>
    <row r="3424" spans="1:9" x14ac:dyDescent="0.25">
      <c r="A3424" s="1">
        <v>-21.3381540775299</v>
      </c>
      <c r="B3424">
        <v>-24.123379605341299</v>
      </c>
      <c r="C3424">
        <v>4.8756861892973798E-2</v>
      </c>
      <c r="D3424">
        <v>0</v>
      </c>
      <c r="E3424">
        <v>0</v>
      </c>
      <c r="F3424">
        <v>0</v>
      </c>
      <c r="G3424" s="1">
        <v>2.7708252490775402E-5</v>
      </c>
      <c r="H3424">
        <v>0.90484207615739398</v>
      </c>
      <c r="I3424">
        <v>0</v>
      </c>
    </row>
    <row r="3425" spans="1:9" x14ac:dyDescent="0.25">
      <c r="A3425" s="1">
        <v>-18.6677181720733</v>
      </c>
      <c r="B3425">
        <v>-21.105878132100798</v>
      </c>
      <c r="C3425">
        <v>6.0610497960929398E-2</v>
      </c>
      <c r="D3425">
        <v>0</v>
      </c>
      <c r="E3425">
        <v>0</v>
      </c>
      <c r="F3425">
        <v>0</v>
      </c>
      <c r="G3425" s="1">
        <v>4.0209844182328398E-5</v>
      </c>
      <c r="H3425">
        <v>0.91169331780132001</v>
      </c>
      <c r="I3425">
        <v>0</v>
      </c>
    </row>
    <row r="3426" spans="1:9" x14ac:dyDescent="0.25">
      <c r="A3426" s="1">
        <v>-16.2178409099578</v>
      </c>
      <c r="B3426">
        <v>-18.337171069983</v>
      </c>
      <c r="C3426">
        <v>7.5148532315602895E-2</v>
      </c>
      <c r="D3426">
        <v>0</v>
      </c>
      <c r="E3426">
        <v>0</v>
      </c>
      <c r="F3426">
        <v>0</v>
      </c>
      <c r="G3426" s="1">
        <v>5.84742262135407E-5</v>
      </c>
      <c r="H3426">
        <v>0.918406586701487</v>
      </c>
      <c r="I3426">
        <v>0</v>
      </c>
    </row>
    <row r="3427" spans="1:9" x14ac:dyDescent="0.25">
      <c r="A3427" s="1">
        <v>-13.9702051877975</v>
      </c>
      <c r="B3427">
        <v>-15.796772027140101</v>
      </c>
      <c r="C3427">
        <v>9.2975362649260596E-2</v>
      </c>
      <c r="D3427">
        <v>0</v>
      </c>
      <c r="E3427">
        <v>0</v>
      </c>
      <c r="F3427">
        <v>0</v>
      </c>
      <c r="G3427" s="1">
        <v>8.5378405034958801E-5</v>
      </c>
      <c r="H3427">
        <v>0.92503737794104401</v>
      </c>
      <c r="I3427">
        <v>0</v>
      </c>
    </row>
    <row r="3428" spans="1:9" x14ac:dyDescent="0.25">
      <c r="A3428" s="1">
        <v>-11.908189058303799</v>
      </c>
      <c r="B3428">
        <v>-13.4658766715635</v>
      </c>
      <c r="C3428">
        <v>0.11485506342232001</v>
      </c>
      <c r="D3428">
        <v>0</v>
      </c>
      <c r="E3428">
        <v>0</v>
      </c>
      <c r="F3428">
        <v>0</v>
      </c>
      <c r="G3428">
        <v>1.25534967663881E-4</v>
      </c>
      <c r="H3428">
        <v>0.93166758144851702</v>
      </c>
      <c r="I3428">
        <v>0</v>
      </c>
    </row>
    <row r="3429" spans="1:9" x14ac:dyDescent="0.25">
      <c r="A3429" s="1">
        <v>-10.016394853591899</v>
      </c>
      <c r="B3429">
        <v>-11.327225345451</v>
      </c>
      <c r="C3429">
        <v>0.14177718798217001</v>
      </c>
      <c r="D3429">
        <v>0</v>
      </c>
      <c r="E3429">
        <v>0</v>
      </c>
      <c r="F3429">
        <v>0</v>
      </c>
      <c r="G3429">
        <v>1.8669657935018301E-4</v>
      </c>
      <c r="H3429">
        <v>0.93840152607890703</v>
      </c>
      <c r="I3429">
        <v>0</v>
      </c>
    </row>
    <row r="3430" spans="1:9" x14ac:dyDescent="0.25">
      <c r="A3430" s="1">
        <v>-8.2808375358581507</v>
      </c>
      <c r="B3430">
        <v>-9.3649771719087305</v>
      </c>
      <c r="C3430">
        <v>0.175068329935021</v>
      </c>
      <c r="D3430">
        <v>0</v>
      </c>
      <c r="E3430">
        <v>0</v>
      </c>
      <c r="F3430">
        <v>0</v>
      </c>
      <c r="G3430">
        <v>2.8265168820146801E-4</v>
      </c>
      <c r="H3430">
        <v>0.94534941575195897</v>
      </c>
      <c r="I3430">
        <v>0</v>
      </c>
    </row>
    <row r="3431" spans="1:9" x14ac:dyDescent="0.25">
      <c r="A3431" s="1">
        <v>-6.6885209083557102</v>
      </c>
      <c r="B3431">
        <v>-7.5645943480391402</v>
      </c>
      <c r="C3431">
        <v>0.21659054885846801</v>
      </c>
      <c r="D3431">
        <v>0</v>
      </c>
      <c r="E3431">
        <v>0</v>
      </c>
      <c r="F3431">
        <v>0</v>
      </c>
      <c r="G3431">
        <v>4.3948898045556399E-4</v>
      </c>
      <c r="H3431">
        <v>0.95258767625725305</v>
      </c>
      <c r="I3431">
        <v>0</v>
      </c>
    </row>
    <row r="3432" spans="1:9" x14ac:dyDescent="0.25">
      <c r="A3432" s="1">
        <v>-5.2277201414108196</v>
      </c>
      <c r="B3432">
        <v>-5.9127353184704097</v>
      </c>
      <c r="C3432">
        <v>0.26910924161149802</v>
      </c>
      <c r="D3432">
        <v>0</v>
      </c>
      <c r="E3432">
        <v>0</v>
      </c>
      <c r="F3432">
        <v>0</v>
      </c>
      <c r="G3432">
        <v>7.0981635244231703E-4</v>
      </c>
      <c r="H3432">
        <v>0.96009527300012998</v>
      </c>
      <c r="I3432">
        <v>0</v>
      </c>
    </row>
    <row r="3433" spans="1:9" x14ac:dyDescent="0.25">
      <c r="A3433" s="1">
        <v>-3.88755798339843</v>
      </c>
      <c r="B3433">
        <v>-4.3971555233780597</v>
      </c>
      <c r="C3433">
        <v>0.33700205979396503</v>
      </c>
      <c r="D3433">
        <v>0</v>
      </c>
      <c r="E3433">
        <v>0</v>
      </c>
      <c r="F3433">
        <v>0</v>
      </c>
      <c r="G3433">
        <v>1.20699031722688E-3</v>
      </c>
      <c r="H3433">
        <v>0.96769388234101905</v>
      </c>
      <c r="I3433">
        <v>0</v>
      </c>
    </row>
    <row r="3434" spans="1:9" x14ac:dyDescent="0.25">
      <c r="A3434" s="1">
        <v>-2.6580518484115601</v>
      </c>
      <c r="B3434">
        <v>-3.00661963884126</v>
      </c>
      <c r="C3434">
        <v>0.42769549545276198</v>
      </c>
      <c r="D3434">
        <v>0</v>
      </c>
      <c r="E3434">
        <v>0</v>
      </c>
      <c r="F3434">
        <v>0</v>
      </c>
      <c r="G3434">
        <v>2.19455473224684E-3</v>
      </c>
      <c r="H3434">
        <v>0.97504938876553504</v>
      </c>
      <c r="I3434">
        <v>0</v>
      </c>
    </row>
    <row r="3435" spans="1:9" x14ac:dyDescent="0.25">
      <c r="A3435" s="1">
        <v>-1.5300196409225399</v>
      </c>
      <c r="B3435">
        <v>-1.73081695147197</v>
      </c>
      <c r="C3435">
        <v>0.55479106740843498</v>
      </c>
      <c r="D3435">
        <v>0</v>
      </c>
      <c r="E3435">
        <v>0</v>
      </c>
      <c r="F3435">
        <v>0</v>
      </c>
      <c r="G3435">
        <v>4.3484875240556E-3</v>
      </c>
      <c r="H3435">
        <v>0.98176843485854204</v>
      </c>
      <c r="I3435">
        <v>0</v>
      </c>
    </row>
    <row r="3436" spans="1:9" x14ac:dyDescent="0.25">
      <c r="A3436" s="1">
        <v>-0.49517393112182601</v>
      </c>
      <c r="B3436">
        <v>-0.56028718062084404</v>
      </c>
      <c r="C3436">
        <v>0.74562622523985</v>
      </c>
      <c r="D3436">
        <v>0</v>
      </c>
      <c r="E3436">
        <v>0</v>
      </c>
      <c r="F3436">
        <v>0</v>
      </c>
      <c r="G3436">
        <v>9.7377039769626205E-3</v>
      </c>
      <c r="H3436">
        <v>0.98764001256456901</v>
      </c>
      <c r="I3436">
        <v>0</v>
      </c>
    </row>
    <row r="3437" spans="1:9" x14ac:dyDescent="0.25">
      <c r="A3437" s="1">
        <v>0.49376130104064903</v>
      </c>
      <c r="B3437">
        <v>0.353037879910652</v>
      </c>
      <c r="C3437">
        <v>1.0040691928646399</v>
      </c>
      <c r="D3437">
        <v>0.14252329729214899</v>
      </c>
      <c r="E3437">
        <v>-2.29579248669398E-4</v>
      </c>
      <c r="F3437" s="1">
        <v>1.2773623286246E-5</v>
      </c>
      <c r="G3437">
        <v>6.7606718975163099E-2</v>
      </c>
      <c r="H3437">
        <v>0.97300973623936904</v>
      </c>
      <c r="I3437" s="1">
        <v>7.6041574173620301E-7</v>
      </c>
    </row>
    <row r="3438" spans="1:9" x14ac:dyDescent="0.25">
      <c r="A3438" s="1">
        <v>1.5257111191749499</v>
      </c>
      <c r="B3438">
        <v>1.09034216917712</v>
      </c>
      <c r="C3438">
        <v>1.3265987566420101</v>
      </c>
      <c r="D3438">
        <v>0.56684191499437298</v>
      </c>
      <c r="E3438">
        <v>-2.5680636133558802E-3</v>
      </c>
      <c r="F3438">
        <v>1.0443769574128499E-4</v>
      </c>
      <c r="G3438">
        <v>7.8541995222795397E-2</v>
      </c>
      <c r="H3438">
        <v>0.96617844666610797</v>
      </c>
      <c r="I3438" s="1">
        <v>2.4216065615762301E-5</v>
      </c>
    </row>
    <row r="3439" spans="1:9" x14ac:dyDescent="0.25">
      <c r="A3439" s="1">
        <v>2.6505178213119498</v>
      </c>
      <c r="B3439">
        <v>1.8890050760622601</v>
      </c>
      <c r="C3439">
        <v>1.80651590090335</v>
      </c>
      <c r="D3439">
        <v>1.2259806610651001</v>
      </c>
      <c r="E3439">
        <v>-1.1565987295453099E-2</v>
      </c>
      <c r="F3439">
        <v>2.9678571471479298E-4</v>
      </c>
      <c r="G3439">
        <v>8.8320131784981298E-2</v>
      </c>
      <c r="H3439">
        <v>0.95521979819331404</v>
      </c>
      <c r="I3439">
        <v>1.2343746237818701E-4</v>
      </c>
    </row>
    <row r="3440" spans="1:9" x14ac:dyDescent="0.25">
      <c r="A3440" s="1">
        <v>3.8765159249305698</v>
      </c>
      <c r="B3440">
        <v>2.7456969578902699</v>
      </c>
      <c r="C3440">
        <v>2.4747596928162401</v>
      </c>
      <c r="D3440">
        <v>2.15108085056373</v>
      </c>
      <c r="E3440">
        <v>-3.2247605828665302E-2</v>
      </c>
      <c r="F3440">
        <v>5.8719559286217395E-4</v>
      </c>
      <c r="G3440">
        <v>9.5298771104002797E-2</v>
      </c>
      <c r="H3440">
        <v>0.93868504551811605</v>
      </c>
      <c r="I3440">
        <v>2.9791206229683301E-4</v>
      </c>
    </row>
    <row r="3441" spans="1:9" x14ac:dyDescent="0.25">
      <c r="A3441" s="1">
        <v>5.2129346132278398</v>
      </c>
      <c r="B3441">
        <v>3.6500987432118102</v>
      </c>
      <c r="C3441">
        <v>3.3296322070187299</v>
      </c>
      <c r="D3441">
        <v>3.3141237372550698</v>
      </c>
      <c r="E3441">
        <v>-6.9873940891263198E-2</v>
      </c>
      <c r="F3441">
        <v>9.3675787602905201E-4</v>
      </c>
      <c r="G3441">
        <v>9.7902178344757701E-2</v>
      </c>
      <c r="H3441">
        <v>0.91452654904313502</v>
      </c>
      <c r="I3441">
        <v>5.8287283689792196E-4</v>
      </c>
    </row>
    <row r="3442" spans="1:9" x14ac:dyDescent="0.25">
      <c r="A3442" s="1">
        <v>6.6695916652679399</v>
      </c>
      <c r="B3442">
        <v>4.5834121073748504</v>
      </c>
      <c r="C3442">
        <v>4.3130228493240903</v>
      </c>
      <c r="D3442">
        <v>4.5989538272901003</v>
      </c>
      <c r="E3442">
        <v>-0.12728562846272601</v>
      </c>
      <c r="F3442">
        <v>1.26734764479978E-3</v>
      </c>
      <c r="G3442">
        <v>9.6983651442253502E-2</v>
      </c>
      <c r="H3442">
        <v>0.88206827573040403</v>
      </c>
      <c r="I3442">
        <v>1.3563503083699601E-3</v>
      </c>
    </row>
    <row r="3443" spans="1:9" x14ac:dyDescent="0.25">
      <c r="A3443" s="1">
        <v>8.2573878765106201</v>
      </c>
      <c r="B3443">
        <v>5.5194470652531402</v>
      </c>
      <c r="C3443">
        <v>5.3095585356347099</v>
      </c>
      <c r="D3443">
        <v>5.8202139871907601</v>
      </c>
      <c r="E3443">
        <v>-0.202761673777273</v>
      </c>
      <c r="F3443">
        <v>1.4871740462198101E-3</v>
      </c>
      <c r="G3443">
        <v>9.5789948556883206E-2</v>
      </c>
      <c r="H3443">
        <v>0.84473315371312496</v>
      </c>
      <c r="I3443">
        <v>3.63340477435725E-3</v>
      </c>
    </row>
    <row r="3444" spans="1:9" x14ac:dyDescent="0.25">
      <c r="A3444" s="1">
        <v>9.9880245327949506</v>
      </c>
      <c r="B3444">
        <v>6.4290705493803602</v>
      </c>
      <c r="C3444">
        <v>6.1828936275340798</v>
      </c>
      <c r="D3444">
        <v>6.7949911760657402</v>
      </c>
      <c r="E3444">
        <v>-0.28993591630535898</v>
      </c>
      <c r="F3444">
        <v>1.52252580445008E-3</v>
      </c>
      <c r="G3444">
        <v>9.7261440879780905E-2</v>
      </c>
      <c r="H3444">
        <v>0.80921630242540599</v>
      </c>
      <c r="I3444">
        <v>7.6829790543462397E-3</v>
      </c>
    </row>
    <row r="3445" spans="1:9" x14ac:dyDescent="0.25">
      <c r="A3445" s="1">
        <v>11.874474287032999</v>
      </c>
      <c r="B3445">
        <v>7.2867100264097999</v>
      </c>
      <c r="C3445">
        <v>6.8290540888802003</v>
      </c>
      <c r="D3445">
        <v>7.41629362019279</v>
      </c>
      <c r="E3445">
        <v>-0.38035778446637802</v>
      </c>
      <c r="F3445">
        <v>1.3653025422909399E-3</v>
      </c>
      <c r="G3445">
        <v>0.101363846121809</v>
      </c>
      <c r="H3445">
        <v>0.77939689288471203</v>
      </c>
      <c r="I3445">
        <v>1.0857228252354001E-2</v>
      </c>
    </row>
    <row r="3446" spans="1:9" x14ac:dyDescent="0.25">
      <c r="A3446" s="1">
        <v>13.9306750893592</v>
      </c>
      <c r="B3446">
        <v>8.0754310193623908</v>
      </c>
      <c r="C3446">
        <v>7.2066430457831299</v>
      </c>
      <c r="D3446">
        <v>7.6736108335650499</v>
      </c>
      <c r="E3446">
        <v>-0.46665330390325899</v>
      </c>
      <c r="F3446">
        <v>1.0849938273435201E-3</v>
      </c>
      <c r="G3446">
        <v>0.10569773821167699</v>
      </c>
      <c r="H3446">
        <v>0.75419332166688902</v>
      </c>
      <c r="I3446">
        <v>1.0304241642035399E-2</v>
      </c>
    </row>
    <row r="3447" spans="1:9" x14ac:dyDescent="0.25">
      <c r="A3447" s="1">
        <v>16.171883344650201</v>
      </c>
      <c r="B3447">
        <v>8.7880455955084003</v>
      </c>
      <c r="C3447">
        <v>7.3302207661847696</v>
      </c>
      <c r="D3447">
        <v>7.6234426937676298</v>
      </c>
      <c r="E3447">
        <v>-0.54410374603133205</v>
      </c>
      <c r="F3447">
        <v>8.01484236819132E-4</v>
      </c>
      <c r="G3447">
        <v>0.107923957991321</v>
      </c>
      <c r="H3447">
        <v>0.73104120793752103</v>
      </c>
      <c r="I3447">
        <v>6.23503368500016E-3</v>
      </c>
    </row>
    <row r="3448" spans="1:9" x14ac:dyDescent="0.25">
      <c r="A3448" s="1">
        <v>18.614838719367899</v>
      </c>
      <c r="B3448">
        <v>9.4250552385266406</v>
      </c>
      <c r="C3448">
        <v>7.2456077717835399</v>
      </c>
      <c r="D3448">
        <v>7.3475044274596799</v>
      </c>
      <c r="E3448">
        <v>-0.61058249448246504</v>
      </c>
      <c r="F3448">
        <v>6.4061786149302298E-4</v>
      </c>
      <c r="G3448">
        <v>0.107102134394157</v>
      </c>
      <c r="H3448">
        <v>0.708282780129872</v>
      </c>
      <c r="I3448">
        <v>7.2528094137386105E-4</v>
      </c>
    </row>
    <row r="3449" spans="1:9" x14ac:dyDescent="0.25">
      <c r="A3449" s="1">
        <v>21.2777170538902</v>
      </c>
      <c r="B3449">
        <v>9.9916210512782904</v>
      </c>
      <c r="C3449">
        <v>7.0076492836231896</v>
      </c>
      <c r="D3449">
        <v>6.92459109182502</v>
      </c>
      <c r="E3449">
        <v>-0.66577767347192196</v>
      </c>
      <c r="F3449">
        <v>6.9352202150426399E-4</v>
      </c>
      <c r="G3449">
        <v>0.10353363599723001</v>
      </c>
      <c r="H3449">
        <v>0.68535112153672695</v>
      </c>
      <c r="I3449">
        <v>-4.4618795835443103E-3</v>
      </c>
    </row>
    <row r="3450" spans="1:9" x14ac:dyDescent="0.25">
      <c r="A3450" s="1">
        <v>24.180224537849401</v>
      </c>
      <c r="B3450">
        <v>10.495060516443401</v>
      </c>
      <c r="C3450">
        <v>6.6674570326695504</v>
      </c>
      <c r="D3450">
        <v>6.4187577837230201</v>
      </c>
      <c r="E3450">
        <v>-0.71039175032602797</v>
      </c>
      <c r="F3450">
        <v>9.9547479781364598E-4</v>
      </c>
      <c r="G3450">
        <v>9.8055349360188102E-2</v>
      </c>
      <c r="H3450">
        <v>0.66229582765704298</v>
      </c>
      <c r="I3450">
        <v>-8.5285913487449898E-3</v>
      </c>
    </row>
    <row r="3451" spans="1:9" x14ac:dyDescent="0.25">
      <c r="A3451" s="1">
        <v>27.343950867652801</v>
      </c>
      <c r="B3451">
        <v>10.9433305083926</v>
      </c>
      <c r="C3451">
        <v>6.2673744275441399</v>
      </c>
      <c r="D3451">
        <v>5.8773661976600398</v>
      </c>
      <c r="E3451">
        <v>-0.74556476383570702</v>
      </c>
      <c r="F3451">
        <v>1.4744653014881299E-3</v>
      </c>
      <c r="G3451">
        <v>9.1480213551411005E-2</v>
      </c>
      <c r="H3451">
        <v>0.63944559164719905</v>
      </c>
      <c r="I3451">
        <v>-1.13342754065475E-2</v>
      </c>
    </row>
    <row r="3452" spans="1:9" x14ac:dyDescent="0.25">
      <c r="A3452" s="1">
        <v>30.7923927903175</v>
      </c>
      <c r="B3452">
        <v>11.3442625305767</v>
      </c>
      <c r="C3452">
        <v>5.8400752291298499</v>
      </c>
      <c r="D3452">
        <v>5.3337221395432399</v>
      </c>
      <c r="E3452">
        <v>-0.77254258004603604</v>
      </c>
      <c r="F3452">
        <v>2.0385312571718E-3</v>
      </c>
      <c r="G3452">
        <v>8.4385808565599796E-2</v>
      </c>
      <c r="H3452">
        <v>0.61723211764271801</v>
      </c>
      <c r="I3452">
        <v>-1.30011165265048E-2</v>
      </c>
    </row>
    <row r="3453" spans="1:9" x14ac:dyDescent="0.25">
      <c r="A3453" s="1">
        <v>34.551213085651298</v>
      </c>
      <c r="B3453">
        <v>11.7051907817985</v>
      </c>
      <c r="C3453">
        <v>5.4093332538441699</v>
      </c>
      <c r="D3453">
        <v>4.80972976900612</v>
      </c>
      <c r="E3453">
        <v>-0.79251907537829902</v>
      </c>
      <c r="F3453">
        <v>2.6375254494007201E-3</v>
      </c>
      <c r="G3453">
        <v>7.7119401418950601E-2</v>
      </c>
      <c r="H3453">
        <v>0.596089431469776</v>
      </c>
      <c r="I3453">
        <v>-1.3721392249442599E-2</v>
      </c>
    </row>
    <row r="3454" spans="1:9" x14ac:dyDescent="0.25">
      <c r="A3454" s="1">
        <v>38.6483111977577</v>
      </c>
      <c r="B3454">
        <v>12.032757831286901</v>
      </c>
      <c r="C3454">
        <v>4.99130998134547</v>
      </c>
      <c r="D3454">
        <v>4.3189669499121104</v>
      </c>
      <c r="E3454">
        <v>-0.80653321713493198</v>
      </c>
      <c r="F3454">
        <v>3.1392343189298498E-3</v>
      </c>
      <c r="G3454">
        <v>6.9893988429721804E-2</v>
      </c>
      <c r="H3454">
        <v>0.57643790498306002</v>
      </c>
      <c r="I3454">
        <v>-1.36943871874968E-2</v>
      </c>
    </row>
    <row r="3455" spans="1:9" x14ac:dyDescent="0.25">
      <c r="A3455" s="1">
        <v>43.1141293048858</v>
      </c>
      <c r="B3455">
        <v>12.332868649360099</v>
      </c>
      <c r="C3455">
        <v>4.5961506158185497</v>
      </c>
      <c r="D3455">
        <v>3.8690058052460699</v>
      </c>
      <c r="E3455">
        <v>-0.81543903018725405</v>
      </c>
      <c r="F3455">
        <v>3.4956167384733198E-3</v>
      </c>
      <c r="G3455">
        <v>6.2851827856533093E-2</v>
      </c>
      <c r="H3455">
        <v>0.55856784659269898</v>
      </c>
      <c r="I3455">
        <v>-1.3108155769598499E-2</v>
      </c>
    </row>
    <row r="3456" spans="1:9" x14ac:dyDescent="0.25">
      <c r="A3456" s="1">
        <v>47.981887757778097</v>
      </c>
      <c r="B3456">
        <v>12.6105861316587</v>
      </c>
      <c r="C3456">
        <v>4.2295644098327703</v>
      </c>
      <c r="D3456">
        <v>3.4633493749978799</v>
      </c>
      <c r="E3456">
        <v>-0.81995050831044802</v>
      </c>
      <c r="F3456">
        <v>3.6492464585934298E-3</v>
      </c>
      <c r="G3456">
        <v>5.6091400097659998E-2</v>
      </c>
      <c r="H3456">
        <v>0.54250830523917104</v>
      </c>
      <c r="I3456">
        <v>-1.21436947545163E-2</v>
      </c>
    </row>
    <row r="3457" spans="1:9" x14ac:dyDescent="0.25">
      <c r="A3457" s="1">
        <v>53.287820518016801</v>
      </c>
      <c r="B3457">
        <v>12.8701540838148</v>
      </c>
      <c r="C3457">
        <v>3.8937700545334701</v>
      </c>
      <c r="D3457">
        <v>3.1020803277523199</v>
      </c>
      <c r="E3457">
        <v>-0.82060903470205204</v>
      </c>
      <c r="F3457">
        <v>3.5440778633099301E-3</v>
      </c>
      <c r="G3457">
        <v>4.9715032184838498E-2</v>
      </c>
      <c r="H3457">
        <v>0.52825012364852197</v>
      </c>
      <c r="I3457">
        <v>-1.09649658058232E-2</v>
      </c>
    </row>
    <row r="3458" spans="1:9" x14ac:dyDescent="0.25">
      <c r="A3458" s="1">
        <v>59.071175158023799</v>
      </c>
      <c r="B3458">
        <v>13.1151246818866</v>
      </c>
      <c r="C3458">
        <v>3.5887618272197499</v>
      </c>
      <c r="D3458">
        <v>2.7831394155164699</v>
      </c>
      <c r="E3458">
        <v>-0.81782815771783302</v>
      </c>
      <c r="F3458">
        <v>3.1320603792934399E-3</v>
      </c>
      <c r="G3458">
        <v>4.3824329507229601E-2</v>
      </c>
      <c r="H3458">
        <v>0.51569287135315001</v>
      </c>
      <c r="I3458">
        <v>-9.7256990444680308E-3</v>
      </c>
    </row>
    <row r="3459" spans="1:9" x14ac:dyDescent="0.25">
      <c r="A3459" s="1">
        <v>65.375131070613804</v>
      </c>
      <c r="B3459">
        <v>13.348419068303199</v>
      </c>
      <c r="C3459">
        <v>3.3134026272194701</v>
      </c>
      <c r="D3459">
        <v>2.5035782848232002</v>
      </c>
      <c r="E3459">
        <v>-0.81191706978842404</v>
      </c>
      <c r="F3459">
        <v>2.50403645158404E-3</v>
      </c>
      <c r="G3459">
        <v>3.8471475458117098E-2</v>
      </c>
      <c r="H3459">
        <v>0.50444353258864605</v>
      </c>
      <c r="I3459">
        <v>-8.5260989184623194E-3</v>
      </c>
    </row>
    <row r="3460" spans="1:9" x14ac:dyDescent="0.25">
      <c r="A3460" s="1">
        <v>72.246375679969702</v>
      </c>
      <c r="B3460">
        <v>13.5724422752078</v>
      </c>
      <c r="C3460">
        <v>3.0652706075047802</v>
      </c>
      <c r="D3460">
        <v>2.2596245562066599</v>
      </c>
      <c r="E3460">
        <v>-0.80311485414846595</v>
      </c>
      <c r="F3460">
        <v>1.7620225593920199E-3</v>
      </c>
      <c r="G3460">
        <v>3.3682854098816599E-2</v>
      </c>
      <c r="H3460">
        <v>0.49422768170865999</v>
      </c>
      <c r="I3460">
        <v>-7.4281214754588001E-3</v>
      </c>
    </row>
    <row r="3461" spans="1:9" x14ac:dyDescent="0.25">
      <c r="A3461" s="1">
        <v>79.736069738864799</v>
      </c>
      <c r="B3461">
        <v>13.7891772526468</v>
      </c>
      <c r="C3461">
        <v>2.8411622001025898</v>
      </c>
      <c r="D3461">
        <v>2.0466324953150701</v>
      </c>
      <c r="E3461">
        <v>-0.79156110604030505</v>
      </c>
      <c r="F3461">
        <v>1.0926224806560099E-3</v>
      </c>
      <c r="G3461">
        <v>2.9420725177812301E-2</v>
      </c>
      <c r="H3461">
        <v>0.48460319940027902</v>
      </c>
      <c r="I3461">
        <v>-6.4408932052161198E-3</v>
      </c>
    </row>
    <row r="3462" spans="1:9" x14ac:dyDescent="0.25">
      <c r="A3462" s="1">
        <v>87.899753153324099</v>
      </c>
      <c r="B3462">
        <v>14.000207853239299</v>
      </c>
      <c r="C3462">
        <v>2.6375639527852299</v>
      </c>
      <c r="D3462">
        <v>1.86005819163393</v>
      </c>
      <c r="E3462">
        <v>-0.77729904876984302</v>
      </c>
      <c r="F3462">
        <v>7.0404565378553801E-4</v>
      </c>
      <c r="G3462">
        <v>2.5649130474605E-2</v>
      </c>
      <c r="H3462">
        <v>0.47545958837303798</v>
      </c>
      <c r="I3462">
        <v>-5.5727450322335002E-3</v>
      </c>
    </row>
    <row r="3463" spans="1:9" x14ac:dyDescent="0.25">
      <c r="A3463" s="1">
        <v>96.798263192176805</v>
      </c>
      <c r="B3463">
        <v>14.206777338605701</v>
      </c>
      <c r="C3463">
        <v>2.4512554156119002</v>
      </c>
      <c r="D3463">
        <v>1.69595850982758</v>
      </c>
      <c r="E3463">
        <v>-0.76040514963585604</v>
      </c>
      <c r="F3463">
        <v>7.6717427770152196E-4</v>
      </c>
      <c r="G3463">
        <v>2.2323730321909499E-2</v>
      </c>
      <c r="H3463">
        <v>0.46656679146406999</v>
      </c>
      <c r="I3463">
        <v>-4.8141090978051698E-3</v>
      </c>
    </row>
    <row r="3464" spans="1:9" x14ac:dyDescent="0.25">
      <c r="A3464" s="1">
        <v>106.497616767883</v>
      </c>
      <c r="B3464">
        <v>14.4099450930174</v>
      </c>
      <c r="C3464">
        <v>2.2790202876000101</v>
      </c>
      <c r="D3464">
        <v>1.5505534154117599</v>
      </c>
      <c r="E3464">
        <v>-0.74079451362590298</v>
      </c>
      <c r="F3464">
        <v>1.02280257772267E-3</v>
      </c>
      <c r="G3464">
        <v>1.9405248958777901E-2</v>
      </c>
      <c r="H3464">
        <v>0.45788536805624402</v>
      </c>
      <c r="I3464">
        <v>-4.1579177835126798E-3</v>
      </c>
    </row>
    <row r="3465" spans="1:9" x14ac:dyDescent="0.25">
      <c r="A3465" s="1">
        <v>117.06990510225199</v>
      </c>
      <c r="B3465">
        <v>14.6108645289357</v>
      </c>
      <c r="C3465">
        <v>2.11700118219676</v>
      </c>
      <c r="D3465">
        <v>1.4198018634382701</v>
      </c>
      <c r="E3465">
        <v>-0.71822936717346697</v>
      </c>
      <c r="F3465">
        <v>1.2148339001244301E-3</v>
      </c>
      <c r="G3465">
        <v>1.6851627132979202E-2</v>
      </c>
      <c r="H3465">
        <v>0.45003655634153999</v>
      </c>
      <c r="I3465">
        <v>-3.59173191237743E-3</v>
      </c>
    </row>
    <row r="3466" spans="1:9" x14ac:dyDescent="0.25">
      <c r="A3466" s="1">
        <v>128.593670427799</v>
      </c>
      <c r="B3466">
        <v>14.810488465350399</v>
      </c>
      <c r="C3466">
        <v>1.9632659725052299</v>
      </c>
      <c r="D3466">
        <v>1.3011164879192401</v>
      </c>
      <c r="E3466">
        <v>-0.69274393136719903</v>
      </c>
      <c r="F3466">
        <v>1.53735244053169E-3</v>
      </c>
      <c r="G3466">
        <v>1.4588136635716099E-2</v>
      </c>
      <c r="H3466">
        <v>0.44262678620593499</v>
      </c>
      <c r="I3466">
        <v>-3.0865330891410498E-3</v>
      </c>
    </row>
    <row r="3467" spans="1:9" x14ac:dyDescent="0.25">
      <c r="A3467" s="1">
        <v>141.15461230278001</v>
      </c>
      <c r="B3467">
        <v>15.009259879511101</v>
      </c>
      <c r="C3467">
        <v>1.8159795314090099</v>
      </c>
      <c r="D3467">
        <v>1.19205772153709</v>
      </c>
      <c r="E3467">
        <v>-0.66411871613507301</v>
      </c>
      <c r="F3467">
        <v>2.18950412052237E-3</v>
      </c>
      <c r="G3467">
        <v>1.25659347314698E-2</v>
      </c>
      <c r="H3467">
        <v>0.43543680920670003</v>
      </c>
      <c r="I3467">
        <v>-2.6334401001831599E-3</v>
      </c>
    </row>
    <row r="3468" spans="1:9" x14ac:dyDescent="0.25">
      <c r="A3468" s="1">
        <v>154.84601140022201</v>
      </c>
      <c r="B3468">
        <v>15.2069719094004</v>
      </c>
      <c r="C3468">
        <v>1.6737110406114299</v>
      </c>
      <c r="D3468">
        <v>1.0906421877063399</v>
      </c>
      <c r="E3468">
        <v>-0.63217974934618004</v>
      </c>
      <c r="F3468">
        <v>2.31007710979985E-3</v>
      </c>
      <c r="G3468">
        <v>1.07499306276615E-2</v>
      </c>
      <c r="H3468">
        <v>0.42796096640124698</v>
      </c>
      <c r="I3468">
        <v>-2.2255126561980098E-3</v>
      </c>
    </row>
    <row r="3469" spans="1:9" x14ac:dyDescent="0.25">
      <c r="A3469" s="1">
        <v>169.76969480514501</v>
      </c>
      <c r="B3469">
        <v>15.4035702276195</v>
      </c>
      <c r="C3469">
        <v>1.53418844478113</v>
      </c>
      <c r="D3469">
        <v>0.99454649362399405</v>
      </c>
      <c r="E3469">
        <v>-0.59646176378103899</v>
      </c>
      <c r="F3469">
        <v>1.92041630682329E-3</v>
      </c>
      <c r="G3469">
        <v>9.1235166865574098E-3</v>
      </c>
      <c r="H3469">
        <v>0.42048253697125898</v>
      </c>
      <c r="I3469">
        <v>-1.8597609505248099E-3</v>
      </c>
    </row>
    <row r="3470" spans="1:9" x14ac:dyDescent="0.25">
      <c r="A3470" s="1">
        <v>186.03645980358101</v>
      </c>
      <c r="B3470">
        <v>15.599573033970101</v>
      </c>
      <c r="C3470">
        <v>1.39558248257013</v>
      </c>
      <c r="D3470">
        <v>0.90204358922552497</v>
      </c>
      <c r="E3470">
        <v>-0.55648289784741301</v>
      </c>
      <c r="F3470">
        <v>1.74604161309002E-3</v>
      </c>
      <c r="G3470">
        <v>7.6676911238152999E-3</v>
      </c>
      <c r="H3470">
        <v>0.41355216272642498</v>
      </c>
      <c r="I3470">
        <v>-1.53497181632021E-3</v>
      </c>
    </row>
    <row r="3471" spans="1:9" x14ac:dyDescent="0.25">
      <c r="A3471" s="1">
        <v>203.76720398664401</v>
      </c>
      <c r="B3471">
        <v>15.794526903625901</v>
      </c>
      <c r="C3471">
        <v>1.25783134880854</v>
      </c>
      <c r="D3471">
        <v>0.81133994217854899</v>
      </c>
      <c r="E3471">
        <v>-0.51213440410154198</v>
      </c>
      <c r="F3471">
        <v>1.53546029290549E-3</v>
      </c>
      <c r="G3471">
        <v>6.3577869324948902E-3</v>
      </c>
      <c r="H3471">
        <v>0.40624761229463402</v>
      </c>
      <c r="I3471">
        <v>-1.24505605458799E-3</v>
      </c>
    </row>
    <row r="3472" spans="1:9" x14ac:dyDescent="0.25">
      <c r="A3472" s="1">
        <v>223.09376105666101</v>
      </c>
      <c r="B3472">
        <v>15.986770671900601</v>
      </c>
      <c r="C3472">
        <v>1.12004773871924</v>
      </c>
      <c r="D3472">
        <v>0.72173374266416701</v>
      </c>
      <c r="E3472">
        <v>-0.46295715378493901</v>
      </c>
      <c r="F3472">
        <v>1.22899015109137E-3</v>
      </c>
      <c r="G3472">
        <v>5.1684864249307502E-3</v>
      </c>
      <c r="H3472">
        <v>0.39883716997104901</v>
      </c>
      <c r="I3472">
        <v>-9.7991908087635693E-4</v>
      </c>
    </row>
    <row r="3473" spans="1:9" x14ac:dyDescent="0.25">
      <c r="A3473" s="1">
        <v>244.15970131754801</v>
      </c>
      <c r="B3473">
        <v>16.174908542555102</v>
      </c>
      <c r="C3473">
        <v>0.981313087271385</v>
      </c>
      <c r="D3473">
        <v>0.63138160633956897</v>
      </c>
      <c r="E3473">
        <v>-0.40834922380355798</v>
      </c>
      <c r="F3473">
        <v>4.4938888250570198E-4</v>
      </c>
      <c r="G3473">
        <v>4.1000138372337099E-3</v>
      </c>
      <c r="H3473">
        <v>0.39196375373471198</v>
      </c>
      <c r="I3473">
        <v>-7.4357511512150695E-4</v>
      </c>
    </row>
    <row r="3474" spans="1:9" x14ac:dyDescent="0.25">
      <c r="A3474" s="1">
        <v>267.12157949805197</v>
      </c>
      <c r="B3474">
        <v>16.356084148135299</v>
      </c>
      <c r="C3474">
        <v>0.84252829065674395</v>
      </c>
      <c r="D3474">
        <v>0.54096988251281697</v>
      </c>
      <c r="E3474">
        <v>-0.34794764821417001</v>
      </c>
      <c r="F3474">
        <v>-5.6115455082738199E-4</v>
      </c>
      <c r="G3474">
        <v>3.1627450792841801E-3</v>
      </c>
      <c r="H3474">
        <v>0.38608634423043697</v>
      </c>
      <c r="I3474">
        <v>-5.4394936384691696E-4</v>
      </c>
    </row>
    <row r="3475" spans="1:9" x14ac:dyDescent="0.25">
      <c r="A3475" s="1">
        <v>292.15002954006098</v>
      </c>
      <c r="B3475">
        <v>16.5255313041772</v>
      </c>
      <c r="C3475">
        <v>0.70412598506461099</v>
      </c>
      <c r="D3475">
        <v>0.44970478153190602</v>
      </c>
      <c r="E3475">
        <v>-0.28124404446998502</v>
      </c>
      <c r="F3475">
        <v>-1.13724210947659E-3</v>
      </c>
      <c r="G3475">
        <v>2.3617900933823998E-3</v>
      </c>
      <c r="H3475">
        <v>0.38244381152881901</v>
      </c>
      <c r="I3475">
        <v>-3.8244133199688698E-4</v>
      </c>
    </row>
    <row r="3476" spans="1:9" x14ac:dyDescent="0.25">
      <c r="A3476" s="1">
        <v>319.43101242184599</v>
      </c>
      <c r="B3476">
        <v>16.673748984482401</v>
      </c>
      <c r="C3476">
        <v>0.57342507576464796</v>
      </c>
      <c r="D3476">
        <v>0.36181253744601999</v>
      </c>
      <c r="E3476">
        <v>-0.20790671028741101</v>
      </c>
      <c r="F3476">
        <v>-8.7438572053403303E-4</v>
      </c>
      <c r="G3476">
        <v>1.7141033968816801E-3</v>
      </c>
      <c r="H3476">
        <v>0.38234723261933401</v>
      </c>
      <c r="I3476">
        <v>-2.6369861758405799E-4</v>
      </c>
    </row>
    <row r="3477" spans="1:9" x14ac:dyDescent="0.25">
      <c r="A3477" s="1">
        <v>349.16732590645501</v>
      </c>
      <c r="B3477">
        <v>16.788737102519999</v>
      </c>
      <c r="C3477">
        <v>0.46477605794329102</v>
      </c>
      <c r="D3477">
        <v>0.28673417920726602</v>
      </c>
      <c r="E3477">
        <v>-0.12662741692170201</v>
      </c>
      <c r="F3477">
        <v>-1.0199067877562299E-3</v>
      </c>
      <c r="G3477">
        <v>1.2668447703412401E-3</v>
      </c>
      <c r="H3477">
        <v>0.38695917895490201</v>
      </c>
      <c r="I3477">
        <v>-1.9316542270765501E-4</v>
      </c>
    </row>
    <row r="3478" spans="1:9" x14ac:dyDescent="0.25">
      <c r="A3478" s="1">
        <v>379.83785875141598</v>
      </c>
      <c r="B3478">
        <v>16.849468865540199</v>
      </c>
      <c r="C3478">
        <v>0.40268056827398502</v>
      </c>
      <c r="D3478">
        <v>0.24291907160505199</v>
      </c>
      <c r="E3478">
        <v>-4.1871099135002303E-2</v>
      </c>
      <c r="F3478">
        <v>-1.3624077199010901E-3</v>
      </c>
      <c r="G3478">
        <v>1.0340382274891501E-3</v>
      </c>
      <c r="H3478">
        <v>0.40784052449186903</v>
      </c>
      <c r="I3478">
        <v>-1.53161169357267E-4</v>
      </c>
    </row>
    <row r="3479" spans="1:9" x14ac:dyDescent="0.25">
      <c r="A3479" s="1" t="s">
        <v>570</v>
      </c>
      <c r="B3479" s="1" t="s">
        <v>614</v>
      </c>
      <c r="C3479" s="1" t="s">
        <v>615</v>
      </c>
      <c r="D3479" s="1" t="s">
        <v>616</v>
      </c>
      <c r="E3479" s="1" t="s">
        <v>617</v>
      </c>
      <c r="F3479" s="1" t="s">
        <v>618</v>
      </c>
      <c r="G3479" s="1" t="s">
        <v>400</v>
      </c>
      <c r="H3479" s="1" t="s">
        <v>619</v>
      </c>
      <c r="I3479" s="1" t="s">
        <v>613</v>
      </c>
    </row>
    <row r="3480" spans="1:9" x14ac:dyDescent="0.25">
      <c r="A3480" s="1">
        <v>-141.555516719818</v>
      </c>
      <c r="B3480">
        <v>-318.788040059217</v>
      </c>
      <c r="C3480">
        <v>1.5847319864328499E-3</v>
      </c>
      <c r="D3480">
        <v>0</v>
      </c>
      <c r="E3480">
        <v>0</v>
      </c>
      <c r="F3480">
        <v>0</v>
      </c>
      <c r="G3480" s="1">
        <v>1.6836892988120101E-8</v>
      </c>
      <c r="H3480">
        <v>8.9940320054275005E-2</v>
      </c>
      <c r="I3480">
        <v>0</v>
      </c>
    </row>
    <row r="3481" spans="1:9" x14ac:dyDescent="0.25">
      <c r="A3481" s="1">
        <v>-128.95890593528699</v>
      </c>
      <c r="B3481">
        <v>-290.49138886273698</v>
      </c>
      <c r="C3481">
        <v>1.63645634482665E-3</v>
      </c>
      <c r="D3481">
        <v>0</v>
      </c>
      <c r="E3481">
        <v>0</v>
      </c>
      <c r="F3481">
        <v>0</v>
      </c>
      <c r="G3481" s="1">
        <v>2.9666124941346501E-8</v>
      </c>
      <c r="H3481">
        <v>0.44319525791376502</v>
      </c>
      <c r="I3481">
        <v>0</v>
      </c>
    </row>
    <row r="3482" spans="1:9" x14ac:dyDescent="0.25">
      <c r="A3482" s="1">
        <v>-117.402367591857</v>
      </c>
      <c r="B3482">
        <v>-264.518863775738</v>
      </c>
      <c r="C3482">
        <v>1.75167110794445E-3</v>
      </c>
      <c r="D3482">
        <v>0</v>
      </c>
      <c r="E3482">
        <v>0</v>
      </c>
      <c r="F3482">
        <v>0</v>
      </c>
      <c r="G3482" s="1">
        <v>5.45888037529751E-8</v>
      </c>
      <c r="H3482">
        <v>0.64786956056766498</v>
      </c>
      <c r="I3482">
        <v>0</v>
      </c>
    </row>
    <row r="3483" spans="1:9" x14ac:dyDescent="0.25">
      <c r="A3483" s="1">
        <v>-106.80001378059301</v>
      </c>
      <c r="B3483">
        <v>-240.680552929052</v>
      </c>
      <c r="C3483">
        <v>1.9550978966596101E-3</v>
      </c>
      <c r="D3483">
        <v>0</v>
      </c>
      <c r="E3483">
        <v>0</v>
      </c>
      <c r="F3483">
        <v>0</v>
      </c>
      <c r="G3483" s="1">
        <v>9.3361707973138599E-8</v>
      </c>
      <c r="H3483">
        <v>0.74145288127883702</v>
      </c>
      <c r="I3483">
        <v>0</v>
      </c>
    </row>
    <row r="3484" spans="1:9" x14ac:dyDescent="0.25">
      <c r="A3484" s="1">
        <v>-97.073161005973802</v>
      </c>
      <c r="B3484">
        <v>-218.80187313795901</v>
      </c>
      <c r="C3484">
        <v>2.2779952881561002E-3</v>
      </c>
      <c r="D3484">
        <v>0</v>
      </c>
      <c r="E3484">
        <v>0</v>
      </c>
      <c r="F3484">
        <v>0</v>
      </c>
      <c r="G3484" s="1">
        <v>1.51013646111808E-7</v>
      </c>
      <c r="H3484">
        <v>0.78623345932659605</v>
      </c>
      <c r="I3484">
        <v>0</v>
      </c>
    </row>
    <row r="3485" spans="1:9" x14ac:dyDescent="0.25">
      <c r="A3485" s="1">
        <v>-88.149435520172105</v>
      </c>
      <c r="B3485">
        <v>-198.722383057483</v>
      </c>
      <c r="C3485">
        <v>2.7571998164389599E-3</v>
      </c>
      <c r="D3485">
        <v>0</v>
      </c>
      <c r="E3485">
        <v>0</v>
      </c>
      <c r="F3485">
        <v>0</v>
      </c>
      <c r="G3485" s="1">
        <v>2.3660135058833899E-7</v>
      </c>
      <c r="H3485">
        <v>0.80969170859288397</v>
      </c>
      <c r="I3485">
        <v>0</v>
      </c>
    </row>
    <row r="3486" spans="1:9" x14ac:dyDescent="0.25">
      <c r="A3486" s="1">
        <v>-79.962490797042804</v>
      </c>
      <c r="B3486">
        <v>-180.29467991829699</v>
      </c>
      <c r="C3486">
        <v>3.4368228034532301E-3</v>
      </c>
      <c r="D3486">
        <v>0</v>
      </c>
      <c r="E3486">
        <v>0</v>
      </c>
      <c r="F3486">
        <v>0</v>
      </c>
      <c r="G3486" s="1">
        <v>3.6438971686836301E-7</v>
      </c>
      <c r="H3486">
        <v>0.82372857124571897</v>
      </c>
      <c r="I3486">
        <v>0</v>
      </c>
    </row>
    <row r="3487" spans="1:9" x14ac:dyDescent="0.25">
      <c r="A3487" s="1">
        <v>-72.451583743095298</v>
      </c>
      <c r="B3487">
        <v>-163.383354769059</v>
      </c>
      <c r="C3487">
        <v>4.3710344474912604E-3</v>
      </c>
      <c r="D3487">
        <v>0</v>
      </c>
      <c r="E3487">
        <v>0</v>
      </c>
      <c r="F3487">
        <v>0</v>
      </c>
      <c r="G3487" s="1">
        <v>5.5574975204875097E-7</v>
      </c>
      <c r="H3487">
        <v>0.83372022522698597</v>
      </c>
      <c r="I3487">
        <v>0</v>
      </c>
    </row>
    <row r="3488" spans="1:9" x14ac:dyDescent="0.25">
      <c r="A3488" s="1">
        <v>-65.560821294784503</v>
      </c>
      <c r="B3488">
        <v>-147.86403129936099</v>
      </c>
      <c r="C3488">
        <v>5.6271949621145897E-3</v>
      </c>
      <c r="D3488">
        <v>0</v>
      </c>
      <c r="E3488">
        <v>0</v>
      </c>
      <c r="F3488">
        <v>0</v>
      </c>
      <c r="G3488" s="1">
        <v>8.4212844208208998E-7</v>
      </c>
      <c r="H3488">
        <v>0.84209933913381196</v>
      </c>
      <c r="I3488">
        <v>0</v>
      </c>
    </row>
    <row r="3489" spans="1:9" x14ac:dyDescent="0.25">
      <c r="A3489" s="1">
        <v>-59.238972067832897</v>
      </c>
      <c r="B3489">
        <v>-133.62245481104401</v>
      </c>
      <c r="C3489">
        <v>7.2891472248966197E-3</v>
      </c>
      <c r="D3489">
        <v>0</v>
      </c>
      <c r="E3489">
        <v>0</v>
      </c>
      <c r="F3489">
        <v>0</v>
      </c>
      <c r="G3489" s="1">
        <v>1.26962915830586E-6</v>
      </c>
      <c r="H3489">
        <v>0.84992614454947801</v>
      </c>
      <c r="I3489">
        <v>0</v>
      </c>
    </row>
    <row r="3490" spans="1:9" x14ac:dyDescent="0.25">
      <c r="A3490" s="1">
        <v>-53.439136743545497</v>
      </c>
      <c r="B3490">
        <v>-120.553698202379</v>
      </c>
      <c r="C3490">
        <v>9.4608473952452893E-3</v>
      </c>
      <c r="D3490">
        <v>0</v>
      </c>
      <c r="E3490">
        <v>0</v>
      </c>
      <c r="F3490">
        <v>0</v>
      </c>
      <c r="G3490" s="1">
        <v>1.9060378998450001E-6</v>
      </c>
      <c r="H3490">
        <v>0.85763199815520397</v>
      </c>
      <c r="I3490">
        <v>0</v>
      </c>
    </row>
    <row r="3491" spans="1:9" x14ac:dyDescent="0.25">
      <c r="A3491" s="1">
        <v>-48.118183016777003</v>
      </c>
      <c r="B3491">
        <v>-108.561409742542</v>
      </c>
      <c r="C3491">
        <v>1.22707963750395E-2</v>
      </c>
      <c r="D3491">
        <v>0</v>
      </c>
      <c r="E3491">
        <v>0</v>
      </c>
      <c r="F3491">
        <v>0</v>
      </c>
      <c r="G3491" s="1">
        <v>2.8514568813147099E-6</v>
      </c>
      <c r="H3491">
        <v>0.86536495179051298</v>
      </c>
      <c r="I3491">
        <v>0</v>
      </c>
    </row>
    <row r="3492" spans="1:9" x14ac:dyDescent="0.25">
      <c r="A3492" s="1">
        <v>-43.236604332923797</v>
      </c>
      <c r="B3492">
        <v>-97.557123531558503</v>
      </c>
      <c r="C3492">
        <v>1.5877803585572899E-2</v>
      </c>
      <c r="D3492">
        <v>0</v>
      </c>
      <c r="E3492">
        <v>0</v>
      </c>
      <c r="F3492">
        <v>0</v>
      </c>
      <c r="G3492" s="1">
        <v>4.2540906446930602E-6</v>
      </c>
      <c r="H3492">
        <v>0.87313915720441804</v>
      </c>
      <c r="I3492">
        <v>0</v>
      </c>
    </row>
    <row r="3493" spans="1:9" x14ac:dyDescent="0.25">
      <c r="A3493" s="1">
        <v>-38.758049011230398</v>
      </c>
      <c r="B3493">
        <v>-87.459607571520806</v>
      </c>
      <c r="C3493">
        <v>2.0478553339400199E-2</v>
      </c>
      <c r="D3493">
        <v>0</v>
      </c>
      <c r="E3493">
        <v>0</v>
      </c>
      <c r="F3493">
        <v>0</v>
      </c>
      <c r="G3493" s="1">
        <v>6.3334208588043902E-6</v>
      </c>
      <c r="H3493">
        <v>0.88090111731287002</v>
      </c>
      <c r="I3493">
        <v>0</v>
      </c>
    </row>
    <row r="3494" spans="1:9" x14ac:dyDescent="0.25">
      <c r="A3494" s="1">
        <v>-34.649320244789102</v>
      </c>
      <c r="B3494">
        <v>-78.194282881327894</v>
      </c>
      <c r="C3494">
        <v>2.6317252956413802E-2</v>
      </c>
      <c r="D3494">
        <v>0</v>
      </c>
      <c r="E3494">
        <v>0</v>
      </c>
      <c r="F3494">
        <v>0</v>
      </c>
      <c r="G3494" s="1">
        <v>9.4143185162653903E-6</v>
      </c>
      <c r="H3494">
        <v>0.88856892519125297</v>
      </c>
      <c r="I3494">
        <v>0</v>
      </c>
    </row>
    <row r="3495" spans="1:9" x14ac:dyDescent="0.25">
      <c r="A3495" s="1">
        <v>-30.879811048507602</v>
      </c>
      <c r="B3495">
        <v>-69.692678133183094</v>
      </c>
      <c r="C3495">
        <v>3.3697719734099803E-2</v>
      </c>
      <c r="D3495">
        <v>0</v>
      </c>
      <c r="E3495">
        <v>0</v>
      </c>
      <c r="F3495">
        <v>0</v>
      </c>
      <c r="G3495" s="1">
        <v>1.3977826012244E-5</v>
      </c>
      <c r="H3495">
        <v>0.89606146801801001</v>
      </c>
      <c r="I3495">
        <v>0</v>
      </c>
    </row>
    <row r="3496" spans="1:9" x14ac:dyDescent="0.25">
      <c r="A3496" s="1">
        <v>-27.4215984344482</v>
      </c>
      <c r="B3496">
        <v>-61.891946974554102</v>
      </c>
      <c r="C3496">
        <v>4.2998411979164201E-2</v>
      </c>
      <c r="D3496">
        <v>0</v>
      </c>
      <c r="E3496">
        <v>0</v>
      </c>
      <c r="F3496">
        <v>0</v>
      </c>
      <c r="G3496" s="1">
        <v>2.0737726027817799E-5</v>
      </c>
      <c r="H3496">
        <v>0.90331700112378199</v>
      </c>
      <c r="I3496">
        <v>0</v>
      </c>
    </row>
    <row r="3497" spans="1:9" x14ac:dyDescent="0.25">
      <c r="A3497" s="1">
        <v>-24.248878359794599</v>
      </c>
      <c r="B3497">
        <v>-54.734393708192698</v>
      </c>
      <c r="C3497">
        <v>5.4691477106950402E-2</v>
      </c>
      <c r="D3497">
        <v>0</v>
      </c>
      <c r="E3497">
        <v>0</v>
      </c>
      <c r="F3497">
        <v>0</v>
      </c>
      <c r="G3497" s="1">
        <v>3.0757702530195202E-5</v>
      </c>
      <c r="H3497">
        <v>0.91030074216019297</v>
      </c>
      <c r="I3497">
        <v>0</v>
      </c>
    </row>
    <row r="3498" spans="1:9" x14ac:dyDescent="0.25">
      <c r="A3498" s="1">
        <v>-21.3381540775299</v>
      </c>
      <c r="B3498">
        <v>-48.1670574785852</v>
      </c>
      <c r="C3498">
        <v>6.9367240777588199E-2</v>
      </c>
      <c r="D3498">
        <v>0</v>
      </c>
      <c r="E3498">
        <v>0</v>
      </c>
      <c r="F3498">
        <v>0</v>
      </c>
      <c r="G3498" s="1">
        <v>4.5634640002866401E-5</v>
      </c>
      <c r="H3498">
        <v>0.91700564998102996</v>
      </c>
      <c r="I3498">
        <v>0</v>
      </c>
    </row>
    <row r="3499" spans="1:9" x14ac:dyDescent="0.25">
      <c r="A3499" s="1">
        <v>-18.6677181720733</v>
      </c>
      <c r="B3499">
        <v>-42.141329368268103</v>
      </c>
      <c r="C3499">
        <v>8.7766533449882E-2</v>
      </c>
      <c r="D3499">
        <v>0</v>
      </c>
      <c r="E3499">
        <v>0</v>
      </c>
      <c r="F3499">
        <v>0</v>
      </c>
      <c r="G3499" s="1">
        <v>6.77950778814988E-5</v>
      </c>
      <c r="H3499">
        <v>0.92345101377842898</v>
      </c>
      <c r="I3499">
        <v>0</v>
      </c>
    </row>
    <row r="3500" spans="1:9" x14ac:dyDescent="0.25">
      <c r="A3500" s="1">
        <v>-16.2178409099578</v>
      </c>
      <c r="B3500">
        <v>-36.612594176543801</v>
      </c>
      <c r="C3500">
        <v>0.110825012252823</v>
      </c>
      <c r="D3500">
        <v>0</v>
      </c>
      <c r="E3500">
        <v>0</v>
      </c>
      <c r="F3500">
        <v>0</v>
      </c>
      <c r="G3500" s="1">
        <v>1.00996260068129E-4</v>
      </c>
      <c r="H3500">
        <v>0.92968117704334396</v>
      </c>
      <c r="I3500">
        <v>0</v>
      </c>
    </row>
    <row r="3501" spans="1:9" x14ac:dyDescent="0.25">
      <c r="A3501" s="1">
        <v>-13.9702051877975</v>
      </c>
      <c r="B3501">
        <v>-31.539899884275101</v>
      </c>
      <c r="C3501">
        <v>0.13973704510543</v>
      </c>
      <c r="D3501">
        <v>0</v>
      </c>
      <c r="E3501">
        <v>0</v>
      </c>
      <c r="F3501">
        <v>0</v>
      </c>
      <c r="G3501">
        <v>1.51218002607635E-4</v>
      </c>
      <c r="H3501">
        <v>0.93576429825177898</v>
      </c>
      <c r="I3501">
        <v>0</v>
      </c>
    </row>
    <row r="3502" spans="1:9" x14ac:dyDescent="0.25">
      <c r="A3502" s="1">
        <v>-11.908189058303799</v>
      </c>
      <c r="B3502">
        <v>-26.885664599359899</v>
      </c>
      <c r="C3502">
        <v>0.17605343924747899</v>
      </c>
      <c r="D3502">
        <v>0</v>
      </c>
      <c r="E3502">
        <v>0</v>
      </c>
      <c r="F3502">
        <v>0</v>
      </c>
      <c r="G3502">
        <v>2.2834097365705399E-4</v>
      </c>
      <c r="H3502">
        <v>0.94178943021522399</v>
      </c>
      <c r="I3502">
        <v>0</v>
      </c>
    </row>
    <row r="3503" spans="1:9" x14ac:dyDescent="0.25">
      <c r="A3503" s="1">
        <v>-10.016394853591899</v>
      </c>
      <c r="B3503">
        <v>-22.615394210972799</v>
      </c>
      <c r="C3503">
        <v>0.22184000029263401</v>
      </c>
      <c r="D3503">
        <v>0</v>
      </c>
      <c r="E3503">
        <v>0</v>
      </c>
      <c r="F3503">
        <v>0</v>
      </c>
      <c r="G3503">
        <v>3.4948300243465202E-4</v>
      </c>
      <c r="H3503">
        <v>0.94785760695397103</v>
      </c>
      <c r="I3503">
        <v>0</v>
      </c>
    </row>
    <row r="3504" spans="1:9" x14ac:dyDescent="0.25">
      <c r="A3504" s="1">
        <v>-8.2808375358581507</v>
      </c>
      <c r="B3504">
        <v>-18.697437002108401</v>
      </c>
      <c r="C3504">
        <v>0.279948591534041</v>
      </c>
      <c r="D3504">
        <v>0</v>
      </c>
      <c r="E3504">
        <v>0</v>
      </c>
      <c r="F3504">
        <v>0</v>
      </c>
      <c r="G3504">
        <v>5.4596655783518597E-4</v>
      </c>
      <c r="H3504">
        <v>0.95405965046213703</v>
      </c>
      <c r="I3504">
        <v>0</v>
      </c>
    </row>
    <row r="3505" spans="1:9" x14ac:dyDescent="0.25">
      <c r="A3505" s="1">
        <v>-6.6885209083557102</v>
      </c>
      <c r="B3505">
        <v>-15.1027424411559</v>
      </c>
      <c r="C3505">
        <v>0.354501685761</v>
      </c>
      <c r="D3505">
        <v>0</v>
      </c>
      <c r="E3505">
        <v>0</v>
      </c>
      <c r="F3505">
        <v>0</v>
      </c>
      <c r="G3505">
        <v>8.7851662796151696E-4</v>
      </c>
      <c r="H3505">
        <v>0.96043455774294895</v>
      </c>
      <c r="I3505">
        <v>0</v>
      </c>
    </row>
    <row r="3506" spans="1:9" x14ac:dyDescent="0.25">
      <c r="A3506" s="1">
        <v>-5.2277201414108196</v>
      </c>
      <c r="B3506">
        <v>-11.804657715343801</v>
      </c>
      <c r="C3506">
        <v>0.45179289484021701</v>
      </c>
      <c r="D3506">
        <v>0</v>
      </c>
      <c r="E3506">
        <v>0</v>
      </c>
      <c r="F3506">
        <v>0</v>
      </c>
      <c r="G3506">
        <v>1.4719168738742999E-3</v>
      </c>
      <c r="H3506">
        <v>0.96691768115500498</v>
      </c>
      <c r="I3506">
        <v>0</v>
      </c>
    </row>
    <row r="3507" spans="1:9" x14ac:dyDescent="0.25">
      <c r="A3507" s="1">
        <v>-3.88755798339843</v>
      </c>
      <c r="B3507">
        <v>-8.7787198239648792</v>
      </c>
      <c r="C3507">
        <v>0.58202479303318999</v>
      </c>
      <c r="D3507">
        <v>0</v>
      </c>
      <c r="E3507">
        <v>0</v>
      </c>
      <c r="F3507">
        <v>0</v>
      </c>
      <c r="G3507">
        <v>2.5985595421254802E-3</v>
      </c>
      <c r="H3507">
        <v>0.97331401433109599</v>
      </c>
      <c r="I3507">
        <v>0</v>
      </c>
    </row>
    <row r="3508" spans="1:9" x14ac:dyDescent="0.25">
      <c r="A3508" s="1">
        <v>-2.6580518484115601</v>
      </c>
      <c r="B3508">
        <v>-6.0024831933612104</v>
      </c>
      <c r="C3508">
        <v>0.76282716198592404</v>
      </c>
      <c r="D3508">
        <v>0</v>
      </c>
      <c r="E3508">
        <v>0</v>
      </c>
      <c r="F3508">
        <v>0</v>
      </c>
      <c r="G3508">
        <v>4.8963171706773202E-3</v>
      </c>
      <c r="H3508">
        <v>0.97933884657741199</v>
      </c>
      <c r="I3508">
        <v>0</v>
      </c>
    </row>
    <row r="3509" spans="1:9" x14ac:dyDescent="0.25">
      <c r="A3509" s="1">
        <v>-1.5300196409225399</v>
      </c>
      <c r="B3509">
        <v>-3.4553535604560901</v>
      </c>
      <c r="C3509">
        <v>1.0268898934445001</v>
      </c>
      <c r="D3509">
        <v>0</v>
      </c>
      <c r="E3509">
        <v>0</v>
      </c>
      <c r="F3509">
        <v>0</v>
      </c>
      <c r="G3509">
        <v>1.00032234746859E-2</v>
      </c>
      <c r="H3509">
        <v>0.98472115315906295</v>
      </c>
      <c r="I3509">
        <v>0</v>
      </c>
    </row>
    <row r="3510" spans="1:9" x14ac:dyDescent="0.25">
      <c r="A3510" s="1">
        <v>-0.49517393112182601</v>
      </c>
      <c r="B3510">
        <v>-1.11843334861939</v>
      </c>
      <c r="C3510">
        <v>1.4402979507215601</v>
      </c>
      <c r="D3510">
        <v>0</v>
      </c>
      <c r="E3510">
        <v>0</v>
      </c>
      <c r="F3510">
        <v>0</v>
      </c>
      <c r="G3510">
        <v>2.2952264379011399E-2</v>
      </c>
      <c r="H3510">
        <v>0.98941247640867203</v>
      </c>
      <c r="I3510">
        <v>0</v>
      </c>
    </row>
    <row r="3511" spans="1:9" x14ac:dyDescent="0.25">
      <c r="A3511" s="1">
        <v>0.49376130104064903</v>
      </c>
      <c r="B3511">
        <v>0.35236186443919398</v>
      </c>
      <c r="C3511">
        <v>1.8827934952846299</v>
      </c>
      <c r="D3511">
        <v>0.19988912810352699</v>
      </c>
      <c r="E3511">
        <v>-3.0732359012361E-4</v>
      </c>
      <c r="F3511" s="1">
        <v>4.6807067624395403E-5</v>
      </c>
      <c r="G3511">
        <v>4.5667588717390399E-2</v>
      </c>
      <c r="H3511">
        <v>0.92347373042022896</v>
      </c>
      <c r="I3511" s="1">
        <v>6.3019613603577304E-7</v>
      </c>
    </row>
    <row r="3512" spans="1:9" x14ac:dyDescent="0.25">
      <c r="A3512" s="1">
        <v>1.5257111191749499</v>
      </c>
      <c r="B3512">
        <v>1.08815543412322</v>
      </c>
      <c r="C3512">
        <v>2.2022194952874399</v>
      </c>
      <c r="D3512">
        <v>0.71753932315344704</v>
      </c>
      <c r="E3512">
        <v>-3.0633872569093201E-3</v>
      </c>
      <c r="F3512">
        <v>1.9258904103618699E-4</v>
      </c>
      <c r="G3512">
        <v>6.0392224720074099E-2</v>
      </c>
      <c r="H3512">
        <v>0.92848750726436302</v>
      </c>
      <c r="I3512" s="1">
        <v>2.35086122731486E-5</v>
      </c>
    </row>
    <row r="3513" spans="1:9" x14ac:dyDescent="0.25">
      <c r="A3513" s="1">
        <v>2.6505178213119498</v>
      </c>
      <c r="B3513">
        <v>1.8846327079748499</v>
      </c>
      <c r="C3513">
        <v>2.6471065565635299</v>
      </c>
      <c r="D3513">
        <v>1.44089717199426</v>
      </c>
      <c r="E3513">
        <v>-1.2864497499985699E-2</v>
      </c>
      <c r="F3513">
        <v>4.2143010025341297E-4</v>
      </c>
      <c r="G3513">
        <v>7.5485315505294401E-2</v>
      </c>
      <c r="H3513">
        <v>0.92673284566941405</v>
      </c>
      <c r="I3513">
        <v>1.27937102870907E-4</v>
      </c>
    </row>
    <row r="3514" spans="1:9" x14ac:dyDescent="0.25">
      <c r="A3514" s="1">
        <v>3.8765159249305698</v>
      </c>
      <c r="B3514">
        <v>2.7381997196292298</v>
      </c>
      <c r="C3514">
        <v>3.24910264585648</v>
      </c>
      <c r="D3514">
        <v>2.3982508483546798</v>
      </c>
      <c r="E3514">
        <v>-3.4383957617677298E-2</v>
      </c>
      <c r="F3514">
        <v>7.2851705394124603E-4</v>
      </c>
      <c r="G3514">
        <v>8.8081942970041599E-2</v>
      </c>
      <c r="H3514">
        <v>0.91758285022774499</v>
      </c>
      <c r="I3514">
        <v>3.1805173757923398E-4</v>
      </c>
    </row>
    <row r="3515" spans="1:9" x14ac:dyDescent="0.25">
      <c r="A3515" s="1">
        <v>5.2129346132278398</v>
      </c>
      <c r="B3515">
        <v>3.6385259053026999</v>
      </c>
      <c r="C3515">
        <v>4.0125595910782703</v>
      </c>
      <c r="D3515">
        <v>3.5632093693644502</v>
      </c>
      <c r="E3515">
        <v>-7.2611382086048198E-2</v>
      </c>
      <c r="F3515">
        <v>1.0753467328629099E-3</v>
      </c>
      <c r="G3515">
        <v>9.5448056862613206E-2</v>
      </c>
      <c r="H3515">
        <v>0.89970318605524102</v>
      </c>
      <c r="I3515">
        <v>6.3993699557265895E-4</v>
      </c>
    </row>
    <row r="3516" spans="1:9" x14ac:dyDescent="0.25">
      <c r="A3516" s="1">
        <v>6.6695916652679399</v>
      </c>
      <c r="B3516">
        <v>4.5670647269403304</v>
      </c>
      <c r="C3516">
        <v>4.8902859975259299</v>
      </c>
      <c r="D3516">
        <v>4.8267478374330404</v>
      </c>
      <c r="E3516">
        <v>-0.130209999368779</v>
      </c>
      <c r="F3516">
        <v>1.3890604392495099E-3</v>
      </c>
      <c r="G3516">
        <v>9.7712283178167894E-2</v>
      </c>
      <c r="H3516">
        <v>0.87297847724744104</v>
      </c>
      <c r="I3516">
        <v>1.48492833869045E-3</v>
      </c>
    </row>
    <row r="3517" spans="1:9" x14ac:dyDescent="0.25">
      <c r="A3517" s="1">
        <v>8.2573878765106201</v>
      </c>
      <c r="B3517">
        <v>5.4981109669720496</v>
      </c>
      <c r="C3517">
        <v>5.7797905808649297</v>
      </c>
      <c r="D3517">
        <v>6.0140433920258198</v>
      </c>
      <c r="E3517">
        <v>-0.20545135605993201</v>
      </c>
      <c r="F3517">
        <v>1.5855856756075799E-3</v>
      </c>
      <c r="G3517">
        <v>9.8062894747742199E-2</v>
      </c>
      <c r="H3517">
        <v>0.84060034539362205</v>
      </c>
      <c r="I3517">
        <v>3.8425634220058901E-3</v>
      </c>
    </row>
    <row r="3518" spans="1:9" x14ac:dyDescent="0.25">
      <c r="A3518" s="1">
        <v>9.9880245327949506</v>
      </c>
      <c r="B3518">
        <v>6.4030424444293397</v>
      </c>
      <c r="C3518">
        <v>6.5554294395277202</v>
      </c>
      <c r="D3518">
        <v>6.9519123947526698</v>
      </c>
      <c r="E3518">
        <v>-0.29210908986735701</v>
      </c>
      <c r="F3518">
        <v>1.5976179128033899E-3</v>
      </c>
      <c r="G3518">
        <v>9.9895264956854996E-2</v>
      </c>
      <c r="H3518">
        <v>0.80842914228001705</v>
      </c>
      <c r="I3518">
        <v>7.8907329132963701E-3</v>
      </c>
    </row>
    <row r="3519" spans="1:9" x14ac:dyDescent="0.25">
      <c r="A3519" s="1">
        <v>11.874474287032999</v>
      </c>
      <c r="B3519">
        <v>7.25660527705306</v>
      </c>
      <c r="C3519">
        <v>7.1190508132847503</v>
      </c>
      <c r="D3519">
        <v>7.5396161768501697</v>
      </c>
      <c r="E3519">
        <v>-0.38191091547586498</v>
      </c>
      <c r="F3519">
        <v>1.4208391798515099E-3</v>
      </c>
      <c r="G3519">
        <v>0.103752601349254</v>
      </c>
      <c r="H3519">
        <v>0.78017940078352999</v>
      </c>
      <c r="I3519">
        <v>1.0946961330802699E-2</v>
      </c>
    </row>
    <row r="3520" spans="1:9" x14ac:dyDescent="0.25">
      <c r="A3520" s="1">
        <v>13.9306750893592</v>
      </c>
      <c r="B3520">
        <v>8.0419328971123107</v>
      </c>
      <c r="C3520">
        <v>7.4304367046349</v>
      </c>
      <c r="D3520">
        <v>7.7691681764415597</v>
      </c>
      <c r="E3520">
        <v>-0.46760907901820797</v>
      </c>
      <c r="F3520">
        <v>1.12541903358986E-3</v>
      </c>
      <c r="G3520">
        <v>0.10763349443513701</v>
      </c>
      <c r="H3520">
        <v>0.75542786782812399</v>
      </c>
      <c r="I3520">
        <v>1.02406570226208E-2</v>
      </c>
    </row>
    <row r="3521" spans="1:9" x14ac:dyDescent="0.25">
      <c r="A3521" s="1">
        <v>16.171883344650201</v>
      </c>
      <c r="B3521">
        <v>8.7517496122335796</v>
      </c>
      <c r="C3521">
        <v>7.5025868009801302</v>
      </c>
      <c r="D3521">
        <v>7.6971765553735496</v>
      </c>
      <c r="E3521">
        <v>-0.54454275104959404</v>
      </c>
      <c r="F3521">
        <v>8.2943579084259096E-4</v>
      </c>
      <c r="G3521">
        <v>0.109396791061825</v>
      </c>
      <c r="H3521">
        <v>0.73225139421032903</v>
      </c>
      <c r="I3521">
        <v>6.0613814775636703E-3</v>
      </c>
    </row>
    <row r="3522" spans="1:9" x14ac:dyDescent="0.25">
      <c r="A3522" s="1">
        <v>18.614838719367899</v>
      </c>
      <c r="B3522">
        <v>9.3864273561453206</v>
      </c>
      <c r="C3522">
        <v>7.3787343909344898</v>
      </c>
      <c r="D3522">
        <v>7.40455024229116</v>
      </c>
      <c r="E3522">
        <v>-0.61059889395362399</v>
      </c>
      <c r="F3522">
        <v>6.5665418080274095E-4</v>
      </c>
      <c r="G3522">
        <v>0.108181155939664</v>
      </c>
      <c r="H3522">
        <v>0.70931998352617898</v>
      </c>
      <c r="I3522">
        <v>5.0344320484211702E-4</v>
      </c>
    </row>
    <row r="3523" spans="1:9" x14ac:dyDescent="0.25">
      <c r="A3523" s="1">
        <v>21.2777170538902</v>
      </c>
      <c r="B3523">
        <v>9.9510143978809698</v>
      </c>
      <c r="C3523">
        <v>7.1110762295575798</v>
      </c>
      <c r="D3523">
        <v>6.9691373451510996</v>
      </c>
      <c r="E3523">
        <v>-0.66545956401391704</v>
      </c>
      <c r="F3523">
        <v>6.9701770071304897E-4</v>
      </c>
      <c r="G3523">
        <v>0.104307092514661</v>
      </c>
      <c r="H3523">
        <v>0.68619254172653699</v>
      </c>
      <c r="I3523">
        <v>-4.6858716825487201E-3</v>
      </c>
    </row>
    <row r="3524" spans="1:9" x14ac:dyDescent="0.25">
      <c r="A3524" s="1">
        <v>24.180224537849401</v>
      </c>
      <c r="B3524">
        <v>10.4527613556301</v>
      </c>
      <c r="C3524">
        <v>6.7484195161561296</v>
      </c>
      <c r="D3524">
        <v>6.4538330948671501</v>
      </c>
      <c r="E3524">
        <v>-0.70981411488341395</v>
      </c>
      <c r="F3524">
        <v>9.8700113267595393E-4</v>
      </c>
      <c r="G3524">
        <v>9.8603692549051394E-2</v>
      </c>
      <c r="H3524">
        <v>0.66296061171431997</v>
      </c>
      <c r="I3524">
        <v>-8.7302505188879293E-3</v>
      </c>
    </row>
    <row r="3525" spans="1:9" x14ac:dyDescent="0.25">
      <c r="A3525" s="1">
        <v>27.343950867652801</v>
      </c>
      <c r="B3525">
        <v>10.8995582392727</v>
      </c>
      <c r="C3525">
        <v>6.3312557933350897</v>
      </c>
      <c r="D3525">
        <v>5.9053282690789999</v>
      </c>
      <c r="E3525">
        <v>-0.744788843573574</v>
      </c>
      <c r="F3525">
        <v>1.45763690067844E-3</v>
      </c>
      <c r="G3525">
        <v>9.1867574000354196E-2</v>
      </c>
      <c r="H3525">
        <v>0.63996553650435295</v>
      </c>
      <c r="I3525">
        <v>-1.15046777917737E-2</v>
      </c>
    </row>
    <row r="3526" spans="1:9" x14ac:dyDescent="0.25">
      <c r="A3526" s="1">
        <v>30.7923927903175</v>
      </c>
      <c r="B3526">
        <v>11.299203120014599</v>
      </c>
      <c r="C3526">
        <v>5.8908424535004897</v>
      </c>
      <c r="D3526">
        <v>5.3563019290466602</v>
      </c>
      <c r="E3526">
        <v>-0.77161680604674199</v>
      </c>
      <c r="F3526">
        <v>2.0176909022841501E-3</v>
      </c>
      <c r="G3526">
        <v>8.4659541193882304E-2</v>
      </c>
      <c r="H3526">
        <v>0.617640399191281</v>
      </c>
      <c r="I3526">
        <v>-1.31398218763165E-2</v>
      </c>
    </row>
    <row r="3527" spans="1:9" x14ac:dyDescent="0.25">
      <c r="A3527" s="1">
        <v>34.551213085651298</v>
      </c>
      <c r="B3527">
        <v>11.658996764413001</v>
      </c>
      <c r="C3527">
        <v>5.4499094924226803</v>
      </c>
      <c r="D3527">
        <v>4.8281330300136398</v>
      </c>
      <c r="E3527">
        <v>-0.79148129602435102</v>
      </c>
      <c r="F3527">
        <v>2.6150521821169202E-3</v>
      </c>
      <c r="G3527">
        <v>7.7312812913307299E-2</v>
      </c>
      <c r="H3527">
        <v>0.59641431306563197</v>
      </c>
      <c r="I3527">
        <v>-1.3831527827266699E-2</v>
      </c>
    </row>
    <row r="3528" spans="1:9" x14ac:dyDescent="0.25">
      <c r="A3528" s="1">
        <v>38.6483111977577</v>
      </c>
      <c r="B3528">
        <v>11.9855587570285</v>
      </c>
      <c r="C3528">
        <v>5.0238704327501997</v>
      </c>
      <c r="D3528">
        <v>4.3339900225238601</v>
      </c>
      <c r="E3528">
        <v>-0.80541286460108796</v>
      </c>
      <c r="F3528">
        <v>3.1177568504433002E-3</v>
      </c>
      <c r="G3528">
        <v>7.0029139544049906E-2</v>
      </c>
      <c r="H3528">
        <v>0.57669610365692203</v>
      </c>
      <c r="I3528">
        <v>-1.37795611979529E-2</v>
      </c>
    </row>
    <row r="3529" spans="1:9" x14ac:dyDescent="0.25">
      <c r="A3529" s="1">
        <v>43.1141293048858</v>
      </c>
      <c r="B3529">
        <v>12.284764814964401</v>
      </c>
      <c r="C3529">
        <v>4.6223356922672298</v>
      </c>
      <c r="D3529">
        <v>3.88136331861346</v>
      </c>
      <c r="E3529">
        <v>-0.81425920821083697</v>
      </c>
      <c r="F3529">
        <v>3.4780401777872198E-3</v>
      </c>
      <c r="G3529">
        <v>6.2943513862141101E-2</v>
      </c>
      <c r="H3529">
        <v>0.55876868071173702</v>
      </c>
      <c r="I3529">
        <v>-1.31717309824642E-2</v>
      </c>
    </row>
    <row r="3530" spans="1:9" x14ac:dyDescent="0.25">
      <c r="A3530" s="1">
        <v>47.981887757778097</v>
      </c>
      <c r="B3530">
        <v>12.5616632072543</v>
      </c>
      <c r="C3530">
        <v>4.2506187987747399</v>
      </c>
      <c r="D3530">
        <v>3.4736117250185101</v>
      </c>
      <c r="E3530">
        <v>-0.81873011567831599</v>
      </c>
      <c r="F3530">
        <v>3.6385835529754102E-3</v>
      </c>
      <c r="G3530">
        <v>5.6150420613725903E-2</v>
      </c>
      <c r="H3530">
        <v>0.54266101252679</v>
      </c>
      <c r="I3530">
        <v>-1.2189118094395801E-2</v>
      </c>
    </row>
    <row r="3531" spans="1:9" x14ac:dyDescent="0.25">
      <c r="A3531" s="1">
        <v>53.287820518016801</v>
      </c>
      <c r="B3531">
        <v>12.820478933892099</v>
      </c>
      <c r="C3531">
        <v>3.91065173610217</v>
      </c>
      <c r="D3531">
        <v>3.1105569901424701</v>
      </c>
      <c r="E3531">
        <v>-0.81936344353283197</v>
      </c>
      <c r="F3531">
        <v>3.54289528066375E-3</v>
      </c>
      <c r="G3531">
        <v>4.9749276937786802E-2</v>
      </c>
      <c r="H3531">
        <v>0.528363014827403</v>
      </c>
      <c r="I3531">
        <v>-1.09955861682818E-2</v>
      </c>
    </row>
    <row r="3532" spans="1:9" x14ac:dyDescent="0.25">
      <c r="A3532" s="1">
        <v>59.071175158023799</v>
      </c>
      <c r="B3532">
        <v>13.064747454813601</v>
      </c>
      <c r="C3532">
        <v>3.6022224781805399</v>
      </c>
      <c r="D3532">
        <v>2.7902444907561899</v>
      </c>
      <c r="E3532">
        <v>-0.81657006374689001</v>
      </c>
      <c r="F3532">
        <v>3.1409181471720501E-3</v>
      </c>
      <c r="G3532">
        <v>4.38398859656235E-2</v>
      </c>
      <c r="H3532">
        <v>0.51577415858204301</v>
      </c>
      <c r="I3532">
        <v>-9.7445991208160599E-3</v>
      </c>
    </row>
    <row r="3533" spans="1:9" x14ac:dyDescent="0.25">
      <c r="A3533" s="1">
        <v>65.375131070613804</v>
      </c>
      <c r="B3533">
        <v>13.2973899124478</v>
      </c>
      <c r="C3533">
        <v>3.3240491400045702</v>
      </c>
      <c r="D3533">
        <v>2.50947002604696</v>
      </c>
      <c r="E3533">
        <v>-0.81065611178126795</v>
      </c>
      <c r="F3533">
        <v>2.52262538382147E-3</v>
      </c>
      <c r="G3533">
        <v>3.8473187223370099E-2</v>
      </c>
      <c r="H3533">
        <v>0.50449888288199696</v>
      </c>
      <c r="I3533">
        <v>-8.5360907579515796E-3</v>
      </c>
    </row>
    <row r="3534" spans="1:9" x14ac:dyDescent="0.25">
      <c r="A3534" s="1">
        <v>72.246375679969702</v>
      </c>
      <c r="B3534">
        <v>13.520792533299799</v>
      </c>
      <c r="C3534">
        <v>3.0735914146373999</v>
      </c>
      <c r="D3534">
        <v>2.2645141151589998</v>
      </c>
      <c r="E3534">
        <v>-0.80185847663157395</v>
      </c>
      <c r="F3534">
        <v>1.7886084123424201E-3</v>
      </c>
      <c r="G3534">
        <v>3.36748924374859E-2</v>
      </c>
      <c r="H3534">
        <v>0.49426528493910099</v>
      </c>
      <c r="I3534">
        <v>-7.4318747287438602E-3</v>
      </c>
    </row>
    <row r="3535" spans="1:9" x14ac:dyDescent="0.25">
      <c r="A3535" s="1">
        <v>79.736069738864799</v>
      </c>
      <c r="B3535">
        <v>13.736936177900899</v>
      </c>
      <c r="C3535">
        <v>2.8475535986212099</v>
      </c>
      <c r="D3535">
        <v>2.0506894625146699</v>
      </c>
      <c r="E3535">
        <v>-0.79031626311887504</v>
      </c>
      <c r="F3535">
        <v>1.12221391336306E-3</v>
      </c>
      <c r="G3535">
        <v>2.9406190375745701E-2</v>
      </c>
      <c r="H3535">
        <v>0.48462899381359198</v>
      </c>
      <c r="I3535">
        <v>-6.4404297979293E-3</v>
      </c>
    </row>
    <row r="3536" spans="1:9" x14ac:dyDescent="0.25">
      <c r="A3536" s="1">
        <v>87.899753153324099</v>
      </c>
      <c r="B3536">
        <v>13.9474005198394</v>
      </c>
      <c r="C3536">
        <v>2.6423578593429999</v>
      </c>
      <c r="D3536">
        <v>1.86337310099758</v>
      </c>
      <c r="E3536">
        <v>-0.77607241732985599</v>
      </c>
      <c r="F3536">
        <v>7.3352165428898096E-4</v>
      </c>
      <c r="G3536">
        <v>2.5630229888435999E-2</v>
      </c>
      <c r="H3536">
        <v>0.47547712473021098</v>
      </c>
      <c r="I3536">
        <v>-5.5695149904203701E-3</v>
      </c>
    </row>
    <row r="3537" spans="1:9" x14ac:dyDescent="0.25">
      <c r="A3537" s="1">
        <v>96.798263192176805</v>
      </c>
      <c r="B3537">
        <v>14.1534183731591</v>
      </c>
      <c r="C3537">
        <v>2.4547425434153798</v>
      </c>
      <c r="D3537">
        <v>1.69868300917139</v>
      </c>
      <c r="E3537">
        <v>-0.75920299695818605</v>
      </c>
      <c r="F3537">
        <v>7.9893828568795096E-4</v>
      </c>
      <c r="G3537">
        <v>2.23021658392368E-2</v>
      </c>
      <c r="H3537">
        <v>0.46657449444813798</v>
      </c>
      <c r="I3537">
        <v>-4.8092420408297502E-3</v>
      </c>
    </row>
    <row r="3538" spans="1:9" x14ac:dyDescent="0.25">
      <c r="A3538" s="1">
        <v>106.497616767883</v>
      </c>
      <c r="B3538">
        <v>14.356051211646699</v>
      </c>
      <c r="C3538">
        <v>2.2814427068979701</v>
      </c>
      <c r="D3538">
        <v>1.55274522086241</v>
      </c>
      <c r="E3538">
        <v>-0.73962108627706402</v>
      </c>
      <c r="F3538">
        <v>1.0550519502311899E-3</v>
      </c>
      <c r="G3538">
        <v>1.9382747278318499E-2</v>
      </c>
      <c r="H3538">
        <v>0.45789242961767201</v>
      </c>
      <c r="I3538">
        <v>-4.1523636401994499E-3</v>
      </c>
    </row>
    <row r="3539" spans="1:9" x14ac:dyDescent="0.25">
      <c r="A3539" s="1">
        <v>117.06990510225199</v>
      </c>
      <c r="B3539">
        <v>14.5564482687329</v>
      </c>
      <c r="C3539">
        <v>2.1185571845759701</v>
      </c>
      <c r="D3539">
        <v>1.42157333382254</v>
      </c>
      <c r="E3539">
        <v>-0.71708907665412802</v>
      </c>
      <c r="F3539">
        <v>1.2384506816917301E-3</v>
      </c>
      <c r="G3539">
        <v>1.6829301150455701E-2</v>
      </c>
      <c r="H3539">
        <v>0.45004389564809399</v>
      </c>
      <c r="I3539">
        <v>-3.5860300465902399E-3</v>
      </c>
    </row>
    <row r="3540" spans="1:9" x14ac:dyDescent="0.25">
      <c r="A3540" s="1">
        <v>128.593670427799</v>
      </c>
      <c r="B3540">
        <v>14.755566542438199</v>
      </c>
      <c r="C3540">
        <v>1.9641268097905999</v>
      </c>
      <c r="D3540">
        <v>1.3024914469906099</v>
      </c>
      <c r="E3540">
        <v>-0.69164205818561797</v>
      </c>
      <c r="F3540">
        <v>1.54439855815271E-3</v>
      </c>
      <c r="G3540">
        <v>1.45665381276575E-2</v>
      </c>
      <c r="H3540">
        <v>0.44263181587045902</v>
      </c>
      <c r="I3540">
        <v>-3.0809021428729799E-3</v>
      </c>
    </row>
    <row r="3541" spans="1:9" x14ac:dyDescent="0.25">
      <c r="A3541" s="1">
        <v>141.15461230278001</v>
      </c>
      <c r="B3541">
        <v>14.953840651950699</v>
      </c>
      <c r="C3541">
        <v>1.8163011472005199</v>
      </c>
      <c r="D3541">
        <v>1.19312761134281</v>
      </c>
      <c r="E3541">
        <v>-0.66306158632018897</v>
      </c>
      <c r="F3541">
        <v>2.18564638393737E-3</v>
      </c>
      <c r="G3541">
        <v>1.25456506524663E-2</v>
      </c>
      <c r="H3541">
        <v>0.43544074189356202</v>
      </c>
      <c r="I3541">
        <v>-2.6280958433626102E-3</v>
      </c>
    </row>
    <row r="3542" spans="1:9" x14ac:dyDescent="0.25">
      <c r="A3542" s="1">
        <v>154.84601140022201</v>
      </c>
      <c r="B3542">
        <v>15.1510658247684</v>
      </c>
      <c r="C3542">
        <v>1.67362920598833</v>
      </c>
      <c r="D3542">
        <v>1.09148443161093</v>
      </c>
      <c r="E3542">
        <v>-0.63117275383875404</v>
      </c>
      <c r="F3542">
        <v>2.30471394341009E-3</v>
      </c>
      <c r="G3542">
        <v>1.07314622465066E-2</v>
      </c>
      <c r="H3542">
        <v>0.42796589759271803</v>
      </c>
      <c r="I3542">
        <v>-2.2206368995362899E-3</v>
      </c>
    </row>
    <row r="3543" spans="1:9" x14ac:dyDescent="0.25">
      <c r="A3543" s="1">
        <v>169.76969480514501</v>
      </c>
      <c r="B3543">
        <v>15.347187733492699</v>
      </c>
      <c r="C3543">
        <v>1.5338158969514599</v>
      </c>
      <c r="D3543">
        <v>0.99521551843385203</v>
      </c>
      <c r="E3543">
        <v>-0.59551052901828205</v>
      </c>
      <c r="F3543">
        <v>1.91597994333503E-3</v>
      </c>
      <c r="G3543">
        <v>9.10716767132865E-3</v>
      </c>
      <c r="H3543">
        <v>0.42049368249074898</v>
      </c>
      <c r="I3543">
        <v>-1.8555095874503999E-3</v>
      </c>
    </row>
    <row r="3544" spans="1:9" x14ac:dyDescent="0.25">
      <c r="A3544" s="1">
        <v>186.03645980358101</v>
      </c>
      <c r="B3544">
        <v>15.5427287569558</v>
      </c>
      <c r="C3544">
        <v>1.3950212286777399</v>
      </c>
      <c r="D3544">
        <v>0.90251666926163099</v>
      </c>
      <c r="E3544">
        <v>-0.55559381824199106</v>
      </c>
      <c r="F3544">
        <v>1.73629075047467E-3</v>
      </c>
      <c r="G3544">
        <v>7.6535033431327599E-3</v>
      </c>
      <c r="H3544">
        <v>0.41356987363549702</v>
      </c>
      <c r="I3544">
        <v>-1.53138188854433E-3</v>
      </c>
    </row>
    <row r="3545" spans="1:9" x14ac:dyDescent="0.25">
      <c r="A3545" s="1">
        <v>203.76720398664401</v>
      </c>
      <c r="B3545">
        <v>15.737229201785199</v>
      </c>
      <c r="C3545">
        <v>1.25718969096827</v>
      </c>
      <c r="D3545">
        <v>0.81183248505740702</v>
      </c>
      <c r="E3545">
        <v>-0.51131372525418795</v>
      </c>
      <c r="F3545">
        <v>1.5130283867282599E-3</v>
      </c>
      <c r="G3545">
        <v>6.3457219595805204E-3</v>
      </c>
      <c r="H3545">
        <v>0.40626806005048899</v>
      </c>
      <c r="I3545">
        <v>-1.2420874462107799E-3</v>
      </c>
    </row>
    <row r="3546" spans="1:9" x14ac:dyDescent="0.25">
      <c r="A3546" s="1">
        <v>223.09376105666101</v>
      </c>
      <c r="B3546">
        <v>15.9290383508717</v>
      </c>
      <c r="C3546">
        <v>1.11940829842558</v>
      </c>
      <c r="D3546">
        <v>0.72208501677145098</v>
      </c>
      <c r="E3546">
        <v>-0.46221291370226403</v>
      </c>
      <c r="F3546">
        <v>1.1979605438145601E-3</v>
      </c>
      <c r="G3546">
        <v>5.1585883918611698E-3</v>
      </c>
      <c r="H3546">
        <v>0.39886185712541899</v>
      </c>
      <c r="I3546">
        <v>-9.7756540953097002E-4</v>
      </c>
    </row>
    <row r="3547" spans="1:9" x14ac:dyDescent="0.25">
      <c r="A3547" s="1">
        <v>244.15970131754801</v>
      </c>
      <c r="B3547">
        <v>16.1167562289451</v>
      </c>
      <c r="C3547">
        <v>0.98075047423752904</v>
      </c>
      <c r="D3547">
        <v>0.63155532605701103</v>
      </c>
      <c r="E3547">
        <v>-0.40768876005600102</v>
      </c>
      <c r="F3547">
        <v>4.1670167322740899E-4</v>
      </c>
      <c r="G3547">
        <v>4.0922325583542304E-3</v>
      </c>
      <c r="H3547">
        <v>0.39198421589941701</v>
      </c>
      <c r="I3547">
        <v>-7.41799444821445E-4</v>
      </c>
    </row>
    <row r="3548" spans="1:9" x14ac:dyDescent="0.25">
      <c r="A3548" s="1">
        <v>267.12157949805197</v>
      </c>
      <c r="B3548">
        <v>16.2975243790363</v>
      </c>
      <c r="C3548">
        <v>0.84211289410396595</v>
      </c>
      <c r="D3548">
        <v>0.54115562569445597</v>
      </c>
      <c r="E3548">
        <v>-0.347380373405339</v>
      </c>
      <c r="F3548">
        <v>-5.9592909332703298E-4</v>
      </c>
      <c r="G3548">
        <v>3.1570133828236501E-3</v>
      </c>
      <c r="H3548">
        <v>0.38610895650302601</v>
      </c>
      <c r="I3548">
        <v>-5.4269614744197503E-4</v>
      </c>
    </row>
    <row r="3549" spans="1:9" x14ac:dyDescent="0.25">
      <c r="A3549" s="1">
        <v>292.15002954006098</v>
      </c>
      <c r="B3549">
        <v>16.466599601349699</v>
      </c>
      <c r="C3549">
        <v>0.70392118390556102</v>
      </c>
      <c r="D3549">
        <v>0.44984903405755899</v>
      </c>
      <c r="E3549">
        <v>-0.28077547879407999</v>
      </c>
      <c r="F3549">
        <v>-1.17287295401362E-3</v>
      </c>
      <c r="G3549">
        <v>2.3579144030319802E-3</v>
      </c>
      <c r="H3549">
        <v>0.38246853224244798</v>
      </c>
      <c r="I3549">
        <v>-3.81640056946371E-4</v>
      </c>
    </row>
    <row r="3550" spans="1:9" x14ac:dyDescent="0.25">
      <c r="A3550" s="1">
        <v>319.43101242184599</v>
      </c>
      <c r="B3550">
        <v>16.614491317263699</v>
      </c>
      <c r="C3550">
        <v>0.573475864735282</v>
      </c>
      <c r="D3550">
        <v>0.36208984896729202</v>
      </c>
      <c r="E3550">
        <v>-0.20754856932339799</v>
      </c>
      <c r="F3550">
        <v>-9.0232288231942802E-4</v>
      </c>
      <c r="G3550">
        <v>1.7117795002550701E-3</v>
      </c>
      <c r="H3550">
        <v>0.38236324233734897</v>
      </c>
      <c r="I3550">
        <v>-2.6324196905383798E-4</v>
      </c>
    </row>
    <row r="3551" spans="1:9" x14ac:dyDescent="0.25">
      <c r="A3551" s="1">
        <v>349.16732590645501</v>
      </c>
      <c r="B3551">
        <v>16.729230782977201</v>
      </c>
      <c r="C3551">
        <v>0.46508601373168201</v>
      </c>
      <c r="D3551">
        <v>0.28708946196130303</v>
      </c>
      <c r="E3551">
        <v>-0.126390137708974</v>
      </c>
      <c r="F3551">
        <v>-1.0390173514280099E-3</v>
      </c>
      <c r="G3551">
        <v>1.26564237384513E-3</v>
      </c>
      <c r="H3551">
        <v>0.38694159199372502</v>
      </c>
      <c r="I3551">
        <v>-1.9291869220539501E-4</v>
      </c>
    </row>
    <row r="3552" spans="1:9" x14ac:dyDescent="0.25">
      <c r="A3552" s="1">
        <v>379.83785875141598</v>
      </c>
      <c r="B3552">
        <v>16.789818369439701</v>
      </c>
      <c r="C3552">
        <v>0.403170359938678</v>
      </c>
      <c r="D3552">
        <v>0.24330207328366901</v>
      </c>
      <c r="E3552">
        <v>-4.1762069900056202E-2</v>
      </c>
      <c r="F3552">
        <v>-1.38197907096375E-3</v>
      </c>
      <c r="G3552">
        <v>1.0334875062615E-3</v>
      </c>
      <c r="H3552">
        <v>0.40779394509893202</v>
      </c>
      <c r="I3552">
        <v>-1.53034888645552E-4</v>
      </c>
    </row>
    <row r="3553" spans="1:9" x14ac:dyDescent="0.25">
      <c r="A3553" s="1" t="s">
        <v>571</v>
      </c>
      <c r="B3553" s="1" t="s">
        <v>614</v>
      </c>
      <c r="C3553" s="1" t="s">
        <v>615</v>
      </c>
      <c r="D3553" s="1" t="s">
        <v>616</v>
      </c>
      <c r="E3553" s="1" t="s">
        <v>617</v>
      </c>
      <c r="F3553" s="1" t="s">
        <v>618</v>
      </c>
      <c r="G3553" s="1" t="s">
        <v>400</v>
      </c>
      <c r="H3553" s="1" t="s">
        <v>619</v>
      </c>
      <c r="I3553" s="1" t="s">
        <v>613</v>
      </c>
    </row>
    <row r="3554" spans="1:9" x14ac:dyDescent="0.25">
      <c r="A3554" s="1">
        <v>-141.555516719818</v>
      </c>
      <c r="B3554">
        <v>-636.96060641462304</v>
      </c>
      <c r="C3554">
        <v>1.7235709139860401E-3</v>
      </c>
      <c r="D3554">
        <v>0</v>
      </c>
      <c r="E3554">
        <v>0</v>
      </c>
      <c r="F3554">
        <v>0</v>
      </c>
      <c r="G3554" s="1">
        <v>1.8384386763520199E-8</v>
      </c>
      <c r="H3554">
        <v>9.3935944166515295E-2</v>
      </c>
      <c r="I3554">
        <v>0</v>
      </c>
    </row>
    <row r="3555" spans="1:9" x14ac:dyDescent="0.25">
      <c r="A3555" s="1">
        <v>-128.95890593528699</v>
      </c>
      <c r="B3555">
        <v>-580.37656475359904</v>
      </c>
      <c r="C3555">
        <v>1.77780230717589E-3</v>
      </c>
      <c r="D3555">
        <v>0</v>
      </c>
      <c r="E3555">
        <v>0</v>
      </c>
      <c r="F3555">
        <v>0</v>
      </c>
      <c r="G3555" s="1">
        <v>3.2967184714072199E-8</v>
      </c>
      <c r="H3555">
        <v>0.45490317936109098</v>
      </c>
      <c r="I3555">
        <v>0</v>
      </c>
    </row>
    <row r="3556" spans="1:9" x14ac:dyDescent="0.25">
      <c r="A3556" s="1">
        <v>-117.402367591857</v>
      </c>
      <c r="B3556">
        <v>-528.44786294752998</v>
      </c>
      <c r="C3556">
        <v>1.9007527759662001E-3</v>
      </c>
      <c r="D3556">
        <v>0</v>
      </c>
      <c r="E3556">
        <v>0</v>
      </c>
      <c r="F3556">
        <v>0</v>
      </c>
      <c r="G3556" s="1">
        <v>6.13354392968168E-8</v>
      </c>
      <c r="H3556">
        <v>0.65830299946101201</v>
      </c>
      <c r="I3556">
        <v>0</v>
      </c>
    </row>
    <row r="3557" spans="1:9" x14ac:dyDescent="0.25">
      <c r="A3557" s="1">
        <v>-106.80001378059301</v>
      </c>
      <c r="B3557">
        <v>-480.79280505234698</v>
      </c>
      <c r="C3557">
        <v>2.1215185381150302E-3</v>
      </c>
      <c r="D3557">
        <v>0</v>
      </c>
      <c r="E3557">
        <v>0</v>
      </c>
      <c r="F3557">
        <v>0</v>
      </c>
      <c r="G3557" s="1">
        <v>1.05639219034114E-7</v>
      </c>
      <c r="H3557">
        <v>0.74984971028852099</v>
      </c>
      <c r="I3557">
        <v>0</v>
      </c>
    </row>
    <row r="3558" spans="1:9" x14ac:dyDescent="0.25">
      <c r="A3558" s="1">
        <v>-97.073161005973802</v>
      </c>
      <c r="B3558">
        <v>-437.06075367981902</v>
      </c>
      <c r="C3558">
        <v>2.4767246000593698E-3</v>
      </c>
      <c r="D3558">
        <v>0</v>
      </c>
      <c r="E3558">
        <v>0</v>
      </c>
      <c r="F3558">
        <v>0</v>
      </c>
      <c r="G3558" s="1">
        <v>1.71966538708934E-7</v>
      </c>
      <c r="H3558">
        <v>0.79334373738698505</v>
      </c>
      <c r="I3558">
        <v>0</v>
      </c>
    </row>
    <row r="3559" spans="1:9" x14ac:dyDescent="0.25">
      <c r="A3559" s="1">
        <v>-88.149435520172105</v>
      </c>
      <c r="B3559">
        <v>-396.929622579164</v>
      </c>
      <c r="C3559">
        <v>3.00975842355264E-3</v>
      </c>
      <c r="D3559">
        <v>0</v>
      </c>
      <c r="E3559">
        <v>0</v>
      </c>
      <c r="F3559">
        <v>0</v>
      </c>
      <c r="G3559" s="1">
        <v>2.7134549304552698E-7</v>
      </c>
      <c r="H3559">
        <v>0.81616051685206503</v>
      </c>
      <c r="I3559">
        <v>0</v>
      </c>
    </row>
    <row r="3560" spans="1:9" x14ac:dyDescent="0.25">
      <c r="A3560" s="1">
        <v>-79.962490797042804</v>
      </c>
      <c r="B3560">
        <v>-360.103736973352</v>
      </c>
      <c r="C3560">
        <v>3.7731200612144298E-3</v>
      </c>
      <c r="D3560">
        <v>0</v>
      </c>
      <c r="E3560">
        <v>0</v>
      </c>
      <c r="F3560">
        <v>0</v>
      </c>
      <c r="G3560" s="1">
        <v>4.21325140079753E-7</v>
      </c>
      <c r="H3560">
        <v>0.82999052094231396</v>
      </c>
      <c r="I3560">
        <v>0</v>
      </c>
    </row>
    <row r="3561" spans="1:9" x14ac:dyDescent="0.25">
      <c r="A3561" s="1">
        <v>-72.451583743095298</v>
      </c>
      <c r="B3561">
        <v>-326.31144315356698</v>
      </c>
      <c r="C3561">
        <v>4.8321011155279302E-3</v>
      </c>
      <c r="D3561">
        <v>0</v>
      </c>
      <c r="E3561">
        <v>0</v>
      </c>
      <c r="F3561">
        <v>0</v>
      </c>
      <c r="G3561" s="1">
        <v>6.4854693812543799E-7</v>
      </c>
      <c r="H3561">
        <v>0.84004536249886297</v>
      </c>
      <c r="I3561">
        <v>0</v>
      </c>
    </row>
    <row r="3562" spans="1:9" x14ac:dyDescent="0.25">
      <c r="A3562" s="1">
        <v>-65.560821294784503</v>
      </c>
      <c r="B3562">
        <v>-295.303420150823</v>
      </c>
      <c r="C3562">
        <v>6.2689964287600099E-3</v>
      </c>
      <c r="D3562">
        <v>0</v>
      </c>
      <c r="E3562">
        <v>0</v>
      </c>
      <c r="F3562">
        <v>0</v>
      </c>
      <c r="G3562" s="1">
        <v>9.9283125156812704E-7</v>
      </c>
      <c r="H3562">
        <v>0.84864092012603898</v>
      </c>
      <c r="I3562">
        <v>0</v>
      </c>
    </row>
    <row r="3563" spans="1:9" x14ac:dyDescent="0.25">
      <c r="A3563" s="1">
        <v>-59.238972067832897</v>
      </c>
      <c r="B3563">
        <v>-266.85069051737298</v>
      </c>
      <c r="C3563">
        <v>8.1877124220000892E-3</v>
      </c>
      <c r="D3563">
        <v>0</v>
      </c>
      <c r="E3563">
        <v>0</v>
      </c>
      <c r="F3563">
        <v>0</v>
      </c>
      <c r="G3563" s="1">
        <v>1.5135959948142601E-6</v>
      </c>
      <c r="H3563">
        <v>0.85676070094083601</v>
      </c>
      <c r="I3563">
        <v>0</v>
      </c>
    </row>
    <row r="3564" spans="1:9" x14ac:dyDescent="0.25">
      <c r="A3564" s="1">
        <v>-53.439136743545497</v>
      </c>
      <c r="B3564">
        <v>-240.74306572730001</v>
      </c>
      <c r="C3564">
        <v>1.0719100551819899E-2</v>
      </c>
      <c r="D3564">
        <v>0</v>
      </c>
      <c r="E3564">
        <v>0</v>
      </c>
      <c r="F3564">
        <v>0</v>
      </c>
      <c r="G3564" s="1">
        <v>2.2998692810918201E-6</v>
      </c>
      <c r="H3564">
        <v>0.86478707137654498</v>
      </c>
      <c r="I3564">
        <v>0</v>
      </c>
    </row>
    <row r="3565" spans="1:9" x14ac:dyDescent="0.25">
      <c r="A3565" s="1">
        <v>-48.118183016777003</v>
      </c>
      <c r="B3565">
        <v>-216.78756650293499</v>
      </c>
      <c r="C3565">
        <v>1.4027709147297601E-2</v>
      </c>
      <c r="D3565">
        <v>0</v>
      </c>
      <c r="E3565">
        <v>0</v>
      </c>
      <c r="F3565">
        <v>0</v>
      </c>
      <c r="G3565" s="1">
        <v>3.4856695377620801E-6</v>
      </c>
      <c r="H3565">
        <v>0.87283325665765599</v>
      </c>
      <c r="I3565">
        <v>0</v>
      </c>
    </row>
    <row r="3566" spans="1:9" x14ac:dyDescent="0.25">
      <c r="A3566" s="1">
        <v>-43.236604332923797</v>
      </c>
      <c r="B3566">
        <v>-194.80706880892001</v>
      </c>
      <c r="C3566">
        <v>1.83207452490694E-2</v>
      </c>
      <c r="D3566">
        <v>0</v>
      </c>
      <c r="E3566">
        <v>0</v>
      </c>
      <c r="F3566">
        <v>0</v>
      </c>
      <c r="G3566" s="1">
        <v>5.27318502021856E-6</v>
      </c>
      <c r="H3566">
        <v>0.88088416966476002</v>
      </c>
      <c r="I3566">
        <v>0</v>
      </c>
    </row>
    <row r="3567" spans="1:9" x14ac:dyDescent="0.25">
      <c r="A3567" s="1">
        <v>-38.758049011230398</v>
      </c>
      <c r="B3567">
        <v>-174.638966562397</v>
      </c>
      <c r="C3567">
        <v>2.3859902828559001E-2</v>
      </c>
      <c r="D3567">
        <v>0</v>
      </c>
      <c r="E3567">
        <v>0</v>
      </c>
      <c r="F3567">
        <v>0</v>
      </c>
      <c r="G3567" s="1">
        <v>7.9674094154658106E-6</v>
      </c>
      <c r="H3567">
        <v>0.88886172352792403</v>
      </c>
      <c r="I3567">
        <v>0</v>
      </c>
    </row>
    <row r="3568" spans="1:9" x14ac:dyDescent="0.25">
      <c r="A3568" s="1">
        <v>-34.649320244789102</v>
      </c>
      <c r="B3568">
        <v>-156.13401822055101</v>
      </c>
      <c r="C3568">
        <v>3.09766290986149E-2</v>
      </c>
      <c r="D3568">
        <v>0</v>
      </c>
      <c r="E3568">
        <v>0</v>
      </c>
      <c r="F3568">
        <v>0</v>
      </c>
      <c r="G3568" s="1">
        <v>1.2028173842228501E-5</v>
      </c>
      <c r="H3568">
        <v>0.89666731807394995</v>
      </c>
      <c r="I3568">
        <v>0</v>
      </c>
    </row>
    <row r="3569" spans="1:9" x14ac:dyDescent="0.25">
      <c r="A3569" s="1">
        <v>-30.879811048507602</v>
      </c>
      <c r="B3569">
        <v>-139.15522262135801</v>
      </c>
      <c r="C3569">
        <v>4.0091467689695001E-2</v>
      </c>
      <c r="D3569">
        <v>0</v>
      </c>
      <c r="E3569">
        <v>0</v>
      </c>
      <c r="F3569">
        <v>0</v>
      </c>
      <c r="G3569" s="1">
        <v>1.8149257552114E-5</v>
      </c>
      <c r="H3569">
        <v>0.90421293502479405</v>
      </c>
      <c r="I3569">
        <v>0</v>
      </c>
    </row>
    <row r="3570" spans="1:9" x14ac:dyDescent="0.25">
      <c r="A3570" s="1">
        <v>-27.4215984344482</v>
      </c>
      <c r="B3570">
        <v>-123.57685780654</v>
      </c>
      <c r="C3570">
        <v>5.1738634967786599E-2</v>
      </c>
      <c r="D3570">
        <v>0</v>
      </c>
      <c r="E3570">
        <v>0</v>
      </c>
      <c r="F3570">
        <v>0</v>
      </c>
      <c r="G3570" s="1">
        <v>2.7380186263624E-5</v>
      </c>
      <c r="H3570">
        <v>0.911438397393174</v>
      </c>
      <c r="I3570">
        <v>0</v>
      </c>
    </row>
    <row r="3571" spans="1:9" x14ac:dyDescent="0.25">
      <c r="A3571" s="1">
        <v>-24.248878359794599</v>
      </c>
      <c r="B3571">
        <v>-109.28352820257</v>
      </c>
      <c r="C3571">
        <v>6.6597793319358597E-2</v>
      </c>
      <c r="D3571">
        <v>0</v>
      </c>
      <c r="E3571">
        <v>0</v>
      </c>
      <c r="F3571">
        <v>0</v>
      </c>
      <c r="G3571" s="1">
        <v>4.1316693037785501E-5</v>
      </c>
      <c r="H3571">
        <v>0.91831608610434101</v>
      </c>
      <c r="I3571">
        <v>0</v>
      </c>
    </row>
    <row r="3572" spans="1:9" x14ac:dyDescent="0.25">
      <c r="A3572" s="1">
        <v>-21.3381540775299</v>
      </c>
      <c r="B3572">
        <v>-96.169325680270504</v>
      </c>
      <c r="C3572">
        <v>8.5535744157140201E-2</v>
      </c>
      <c r="D3572">
        <v>0</v>
      </c>
      <c r="E3572">
        <v>0</v>
      </c>
      <c r="F3572">
        <v>0</v>
      </c>
      <c r="G3572" s="1">
        <v>6.2405788749337894E-5</v>
      </c>
      <c r="H3572">
        <v>0.92484918291387597</v>
      </c>
      <c r="I3572">
        <v>0</v>
      </c>
    </row>
    <row r="3573" spans="1:9" x14ac:dyDescent="0.25">
      <c r="A3573" s="1">
        <v>-18.6677181720733</v>
      </c>
      <c r="B3573">
        <v>-84.137066620526497</v>
      </c>
      <c r="C3573">
        <v>0.109662678046356</v>
      </c>
      <c r="D3573">
        <v>0</v>
      </c>
      <c r="E3573">
        <v>0</v>
      </c>
      <c r="F3573">
        <v>0</v>
      </c>
      <c r="G3573" s="1">
        <v>9.44520010897918E-5</v>
      </c>
      <c r="H3573">
        <v>0.93106862115051303</v>
      </c>
      <c r="I3573">
        <v>0</v>
      </c>
    </row>
    <row r="3574" spans="1:9" x14ac:dyDescent="0.25">
      <c r="A3574" s="1">
        <v>-16.2178409099578</v>
      </c>
      <c r="B3574">
        <v>-73.097555621325597</v>
      </c>
      <c r="C3574">
        <v>0.14041100043899199</v>
      </c>
      <c r="D3574">
        <v>0</v>
      </c>
      <c r="E3574">
        <v>0</v>
      </c>
      <c r="F3574">
        <v>0</v>
      </c>
      <c r="G3574">
        <v>1.43496427980721E-4</v>
      </c>
      <c r="H3574">
        <v>0.93703030369016305</v>
      </c>
      <c r="I3574">
        <v>0</v>
      </c>
    </row>
    <row r="3575" spans="1:9" x14ac:dyDescent="0.25">
      <c r="A3575" s="1">
        <v>-13.9702051877975</v>
      </c>
      <c r="B3575">
        <v>-62.9689372256246</v>
      </c>
      <c r="C3575">
        <v>0.17965151591498099</v>
      </c>
      <c r="D3575">
        <v>0</v>
      </c>
      <c r="E3575">
        <v>0</v>
      </c>
      <c r="F3575">
        <v>0</v>
      </c>
      <c r="G3575">
        <v>2.19423273327748E-4</v>
      </c>
      <c r="H3575">
        <v>0.94281177384706505</v>
      </c>
      <c r="I3575">
        <v>0</v>
      </c>
    </row>
    <row r="3576" spans="1:9" x14ac:dyDescent="0.25">
      <c r="A3576" s="1">
        <v>-11.908189058303799</v>
      </c>
      <c r="B3576">
        <v>-53.6760988423448</v>
      </c>
      <c r="C3576">
        <v>0.229874690262871</v>
      </c>
      <c r="D3576">
        <v>0</v>
      </c>
      <c r="E3576">
        <v>0</v>
      </c>
      <c r="F3576">
        <v>0</v>
      </c>
      <c r="G3576">
        <v>3.3905684022275299E-4</v>
      </c>
      <c r="H3576">
        <v>0.94850587048984802</v>
      </c>
      <c r="I3576">
        <v>0</v>
      </c>
    </row>
    <row r="3577" spans="1:9" x14ac:dyDescent="0.25">
      <c r="A3577" s="1">
        <v>-10.016394853591899</v>
      </c>
      <c r="B3577">
        <v>-45.150109450317601</v>
      </c>
      <c r="C3577">
        <v>0.29449001032980299</v>
      </c>
      <c r="D3577">
        <v>0</v>
      </c>
      <c r="E3577">
        <v>0</v>
      </c>
      <c r="F3577">
        <v>0</v>
      </c>
      <c r="G3577">
        <v>5.3244263738872605E-4</v>
      </c>
      <c r="H3577">
        <v>0.95420681886720105</v>
      </c>
      <c r="I3577">
        <v>0</v>
      </c>
    </row>
    <row r="3578" spans="1:9" x14ac:dyDescent="0.25">
      <c r="A3578" s="1">
        <v>-8.2808375358581507</v>
      </c>
      <c r="B3578">
        <v>-37.327724644340201</v>
      </c>
      <c r="C3578">
        <v>0.37834442495767001</v>
      </c>
      <c r="D3578">
        <v>0</v>
      </c>
      <c r="E3578">
        <v>0</v>
      </c>
      <c r="F3578">
        <v>0</v>
      </c>
      <c r="G3578">
        <v>8.5616194180511201E-4</v>
      </c>
      <c r="H3578">
        <v>0.95998249027910598</v>
      </c>
      <c r="I3578">
        <v>0</v>
      </c>
    </row>
    <row r="3579" spans="1:9" x14ac:dyDescent="0.25">
      <c r="A3579" s="1">
        <v>-6.6885209083557102</v>
      </c>
      <c r="B3579">
        <v>-30.150899778105</v>
      </c>
      <c r="C3579">
        <v>0.48865846261068802</v>
      </c>
      <c r="D3579">
        <v>0</v>
      </c>
      <c r="E3579">
        <v>0</v>
      </c>
      <c r="F3579">
        <v>0</v>
      </c>
      <c r="G3579">
        <v>1.4226785444783399E-3</v>
      </c>
      <c r="H3579">
        <v>0.96583273658227697</v>
      </c>
      <c r="I3579">
        <v>0</v>
      </c>
    </row>
    <row r="3580" spans="1:9" x14ac:dyDescent="0.25">
      <c r="A3580" s="1">
        <v>-5.2277201414108196</v>
      </c>
      <c r="B3580">
        <v>-23.566381463951998</v>
      </c>
      <c r="C3580">
        <v>0.63677730632210305</v>
      </c>
      <c r="D3580">
        <v>0</v>
      </c>
      <c r="E3580">
        <v>0</v>
      </c>
      <c r="F3580">
        <v>0</v>
      </c>
      <c r="G3580">
        <v>2.4676887469008701E-3</v>
      </c>
      <c r="H3580">
        <v>0.97165232267729795</v>
      </c>
      <c r="I3580">
        <v>0</v>
      </c>
    </row>
    <row r="3581" spans="1:9" x14ac:dyDescent="0.25">
      <c r="A3581" s="1">
        <v>-3.88755798339843</v>
      </c>
      <c r="B3581">
        <v>-17.5253042964112</v>
      </c>
      <c r="C3581">
        <v>0.84156308561341098</v>
      </c>
      <c r="D3581">
        <v>0</v>
      </c>
      <c r="E3581">
        <v>0</v>
      </c>
      <c r="F3581">
        <v>0</v>
      </c>
      <c r="G3581">
        <v>4.5129685838191996E-3</v>
      </c>
      <c r="H3581">
        <v>0.97723556679530199</v>
      </c>
      <c r="I3581">
        <v>0</v>
      </c>
    </row>
    <row r="3582" spans="1:9" x14ac:dyDescent="0.25">
      <c r="A3582" s="1">
        <v>-2.6580518484115601</v>
      </c>
      <c r="B3582">
        <v>-11.982835634596301</v>
      </c>
      <c r="C3582">
        <v>1.1362713096825301</v>
      </c>
      <c r="D3582">
        <v>0</v>
      </c>
      <c r="E3582">
        <v>0</v>
      </c>
      <c r="F3582">
        <v>0</v>
      </c>
      <c r="G3582">
        <v>8.7906208569847807E-3</v>
      </c>
      <c r="H3582">
        <v>0.98234410583294396</v>
      </c>
      <c r="I3582">
        <v>0</v>
      </c>
    </row>
    <row r="3583" spans="1:9" x14ac:dyDescent="0.25">
      <c r="A3583" s="1">
        <v>-1.5300196409225399</v>
      </c>
      <c r="B3583">
        <v>-6.8978329216909504</v>
      </c>
      <c r="C3583">
        <v>1.5834435885021101</v>
      </c>
      <c r="D3583">
        <v>0</v>
      </c>
      <c r="E3583">
        <v>0</v>
      </c>
      <c r="F3583">
        <v>0</v>
      </c>
      <c r="G3583">
        <v>1.8471493468759901E-2</v>
      </c>
      <c r="H3583">
        <v>0.98680291011124899</v>
      </c>
      <c r="I3583">
        <v>0</v>
      </c>
    </row>
    <row r="3584" spans="1:9" x14ac:dyDescent="0.25">
      <c r="A3584" s="1">
        <v>-0.49517393112182601</v>
      </c>
      <c r="B3584">
        <v>-2.23254697377206</v>
      </c>
      <c r="C3584">
        <v>2.31046395392088</v>
      </c>
      <c r="D3584">
        <v>0</v>
      </c>
      <c r="E3584">
        <v>0</v>
      </c>
      <c r="F3584">
        <v>0</v>
      </c>
      <c r="G3584">
        <v>4.3312101274059302E-2</v>
      </c>
      <c r="H3584">
        <v>0.99067219974028697</v>
      </c>
      <c r="I3584">
        <v>0</v>
      </c>
    </row>
    <row r="3585" spans="1:9" x14ac:dyDescent="0.25">
      <c r="A3585" s="1">
        <v>0.49376130104064903</v>
      </c>
      <c r="B3585">
        <v>0.35166528766630401</v>
      </c>
      <c r="C3585">
        <v>2.9939983734801401</v>
      </c>
      <c r="D3585">
        <v>0.257736962929633</v>
      </c>
      <c r="E3585">
        <v>-3.8317090405382199E-4</v>
      </c>
      <c r="F3585" s="1">
        <v>8.8607636373000195E-5</v>
      </c>
      <c r="G3585">
        <v>2.8923286279663799E-2</v>
      </c>
      <c r="H3585">
        <v>0.80329191792775601</v>
      </c>
      <c r="I3585" s="1">
        <v>5.3347798326651301E-7</v>
      </c>
    </row>
    <row r="3586" spans="1:9" x14ac:dyDescent="0.25">
      <c r="A3586" s="1">
        <v>1.5257111191749499</v>
      </c>
      <c r="B3586">
        <v>1.0859042579459901</v>
      </c>
      <c r="C3586">
        <v>3.2677672348957101</v>
      </c>
      <c r="D3586">
        <v>0.86895846094686802</v>
      </c>
      <c r="E3586">
        <v>-3.5517185284779399E-3</v>
      </c>
      <c r="F3586">
        <v>3.0306041517428201E-4</v>
      </c>
      <c r="G3586">
        <v>4.6151484148966797E-2</v>
      </c>
      <c r="H3586">
        <v>0.86121964164591502</v>
      </c>
      <c r="I3586" s="1">
        <v>2.2956723227151702E-5</v>
      </c>
    </row>
    <row r="3587" spans="1:9" x14ac:dyDescent="0.25">
      <c r="A3587" s="1">
        <v>2.6505178213119498</v>
      </c>
      <c r="B3587">
        <v>1.8801541084575399</v>
      </c>
      <c r="C3587">
        <v>3.6383135499157202</v>
      </c>
      <c r="D3587">
        <v>1.65591556974766</v>
      </c>
      <c r="E3587">
        <v>-1.4147881098915E-2</v>
      </c>
      <c r="F3587">
        <v>5.8149806572473399E-4</v>
      </c>
      <c r="G3587">
        <v>6.5946662225555994E-2</v>
      </c>
      <c r="H3587">
        <v>0.88716870292667604</v>
      </c>
      <c r="I3587">
        <v>1.3311899346350999E-4</v>
      </c>
    </row>
    <row r="3588" spans="1:9" x14ac:dyDescent="0.25">
      <c r="A3588" s="1">
        <v>3.8765159249305698</v>
      </c>
      <c r="B3588">
        <v>2.7305617729353702</v>
      </c>
      <c r="C3588">
        <v>4.1384859079360501</v>
      </c>
      <c r="D3588">
        <v>2.6442730930840601</v>
      </c>
      <c r="E3588">
        <v>-3.6494824173948399E-2</v>
      </c>
      <c r="F3588">
        <v>9.1652426012506E-4</v>
      </c>
      <c r="G3588">
        <v>8.37355848431586E-2</v>
      </c>
      <c r="H3588">
        <v>0.89331698081055</v>
      </c>
      <c r="I3588">
        <v>3.40355020282992E-4</v>
      </c>
    </row>
    <row r="3589" spans="1:9" x14ac:dyDescent="0.25">
      <c r="A3589" s="1">
        <v>5.2129346132278398</v>
      </c>
      <c r="B3589">
        <v>3.6267799714732001</v>
      </c>
      <c r="C3589">
        <v>4.7796392921152604</v>
      </c>
      <c r="D3589">
        <v>3.8095395239741698</v>
      </c>
      <c r="E3589">
        <v>-7.5308814445638902E-2</v>
      </c>
      <c r="F3589">
        <v>1.2696562079249601E-3</v>
      </c>
      <c r="G3589">
        <v>9.5420590684941797E-2</v>
      </c>
      <c r="H3589">
        <v>0.88501799762288302</v>
      </c>
      <c r="I3589">
        <v>7.0119833897605598E-4</v>
      </c>
    </row>
    <row r="3590" spans="1:9" x14ac:dyDescent="0.25">
      <c r="A3590" s="1">
        <v>6.6695916652679399</v>
      </c>
      <c r="B3590">
        <v>4.5505379820394296</v>
      </c>
      <c r="C3590">
        <v>5.5262978210666898</v>
      </c>
      <c r="D3590">
        <v>5.05030044000838</v>
      </c>
      <c r="E3590">
        <v>-0.133075128178159</v>
      </c>
      <c r="F3590">
        <v>1.5727105812955501E-3</v>
      </c>
      <c r="G3590">
        <v>0.100378285636117</v>
      </c>
      <c r="H3590">
        <v>0.86522129840700601</v>
      </c>
      <c r="I3590">
        <v>1.6176182410068401E-3</v>
      </c>
    </row>
    <row r="3591" spans="1:9" x14ac:dyDescent="0.25">
      <c r="A3591" s="1">
        <v>8.2573878765106201</v>
      </c>
      <c r="B3591">
        <v>5.4766195336508501</v>
      </c>
      <c r="C3591">
        <v>6.2890880716317001</v>
      </c>
      <c r="D3591">
        <v>6.20240421312241</v>
      </c>
      <c r="E3591">
        <v>-0.20805999317659199</v>
      </c>
      <c r="F3591">
        <v>1.74869900295022E-3</v>
      </c>
      <c r="G3591">
        <v>0.10179930040004199</v>
      </c>
      <c r="H3591">
        <v>0.83795857426092901</v>
      </c>
      <c r="I3591">
        <v>4.04844132473468E-3</v>
      </c>
    </row>
    <row r="3592" spans="1:9" x14ac:dyDescent="0.25">
      <c r="A3592" s="1">
        <v>9.9880245327949506</v>
      </c>
      <c r="B3592">
        <v>6.37691646610973</v>
      </c>
      <c r="C3592">
        <v>6.9526506941948698</v>
      </c>
      <c r="D3592">
        <v>7.1027252777763996</v>
      </c>
      <c r="E3592">
        <v>-0.29418057659075297</v>
      </c>
      <c r="F3592">
        <v>1.73664998319083E-3</v>
      </c>
      <c r="G3592">
        <v>0.10359679619975901</v>
      </c>
      <c r="H3592">
        <v>0.80888338819600003</v>
      </c>
      <c r="I3592">
        <v>8.0770874435727395E-3</v>
      </c>
    </row>
    <row r="3593" spans="1:9" x14ac:dyDescent="0.25">
      <c r="A3593" s="1">
        <v>11.874474287032999</v>
      </c>
      <c r="B3593">
        <v>7.2265050405788198</v>
      </c>
      <c r="C3593">
        <v>7.4237646076363299</v>
      </c>
      <c r="D3593">
        <v>7.6565598133892001</v>
      </c>
      <c r="E3593">
        <v>-0.38334589079626602</v>
      </c>
      <c r="F3593">
        <v>1.53668920221657E-3</v>
      </c>
      <c r="G3593">
        <v>0.106909992011665</v>
      </c>
      <c r="H3593">
        <v>0.78190553992756595</v>
      </c>
      <c r="I3593">
        <v>1.09953879576308E-2</v>
      </c>
    </row>
    <row r="3594" spans="1:9" x14ac:dyDescent="0.25">
      <c r="A3594" s="1">
        <v>13.9306750893592</v>
      </c>
      <c r="B3594">
        <v>8.0085604796337897</v>
      </c>
      <c r="C3594">
        <v>7.6623314189040999</v>
      </c>
      <c r="D3594">
        <v>7.8584465553288396</v>
      </c>
      <c r="E3594">
        <v>-0.46843577974818301</v>
      </c>
      <c r="F3594">
        <v>1.2206809604563E-3</v>
      </c>
      <c r="G3594">
        <v>0.110120244733176</v>
      </c>
      <c r="H3594">
        <v>0.75736839413911194</v>
      </c>
      <c r="I3594">
        <v>1.01247190378379E-2</v>
      </c>
    </row>
    <row r="3595" spans="1:9" x14ac:dyDescent="0.25">
      <c r="A3595" s="1">
        <v>16.171883344650201</v>
      </c>
      <c r="B3595">
        <v>8.7157109731960105</v>
      </c>
      <c r="C3595">
        <v>7.6788070748427701</v>
      </c>
      <c r="D3595">
        <v>7.7650733841827098</v>
      </c>
      <c r="E3595">
        <v>-0.54484720001492204</v>
      </c>
      <c r="F3595">
        <v>9.0629529220856398E-4</v>
      </c>
      <c r="G3595">
        <v>0.111263916389037</v>
      </c>
      <c r="H3595">
        <v>0.73399462886619504</v>
      </c>
      <c r="I3595">
        <v>5.83451468729202E-3</v>
      </c>
    </row>
    <row r="3596" spans="1:9" x14ac:dyDescent="0.25">
      <c r="A3596" s="1">
        <v>18.614838719367899</v>
      </c>
      <c r="B3596">
        <v>9.3481989050435796</v>
      </c>
      <c r="C3596">
        <v>7.5130587713872696</v>
      </c>
      <c r="D3596">
        <v>7.4564002779288998</v>
      </c>
      <c r="E3596">
        <v>-0.61048001918154204</v>
      </c>
      <c r="F3596">
        <v>7.1657504436977099E-4</v>
      </c>
      <c r="G3596">
        <v>0.109542435145059</v>
      </c>
      <c r="H3596">
        <v>0.71076727016069396</v>
      </c>
      <c r="I3596">
        <v>2.3370586346393299E-4</v>
      </c>
    </row>
    <row r="3597" spans="1:9" x14ac:dyDescent="0.25">
      <c r="A3597" s="1">
        <v>21.2777170538902</v>
      </c>
      <c r="B3597">
        <v>9.9109555313515507</v>
      </c>
      <c r="C3597">
        <v>7.21407282838305</v>
      </c>
      <c r="D3597">
        <v>7.0089368629388904</v>
      </c>
      <c r="E3597">
        <v>-0.66500876670857001</v>
      </c>
      <c r="F3597">
        <v>7.4071298065808699E-4</v>
      </c>
      <c r="G3597">
        <v>0.10528307979278401</v>
      </c>
      <c r="H3597">
        <v>0.68735643568661897</v>
      </c>
      <c r="I3597">
        <v>-4.9502454888799598E-3</v>
      </c>
    </row>
    <row r="3598" spans="1:9" x14ac:dyDescent="0.25">
      <c r="A3598" s="1">
        <v>24.180224537849401</v>
      </c>
      <c r="B3598">
        <v>10.4111437106656</v>
      </c>
      <c r="C3598">
        <v>6.8279747874873404</v>
      </c>
      <c r="D3598">
        <v>6.4847691945393304</v>
      </c>
      <c r="E3598">
        <v>-0.709109096962101</v>
      </c>
      <c r="F3598">
        <v>1.01609625331406E-3</v>
      </c>
      <c r="G3598">
        <v>9.9297732268550501E-2</v>
      </c>
      <c r="H3598">
        <v>0.66388416441363896</v>
      </c>
      <c r="I3598">
        <v>-8.9646977150889592E-3</v>
      </c>
    </row>
    <row r="3599" spans="1:9" x14ac:dyDescent="0.25">
      <c r="A3599" s="1">
        <v>27.343950867652801</v>
      </c>
      <c r="B3599">
        <v>10.856603304498099</v>
      </c>
      <c r="C3599">
        <v>6.3931628273098404</v>
      </c>
      <c r="D3599">
        <v>5.9296334354764797</v>
      </c>
      <c r="E3599">
        <v>-0.74389222561628598</v>
      </c>
      <c r="F3599">
        <v>1.47601142581884E-3</v>
      </c>
      <c r="G3599">
        <v>9.2359652710729295E-2</v>
      </c>
      <c r="H3599">
        <v>0.64069646992511997</v>
      </c>
      <c r="I3599">
        <v>-1.1701007496917199E-2</v>
      </c>
    </row>
    <row r="3600" spans="1:9" x14ac:dyDescent="0.25">
      <c r="A3600" s="1">
        <v>30.7923927903175</v>
      </c>
      <c r="B3600">
        <v>11.2550822356867</v>
      </c>
      <c r="C3600">
        <v>5.93932803701572</v>
      </c>
      <c r="D3600">
        <v>5.3754994240030003</v>
      </c>
      <c r="E3600">
        <v>-0.77057794563172599</v>
      </c>
      <c r="F3600">
        <v>2.0292956597251898E-3</v>
      </c>
      <c r="G3600">
        <v>8.5007919093710499E-2</v>
      </c>
      <c r="H3600">
        <v>0.61822209938145201</v>
      </c>
      <c r="I3600">
        <v>-1.32984433914338E-2</v>
      </c>
    </row>
    <row r="3601" spans="1:9" x14ac:dyDescent="0.25">
      <c r="A3601" s="1">
        <v>34.551213085651298</v>
      </c>
      <c r="B3601">
        <v>11.613852017574199</v>
      </c>
      <c r="C3601">
        <v>5.4880604503527604</v>
      </c>
      <c r="D3601">
        <v>4.8435209799851702</v>
      </c>
      <c r="E3601">
        <v>-0.79033831776531505</v>
      </c>
      <c r="F3601">
        <v>2.6217365873494199E-3</v>
      </c>
      <c r="G3601">
        <v>7.7558487041662794E-2</v>
      </c>
      <c r="H3601">
        <v>0.59688221711676603</v>
      </c>
      <c r="I3601">
        <v>-1.39564170967019E-2</v>
      </c>
    </row>
    <row r="3602" spans="1:9" x14ac:dyDescent="0.25">
      <c r="A3602" s="1">
        <v>38.6483111977577</v>
      </c>
      <c r="B3602">
        <v>11.9395071605372</v>
      </c>
      <c r="C3602">
        <v>5.0539678336804696</v>
      </c>
      <c r="D3602">
        <v>4.3464194287609903</v>
      </c>
      <c r="E3602">
        <v>-0.80419519718189703</v>
      </c>
      <c r="F3602">
        <v>3.1216409467736601E-3</v>
      </c>
      <c r="G3602">
        <v>7.0199792374078099E-2</v>
      </c>
      <c r="H3602">
        <v>0.577072505926431</v>
      </c>
      <c r="I3602">
        <v>-1.3875160920006501E-2</v>
      </c>
    </row>
    <row r="3603" spans="1:9" x14ac:dyDescent="0.25">
      <c r="A3603" s="1">
        <v>43.1141293048858</v>
      </c>
      <c r="B3603">
        <v>12.237889949433701</v>
      </c>
      <c r="C3603">
        <v>4.6460911960417999</v>
      </c>
      <c r="D3603">
        <v>3.8914525626008598</v>
      </c>
      <c r="E3603">
        <v>-0.81298962341654701</v>
      </c>
      <c r="F3603">
        <v>3.4813433216791998E-3</v>
      </c>
      <c r="G3603">
        <v>6.3058260344987696E-2</v>
      </c>
      <c r="H3603">
        <v>0.55906753411198795</v>
      </c>
      <c r="I3603">
        <v>-1.3242330213874901E-2</v>
      </c>
    </row>
    <row r="3604" spans="1:9" x14ac:dyDescent="0.25">
      <c r="A3604" s="1">
        <v>47.981887757778097</v>
      </c>
      <c r="B3604">
        <v>12.514048653297399</v>
      </c>
      <c r="C3604">
        <v>4.2693268803409401</v>
      </c>
      <c r="D3604">
        <v>3.4817974641624199</v>
      </c>
      <c r="E3604">
        <v>-0.81742689805436897</v>
      </c>
      <c r="F3604">
        <v>3.6429724060550498E-3</v>
      </c>
      <c r="G3604">
        <v>5.6223351631485403E-2</v>
      </c>
      <c r="H3604">
        <v>0.54289481537926998</v>
      </c>
      <c r="I3604">
        <v>-1.2239020916874101E-2</v>
      </c>
    </row>
    <row r="3605" spans="1:9" x14ac:dyDescent="0.25">
      <c r="A3605" s="1">
        <v>53.287820518016801</v>
      </c>
      <c r="B3605">
        <v>12.7721873769688</v>
      </c>
      <c r="C3605">
        <v>3.92530356725874</v>
      </c>
      <c r="D3605">
        <v>3.1172461104627698</v>
      </c>
      <c r="E3605">
        <v>-0.81804132811302199</v>
      </c>
      <c r="F3605">
        <v>3.5498769019509701E-3</v>
      </c>
      <c r="G3605">
        <v>4.9790966726876502E-2</v>
      </c>
      <c r="H3605">
        <v>0.52854366454670898</v>
      </c>
      <c r="I3605">
        <v>-1.10289515131957E-2</v>
      </c>
    </row>
    <row r="3606" spans="1:9" x14ac:dyDescent="0.25">
      <c r="A3606" s="1">
        <v>59.071175158023799</v>
      </c>
      <c r="B3606">
        <v>13.015816506199799</v>
      </c>
      <c r="C3606">
        <v>3.6135886206058898</v>
      </c>
      <c r="D3606">
        <v>2.7956332034078701</v>
      </c>
      <c r="E3606">
        <v>-0.81524091343560501</v>
      </c>
      <c r="F3606">
        <v>3.1508464042674898E-3</v>
      </c>
      <c r="G3606">
        <v>4.3858459826010901E-2</v>
      </c>
      <c r="H3606">
        <v>0.51591236756701897</v>
      </c>
      <c r="I3606">
        <v>-9.7651158741634408E-3</v>
      </c>
    </row>
    <row r="3607" spans="1:9" x14ac:dyDescent="0.25">
      <c r="A3607" s="1">
        <v>65.375131070613804</v>
      </c>
      <c r="B3607">
        <v>13.2478613624501</v>
      </c>
      <c r="C3607">
        <v>3.3327456424523598</v>
      </c>
      <c r="D3607">
        <v>2.5138789914052801</v>
      </c>
      <c r="E3607">
        <v>-0.80932921801169</v>
      </c>
      <c r="F3607">
        <v>2.53592804587063E-3</v>
      </c>
      <c r="G3607">
        <v>3.8474947238727797E-2</v>
      </c>
      <c r="H3607">
        <v>0.50460164872444002</v>
      </c>
      <c r="I3607">
        <v>-8.5469617704409095E-3</v>
      </c>
    </row>
    <row r="3608" spans="1:9" x14ac:dyDescent="0.25">
      <c r="A3608" s="1">
        <v>72.246375679969702</v>
      </c>
      <c r="B3608">
        <v>13.470695635132699</v>
      </c>
      <c r="C3608">
        <v>3.0801098571163599</v>
      </c>
      <c r="D3608">
        <v>2.2680917703792001</v>
      </c>
      <c r="E3608">
        <v>-0.80054098426394604</v>
      </c>
      <c r="F3608">
        <v>1.8051419287993501E-3</v>
      </c>
      <c r="G3608">
        <v>3.3665069253047498E-2</v>
      </c>
      <c r="H3608">
        <v>0.49434153261907998</v>
      </c>
      <c r="I3608">
        <v>-7.4360168310200203E-3</v>
      </c>
    </row>
    <row r="3609" spans="1:9" x14ac:dyDescent="0.25">
      <c r="A3609" s="1">
        <v>79.736069738864799</v>
      </c>
      <c r="B3609">
        <v>13.686291826717801</v>
      </c>
      <c r="C3609">
        <v>2.85229199498009</v>
      </c>
      <c r="D3609">
        <v>2.0535866709072299</v>
      </c>
      <c r="E3609">
        <v>-0.78901471895163899</v>
      </c>
      <c r="F3609">
        <v>1.1393216112809701E-3</v>
      </c>
      <c r="G3609">
        <v>2.93886860312518E-2</v>
      </c>
      <c r="H3609">
        <v>0.48468622142791201</v>
      </c>
      <c r="I3609">
        <v>-6.4400575703112096E-3</v>
      </c>
    </row>
    <row r="3610" spans="1:9" x14ac:dyDescent="0.25">
      <c r="A3610" s="1">
        <v>87.899753153324099</v>
      </c>
      <c r="B3610">
        <v>13.896229610793499</v>
      </c>
      <c r="C3610">
        <v>2.64564812623495</v>
      </c>
      <c r="D3610">
        <v>1.8655847009315401</v>
      </c>
      <c r="E3610">
        <v>-0.77479312540915302</v>
      </c>
      <c r="F3610">
        <v>7.49977193299369E-4</v>
      </c>
      <c r="G3610">
        <v>2.5607823934350599E-2</v>
      </c>
      <c r="H3610">
        <v>0.47552005508817802</v>
      </c>
      <c r="I3610">
        <v>-5.5662063058152696E-3</v>
      </c>
    </row>
    <row r="3611" spans="1:9" x14ac:dyDescent="0.25">
      <c r="A3611" s="1">
        <v>96.798263192176805</v>
      </c>
      <c r="B3611">
        <v>14.1017292643117</v>
      </c>
      <c r="C3611">
        <v>2.4568719604264202</v>
      </c>
      <c r="D3611">
        <v>1.70059704609412</v>
      </c>
      <c r="E3611">
        <v>-0.75795180921273397</v>
      </c>
      <c r="F3611">
        <v>8.1736768525067602E-4</v>
      </c>
      <c r="G3611">
        <v>2.2276953751233598E-2</v>
      </c>
      <c r="H3611">
        <v>0.46660228622219801</v>
      </c>
      <c r="I3611">
        <v>-4.8042191101611504E-3</v>
      </c>
    </row>
    <row r="3612" spans="1:9" x14ac:dyDescent="0.25">
      <c r="A3612" s="1">
        <v>106.497616767883</v>
      </c>
      <c r="B3612">
        <v>14.303860619120501</v>
      </c>
      <c r="C3612">
        <v>2.2826457616981402</v>
      </c>
      <c r="D3612">
        <v>1.5541333799047601</v>
      </c>
      <c r="E3612">
        <v>-0.73840210249636895</v>
      </c>
      <c r="F3612">
        <v>1.07431846348595E-3</v>
      </c>
      <c r="G3612">
        <v>1.9356709017674601E-2</v>
      </c>
      <c r="H3612">
        <v>0.45791447243630701</v>
      </c>
      <c r="I3612">
        <v>-4.1466080822559898E-3</v>
      </c>
    </row>
    <row r="3613" spans="1:9" x14ac:dyDescent="0.25">
      <c r="A3613" s="1">
        <v>117.06990510225199</v>
      </c>
      <c r="B3613">
        <v>14.5037687296199</v>
      </c>
      <c r="C3613">
        <v>2.1190228693630502</v>
      </c>
      <c r="D3613">
        <v>1.42261861799664</v>
      </c>
      <c r="E3613">
        <v>-0.71590659807368395</v>
      </c>
      <c r="F3613">
        <v>1.2527007462238499E-3</v>
      </c>
      <c r="G3613">
        <v>1.68036910002544E-2</v>
      </c>
      <c r="H3613">
        <v>0.45006201742086699</v>
      </c>
      <c r="I3613">
        <v>-3.58009865260443E-3</v>
      </c>
    </row>
    <row r="3614" spans="1:9" x14ac:dyDescent="0.25">
      <c r="A3614" s="1">
        <v>128.593670427799</v>
      </c>
      <c r="B3614">
        <v>14.7023980567383</v>
      </c>
      <c r="C3614">
        <v>1.9640157893928201</v>
      </c>
      <c r="D3614">
        <v>1.30340110543954</v>
      </c>
      <c r="E3614">
        <v>-0.690501660842471</v>
      </c>
      <c r="F3614">
        <v>1.5477383179921601E-3</v>
      </c>
      <c r="G3614">
        <v>1.4541993349587499E-2</v>
      </c>
      <c r="H3614">
        <v>0.44264453049788199</v>
      </c>
      <c r="I3614">
        <v>-3.0750454864862499E-3</v>
      </c>
    </row>
    <row r="3615" spans="1:9" x14ac:dyDescent="0.25">
      <c r="A3615" s="1">
        <v>141.15461230278001</v>
      </c>
      <c r="B3615">
        <v>14.9001999357867</v>
      </c>
      <c r="C3615">
        <v>1.81575949355877</v>
      </c>
      <c r="D3615">
        <v>1.19376923623895</v>
      </c>
      <c r="E3615">
        <v>-0.66196945886869296</v>
      </c>
      <c r="F3615">
        <v>2.1812463773872E-3</v>
      </c>
      <c r="G3615">
        <v>1.25227656958784E-2</v>
      </c>
      <c r="H3615">
        <v>0.43544995043777601</v>
      </c>
      <c r="I3615">
        <v>-2.6225396599244598E-3</v>
      </c>
    </row>
    <row r="3616" spans="1:9" x14ac:dyDescent="0.25">
      <c r="A3616" s="1">
        <v>154.84601140022201</v>
      </c>
      <c r="B3616">
        <v>15.096957057170799</v>
      </c>
      <c r="C3616">
        <v>1.6727842491980001</v>
      </c>
      <c r="D3616">
        <v>1.0919908210685501</v>
      </c>
      <c r="E3616">
        <v>-0.63013417336639799</v>
      </c>
      <c r="F3616">
        <v>2.2991677684234E-3</v>
      </c>
      <c r="G3616">
        <v>1.07107233822197E-2</v>
      </c>
      <c r="H3616">
        <v>0.42797439701149298</v>
      </c>
      <c r="I3616">
        <v>-2.2155652524192002E-3</v>
      </c>
    </row>
    <row r="3617" spans="1:9" x14ac:dyDescent="0.25">
      <c r="A3617" s="1">
        <v>169.76969480514501</v>
      </c>
      <c r="B3617">
        <v>15.292627630584199</v>
      </c>
      <c r="C3617">
        <v>1.5327736500470399</v>
      </c>
      <c r="D3617">
        <v>0.99544031622085805</v>
      </c>
      <c r="E3617">
        <v>-0.59453114713023103</v>
      </c>
      <c r="F3617">
        <v>1.91235511003223E-3</v>
      </c>
      <c r="G3617">
        <v>9.0888886921076401E-3</v>
      </c>
      <c r="H3617">
        <v>0.42050770859178799</v>
      </c>
      <c r="I3617">
        <v>-1.8510968193388899E-3</v>
      </c>
    </row>
    <row r="3618" spans="1:9" x14ac:dyDescent="0.25">
      <c r="A3618" s="1">
        <v>186.03645980358101</v>
      </c>
      <c r="B3618">
        <v>15.4877214977669</v>
      </c>
      <c r="C3618">
        <v>1.3938732548738899</v>
      </c>
      <c r="D3618">
        <v>0.90263465092997097</v>
      </c>
      <c r="E3618">
        <v>-0.55468018283913301</v>
      </c>
      <c r="F3618">
        <v>1.73044853487699E-3</v>
      </c>
      <c r="G3618">
        <v>7.6377146249211898E-3</v>
      </c>
      <c r="H3618">
        <v>0.41359088894006801</v>
      </c>
      <c r="I3618">
        <v>-1.52766432896531E-3</v>
      </c>
    </row>
    <row r="3619" spans="1:9" x14ac:dyDescent="0.25">
      <c r="A3619" s="1">
        <v>203.76720398664401</v>
      </c>
      <c r="B3619">
        <v>15.6817873234081</v>
      </c>
      <c r="C3619">
        <v>1.25603155937029</v>
      </c>
      <c r="D3619">
        <v>0.81194139120183495</v>
      </c>
      <c r="E3619">
        <v>-0.510472192576508</v>
      </c>
      <c r="F3619">
        <v>1.49786150208575E-3</v>
      </c>
      <c r="G3619">
        <v>6.3323496425968804E-3</v>
      </c>
      <c r="H3619">
        <v>0.406291956243995</v>
      </c>
      <c r="I3619">
        <v>-1.2390151228271E-3</v>
      </c>
    </row>
    <row r="3620" spans="1:9" x14ac:dyDescent="0.25">
      <c r="A3620" s="1">
        <v>223.09376105666101</v>
      </c>
      <c r="B3620">
        <v>15.8731785694289</v>
      </c>
      <c r="C3620">
        <v>1.11831283040264</v>
      </c>
      <c r="D3620">
        <v>0.72200147509515999</v>
      </c>
      <c r="E3620">
        <v>-0.46145190756486798</v>
      </c>
      <c r="F3620">
        <v>1.1758975749747501E-3</v>
      </c>
      <c r="G3620">
        <v>5.1476174063952397E-3</v>
      </c>
      <c r="H3620">
        <v>0.39888878133082101</v>
      </c>
      <c r="I3620">
        <v>-9.7512269703717801E-4</v>
      </c>
    </row>
    <row r="3621" spans="1:9" x14ac:dyDescent="0.25">
      <c r="A3621" s="1">
        <v>244.15970131754801</v>
      </c>
      <c r="B3621">
        <v>16.060482723467299</v>
      </c>
      <c r="C3621">
        <v>0.97978448232282001</v>
      </c>
      <c r="D3621">
        <v>0.63166934313553402</v>
      </c>
      <c r="E3621">
        <v>-0.40701608988961002</v>
      </c>
      <c r="F3621">
        <v>3.92377190606932E-4</v>
      </c>
      <c r="G3621">
        <v>4.0835686855969604E-3</v>
      </c>
      <c r="H3621">
        <v>0.39200655432229398</v>
      </c>
      <c r="I3621">
        <v>-7.3994577428749305E-4</v>
      </c>
    </row>
    <row r="3622" spans="1:9" x14ac:dyDescent="0.25">
      <c r="A3622" s="1">
        <v>267.12157949805197</v>
      </c>
      <c r="B3622">
        <v>16.240858044676699</v>
      </c>
      <c r="C3622">
        <v>0.84133753966353797</v>
      </c>
      <c r="D3622">
        <v>0.54124123193228602</v>
      </c>
      <c r="E3622">
        <v>-0.34680541447237101</v>
      </c>
      <c r="F3622">
        <v>-6.2155363420391503E-4</v>
      </c>
      <c r="G3622">
        <v>3.1505415493230998E-3</v>
      </c>
      <c r="H3622">
        <v>0.38613160899177901</v>
      </c>
      <c r="I3622">
        <v>-5.4137505016088995E-4</v>
      </c>
    </row>
    <row r="3623" spans="1:9" x14ac:dyDescent="0.25">
      <c r="A3623" s="1">
        <v>292.15002954006098</v>
      </c>
      <c r="B3623">
        <v>16.409573870353601</v>
      </c>
      <c r="C3623">
        <v>0.703394695421241</v>
      </c>
      <c r="D3623">
        <v>0.44988365750958098</v>
      </c>
      <c r="E3623">
        <v>-0.28030480580733202</v>
      </c>
      <c r="F3623">
        <v>-1.1985399234809E-3</v>
      </c>
      <c r="G3623">
        <v>2.35341294295113E-3</v>
      </c>
      <c r="H3623">
        <v>0.38249104790703597</v>
      </c>
      <c r="I3623">
        <v>-3.8077715240646901E-4</v>
      </c>
    </row>
    <row r="3624" spans="1:9" x14ac:dyDescent="0.25">
      <c r="A3624" s="1">
        <v>319.43101242184599</v>
      </c>
      <c r="B3624">
        <v>16.5571605170297</v>
      </c>
      <c r="C3624">
        <v>0.57323129080486301</v>
      </c>
      <c r="D3624">
        <v>0.36203850746459498</v>
      </c>
      <c r="E3624">
        <v>-0.20719365398157899</v>
      </c>
      <c r="F3624">
        <v>-9.2463651710989305E-4</v>
      </c>
      <c r="G3624">
        <v>1.7089228699518099E-3</v>
      </c>
      <c r="H3624">
        <v>0.38237948121904403</v>
      </c>
      <c r="I3624">
        <v>-2.62723722491313E-4</v>
      </c>
    </row>
    <row r="3625" spans="1:9" x14ac:dyDescent="0.25">
      <c r="A3625" s="1">
        <v>349.16732590645501</v>
      </c>
      <c r="B3625">
        <v>16.671657598965101</v>
      </c>
      <c r="C3625">
        <v>0.46511101478131101</v>
      </c>
      <c r="D3625">
        <v>0.28733246165332399</v>
      </c>
      <c r="E3625">
        <v>-0.126162430023358</v>
      </c>
      <c r="F3625">
        <v>-1.0558915751223601E-3</v>
      </c>
      <c r="G3625">
        <v>1.2639563149945E-3</v>
      </c>
      <c r="H3625">
        <v>0.38692860534503298</v>
      </c>
      <c r="I3625">
        <v>-1.9260709479330799E-4</v>
      </c>
    </row>
    <row r="3626" spans="1:9" x14ac:dyDescent="0.25">
      <c r="A3626" s="1">
        <v>379.83785875141598</v>
      </c>
      <c r="B3626">
        <v>16.732111456446599</v>
      </c>
      <c r="C3626">
        <v>0.40337176324405899</v>
      </c>
      <c r="D3626">
        <v>0.243604737992755</v>
      </c>
      <c r="E3626">
        <v>-4.1668157261526201E-2</v>
      </c>
      <c r="F3626">
        <v>-1.3996770009741899E-3</v>
      </c>
      <c r="G3626">
        <v>1.0324579479351901E-3</v>
      </c>
      <c r="H3626">
        <v>0.40775451300930998</v>
      </c>
      <c r="I3626">
        <v>-1.52843540785666E-4</v>
      </c>
    </row>
    <row r="3627" spans="1:9" x14ac:dyDescent="0.25">
      <c r="A3627" s="1" t="s">
        <v>572</v>
      </c>
      <c r="B3627" s="1" t="s">
        <v>614</v>
      </c>
      <c r="C3627" s="1" t="s">
        <v>615</v>
      </c>
      <c r="D3627" s="1" t="s">
        <v>616</v>
      </c>
      <c r="E3627" s="1" t="s">
        <v>617</v>
      </c>
      <c r="F3627" s="1" t="s">
        <v>618</v>
      </c>
      <c r="G3627" s="1" t="s">
        <v>400</v>
      </c>
      <c r="H3627" s="1" t="s">
        <v>619</v>
      </c>
      <c r="I3627" s="1" t="s">
        <v>613</v>
      </c>
    </row>
    <row r="3628" spans="1:9" x14ac:dyDescent="0.25">
      <c r="A3628" s="1">
        <v>-141.555516719818</v>
      </c>
      <c r="B3628">
        <v>-1590.79754574355</v>
      </c>
      <c r="C3628">
        <v>1.84739264163659E-3</v>
      </c>
      <c r="D3628">
        <v>0</v>
      </c>
      <c r="E3628">
        <v>0</v>
      </c>
      <c r="F3628">
        <v>0</v>
      </c>
      <c r="G3628" s="1">
        <v>1.9309978848136501E-8</v>
      </c>
      <c r="H3628">
        <v>9.6988575903355106E-2</v>
      </c>
      <c r="I3628">
        <v>0</v>
      </c>
    </row>
    <row r="3629" spans="1:9" x14ac:dyDescent="0.25">
      <c r="A3629" s="1">
        <v>-128.95890593528699</v>
      </c>
      <c r="B3629">
        <v>-1449.3616298204299</v>
      </c>
      <c r="C3629">
        <v>1.90107342046335E-3</v>
      </c>
      <c r="D3629">
        <v>0</v>
      </c>
      <c r="E3629">
        <v>0</v>
      </c>
      <c r="F3629">
        <v>0</v>
      </c>
      <c r="G3629" s="1">
        <v>3.5086249472904203E-8</v>
      </c>
      <c r="H3629">
        <v>0.46355474914185102</v>
      </c>
      <c r="I3629">
        <v>0</v>
      </c>
    </row>
    <row r="3630" spans="1:9" x14ac:dyDescent="0.25">
      <c r="A3630" s="1">
        <v>-117.402367591857</v>
      </c>
      <c r="B3630">
        <v>-1319.5824679857201</v>
      </c>
      <c r="C3630">
        <v>2.0253835895788401E-3</v>
      </c>
      <c r="D3630">
        <v>0</v>
      </c>
      <c r="E3630">
        <v>0</v>
      </c>
      <c r="F3630">
        <v>0</v>
      </c>
      <c r="G3630" s="1">
        <v>6.5796645552396096E-8</v>
      </c>
      <c r="H3630">
        <v>0.66583910112122802</v>
      </c>
      <c r="I3630">
        <v>0</v>
      </c>
    </row>
    <row r="3631" spans="1:9" x14ac:dyDescent="0.25">
      <c r="A3631" s="1">
        <v>-106.80001378059301</v>
      </c>
      <c r="B3631">
        <v>-1200.50102285203</v>
      </c>
      <c r="C3631">
        <v>2.2529165573329599E-3</v>
      </c>
      <c r="D3631">
        <v>0</v>
      </c>
      <c r="E3631">
        <v>0</v>
      </c>
      <c r="F3631">
        <v>0</v>
      </c>
      <c r="G3631" s="1">
        <v>1.13867167589543E-7</v>
      </c>
      <c r="H3631">
        <v>0.75581980491565004</v>
      </c>
      <c r="I3631">
        <v>0</v>
      </c>
    </row>
    <row r="3632" spans="1:9" x14ac:dyDescent="0.25">
      <c r="A3632" s="1">
        <v>-97.073161005973802</v>
      </c>
      <c r="B3632">
        <v>-1091.2368228083501</v>
      </c>
      <c r="C3632">
        <v>2.62438593171594E-3</v>
      </c>
      <c r="D3632">
        <v>0</v>
      </c>
      <c r="E3632">
        <v>0</v>
      </c>
      <c r="F3632">
        <v>0</v>
      </c>
      <c r="G3632" s="1">
        <v>1.8614556896812099E-7</v>
      </c>
      <c r="H3632">
        <v>0.79832896692695299</v>
      </c>
      <c r="I3632">
        <v>0</v>
      </c>
    </row>
    <row r="3633" spans="1:9" x14ac:dyDescent="0.25">
      <c r="A3633" s="1">
        <v>-88.149435520172105</v>
      </c>
      <c r="B3633">
        <v>-990.98174362239297</v>
      </c>
      <c r="C3633">
        <v>3.1880378816851402E-3</v>
      </c>
      <c r="D3633">
        <v>0</v>
      </c>
      <c r="E3633">
        <v>0</v>
      </c>
      <c r="F3633">
        <v>0</v>
      </c>
      <c r="G3633" s="1">
        <v>2.9510149982092599E-7</v>
      </c>
      <c r="H3633">
        <v>0.82063622406034298</v>
      </c>
      <c r="I3633">
        <v>0</v>
      </c>
    </row>
    <row r="3634" spans="1:9" x14ac:dyDescent="0.25">
      <c r="A3634" s="1">
        <v>-79.962490797042804</v>
      </c>
      <c r="B3634">
        <v>-898.99385690745703</v>
      </c>
      <c r="C3634">
        <v>4.00252408391665E-3</v>
      </c>
      <c r="D3634">
        <v>0</v>
      </c>
      <c r="E3634">
        <v>0</v>
      </c>
      <c r="F3634">
        <v>0</v>
      </c>
      <c r="G3634" s="1">
        <v>4.6073690349890402E-7</v>
      </c>
      <c r="H3634">
        <v>0.83427416293996803</v>
      </c>
      <c r="I3634">
        <v>0</v>
      </c>
    </row>
    <row r="3635" spans="1:9" x14ac:dyDescent="0.25">
      <c r="A3635" s="1">
        <v>-72.451583743095298</v>
      </c>
      <c r="B3635">
        <v>-814.59221469220495</v>
      </c>
      <c r="C3635">
        <v>5.1413102702838297E-3</v>
      </c>
      <c r="D3635">
        <v>0</v>
      </c>
      <c r="E3635">
        <v>0</v>
      </c>
      <c r="F3635">
        <v>0</v>
      </c>
      <c r="G3635" s="1">
        <v>7.1372344775078001E-7</v>
      </c>
      <c r="H3635">
        <v>0.844337513817495</v>
      </c>
      <c r="I3635">
        <v>0</v>
      </c>
    </row>
    <row r="3636" spans="1:9" x14ac:dyDescent="0.25">
      <c r="A3636" s="1">
        <v>-65.560821294784503</v>
      </c>
      <c r="B3636">
        <v>-737.15200174507504</v>
      </c>
      <c r="C3636">
        <v>6.69779997323601E-3</v>
      </c>
      <c r="D3636">
        <v>0</v>
      </c>
      <c r="E3636">
        <v>0</v>
      </c>
      <c r="F3636">
        <v>0</v>
      </c>
      <c r="G3636" s="1">
        <v>1.1004536317866801E-6</v>
      </c>
      <c r="H3636">
        <v>0.85306129196923097</v>
      </c>
      <c r="I3636">
        <v>0</v>
      </c>
    </row>
    <row r="3637" spans="1:9" x14ac:dyDescent="0.25">
      <c r="A3637" s="1">
        <v>-59.238972067832897</v>
      </c>
      <c r="B3637">
        <v>-666.099487305254</v>
      </c>
      <c r="C3637">
        <v>8.7910985821708192E-3</v>
      </c>
      <c r="D3637">
        <v>0</v>
      </c>
      <c r="E3637">
        <v>0</v>
      </c>
      <c r="F3637">
        <v>0</v>
      </c>
      <c r="G3637" s="1">
        <v>1.69108966561326E-6</v>
      </c>
      <c r="H3637">
        <v>0.861375581189183</v>
      </c>
      <c r="I3637">
        <v>0</v>
      </c>
    </row>
    <row r="3638" spans="1:9" x14ac:dyDescent="0.25">
      <c r="A3638" s="1">
        <v>-53.439136743545497</v>
      </c>
      <c r="B3638">
        <v>-600.90834753570005</v>
      </c>
      <c r="C3638">
        <v>1.1572914115984699E-2</v>
      </c>
      <c r="D3638">
        <v>0</v>
      </c>
      <c r="E3638">
        <v>0</v>
      </c>
      <c r="F3638">
        <v>0</v>
      </c>
      <c r="G3638" s="1">
        <v>2.5922896982271101E-6</v>
      </c>
      <c r="H3638">
        <v>0.86962706491673103</v>
      </c>
      <c r="I3638">
        <v>0</v>
      </c>
    </row>
    <row r="3639" spans="1:9" x14ac:dyDescent="0.25">
      <c r="A3639" s="1">
        <v>-48.118183016777003</v>
      </c>
      <c r="B3639">
        <v>-541.09541962799403</v>
      </c>
      <c r="C3639">
        <v>1.5236500060970101E-2</v>
      </c>
      <c r="D3639">
        <v>0</v>
      </c>
      <c r="E3639">
        <v>0</v>
      </c>
      <c r="F3639">
        <v>0</v>
      </c>
      <c r="G3639" s="1">
        <v>3.9669919626854603E-6</v>
      </c>
      <c r="H3639">
        <v>0.87790123517401597</v>
      </c>
      <c r="I3639">
        <v>0</v>
      </c>
    </row>
    <row r="3640" spans="1:9" x14ac:dyDescent="0.25">
      <c r="A3640" s="1">
        <v>-43.236604332923797</v>
      </c>
      <c r="B3640">
        <v>-486.21734186169499</v>
      </c>
      <c r="C3640">
        <v>2.0028681984460301E-2</v>
      </c>
      <c r="D3640">
        <v>0</v>
      </c>
      <c r="E3640">
        <v>0</v>
      </c>
      <c r="F3640">
        <v>0</v>
      </c>
      <c r="G3640" s="1">
        <v>6.0646273629343301E-6</v>
      </c>
      <c r="H3640">
        <v>0.886158524085917</v>
      </c>
      <c r="I3640">
        <v>0</v>
      </c>
    </row>
    <row r="3641" spans="1:9" x14ac:dyDescent="0.25">
      <c r="A3641" s="1">
        <v>-38.758049011230398</v>
      </c>
      <c r="B3641">
        <v>-435.86729396042199</v>
      </c>
      <c r="C3641">
        <v>2.62658805385378E-2</v>
      </c>
      <c r="D3641">
        <v>0</v>
      </c>
      <c r="E3641">
        <v>0</v>
      </c>
      <c r="F3641">
        <v>0</v>
      </c>
      <c r="G3641" s="1">
        <v>9.2669812651351404E-6</v>
      </c>
      <c r="H3641">
        <v>0.89430081321544996</v>
      </c>
      <c r="I3641">
        <v>0</v>
      </c>
    </row>
    <row r="3642" spans="1:9" x14ac:dyDescent="0.25">
      <c r="A3642" s="1">
        <v>-34.649320244789102</v>
      </c>
      <c r="B3642">
        <v>-389.67190460917402</v>
      </c>
      <c r="C3642">
        <v>3.43549965240929E-2</v>
      </c>
      <c r="D3642">
        <v>0</v>
      </c>
      <c r="E3642">
        <v>0</v>
      </c>
      <c r="F3642">
        <v>0</v>
      </c>
      <c r="G3642" s="1">
        <v>1.41583331568533E-5</v>
      </c>
      <c r="H3642">
        <v>0.90221700232282998</v>
      </c>
      <c r="I3642">
        <v>0</v>
      </c>
    </row>
    <row r="3643" spans="1:9" x14ac:dyDescent="0.25">
      <c r="A3643" s="1">
        <v>-30.879811048507602</v>
      </c>
      <c r="B3643">
        <v>-347.28853508439698</v>
      </c>
      <c r="C3643">
        <v>4.4820269582819601E-2</v>
      </c>
      <c r="D3643">
        <v>0</v>
      </c>
      <c r="E3643">
        <v>0</v>
      </c>
      <c r="F3643">
        <v>0</v>
      </c>
      <c r="G3643" s="1">
        <v>2.1634080409508899E-5</v>
      </c>
      <c r="H3643">
        <v>0.90981492101699502</v>
      </c>
      <c r="I3643">
        <v>0</v>
      </c>
    </row>
    <row r="3644" spans="1:9" x14ac:dyDescent="0.25">
      <c r="A3644" s="1">
        <v>-27.4215984344482</v>
      </c>
      <c r="B3644">
        <v>-308.40280526784102</v>
      </c>
      <c r="C3644">
        <v>5.83380983733204E-2</v>
      </c>
      <c r="D3644">
        <v>0</v>
      </c>
      <c r="E3644">
        <v>0</v>
      </c>
      <c r="F3644">
        <v>0</v>
      </c>
      <c r="G3644" s="1">
        <v>3.3071111872200003E-5</v>
      </c>
      <c r="H3644">
        <v>0.91703666669301698</v>
      </c>
      <c r="I3644">
        <v>0</v>
      </c>
    </row>
    <row r="3645" spans="1:9" x14ac:dyDescent="0.25">
      <c r="A3645" s="1">
        <v>-24.248878359794599</v>
      </c>
      <c r="B3645">
        <v>-272.72622831520499</v>
      </c>
      <c r="C3645">
        <v>7.5782857945318596E-2</v>
      </c>
      <c r="D3645">
        <v>0</v>
      </c>
      <c r="E3645">
        <v>0</v>
      </c>
      <c r="F3645">
        <v>0</v>
      </c>
      <c r="G3645" s="1">
        <v>5.0599630474074703E-5</v>
      </c>
      <c r="H3645">
        <v>0.92386082418075</v>
      </c>
      <c r="I3645">
        <v>0</v>
      </c>
    </row>
    <row r="3646" spans="1:9" x14ac:dyDescent="0.25">
      <c r="A3646" s="1">
        <v>-21.3381540775299</v>
      </c>
      <c r="B3646">
        <v>-239.99406681341</v>
      </c>
      <c r="C3646">
        <v>9.8288327121879598E-2</v>
      </c>
      <c r="D3646">
        <v>0</v>
      </c>
      <c r="E3646">
        <v>0</v>
      </c>
      <c r="F3646">
        <v>0</v>
      </c>
      <c r="G3646" s="1">
        <v>7.7548480438871002E-5</v>
      </c>
      <c r="H3646">
        <v>0.93029893961086296</v>
      </c>
      <c r="I3646">
        <v>0</v>
      </c>
    </row>
    <row r="3647" spans="1:9" x14ac:dyDescent="0.25">
      <c r="A3647" s="1">
        <v>-18.6677181720733</v>
      </c>
      <c r="B3647">
        <v>-209.96343445592399</v>
      </c>
      <c r="C3647">
        <v>0.127332277172332</v>
      </c>
      <c r="D3647">
        <v>0</v>
      </c>
      <c r="E3647">
        <v>0</v>
      </c>
      <c r="F3647">
        <v>0</v>
      </c>
      <c r="G3647">
        <v>1.19203372814809E-4</v>
      </c>
      <c r="H3647">
        <v>0.93639156398046297</v>
      </c>
      <c r="I3647">
        <v>0</v>
      </c>
    </row>
    <row r="3648" spans="1:9" x14ac:dyDescent="0.25">
      <c r="A3648" s="1">
        <v>-16.2178409099578</v>
      </c>
      <c r="B3648">
        <v>-182.41145204548599</v>
      </c>
      <c r="C3648">
        <v>0.16485774389224001</v>
      </c>
      <c r="D3648">
        <v>0</v>
      </c>
      <c r="E3648">
        <v>0</v>
      </c>
      <c r="F3648">
        <v>0</v>
      </c>
      <c r="G3648">
        <v>1.8416018643574699E-4</v>
      </c>
      <c r="H3648">
        <v>0.94220433947494198</v>
      </c>
      <c r="I3648">
        <v>0</v>
      </c>
    </row>
    <row r="3649" spans="1:9" x14ac:dyDescent="0.25">
      <c r="A3649" s="1">
        <v>-13.9702051877975</v>
      </c>
      <c r="B3649">
        <v>-157.13359677699199</v>
      </c>
      <c r="C3649">
        <v>0.21345618979960801</v>
      </c>
      <c r="D3649">
        <v>0</v>
      </c>
      <c r="E3649">
        <v>0</v>
      </c>
      <c r="F3649">
        <v>0</v>
      </c>
      <c r="G3649">
        <v>2.8686799047349598E-4</v>
      </c>
      <c r="H3649">
        <v>0.94782243711700398</v>
      </c>
      <c r="I3649">
        <v>0</v>
      </c>
    </row>
    <row r="3650" spans="1:9" x14ac:dyDescent="0.25">
      <c r="A3650" s="1">
        <v>-11.908189058303799</v>
      </c>
      <c r="B3650">
        <v>-133.94223330822601</v>
      </c>
      <c r="C3650">
        <v>0.27666025605364603</v>
      </c>
      <c r="D3650">
        <v>0</v>
      </c>
      <c r="E3650">
        <v>0</v>
      </c>
      <c r="F3650">
        <v>0</v>
      </c>
      <c r="G3650">
        <v>4.5265948507164898E-4</v>
      </c>
      <c r="H3650">
        <v>0.95334032762611298</v>
      </c>
      <c r="I3650">
        <v>0</v>
      </c>
    </row>
    <row r="3651" spans="1:9" x14ac:dyDescent="0.25">
      <c r="A3651" s="1">
        <v>-10.016394853591899</v>
      </c>
      <c r="B3651">
        <v>-112.66517512855</v>
      </c>
      <c r="C3651">
        <v>0.35943705033205098</v>
      </c>
      <c r="D3651">
        <v>0</v>
      </c>
      <c r="E3651">
        <v>0</v>
      </c>
      <c r="F3651">
        <v>0</v>
      </c>
      <c r="G3651">
        <v>7.2817871641734603E-4</v>
      </c>
      <c r="H3651">
        <v>0.95884204975827803</v>
      </c>
      <c r="I3651">
        <v>0</v>
      </c>
    </row>
    <row r="3652" spans="1:9" x14ac:dyDescent="0.25">
      <c r="A3652" s="1">
        <v>-8.2808375358581507</v>
      </c>
      <c r="B3652">
        <v>-93.144454879135495</v>
      </c>
      <c r="C3652">
        <v>0.46905806890407897</v>
      </c>
      <c r="D3652">
        <v>0</v>
      </c>
      <c r="E3652">
        <v>0</v>
      </c>
      <c r="F3652">
        <v>0</v>
      </c>
      <c r="G3652">
        <v>1.20386366950197E-3</v>
      </c>
      <c r="H3652">
        <v>0.96436814884094901</v>
      </c>
      <c r="I3652">
        <v>0</v>
      </c>
    </row>
    <row r="3653" spans="1:9" x14ac:dyDescent="0.25">
      <c r="A3653" s="1">
        <v>-6.6885209083557102</v>
      </c>
      <c r="B3653">
        <v>-75.235118702620895</v>
      </c>
      <c r="C3653">
        <v>0.61669134144272597</v>
      </c>
      <c r="D3653">
        <v>0</v>
      </c>
      <c r="E3653">
        <v>0</v>
      </c>
      <c r="F3653">
        <v>0</v>
      </c>
      <c r="G3653">
        <v>2.0641091537531801E-3</v>
      </c>
      <c r="H3653">
        <v>0.96987654047475103</v>
      </c>
      <c r="I3653">
        <v>0</v>
      </c>
    </row>
    <row r="3654" spans="1:9" x14ac:dyDescent="0.25">
      <c r="A3654" s="1">
        <v>-5.2277201414108196</v>
      </c>
      <c r="B3654">
        <v>-58.804189843506201</v>
      </c>
      <c r="C3654">
        <v>0.82040826327035099</v>
      </c>
      <c r="D3654">
        <v>0</v>
      </c>
      <c r="E3654">
        <v>0</v>
      </c>
      <c r="F3654">
        <v>0</v>
      </c>
      <c r="G3654">
        <v>3.7033339433855802E-3</v>
      </c>
      <c r="H3654">
        <v>0.97522429756170204</v>
      </c>
      <c r="I3654">
        <v>0</v>
      </c>
    </row>
    <row r="3655" spans="1:9" x14ac:dyDescent="0.25">
      <c r="A3655" s="1">
        <v>-3.88755798339843</v>
      </c>
      <c r="B3655">
        <v>-43.729640606612598</v>
      </c>
      <c r="C3655">
        <v>1.11104743238654</v>
      </c>
      <c r="D3655">
        <v>0</v>
      </c>
      <c r="E3655">
        <v>0</v>
      </c>
      <c r="F3655">
        <v>0</v>
      </c>
      <c r="G3655">
        <v>7.00784959073689E-3</v>
      </c>
      <c r="H3655">
        <v>0.98020274750330805</v>
      </c>
      <c r="I3655">
        <v>0</v>
      </c>
    </row>
    <row r="3656" spans="1:9" x14ac:dyDescent="0.25">
      <c r="A3656" s="1">
        <v>-2.6580518484115601</v>
      </c>
      <c r="B3656">
        <v>-29.899523118705201</v>
      </c>
      <c r="C3656">
        <v>1.5441403647424801</v>
      </c>
      <c r="D3656">
        <v>0</v>
      </c>
      <c r="E3656">
        <v>0</v>
      </c>
      <c r="F3656">
        <v>0</v>
      </c>
      <c r="G3656">
        <v>1.40901837918972E-2</v>
      </c>
      <c r="H3656">
        <v>0.98462168316257204</v>
      </c>
      <c r="I3656">
        <v>0</v>
      </c>
    </row>
    <row r="3657" spans="1:9" x14ac:dyDescent="0.25">
      <c r="A3657" s="1">
        <v>-1.5300196409225399</v>
      </c>
      <c r="B3657">
        <v>-17.2111335223621</v>
      </c>
      <c r="C3657">
        <v>2.2257299243952602</v>
      </c>
      <c r="D3657">
        <v>0</v>
      </c>
      <c r="E3657">
        <v>0</v>
      </c>
      <c r="F3657">
        <v>0</v>
      </c>
      <c r="G3657">
        <v>3.04032117092938E-2</v>
      </c>
      <c r="H3657">
        <v>0.98838736977443797</v>
      </c>
      <c r="I3657">
        <v>0</v>
      </c>
    </row>
    <row r="3658" spans="1:9" x14ac:dyDescent="0.25">
      <c r="A3658" s="1">
        <v>-0.49517393112182601</v>
      </c>
      <c r="B3658">
        <v>-5.5702263182110201</v>
      </c>
      <c r="C3658">
        <v>3.3736761162176001</v>
      </c>
      <c r="D3658">
        <v>0</v>
      </c>
      <c r="E3658">
        <v>0</v>
      </c>
      <c r="F3658">
        <v>0</v>
      </c>
      <c r="G3658">
        <v>7.2723866081796595E-2</v>
      </c>
      <c r="H3658">
        <v>0.99163752308900099</v>
      </c>
      <c r="I3658">
        <v>0</v>
      </c>
    </row>
    <row r="3659" spans="1:9" x14ac:dyDescent="0.25">
      <c r="A3659" s="1">
        <v>0.49376130104064903</v>
      </c>
      <c r="B3659">
        <v>0.35094192269378499</v>
      </c>
      <c r="C3659">
        <v>4.3698541337209296</v>
      </c>
      <c r="D3659">
        <v>0.316407659128637</v>
      </c>
      <c r="E3659">
        <v>-4.5771940304499401E-4</v>
      </c>
      <c r="F3659">
        <v>1.30716735342487E-4</v>
      </c>
      <c r="G3659">
        <v>1.8067239023256899E-2</v>
      </c>
      <c r="H3659">
        <v>0.529991669605691</v>
      </c>
      <c r="I3659" s="1">
        <v>4.7114050131373998E-7</v>
      </c>
    </row>
    <row r="3660" spans="1:9" x14ac:dyDescent="0.25">
      <c r="A3660" s="1">
        <v>1.5257111191749499</v>
      </c>
      <c r="B3660">
        <v>1.08357614520126</v>
      </c>
      <c r="C3660">
        <v>4.55022079053263</v>
      </c>
      <c r="D3660">
        <v>1.02200781223895</v>
      </c>
      <c r="E3660">
        <v>-4.0365140321404801E-3</v>
      </c>
      <c r="F3660">
        <v>4.1606175812508101E-4</v>
      </c>
      <c r="G3660">
        <v>3.6277105940948497E-2</v>
      </c>
      <c r="H3660">
        <v>0.75236482731745402</v>
      </c>
      <c r="I3660" s="1">
        <v>2.2604074931926501E-5</v>
      </c>
    </row>
    <row r="3661" spans="1:9" x14ac:dyDescent="0.25">
      <c r="A3661" s="1">
        <v>2.6505178213119498</v>
      </c>
      <c r="B3661">
        <v>1.87553588691287</v>
      </c>
      <c r="C3661">
        <v>4.8023544088632102</v>
      </c>
      <c r="D3661">
        <v>1.8724286446854601</v>
      </c>
      <c r="E3661">
        <v>-1.54253523050422E-2</v>
      </c>
      <c r="F3661">
        <v>7.4782664364580803E-4</v>
      </c>
      <c r="G3661">
        <v>6.00441524674604E-2</v>
      </c>
      <c r="H3661">
        <v>0.83776020573892895</v>
      </c>
      <c r="I3661">
        <v>1.3923410835198799E-4</v>
      </c>
    </row>
    <row r="3662" spans="1:9" x14ac:dyDescent="0.25">
      <c r="A3662" s="1">
        <v>3.8765159249305698</v>
      </c>
      <c r="B3662">
        <v>2.7227256977849499</v>
      </c>
      <c r="C3662">
        <v>5.1607505714322999</v>
      </c>
      <c r="D3662">
        <v>2.8907073345001901</v>
      </c>
      <c r="E3662">
        <v>-3.85962930601998E-2</v>
      </c>
      <c r="F3662">
        <v>1.11578764565362E-3</v>
      </c>
      <c r="G3662">
        <v>8.25554202142363E-2</v>
      </c>
      <c r="H3662">
        <v>0.86786554420058803</v>
      </c>
      <c r="I3662">
        <v>3.6537191747333002E-4</v>
      </c>
    </row>
    <row r="3663" spans="1:9" x14ac:dyDescent="0.25">
      <c r="A3663" s="1">
        <v>5.2129346132278398</v>
      </c>
      <c r="B3663">
        <v>3.61478158178859</v>
      </c>
      <c r="C3663">
        <v>5.6447943553245503</v>
      </c>
      <c r="D3663">
        <v>4.0549234209255296</v>
      </c>
      <c r="E3663">
        <v>-7.7988857863737507E-2</v>
      </c>
      <c r="F3663">
        <v>1.48100596996487E-3</v>
      </c>
      <c r="G3663">
        <v>9.8080828274204099E-2</v>
      </c>
      <c r="H3663">
        <v>0.87156198751549596</v>
      </c>
      <c r="I3663">
        <v>7.6749672728584797E-4</v>
      </c>
    </row>
    <row r="3664" spans="1:9" x14ac:dyDescent="0.25">
      <c r="A3664" s="1">
        <v>6.6695916652679399</v>
      </c>
      <c r="B3664">
        <v>4.5337169909768598</v>
      </c>
      <c r="C3664">
        <v>6.23163444351019</v>
      </c>
      <c r="D3664">
        <v>5.2712037594512804</v>
      </c>
      <c r="E3664">
        <v>-0.135908469086085</v>
      </c>
      <c r="F3664">
        <v>1.7791353073633E-3</v>
      </c>
      <c r="G3664">
        <v>0.10519674537977</v>
      </c>
      <c r="H3664">
        <v>0.85917444994493197</v>
      </c>
      <c r="I3664">
        <v>1.75534864591397E-3</v>
      </c>
    </row>
    <row r="3665" spans="1:9" x14ac:dyDescent="0.25">
      <c r="A3665" s="1">
        <v>8.2573878765106201</v>
      </c>
      <c r="B3665">
        <v>5.4547920638614196</v>
      </c>
      <c r="C3665">
        <v>6.8453139989943104</v>
      </c>
      <c r="D3665">
        <v>6.3870578471766004</v>
      </c>
      <c r="E3665">
        <v>-0.21061726626626501</v>
      </c>
      <c r="F3665">
        <v>1.9392290411313401E-3</v>
      </c>
      <c r="G3665">
        <v>0.107160960547489</v>
      </c>
      <c r="H3665">
        <v>0.83683592085976999</v>
      </c>
      <c r="I3665">
        <v>4.25105821019711E-3</v>
      </c>
    </row>
    <row r="3666" spans="1:9" x14ac:dyDescent="0.25">
      <c r="A3666" s="1">
        <v>9.9880245327949506</v>
      </c>
      <c r="B3666">
        <v>6.3504586303525503</v>
      </c>
      <c r="C3666">
        <v>7.3803253017892798</v>
      </c>
      <c r="D3666">
        <v>7.2488026992504402</v>
      </c>
      <c r="E3666">
        <v>-0.29617951765594902</v>
      </c>
      <c r="F3666">
        <v>1.9059563179810201E-3</v>
      </c>
      <c r="G3666">
        <v>0.108478944882728</v>
      </c>
      <c r="H3666">
        <v>0.81051324405804404</v>
      </c>
      <c r="I3666">
        <v>8.2395026952651208E-3</v>
      </c>
    </row>
    <row r="3667" spans="1:9" x14ac:dyDescent="0.25">
      <c r="A3667" s="1">
        <v>11.874474287032999</v>
      </c>
      <c r="B3667">
        <v>7.1960938418202902</v>
      </c>
      <c r="C3667">
        <v>7.7474062352692901</v>
      </c>
      <c r="D3667">
        <v>7.7684978880175102</v>
      </c>
      <c r="E3667">
        <v>-0.384689289315431</v>
      </c>
      <c r="F3667">
        <v>1.68380804508165E-3</v>
      </c>
      <c r="G3667">
        <v>0.110910654980397</v>
      </c>
      <c r="H3667">
        <v>0.78451634786157798</v>
      </c>
      <c r="I3667">
        <v>1.09973341478349E-2</v>
      </c>
    </row>
    <row r="3668" spans="1:9" x14ac:dyDescent="0.25">
      <c r="A3668" s="1">
        <v>13.9306750893592</v>
      </c>
      <c r="B3668">
        <v>7.9749314272695102</v>
      </c>
      <c r="C3668">
        <v>7.9054077184940903</v>
      </c>
      <c r="D3668">
        <v>7.9428735475280199</v>
      </c>
      <c r="E3668">
        <v>-0.46915618526612901</v>
      </c>
      <c r="F3668">
        <v>1.34665623242165E-3</v>
      </c>
      <c r="G3668">
        <v>0.11320526983413901</v>
      </c>
      <c r="H3668">
        <v>0.75997785389744898</v>
      </c>
      <c r="I3668">
        <v>9.9502286844600097E-3</v>
      </c>
    </row>
    <row r="3669" spans="1:9" x14ac:dyDescent="0.25">
      <c r="A3669" s="1">
        <v>16.171883344650201</v>
      </c>
      <c r="B3669">
        <v>8.6794992798858193</v>
      </c>
      <c r="C3669">
        <v>7.8611506386860803</v>
      </c>
      <c r="D3669">
        <v>7.8284080627411798</v>
      </c>
      <c r="E3669">
        <v>-0.54503557388392398</v>
      </c>
      <c r="F3669">
        <v>1.0125458532763E-3</v>
      </c>
      <c r="G3669">
        <v>0.11355411390878099</v>
      </c>
      <c r="H3669">
        <v>0.73624856052827004</v>
      </c>
      <c r="I3669">
        <v>5.5488368752230604E-3</v>
      </c>
    </row>
    <row r="3670" spans="1:9" x14ac:dyDescent="0.25">
      <c r="A3670" s="1">
        <v>18.614838719367899</v>
      </c>
      <c r="B3670">
        <v>9.30989769640499</v>
      </c>
      <c r="C3670">
        <v>7.6502685376421597</v>
      </c>
      <c r="D3670">
        <v>7.5038103555055899</v>
      </c>
      <c r="E3670">
        <v>-0.61023969794547706</v>
      </c>
      <c r="F3670">
        <v>8.0468515974930804E-4</v>
      </c>
      <c r="G3670">
        <v>0.111202788621731</v>
      </c>
      <c r="H3670">
        <v>0.71260976740794701</v>
      </c>
      <c r="I3670" s="1">
        <v>-8.8192763835684101E-5</v>
      </c>
    </row>
    <row r="3671" spans="1:9" x14ac:dyDescent="0.25">
      <c r="A3671" s="1">
        <v>21.2777170538902</v>
      </c>
      <c r="B3671">
        <v>9.8709242040210299</v>
      </c>
      <c r="C3671">
        <v>7.3179100919731503</v>
      </c>
      <c r="D3671">
        <v>7.0447952251519697</v>
      </c>
      <c r="E3671">
        <v>-0.66443513950576105</v>
      </c>
      <c r="F3671">
        <v>8.1177909752559003E-4</v>
      </c>
      <c r="G3671">
        <v>0.106470980784008</v>
      </c>
      <c r="H3671">
        <v>0.68883141730303799</v>
      </c>
      <c r="I3671">
        <v>-5.2578525734331702E-3</v>
      </c>
    </row>
    <row r="3672" spans="1:9" x14ac:dyDescent="0.25">
      <c r="A3672" s="1">
        <v>24.180224537849401</v>
      </c>
      <c r="B3672">
        <v>10.3696497226052</v>
      </c>
      <c r="C3672">
        <v>6.9070934167386202</v>
      </c>
      <c r="D3672">
        <v>6.5120420837620996</v>
      </c>
      <c r="E3672">
        <v>-0.70828248260456905</v>
      </c>
      <c r="F3672">
        <v>1.07186426314302E-3</v>
      </c>
      <c r="G3672">
        <v>0.100142361031768</v>
      </c>
      <c r="H3672">
        <v>0.66505684251233299</v>
      </c>
      <c r="I3672">
        <v>-9.2336647689962494E-3</v>
      </c>
    </row>
    <row r="3673" spans="1:9" x14ac:dyDescent="0.25">
      <c r="A3673" s="1">
        <v>27.343950867652801</v>
      </c>
      <c r="B3673">
        <v>10.813863965302</v>
      </c>
      <c r="C3673">
        <v>6.453848636909</v>
      </c>
      <c r="D3673">
        <v>5.9507560419768302</v>
      </c>
      <c r="E3673">
        <v>-0.74287746350605199</v>
      </c>
      <c r="F3673">
        <v>1.52024560068712E-3</v>
      </c>
      <c r="G3673">
        <v>9.2958722775250802E-2</v>
      </c>
      <c r="H3673">
        <v>0.641629500261092</v>
      </c>
      <c r="I3673">
        <v>-1.1924199308761201E-2</v>
      </c>
    </row>
    <row r="3674" spans="1:9" x14ac:dyDescent="0.25">
      <c r="A3674" s="1">
        <v>30.7923927903175</v>
      </c>
      <c r="B3674">
        <v>11.2112563485198</v>
      </c>
      <c r="C3674">
        <v>5.9861219901400302</v>
      </c>
      <c r="D3674">
        <v>5.3920089469880503</v>
      </c>
      <c r="E3674">
        <v>-0.76942551859700203</v>
      </c>
      <c r="F3674">
        <v>2.0656170758459602E-3</v>
      </c>
      <c r="G3674">
        <v>8.5431803057323605E-2</v>
      </c>
      <c r="H3674">
        <v>0.61896916053643103</v>
      </c>
      <c r="I3674">
        <v>-1.3477436823680701E-2</v>
      </c>
    </row>
    <row r="3675" spans="1:9" x14ac:dyDescent="0.25">
      <c r="A3675" s="1">
        <v>34.551213085651298</v>
      </c>
      <c r="B3675">
        <v>11.5690983856015</v>
      </c>
      <c r="C3675">
        <v>5.5242542445694003</v>
      </c>
      <c r="D3675">
        <v>4.8563061889488104</v>
      </c>
      <c r="E3675">
        <v>-0.78908714380447598</v>
      </c>
      <c r="F3675">
        <v>2.6513218440549998E-3</v>
      </c>
      <c r="G3675">
        <v>7.7856584815577196E-2</v>
      </c>
      <c r="H3675">
        <v>0.59748600350223602</v>
      </c>
      <c r="I3675">
        <v>-1.40962345415458E-2</v>
      </c>
    </row>
    <row r="3676" spans="1:9" x14ac:dyDescent="0.25">
      <c r="A3676" s="1">
        <v>38.6483111977577</v>
      </c>
      <c r="B3676">
        <v>11.893909364371799</v>
      </c>
      <c r="C3676">
        <v>5.0819787378565699</v>
      </c>
      <c r="D3676">
        <v>4.3564169554176599</v>
      </c>
      <c r="E3676">
        <v>-0.80287496834173799</v>
      </c>
      <c r="F3676">
        <v>3.1463126570800801E-3</v>
      </c>
      <c r="G3676">
        <v>7.0405820515324194E-2</v>
      </c>
      <c r="H3676">
        <v>0.57756101088448297</v>
      </c>
      <c r="I3676">
        <v>-1.3981228328715799E-2</v>
      </c>
    </row>
    <row r="3677" spans="1:9" x14ac:dyDescent="0.25">
      <c r="A3677" s="1">
        <v>43.1141293048858</v>
      </c>
      <c r="B3677">
        <v>12.1915399277501</v>
      </c>
      <c r="C3677">
        <v>4.6677204302908404</v>
      </c>
      <c r="D3677">
        <v>3.8993646951076402</v>
      </c>
      <c r="E3677">
        <v>-0.81162323110141799</v>
      </c>
      <c r="F3677">
        <v>3.5026610912169101E-3</v>
      </c>
      <c r="G3677">
        <v>6.3195853398538102E-2</v>
      </c>
      <c r="H3677">
        <v>0.55945955274899395</v>
      </c>
      <c r="I3677">
        <v>-1.33199210606423E-2</v>
      </c>
    </row>
    <row r="3678" spans="1:9" x14ac:dyDescent="0.25">
      <c r="A3678" s="1">
        <v>47.981887757778097</v>
      </c>
      <c r="B3678">
        <v>12.4670216286473</v>
      </c>
      <c r="C3678">
        <v>4.2859344445357399</v>
      </c>
      <c r="D3678">
        <v>3.48807150552945</v>
      </c>
      <c r="E3678">
        <v>-0.81603235678427599</v>
      </c>
      <c r="F3678">
        <v>3.6614266145990398E-3</v>
      </c>
      <c r="G3678">
        <v>5.6309906531320703E-2</v>
      </c>
      <c r="H3678">
        <v>0.54320567226043903</v>
      </c>
      <c r="I3678">
        <v>-1.22932926774308E-2</v>
      </c>
    </row>
    <row r="3679" spans="1:9" x14ac:dyDescent="0.25">
      <c r="A3679" s="1">
        <v>53.287820518016801</v>
      </c>
      <c r="B3679">
        <v>12.7245167815976</v>
      </c>
      <c r="C3679">
        <v>3.93792612867031</v>
      </c>
      <c r="D3679">
        <v>3.12239850098072</v>
      </c>
      <c r="E3679">
        <v>-0.81663311084259405</v>
      </c>
      <c r="F3679">
        <v>3.56622516879372E-3</v>
      </c>
      <c r="G3679">
        <v>4.9839736772254201E-2</v>
      </c>
      <c r="H3679">
        <v>0.52878813091128996</v>
      </c>
      <c r="I3679">
        <v>-1.10648756382843E-2</v>
      </c>
    </row>
    <row r="3680" spans="1:9" x14ac:dyDescent="0.25">
      <c r="A3680" s="1">
        <v>59.071175158023799</v>
      </c>
      <c r="B3680">
        <v>12.967569204598</v>
      </c>
      <c r="C3680">
        <v>3.6230256405522798</v>
      </c>
      <c r="D3680">
        <v>2.7995820888082501</v>
      </c>
      <c r="E3680">
        <v>-0.81383018335648605</v>
      </c>
      <c r="F3680">
        <v>3.1654651954838402E-3</v>
      </c>
      <c r="G3680">
        <v>4.3879672741324503E-2</v>
      </c>
      <c r="H3680">
        <v>0.51610391543768896</v>
      </c>
      <c r="I3680">
        <v>-9.7870277501574208E-3</v>
      </c>
    </row>
    <row r="3681" spans="1:9" x14ac:dyDescent="0.25">
      <c r="A3681" s="1">
        <v>65.375131070613804</v>
      </c>
      <c r="B3681">
        <v>13.1990540707402</v>
      </c>
      <c r="C3681">
        <v>3.33962747643952</v>
      </c>
      <c r="D3681">
        <v>2.5169178972349799</v>
      </c>
      <c r="E3681">
        <v>-0.80792511179840698</v>
      </c>
      <c r="F3681">
        <v>2.5496843023658498E-3</v>
      </c>
      <c r="G3681">
        <v>3.8476406371381201E-2</v>
      </c>
      <c r="H3681">
        <v>0.50474878917331001</v>
      </c>
      <c r="I3681">
        <v>-8.5584978027795893E-3</v>
      </c>
    </row>
    <row r="3682" spans="1:9" x14ac:dyDescent="0.25">
      <c r="A3682" s="1">
        <v>72.246375679969702</v>
      </c>
      <c r="B3682">
        <v>13.4213617855601</v>
      </c>
      <c r="C3682">
        <v>3.0849369553394501</v>
      </c>
      <c r="D3682">
        <v>2.2705087975930498</v>
      </c>
      <c r="E3682">
        <v>-0.79915054225964299</v>
      </c>
      <c r="F3682">
        <v>1.8194218856922499E-3</v>
      </c>
      <c r="G3682">
        <v>3.3653060097029501E-2</v>
      </c>
      <c r="H3682">
        <v>0.494454007551553</v>
      </c>
      <c r="I3682">
        <v>-7.4403469263289697E-3</v>
      </c>
    </row>
    <row r="3683" spans="1:9" x14ac:dyDescent="0.25">
      <c r="A3683" s="1">
        <v>79.736069738864799</v>
      </c>
      <c r="B3683">
        <v>13.6364481354051</v>
      </c>
      <c r="C3683">
        <v>2.85546694944858</v>
      </c>
      <c r="D3683">
        <v>2.0552824533329099</v>
      </c>
      <c r="E3683">
        <v>-0.78764419021416598</v>
      </c>
      <c r="F3683">
        <v>1.15291900001319E-3</v>
      </c>
      <c r="G3683">
        <v>2.9367888631522301E-2</v>
      </c>
      <c r="H3683">
        <v>0.48477261749828499</v>
      </c>
      <c r="I3683">
        <v>-6.4395717541463103E-3</v>
      </c>
    </row>
    <row r="3684" spans="1:9" x14ac:dyDescent="0.25">
      <c r="A3684" s="1">
        <v>87.899753153324099</v>
      </c>
      <c r="B3684">
        <v>13.845884435802001</v>
      </c>
      <c r="C3684">
        <v>2.6475051426823599</v>
      </c>
      <c r="D3684">
        <v>1.8670179438419501</v>
      </c>
      <c r="E3684">
        <v>-0.77344855577596705</v>
      </c>
      <c r="F3684">
        <v>7.6219556170464798E-4</v>
      </c>
      <c r="G3684">
        <v>2.55815959984723E-2</v>
      </c>
      <c r="H3684">
        <v>0.475586167445609</v>
      </c>
      <c r="I3684">
        <v>-5.5626244534489099E-3</v>
      </c>
    </row>
    <row r="3685" spans="1:9" x14ac:dyDescent="0.25">
      <c r="A3685" s="1">
        <v>96.798263192176805</v>
      </c>
      <c r="B3685">
        <v>14.050890963702701</v>
      </c>
      <c r="C3685">
        <v>2.4576960293584</v>
      </c>
      <c r="D3685">
        <v>1.70143842565356</v>
      </c>
      <c r="E3685">
        <v>-0.75663884541734905</v>
      </c>
      <c r="F3685">
        <v>8.3087286860126098E-4</v>
      </c>
      <c r="G3685">
        <v>2.2247794780884799E-2</v>
      </c>
      <c r="H3685">
        <v>0.466648325447796</v>
      </c>
      <c r="I3685">
        <v>-4.7988584675078801E-3</v>
      </c>
    </row>
    <row r="3686" spans="1:9" x14ac:dyDescent="0.25">
      <c r="A3686" s="1">
        <v>106.497616767883</v>
      </c>
      <c r="B3686">
        <v>14.252537550955299</v>
      </c>
      <c r="C3686">
        <v>2.2826662203539199</v>
      </c>
      <c r="D3686">
        <v>1.5549149506753699</v>
      </c>
      <c r="E3686">
        <v>-0.737124569844405</v>
      </c>
      <c r="F3686">
        <v>1.08778395857941E-3</v>
      </c>
      <c r="G3686">
        <v>1.9326838741696401E-2</v>
      </c>
      <c r="H3686">
        <v>0.45795026967679497</v>
      </c>
      <c r="I3686">
        <v>-4.1404832672017697E-3</v>
      </c>
    </row>
    <row r="3687" spans="1:9" x14ac:dyDescent="0.25">
      <c r="A3687" s="1">
        <v>117.06990510225199</v>
      </c>
      <c r="B3687">
        <v>14.4519776100211</v>
      </c>
      <c r="C3687">
        <v>2.1184221288343399</v>
      </c>
      <c r="D3687">
        <v>1.4229700545574699</v>
      </c>
      <c r="E3687">
        <v>-0.71466917433030297</v>
      </c>
      <c r="F3687">
        <v>1.2625742248308701E-3</v>
      </c>
      <c r="G3687">
        <v>1.6774507857891498E-2</v>
      </c>
      <c r="H3687">
        <v>0.45009024028384298</v>
      </c>
      <c r="I3687">
        <v>-3.5737894634111701E-3</v>
      </c>
    </row>
    <row r="3688" spans="1:9" x14ac:dyDescent="0.25">
      <c r="A3688" s="1">
        <v>128.593670427799</v>
      </c>
      <c r="B3688">
        <v>14.6501472437673</v>
      </c>
      <c r="C3688">
        <v>1.9629469319291399</v>
      </c>
      <c r="D3688">
        <v>1.30352143622031</v>
      </c>
      <c r="E3688">
        <v>-0.68930981925721402</v>
      </c>
      <c r="F3688">
        <v>1.54953748745753E-3</v>
      </c>
      <c r="G3688">
        <v>1.4514219143834601E-2</v>
      </c>
      <c r="H3688">
        <v>0.44266444098119101</v>
      </c>
      <c r="I3688">
        <v>-3.0688263346008299E-3</v>
      </c>
    </row>
    <row r="3689" spans="1:9" x14ac:dyDescent="0.25">
      <c r="A3689" s="1">
        <v>141.15461230278001</v>
      </c>
      <c r="B3689">
        <v>14.8474810713821</v>
      </c>
      <c r="C3689">
        <v>1.8143605793197199</v>
      </c>
      <c r="D3689">
        <v>1.19395008026529</v>
      </c>
      <c r="E3689">
        <v>-0.66082955784880304</v>
      </c>
      <c r="F3689">
        <v>2.1774133110426699E-3</v>
      </c>
      <c r="G3689">
        <v>1.24970086401722E-2</v>
      </c>
      <c r="H3689">
        <v>0.43546395987804698</v>
      </c>
      <c r="I3689">
        <v>-2.61664970637281E-3</v>
      </c>
    </row>
    <row r="3690" spans="1:9" x14ac:dyDescent="0.25">
      <c r="A3690" s="1">
        <v>154.84601140022201</v>
      </c>
      <c r="B3690">
        <v>15.043795215516599</v>
      </c>
      <c r="C3690">
        <v>1.6711765994430301</v>
      </c>
      <c r="D3690">
        <v>1.0918212319437901</v>
      </c>
      <c r="E3690">
        <v>-0.62905153830979099</v>
      </c>
      <c r="F3690">
        <v>2.2940662853342701E-3</v>
      </c>
      <c r="G3690">
        <v>1.0687463207872901E-2</v>
      </c>
      <c r="H3690">
        <v>0.42798602093609101</v>
      </c>
      <c r="I3690">
        <v>-2.2101901848989398E-3</v>
      </c>
    </row>
    <row r="3691" spans="1:9" x14ac:dyDescent="0.25">
      <c r="A3691" s="1">
        <v>169.76969480514501</v>
      </c>
      <c r="B3691">
        <v>15.2390060955577</v>
      </c>
      <c r="C3691">
        <v>1.53105669670456</v>
      </c>
      <c r="D3691">
        <v>0.995094430842836</v>
      </c>
      <c r="E3691">
        <v>-0.59351129435727301</v>
      </c>
      <c r="F3691">
        <v>1.9096656667291301E-3</v>
      </c>
      <c r="G3691">
        <v>9.0684471880252901E-3</v>
      </c>
      <c r="H3691">
        <v>0.42052404861263398</v>
      </c>
      <c r="I3691">
        <v>-1.8464281908112401E-3</v>
      </c>
    </row>
    <row r="3692" spans="1:9" x14ac:dyDescent="0.25">
      <c r="A3692" s="1">
        <v>186.03645980358101</v>
      </c>
      <c r="B3692">
        <v>15.4336653435521</v>
      </c>
      <c r="C3692">
        <v>1.3921302632422401</v>
      </c>
      <c r="D3692">
        <v>0.90243719062078698</v>
      </c>
      <c r="E3692">
        <v>-0.55372984994948504</v>
      </c>
      <c r="F3692">
        <v>1.7268499426188E-3</v>
      </c>
      <c r="G3692">
        <v>7.6201087307667097E-3</v>
      </c>
      <c r="H3692">
        <v>0.41361393267217</v>
      </c>
      <c r="I3692">
        <v>-1.5237331813473701E-3</v>
      </c>
    </row>
    <row r="3693" spans="1:9" x14ac:dyDescent="0.25">
      <c r="A3693" s="1">
        <v>203.76720398664401</v>
      </c>
      <c r="B3693">
        <v>15.6273049080663</v>
      </c>
      <c r="C3693">
        <v>1.25434822689569</v>
      </c>
      <c r="D3693">
        <v>0.81180834550835601</v>
      </c>
      <c r="E3693">
        <v>-0.50959808960341801</v>
      </c>
      <c r="F3693">
        <v>1.4869122176874E-3</v>
      </c>
      <c r="G3693">
        <v>6.3174787664650603E-3</v>
      </c>
      <c r="H3693">
        <v>0.40631754283690102</v>
      </c>
      <c r="I3693">
        <v>-1.23576752106731E-3</v>
      </c>
    </row>
    <row r="3694" spans="1:9" x14ac:dyDescent="0.25">
      <c r="A3694" s="1">
        <v>223.09376105666101</v>
      </c>
      <c r="B3694">
        <v>15.818286609082699</v>
      </c>
      <c r="C3694">
        <v>1.1167531082678399</v>
      </c>
      <c r="D3694">
        <v>0.72176060985546397</v>
      </c>
      <c r="E3694">
        <v>-0.46066265584968102</v>
      </c>
      <c r="F3694">
        <v>1.1593801569793299E-3</v>
      </c>
      <c r="G3694">
        <v>5.1354223190282801E-3</v>
      </c>
      <c r="H3694">
        <v>0.39891681770368398</v>
      </c>
      <c r="I3694">
        <v>-9.7253799644736504E-4</v>
      </c>
    </row>
    <row r="3695" spans="1:9" x14ac:dyDescent="0.25">
      <c r="A3695" s="1">
        <v>244.15970131754801</v>
      </c>
      <c r="B3695">
        <v>16.0051895761781</v>
      </c>
      <c r="C3695">
        <v>0.97840717127973598</v>
      </c>
      <c r="D3695">
        <v>0.63127513022483694</v>
      </c>
      <c r="E3695">
        <v>-0.40631985848721702</v>
      </c>
      <c r="F3695">
        <v>3.7277538703843602E-4</v>
      </c>
      <c r="G3695">
        <v>4.0739123727494197E-3</v>
      </c>
      <c r="H3695">
        <v>0.39203045761354299</v>
      </c>
      <c r="I3695">
        <v>-7.3797773507221004E-4</v>
      </c>
    </row>
    <row r="3696" spans="1:9" x14ac:dyDescent="0.25">
      <c r="A3696" s="1">
        <v>267.12157949805197</v>
      </c>
      <c r="B3696">
        <v>16.1851720685058</v>
      </c>
      <c r="C3696">
        <v>0.84019521702683897</v>
      </c>
      <c r="D3696">
        <v>0.54107590152292295</v>
      </c>
      <c r="E3696">
        <v>-0.34621186041910501</v>
      </c>
      <c r="F3696">
        <v>-6.4177728131232202E-4</v>
      </c>
      <c r="G3696">
        <v>3.143255955264E-3</v>
      </c>
      <c r="H3696">
        <v>0.38615489717732898</v>
      </c>
      <c r="I3696">
        <v>-5.3996096357794598E-4</v>
      </c>
    </row>
    <row r="3697" spans="1:9" x14ac:dyDescent="0.25">
      <c r="A3697" s="1">
        <v>292.15002954006098</v>
      </c>
      <c r="B3697">
        <v>16.353536855607501</v>
      </c>
      <c r="C3697">
        <v>0.70254136918082599</v>
      </c>
      <c r="D3697">
        <v>0.44976904495657</v>
      </c>
      <c r="E3697">
        <v>-0.279821454274643</v>
      </c>
      <c r="F3697">
        <v>-1.21759861284494E-3</v>
      </c>
      <c r="G3697">
        <v>2.3482415019858201E-3</v>
      </c>
      <c r="H3697">
        <v>0.38251247354308199</v>
      </c>
      <c r="I3697">
        <v>-3.7983702230258301E-4</v>
      </c>
    </row>
    <row r="3698" spans="1:9" x14ac:dyDescent="0.25">
      <c r="A3698" s="1">
        <v>319.43101242184599</v>
      </c>
      <c r="B3698">
        <v>16.5008058959537</v>
      </c>
      <c r="C3698">
        <v>0.57269185470971895</v>
      </c>
      <c r="D3698">
        <v>0.36218231425501202</v>
      </c>
      <c r="E3698">
        <v>-0.20683191445714699</v>
      </c>
      <c r="F3698">
        <v>-9.4220624578243196E-4</v>
      </c>
      <c r="G3698">
        <v>1.70551279974193E-3</v>
      </c>
      <c r="H3698">
        <v>0.38239640497187</v>
      </c>
      <c r="I3698">
        <v>-2.6213709549533301E-4</v>
      </c>
    </row>
    <row r="3699" spans="1:9" x14ac:dyDescent="0.25">
      <c r="A3699" s="1">
        <v>349.16732590645501</v>
      </c>
      <c r="B3699">
        <v>16.615077310233598</v>
      </c>
      <c r="C3699">
        <v>0.464860288947406</v>
      </c>
      <c r="D3699">
        <v>0.28736283232180299</v>
      </c>
      <c r="E3699">
        <v>-0.12593462530607999</v>
      </c>
      <c r="F3699">
        <v>-1.07058327239584E-3</v>
      </c>
      <c r="G3699">
        <v>1.2617884881407401E-3</v>
      </c>
      <c r="H3699">
        <v>0.38692032404361998</v>
      </c>
      <c r="I3699">
        <v>-1.9223040393799099E-4</v>
      </c>
    </row>
    <row r="3700" spans="1:9" x14ac:dyDescent="0.25">
      <c r="A3700" s="1">
        <v>379.83785875141598</v>
      </c>
      <c r="B3700">
        <v>16.675405796795399</v>
      </c>
      <c r="C3700">
        <v>0.403303770403795</v>
      </c>
      <c r="D3700">
        <v>0.24348584424386399</v>
      </c>
      <c r="E3700">
        <v>-4.1580437409912199E-2</v>
      </c>
      <c r="F3700">
        <v>-1.4155183476642901E-3</v>
      </c>
      <c r="G3700">
        <v>1.0309729373244401E-3</v>
      </c>
      <c r="H3700">
        <v>0.40772208822901201</v>
      </c>
      <c r="I3700">
        <v>-1.5259004348172899E-4</v>
      </c>
    </row>
    <row r="3701" spans="1:9" x14ac:dyDescent="0.25">
      <c r="A3701" s="1" t="s">
        <v>573</v>
      </c>
      <c r="B3701" s="1" t="s">
        <v>614</v>
      </c>
      <c r="C3701" s="1" t="s">
        <v>615</v>
      </c>
      <c r="D3701" s="1" t="s">
        <v>616</v>
      </c>
      <c r="E3701" s="1" t="s">
        <v>617</v>
      </c>
      <c r="F3701" s="1" t="s">
        <v>618</v>
      </c>
      <c r="G3701" s="1" t="s">
        <v>400</v>
      </c>
      <c r="H3701" s="1" t="s">
        <v>619</v>
      </c>
      <c r="I3701" s="1" t="s">
        <v>613</v>
      </c>
    </row>
    <row r="3702" spans="1:9" x14ac:dyDescent="0.25">
      <c r="A3702" s="1">
        <v>-141.555516719818</v>
      </c>
      <c r="B3702">
        <v>-3188.19633283761</v>
      </c>
      <c r="C3702">
        <v>1.7972590711489299E-3</v>
      </c>
      <c r="D3702">
        <v>0</v>
      </c>
      <c r="E3702">
        <v>0</v>
      </c>
      <c r="F3702">
        <v>0</v>
      </c>
      <c r="G3702" s="1">
        <v>1.9002097722153799E-8</v>
      </c>
      <c r="H3702">
        <v>9.7283107619037204E-2</v>
      </c>
      <c r="I3702">
        <v>0</v>
      </c>
    </row>
    <row r="3703" spans="1:9" x14ac:dyDescent="0.25">
      <c r="A3703" s="1">
        <v>-128.95890593528699</v>
      </c>
      <c r="B3703">
        <v>-2905.2250066295001</v>
      </c>
      <c r="C3703">
        <v>1.8526826471249301E-3</v>
      </c>
      <c r="D3703">
        <v>0</v>
      </c>
      <c r="E3703">
        <v>0</v>
      </c>
      <c r="F3703">
        <v>0</v>
      </c>
      <c r="G3703" s="1">
        <v>3.4593910162972199E-8</v>
      </c>
      <c r="H3703">
        <v>0.46429215896416698</v>
      </c>
      <c r="I3703">
        <v>0</v>
      </c>
    </row>
    <row r="3704" spans="1:9" x14ac:dyDescent="0.25">
      <c r="A3704" s="1">
        <v>-117.402367591857</v>
      </c>
      <c r="B3704">
        <v>-2645.4914979949299</v>
      </c>
      <c r="C3704">
        <v>1.9796479482769801E-3</v>
      </c>
      <c r="D3704">
        <v>0</v>
      </c>
      <c r="E3704">
        <v>0</v>
      </c>
      <c r="F3704">
        <v>0</v>
      </c>
      <c r="G3704" s="1">
        <v>6.50025544045029E-8</v>
      </c>
      <c r="H3704">
        <v>0.666330093134477</v>
      </c>
      <c r="I3704">
        <v>0</v>
      </c>
    </row>
    <row r="3705" spans="1:9" x14ac:dyDescent="0.25">
      <c r="A3705" s="1">
        <v>-106.80001378059301</v>
      </c>
      <c r="B3705">
        <v>-2407.0973903193799</v>
      </c>
      <c r="C3705">
        <v>2.20990632439972E-3</v>
      </c>
      <c r="D3705">
        <v>0</v>
      </c>
      <c r="E3705">
        <v>0</v>
      </c>
      <c r="F3705">
        <v>0</v>
      </c>
      <c r="G3705" s="1">
        <v>1.12754449123619E-7</v>
      </c>
      <c r="H3705">
        <v>0.75605490821461896</v>
      </c>
      <c r="I3705">
        <v>0</v>
      </c>
    </row>
    <row r="3706" spans="1:9" x14ac:dyDescent="0.25">
      <c r="A3706" s="1">
        <v>-97.073161005973802</v>
      </c>
      <c r="B3706">
        <v>-2188.2975204005502</v>
      </c>
      <c r="C3706">
        <v>2.58353708020796E-3</v>
      </c>
      <c r="D3706">
        <v>0</v>
      </c>
      <c r="E3706">
        <v>0</v>
      </c>
      <c r="F3706">
        <v>0</v>
      </c>
      <c r="G3706" s="1">
        <v>1.8485661327738399E-7</v>
      </c>
      <c r="H3706">
        <v>0.79841833722417899</v>
      </c>
      <c r="I3706">
        <v>0</v>
      </c>
    </row>
    <row r="3707" spans="1:9" x14ac:dyDescent="0.25">
      <c r="A3707" s="1">
        <v>-88.149435520172105</v>
      </c>
      <c r="B3707">
        <v>-1987.4882102980901</v>
      </c>
      <c r="C3707">
        <v>3.1485227436280601E-3</v>
      </c>
      <c r="D3707">
        <v>0</v>
      </c>
      <c r="E3707">
        <v>0</v>
      </c>
      <c r="F3707">
        <v>0</v>
      </c>
      <c r="G3707" s="1">
        <v>2.9405231685386501E-7</v>
      </c>
      <c r="H3707">
        <v>0.82068436632701702</v>
      </c>
      <c r="I3707">
        <v>0</v>
      </c>
    </row>
    <row r="3708" spans="1:9" x14ac:dyDescent="0.25">
      <c r="A3708" s="1">
        <v>-79.962490797042804</v>
      </c>
      <c r="B3708">
        <v>-1803.19603409913</v>
      </c>
      <c r="C3708">
        <v>3.9637726246488699E-3</v>
      </c>
      <c r="D3708">
        <v>0</v>
      </c>
      <c r="E3708">
        <v>0</v>
      </c>
      <c r="F3708">
        <v>0</v>
      </c>
      <c r="G3708" s="1">
        <v>4.6083356549964101E-7</v>
      </c>
      <c r="H3708">
        <v>0.834358961050925</v>
      </c>
      <c r="I3708">
        <v>0</v>
      </c>
    </row>
    <row r="3709" spans="1:9" x14ac:dyDescent="0.25">
      <c r="A3709" s="1">
        <v>-72.451583743095298</v>
      </c>
      <c r="B3709">
        <v>-1634.06711959985</v>
      </c>
      <c r="C3709">
        <v>5.1037103369182503E-3</v>
      </c>
      <c r="D3709">
        <v>0</v>
      </c>
      <c r="E3709">
        <v>0</v>
      </c>
      <c r="F3709">
        <v>0</v>
      </c>
      <c r="G3709" s="1">
        <v>7.1676528147257505E-7</v>
      </c>
      <c r="H3709">
        <v>0.84450711659140998</v>
      </c>
      <c r="I3709">
        <v>0</v>
      </c>
    </row>
    <row r="3710" spans="1:9" x14ac:dyDescent="0.25">
      <c r="A3710" s="1">
        <v>-65.560821294784503</v>
      </c>
      <c r="B3710">
        <v>-1478.8579878702401</v>
      </c>
      <c r="C3710">
        <v>6.6636409255679896E-3</v>
      </c>
      <c r="D3710">
        <v>0</v>
      </c>
      <c r="E3710">
        <v>0</v>
      </c>
      <c r="F3710">
        <v>0</v>
      </c>
      <c r="G3710" s="1">
        <v>1.10987578185772E-6</v>
      </c>
      <c r="H3710">
        <v>0.853341085253014</v>
      </c>
      <c r="I3710">
        <v>0</v>
      </c>
    </row>
    <row r="3711" spans="1:9" x14ac:dyDescent="0.25">
      <c r="A3711" s="1">
        <v>-59.238972067832897</v>
      </c>
      <c r="B3711">
        <v>-1336.42639281896</v>
      </c>
      <c r="C3711">
        <v>8.7658896375475397E-3</v>
      </c>
      <c r="D3711">
        <v>0</v>
      </c>
      <c r="E3711">
        <v>0</v>
      </c>
      <c r="F3711">
        <v>0</v>
      </c>
      <c r="G3711" s="1">
        <v>1.71331630860649E-6</v>
      </c>
      <c r="H3711">
        <v>0.86177838686534203</v>
      </c>
      <c r="I3711">
        <v>0</v>
      </c>
    </row>
    <row r="3712" spans="1:9" x14ac:dyDescent="0.25">
      <c r="A3712" s="1">
        <v>-53.439136743545497</v>
      </c>
      <c r="B3712">
        <v>-1205.7233643188799</v>
      </c>
      <c r="C3712">
        <v>1.1567285303130099E-2</v>
      </c>
      <c r="D3712">
        <v>0</v>
      </c>
      <c r="E3712">
        <v>0</v>
      </c>
      <c r="F3712">
        <v>0</v>
      </c>
      <c r="G3712" s="1">
        <v>2.6391515302646099E-6</v>
      </c>
      <c r="H3712">
        <v>0.87015963950119402</v>
      </c>
      <c r="I3712">
        <v>0</v>
      </c>
    </row>
    <row r="3713" spans="1:9" x14ac:dyDescent="0.25">
      <c r="A3713" s="1">
        <v>-48.118183016777003</v>
      </c>
      <c r="B3713">
        <v>-1085.7854519262601</v>
      </c>
      <c r="C3713">
        <v>1.5268989801251701E-2</v>
      </c>
      <c r="D3713">
        <v>0</v>
      </c>
      <c r="E3713">
        <v>0</v>
      </c>
      <c r="F3713">
        <v>0</v>
      </c>
      <c r="G3713" s="1">
        <v>4.0599473721396598E-6</v>
      </c>
      <c r="H3713">
        <v>0.87856556431772004</v>
      </c>
      <c r="I3713">
        <v>0</v>
      </c>
    </row>
    <row r="3714" spans="1:9" x14ac:dyDescent="0.25">
      <c r="A3714" s="1">
        <v>-43.236604332923797</v>
      </c>
      <c r="B3714">
        <v>-975.72807186392299</v>
      </c>
      <c r="C3714">
        <v>2.0129839664879998E-2</v>
      </c>
      <c r="D3714">
        <v>0</v>
      </c>
      <c r="E3714">
        <v>0</v>
      </c>
      <c r="F3714">
        <v>0</v>
      </c>
      <c r="G3714" s="1">
        <v>6.2420057010532597E-6</v>
      </c>
      <c r="H3714">
        <v>0.88695095376968303</v>
      </c>
      <c r="I3714">
        <v>0</v>
      </c>
    </row>
    <row r="3715" spans="1:9" x14ac:dyDescent="0.25">
      <c r="A3715" s="1">
        <v>-38.758049011230398</v>
      </c>
      <c r="B3715">
        <v>-874.73905459788796</v>
      </c>
      <c r="C3715">
        <v>2.6484230639093699E-2</v>
      </c>
      <c r="D3715">
        <v>0</v>
      </c>
      <c r="E3715">
        <v>0</v>
      </c>
      <c r="F3715">
        <v>0</v>
      </c>
      <c r="G3715" s="1">
        <v>9.5963283977233902E-6</v>
      </c>
      <c r="H3715">
        <v>0.89521241924132899</v>
      </c>
      <c r="I3715">
        <v>0</v>
      </c>
    </row>
    <row r="3716" spans="1:9" x14ac:dyDescent="0.25">
      <c r="A3716" s="1">
        <v>-34.649320244789102</v>
      </c>
      <c r="B3716">
        <v>-782.07256016877602</v>
      </c>
      <c r="C3716">
        <v>3.4765622669153701E-2</v>
      </c>
      <c r="D3716">
        <v>0</v>
      </c>
      <c r="E3716">
        <v>0</v>
      </c>
      <c r="F3716">
        <v>0</v>
      </c>
      <c r="G3716" s="1">
        <v>1.47574388810323E-5</v>
      </c>
      <c r="H3716">
        <v>0.90323582383247902</v>
      </c>
      <c r="I3716">
        <v>0</v>
      </c>
    </row>
    <row r="3717" spans="1:9" x14ac:dyDescent="0.25">
      <c r="A3717" s="1">
        <v>-30.879811048507602</v>
      </c>
      <c r="B3717">
        <v>-697.04396305826594</v>
      </c>
      <c r="C3717">
        <v>4.55371362315359E-2</v>
      </c>
      <c r="D3717">
        <v>0</v>
      </c>
      <c r="E3717">
        <v>0</v>
      </c>
      <c r="F3717">
        <v>0</v>
      </c>
      <c r="G3717" s="1">
        <v>2.2706813338754002E-5</v>
      </c>
      <c r="H3717">
        <v>0.910928532747872</v>
      </c>
      <c r="I3717">
        <v>0</v>
      </c>
    </row>
    <row r="3718" spans="1:9" x14ac:dyDescent="0.25">
      <c r="A3718" s="1">
        <v>-27.4215984344482</v>
      </c>
      <c r="B3718">
        <v>-619.02475377169606</v>
      </c>
      <c r="C3718">
        <v>5.9531733071284301E-2</v>
      </c>
      <c r="D3718">
        <v>0</v>
      </c>
      <c r="E3718">
        <v>0</v>
      </c>
      <c r="F3718">
        <v>0</v>
      </c>
      <c r="G3718" s="1">
        <v>3.4968619379068102E-5</v>
      </c>
      <c r="H3718">
        <v>0.918233744784967</v>
      </c>
      <c r="I3718">
        <v>0</v>
      </c>
    </row>
    <row r="3719" spans="1:9" x14ac:dyDescent="0.25">
      <c r="A3719" s="1">
        <v>-24.248878359794599</v>
      </c>
      <c r="B3719">
        <v>-547.43795026240105</v>
      </c>
      <c r="C3719">
        <v>7.7705721220150598E-2</v>
      </c>
      <c r="D3719">
        <v>0</v>
      </c>
      <c r="E3719">
        <v>0</v>
      </c>
      <c r="F3719">
        <v>0</v>
      </c>
      <c r="G3719" s="1">
        <v>5.3925545039937997E-5</v>
      </c>
      <c r="H3719">
        <v>0.92513164485834898</v>
      </c>
      <c r="I3719">
        <v>0</v>
      </c>
    </row>
    <row r="3720" spans="1:9" x14ac:dyDescent="0.25">
      <c r="A3720" s="1">
        <v>-21.3381540775299</v>
      </c>
      <c r="B3720">
        <v>-481.75394815427398</v>
      </c>
      <c r="C3720">
        <v>0.101311352822752</v>
      </c>
      <c r="D3720">
        <v>0</v>
      </c>
      <c r="E3720">
        <v>0</v>
      </c>
      <c r="F3720">
        <v>0</v>
      </c>
      <c r="G3720" s="1">
        <v>8.33425101257887E-5</v>
      </c>
      <c r="H3720">
        <v>0.931635435202393</v>
      </c>
      <c r="I3720">
        <v>0</v>
      </c>
    </row>
    <row r="3721" spans="1:9" x14ac:dyDescent="0.25">
      <c r="A3721" s="1">
        <v>-18.6677181720733</v>
      </c>
      <c r="B3721">
        <v>-421.48665513840598</v>
      </c>
      <c r="C3721">
        <v>0.13199787898720999</v>
      </c>
      <c r="D3721">
        <v>0</v>
      </c>
      <c r="E3721">
        <v>0</v>
      </c>
      <c r="F3721">
        <v>0</v>
      </c>
      <c r="G3721">
        <v>1.2926947027828799E-4</v>
      </c>
      <c r="H3721">
        <v>0.93778715534045798</v>
      </c>
      <c r="I3721">
        <v>0</v>
      </c>
    </row>
    <row r="3722" spans="1:9" x14ac:dyDescent="0.25">
      <c r="A3722" s="1">
        <v>-16.2178409099578</v>
      </c>
      <c r="B3722">
        <v>-366.18988864866202</v>
      </c>
      <c r="C3722">
        <v>0.17195800622001101</v>
      </c>
      <c r="D3722">
        <v>0</v>
      </c>
      <c r="E3722">
        <v>0</v>
      </c>
      <c r="F3722">
        <v>0</v>
      </c>
      <c r="G3722">
        <v>2.0167222425897E-4</v>
      </c>
      <c r="H3722">
        <v>0.94365313076266599</v>
      </c>
      <c r="I3722">
        <v>0</v>
      </c>
    </row>
    <row r="3723" spans="1:9" x14ac:dyDescent="0.25">
      <c r="A3723" s="1">
        <v>-13.9702051877975</v>
      </c>
      <c r="B3723">
        <v>-315.454124575827</v>
      </c>
      <c r="C3723">
        <v>0.22415141707625699</v>
      </c>
      <c r="D3723">
        <v>0</v>
      </c>
      <c r="E3723">
        <v>0</v>
      </c>
      <c r="F3723">
        <v>0</v>
      </c>
      <c r="G3723">
        <v>3.1752910315438498E-4</v>
      </c>
      <c r="H3723">
        <v>0.94931695884304901</v>
      </c>
      <c r="I3723">
        <v>0</v>
      </c>
    </row>
    <row r="3724" spans="1:9" x14ac:dyDescent="0.25">
      <c r="A3724" s="1">
        <v>-11.908189058303799</v>
      </c>
      <c r="B3724">
        <v>-268.90352597680999</v>
      </c>
      <c r="C3724">
        <v>0.29266468333871698</v>
      </c>
      <c r="D3724">
        <v>0</v>
      </c>
      <c r="E3724">
        <v>0</v>
      </c>
      <c r="F3724">
        <v>0</v>
      </c>
      <c r="G3724">
        <v>5.0700757738508101E-4</v>
      </c>
      <c r="H3724">
        <v>0.95486698895161404</v>
      </c>
      <c r="I3724">
        <v>0</v>
      </c>
    </row>
    <row r="3725" spans="1:9" x14ac:dyDescent="0.25">
      <c r="A3725" s="1">
        <v>-10.016394853591899</v>
      </c>
      <c r="B3725">
        <v>-226.19314730313701</v>
      </c>
      <c r="C3725">
        <v>0.383321708312934</v>
      </c>
      <c r="D3725">
        <v>0</v>
      </c>
      <c r="E3725">
        <v>0</v>
      </c>
      <c r="F3725">
        <v>0</v>
      </c>
      <c r="G3725">
        <v>8.2634125166373398E-4</v>
      </c>
      <c r="H3725">
        <v>0.96037441480337604</v>
      </c>
      <c r="I3725">
        <v>0</v>
      </c>
    </row>
    <row r="3726" spans="1:9" x14ac:dyDescent="0.25">
      <c r="A3726" s="1">
        <v>-8.2808375358581507</v>
      </c>
      <c r="B3726">
        <v>-187.00646041479999</v>
      </c>
      <c r="C3726">
        <v>0.50476360943189003</v>
      </c>
      <c r="D3726">
        <v>0</v>
      </c>
      <c r="E3726">
        <v>0</v>
      </c>
      <c r="F3726">
        <v>0</v>
      </c>
      <c r="G3726">
        <v>1.38568957648533E-3</v>
      </c>
      <c r="H3726">
        <v>0.96586041257579602</v>
      </c>
      <c r="I3726">
        <v>0</v>
      </c>
    </row>
    <row r="3727" spans="1:9" x14ac:dyDescent="0.25">
      <c r="A3727" s="1">
        <v>-6.6885209083557102</v>
      </c>
      <c r="B3727">
        <v>-151.052939100537</v>
      </c>
      <c r="C3727">
        <v>0.67042900525785598</v>
      </c>
      <c r="D3727">
        <v>0</v>
      </c>
      <c r="E3727">
        <v>0</v>
      </c>
      <c r="F3727">
        <v>0</v>
      </c>
      <c r="G3727">
        <v>2.41140017747898E-3</v>
      </c>
      <c r="H3727">
        <v>0.971263043789798</v>
      </c>
      <c r="I3727">
        <v>0</v>
      </c>
    </row>
    <row r="3728" spans="1:9" x14ac:dyDescent="0.25">
      <c r="A3728" s="1">
        <v>-5.2277201414108196</v>
      </c>
      <c r="B3728">
        <v>-118.06604478505599</v>
      </c>
      <c r="C3728">
        <v>0.90229532062375895</v>
      </c>
      <c r="D3728">
        <v>0</v>
      </c>
      <c r="E3728">
        <v>0</v>
      </c>
      <c r="F3728">
        <v>0</v>
      </c>
      <c r="G3728">
        <v>4.3901115052772102E-3</v>
      </c>
      <c r="H3728">
        <v>0.97643148050686301</v>
      </c>
      <c r="I3728">
        <v>0</v>
      </c>
    </row>
    <row r="3729" spans="1:9" x14ac:dyDescent="0.25">
      <c r="A3729" s="1">
        <v>-3.88755798339843</v>
      </c>
      <c r="B3729">
        <v>-87.801103581462101</v>
      </c>
      <c r="C3729">
        <v>1.2381700083371601</v>
      </c>
      <c r="D3729">
        <v>0</v>
      </c>
      <c r="E3729">
        <v>0</v>
      </c>
      <c r="F3729">
        <v>0</v>
      </c>
      <c r="G3729">
        <v>8.4183526646584104E-3</v>
      </c>
      <c r="H3729">
        <v>0.98117181820281996</v>
      </c>
      <c r="I3729">
        <v>0</v>
      </c>
    </row>
    <row r="3730" spans="1:9" x14ac:dyDescent="0.25">
      <c r="A3730" s="1">
        <v>-2.6580518484115601</v>
      </c>
      <c r="B3730">
        <v>-60.033651395116003</v>
      </c>
      <c r="C3730">
        <v>1.7464976443661</v>
      </c>
      <c r="D3730">
        <v>0</v>
      </c>
      <c r="E3730">
        <v>0</v>
      </c>
      <c r="F3730">
        <v>0</v>
      </c>
      <c r="G3730">
        <v>1.7111069959475499E-2</v>
      </c>
      <c r="H3730">
        <v>0.98532863949244398</v>
      </c>
      <c r="I3730">
        <v>0</v>
      </c>
    </row>
    <row r="3731" spans="1:9" x14ac:dyDescent="0.25">
      <c r="A3731" s="1">
        <v>-1.5300196409225399</v>
      </c>
      <c r="B3731">
        <v>-34.557712163005</v>
      </c>
      <c r="C3731">
        <v>2.5583274358950701</v>
      </c>
      <c r="D3731">
        <v>0</v>
      </c>
      <c r="E3731">
        <v>0</v>
      </c>
      <c r="F3731">
        <v>0</v>
      </c>
      <c r="G3731">
        <v>3.7208809068073598E-2</v>
      </c>
      <c r="H3731">
        <v>0.98884791543889505</v>
      </c>
      <c r="I3731">
        <v>0</v>
      </c>
    </row>
    <row r="3732" spans="1:9" x14ac:dyDescent="0.25">
      <c r="A3732" s="1">
        <v>-0.49517393112182601</v>
      </c>
      <c r="B3732">
        <v>-11.184259970460101</v>
      </c>
      <c r="C3732">
        <v>3.9429366394577698</v>
      </c>
      <c r="D3732">
        <v>0</v>
      </c>
      <c r="E3732">
        <v>0</v>
      </c>
      <c r="F3732">
        <v>0</v>
      </c>
      <c r="G3732">
        <v>8.9504359329337604E-2</v>
      </c>
      <c r="H3732">
        <v>0.99190382765868701</v>
      </c>
      <c r="I3732">
        <v>0</v>
      </c>
    </row>
    <row r="3733" spans="1:9" x14ac:dyDescent="0.25">
      <c r="A3733" s="1">
        <v>0.49376130104064903</v>
      </c>
      <c r="B3733">
        <v>0.35233862849692599</v>
      </c>
      <c r="C3733">
        <v>5.1097756130183898</v>
      </c>
      <c r="D3733">
        <v>0.33934553933494599</v>
      </c>
      <c r="E3733">
        <v>-4.8611189014233003E-4</v>
      </c>
      <c r="F3733">
        <v>1.5374637213534401E-4</v>
      </c>
      <c r="G3733">
        <v>1.55922340660753E-2</v>
      </c>
      <c r="H3733">
        <v>0.35355639698262198</v>
      </c>
      <c r="I3733" s="1">
        <v>4.4556529969070802E-7</v>
      </c>
    </row>
    <row r="3734" spans="1:9" x14ac:dyDescent="0.25">
      <c r="A3734" s="1">
        <v>1.5257111191749499</v>
      </c>
      <c r="B3734">
        <v>1.0879148885868</v>
      </c>
      <c r="C3734">
        <v>5.2293680445017703</v>
      </c>
      <c r="D3734">
        <v>1.0804884743983501</v>
      </c>
      <c r="E3734">
        <v>-4.2089946629413804E-3</v>
      </c>
      <c r="F3734">
        <v>4.7798090199651901E-4</v>
      </c>
      <c r="G3734">
        <v>3.4399457861527101E-2</v>
      </c>
      <c r="H3734">
        <v>0.69691223682306502</v>
      </c>
      <c r="I3734" s="1">
        <v>2.2490860691826E-5</v>
      </c>
    </row>
    <row r="3735" spans="1:9" x14ac:dyDescent="0.25">
      <c r="A3735" s="1">
        <v>2.6505178213119498</v>
      </c>
      <c r="B3735">
        <v>1.8830005452297101</v>
      </c>
      <c r="C3735">
        <v>5.4119605458349502</v>
      </c>
      <c r="D3735">
        <v>1.9543732543038901</v>
      </c>
      <c r="E3735">
        <v>-1.5862328880838002E-2</v>
      </c>
      <c r="F3735">
        <v>8.3956003194847202E-4</v>
      </c>
      <c r="G3735">
        <v>6.1152771602054401E-2</v>
      </c>
      <c r="H3735">
        <v>0.81973699496623198</v>
      </c>
      <c r="I3735">
        <v>1.4500892222558099E-4</v>
      </c>
    </row>
    <row r="3736" spans="1:9" x14ac:dyDescent="0.25">
      <c r="A3736" s="1">
        <v>3.8765159249305698</v>
      </c>
      <c r="B3736">
        <v>2.7335502967498702</v>
      </c>
      <c r="C3736">
        <v>5.6959982217751302</v>
      </c>
      <c r="D3736">
        <v>2.9858410404204401</v>
      </c>
      <c r="E3736">
        <v>-3.9334306486303802E-2</v>
      </c>
      <c r="F3736">
        <v>1.2281106296405E-3</v>
      </c>
      <c r="G3736">
        <v>8.7210480885019606E-2</v>
      </c>
      <c r="H3736">
        <v>0.86208267044449205</v>
      </c>
      <c r="I3736">
        <v>3.9120228061783702E-4</v>
      </c>
    </row>
    <row r="3737" spans="1:9" x14ac:dyDescent="0.25">
      <c r="A3737" s="1">
        <v>5.2129346132278398</v>
      </c>
      <c r="B3737">
        <v>3.6291667148731102</v>
      </c>
      <c r="C3737">
        <v>6.1073390964136101</v>
      </c>
      <c r="D3737">
        <v>4.1552825858874298</v>
      </c>
      <c r="E3737">
        <v>-7.9056385067654902E-2</v>
      </c>
      <c r="F3737">
        <v>1.60652257260253E-3</v>
      </c>
      <c r="G3737">
        <v>0.10531113625039</v>
      </c>
      <c r="H3737">
        <v>0.87111612685481299</v>
      </c>
      <c r="I3737">
        <v>8.3460354262879797E-4</v>
      </c>
    </row>
    <row r="3738" spans="1:9" x14ac:dyDescent="0.25">
      <c r="A3738" s="1">
        <v>6.6695916652679399</v>
      </c>
      <c r="B3738">
        <v>4.5518632516525201</v>
      </c>
      <c r="C3738">
        <v>6.6289793085171302</v>
      </c>
      <c r="D3738">
        <v>5.3706591429626398</v>
      </c>
      <c r="E3738">
        <v>-0.13735798536709001</v>
      </c>
      <c r="F3738">
        <v>1.91427908535178E-3</v>
      </c>
      <c r="G3738">
        <v>0.113621006471036</v>
      </c>
      <c r="H3738">
        <v>0.861962897353447</v>
      </c>
      <c r="I3738">
        <v>1.8880196421949501E-3</v>
      </c>
    </row>
    <row r="3739" spans="1:9" x14ac:dyDescent="0.25">
      <c r="A3739" s="1">
        <v>8.2573878765106201</v>
      </c>
      <c r="B3739">
        <v>5.4766994521282104</v>
      </c>
      <c r="C3739">
        <v>7.1869472260387299</v>
      </c>
      <c r="D3739">
        <v>6.47989471870806</v>
      </c>
      <c r="E3739">
        <v>-0.21249619353915999</v>
      </c>
      <c r="F3739">
        <v>2.0845404197292398E-3</v>
      </c>
      <c r="G3739">
        <v>0.115683278692559</v>
      </c>
      <c r="H3739">
        <v>0.84184771767257804</v>
      </c>
      <c r="I3739">
        <v>4.4566621603054296E-3</v>
      </c>
    </row>
    <row r="3740" spans="1:9" x14ac:dyDescent="0.25">
      <c r="A3740" s="1">
        <v>9.9880245327949506</v>
      </c>
      <c r="B3740">
        <v>6.3757593915126698</v>
      </c>
      <c r="C3740">
        <v>7.6735862547966196</v>
      </c>
      <c r="D3740">
        <v>7.3299841786758302</v>
      </c>
      <c r="E3740">
        <v>-0.298446705338897</v>
      </c>
      <c r="F3740">
        <v>2.0630540648462498E-3</v>
      </c>
      <c r="G3740">
        <v>0.116583118934368</v>
      </c>
      <c r="H3740">
        <v>0.81686315793077202</v>
      </c>
      <c r="I3740">
        <v>8.4730082455322202E-3</v>
      </c>
    </row>
    <row r="3741" spans="1:9" x14ac:dyDescent="0.25">
      <c r="A3741" s="1">
        <v>11.874474287032999</v>
      </c>
      <c r="B3741">
        <v>7.22396888586501</v>
      </c>
      <c r="C3741">
        <v>7.9958498560488902</v>
      </c>
      <c r="D3741">
        <v>7.8335216406974801</v>
      </c>
      <c r="E3741">
        <v>-0.38714355316117</v>
      </c>
      <c r="F3741">
        <v>1.8518695514996701E-3</v>
      </c>
      <c r="G3741">
        <v>0.118471339833895</v>
      </c>
      <c r="H3741">
        <v>0.79149175727433696</v>
      </c>
      <c r="I3741">
        <v>1.11607296456503E-2</v>
      </c>
    </row>
    <row r="3742" spans="1:9" x14ac:dyDescent="0.25">
      <c r="A3742" s="1">
        <v>13.9306750893592</v>
      </c>
      <c r="B3742">
        <v>8.0042106256149204</v>
      </c>
      <c r="C3742">
        <v>8.1099336156300303</v>
      </c>
      <c r="D3742">
        <v>7.9877261444865502</v>
      </c>
      <c r="E3742">
        <v>-0.47142800221225101</v>
      </c>
      <c r="F3742">
        <v>1.51892764149113E-3</v>
      </c>
      <c r="G3742">
        <v>0.120179804250077</v>
      </c>
      <c r="H3742">
        <v>0.76720588091383402</v>
      </c>
      <c r="I3742">
        <v>9.9557973899557402E-3</v>
      </c>
    </row>
    <row r="3743" spans="1:9" x14ac:dyDescent="0.25">
      <c r="A3743" s="1">
        <v>16.171883344650201</v>
      </c>
      <c r="B3743">
        <v>8.70866146537284</v>
      </c>
      <c r="C3743">
        <v>8.0221897315573703</v>
      </c>
      <c r="D3743">
        <v>7.85150052322461</v>
      </c>
      <c r="E3743">
        <v>-0.54664487887354796</v>
      </c>
      <c r="F3743">
        <v>1.1775717056812501E-3</v>
      </c>
      <c r="G3743">
        <v>0.11985516058382301</v>
      </c>
      <c r="H3743">
        <v>0.74357630406587505</v>
      </c>
      <c r="I3743">
        <v>5.3753223500206497E-3</v>
      </c>
    </row>
    <row r="3744" spans="1:9" x14ac:dyDescent="0.25">
      <c r="A3744" s="1">
        <v>18.614838719367899</v>
      </c>
      <c r="B3744">
        <v>9.3373214051387698</v>
      </c>
      <c r="C3744">
        <v>7.7693676723065401</v>
      </c>
      <c r="D3744">
        <v>7.5050913017253498</v>
      </c>
      <c r="E3744">
        <v>-0.61069142826441603</v>
      </c>
      <c r="F3744">
        <v>9.49645427014459E-4</v>
      </c>
      <c r="G3744">
        <v>0.116727799700027</v>
      </c>
      <c r="H3744">
        <v>0.71993334580442303</v>
      </c>
      <c r="I3744">
        <v>-3.9349359116777399E-4</v>
      </c>
    </row>
    <row r="3745" spans="1:9" x14ac:dyDescent="0.25">
      <c r="A3745" s="1">
        <v>21.2777170538902</v>
      </c>
      <c r="B3745">
        <v>9.8950715527198696</v>
      </c>
      <c r="C3745">
        <v>7.39822819933653</v>
      </c>
      <c r="D3745">
        <v>7.0258787323325302</v>
      </c>
      <c r="E3745">
        <v>-0.66330293273569996</v>
      </c>
      <c r="F3745">
        <v>9.2505178886207601E-4</v>
      </c>
      <c r="G3745">
        <v>0.111162058621623</v>
      </c>
      <c r="H3745">
        <v>0.69603216620851804</v>
      </c>
      <c r="I3745">
        <v>-5.6175535747451204E-3</v>
      </c>
    </row>
    <row r="3746" spans="1:9" x14ac:dyDescent="0.25">
      <c r="A3746" s="1">
        <v>24.180224537849401</v>
      </c>
      <c r="B3746">
        <v>10.3890998408458</v>
      </c>
      <c r="C3746">
        <v>6.9531308288017604</v>
      </c>
      <c r="D3746">
        <v>6.4765774955469997</v>
      </c>
      <c r="E3746">
        <v>-0.70525402688392103</v>
      </c>
      <c r="F3746">
        <v>1.14984712368003E-3</v>
      </c>
      <c r="G3746">
        <v>0.104010898307259</v>
      </c>
      <c r="H3746">
        <v>0.67201194600134595</v>
      </c>
      <c r="I3746">
        <v>-9.5795954025842105E-3</v>
      </c>
    </row>
    <row r="3747" spans="1:9" x14ac:dyDescent="0.25">
      <c r="A3747" s="1">
        <v>27.343950867652801</v>
      </c>
      <c r="B3747">
        <v>10.8273965761325</v>
      </c>
      <c r="C3747">
        <v>6.4708834007272102</v>
      </c>
      <c r="D3747">
        <v>5.90068342333198</v>
      </c>
      <c r="E3747">
        <v>-0.73776282539098603</v>
      </c>
      <c r="F3747">
        <v>1.56847588763274E-3</v>
      </c>
      <c r="G3747">
        <v>9.6073632025706596E-2</v>
      </c>
      <c r="H3747">
        <v>0.64823726149685001</v>
      </c>
      <c r="I3747">
        <v>-1.22141317919003E-2</v>
      </c>
    </row>
    <row r="3748" spans="1:9" x14ac:dyDescent="0.25">
      <c r="A3748" s="1">
        <v>30.7923927903175</v>
      </c>
      <c r="B3748">
        <v>11.217851768459999</v>
      </c>
      <c r="C3748">
        <v>5.9796587717249103</v>
      </c>
      <c r="D3748">
        <v>5.3312768769771797</v>
      </c>
      <c r="E3748">
        <v>-0.76214454632117601</v>
      </c>
      <c r="F3748">
        <v>2.0858588581381299E-3</v>
      </c>
      <c r="G3748">
        <v>8.7895603817156401E-2</v>
      </c>
      <c r="H3748">
        <v>0.62516932185927798</v>
      </c>
      <c r="I3748">
        <v>-1.36954885456843E-2</v>
      </c>
    </row>
    <row r="3749" spans="1:9" x14ac:dyDescent="0.25">
      <c r="A3749" s="1">
        <v>34.551213085651298</v>
      </c>
      <c r="B3749">
        <v>11.5679208085201</v>
      </c>
      <c r="C3749">
        <v>5.4996094330723997</v>
      </c>
      <c r="D3749">
        <v>4.7873917278094096</v>
      </c>
      <c r="E3749">
        <v>-0.77964681022184801</v>
      </c>
      <c r="F3749">
        <v>2.6463319867473102E-3</v>
      </c>
      <c r="G3749">
        <v>7.9783666056926397E-2</v>
      </c>
      <c r="H3749">
        <v>0.60326492536352505</v>
      </c>
      <c r="I3749">
        <v>-1.42460261314858E-2</v>
      </c>
    </row>
    <row r="3750" spans="1:9" x14ac:dyDescent="0.25">
      <c r="A3750" s="1">
        <v>38.6483111977577</v>
      </c>
      <c r="B3750">
        <v>11.884223280873099</v>
      </c>
      <c r="C3750">
        <v>5.0440412366706697</v>
      </c>
      <c r="D3750">
        <v>4.28228561216409</v>
      </c>
      <c r="E3750">
        <v>-0.79134896447912995</v>
      </c>
      <c r="F3750">
        <v>3.1314071847778598E-3</v>
      </c>
      <c r="G3750">
        <v>7.1905284715858206E-2</v>
      </c>
      <c r="H3750">
        <v>0.58292362649962504</v>
      </c>
      <c r="I3750">
        <v>-1.40769574659257E-2</v>
      </c>
    </row>
    <row r="3751" spans="1:9" x14ac:dyDescent="0.25">
      <c r="A3751" s="1">
        <v>43.1141293048858</v>
      </c>
      <c r="B3751">
        <v>12.1727435574195</v>
      </c>
      <c r="C3751">
        <v>4.62081660130894</v>
      </c>
      <c r="D3751">
        <v>3.82259253712109</v>
      </c>
      <c r="E3751">
        <v>-0.79813928718717897</v>
      </c>
      <c r="F3751">
        <v>3.4958989489401798E-3</v>
      </c>
      <c r="G3751">
        <v>6.4366531736191501E-2</v>
      </c>
      <c r="H3751">
        <v>0.56442430133214905</v>
      </c>
      <c r="I3751">
        <v>-1.33805729576252E-2</v>
      </c>
    </row>
    <row r="3752" spans="1:9" x14ac:dyDescent="0.25">
      <c r="A3752" s="1">
        <v>47.981887757778097</v>
      </c>
      <c r="B3752">
        <v>12.4385967716834</v>
      </c>
      <c r="C3752">
        <v>4.23374512898733</v>
      </c>
      <c r="D3752">
        <v>3.4101457525251901</v>
      </c>
      <c r="E3752">
        <v>-0.80076297405918995</v>
      </c>
      <c r="F3752">
        <v>3.6648078684919602E-3</v>
      </c>
      <c r="G3752">
        <v>5.7239082861290903E-2</v>
      </c>
      <c r="H3752">
        <v>0.54781820028828498</v>
      </c>
      <c r="I3752">
        <v>-1.2338629396903E-2</v>
      </c>
    </row>
    <row r="3753" spans="1:9" x14ac:dyDescent="0.25">
      <c r="A3753" s="1">
        <v>53.287820518016801</v>
      </c>
      <c r="B3753">
        <v>12.686028818812099</v>
      </c>
      <c r="C3753">
        <v>3.8834897946070299</v>
      </c>
      <c r="D3753">
        <v>3.0453606159976698</v>
      </c>
      <c r="E3753">
        <v>-0.79978297539449505</v>
      </c>
      <c r="F3753">
        <v>3.5674911832721599E-3</v>
      </c>
      <c r="G3753">
        <v>5.0597672267450398E-2</v>
      </c>
      <c r="H3753">
        <v>0.53307832166764801</v>
      </c>
      <c r="I3753">
        <v>-1.1109846919317899E-2</v>
      </c>
    </row>
    <row r="3754" spans="1:9" x14ac:dyDescent="0.25">
      <c r="A3754" s="1">
        <v>59.071175158023799</v>
      </c>
      <c r="B3754">
        <v>12.9186503812931</v>
      </c>
      <c r="C3754">
        <v>3.5687469668992602</v>
      </c>
      <c r="D3754">
        <v>2.72402576964571</v>
      </c>
      <c r="E3754">
        <v>-0.79562596512516104</v>
      </c>
      <c r="F3754">
        <v>3.1569405239238501E-3</v>
      </c>
      <c r="G3754">
        <v>4.4522956741844297E-2</v>
      </c>
      <c r="H3754">
        <v>0.52010740028205804</v>
      </c>
      <c r="I3754">
        <v>-9.8422378198678995E-3</v>
      </c>
    </row>
    <row r="3755" spans="1:9" x14ac:dyDescent="0.25">
      <c r="A3755" s="1">
        <v>65.375131070613804</v>
      </c>
      <c r="B3755">
        <v>13.139403496708599</v>
      </c>
      <c r="C3755">
        <v>3.2873514619722299</v>
      </c>
      <c r="D3755">
        <v>2.4433896483907498</v>
      </c>
      <c r="E3755">
        <v>-0.78860858372455001</v>
      </c>
      <c r="F3755">
        <v>2.5346448898348E-3</v>
      </c>
      <c r="G3755">
        <v>3.9048154028730998E-2</v>
      </c>
      <c r="H3755">
        <v>0.508501310271125</v>
      </c>
      <c r="I3755">
        <v>-8.6295753245961594E-3</v>
      </c>
    </row>
    <row r="3756" spans="1:9" x14ac:dyDescent="0.25">
      <c r="A3756" s="1">
        <v>72.246375679969702</v>
      </c>
      <c r="B3756">
        <v>13.350695286717199</v>
      </c>
      <c r="C3756">
        <v>3.0360427709787801</v>
      </c>
      <c r="D3756">
        <v>2.19985962618704</v>
      </c>
      <c r="E3756">
        <v>-0.77897105197997196</v>
      </c>
      <c r="F3756">
        <v>1.81167663053832E-3</v>
      </c>
      <c r="G3756">
        <v>3.4183399260162402E-2</v>
      </c>
      <c r="H3756">
        <v>0.49796369330127799</v>
      </c>
      <c r="I3756">
        <v>-7.5289143283820796E-3</v>
      </c>
    </row>
    <row r="3757" spans="1:9" x14ac:dyDescent="0.25">
      <c r="A3757" s="1">
        <v>79.736069738864799</v>
      </c>
      <c r="B3757">
        <v>13.554531686034</v>
      </c>
      <c r="C3757">
        <v>2.8109082833022598</v>
      </c>
      <c r="D3757">
        <v>1.9876525146981801</v>
      </c>
      <c r="E3757">
        <v>-0.76684848198003097</v>
      </c>
      <c r="F3757">
        <v>1.17974616308574E-3</v>
      </c>
      <c r="G3757">
        <v>2.9877719732729398E-2</v>
      </c>
      <c r="H3757">
        <v>0.48805104582966602</v>
      </c>
      <c r="I3757">
        <v>-6.5444141955063699E-3</v>
      </c>
    </row>
    <row r="3758" spans="1:9" x14ac:dyDescent="0.25">
      <c r="A3758" s="1">
        <v>87.899753153324099</v>
      </c>
      <c r="B3758">
        <v>13.752484010185899</v>
      </c>
      <c r="C3758">
        <v>2.60790119098957</v>
      </c>
      <c r="D3758">
        <v>1.8026107667531699</v>
      </c>
      <c r="E3758">
        <v>-0.75226709718694795</v>
      </c>
      <c r="F3758">
        <v>8.3433084565018897E-4</v>
      </c>
      <c r="G3758">
        <v>2.6084114024971201E-2</v>
      </c>
      <c r="H3758">
        <v>0.47862471669958401</v>
      </c>
      <c r="I3758">
        <v>-5.6808382964558604E-3</v>
      </c>
    </row>
    <row r="3759" spans="1:9" x14ac:dyDescent="0.25">
      <c r="A3759" s="1">
        <v>96.798263192176805</v>
      </c>
      <c r="B3759">
        <v>13.9457892522476</v>
      </c>
      <c r="C3759">
        <v>2.4234282101352198</v>
      </c>
      <c r="D3759">
        <v>1.6393917236492701</v>
      </c>
      <c r="E3759">
        <v>-0.73528415314722495</v>
      </c>
      <c r="F3759">
        <v>9.2158413431314495E-4</v>
      </c>
      <c r="G3759">
        <v>2.2751027481280901E-2</v>
      </c>
      <c r="H3759">
        <v>0.46944775904274499</v>
      </c>
      <c r="I3759">
        <v>-4.9277934558111898E-3</v>
      </c>
    </row>
    <row r="3760" spans="1:9" x14ac:dyDescent="0.25">
      <c r="A3760" s="1">
        <v>106.497616767883</v>
      </c>
      <c r="B3760">
        <v>14.135450379576399</v>
      </c>
      <c r="C3760">
        <v>2.2539621540293102</v>
      </c>
      <c r="D3760">
        <v>1.49613979001354</v>
      </c>
      <c r="E3760">
        <v>-0.71578382116792305</v>
      </c>
      <c r="F3760">
        <v>1.1815155427651099E-3</v>
      </c>
      <c r="G3760">
        <v>1.9833757659843101E-2</v>
      </c>
      <c r="H3760">
        <v>0.46049606690883599</v>
      </c>
      <c r="I3760">
        <v>-4.2773091910641601E-3</v>
      </c>
    </row>
    <row r="3761" spans="1:9" x14ac:dyDescent="0.25">
      <c r="A3761" s="1">
        <v>117.06990510225199</v>
      </c>
      <c r="B3761">
        <v>14.3226375207565</v>
      </c>
      <c r="C3761">
        <v>2.09539884464203</v>
      </c>
      <c r="D3761">
        <v>1.3670216502735599</v>
      </c>
      <c r="E3761">
        <v>-0.693529228297318</v>
      </c>
      <c r="F3761">
        <v>1.3823670621981299E-3</v>
      </c>
      <c r="G3761">
        <v>1.7285137402884999E-2</v>
      </c>
      <c r="H3761">
        <v>0.45233002056544203</v>
      </c>
      <c r="I3761">
        <v>-3.7157821980574901E-3</v>
      </c>
    </row>
    <row r="3762" spans="1:9" x14ac:dyDescent="0.25">
      <c r="A3762" s="1">
        <v>128.593670427799</v>
      </c>
      <c r="B3762">
        <v>14.5082533464096</v>
      </c>
      <c r="C3762">
        <v>1.9455359005256601</v>
      </c>
      <c r="D3762">
        <v>1.25043925408358</v>
      </c>
      <c r="E3762">
        <v>-0.66854429708821095</v>
      </c>
      <c r="F3762">
        <v>1.7104655488375401E-3</v>
      </c>
      <c r="G3762">
        <v>1.50267189892151E-2</v>
      </c>
      <c r="H3762">
        <v>0.444555543561577</v>
      </c>
      <c r="I3762">
        <v>-3.21309351874135E-3</v>
      </c>
    </row>
    <row r="3763" spans="1:9" x14ac:dyDescent="0.25">
      <c r="A3763" s="1">
        <v>141.15461230278001</v>
      </c>
      <c r="B3763">
        <v>14.692665611233499</v>
      </c>
      <c r="C3763">
        <v>1.8023404752471399</v>
      </c>
      <c r="D3763">
        <v>1.1437603885590399</v>
      </c>
      <c r="E3763">
        <v>-0.64060512157820504</v>
      </c>
      <c r="F3763">
        <v>2.3679435829145499E-3</v>
      </c>
      <c r="G3763">
        <v>1.30083656537534E-2</v>
      </c>
      <c r="H3763">
        <v>0.43702006171789398</v>
      </c>
      <c r="I3763">
        <v>-2.7610535697324798E-3</v>
      </c>
    </row>
    <row r="3764" spans="1:9" x14ac:dyDescent="0.25">
      <c r="A3764" s="1">
        <v>154.84601140022201</v>
      </c>
      <c r="B3764">
        <v>14.875707154001899</v>
      </c>
      <c r="C3764">
        <v>1.6644753166697801</v>
      </c>
      <c r="D3764">
        <v>1.04326733862639</v>
      </c>
      <c r="E3764">
        <v>-0.60952766131705005</v>
      </c>
      <c r="F3764">
        <v>2.46693134215053E-3</v>
      </c>
      <c r="G3764">
        <v>1.11915702565424E-2</v>
      </c>
      <c r="H3764">
        <v>0.42914692057395198</v>
      </c>
      <c r="I3764">
        <v>-2.3517508067475799E-3</v>
      </c>
    </row>
    <row r="3765" spans="1:9" x14ac:dyDescent="0.25">
      <c r="A3765" s="1">
        <v>169.76969480514501</v>
      </c>
      <c r="B3765">
        <v>15.057244245733999</v>
      </c>
      <c r="C3765">
        <v>1.52961214392571</v>
      </c>
      <c r="D3765">
        <v>0.94970175228474996</v>
      </c>
      <c r="E3765">
        <v>-0.574861394326593</v>
      </c>
      <c r="F3765">
        <v>2.05127293394455E-3</v>
      </c>
      <c r="G3765">
        <v>9.5597053286903197E-3</v>
      </c>
      <c r="H3765">
        <v>0.42124200092776998</v>
      </c>
      <c r="I3765">
        <v>-1.9831565708650898E-3</v>
      </c>
    </row>
    <row r="3766" spans="1:9" x14ac:dyDescent="0.25">
      <c r="A3766" s="1">
        <v>186.03645980358101</v>
      </c>
      <c r="B3766">
        <v>15.2378786668441</v>
      </c>
      <c r="C3766">
        <v>1.3956285503125101</v>
      </c>
      <c r="D3766">
        <v>0.85960604449387701</v>
      </c>
      <c r="E3766">
        <v>-0.53613644860259002</v>
      </c>
      <c r="F3766">
        <v>1.91793892865605E-3</v>
      </c>
      <c r="G3766">
        <v>8.0925447880186609E-3</v>
      </c>
      <c r="H3766">
        <v>0.41385072468877099</v>
      </c>
      <c r="I3766">
        <v>-1.6533108756033299E-3</v>
      </c>
    </row>
    <row r="3767" spans="1:9" x14ac:dyDescent="0.25">
      <c r="A3767" s="1">
        <v>203.76720398664401</v>
      </c>
      <c r="B3767">
        <v>15.4171089336536</v>
      </c>
      <c r="C3767">
        <v>1.2627368480341801</v>
      </c>
      <c r="D3767">
        <v>0.77106658161700503</v>
      </c>
      <c r="E3767">
        <v>-0.49326216297013797</v>
      </c>
      <c r="F3767">
        <v>1.73762793072677E-3</v>
      </c>
      <c r="G3767">
        <v>6.7651368941410101E-3</v>
      </c>
      <c r="H3767">
        <v>0.40594664970888</v>
      </c>
      <c r="I3767">
        <v>-1.35629782565024E-3</v>
      </c>
    </row>
    <row r="3768" spans="1:9" x14ac:dyDescent="0.25">
      <c r="A3768" s="1">
        <v>223.09376105666101</v>
      </c>
      <c r="B3768">
        <v>15.593230001654399</v>
      </c>
      <c r="C3768">
        <v>1.1299884278800501</v>
      </c>
      <c r="D3768">
        <v>0.68519524595876202</v>
      </c>
      <c r="E3768">
        <v>-0.44579298404913897</v>
      </c>
      <c r="F3768">
        <v>1.40780449956489E-3</v>
      </c>
      <c r="G3768">
        <v>5.5531226599526201E-3</v>
      </c>
      <c r="H3768">
        <v>0.39787203887271599</v>
      </c>
      <c r="I3768">
        <v>-1.08249218958347E-3</v>
      </c>
    </row>
    <row r="3769" spans="1:9" x14ac:dyDescent="0.25">
      <c r="A3769" s="1">
        <v>244.15970131754801</v>
      </c>
      <c r="B3769">
        <v>15.7649045810363</v>
      </c>
      <c r="C3769">
        <v>0.99633803852771197</v>
      </c>
      <c r="D3769">
        <v>0.59717517862968905</v>
      </c>
      <c r="E3769">
        <v>-0.39312218676027399</v>
      </c>
      <c r="F3769">
        <v>5.8971316873130005E-4</v>
      </c>
      <c r="G3769">
        <v>4.4550028399391603E-3</v>
      </c>
      <c r="H3769">
        <v>0.39005594804615101</v>
      </c>
      <c r="I3769">
        <v>-8.3462608108339498E-4</v>
      </c>
    </row>
    <row r="3770" spans="1:9" x14ac:dyDescent="0.25">
      <c r="A3770" s="1">
        <v>267.12157949805197</v>
      </c>
      <c r="B3770">
        <v>15.929558388914799</v>
      </c>
      <c r="C3770">
        <v>0.86275374637096003</v>
      </c>
      <c r="D3770">
        <v>0.51177158321608995</v>
      </c>
      <c r="E3770">
        <v>-0.33490035708669502</v>
      </c>
      <c r="F3770">
        <v>-4.6175315641500798E-4</v>
      </c>
      <c r="G3770">
        <v>3.4830288771281999E-3</v>
      </c>
      <c r="H3770">
        <v>0.38276365072150298</v>
      </c>
      <c r="I3770">
        <v>-6.2179309479874702E-4</v>
      </c>
    </row>
    <row r="3771" spans="1:9" x14ac:dyDescent="0.25">
      <c r="A3771" s="1">
        <v>292.15002954006098</v>
      </c>
      <c r="B3771">
        <v>16.082912097897299</v>
      </c>
      <c r="C3771">
        <v>0.73004889027755504</v>
      </c>
      <c r="D3771">
        <v>0.42558139978725001</v>
      </c>
      <c r="E3771">
        <v>-0.27062850448644199</v>
      </c>
      <c r="F3771">
        <v>-1.0897050708334401E-3</v>
      </c>
      <c r="G3771">
        <v>2.64509168457073E-3</v>
      </c>
      <c r="H3771">
        <v>0.376886811256049</v>
      </c>
      <c r="I3771">
        <v>-4.4642736155566502E-4</v>
      </c>
    </row>
    <row r="3772" spans="1:9" x14ac:dyDescent="0.25">
      <c r="A3772" s="1">
        <v>319.43101242184599</v>
      </c>
      <c r="B3772">
        <v>16.2162733242176</v>
      </c>
      <c r="C3772">
        <v>0.60522054512436596</v>
      </c>
      <c r="D3772">
        <v>0.34399040197460901</v>
      </c>
      <c r="E3772">
        <v>-0.200041865830105</v>
      </c>
      <c r="F3772">
        <v>-8.3910740295833495E-4</v>
      </c>
      <c r="G3772">
        <v>1.9611123688527401E-3</v>
      </c>
      <c r="H3772">
        <v>0.37349977859813099</v>
      </c>
      <c r="I3772">
        <v>-3.1429244906698198E-4</v>
      </c>
    </row>
    <row r="3773" spans="1:9" x14ac:dyDescent="0.25">
      <c r="A3773" s="1">
        <v>349.16732590645501</v>
      </c>
      <c r="B3773">
        <v>16.319144342865702</v>
      </c>
      <c r="C3773">
        <v>0.502224268200826</v>
      </c>
      <c r="D3773">
        <v>0.275392389179487</v>
      </c>
      <c r="E3773">
        <v>-0.121832008509554</v>
      </c>
      <c r="F3773">
        <v>-1.06079393809529E-3</v>
      </c>
      <c r="G3773">
        <v>1.4846186607349299E-3</v>
      </c>
      <c r="H3773">
        <v>0.37274589244423201</v>
      </c>
      <c r="I3773">
        <v>-2.3404653881193299E-4</v>
      </c>
    </row>
    <row r="3774" spans="1:9" x14ac:dyDescent="0.25">
      <c r="A3774" s="1">
        <v>379.83785875141598</v>
      </c>
      <c r="B3774">
        <v>16.373037122216001</v>
      </c>
      <c r="C3774">
        <v>0.44313251694195999</v>
      </c>
      <c r="D3774">
        <v>0.23594830617845799</v>
      </c>
      <c r="E3774">
        <v>-4.0228054982126102E-2</v>
      </c>
      <c r="F3774">
        <v>-1.1144266011554999E-3</v>
      </c>
      <c r="G3774">
        <v>1.23266599299627E-3</v>
      </c>
      <c r="H3774">
        <v>0.38893684593399003</v>
      </c>
      <c r="I3774">
        <v>-1.87116306228689E-4</v>
      </c>
    </row>
  </sheetData>
  <mergeCells count="12">
    <mergeCell ref="P57:P63"/>
    <mergeCell ref="P22:P28"/>
    <mergeCell ref="P29:P35"/>
    <mergeCell ref="P36:P42"/>
    <mergeCell ref="P43:P49"/>
    <mergeCell ref="P50:P56"/>
    <mergeCell ref="AM96:AN96"/>
    <mergeCell ref="AM116:AN116"/>
    <mergeCell ref="P64:P70"/>
    <mergeCell ref="P71:P77"/>
    <mergeCell ref="P78:P84"/>
    <mergeCell ref="P85:P9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topLeftCell="A195" workbookViewId="0">
      <selection activeCell="A195" sqref="A195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17</v>
      </c>
    </row>
    <row r="2" spans="1:6" x14ac:dyDescent="0.25">
      <c r="A2" t="s">
        <v>17</v>
      </c>
    </row>
    <row r="3" spans="1:6" x14ac:dyDescent="0.25">
      <c r="A3" t="s">
        <v>18</v>
      </c>
      <c r="B3" t="s">
        <v>19</v>
      </c>
    </row>
    <row r="4" spans="1:6" x14ac:dyDescent="0.25">
      <c r="A4" t="s">
        <v>18</v>
      </c>
      <c r="B4" t="s">
        <v>20</v>
      </c>
      <c r="C4" t="s">
        <v>21</v>
      </c>
      <c r="D4" t="s">
        <v>22</v>
      </c>
      <c r="E4" t="s">
        <v>19</v>
      </c>
    </row>
    <row r="5" spans="1:6" x14ac:dyDescent="0.25">
      <c r="A5" t="s">
        <v>18</v>
      </c>
      <c r="B5" t="s">
        <v>23</v>
      </c>
      <c r="C5" t="s">
        <v>24</v>
      </c>
      <c r="D5" t="s">
        <v>19</v>
      </c>
    </row>
    <row r="6" spans="1:6" x14ac:dyDescent="0.25">
      <c r="A6" t="s">
        <v>18</v>
      </c>
      <c r="B6" t="s">
        <v>25</v>
      </c>
      <c r="C6" t="s">
        <v>26</v>
      </c>
      <c r="D6" t="s">
        <v>27</v>
      </c>
      <c r="E6" t="s">
        <v>28</v>
      </c>
      <c r="F6" t="s">
        <v>19</v>
      </c>
    </row>
    <row r="7" spans="1:6" x14ac:dyDescent="0.25">
      <c r="A7" t="s">
        <v>18</v>
      </c>
      <c r="B7" t="s">
        <v>29</v>
      </c>
      <c r="C7" t="s">
        <v>30</v>
      </c>
      <c r="D7" t="s">
        <v>31</v>
      </c>
      <c r="E7" t="s">
        <v>19</v>
      </c>
    </row>
    <row r="8" spans="1:6" x14ac:dyDescent="0.25">
      <c r="A8" t="s">
        <v>18</v>
      </c>
      <c r="B8" t="s">
        <v>19</v>
      </c>
    </row>
    <row r="9" spans="1:6" x14ac:dyDescent="0.25">
      <c r="A9" t="s">
        <v>18</v>
      </c>
      <c r="B9" t="s">
        <v>19</v>
      </c>
    </row>
    <row r="10" spans="1:6" x14ac:dyDescent="0.25">
      <c r="A10" t="s">
        <v>18</v>
      </c>
      <c r="B10" t="s">
        <v>32</v>
      </c>
      <c r="C10" t="s">
        <v>19</v>
      </c>
    </row>
    <row r="11" spans="1:6" x14ac:dyDescent="0.25">
      <c r="A11" t="s">
        <v>18</v>
      </c>
      <c r="B11" t="s">
        <v>19</v>
      </c>
    </row>
    <row r="12" spans="1:6" x14ac:dyDescent="0.25">
      <c r="A12" t="s">
        <v>18</v>
      </c>
      <c r="B12" t="s">
        <v>33</v>
      </c>
      <c r="C12" t="s">
        <v>34</v>
      </c>
      <c r="D12" t="s">
        <v>19</v>
      </c>
    </row>
    <row r="13" spans="1:6" x14ac:dyDescent="0.25">
      <c r="A13" t="s">
        <v>18</v>
      </c>
      <c r="B13" t="s">
        <v>19</v>
      </c>
    </row>
    <row r="14" spans="1:6" x14ac:dyDescent="0.25">
      <c r="A14" t="s">
        <v>18</v>
      </c>
      <c r="B14" t="s">
        <v>35</v>
      </c>
      <c r="C14" t="s">
        <v>36</v>
      </c>
      <c r="D14" t="s">
        <v>37</v>
      </c>
      <c r="E14" t="s">
        <v>38</v>
      </c>
      <c r="F14" t="s">
        <v>19</v>
      </c>
    </row>
    <row r="15" spans="1:6" x14ac:dyDescent="0.25">
      <c r="A15" t="s">
        <v>18</v>
      </c>
      <c r="B15" t="s">
        <v>19</v>
      </c>
    </row>
    <row r="16" spans="1:6" x14ac:dyDescent="0.25">
      <c r="A16" t="s">
        <v>18</v>
      </c>
      <c r="B16" t="s">
        <v>39</v>
      </c>
      <c r="C16" t="s">
        <v>36</v>
      </c>
      <c r="D16" t="s">
        <v>40</v>
      </c>
      <c r="E16" t="s">
        <v>41</v>
      </c>
      <c r="F16" t="s">
        <v>19</v>
      </c>
    </row>
    <row r="17" spans="1:10" x14ac:dyDescent="0.25">
      <c r="A17" t="s">
        <v>18</v>
      </c>
      <c r="B17" t="s">
        <v>42</v>
      </c>
      <c r="C17" t="s">
        <v>36</v>
      </c>
      <c r="D17" t="s">
        <v>43</v>
      </c>
      <c r="E17" t="s">
        <v>44</v>
      </c>
      <c r="F17" t="s">
        <v>45</v>
      </c>
      <c r="G17" t="s">
        <v>19</v>
      </c>
    </row>
    <row r="18" spans="1:10" x14ac:dyDescent="0.25">
      <c r="A18" t="s">
        <v>18</v>
      </c>
      <c r="B18" t="s">
        <v>46</v>
      </c>
      <c r="C18" t="s">
        <v>47</v>
      </c>
      <c r="D18" t="s">
        <v>36</v>
      </c>
      <c r="E18" t="s">
        <v>43</v>
      </c>
      <c r="F18" t="s">
        <v>19</v>
      </c>
    </row>
    <row r="19" spans="1:10" x14ac:dyDescent="0.25">
      <c r="A19" t="s">
        <v>18</v>
      </c>
      <c r="B19" t="s">
        <v>48</v>
      </c>
      <c r="C19" t="s">
        <v>49</v>
      </c>
      <c r="D19" t="s">
        <v>50</v>
      </c>
      <c r="E19" t="s">
        <v>19</v>
      </c>
    </row>
    <row r="20" spans="1:10" x14ac:dyDescent="0.25">
      <c r="A20" t="s">
        <v>18</v>
      </c>
      <c r="B20" t="s">
        <v>51</v>
      </c>
      <c r="C20" t="s">
        <v>19</v>
      </c>
    </row>
    <row r="21" spans="1:10" x14ac:dyDescent="0.25">
      <c r="A21" t="s">
        <v>18</v>
      </c>
      <c r="B21" t="s">
        <v>19</v>
      </c>
    </row>
    <row r="22" spans="1:10" x14ac:dyDescent="0.25">
      <c r="A22" t="s">
        <v>18</v>
      </c>
      <c r="B22" t="s">
        <v>19</v>
      </c>
    </row>
    <row r="23" spans="1:10" x14ac:dyDescent="0.25">
      <c r="A23" t="s">
        <v>18</v>
      </c>
      <c r="B23" t="s">
        <v>19</v>
      </c>
    </row>
    <row r="24" spans="1:10" x14ac:dyDescent="0.25">
      <c r="A24" t="s">
        <v>17</v>
      </c>
    </row>
    <row r="26" spans="1:10" x14ac:dyDescent="0.25">
      <c r="A26" t="s">
        <v>52</v>
      </c>
    </row>
    <row r="27" spans="1:10" x14ac:dyDescent="0.25">
      <c r="A27" t="s">
        <v>52</v>
      </c>
    </row>
    <row r="28" spans="1:10" x14ac:dyDescent="0.25">
      <c r="A28" t="s">
        <v>52</v>
      </c>
    </row>
    <row r="29" spans="1:10" x14ac:dyDescent="0.25">
      <c r="A29" t="s">
        <v>53</v>
      </c>
      <c r="B29" t="s">
        <v>54</v>
      </c>
      <c r="C29" t="s">
        <v>55</v>
      </c>
      <c r="D29" t="s">
        <v>54</v>
      </c>
      <c r="E29" t="s">
        <v>56</v>
      </c>
    </row>
    <row r="30" spans="1:10" x14ac:dyDescent="0.25">
      <c r="A30" t="s">
        <v>53</v>
      </c>
      <c r="B30" t="s">
        <v>56</v>
      </c>
    </row>
    <row r="31" spans="1:10" x14ac:dyDescent="0.25">
      <c r="A31" t="s">
        <v>53</v>
      </c>
      <c r="B31" t="s">
        <v>57</v>
      </c>
      <c r="C31" t="s">
        <v>58</v>
      </c>
      <c r="D31" t="s">
        <v>59</v>
      </c>
      <c r="E3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t="s">
        <v>56</v>
      </c>
    </row>
    <row r="33" spans="1:12" x14ac:dyDescent="0.25">
      <c r="A33" t="s">
        <v>53</v>
      </c>
      <c r="B33" t="s">
        <v>57</v>
      </c>
      <c r="C33" t="s">
        <v>62</v>
      </c>
      <c r="D33" t="s">
        <v>65</v>
      </c>
      <c r="E33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t="s">
        <v>70</v>
      </c>
      <c r="C34" t="s">
        <v>62</v>
      </c>
      <c r="D34" t="s">
        <v>71</v>
      </c>
      <c r="E34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t="s">
        <v>76</v>
      </c>
      <c r="C35" t="s">
        <v>77</v>
      </c>
      <c r="D35" t="s">
        <v>78</v>
      </c>
      <c r="E35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t="s">
        <v>84</v>
      </c>
      <c r="C36" t="s">
        <v>85</v>
      </c>
      <c r="D36" t="s">
        <v>86</v>
      </c>
      <c r="E36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t="s">
        <v>90</v>
      </c>
      <c r="C37" t="s">
        <v>44</v>
      </c>
      <c r="D37" t="s">
        <v>91</v>
      </c>
      <c r="E37" t="s">
        <v>92</v>
      </c>
      <c r="F37" t="s">
        <v>93</v>
      </c>
      <c r="G37" t="s">
        <v>56</v>
      </c>
    </row>
    <row r="38" spans="1:12" x14ac:dyDescent="0.25">
      <c r="A38" t="s">
        <v>53</v>
      </c>
      <c r="B38" t="s">
        <v>56</v>
      </c>
    </row>
    <row r="39" spans="1:12" x14ac:dyDescent="0.25">
      <c r="A39" t="s">
        <v>53</v>
      </c>
      <c r="B39" t="s">
        <v>94</v>
      </c>
      <c r="C39" t="s">
        <v>65</v>
      </c>
      <c r="D39" t="s">
        <v>66</v>
      </c>
      <c r="E39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t="s">
        <v>56</v>
      </c>
    </row>
    <row r="41" spans="1:12" x14ac:dyDescent="0.25">
      <c r="A41" t="s">
        <v>53</v>
      </c>
      <c r="B41" t="s">
        <v>94</v>
      </c>
      <c r="C41" t="s">
        <v>65</v>
      </c>
      <c r="D41" t="s">
        <v>66</v>
      </c>
      <c r="E4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t="s">
        <v>63</v>
      </c>
      <c r="C42" t="s">
        <v>102</v>
      </c>
      <c r="D42" t="s">
        <v>29</v>
      </c>
      <c r="E42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t="s">
        <v>108</v>
      </c>
      <c r="C43" t="s">
        <v>109</v>
      </c>
      <c r="D43" t="s">
        <v>77</v>
      </c>
      <c r="E43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t="s">
        <v>113</v>
      </c>
      <c r="C44" t="s">
        <v>114</v>
      </c>
      <c r="D44" t="s">
        <v>56</v>
      </c>
    </row>
    <row r="45" spans="1:12" x14ac:dyDescent="0.25">
      <c r="A45" t="s">
        <v>53</v>
      </c>
      <c r="B45" t="s">
        <v>56</v>
      </c>
    </row>
    <row r="46" spans="1:12" x14ac:dyDescent="0.25">
      <c r="A46" t="s">
        <v>53</v>
      </c>
      <c r="B46" t="s">
        <v>115</v>
      </c>
      <c r="C46" t="s">
        <v>116</v>
      </c>
      <c r="D46" t="s">
        <v>117</v>
      </c>
      <c r="E46" t="s">
        <v>118</v>
      </c>
      <c r="F46" t="s">
        <v>56</v>
      </c>
    </row>
    <row r="47" spans="1:12" x14ac:dyDescent="0.25">
      <c r="A47" t="s">
        <v>53</v>
      </c>
      <c r="B47" t="s">
        <v>56</v>
      </c>
    </row>
    <row r="48" spans="1:12" x14ac:dyDescent="0.25">
      <c r="A48" t="s">
        <v>53</v>
      </c>
      <c r="B48" t="s">
        <v>119</v>
      </c>
      <c r="C48" t="s">
        <v>120</v>
      </c>
      <c r="D48">
        <v>2008</v>
      </c>
      <c r="E48" t="s">
        <v>56</v>
      </c>
    </row>
    <row r="49" spans="1:12" x14ac:dyDescent="0.25">
      <c r="A49" t="s">
        <v>52</v>
      </c>
    </row>
    <row r="50" spans="1:12" x14ac:dyDescent="0.25">
      <c r="A50" t="s">
        <v>52</v>
      </c>
    </row>
    <row r="51" spans="1:12" x14ac:dyDescent="0.25">
      <c r="A51" t="s">
        <v>121</v>
      </c>
      <c r="B51" t="s">
        <v>406</v>
      </c>
    </row>
    <row r="53" spans="1:12" x14ac:dyDescent="0.25">
      <c r="A53" t="s">
        <v>123</v>
      </c>
      <c r="B53" t="s">
        <v>36</v>
      </c>
      <c r="C53" t="s">
        <v>124</v>
      </c>
      <c r="D53" t="s">
        <v>119</v>
      </c>
      <c r="E53" t="s">
        <v>120</v>
      </c>
      <c r="F53">
        <v>2008</v>
      </c>
    </row>
    <row r="55" spans="1:12" x14ac:dyDescent="0.25">
      <c r="A55" t="s">
        <v>125</v>
      </c>
      <c r="B55" t="s">
        <v>126</v>
      </c>
      <c r="C55" t="s">
        <v>127</v>
      </c>
      <c r="D55" t="s">
        <v>128</v>
      </c>
      <c r="E55" t="s">
        <v>129</v>
      </c>
      <c r="F55" t="s">
        <v>130</v>
      </c>
      <c r="G55" t="s">
        <v>131</v>
      </c>
      <c r="H55" t="s">
        <v>132</v>
      </c>
      <c r="I55" t="s">
        <v>44</v>
      </c>
      <c r="J55" t="s">
        <v>133</v>
      </c>
      <c r="K55" t="s">
        <v>34</v>
      </c>
      <c r="L55" t="s">
        <v>132</v>
      </c>
    </row>
    <row r="57" spans="1:12" x14ac:dyDescent="0.25">
      <c r="B57" t="s">
        <v>132</v>
      </c>
      <c r="C57" t="s">
        <v>39</v>
      </c>
      <c r="D57" t="s">
        <v>36</v>
      </c>
      <c r="E57" t="s">
        <v>40</v>
      </c>
      <c r="F57" t="s">
        <v>41</v>
      </c>
    </row>
    <row r="58" spans="1:12" x14ac:dyDescent="0.25">
      <c r="B58" t="s">
        <v>42</v>
      </c>
      <c r="C58" t="s">
        <v>36</v>
      </c>
      <c r="D58" t="s">
        <v>43</v>
      </c>
      <c r="E58" t="s">
        <v>44</v>
      </c>
      <c r="F58" t="s">
        <v>45</v>
      </c>
    </row>
    <row r="59" spans="1:12" x14ac:dyDescent="0.25">
      <c r="B59" t="s">
        <v>46</v>
      </c>
      <c r="C59" t="s">
        <v>47</v>
      </c>
      <c r="D59" t="s">
        <v>36</v>
      </c>
      <c r="E59" t="s">
        <v>43</v>
      </c>
    </row>
    <row r="60" spans="1:12" x14ac:dyDescent="0.25">
      <c r="B60" t="s">
        <v>48</v>
      </c>
      <c r="C60" t="s">
        <v>49</v>
      </c>
      <c r="D60" t="s">
        <v>134</v>
      </c>
      <c r="E60" t="s">
        <v>51</v>
      </c>
    </row>
    <row r="61" spans="1:12" x14ac:dyDescent="0.25">
      <c r="B61" t="s">
        <v>135</v>
      </c>
      <c r="C61" t="s">
        <v>136</v>
      </c>
      <c r="D61" t="s">
        <v>137</v>
      </c>
    </row>
    <row r="63" spans="1:12" x14ac:dyDescent="0.25">
      <c r="A63" t="s">
        <v>138</v>
      </c>
    </row>
    <row r="64" spans="1:12" x14ac:dyDescent="0.25">
      <c r="B64" t="s">
        <v>407</v>
      </c>
      <c r="C64" t="s">
        <v>140</v>
      </c>
      <c r="D64" t="s">
        <v>408</v>
      </c>
    </row>
    <row r="65" spans="2:11" x14ac:dyDescent="0.25">
      <c r="B65" t="s">
        <v>409</v>
      </c>
      <c r="C65" t="s">
        <v>140</v>
      </c>
      <c r="D65" t="s">
        <v>410</v>
      </c>
      <c r="E65" t="s">
        <v>347</v>
      </c>
      <c r="F65" t="s">
        <v>411</v>
      </c>
    </row>
    <row r="66" spans="2:11" x14ac:dyDescent="0.25">
      <c r="B66" t="s">
        <v>139</v>
      </c>
      <c r="C66" t="s">
        <v>140</v>
      </c>
      <c r="D66" t="s">
        <v>141</v>
      </c>
      <c r="E66" t="s">
        <v>142</v>
      </c>
      <c r="F66" t="s">
        <v>143</v>
      </c>
    </row>
    <row r="67" spans="2:11" x14ac:dyDescent="0.25">
      <c r="B67" t="s">
        <v>412</v>
      </c>
      <c r="C67" t="s">
        <v>140</v>
      </c>
      <c r="D67" t="s">
        <v>413</v>
      </c>
      <c r="E67" t="s">
        <v>117</v>
      </c>
      <c r="F67" t="s">
        <v>414</v>
      </c>
      <c r="G67" t="s">
        <v>154</v>
      </c>
    </row>
    <row r="68" spans="2:11" x14ac:dyDescent="0.25">
      <c r="B68" t="s">
        <v>148</v>
      </c>
      <c r="C68" t="s">
        <v>140</v>
      </c>
      <c r="D68" t="s">
        <v>149</v>
      </c>
      <c r="E68" t="s">
        <v>150</v>
      </c>
    </row>
    <row r="69" spans="2:11" x14ac:dyDescent="0.25">
      <c r="B69" t="s">
        <v>415</v>
      </c>
      <c r="C69" t="s">
        <v>140</v>
      </c>
      <c r="D69" t="s">
        <v>416</v>
      </c>
      <c r="E69" t="s">
        <v>417</v>
      </c>
      <c r="F69" t="s">
        <v>154</v>
      </c>
    </row>
    <row r="70" spans="2:11" x14ac:dyDescent="0.25">
      <c r="B70" t="s">
        <v>418</v>
      </c>
      <c r="C70" t="s">
        <v>140</v>
      </c>
      <c r="D70" t="s">
        <v>419</v>
      </c>
      <c r="E70" t="s">
        <v>347</v>
      </c>
      <c r="F70" t="s">
        <v>348</v>
      </c>
    </row>
    <row r="71" spans="2:11" x14ac:dyDescent="0.25">
      <c r="B71" t="s">
        <v>151</v>
      </c>
      <c r="C71" t="s">
        <v>140</v>
      </c>
      <c r="D71" t="s">
        <v>152</v>
      </c>
      <c r="E71" t="s">
        <v>117</v>
      </c>
      <c r="F71" t="s">
        <v>153</v>
      </c>
      <c r="G71" t="s">
        <v>154</v>
      </c>
    </row>
    <row r="72" spans="2:11" x14ac:dyDescent="0.25">
      <c r="B72" t="s">
        <v>155</v>
      </c>
      <c r="C72" t="s">
        <v>140</v>
      </c>
      <c r="D72" t="s">
        <v>156</v>
      </c>
      <c r="E72" t="s">
        <v>117</v>
      </c>
      <c r="F72" t="s">
        <v>153</v>
      </c>
      <c r="G72" t="s">
        <v>154</v>
      </c>
    </row>
    <row r="73" spans="2:11" x14ac:dyDescent="0.25">
      <c r="B73" t="s">
        <v>420</v>
      </c>
      <c r="C73" t="s">
        <v>140</v>
      </c>
      <c r="D73" t="s">
        <v>279</v>
      </c>
      <c r="E73" t="s">
        <v>421</v>
      </c>
    </row>
    <row r="74" spans="2:11" x14ac:dyDescent="0.25">
      <c r="B74" t="s">
        <v>157</v>
      </c>
      <c r="C74" t="s">
        <v>140</v>
      </c>
      <c r="D74" t="s">
        <v>158</v>
      </c>
    </row>
    <row r="75" spans="2:11" x14ac:dyDescent="0.25">
      <c r="B75" t="s">
        <v>159</v>
      </c>
      <c r="C75" t="s">
        <v>140</v>
      </c>
      <c r="D75" t="s">
        <v>160</v>
      </c>
      <c r="E75" t="s">
        <v>161</v>
      </c>
      <c r="F75" t="s">
        <v>162</v>
      </c>
    </row>
    <row r="76" spans="2:11" x14ac:dyDescent="0.25">
      <c r="B76" t="s">
        <v>165</v>
      </c>
      <c r="C76" t="s">
        <v>166</v>
      </c>
      <c r="D76" t="s">
        <v>167</v>
      </c>
      <c r="E76" t="s">
        <v>140</v>
      </c>
      <c r="F76" t="s">
        <v>168</v>
      </c>
      <c r="G76" t="s">
        <v>169</v>
      </c>
      <c r="H76" t="s">
        <v>44</v>
      </c>
      <c r="I76" t="s">
        <v>170</v>
      </c>
      <c r="J76" t="s">
        <v>162</v>
      </c>
      <c r="K76" t="s">
        <v>171</v>
      </c>
    </row>
    <row r="77" spans="2:11" x14ac:dyDescent="0.25">
      <c r="B77" t="s">
        <v>175</v>
      </c>
      <c r="C77" t="s">
        <v>140</v>
      </c>
      <c r="D77" t="s">
        <v>176</v>
      </c>
      <c r="E77" t="s">
        <v>162</v>
      </c>
    </row>
    <row r="78" spans="2:11" x14ac:dyDescent="0.25">
      <c r="B78" t="s">
        <v>422</v>
      </c>
      <c r="C78" t="s">
        <v>140</v>
      </c>
      <c r="D78" t="s">
        <v>349</v>
      </c>
      <c r="E78" t="s">
        <v>423</v>
      </c>
    </row>
    <row r="79" spans="2:11" x14ac:dyDescent="0.25">
      <c r="B79" t="s">
        <v>424</v>
      </c>
      <c r="C79" t="s">
        <v>140</v>
      </c>
      <c r="D79" t="s">
        <v>160</v>
      </c>
      <c r="E79" t="s">
        <v>161</v>
      </c>
      <c r="F79" t="s">
        <v>349</v>
      </c>
    </row>
    <row r="80" spans="2:11" x14ac:dyDescent="0.25">
      <c r="B80" t="s">
        <v>425</v>
      </c>
      <c r="C80" t="s">
        <v>140</v>
      </c>
      <c r="D80" t="s">
        <v>161</v>
      </c>
      <c r="E80" t="s">
        <v>349</v>
      </c>
    </row>
    <row r="81" spans="1:14" x14ac:dyDescent="0.25">
      <c r="B81" t="s">
        <v>426</v>
      </c>
      <c r="C81" t="s">
        <v>140</v>
      </c>
      <c r="D81" t="s">
        <v>427</v>
      </c>
      <c r="E81" t="s">
        <v>117</v>
      </c>
      <c r="F81" t="s">
        <v>176</v>
      </c>
      <c r="G81" t="s">
        <v>349</v>
      </c>
    </row>
    <row r="82" spans="1:14" x14ac:dyDescent="0.25">
      <c r="B82" t="s">
        <v>428</v>
      </c>
      <c r="C82" t="s">
        <v>140</v>
      </c>
      <c r="D82" t="s">
        <v>5</v>
      </c>
      <c r="E82" t="s">
        <v>349</v>
      </c>
    </row>
    <row r="83" spans="1:14" x14ac:dyDescent="0.25">
      <c r="B83" t="s">
        <v>177</v>
      </c>
      <c r="C83" t="s">
        <v>178</v>
      </c>
      <c r="D83" t="s">
        <v>179</v>
      </c>
      <c r="E83" t="s">
        <v>140</v>
      </c>
      <c r="F83" t="s">
        <v>168</v>
      </c>
      <c r="G83" t="s">
        <v>169</v>
      </c>
      <c r="H83" t="s">
        <v>44</v>
      </c>
      <c r="I83" t="s">
        <v>170</v>
      </c>
      <c r="J83" t="s">
        <v>180</v>
      </c>
    </row>
    <row r="85" spans="1:14" x14ac:dyDescent="0.25">
      <c r="B85" t="s">
        <v>181</v>
      </c>
      <c r="C85" t="s">
        <v>140</v>
      </c>
      <c r="D85" t="s">
        <v>182</v>
      </c>
      <c r="E85" t="s">
        <v>61</v>
      </c>
      <c r="F85" t="s">
        <v>5</v>
      </c>
      <c r="G85" t="s">
        <v>183</v>
      </c>
      <c r="H85" t="s">
        <v>184</v>
      </c>
      <c r="I85" t="s">
        <v>429</v>
      </c>
      <c r="J85" t="s">
        <v>148</v>
      </c>
      <c r="K85" t="s">
        <v>44</v>
      </c>
      <c r="L85" t="s">
        <v>185</v>
      </c>
    </row>
    <row r="86" spans="1:14" x14ac:dyDescent="0.25">
      <c r="B86" t="s">
        <v>430</v>
      </c>
      <c r="C86" t="s">
        <v>140</v>
      </c>
      <c r="D86" t="s">
        <v>431</v>
      </c>
      <c r="E86" t="s">
        <v>432</v>
      </c>
    </row>
    <row r="89" spans="1:14" x14ac:dyDescent="0.25">
      <c r="A89">
        <v>1</v>
      </c>
      <c r="B89" t="s">
        <v>186</v>
      </c>
    </row>
    <row r="90" spans="1:14" x14ac:dyDescent="0.25">
      <c r="B90" t="s">
        <v>20</v>
      </c>
      <c r="C90" t="s">
        <v>91</v>
      </c>
      <c r="D90" t="s">
        <v>187</v>
      </c>
      <c r="E90" t="s">
        <v>188</v>
      </c>
      <c r="F90" t="s">
        <v>36</v>
      </c>
      <c r="G90" t="s">
        <v>145</v>
      </c>
      <c r="H90" t="s">
        <v>347</v>
      </c>
      <c r="I90" t="s">
        <v>433</v>
      </c>
      <c r="J90" t="s">
        <v>190</v>
      </c>
      <c r="K90" t="s">
        <v>191</v>
      </c>
      <c r="L90" t="s">
        <v>192</v>
      </c>
      <c r="M90" t="s">
        <v>193</v>
      </c>
    </row>
    <row r="91" spans="1:14" x14ac:dyDescent="0.25">
      <c r="B91" t="s">
        <v>94</v>
      </c>
      <c r="C91" t="s">
        <v>194</v>
      </c>
      <c r="D91" t="s">
        <v>195</v>
      </c>
      <c r="E91" t="s">
        <v>107</v>
      </c>
      <c r="F91" t="s">
        <v>83</v>
      </c>
      <c r="G91" t="s">
        <v>196</v>
      </c>
      <c r="H91" t="s">
        <v>197</v>
      </c>
      <c r="I91" t="s">
        <v>145</v>
      </c>
      <c r="J91" t="s">
        <v>141</v>
      </c>
      <c r="K91" t="s">
        <v>195</v>
      </c>
      <c r="L91" t="s">
        <v>198</v>
      </c>
      <c r="M91" t="s">
        <v>61</v>
      </c>
    </row>
    <row r="92" spans="1:14" x14ac:dyDescent="0.25">
      <c r="B92" t="s">
        <v>83</v>
      </c>
      <c r="C92" t="s">
        <v>164</v>
      </c>
      <c r="D92" t="s">
        <v>161</v>
      </c>
      <c r="E92" t="s">
        <v>199</v>
      </c>
      <c r="F92" t="s">
        <v>200</v>
      </c>
    </row>
    <row r="93" spans="1:14" x14ac:dyDescent="0.25">
      <c r="B93" t="s">
        <v>94</v>
      </c>
      <c r="C93" t="s">
        <v>434</v>
      </c>
      <c r="D93" t="s">
        <v>87</v>
      </c>
      <c r="E93" t="s">
        <v>202</v>
      </c>
      <c r="F93" t="s">
        <v>107</v>
      </c>
      <c r="G93" t="s">
        <v>86</v>
      </c>
      <c r="H93" t="s">
        <v>212</v>
      </c>
      <c r="I93" t="s">
        <v>62</v>
      </c>
      <c r="J93" t="s">
        <v>164</v>
      </c>
      <c r="K93" t="s">
        <v>44</v>
      </c>
      <c r="L93" t="s">
        <v>170</v>
      </c>
    </row>
    <row r="94" spans="1:14" x14ac:dyDescent="0.25">
      <c r="B94" t="s">
        <v>291</v>
      </c>
      <c r="C94" t="s">
        <v>435</v>
      </c>
      <c r="D94" t="s">
        <v>62</v>
      </c>
      <c r="E94" t="s">
        <v>436</v>
      </c>
      <c r="F94" t="s">
        <v>87</v>
      </c>
      <c r="G94" t="s">
        <v>202</v>
      </c>
      <c r="H94" t="s">
        <v>107</v>
      </c>
      <c r="I94" t="s">
        <v>205</v>
      </c>
      <c r="J94" t="s">
        <v>212</v>
      </c>
      <c r="K94" t="s">
        <v>62</v>
      </c>
      <c r="L94" t="s">
        <v>5</v>
      </c>
    </row>
    <row r="95" spans="1:14" x14ac:dyDescent="0.25">
      <c r="B95" t="e">
        <f>-normal</f>
        <v>#NAME?</v>
      </c>
      <c r="C95" t="s">
        <v>437</v>
      </c>
      <c r="D95" t="s">
        <v>438</v>
      </c>
      <c r="E95" t="s">
        <v>376</v>
      </c>
      <c r="F95" t="s">
        <v>62</v>
      </c>
      <c r="G95" t="s">
        <v>207</v>
      </c>
      <c r="H95" t="s">
        <v>44</v>
      </c>
      <c r="I95" t="s">
        <v>208</v>
      </c>
      <c r="J95" t="s">
        <v>209</v>
      </c>
    </row>
    <row r="96" spans="1:14" x14ac:dyDescent="0.25">
      <c r="B96" t="s">
        <v>94</v>
      </c>
      <c r="C96" t="s">
        <v>279</v>
      </c>
      <c r="D96" t="s">
        <v>87</v>
      </c>
      <c r="E96" t="s">
        <v>202</v>
      </c>
      <c r="F96" t="s">
        <v>107</v>
      </c>
      <c r="G96" t="s">
        <v>439</v>
      </c>
      <c r="H96" t="s">
        <v>440</v>
      </c>
      <c r="I96" t="s">
        <v>441</v>
      </c>
      <c r="J96" t="s">
        <v>70</v>
      </c>
      <c r="K96" t="s">
        <v>442</v>
      </c>
      <c r="L96" t="s">
        <v>36</v>
      </c>
      <c r="M96" t="s">
        <v>62</v>
      </c>
      <c r="N96" t="s">
        <v>209</v>
      </c>
    </row>
    <row r="97" spans="1:13" x14ac:dyDescent="0.25">
      <c r="B97" t="s">
        <v>210</v>
      </c>
      <c r="C97" t="s">
        <v>211</v>
      </c>
      <c r="D97" t="s">
        <v>59</v>
      </c>
      <c r="E97" t="s">
        <v>104</v>
      </c>
      <c r="F97" t="s">
        <v>212</v>
      </c>
      <c r="G97" t="s">
        <v>62</v>
      </c>
      <c r="H97" t="s">
        <v>213</v>
      </c>
      <c r="I97" t="s">
        <v>214</v>
      </c>
    </row>
    <row r="100" spans="1:13" x14ac:dyDescent="0.25">
      <c r="A100">
        <v>2</v>
      </c>
      <c r="B100" t="s">
        <v>443</v>
      </c>
    </row>
    <row r="102" spans="1:13" x14ac:dyDescent="0.25">
      <c r="A102" t="s">
        <v>216</v>
      </c>
      <c r="B102" t="s">
        <v>217</v>
      </c>
      <c r="C102" t="s">
        <v>218</v>
      </c>
      <c r="D102" t="s">
        <v>219</v>
      </c>
      <c r="E102" t="s">
        <v>220</v>
      </c>
      <c r="F102" t="s">
        <v>44</v>
      </c>
      <c r="G102" t="s">
        <v>221</v>
      </c>
      <c r="H102" t="s">
        <v>222</v>
      </c>
    </row>
    <row r="103" spans="1:13" x14ac:dyDescent="0.25">
      <c r="B103" t="s">
        <v>223</v>
      </c>
    </row>
    <row r="104" spans="1:13" x14ac:dyDescent="0.25">
      <c r="B104" t="s">
        <v>29</v>
      </c>
      <c r="C104" t="s">
        <v>83</v>
      </c>
      <c r="D104" t="s">
        <v>224</v>
      </c>
      <c r="E104" t="s">
        <v>225</v>
      </c>
      <c r="F104" t="s">
        <v>226</v>
      </c>
      <c r="G104" t="s">
        <v>227</v>
      </c>
      <c r="H104" t="s">
        <v>36</v>
      </c>
      <c r="I104" t="s">
        <v>62</v>
      </c>
      <c r="J104" t="s">
        <v>228</v>
      </c>
      <c r="K104" t="s">
        <v>229</v>
      </c>
      <c r="L104" t="s">
        <v>230</v>
      </c>
    </row>
    <row r="105" spans="1:13" x14ac:dyDescent="0.25">
      <c r="B105" t="s">
        <v>70</v>
      </c>
      <c r="C105" t="s">
        <v>41</v>
      </c>
      <c r="D105" t="s">
        <v>231</v>
      </c>
      <c r="E105" t="s">
        <v>232</v>
      </c>
      <c r="F105" t="s">
        <v>44</v>
      </c>
      <c r="G105" t="s">
        <v>233</v>
      </c>
      <c r="H105" t="s">
        <v>234</v>
      </c>
      <c r="I105" t="s">
        <v>235</v>
      </c>
      <c r="J105" t="s">
        <v>236</v>
      </c>
      <c r="K105" t="s">
        <v>237</v>
      </c>
      <c r="L105" t="s">
        <v>238</v>
      </c>
      <c r="M105">
        <v>2008</v>
      </c>
    </row>
    <row r="107" spans="1:13" x14ac:dyDescent="0.25">
      <c r="A107" t="s">
        <v>239</v>
      </c>
      <c r="B107" t="s">
        <v>219</v>
      </c>
      <c r="C107" t="s">
        <v>242</v>
      </c>
      <c r="D107" t="s">
        <v>253</v>
      </c>
      <c r="E107" t="s">
        <v>254</v>
      </c>
      <c r="F107" t="s">
        <v>44</v>
      </c>
      <c r="G107" t="s">
        <v>221</v>
      </c>
      <c r="H107" t="s">
        <v>222</v>
      </c>
    </row>
    <row r="108" spans="1:13" x14ac:dyDescent="0.25">
      <c r="B108" t="s">
        <v>255</v>
      </c>
    </row>
    <row r="109" spans="1:13" x14ac:dyDescent="0.25">
      <c r="B109" t="s">
        <v>256</v>
      </c>
      <c r="C109" t="s">
        <v>257</v>
      </c>
      <c r="D109" t="s">
        <v>258</v>
      </c>
      <c r="E109" t="s">
        <v>1</v>
      </c>
      <c r="F109" t="s">
        <v>36</v>
      </c>
      <c r="G109" t="s">
        <v>26</v>
      </c>
      <c r="H109" t="s">
        <v>30</v>
      </c>
      <c r="I109" t="s">
        <v>31</v>
      </c>
    </row>
    <row r="110" spans="1:13" x14ac:dyDescent="0.25">
      <c r="B110" t="s">
        <v>212</v>
      </c>
      <c r="C110" t="s">
        <v>83</v>
      </c>
      <c r="D110" t="s">
        <v>27</v>
      </c>
      <c r="E110" t="s">
        <v>444</v>
      </c>
      <c r="F110" t="s">
        <v>260</v>
      </c>
      <c r="G110" t="s">
        <v>30</v>
      </c>
      <c r="H110" t="s">
        <v>44</v>
      </c>
      <c r="I110" t="s">
        <v>261</v>
      </c>
      <c r="J110" t="s">
        <v>31</v>
      </c>
      <c r="K110">
        <v>5</v>
      </c>
    </row>
    <row r="111" spans="1:13" x14ac:dyDescent="0.25">
      <c r="B111" t="s">
        <v>262</v>
      </c>
      <c r="C111" t="s">
        <v>36</v>
      </c>
      <c r="D111" t="s">
        <v>62</v>
      </c>
      <c r="E111" t="s">
        <v>263</v>
      </c>
      <c r="F111" t="s">
        <v>229</v>
      </c>
      <c r="G111" t="s">
        <v>230</v>
      </c>
      <c r="H111" t="s">
        <v>70</v>
      </c>
      <c r="I111" t="s">
        <v>260</v>
      </c>
    </row>
    <row r="112" spans="1:13" x14ac:dyDescent="0.25">
      <c r="B112" t="s">
        <v>30</v>
      </c>
      <c r="C112" t="s">
        <v>44</v>
      </c>
      <c r="D112" t="s">
        <v>261</v>
      </c>
      <c r="E112" t="s">
        <v>264</v>
      </c>
      <c r="F112" t="s">
        <v>254</v>
      </c>
      <c r="G112" t="s">
        <v>265</v>
      </c>
      <c r="H112" t="s">
        <v>220</v>
      </c>
      <c r="I112" t="s">
        <v>266</v>
      </c>
      <c r="J112" t="s">
        <v>267</v>
      </c>
      <c r="K112" t="s">
        <v>268</v>
      </c>
      <c r="L112" t="s">
        <v>269</v>
      </c>
    </row>
    <row r="113" spans="1:14" x14ac:dyDescent="0.25">
      <c r="B113" t="s">
        <v>237</v>
      </c>
      <c r="C113" t="s">
        <v>270</v>
      </c>
      <c r="D113">
        <v>2006</v>
      </c>
    </row>
    <row r="115" spans="1:14" x14ac:dyDescent="0.25">
      <c r="A115" t="s">
        <v>252</v>
      </c>
      <c r="B115" t="s">
        <v>221</v>
      </c>
      <c r="C115" t="s">
        <v>222</v>
      </c>
      <c r="D115" t="s">
        <v>240</v>
      </c>
      <c r="E115" t="s">
        <v>33</v>
      </c>
      <c r="F115" t="s">
        <v>44</v>
      </c>
      <c r="G115" t="s">
        <v>445</v>
      </c>
      <c r="H115" t="s">
        <v>446</v>
      </c>
    </row>
    <row r="116" spans="1:14" x14ac:dyDescent="0.25">
      <c r="B116" t="s">
        <v>447</v>
      </c>
    </row>
    <row r="117" spans="1:14" x14ac:dyDescent="0.25">
      <c r="B117" t="s">
        <v>29</v>
      </c>
      <c r="C117" t="s">
        <v>448</v>
      </c>
      <c r="D117" t="s">
        <v>153</v>
      </c>
      <c r="E117" t="s">
        <v>44</v>
      </c>
      <c r="F117" t="s">
        <v>417</v>
      </c>
      <c r="G117" t="s">
        <v>449</v>
      </c>
    </row>
    <row r="118" spans="1:14" x14ac:dyDescent="0.25">
      <c r="B118" t="s">
        <v>44</v>
      </c>
      <c r="C118" t="s">
        <v>87</v>
      </c>
      <c r="D118" t="s">
        <v>450</v>
      </c>
    </row>
    <row r="119" spans="1:14" x14ac:dyDescent="0.25">
      <c r="B119" t="s">
        <v>260</v>
      </c>
      <c r="C119" t="s">
        <v>30</v>
      </c>
      <c r="D119" t="s">
        <v>44</v>
      </c>
      <c r="E119" t="s">
        <v>261</v>
      </c>
      <c r="F119" t="s">
        <v>31</v>
      </c>
      <c r="G119">
        <v>3</v>
      </c>
      <c r="H119" t="s">
        <v>262</v>
      </c>
      <c r="I119" t="s">
        <v>36</v>
      </c>
      <c r="J119" t="s">
        <v>62</v>
      </c>
      <c r="K119" t="s">
        <v>451</v>
      </c>
      <c r="L119" t="s">
        <v>229</v>
      </c>
    </row>
    <row r="120" spans="1:14" x14ac:dyDescent="0.25">
      <c r="B120" t="s">
        <v>230</v>
      </c>
      <c r="C120" t="s">
        <v>70</v>
      </c>
      <c r="D120" t="s">
        <v>260</v>
      </c>
      <c r="E120" t="s">
        <v>30</v>
      </c>
      <c r="F120" t="s">
        <v>44</v>
      </c>
      <c r="G120" t="s">
        <v>261</v>
      </c>
      <c r="H120" t="s">
        <v>452</v>
      </c>
    </row>
    <row r="121" spans="1:14" x14ac:dyDescent="0.25">
      <c r="B121" t="s">
        <v>266</v>
      </c>
      <c r="C121" t="s">
        <v>242</v>
      </c>
      <c r="D121" t="s">
        <v>265</v>
      </c>
      <c r="E121" t="s">
        <v>254</v>
      </c>
      <c r="F121" t="s">
        <v>44</v>
      </c>
      <c r="G121" t="s">
        <v>453</v>
      </c>
      <c r="H121" t="s">
        <v>454</v>
      </c>
      <c r="I121" t="s">
        <v>269</v>
      </c>
    </row>
    <row r="122" spans="1:14" x14ac:dyDescent="0.25">
      <c r="B122" t="s">
        <v>455</v>
      </c>
      <c r="C122" t="s">
        <v>456</v>
      </c>
      <c r="D122" t="s">
        <v>237</v>
      </c>
      <c r="E122" t="s">
        <v>457</v>
      </c>
      <c r="F122">
        <v>2000</v>
      </c>
    </row>
    <row r="124" spans="1:14" x14ac:dyDescent="0.25">
      <c r="A124" t="s">
        <v>458</v>
      </c>
      <c r="B124" t="s">
        <v>240</v>
      </c>
      <c r="C124" t="s">
        <v>33</v>
      </c>
      <c r="D124" t="s">
        <v>44</v>
      </c>
      <c r="E124" t="s">
        <v>221</v>
      </c>
      <c r="F124" t="s">
        <v>222</v>
      </c>
    </row>
    <row r="125" spans="1:14" x14ac:dyDescent="0.25">
      <c r="B125" t="s">
        <v>459</v>
      </c>
    </row>
    <row r="126" spans="1:14" x14ac:dyDescent="0.25">
      <c r="B126" t="s">
        <v>369</v>
      </c>
      <c r="C126" t="s">
        <v>1</v>
      </c>
      <c r="D126" t="s">
        <v>460</v>
      </c>
      <c r="E126" t="s">
        <v>101</v>
      </c>
      <c r="F126" t="s">
        <v>155</v>
      </c>
      <c r="G126" t="s">
        <v>140</v>
      </c>
      <c r="H126">
        <v>640</v>
      </c>
      <c r="I126" t="s">
        <v>29</v>
      </c>
      <c r="J126" t="s">
        <v>415</v>
      </c>
      <c r="K126" t="s">
        <v>140</v>
      </c>
      <c r="L126">
        <v>2.5000000000000001E-2</v>
      </c>
      <c r="M126" t="s">
        <v>44</v>
      </c>
      <c r="N126" t="s">
        <v>461</v>
      </c>
    </row>
    <row r="127" spans="1:14" x14ac:dyDescent="0.25">
      <c r="B127" t="s">
        <v>227</v>
      </c>
      <c r="C127" t="s">
        <v>36</v>
      </c>
      <c r="D127" t="s">
        <v>462</v>
      </c>
      <c r="E127" t="s">
        <v>463</v>
      </c>
      <c r="F127" t="s">
        <v>231</v>
      </c>
      <c r="G127" t="s">
        <v>464</v>
      </c>
      <c r="H127" t="s">
        <v>237</v>
      </c>
      <c r="I127" t="s">
        <v>465</v>
      </c>
      <c r="J127">
        <v>2002</v>
      </c>
    </row>
    <row r="129" spans="1:12" x14ac:dyDescent="0.25">
      <c r="A129" t="s">
        <v>466</v>
      </c>
      <c r="B129" t="s">
        <v>240</v>
      </c>
      <c r="C129" t="s">
        <v>222</v>
      </c>
      <c r="D129" t="s">
        <v>221</v>
      </c>
      <c r="E129" t="s">
        <v>33</v>
      </c>
      <c r="F129" t="s">
        <v>44</v>
      </c>
      <c r="G129" t="s">
        <v>241</v>
      </c>
      <c r="H129" t="s">
        <v>242</v>
      </c>
    </row>
    <row r="130" spans="1:12" x14ac:dyDescent="0.25">
      <c r="B130" t="s">
        <v>243</v>
      </c>
    </row>
    <row r="131" spans="1:12" x14ac:dyDescent="0.25">
      <c r="B131" t="s">
        <v>29</v>
      </c>
      <c r="C131" t="s">
        <v>244</v>
      </c>
      <c r="D131" t="s">
        <v>101</v>
      </c>
      <c r="E131" t="s">
        <v>153</v>
      </c>
      <c r="F131" t="s">
        <v>154</v>
      </c>
      <c r="G131" t="s">
        <v>245</v>
      </c>
    </row>
    <row r="132" spans="1:12" x14ac:dyDescent="0.25">
      <c r="B132" t="s">
        <v>246</v>
      </c>
      <c r="C132" t="s">
        <v>247</v>
      </c>
      <c r="D132" t="s">
        <v>248</v>
      </c>
      <c r="E132" t="s">
        <v>249</v>
      </c>
      <c r="F132" t="s">
        <v>235</v>
      </c>
      <c r="G132" t="s">
        <v>250</v>
      </c>
      <c r="H132" t="s">
        <v>237</v>
      </c>
      <c r="I132" t="s">
        <v>251</v>
      </c>
      <c r="J132">
        <v>2001</v>
      </c>
    </row>
    <row r="135" spans="1:12" x14ac:dyDescent="0.25">
      <c r="A135">
        <v>3</v>
      </c>
      <c r="B135" t="s">
        <v>21</v>
      </c>
      <c r="C135" t="s">
        <v>467</v>
      </c>
    </row>
    <row r="137" spans="1:12" x14ac:dyDescent="0.25">
      <c r="A137" t="s">
        <v>272</v>
      </c>
      <c r="B137" t="s">
        <v>273</v>
      </c>
      <c r="C137" t="s">
        <v>274</v>
      </c>
    </row>
    <row r="138" spans="1:12" x14ac:dyDescent="0.25">
      <c r="B138" t="s">
        <v>275</v>
      </c>
      <c r="C138" t="s">
        <v>276</v>
      </c>
      <c r="D138" t="s">
        <v>44</v>
      </c>
      <c r="E138" t="s">
        <v>62</v>
      </c>
      <c r="F138" t="s">
        <v>277</v>
      </c>
      <c r="G138" t="s">
        <v>276</v>
      </c>
      <c r="H138" t="s">
        <v>25</v>
      </c>
      <c r="I138" t="s">
        <v>195</v>
      </c>
      <c r="J138" t="s">
        <v>278</v>
      </c>
    </row>
    <row r="139" spans="1:12" x14ac:dyDescent="0.25">
      <c r="B139" t="s">
        <v>44</v>
      </c>
      <c r="C139" t="s">
        <v>62</v>
      </c>
      <c r="D139" t="s">
        <v>147</v>
      </c>
      <c r="E139" t="s">
        <v>276</v>
      </c>
      <c r="F139" t="s">
        <v>25</v>
      </c>
      <c r="G139" t="s">
        <v>279</v>
      </c>
      <c r="H139" t="s">
        <v>280</v>
      </c>
    </row>
    <row r="141" spans="1:12" x14ac:dyDescent="0.25">
      <c r="A141" t="s">
        <v>281</v>
      </c>
      <c r="B141" t="s">
        <v>282</v>
      </c>
      <c r="C141" t="s">
        <v>283</v>
      </c>
    </row>
    <row r="142" spans="1:12" x14ac:dyDescent="0.25">
      <c r="B142" t="s">
        <v>284</v>
      </c>
      <c r="C142" t="s">
        <v>285</v>
      </c>
      <c r="D142" t="s">
        <v>271</v>
      </c>
      <c r="E142" t="s">
        <v>286</v>
      </c>
      <c r="F142" t="s">
        <v>287</v>
      </c>
    </row>
    <row r="143" spans="1:12" x14ac:dyDescent="0.25">
      <c r="B143" t="s">
        <v>94</v>
      </c>
      <c r="C143" t="s">
        <v>288</v>
      </c>
      <c r="D143" t="s">
        <v>289</v>
      </c>
      <c r="E143" t="s">
        <v>290</v>
      </c>
      <c r="F143" t="s">
        <v>92</v>
      </c>
      <c r="G143" t="s">
        <v>286</v>
      </c>
      <c r="H143" t="s">
        <v>205</v>
      </c>
      <c r="I143" t="s">
        <v>212</v>
      </c>
      <c r="J143" t="s">
        <v>62</v>
      </c>
      <c r="K143" t="s">
        <v>164</v>
      </c>
      <c r="L143" t="s">
        <v>44</v>
      </c>
    </row>
    <row r="144" spans="1:12" x14ac:dyDescent="0.25">
      <c r="B144" t="s">
        <v>170</v>
      </c>
      <c r="C144" t="s">
        <v>291</v>
      </c>
      <c r="D144" t="s">
        <v>44</v>
      </c>
      <c r="E144" t="s">
        <v>62</v>
      </c>
      <c r="F144" t="s">
        <v>292</v>
      </c>
      <c r="G144" t="s">
        <v>289</v>
      </c>
      <c r="H144" t="s">
        <v>290</v>
      </c>
      <c r="I144" t="s">
        <v>92</v>
      </c>
      <c r="J144" t="s">
        <v>286</v>
      </c>
      <c r="K144" t="s">
        <v>99</v>
      </c>
    </row>
    <row r="145" spans="1:12" x14ac:dyDescent="0.25">
      <c r="B145" t="s">
        <v>212</v>
      </c>
      <c r="C145" t="s">
        <v>62</v>
      </c>
      <c r="D145" t="s">
        <v>169</v>
      </c>
      <c r="E145" t="s">
        <v>293</v>
      </c>
    </row>
    <row r="147" spans="1:12" x14ac:dyDescent="0.25">
      <c r="A147" t="s">
        <v>308</v>
      </c>
      <c r="B147" t="s">
        <v>257</v>
      </c>
      <c r="C147" t="s">
        <v>90</v>
      </c>
    </row>
    <row r="148" spans="1:12" x14ac:dyDescent="0.25">
      <c r="B148">
        <v>1.2</v>
      </c>
      <c r="C148" t="s">
        <v>44</v>
      </c>
      <c r="D148">
        <v>2.5</v>
      </c>
      <c r="E148" t="s">
        <v>5</v>
      </c>
      <c r="F148" t="s">
        <v>183</v>
      </c>
      <c r="G148" t="s">
        <v>212</v>
      </c>
      <c r="H148" t="s">
        <v>62</v>
      </c>
      <c r="I148" t="s">
        <v>309</v>
      </c>
      <c r="J148" t="s">
        <v>44</v>
      </c>
      <c r="K148" t="s">
        <v>310</v>
      </c>
      <c r="L148" t="s">
        <v>311</v>
      </c>
    </row>
    <row r="149" spans="1:12" x14ac:dyDescent="0.25">
      <c r="B149" t="s">
        <v>44</v>
      </c>
      <c r="C149">
        <v>0.11</v>
      </c>
      <c r="D149" t="s">
        <v>101</v>
      </c>
      <c r="E149">
        <v>2.1</v>
      </c>
      <c r="F149" t="s">
        <v>5</v>
      </c>
      <c r="G149" t="s">
        <v>183</v>
      </c>
      <c r="H149" t="s">
        <v>212</v>
      </c>
      <c r="I149" t="s">
        <v>62</v>
      </c>
      <c r="J149" t="s">
        <v>312</v>
      </c>
    </row>
    <row r="151" spans="1:12" x14ac:dyDescent="0.25">
      <c r="A151" t="s">
        <v>313</v>
      </c>
      <c r="B151" t="s">
        <v>314</v>
      </c>
      <c r="C151" t="s">
        <v>315</v>
      </c>
    </row>
    <row r="152" spans="1:12" x14ac:dyDescent="0.25">
      <c r="B152" t="s">
        <v>94</v>
      </c>
      <c r="C152" t="s">
        <v>316</v>
      </c>
      <c r="D152" t="s">
        <v>283</v>
      </c>
      <c r="E152" t="s">
        <v>25</v>
      </c>
      <c r="F152" t="s">
        <v>62</v>
      </c>
      <c r="G152" t="s">
        <v>317</v>
      </c>
      <c r="H152" t="s">
        <v>318</v>
      </c>
      <c r="I152" t="s">
        <v>29</v>
      </c>
      <c r="J152" t="s">
        <v>169</v>
      </c>
      <c r="K152" t="s">
        <v>319</v>
      </c>
    </row>
    <row r="153" spans="1:12" x14ac:dyDescent="0.25">
      <c r="B153" t="s">
        <v>44</v>
      </c>
      <c r="C153" t="s">
        <v>62</v>
      </c>
      <c r="D153" t="s">
        <v>292</v>
      </c>
      <c r="E153" t="s">
        <v>320</v>
      </c>
      <c r="F153" t="s">
        <v>283</v>
      </c>
      <c r="G153" t="s">
        <v>25</v>
      </c>
      <c r="H153" t="s">
        <v>62</v>
      </c>
      <c r="I153" t="s">
        <v>321</v>
      </c>
      <c r="J153" t="s">
        <v>322</v>
      </c>
    </row>
    <row r="155" spans="1:12" x14ac:dyDescent="0.25">
      <c r="A155" t="s">
        <v>323</v>
      </c>
      <c r="B155" t="s">
        <v>324</v>
      </c>
      <c r="C155" t="s">
        <v>325</v>
      </c>
    </row>
    <row r="156" spans="1:12" x14ac:dyDescent="0.25">
      <c r="B156" t="s">
        <v>326</v>
      </c>
      <c r="C156" t="s">
        <v>327</v>
      </c>
      <c r="D156" t="s">
        <v>328</v>
      </c>
      <c r="E156" t="s">
        <v>327</v>
      </c>
      <c r="F156" t="s">
        <v>329</v>
      </c>
    </row>
    <row r="158" spans="1:12" x14ac:dyDescent="0.25">
      <c r="A158" t="s">
        <v>330</v>
      </c>
      <c r="B158" t="s">
        <v>331</v>
      </c>
    </row>
    <row r="159" spans="1:12" x14ac:dyDescent="0.25">
      <c r="B159" t="s">
        <v>332</v>
      </c>
      <c r="C159" t="s">
        <v>333</v>
      </c>
    </row>
    <row r="161" spans="1:12" x14ac:dyDescent="0.25">
      <c r="A161" t="s">
        <v>334</v>
      </c>
      <c r="B161" t="s">
        <v>335</v>
      </c>
      <c r="C161" t="s">
        <v>154</v>
      </c>
    </row>
    <row r="162" spans="1:12" x14ac:dyDescent="0.25">
      <c r="B162">
        <v>2048</v>
      </c>
      <c r="C162" t="s">
        <v>327</v>
      </c>
      <c r="D162">
        <v>480</v>
      </c>
      <c r="E162" t="s">
        <v>327</v>
      </c>
      <c r="F162">
        <v>512</v>
      </c>
    </row>
    <row r="164" spans="1:12" x14ac:dyDescent="0.25">
      <c r="A164" t="s">
        <v>336</v>
      </c>
      <c r="B164" t="s">
        <v>337</v>
      </c>
      <c r="C164" t="s">
        <v>25</v>
      </c>
      <c r="D164" t="s">
        <v>338</v>
      </c>
      <c r="E164" t="s">
        <v>339</v>
      </c>
    </row>
    <row r="165" spans="1:12" x14ac:dyDescent="0.25">
      <c r="B165" t="s">
        <v>94</v>
      </c>
      <c r="C165" t="s">
        <v>340</v>
      </c>
      <c r="D165" t="s">
        <v>339</v>
      </c>
      <c r="E165" t="s">
        <v>107</v>
      </c>
      <c r="F165" t="s">
        <v>341</v>
      </c>
      <c r="G165" t="s">
        <v>61</v>
      </c>
    </row>
    <row r="166" spans="1:12" x14ac:dyDescent="0.25">
      <c r="B166" t="s">
        <v>342</v>
      </c>
      <c r="C166" t="s">
        <v>343</v>
      </c>
      <c r="D166" t="s">
        <v>344</v>
      </c>
      <c r="E166" t="s">
        <v>345</v>
      </c>
      <c r="F166" t="s">
        <v>145</v>
      </c>
      <c r="G166" t="s">
        <v>146</v>
      </c>
      <c r="H166" t="s">
        <v>147</v>
      </c>
      <c r="I166" t="s">
        <v>25</v>
      </c>
      <c r="J166" t="s">
        <v>162</v>
      </c>
      <c r="K166" t="s">
        <v>346</v>
      </c>
    </row>
    <row r="167" spans="1:12" x14ac:dyDescent="0.25">
      <c r="B167" t="s">
        <v>44</v>
      </c>
      <c r="C167" t="s">
        <v>342</v>
      </c>
      <c r="D167" t="s">
        <v>347</v>
      </c>
      <c r="E167" t="s">
        <v>348</v>
      </c>
      <c r="F167" t="s">
        <v>345</v>
      </c>
      <c r="G167" t="s">
        <v>349</v>
      </c>
      <c r="H167" t="s">
        <v>350</v>
      </c>
      <c r="I167" t="s">
        <v>25</v>
      </c>
      <c r="J167" t="s">
        <v>349</v>
      </c>
      <c r="K167" t="s">
        <v>280</v>
      </c>
    </row>
    <row r="169" spans="1:12" x14ac:dyDescent="0.25">
      <c r="A169" t="s">
        <v>351</v>
      </c>
      <c r="B169" t="s">
        <v>352</v>
      </c>
      <c r="C169" t="s">
        <v>36</v>
      </c>
      <c r="D169" t="s">
        <v>353</v>
      </c>
      <c r="E169" t="s">
        <v>354</v>
      </c>
      <c r="F169" t="s">
        <v>25</v>
      </c>
      <c r="G169" t="s">
        <v>355</v>
      </c>
      <c r="H169" t="s">
        <v>356</v>
      </c>
    </row>
    <row r="170" spans="1:12" x14ac:dyDescent="0.25">
      <c r="B170" t="s">
        <v>357</v>
      </c>
      <c r="C170">
        <v>948</v>
      </c>
      <c r="D170" t="s">
        <v>468</v>
      </c>
      <c r="E170" t="s">
        <v>360</v>
      </c>
      <c r="F170" t="s">
        <v>62</v>
      </c>
      <c r="G170" t="s">
        <v>195</v>
      </c>
      <c r="H170" t="s">
        <v>361</v>
      </c>
      <c r="I170" t="s">
        <v>62</v>
      </c>
      <c r="J170" t="s">
        <v>196</v>
      </c>
      <c r="K170" t="s">
        <v>197</v>
      </c>
      <c r="L170" t="s">
        <v>362</v>
      </c>
    </row>
    <row r="171" spans="1:12" x14ac:dyDescent="0.25">
      <c r="B171" t="s">
        <v>363</v>
      </c>
      <c r="C171" t="s">
        <v>354</v>
      </c>
      <c r="D171" t="s">
        <v>353</v>
      </c>
      <c r="E171" t="s">
        <v>364</v>
      </c>
      <c r="F171" t="s">
        <v>101</v>
      </c>
      <c r="G171" t="s">
        <v>365</v>
      </c>
      <c r="H171">
        <v>7</v>
      </c>
      <c r="I171" t="s">
        <v>366</v>
      </c>
      <c r="J171" t="s">
        <v>367</v>
      </c>
      <c r="K171" t="s">
        <v>368</v>
      </c>
      <c r="L171" t="s">
        <v>369</v>
      </c>
    </row>
    <row r="172" spans="1:12" x14ac:dyDescent="0.25">
      <c r="B172" t="s">
        <v>62</v>
      </c>
      <c r="C172" t="s">
        <v>370</v>
      </c>
      <c r="D172" t="s">
        <v>371</v>
      </c>
    </row>
    <row r="174" spans="1:12" x14ac:dyDescent="0.25">
      <c r="A174" t="s">
        <v>372</v>
      </c>
      <c r="B174" t="s">
        <v>373</v>
      </c>
    </row>
    <row r="175" spans="1:12" x14ac:dyDescent="0.25">
      <c r="B175" t="s">
        <v>374</v>
      </c>
      <c r="C175" t="s">
        <v>375</v>
      </c>
      <c r="D175" t="s">
        <v>376</v>
      </c>
      <c r="E175" t="s">
        <v>377</v>
      </c>
      <c r="F175" t="s">
        <v>378</v>
      </c>
      <c r="G175" t="s">
        <v>379</v>
      </c>
      <c r="H175" t="s">
        <v>380</v>
      </c>
      <c r="I175" t="s">
        <v>47</v>
      </c>
    </row>
    <row r="176" spans="1:12" x14ac:dyDescent="0.25">
      <c r="B176" t="s">
        <v>381</v>
      </c>
      <c r="C176" t="s">
        <v>374</v>
      </c>
      <c r="D176" t="s">
        <v>375</v>
      </c>
      <c r="E176" t="s">
        <v>376</v>
      </c>
      <c r="F176" t="s">
        <v>377</v>
      </c>
      <c r="G176" t="s">
        <v>378</v>
      </c>
      <c r="H176" t="s">
        <v>379</v>
      </c>
      <c r="I176" t="s">
        <v>380</v>
      </c>
      <c r="J176" t="s">
        <v>382</v>
      </c>
    </row>
    <row r="179" spans="1:4" x14ac:dyDescent="0.25">
      <c r="A179">
        <v>4</v>
      </c>
      <c r="B179" t="s">
        <v>383</v>
      </c>
    </row>
    <row r="181" spans="1:4" x14ac:dyDescent="0.25">
      <c r="A181" t="s">
        <v>384</v>
      </c>
      <c r="B181" t="s">
        <v>385</v>
      </c>
      <c r="C181" t="s">
        <v>386</v>
      </c>
    </row>
    <row r="183" spans="1:4" x14ac:dyDescent="0.25">
      <c r="B183" t="s">
        <v>155</v>
      </c>
      <c r="C183" t="s">
        <v>140</v>
      </c>
      <c r="D183">
        <v>395</v>
      </c>
    </row>
    <row r="184" spans="1:4" x14ac:dyDescent="0.25">
      <c r="B184" t="s">
        <v>415</v>
      </c>
      <c r="C184" t="s">
        <v>140</v>
      </c>
      <c r="D184">
        <v>0.71</v>
      </c>
    </row>
    <row r="186" spans="1:4" x14ac:dyDescent="0.25">
      <c r="A186" t="s">
        <v>387</v>
      </c>
      <c r="B186" t="s">
        <v>388</v>
      </c>
      <c r="C186" t="s">
        <v>161</v>
      </c>
      <c r="D186" t="s">
        <v>389</v>
      </c>
    </row>
    <row r="188" spans="1:4" x14ac:dyDescent="0.25">
      <c r="B188" t="s">
        <v>151</v>
      </c>
      <c r="C188" t="s">
        <v>140</v>
      </c>
      <c r="D188">
        <v>14062</v>
      </c>
    </row>
    <row r="189" spans="1:4" x14ac:dyDescent="0.25">
      <c r="B189" t="s">
        <v>412</v>
      </c>
      <c r="C189" t="s">
        <v>140</v>
      </c>
      <c r="D189">
        <v>36.65</v>
      </c>
    </row>
    <row r="192" spans="1:4" x14ac:dyDescent="0.25">
      <c r="A192">
        <v>5</v>
      </c>
      <c r="B192" t="s">
        <v>231</v>
      </c>
      <c r="C192" t="s">
        <v>390</v>
      </c>
    </row>
    <row r="194" spans="2:15" x14ac:dyDescent="0.25">
      <c r="B194" t="s">
        <v>391</v>
      </c>
      <c r="C194" t="s">
        <v>392</v>
      </c>
      <c r="D194" t="s">
        <v>469</v>
      </c>
      <c r="E194" t="s">
        <v>470</v>
      </c>
      <c r="F194" t="s">
        <v>471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391</v>
      </c>
      <c r="C436" t="s">
        <v>392</v>
      </c>
      <c r="D436" t="s">
        <v>472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397</v>
      </c>
      <c r="C679" t="s">
        <v>36</v>
      </c>
      <c r="D679" t="s">
        <v>296</v>
      </c>
      <c r="E679" t="s">
        <v>274</v>
      </c>
    </row>
    <row r="681" spans="1:7" x14ac:dyDescent="0.25">
      <c r="A681" t="s">
        <v>398</v>
      </c>
      <c r="B681" t="s">
        <v>36</v>
      </c>
      <c r="C681" t="s">
        <v>473</v>
      </c>
      <c r="D681" t="s">
        <v>117</v>
      </c>
    </row>
    <row r="682" spans="1:7" x14ac:dyDescent="0.25">
      <c r="B682" t="s">
        <v>392</v>
      </c>
      <c r="C682" t="s">
        <v>399</v>
      </c>
      <c r="D682" t="s">
        <v>400</v>
      </c>
      <c r="E682" t="s">
        <v>402</v>
      </c>
      <c r="F682" t="s">
        <v>403</v>
      </c>
      <c r="G682" t="s">
        <v>404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398</v>
      </c>
      <c r="B925" t="s">
        <v>36</v>
      </c>
      <c r="C925" t="s">
        <v>471</v>
      </c>
      <c r="D925" t="s">
        <v>117</v>
      </c>
    </row>
    <row r="926" spans="1:8" x14ac:dyDescent="0.25">
      <c r="B926" t="s">
        <v>392</v>
      </c>
      <c r="C926" t="s">
        <v>399</v>
      </c>
      <c r="D926" t="s">
        <v>400</v>
      </c>
      <c r="E926" t="s">
        <v>474</v>
      </c>
      <c r="F926" t="s">
        <v>402</v>
      </c>
      <c r="G926" t="s">
        <v>403</v>
      </c>
      <c r="H926" t="s">
        <v>404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398</v>
      </c>
      <c r="B1169" t="s">
        <v>36</v>
      </c>
      <c r="C1169" t="s">
        <v>472</v>
      </c>
      <c r="D1169" t="s">
        <v>117</v>
      </c>
    </row>
    <row r="1170" spans="1:8" x14ac:dyDescent="0.25">
      <c r="B1170" t="s">
        <v>392</v>
      </c>
      <c r="C1170" t="s">
        <v>399</v>
      </c>
      <c r="D1170" t="s">
        <v>400</v>
      </c>
      <c r="E1170" t="s">
        <v>474</v>
      </c>
      <c r="F1170" t="s">
        <v>402</v>
      </c>
      <c r="G1170" t="s">
        <v>403</v>
      </c>
      <c r="H1170" t="s">
        <v>404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57</vt:i4>
      </vt:variant>
    </vt:vector>
  </HeadingPairs>
  <TitlesOfParts>
    <vt:vector size="64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</vt:lpstr>
      <vt:lpstr>scalar!_12m</vt:lpstr>
      <vt:lpstr>scalar!_13m</vt:lpstr>
      <vt:lpstr>scalar!_14m</vt:lpstr>
      <vt:lpstr>scalar!_15m</vt:lpstr>
      <vt:lpstr>scalar!_16m</vt:lpstr>
      <vt:lpstr>scalar!_17m</vt:lpstr>
      <vt:lpstr>scalar!_21m</vt:lpstr>
      <vt:lpstr>scalar!_22m</vt:lpstr>
      <vt:lpstr>scalar!_23m</vt:lpstr>
      <vt:lpstr>scalar!_24m</vt:lpstr>
      <vt:lpstr>scalar!_25m</vt:lpstr>
      <vt:lpstr>scalar!_26m</vt:lpstr>
      <vt:lpstr>scalar!_27m</vt:lpstr>
      <vt:lpstr>scalar!_31m</vt:lpstr>
      <vt:lpstr>scalar!_32m</vt:lpstr>
      <vt:lpstr>scalar!_33m</vt:lpstr>
      <vt:lpstr>scalar!_34m</vt:lpstr>
      <vt:lpstr>scalar!_35m</vt:lpstr>
      <vt:lpstr>scalar!_36m</vt:lpstr>
      <vt:lpstr>scalar!_37m</vt:lpstr>
      <vt:lpstr>DNS!_395_1</vt:lpstr>
      <vt:lpstr>Kawamura_scalar!_395_diric</vt:lpstr>
      <vt:lpstr>scalar!_41m</vt:lpstr>
      <vt:lpstr>scalar!_42m</vt:lpstr>
      <vt:lpstr>scalar!_43m</vt:lpstr>
      <vt:lpstr>scalar!_44m</vt:lpstr>
      <vt:lpstr>scalar!_45m</vt:lpstr>
      <vt:lpstr>scalar!_46m</vt:lpstr>
      <vt:lpstr>scalar!_47m</vt:lpstr>
      <vt:lpstr>scalar!_51m</vt:lpstr>
      <vt:lpstr>scalar!_52m</vt:lpstr>
      <vt:lpstr>scalar!_53m</vt:lpstr>
      <vt:lpstr>scalar!_54m</vt:lpstr>
      <vt:lpstr>scalar!_55m</vt:lpstr>
      <vt:lpstr>scalar!_56m</vt:lpstr>
      <vt:lpstr>scalar!_57m</vt:lpstr>
      <vt:lpstr>scalar!_61m</vt:lpstr>
      <vt:lpstr>scalar!_62m</vt:lpstr>
      <vt:lpstr>scalar!_63m</vt:lpstr>
      <vt:lpstr>scalar!_64m</vt:lpstr>
      <vt:lpstr>scalar!_65m</vt:lpstr>
      <vt:lpstr>scalar!_66m</vt:lpstr>
      <vt:lpstr>scalar!_67m</vt:lpstr>
      <vt:lpstr>scalar!_71m</vt:lpstr>
      <vt:lpstr>scalar!_72m</vt:lpstr>
      <vt:lpstr>scalar!_73m</vt:lpstr>
      <vt:lpstr>scalar!_74m</vt:lpstr>
      <vt:lpstr>scalar!_75m</vt:lpstr>
      <vt:lpstr>scalar!_76m</vt:lpstr>
      <vt:lpstr>scalar!_77m</vt:lpstr>
      <vt:lpstr>scalar!diricm</vt:lpstr>
      <vt:lpstr>Diss.!diss1</vt:lpstr>
      <vt:lpstr>Rij!fluct1</vt:lpstr>
      <vt:lpstr>scalar!interfacem</vt:lpstr>
      <vt:lpstr>'&lt;U&gt;'!moy1_</vt:lpstr>
      <vt:lpstr>scalar!neumam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2018-03-02T16:27:28Z</dcterms:modified>
</cp:coreProperties>
</file>