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mp\"/>
    </mc:Choice>
  </mc:AlternateContent>
  <bookViews>
    <workbookView xWindow="480" yWindow="180" windowWidth="27795" windowHeight="14310"/>
  </bookViews>
  <sheets>
    <sheet name="Introduction" sheetId="8" r:id="rId1"/>
    <sheet name="&lt;U&gt;" sheetId="2" r:id="rId2"/>
    <sheet name="Rij" sheetId="3" r:id="rId3"/>
    <sheet name="Diss." sheetId="4" r:id="rId4"/>
    <sheet name="DNS" sheetId="1" r:id="rId5"/>
    <sheet name="scalar" sheetId="5" r:id="rId6"/>
    <sheet name="Kawamura_scalar" sheetId="7" r:id="rId7"/>
  </sheets>
  <definedNames>
    <definedName name="_11m" localSheetId="5">scalar!$A$238:$I$354</definedName>
    <definedName name="_12m" localSheetId="5">scalar!$A$356:$I$472</definedName>
    <definedName name="_13m" localSheetId="5">scalar!$A$474:$I$590</definedName>
    <definedName name="_395_1" localSheetId="4">DNS!$A$1:$M$837</definedName>
    <definedName name="_395_diric" localSheetId="6">Kawamura_scalar!$A$1:$N$1412</definedName>
    <definedName name="diricm" localSheetId="5">scalar!$A$2:$I$118</definedName>
    <definedName name="diss1" localSheetId="3">Diss.!$A$2:$C$87</definedName>
    <definedName name="fluct1" localSheetId="2">Rij!$A$2:$E$87</definedName>
    <definedName name="interfacem" localSheetId="5">scalar!$Q$22:$Q$51</definedName>
    <definedName name="moy1_" localSheetId="1">'&lt;U&gt;'!$A$2:$C$87</definedName>
    <definedName name="neumam" localSheetId="5">scalar!$A$120:$I$236</definedName>
    <definedName name="robinm" localSheetId="5">scalar!#REF!</definedName>
  </definedNames>
  <calcPr calcId="162913"/>
</workbook>
</file>

<file path=xl/calcChain.xml><?xml version="1.0" encoding="utf-8"?>
<calcChain xmlns="http://schemas.openxmlformats.org/spreadsheetml/2006/main">
  <c r="E17" i="8" l="1"/>
  <c r="C15" i="8"/>
  <c r="E18" i="8"/>
  <c r="D16" i="8"/>
  <c r="D17" i="8" s="1"/>
  <c r="E14" i="8"/>
  <c r="H2" i="4" l="1"/>
  <c r="B95" i="7" l="1"/>
  <c r="B86" i="1"/>
  <c r="C145" i="1"/>
  <c r="C149" i="1"/>
  <c r="J84" i="5" l="1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J44" i="5" l="1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O196" i="7" l="1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2" i="5"/>
  <c r="D30" i="4" l="1"/>
  <c r="D31" i="4"/>
  <c r="D32" i="4"/>
  <c r="D33" i="4"/>
  <c r="D34" i="4"/>
  <c r="D35" i="4"/>
  <c r="D36" i="4"/>
  <c r="D37" i="4"/>
  <c r="D38" i="4"/>
  <c r="D39" i="4"/>
  <c r="D40" i="4"/>
  <c r="G4" i="3" l="1"/>
  <c r="G3" i="3"/>
  <c r="G2" i="3"/>
  <c r="H2" i="3" l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020" type="6" refreshedVersion="6" background="1" saveData="1">
    <textPr prompt="0" codePage="852" sourceFile="D:\Users\Flageul\Documents\stats\dns\1020.txt" thousands="'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2" name="11m" type="6" refreshedVersion="6" background="1" refreshOnLoad="1" saveData="1">
    <textPr prompt="0" codePage="852" sourceFile="D:\tmp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2m" type="6" refreshedVersion="6" background="1" refreshOnLoad="1" saveData="1">
    <textPr prompt="0" codePage="852" sourceFile="D:\tmp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13m" type="6" refreshedVersion="6" background="1" refreshOnLoad="1" saveData="1">
    <textPr prompt="0" codePage="852" sourceFile="D:\tmp\csv\1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name="395_diric" type="6" refreshedVersion="6" backgroun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6" name="diricm" type="6" refreshedVersion="6" background="1" refreshOnLoad="1" saveData="1">
    <textPr prompt="0" codePage="852" sourceFile="D:\tmp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diss1" type="6" refreshedVersion="6" background="1" refreshOnLoad="1" saveData="1">
    <textPr prompt="0" codePage="852" sourceFile="D:\tmp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fluct1" type="6" refreshedVersion="6" background="1" refreshOnLoad="1" saveData="1">
    <textPr prompt="0" codePage="852" sourceFile="D:\tmp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interfacem" type="6" refreshedVersion="6" background="1" refreshOnLoad="1" saveData="1">
    <textPr prompt="0" codePage="852" sourceFile="D:\tmp\csv\interface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name="moy1" type="6" refreshedVersion="6" background="1" refreshOnLoad="1" saveData="1">
    <textPr prompt="0" codePage="852" sourceFile="D:\tmp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name="neumam" type="6" refreshedVersion="6" background="1" refreshOnLoad="1" saveData="1">
    <textPr prompt="0" codePage="852" sourceFile="D:\tmp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<sst xmlns="http://schemas.openxmlformats.org/spreadsheetml/2006/main" count="1641" uniqueCount="551">
  <si>
    <t>diss_tot_sat</t>
  </si>
  <si>
    <t>DNS</t>
  </si>
  <si>
    <t>diss(wall)</t>
  </si>
  <si>
    <t>dns</t>
  </si>
  <si>
    <t>error in %</t>
  </si>
  <si>
    <t>wall</t>
  </si>
  <si>
    <t>diss</t>
  </si>
  <si>
    <t>k</t>
  </si>
  <si>
    <t>d2k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</si>
  <si>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</si>
  <si>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</si>
  <si>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</si>
  <si>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</si>
  <si>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</si>
  <si>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</si>
  <si>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</si>
  <si>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</si>
  <si>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</si>
  <si>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</si>
  <si>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</si>
  <si>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</si>
  <si>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</si>
  <si>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</si>
  <si>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</si>
  <si>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</si>
  <si>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</si>
  <si>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</si>
  <si>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</si>
  <si>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</si>
  <si>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</si>
  <si>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</si>
  <si>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</si>
  <si>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</si>
  <si>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</si>
  <si>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</si>
  <si>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</si>
  <si>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</si>
  <si>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</si>
  <si>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</si>
  <si>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</si>
  <si>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</si>
  <si>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</si>
  <si>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</si>
  <si>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</si>
  <si>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</si>
  <si>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</si>
  <si>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</si>
  <si>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</si>
  <si>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</si>
  <si>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</si>
  <si>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</si>
  <si>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</si>
  <si>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</si>
  <si>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</si>
  <si>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</si>
  <si>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</si>
  <si>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</si>
  <si>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</si>
  <si>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</si>
  <si>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</si>
  <si>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</si>
  <si>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</si>
  <si>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</si>
  <si>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</si>
  <si>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</si>
  <si>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</si>
  <si>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</si>
  <si>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</si>
  <si>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</si>
  <si>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</si>
  <si>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</si>
  <si>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</si>
  <si>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</si>
  <si>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</si>
  <si>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</si>
  <si>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</si>
  <si>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</si>
  <si>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</si>
  <si>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</si>
  <si>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</si>
  <si>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</si>
  <si>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</si>
  <si>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</si>
  <si>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</si>
  <si>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</si>
  <si>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</si>
  <si>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</si>
  <si>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</si>
  <si>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</si>
  <si>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</si>
  <si>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</si>
  <si>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</si>
  <si>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</si>
  <si>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</si>
  <si>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</si>
  <si>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</si>
  <si>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</si>
  <si>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</si>
  <si>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</si>
  <si>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</si>
  <si>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</si>
  <si>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</si>
  <si>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</si>
  <si>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</si>
  <si>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</si>
  <si>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</si>
  <si>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</si>
  <si>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</si>
  <si>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</si>
  <si>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</si>
  <si>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</si>
  <si>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</si>
  <si>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</si>
  <si>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</si>
  <si>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</si>
  <si>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</si>
  <si>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</si>
  <si>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</si>
  <si>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</si>
  <si>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</si>
  <si>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</si>
  <si>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</si>
  <si>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</si>
  <si>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</si>
  <si>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</si>
  <si>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</si>
  <si>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</si>
  <si>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</si>
  <si>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</si>
  <si>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</si>
  <si>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</si>
  <si>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</si>
  <si>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</si>
  <si>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</si>
  <si>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</si>
  <si>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</si>
  <si>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</si>
  <si>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</si>
  <si>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</si>
  <si>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</si>
  <si>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</si>
  <si>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</si>
  <si>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</si>
  <si>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</si>
  <si>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</si>
  <si>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</si>
  <si>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</si>
  <si>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</si>
  <si>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</si>
  <si>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</si>
  <si>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</si>
  <si>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</si>
  <si>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</si>
  <si>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</si>
  <si>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</si>
  <si>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</si>
  <si>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</si>
  <si>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</si>
  <si>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</si>
  <si>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</si>
  <si>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</si>
  <si>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</si>
  <si>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</si>
  <si>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</si>
  <si>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</si>
  <si>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</si>
  <si>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</si>
  <si>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</si>
  <si>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</si>
  <si>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</si>
  <si>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</si>
  <si>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</si>
  <si>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</si>
  <si>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</si>
  <si>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</si>
  <si>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</si>
  <si>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</si>
  <si>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</si>
  <si>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</si>
  <si>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</si>
  <si>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</si>
  <si>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</si>
  <si>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</si>
  <si>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</si>
  <si>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</si>
  <si>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</si>
  <si>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</si>
  <si>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</si>
  <si>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</si>
  <si>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</si>
  <si>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</si>
  <si>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condition</t>
  </si>
  <si>
    <t>adopted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</si>
  <si>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</si>
  <si>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</si>
  <si>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</si>
  <si>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</si>
  <si>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</si>
  <si>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</si>
  <si>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</si>
  <si>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</si>
  <si>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</si>
  <si>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</si>
  <si>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</si>
  <si>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</si>
  <si>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</si>
  <si>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</si>
  <si>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</si>
  <si>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</si>
  <si>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</si>
  <si>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</si>
  <si>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</si>
  <si>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</si>
  <si>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</si>
  <si>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</si>
  <si>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</si>
  <si>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</si>
  <si>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</si>
  <si>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</si>
  <si>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</si>
  <si>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</si>
  <si>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</si>
  <si>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</si>
  <si>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</si>
  <si>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</si>
  <si>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</si>
  <si>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</si>
  <si>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</si>
  <si>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</si>
  <si>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</si>
  <si>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</si>
  <si>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</si>
  <si>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</si>
  <si>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</si>
  <si>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</si>
  <si>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</si>
  <si>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</si>
  <si>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</si>
  <si>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</si>
  <si>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</si>
  <si>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</si>
  <si>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</si>
  <si>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</si>
  <si>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</si>
  <si>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</si>
  <si>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</si>
  <si>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</si>
  <si>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</si>
  <si>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</si>
  <si>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</si>
  <si>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</si>
  <si>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</si>
  <si>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</si>
  <si>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</si>
  <si>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</si>
  <si>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</si>
  <si>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</si>
  <si>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</si>
  <si>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</si>
  <si>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</si>
  <si>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</si>
  <si>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</si>
  <si>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</si>
  <si>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</si>
  <si>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</si>
  <si>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</si>
  <si>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</si>
  <si>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</si>
  <si>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</si>
  <si>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</si>
  <si>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</si>
  <si>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</si>
  <si>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</si>
  <si>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</si>
  <si>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</si>
  <si>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</si>
  <si>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</si>
  <si>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</si>
  <si>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transport</t>
  </si>
  <si>
    <t>Abe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</si>
  <si>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</si>
  <si>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</si>
  <si>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</si>
  <si>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</si>
  <si>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</si>
  <si>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</si>
  <si>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</si>
  <si>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</si>
  <si>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</si>
  <si>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</si>
  <si>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</si>
  <si>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</si>
  <si>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</si>
  <si>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</si>
  <si>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</si>
  <si>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</si>
  <si>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</si>
  <si>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</si>
  <si>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</si>
  <si>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</si>
  <si>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</si>
  <si>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</si>
  <si>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</si>
  <si>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</si>
  <si>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</si>
  <si>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</si>
  <si>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</si>
  <si>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</si>
  <si>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</si>
  <si>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</si>
  <si>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</si>
  <si>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</si>
  <si>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</si>
  <si>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</si>
  <si>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</si>
  <si>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</si>
  <si>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</si>
  <si>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</si>
  <si>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</si>
  <si>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</si>
  <si>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</si>
  <si>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</si>
  <si>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</si>
  <si>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</si>
  <si>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</si>
  <si>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</si>
  <si>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</si>
  <si>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</si>
  <si>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</si>
  <si>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</si>
  <si>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</si>
  <si>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</si>
  <si>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</si>
  <si>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</si>
  <si>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</si>
  <si>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</si>
  <si>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</si>
  <si>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</si>
  <si>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</si>
  <si>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</si>
  <si>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</si>
  <si>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</si>
  <si>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</si>
  <si>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</si>
  <si>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</si>
  <si>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</si>
  <si>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</si>
  <si>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</si>
  <si>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</si>
  <si>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</si>
  <si>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</si>
  <si>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</si>
  <si>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</si>
  <si>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</si>
  <si>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</si>
  <si>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</si>
  <si>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</si>
  <si>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</si>
  <si>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</si>
  <si>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</si>
  <si>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</si>
  <si>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</si>
  <si>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</si>
  <si>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</si>
  <si>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</si>
  <si>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</si>
  <si>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</si>
  <si>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</si>
  <si>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</si>
  <si>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</si>
  <si>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</si>
  <si>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</si>
  <si>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</si>
  <si>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</si>
  <si>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</si>
  <si>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</si>
  <si>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</si>
  <si>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</si>
  <si>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</si>
  <si>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</si>
  <si>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</si>
  <si>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</si>
  <si>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</si>
  <si>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</si>
  <si>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</si>
  <si>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</si>
  <si>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</si>
  <si>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</si>
  <si>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</si>
  <si>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</si>
  <si>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</si>
  <si>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</si>
  <si>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</si>
  <si>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</si>
  <si>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</si>
  <si>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</si>
  <si>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</si>
  <si>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</si>
  <si>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</si>
  <si>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</si>
  <si>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</si>
  <si>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</si>
  <si>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</si>
  <si>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</si>
  <si>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</si>
  <si>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</si>
  <si>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</si>
  <si>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</si>
  <si>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</si>
  <si>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</si>
  <si>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</si>
  <si>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</si>
  <si>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</si>
  <si>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</si>
  <si>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</si>
  <si>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</si>
  <si>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</si>
  <si>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</si>
  <si>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</si>
  <si>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</si>
  <si>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</si>
  <si>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</si>
  <si>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</si>
  <si>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</si>
  <si>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</si>
  <si>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</si>
  <si>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</si>
  <si>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</si>
  <si>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</si>
  <si>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</si>
  <si>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</si>
  <si>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</si>
  <si>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</si>
  <si>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</si>
  <si>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</si>
  <si>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</si>
  <si>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</si>
  <si>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</si>
  <si>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</si>
  <si>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</si>
  <si>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</si>
  <si>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</si>
  <si>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</si>
  <si>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</si>
  <si>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</si>
  <si>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1998-2006</t>
  </si>
  <si>
    <t>Chiba-ken278-8510</t>
  </si>
  <si>
    <t>November24,2006</t>
  </si>
  <si>
    <t>ch1020_4th</t>
  </si>
  <si>
    <t>Hiroyuki</t>
  </si>
  <si>
    <t>Research</t>
  </si>
  <si>
    <t>Group</t>
  </si>
  <si>
    <t>Aerospace</t>
  </si>
  <si>
    <t>Exploration</t>
  </si>
  <si>
    <t>Agency</t>
  </si>
  <si>
    <t>Jindaiji-higashi,</t>
  </si>
  <si>
    <t>Chofu,</t>
  </si>
  <si>
    <t>Tokyo182-8522,</t>
  </si>
  <si>
    <t>habe@chofu.jaxa.jp</t>
  </si>
  <si>
    <t>p</t>
  </si>
  <si>
    <t>Um*2delta/nu</t>
  </si>
  <si>
    <t>H,</t>
  </si>
  <si>
    <t>H</t>
  </si>
  <si>
    <t>Surface heat-flux fluctuations in a turbulent channel flow</t>
  </si>
  <si>
    <t>Re_tau=1020</t>
  </si>
  <si>
    <t>Pr=0.025</t>
  </si>
  <si>
    <t>0.71,"</t>
  </si>
  <si>
    <t>Int.</t>
  </si>
  <si>
    <t>Fluid</t>
  </si>
  <si>
    <t>Flow,</t>
  </si>
  <si>
    <t>vol.25,</t>
  </si>
  <si>
    <t>pp.404-419,2004.</t>
  </si>
  <si>
    <t>and4.25</t>
  </si>
  <si>
    <t>z-directions</t>
  </si>
  <si>
    <t>to7.32</t>
  </si>
  <si>
    <t>third-order</t>
  </si>
  <si>
    <t>Runge-Kutta</t>
  </si>
  <si>
    <t>12.8*delta</t>
  </si>
  <si>
    <t>x2*delta</t>
  </si>
  <si>
    <t>x6.4*delta.</t>
  </si>
  <si>
    <t>x448</t>
  </si>
  <si>
    <t>x1536</t>
  </si>
  <si>
    <t>About13,950</t>
  </si>
  <si>
    <t>about20</t>
  </si>
  <si>
    <t>Computation</t>
  </si>
  <si>
    <t>made</t>
  </si>
  <si>
    <t>Simulator</t>
  </si>
  <si>
    <t>III</t>
  </si>
  <si>
    <t>Center</t>
  </si>
  <si>
    <t>Agency.</t>
  </si>
  <si>
    <t>diricm</t>
  </si>
  <si>
    <t>neumam</t>
  </si>
  <si>
    <t>11m</t>
  </si>
  <si>
    <t>12m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</si>
  <si>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</si>
  <si>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</si>
  <si>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</si>
  <si>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</si>
  <si>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</si>
  <si>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</si>
  <si>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</si>
  <si>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</si>
  <si>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</si>
  <si>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</si>
  <si>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</si>
  <si>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</si>
  <si>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</si>
  <si>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</si>
  <si>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</si>
  <si>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</si>
  <si>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</si>
  <si>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</si>
  <si>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</si>
  <si>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diric</t>
  </si>
  <si>
    <t>No fluid-solid coupling, imposed temperature at the fluid boundary.</t>
  </si>
  <si>
    <t>neuma</t>
  </si>
  <si>
    <t>No fluid-solid coupling, imposed heat flux at the fluid boundary.</t>
  </si>
  <si>
    <t>Fluid-solid coupling, imposed heat flux at the outer wall, fluid-solid thermal properties ratios are equal to one.</t>
  </si>
  <si>
    <t>"11"</t>
  </si>
  <si>
    <t>"12"</t>
  </si>
  <si>
    <t>Fluid-solid coupling, imposed heat flux at the outer wall.</t>
  </si>
  <si>
    <t>U</t>
  </si>
  <si>
    <t>mu_t / mu</t>
  </si>
  <si>
    <t>Rxx</t>
  </si>
  <si>
    <t>Ryy</t>
  </si>
  <si>
    <t>Rzz</t>
  </si>
  <si>
    <t>-Rxy</t>
  </si>
  <si>
    <t>SGS Diss.</t>
  </si>
  <si>
    <t>T</t>
  </si>
  <si>
    <t>T'**2</t>
  </si>
  <si>
    <t>u'T'</t>
  </si>
  <si>
    <t>v'T'</t>
  </si>
  <si>
    <t>w'T'</t>
  </si>
  <si>
    <t>Relative y-Diss</t>
  </si>
  <si>
    <t>4 passive scalars transported with a Prandtl number of 1</t>
  </si>
  <si>
    <t>13m</t>
  </si>
  <si>
    <t>"13"</t>
  </si>
  <si>
    <t>Fluid-to-solid thermal diffusivity ratio G=1.3</t>
  </si>
  <si>
    <t>Thermal activity ratio K = 2.8</t>
  </si>
  <si>
    <t>Fluid-to-solid thermal diffusivity ratio G=0.1</t>
  </si>
  <si>
    <t>Thermal activity ratio K = 0.23</t>
  </si>
  <si>
    <t>G</t>
  </si>
  <si>
    <t>K</t>
  </si>
  <si>
    <t>G2</t>
  </si>
  <si>
    <t>TT</t>
  </si>
  <si>
    <t>dyTTf</t>
  </si>
  <si>
    <t>dyTTs</t>
  </si>
  <si>
    <t>dTdx+dTdz</t>
  </si>
  <si>
    <t>dTdyf</t>
  </si>
  <si>
    <t>dTdys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</si>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</sst>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E+00"/>
    <numFmt numFmtId="165" formatCode="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'&lt;U&gt;'!$B$2:$B$87</c:f>
              <c:numCache>
                <c:formatCode>General</c:formatCode>
                <c:ptCount val="86"/>
                <c:pt idx="0">
                  <c:v>0.50009759458548797</c:v>
                </c:pt>
                <c:pt idx="1">
                  <c:v>1.5431696138837701</c:v>
                </c:pt>
                <c:pt idx="2">
                  <c:v>2.6704910432591098</c:v>
                </c:pt>
                <c:pt idx="3">
                  <c:v>3.8708324418348399</c:v>
                </c:pt>
                <c:pt idx="4">
                  <c:v>5.1177152717814698</c:v>
                </c:pt>
                <c:pt idx="5">
                  <c:v>6.3701324795975403</c:v>
                </c:pt>
                <c:pt idx="6">
                  <c:v>7.5805039321674998</c:v>
                </c:pt>
                <c:pt idx="7">
                  <c:v>8.7070525253520206</c:v>
                </c:pt>
                <c:pt idx="8">
                  <c:v>9.7235523812910998</c:v>
                </c:pt>
                <c:pt idx="9">
                  <c:v>10.6213538422304</c:v>
                </c:pt>
                <c:pt idx="10">
                  <c:v>11.405007057330099</c:v>
                </c:pt>
                <c:pt idx="11">
                  <c:v>12.086077642440699</c:v>
                </c:pt>
                <c:pt idx="12">
                  <c:v>12.678374512055299</c:v>
                </c:pt>
                <c:pt idx="13">
                  <c:v>13.1953459031441</c:v>
                </c:pt>
                <c:pt idx="14">
                  <c:v>13.649032007245401</c:v>
                </c:pt>
                <c:pt idx="15">
                  <c:v>14.0498404755311</c:v>
                </c:pt>
                <c:pt idx="16">
                  <c:v>14.4066322551054</c:v>
                </c:pt>
                <c:pt idx="17">
                  <c:v>14.7269271009108</c:v>
                </c:pt>
                <c:pt idx="18">
                  <c:v>15.0171396255493</c:v>
                </c:pt>
                <c:pt idx="19">
                  <c:v>15.282769954905699</c:v>
                </c:pt>
                <c:pt idx="20">
                  <c:v>15.5285506402744</c:v>
                </c:pt>
                <c:pt idx="21">
                  <c:v>15.7586133788613</c:v>
                </c:pt>
                <c:pt idx="22">
                  <c:v>15.9765864049687</c:v>
                </c:pt>
                <c:pt idx="23">
                  <c:v>16.185663819313</c:v>
                </c:pt>
                <c:pt idx="24">
                  <c:v>16.388622096005601</c:v>
                </c:pt>
                <c:pt idx="25">
                  <c:v>16.587780465799199</c:v>
                </c:pt>
                <c:pt idx="26">
                  <c:v>16.785157732402499</c:v>
                </c:pt>
                <c:pt idx="27">
                  <c:v>16.9826307394925</c:v>
                </c:pt>
                <c:pt idx="28">
                  <c:v>17.181858438603999</c:v>
                </c:pt>
                <c:pt idx="29">
                  <c:v>17.384248875169099</c:v>
                </c:pt>
                <c:pt idx="30">
                  <c:v>17.5911869848475</c:v>
                </c:pt>
                <c:pt idx="31">
                  <c:v>17.803983421886599</c:v>
                </c:pt>
                <c:pt idx="32">
                  <c:v>18.023484994383399</c:v>
                </c:pt>
                <c:pt idx="33">
                  <c:v>18.2417369884603</c:v>
                </c:pt>
                <c:pt idx="34">
                  <c:v>18.450652634396199</c:v>
                </c:pt>
                <c:pt idx="35">
                  <c:v>18.650552167611899</c:v>
                </c:pt>
                <c:pt idx="36">
                  <c:v>18.842564665569899</c:v>
                </c:pt>
                <c:pt idx="37">
                  <c:v>19.027543539159399</c:v>
                </c:pt>
                <c:pt idx="38">
                  <c:v>19.206124307127499</c:v>
                </c:pt>
                <c:pt idx="39">
                  <c:v>19.378904522166501</c:v>
                </c:pt>
                <c:pt idx="40">
                  <c:v>19.546135090379099</c:v>
                </c:pt>
                <c:pt idx="41">
                  <c:v>19.708189069523499</c:v>
                </c:pt>
                <c:pt idx="42">
                  <c:v>19.865479134110799</c:v>
                </c:pt>
                <c:pt idx="43">
                  <c:v>20.018257840941899</c:v>
                </c:pt>
                <c:pt idx="44">
                  <c:v>20.166898247774899</c:v>
                </c:pt>
                <c:pt idx="45">
                  <c:v>20.311565424414201</c:v>
                </c:pt>
                <c:pt idx="46">
                  <c:v>20.452325398781699</c:v>
                </c:pt>
                <c:pt idx="47">
                  <c:v>20.589310226720901</c:v>
                </c:pt>
                <c:pt idx="48">
                  <c:v>20.722810431087701</c:v>
                </c:pt>
                <c:pt idx="49">
                  <c:v>20.8528771835214</c:v>
                </c:pt>
                <c:pt idx="50">
                  <c:v>20.979482422155399</c:v>
                </c:pt>
                <c:pt idx="51">
                  <c:v>21.102678969327101</c:v>
                </c:pt>
                <c:pt idx="52">
                  <c:v>21.2226566553115</c:v>
                </c:pt>
                <c:pt idx="53">
                  <c:v>21.3394567475599</c:v>
                </c:pt>
                <c:pt idx="54">
                  <c:v>21.4530709925819</c:v>
                </c:pt>
                <c:pt idx="55">
                  <c:v>21.5634812326992</c:v>
                </c:pt>
                <c:pt idx="56">
                  <c:v>21.670718831174501</c:v>
                </c:pt>
                <c:pt idx="57">
                  <c:v>21.774806897780401</c:v>
                </c:pt>
                <c:pt idx="58">
                  <c:v>21.875796604156399</c:v>
                </c:pt>
                <c:pt idx="59">
                  <c:v>21.9737869921852</c:v>
                </c:pt>
                <c:pt idx="60">
                  <c:v>22.0687830139608</c:v>
                </c:pt>
                <c:pt idx="61">
                  <c:v>22.160758258314601</c:v>
                </c:pt>
                <c:pt idx="62">
                  <c:v>22.249783705262502</c:v>
                </c:pt>
                <c:pt idx="63">
                  <c:v>22.335933636216499</c:v>
                </c:pt>
                <c:pt idx="64">
                  <c:v>22.419173386517599</c:v>
                </c:pt>
                <c:pt idx="65">
                  <c:v>22.499603648746699</c:v>
                </c:pt>
                <c:pt idx="66">
                  <c:v>22.577242580582102</c:v>
                </c:pt>
                <c:pt idx="67">
                  <c:v>22.651946571293902</c:v>
                </c:pt>
                <c:pt idx="68">
                  <c:v>22.723560455266099</c:v>
                </c:pt>
                <c:pt idx="69">
                  <c:v>22.791915861298001</c:v>
                </c:pt>
                <c:pt idx="70">
                  <c:v>22.856834514000798</c:v>
                </c:pt>
                <c:pt idx="71">
                  <c:v>22.9182751459233</c:v>
                </c:pt>
                <c:pt idx="72">
                  <c:v>22.976221250085199</c:v>
                </c:pt>
                <c:pt idx="73">
                  <c:v>23.030631559035299</c:v>
                </c:pt>
                <c:pt idx="74">
                  <c:v>23.081416935079201</c:v>
                </c:pt>
                <c:pt idx="75">
                  <c:v>23.128446973071298</c:v>
                </c:pt>
                <c:pt idx="76">
                  <c:v>23.171531842736599</c:v>
                </c:pt>
                <c:pt idx="77">
                  <c:v>23.210569200796201</c:v>
                </c:pt>
                <c:pt idx="78">
                  <c:v>23.2455507937599</c:v>
                </c:pt>
                <c:pt idx="79">
                  <c:v>23.276405641611799</c:v>
                </c:pt>
                <c:pt idx="80">
                  <c:v>23.3029703252455</c:v>
                </c:pt>
                <c:pt idx="81">
                  <c:v>23.325134247891999</c:v>
                </c:pt>
                <c:pt idx="82">
                  <c:v>23.342847888609899</c:v>
                </c:pt>
                <c:pt idx="83">
                  <c:v>23.356066678552001</c:v>
                </c:pt>
                <c:pt idx="84">
                  <c:v>23.364775761436</c:v>
                </c:pt>
                <c:pt idx="85">
                  <c:v>23.369018055410901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78-4033-904A-D8F7AB5BEDB8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1F78-4033-904A-D8F7AB5BEDB8}"/>
              </c:ext>
            </c:extLst>
          </c:dPt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DNS!$C$155:$C$378</c:f>
              <c:numCache>
                <c:formatCode>0.00E+00</c:formatCode>
                <c:ptCount val="224"/>
                <c:pt idx="0">
                  <c:v>0.153892</c:v>
                </c:pt>
                <c:pt idx="1">
                  <c:v>0.46556199999999998</c:v>
                </c:pt>
                <c:pt idx="2">
                  <c:v>0.78567699999999996</c:v>
                </c:pt>
                <c:pt idx="3">
                  <c:v>1.11537</c:v>
                </c:pt>
                <c:pt idx="4">
                  <c:v>1.4556800000000001</c:v>
                </c:pt>
                <c:pt idx="5">
                  <c:v>1.80749</c:v>
                </c:pt>
                <c:pt idx="6">
                  <c:v>2.1715100000000001</c:v>
                </c:pt>
                <c:pt idx="7">
                  <c:v>2.5482200000000002</c:v>
                </c:pt>
                <c:pt idx="8">
                  <c:v>2.9378000000000002</c:v>
                </c:pt>
                <c:pt idx="9">
                  <c:v>3.3401299999999998</c:v>
                </c:pt>
                <c:pt idx="10">
                  <c:v>3.75468</c:v>
                </c:pt>
                <c:pt idx="11">
                  <c:v>4.1805599999999998</c:v>
                </c:pt>
                <c:pt idx="12">
                  <c:v>4.6164699999999996</c:v>
                </c:pt>
                <c:pt idx="13">
                  <c:v>5.0607100000000003</c:v>
                </c:pt>
                <c:pt idx="14">
                  <c:v>5.5112399999999999</c:v>
                </c:pt>
                <c:pt idx="15">
                  <c:v>5.9656900000000004</c:v>
                </c:pt>
                <c:pt idx="16">
                  <c:v>6.4215099999999996</c:v>
                </c:pt>
                <c:pt idx="17">
                  <c:v>6.87601</c:v>
                </c:pt>
                <c:pt idx="18">
                  <c:v>7.3264500000000004</c:v>
                </c:pt>
                <c:pt idx="19">
                  <c:v>7.7701900000000004</c:v>
                </c:pt>
                <c:pt idx="20">
                  <c:v>8.2047699999999999</c:v>
                </c:pt>
                <c:pt idx="21">
                  <c:v>8.6279500000000002</c:v>
                </c:pt>
                <c:pt idx="22">
                  <c:v>9.0378399999999992</c:v>
                </c:pt>
                <c:pt idx="23">
                  <c:v>9.4328800000000008</c:v>
                </c:pt>
                <c:pt idx="24">
                  <c:v>9.8118800000000004</c:v>
                </c:pt>
                <c:pt idx="25">
                  <c:v>10.173999999999999</c:v>
                </c:pt>
                <c:pt idx="26">
                  <c:v>10.5189</c:v>
                </c:pt>
                <c:pt idx="27">
                  <c:v>10.846299999999999</c:v>
                </c:pt>
                <c:pt idx="28">
                  <c:v>11.1563</c:v>
                </c:pt>
                <c:pt idx="29">
                  <c:v>11.449299999999999</c:v>
                </c:pt>
                <c:pt idx="30">
                  <c:v>11.7258</c:v>
                </c:pt>
                <c:pt idx="31">
                  <c:v>11.9864</c:v>
                </c:pt>
                <c:pt idx="32">
                  <c:v>12.2319</c:v>
                </c:pt>
                <c:pt idx="33">
                  <c:v>12.463200000000001</c:v>
                </c:pt>
                <c:pt idx="34">
                  <c:v>12.681100000000001</c:v>
                </c:pt>
                <c:pt idx="35">
                  <c:v>12.8864</c:v>
                </c:pt>
                <c:pt idx="36">
                  <c:v>13.0801</c:v>
                </c:pt>
                <c:pt idx="37">
                  <c:v>13.263</c:v>
                </c:pt>
                <c:pt idx="38">
                  <c:v>13.4359</c:v>
                </c:pt>
                <c:pt idx="39">
                  <c:v>13.5997</c:v>
                </c:pt>
                <c:pt idx="40">
                  <c:v>13.7552</c:v>
                </c:pt>
                <c:pt idx="41">
                  <c:v>13.903</c:v>
                </c:pt>
                <c:pt idx="42">
                  <c:v>14.043799999999999</c:v>
                </c:pt>
                <c:pt idx="43">
                  <c:v>14.1784</c:v>
                </c:pt>
                <c:pt idx="44">
                  <c:v>14.3073</c:v>
                </c:pt>
                <c:pt idx="45">
                  <c:v>14.430999999999999</c:v>
                </c:pt>
                <c:pt idx="46">
                  <c:v>14.5502</c:v>
                </c:pt>
                <c:pt idx="47">
                  <c:v>14.6652</c:v>
                </c:pt>
                <c:pt idx="48">
                  <c:v>14.776400000000001</c:v>
                </c:pt>
                <c:pt idx="49">
                  <c:v>14.884399999999999</c:v>
                </c:pt>
                <c:pt idx="50">
                  <c:v>14.9894</c:v>
                </c:pt>
                <c:pt idx="51">
                  <c:v>15.091699999999999</c:v>
                </c:pt>
                <c:pt idx="52">
                  <c:v>15.191599999999999</c:v>
                </c:pt>
                <c:pt idx="53">
                  <c:v>15.289300000000001</c:v>
                </c:pt>
                <c:pt idx="54">
                  <c:v>15.3851</c:v>
                </c:pt>
                <c:pt idx="55">
                  <c:v>15.479100000000001</c:v>
                </c:pt>
                <c:pt idx="56">
                  <c:v>15.5715</c:v>
                </c:pt>
                <c:pt idx="57">
                  <c:v>15.6625</c:v>
                </c:pt>
                <c:pt idx="58">
                  <c:v>15.7521</c:v>
                </c:pt>
                <c:pt idx="59">
                  <c:v>15.8405</c:v>
                </c:pt>
                <c:pt idx="60">
                  <c:v>15.9277</c:v>
                </c:pt>
                <c:pt idx="61">
                  <c:v>16.0139</c:v>
                </c:pt>
                <c:pt idx="62">
                  <c:v>16.0991</c:v>
                </c:pt>
                <c:pt idx="63">
                  <c:v>16.183399999999999</c:v>
                </c:pt>
                <c:pt idx="64">
                  <c:v>16.2668</c:v>
                </c:pt>
                <c:pt idx="65">
                  <c:v>16.349399999999999</c:v>
                </c:pt>
                <c:pt idx="66">
                  <c:v>16.4313</c:v>
                </c:pt>
                <c:pt idx="67">
                  <c:v>16.5123</c:v>
                </c:pt>
                <c:pt idx="68">
                  <c:v>16.592700000000001</c:v>
                </c:pt>
                <c:pt idx="69">
                  <c:v>16.6723</c:v>
                </c:pt>
                <c:pt idx="70">
                  <c:v>16.751200000000001</c:v>
                </c:pt>
                <c:pt idx="71">
                  <c:v>16.8294</c:v>
                </c:pt>
                <c:pt idx="72">
                  <c:v>16.9069</c:v>
                </c:pt>
                <c:pt idx="73">
                  <c:v>16.983799999999999</c:v>
                </c:pt>
                <c:pt idx="74">
                  <c:v>17.059999999999999</c:v>
                </c:pt>
                <c:pt idx="75">
                  <c:v>17.1356</c:v>
                </c:pt>
                <c:pt idx="76">
                  <c:v>17.2105</c:v>
                </c:pt>
                <c:pt idx="77">
                  <c:v>17.2849</c:v>
                </c:pt>
                <c:pt idx="78">
                  <c:v>17.358599999999999</c:v>
                </c:pt>
                <c:pt idx="79">
                  <c:v>17.431699999999999</c:v>
                </c:pt>
                <c:pt idx="80">
                  <c:v>17.504300000000001</c:v>
                </c:pt>
                <c:pt idx="81">
                  <c:v>17.5762</c:v>
                </c:pt>
                <c:pt idx="82">
                  <c:v>17.647500000000001</c:v>
                </c:pt>
                <c:pt idx="83">
                  <c:v>17.7182</c:v>
                </c:pt>
                <c:pt idx="84">
                  <c:v>17.7883</c:v>
                </c:pt>
                <c:pt idx="85">
                  <c:v>17.857700000000001</c:v>
                </c:pt>
                <c:pt idx="86">
                  <c:v>17.926600000000001</c:v>
                </c:pt>
                <c:pt idx="87">
                  <c:v>17.994900000000001</c:v>
                </c:pt>
                <c:pt idx="88">
                  <c:v>18.0625</c:v>
                </c:pt>
                <c:pt idx="89">
                  <c:v>18.1296</c:v>
                </c:pt>
                <c:pt idx="90">
                  <c:v>18.196100000000001</c:v>
                </c:pt>
                <c:pt idx="91">
                  <c:v>18.261900000000001</c:v>
                </c:pt>
                <c:pt idx="92">
                  <c:v>18.327200000000001</c:v>
                </c:pt>
                <c:pt idx="93">
                  <c:v>18.3919</c:v>
                </c:pt>
                <c:pt idx="94">
                  <c:v>18.456</c:v>
                </c:pt>
                <c:pt idx="95">
                  <c:v>18.519500000000001</c:v>
                </c:pt>
                <c:pt idx="96">
                  <c:v>18.5825</c:v>
                </c:pt>
                <c:pt idx="97">
                  <c:v>18.6449</c:v>
                </c:pt>
                <c:pt idx="98">
                  <c:v>18.706700000000001</c:v>
                </c:pt>
                <c:pt idx="99">
                  <c:v>18.768000000000001</c:v>
                </c:pt>
                <c:pt idx="100">
                  <c:v>18.828800000000001</c:v>
                </c:pt>
                <c:pt idx="101">
                  <c:v>18.889099999999999</c:v>
                </c:pt>
                <c:pt idx="102">
                  <c:v>18.948899999999998</c:v>
                </c:pt>
                <c:pt idx="103">
                  <c:v>19.008099999999999</c:v>
                </c:pt>
                <c:pt idx="104">
                  <c:v>19.0669</c:v>
                </c:pt>
                <c:pt idx="105">
                  <c:v>19.1252</c:v>
                </c:pt>
                <c:pt idx="106">
                  <c:v>19.183</c:v>
                </c:pt>
                <c:pt idx="107">
                  <c:v>19.240400000000001</c:v>
                </c:pt>
                <c:pt idx="108">
                  <c:v>19.2972</c:v>
                </c:pt>
                <c:pt idx="109">
                  <c:v>19.3536</c:v>
                </c:pt>
                <c:pt idx="110">
                  <c:v>19.409500000000001</c:v>
                </c:pt>
                <c:pt idx="111">
                  <c:v>19.4649</c:v>
                </c:pt>
                <c:pt idx="112">
                  <c:v>19.5199</c:v>
                </c:pt>
                <c:pt idx="113">
                  <c:v>19.5745</c:v>
                </c:pt>
                <c:pt idx="114">
                  <c:v>19.628599999999999</c:v>
                </c:pt>
                <c:pt idx="115">
                  <c:v>19.682300000000001</c:v>
                </c:pt>
                <c:pt idx="116">
                  <c:v>19.735600000000002</c:v>
                </c:pt>
                <c:pt idx="117">
                  <c:v>19.788399999999999</c:v>
                </c:pt>
                <c:pt idx="118">
                  <c:v>19.840699999999998</c:v>
                </c:pt>
                <c:pt idx="119">
                  <c:v>19.892600000000002</c:v>
                </c:pt>
                <c:pt idx="120">
                  <c:v>19.943999999999999</c:v>
                </c:pt>
                <c:pt idx="121">
                  <c:v>19.995000000000001</c:v>
                </c:pt>
                <c:pt idx="122">
                  <c:v>20.0456</c:v>
                </c:pt>
                <c:pt idx="123">
                  <c:v>20.095700000000001</c:v>
                </c:pt>
                <c:pt idx="124">
                  <c:v>20.145399999999999</c:v>
                </c:pt>
                <c:pt idx="125">
                  <c:v>20.194800000000001</c:v>
                </c:pt>
                <c:pt idx="126">
                  <c:v>20.2437</c:v>
                </c:pt>
                <c:pt idx="127">
                  <c:v>20.292300000000001</c:v>
                </c:pt>
                <c:pt idx="128">
                  <c:v>20.340499999999999</c:v>
                </c:pt>
                <c:pt idx="129">
                  <c:v>20.388300000000001</c:v>
                </c:pt>
                <c:pt idx="130">
                  <c:v>20.4358</c:v>
                </c:pt>
                <c:pt idx="131">
                  <c:v>20.482900000000001</c:v>
                </c:pt>
                <c:pt idx="132">
                  <c:v>20.529499999999999</c:v>
                </c:pt>
                <c:pt idx="133">
                  <c:v>20.575800000000001</c:v>
                </c:pt>
                <c:pt idx="134">
                  <c:v>20.621700000000001</c:v>
                </c:pt>
                <c:pt idx="135">
                  <c:v>20.667100000000001</c:v>
                </c:pt>
                <c:pt idx="136">
                  <c:v>20.7121</c:v>
                </c:pt>
                <c:pt idx="137">
                  <c:v>20.756799999999998</c:v>
                </c:pt>
                <c:pt idx="138">
                  <c:v>20.800999999999998</c:v>
                </c:pt>
                <c:pt idx="139">
                  <c:v>20.844899999999999</c:v>
                </c:pt>
                <c:pt idx="140">
                  <c:v>20.888400000000001</c:v>
                </c:pt>
                <c:pt idx="141">
                  <c:v>20.9316</c:v>
                </c:pt>
                <c:pt idx="142">
                  <c:v>20.974399999999999</c:v>
                </c:pt>
                <c:pt idx="143">
                  <c:v>21.0168</c:v>
                </c:pt>
                <c:pt idx="144">
                  <c:v>21.058800000000002</c:v>
                </c:pt>
                <c:pt idx="145">
                  <c:v>21.1005</c:v>
                </c:pt>
                <c:pt idx="146">
                  <c:v>21.1418</c:v>
                </c:pt>
                <c:pt idx="147">
                  <c:v>21.1828</c:v>
                </c:pt>
                <c:pt idx="148">
                  <c:v>21.223400000000002</c:v>
                </c:pt>
                <c:pt idx="149">
                  <c:v>21.2637</c:v>
                </c:pt>
                <c:pt idx="150">
                  <c:v>21.303699999999999</c:v>
                </c:pt>
                <c:pt idx="151">
                  <c:v>21.343399999999999</c:v>
                </c:pt>
                <c:pt idx="152">
                  <c:v>21.3827</c:v>
                </c:pt>
                <c:pt idx="153">
                  <c:v>21.421600000000002</c:v>
                </c:pt>
                <c:pt idx="154">
                  <c:v>21.4602</c:v>
                </c:pt>
                <c:pt idx="155">
                  <c:v>21.4984</c:v>
                </c:pt>
                <c:pt idx="156">
                  <c:v>21.536200000000001</c:v>
                </c:pt>
                <c:pt idx="157">
                  <c:v>21.573599999999999</c:v>
                </c:pt>
                <c:pt idx="158">
                  <c:v>21.610700000000001</c:v>
                </c:pt>
                <c:pt idx="159">
                  <c:v>21.647400000000001</c:v>
                </c:pt>
                <c:pt idx="160">
                  <c:v>21.683800000000002</c:v>
                </c:pt>
                <c:pt idx="161">
                  <c:v>21.719799999999999</c:v>
                </c:pt>
                <c:pt idx="162">
                  <c:v>21.755600000000001</c:v>
                </c:pt>
                <c:pt idx="163">
                  <c:v>21.790900000000001</c:v>
                </c:pt>
                <c:pt idx="164">
                  <c:v>21.826000000000001</c:v>
                </c:pt>
                <c:pt idx="165">
                  <c:v>21.860800000000001</c:v>
                </c:pt>
                <c:pt idx="166">
                  <c:v>21.895199999999999</c:v>
                </c:pt>
                <c:pt idx="167">
                  <c:v>21.929300000000001</c:v>
                </c:pt>
                <c:pt idx="168">
                  <c:v>21.963000000000001</c:v>
                </c:pt>
                <c:pt idx="169">
                  <c:v>21.996400000000001</c:v>
                </c:pt>
                <c:pt idx="170">
                  <c:v>22.029399999999999</c:v>
                </c:pt>
                <c:pt idx="171">
                  <c:v>22.062100000000001</c:v>
                </c:pt>
                <c:pt idx="172">
                  <c:v>22.0944</c:v>
                </c:pt>
                <c:pt idx="173">
                  <c:v>22.126300000000001</c:v>
                </c:pt>
                <c:pt idx="174">
                  <c:v>22.157800000000002</c:v>
                </c:pt>
                <c:pt idx="175">
                  <c:v>22.189</c:v>
                </c:pt>
                <c:pt idx="176">
                  <c:v>22.2197</c:v>
                </c:pt>
                <c:pt idx="177">
                  <c:v>22.25</c:v>
                </c:pt>
                <c:pt idx="178">
                  <c:v>22.279900000000001</c:v>
                </c:pt>
                <c:pt idx="179">
                  <c:v>22.3094</c:v>
                </c:pt>
                <c:pt idx="180">
                  <c:v>22.3384</c:v>
                </c:pt>
                <c:pt idx="181">
                  <c:v>22.367000000000001</c:v>
                </c:pt>
                <c:pt idx="182">
                  <c:v>22.395299999999999</c:v>
                </c:pt>
                <c:pt idx="183">
                  <c:v>22.422999999999998</c:v>
                </c:pt>
                <c:pt idx="184">
                  <c:v>22.450399999999998</c:v>
                </c:pt>
                <c:pt idx="185">
                  <c:v>22.4773</c:v>
                </c:pt>
                <c:pt idx="186">
                  <c:v>22.503799999999998</c:v>
                </c:pt>
                <c:pt idx="187">
                  <c:v>22.529800000000002</c:v>
                </c:pt>
                <c:pt idx="188">
                  <c:v>22.555299999999999</c:v>
                </c:pt>
                <c:pt idx="189">
                  <c:v>22.580400000000001</c:v>
                </c:pt>
                <c:pt idx="190">
                  <c:v>22.605</c:v>
                </c:pt>
                <c:pt idx="191">
                  <c:v>22.629100000000001</c:v>
                </c:pt>
                <c:pt idx="192">
                  <c:v>22.652699999999999</c:v>
                </c:pt>
                <c:pt idx="193">
                  <c:v>22.675799999999999</c:v>
                </c:pt>
                <c:pt idx="194">
                  <c:v>22.6983</c:v>
                </c:pt>
                <c:pt idx="195">
                  <c:v>22.720300000000002</c:v>
                </c:pt>
                <c:pt idx="196">
                  <c:v>22.741599999999998</c:v>
                </c:pt>
                <c:pt idx="197">
                  <c:v>22.762499999999999</c:v>
                </c:pt>
                <c:pt idx="198">
                  <c:v>22.782699999999998</c:v>
                </c:pt>
                <c:pt idx="199">
                  <c:v>22.802199999999999</c:v>
                </c:pt>
                <c:pt idx="200">
                  <c:v>22.821200000000001</c:v>
                </c:pt>
                <c:pt idx="201">
                  <c:v>22.839500000000001</c:v>
                </c:pt>
                <c:pt idx="202">
                  <c:v>22.857199999999999</c:v>
                </c:pt>
                <c:pt idx="203">
                  <c:v>22.874199999999998</c:v>
                </c:pt>
                <c:pt idx="204">
                  <c:v>22.890499999999999</c:v>
                </c:pt>
                <c:pt idx="205">
                  <c:v>22.906199999999998</c:v>
                </c:pt>
                <c:pt idx="206">
                  <c:v>22.921199999999999</c:v>
                </c:pt>
                <c:pt idx="207">
                  <c:v>22.935400000000001</c:v>
                </c:pt>
                <c:pt idx="208">
                  <c:v>22.949000000000002</c:v>
                </c:pt>
                <c:pt idx="209">
                  <c:v>22.9619</c:v>
                </c:pt>
                <c:pt idx="210">
                  <c:v>22.9741</c:v>
                </c:pt>
                <c:pt idx="211">
                  <c:v>22.985499999999998</c:v>
                </c:pt>
                <c:pt idx="212">
                  <c:v>22.996099999999998</c:v>
                </c:pt>
                <c:pt idx="213">
                  <c:v>23.0059</c:v>
                </c:pt>
                <c:pt idx="214">
                  <c:v>23.014900000000001</c:v>
                </c:pt>
                <c:pt idx="215">
                  <c:v>23.023</c:v>
                </c:pt>
                <c:pt idx="216">
                  <c:v>23.0303</c:v>
                </c:pt>
                <c:pt idx="217">
                  <c:v>23.0367</c:v>
                </c:pt>
                <c:pt idx="218">
                  <c:v>23.042300000000001</c:v>
                </c:pt>
                <c:pt idx="219">
                  <c:v>23.047000000000001</c:v>
                </c:pt>
                <c:pt idx="220">
                  <c:v>23.050799999999999</c:v>
                </c:pt>
                <c:pt idx="221">
                  <c:v>23.053699999999999</c:v>
                </c:pt>
                <c:pt idx="222">
                  <c:v>23.055700000000002</c:v>
                </c:pt>
                <c:pt idx="223">
                  <c:v>23.056699999999999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78-4033-904A-D8F7AB5BE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24256"/>
        <c:axId val="77042432"/>
      </c:scatterChart>
      <c:valAx>
        <c:axId val="7702425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7042432"/>
        <c:crosses val="autoZero"/>
        <c:crossBetween val="midCat"/>
      </c:valAx>
      <c:valAx>
        <c:axId val="7704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024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'&lt;U&gt;'!$C$2:$C$87</c:f>
              <c:numCache>
                <c:formatCode>General</c:formatCode>
                <c:ptCount val="86"/>
                <c:pt idx="0" formatCode="0.00E+00">
                  <c:v>4.3420129462568E-5</c:v>
                </c:pt>
                <c:pt idx="1">
                  <c:v>3.5275487621078101E-4</c:v>
                </c:pt>
                <c:pt idx="2">
                  <c:v>1.3828266988866701E-3</c:v>
                </c:pt>
                <c:pt idx="3">
                  <c:v>3.0764108281005E-3</c:v>
                </c:pt>
                <c:pt idx="4">
                  <c:v>5.9886961211077496E-3</c:v>
                </c:pt>
                <c:pt idx="5">
                  <c:v>1.22675887196237E-2</c:v>
                </c:pt>
                <c:pt idx="6">
                  <c:v>2.7096292719761501E-2</c:v>
                </c:pt>
                <c:pt idx="7">
                  <c:v>5.6832268252037403E-2</c:v>
                </c:pt>
                <c:pt idx="8">
                  <c:v>0.103323880333846</c:v>
                </c:pt>
                <c:pt idx="9">
                  <c:v>0.162753517652163</c:v>
                </c:pt>
                <c:pt idx="10">
                  <c:v>0.22975542080530401</c:v>
                </c:pt>
                <c:pt idx="11">
                  <c:v>0.30080708603054501</c:v>
                </c:pt>
                <c:pt idx="12">
                  <c:v>0.37477364683581899</c:v>
                </c:pt>
                <c:pt idx="13">
                  <c:v>0.451841031928779</c:v>
                </c:pt>
                <c:pt idx="14">
                  <c:v>0.53228113346267403</c:v>
                </c:pt>
                <c:pt idx="15">
                  <c:v>0.61564522533444599</c:v>
                </c:pt>
                <c:pt idx="16">
                  <c:v>0.70043370015628104</c:v>
                </c:pt>
                <c:pt idx="17">
                  <c:v>0.78428500385780298</c:v>
                </c:pt>
                <c:pt idx="18">
                  <c:v>0.86451078768004597</c:v>
                </c:pt>
                <c:pt idx="19">
                  <c:v>0.93874189289635901</c:v>
                </c:pt>
                <c:pt idx="20">
                  <c:v>1.00554571530665</c:v>
                </c:pt>
                <c:pt idx="21">
                  <c:v>1.0645654526597299</c:v>
                </c:pt>
                <c:pt idx="22">
                  <c:v>1.11631657733232</c:v>
                </c:pt>
                <c:pt idx="23">
                  <c:v>1.16213144565699</c:v>
                </c:pt>
                <c:pt idx="24">
                  <c:v>1.2034939932636901</c:v>
                </c:pt>
                <c:pt idx="25">
                  <c:v>1.2417899118445299</c:v>
                </c:pt>
                <c:pt idx="26">
                  <c:v>1.2782064526691099</c:v>
                </c:pt>
                <c:pt idx="27">
                  <c:v>1.3135306976619101</c:v>
                </c:pt>
                <c:pt idx="28">
                  <c:v>1.3483994854032</c:v>
                </c:pt>
                <c:pt idx="29">
                  <c:v>1.3830034461279801</c:v>
                </c:pt>
                <c:pt idx="30">
                  <c:v>1.4176420388685</c:v>
                </c:pt>
                <c:pt idx="31">
                  <c:v>1.4532155932683899</c:v>
                </c:pt>
                <c:pt idx="32">
                  <c:v>1.4917931924283001</c:v>
                </c:pt>
                <c:pt idx="33">
                  <c:v>1.4501741418207501</c:v>
                </c:pt>
                <c:pt idx="34">
                  <c:v>1.40972322807647</c:v>
                </c:pt>
                <c:pt idx="35">
                  <c:v>1.37423836041125</c:v>
                </c:pt>
                <c:pt idx="36">
                  <c:v>1.3420745694602301</c:v>
                </c:pt>
                <c:pt idx="37">
                  <c:v>1.3126917190966101</c:v>
                </c:pt>
                <c:pt idx="38">
                  <c:v>1.2853789794899</c:v>
                </c:pt>
                <c:pt idx="39">
                  <c:v>1.25911044140229</c:v>
                </c:pt>
                <c:pt idx="40">
                  <c:v>1.2340515574905999</c:v>
                </c:pt>
                <c:pt idx="41">
                  <c:v>1.2096210853778699</c:v>
                </c:pt>
                <c:pt idx="42">
                  <c:v>1.18580330192344</c:v>
                </c:pt>
                <c:pt idx="43">
                  <c:v>1.16271032442455</c:v>
                </c:pt>
                <c:pt idx="44">
                  <c:v>1.1397291559260301</c:v>
                </c:pt>
                <c:pt idx="45">
                  <c:v>1.1169982217252199</c:v>
                </c:pt>
                <c:pt idx="46">
                  <c:v>1.0944340761343401</c:v>
                </c:pt>
                <c:pt idx="47">
                  <c:v>1.0720087669033</c:v>
                </c:pt>
                <c:pt idx="48">
                  <c:v>1.0498156052199099</c:v>
                </c:pt>
                <c:pt idx="49">
                  <c:v>1.02799404403776</c:v>
                </c:pt>
                <c:pt idx="50">
                  <c:v>1.0063974368094899</c:v>
                </c:pt>
                <c:pt idx="51">
                  <c:v>0.98468891781521894</c:v>
                </c:pt>
                <c:pt idx="52">
                  <c:v>0.96295645443024103</c:v>
                </c:pt>
                <c:pt idx="53">
                  <c:v>0.941406400030246</c:v>
                </c:pt>
                <c:pt idx="54">
                  <c:v>0.92003433569334403</c:v>
                </c:pt>
                <c:pt idx="55">
                  <c:v>0.89878240437246804</c:v>
                </c:pt>
                <c:pt idx="56">
                  <c:v>0.877735490474151</c:v>
                </c:pt>
                <c:pt idx="57">
                  <c:v>0.85696588961582099</c:v>
                </c:pt>
                <c:pt idx="58">
                  <c:v>0.83629047345311802</c:v>
                </c:pt>
                <c:pt idx="59">
                  <c:v>0.81562214811856304</c:v>
                </c:pt>
                <c:pt idx="60">
                  <c:v>0.79506224051874497</c:v>
                </c:pt>
                <c:pt idx="61">
                  <c:v>0.77449226188764397</c:v>
                </c:pt>
                <c:pt idx="62">
                  <c:v>0.75418330794491295</c:v>
                </c:pt>
                <c:pt idx="63">
                  <c:v>0.73396314350247804</c:v>
                </c:pt>
                <c:pt idx="64">
                  <c:v>0.71388803274021395</c:v>
                </c:pt>
                <c:pt idx="65">
                  <c:v>0.69406182032253105</c:v>
                </c:pt>
                <c:pt idx="66">
                  <c:v>0.67451096839795299</c:v>
                </c:pt>
                <c:pt idx="67">
                  <c:v>0.65547985362354599</c:v>
                </c:pt>
                <c:pt idx="68">
                  <c:v>0.63679834750655495</c:v>
                </c:pt>
                <c:pt idx="69">
                  <c:v>0.61841876679682095</c:v>
                </c:pt>
                <c:pt idx="70">
                  <c:v>0.60052300665120095</c:v>
                </c:pt>
                <c:pt idx="71">
                  <c:v>0.58317180155427095</c:v>
                </c:pt>
                <c:pt idx="72">
                  <c:v>0.56630827073240597</c:v>
                </c:pt>
                <c:pt idx="73">
                  <c:v>0.54998174168576897</c:v>
                </c:pt>
                <c:pt idx="74">
                  <c:v>0.53442811290733505</c:v>
                </c:pt>
                <c:pt idx="75">
                  <c:v>0.51989242903073296</c:v>
                </c:pt>
                <c:pt idx="76">
                  <c:v>0.50649266499385703</c:v>
                </c:pt>
                <c:pt idx="77">
                  <c:v>0.49400993001472598</c:v>
                </c:pt>
                <c:pt idx="78">
                  <c:v>0.48250685974198798</c:v>
                </c:pt>
                <c:pt idx="79">
                  <c:v>0.472062840621219</c:v>
                </c:pt>
                <c:pt idx="80">
                  <c:v>0.46297722891904403</c:v>
                </c:pt>
                <c:pt idx="81">
                  <c:v>0.455431868409505</c:v>
                </c:pt>
                <c:pt idx="82">
                  <c:v>0.449449367530178</c:v>
                </c:pt>
                <c:pt idx="83">
                  <c:v>0.44506461521086699</c:v>
                </c:pt>
                <c:pt idx="84">
                  <c:v>0.44221769909199699</c:v>
                </c:pt>
                <c:pt idx="85">
                  <c:v>0.44071192576666302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6-4386-990C-FB5A2E558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44512"/>
        <c:axId val="76946048"/>
      </c:scatterChart>
      <c:valAx>
        <c:axId val="76944512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76946048"/>
        <c:crosses val="autoZero"/>
        <c:crossBetween val="midCat"/>
      </c:valAx>
      <c:valAx>
        <c:axId val="7694604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694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Rij!$B$2:$B$87</c:f>
              <c:numCache>
                <c:formatCode>General</c:formatCode>
                <c:ptCount val="86"/>
                <c:pt idx="0">
                  <c:v>4.43370793284232E-2</c:v>
                </c:pt>
                <c:pt idx="1">
                  <c:v>0.42197577360524402</c:v>
                </c:pt>
                <c:pt idx="2">
                  <c:v>1.25489156906225</c:v>
                </c:pt>
                <c:pt idx="3">
                  <c:v>2.5719337791227601</c:v>
                </c:pt>
                <c:pt idx="4">
                  <c:v>4.2688460477186299</c:v>
                </c:pt>
                <c:pt idx="5">
                  <c:v>6.08662457275297</c:v>
                </c:pt>
                <c:pt idx="6">
                  <c:v>7.7007058679088098</c:v>
                </c:pt>
                <c:pt idx="7">
                  <c:v>8.8663473979133602</c:v>
                </c:pt>
                <c:pt idx="8">
                  <c:v>9.5008464045662695</c:v>
                </c:pt>
                <c:pt idx="9">
                  <c:v>9.6593397266801801</c:v>
                </c:pt>
                <c:pt idx="10">
                  <c:v>9.4612803958928708</c:v>
                </c:pt>
                <c:pt idx="11">
                  <c:v>9.0305929056830792</c:v>
                </c:pt>
                <c:pt idx="12">
                  <c:v>8.46793300497181</c:v>
                </c:pt>
                <c:pt idx="13">
                  <c:v>7.8454876594317602</c:v>
                </c:pt>
                <c:pt idx="14">
                  <c:v>7.2114772278426198</c:v>
                </c:pt>
                <c:pt idx="15">
                  <c:v>6.5966433675066396</c:v>
                </c:pt>
                <c:pt idx="16">
                  <c:v>6.01961050271162</c:v>
                </c:pt>
                <c:pt idx="17">
                  <c:v>5.4907722822192602</c:v>
                </c:pt>
                <c:pt idx="18">
                  <c:v>5.0151837436411402</c:v>
                </c:pt>
                <c:pt idx="19">
                  <c:v>4.5942670404158203</c:v>
                </c:pt>
                <c:pt idx="20">
                  <c:v>4.2268225207602503</c:v>
                </c:pt>
                <c:pt idx="21">
                  <c:v>3.90987051964734</c:v>
                </c:pt>
                <c:pt idx="22">
                  <c:v>3.6390720762219502</c:v>
                </c:pt>
                <c:pt idx="23">
                  <c:v>3.4091110795014399</c:v>
                </c:pt>
                <c:pt idx="24">
                  <c:v>3.21442570238918</c:v>
                </c:pt>
                <c:pt idx="25">
                  <c:v>3.0498144776126601</c:v>
                </c:pt>
                <c:pt idx="26">
                  <c:v>2.9102102246127699</c:v>
                </c:pt>
                <c:pt idx="27">
                  <c:v>2.7911177313718301</c:v>
                </c:pt>
                <c:pt idx="28">
                  <c:v>2.6888298274497999</c:v>
                </c:pt>
                <c:pt idx="29">
                  <c:v>2.59968809276935</c:v>
                </c:pt>
                <c:pt idx="30">
                  <c:v>2.52066804054131</c:v>
                </c:pt>
                <c:pt idx="31">
                  <c:v>2.4493467955956398</c:v>
                </c:pt>
                <c:pt idx="32">
                  <c:v>2.3844122053121999</c:v>
                </c:pt>
                <c:pt idx="33">
                  <c:v>2.3263703448849999</c:v>
                </c:pt>
                <c:pt idx="34">
                  <c:v>2.2746174598218398</c:v>
                </c:pt>
                <c:pt idx="35">
                  <c:v>2.2257217388743098</c:v>
                </c:pt>
                <c:pt idx="36">
                  <c:v>2.17882924711737</c:v>
                </c:pt>
                <c:pt idx="37">
                  <c:v>2.1331401571713902</c:v>
                </c:pt>
                <c:pt idx="38">
                  <c:v>2.0885116108305799</c:v>
                </c:pt>
                <c:pt idx="39">
                  <c:v>2.04472664219491</c:v>
                </c:pt>
                <c:pt idx="40">
                  <c:v>2.0014791775585001</c:v>
                </c:pt>
                <c:pt idx="41">
                  <c:v>1.9579642109317601</c:v>
                </c:pt>
                <c:pt idx="42">
                  <c:v>1.9141049560290899</c:v>
                </c:pt>
                <c:pt idx="43">
                  <c:v>1.8699989135759301</c:v>
                </c:pt>
                <c:pt idx="44">
                  <c:v>1.8258207277288401</c:v>
                </c:pt>
                <c:pt idx="45">
                  <c:v>1.7817187924491</c:v>
                </c:pt>
                <c:pt idx="46">
                  <c:v>1.7376204286245001</c:v>
                </c:pt>
                <c:pt idx="47">
                  <c:v>1.6937617094400901</c:v>
                </c:pt>
                <c:pt idx="48">
                  <c:v>1.6499485263087901</c:v>
                </c:pt>
                <c:pt idx="49">
                  <c:v>1.6061739148930401</c:v>
                </c:pt>
                <c:pt idx="50">
                  <c:v>1.5624014463503799</c:v>
                </c:pt>
                <c:pt idx="51">
                  <c:v>1.5186695138236099</c:v>
                </c:pt>
                <c:pt idx="52">
                  <c:v>1.47488686663379</c:v>
                </c:pt>
                <c:pt idx="53">
                  <c:v>1.43093127172859</c:v>
                </c:pt>
                <c:pt idx="54">
                  <c:v>1.3868747832155599</c:v>
                </c:pt>
                <c:pt idx="55">
                  <c:v>1.3431648151379201</c:v>
                </c:pt>
                <c:pt idx="56">
                  <c:v>1.2995092224648701</c:v>
                </c:pt>
                <c:pt idx="57">
                  <c:v>1.2560054166354599</c:v>
                </c:pt>
                <c:pt idx="58">
                  <c:v>1.21297795363595</c:v>
                </c:pt>
                <c:pt idx="59">
                  <c:v>1.1704936196775499</c:v>
                </c:pt>
                <c:pt idx="60">
                  <c:v>1.1285317003204201</c:v>
                </c:pt>
                <c:pt idx="61">
                  <c:v>1.0870020163221601</c:v>
                </c:pt>
                <c:pt idx="62">
                  <c:v>1.0458893889984</c:v>
                </c:pt>
                <c:pt idx="63">
                  <c:v>1.0053338193908199</c:v>
                </c:pt>
                <c:pt idx="64">
                  <c:v>0.96504468033702495</c:v>
                </c:pt>
                <c:pt idx="65">
                  <c:v>0.92490241737604395</c:v>
                </c:pt>
                <c:pt idx="66">
                  <c:v>0.88532006929535001</c:v>
                </c:pt>
                <c:pt idx="67">
                  <c:v>0.84651495914049002</c:v>
                </c:pt>
                <c:pt idx="68">
                  <c:v>0.80855101595854995</c:v>
                </c:pt>
                <c:pt idx="69">
                  <c:v>0.77159833030079095</c:v>
                </c:pt>
                <c:pt idx="70">
                  <c:v>0.73575333145611399</c:v>
                </c:pt>
                <c:pt idx="71">
                  <c:v>0.70089396494495504</c:v>
                </c:pt>
                <c:pt idx="72">
                  <c:v>0.66707514189016104</c:v>
                </c:pt>
                <c:pt idx="73">
                  <c:v>0.63457253398570301</c:v>
                </c:pt>
                <c:pt idx="74">
                  <c:v>0.60361275006050097</c:v>
                </c:pt>
                <c:pt idx="75">
                  <c:v>0.57428248718819097</c:v>
                </c:pt>
                <c:pt idx="76">
                  <c:v>0.54678174685686798</c:v>
                </c:pt>
                <c:pt idx="77">
                  <c:v>0.52140124551529698</c:v>
                </c:pt>
                <c:pt idx="78">
                  <c:v>0.49826464479785898</c:v>
                </c:pt>
                <c:pt idx="79">
                  <c:v>0.47751676721066499</c:v>
                </c:pt>
                <c:pt idx="80">
                  <c:v>0.45931931038538498</c:v>
                </c:pt>
                <c:pt idx="81">
                  <c:v>0.44375740888402798</c:v>
                </c:pt>
                <c:pt idx="82">
                  <c:v>0.43097101910507002</c:v>
                </c:pt>
                <c:pt idx="83">
                  <c:v>0.42109612420314002</c:v>
                </c:pt>
                <c:pt idx="84">
                  <c:v>0.41435473475866202</c:v>
                </c:pt>
                <c:pt idx="85">
                  <c:v>0.41087479815218902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F1-4828-996A-737A374F0CD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DNS!$D$155:$D$378</c:f>
              <c:numCache>
                <c:formatCode>0.00E+00</c:formatCode>
                <c:ptCount val="224"/>
                <c:pt idx="0">
                  <c:v>4.1021299999999998E-3</c:v>
                </c:pt>
                <c:pt idx="1">
                  <c:v>3.7274700000000001E-2</c:v>
                </c:pt>
                <c:pt idx="2">
                  <c:v>0.105683</c:v>
                </c:pt>
                <c:pt idx="3">
                  <c:v>0.212148</c:v>
                </c:pt>
                <c:pt idx="4">
                  <c:v>0.35984899999999997</c:v>
                </c:pt>
                <c:pt idx="5">
                  <c:v>0.55200400000000005</c:v>
                </c:pt>
                <c:pt idx="6">
                  <c:v>0.79148399999999997</c:v>
                </c:pt>
                <c:pt idx="7">
                  <c:v>1.0803499999999999</c:v>
                </c:pt>
                <c:pt idx="8">
                  <c:v>1.4193499999999999</c:v>
                </c:pt>
                <c:pt idx="9">
                  <c:v>1.8075000000000001</c:v>
                </c:pt>
                <c:pt idx="10">
                  <c:v>2.2416800000000001</c:v>
                </c:pt>
                <c:pt idx="11">
                  <c:v>2.71644</c:v>
                </c:pt>
                <c:pt idx="12">
                  <c:v>3.2240500000000001</c:v>
                </c:pt>
                <c:pt idx="13">
                  <c:v>3.7546900000000001</c:v>
                </c:pt>
                <c:pt idx="14">
                  <c:v>4.29697</c:v>
                </c:pt>
                <c:pt idx="15">
                  <c:v>4.8385699999999998</c:v>
                </c:pt>
                <c:pt idx="16">
                  <c:v>5.3669500000000001</c:v>
                </c:pt>
                <c:pt idx="17">
                  <c:v>5.87019</c:v>
                </c:pt>
                <c:pt idx="18">
                  <c:v>6.3376200000000003</c:v>
                </c:pt>
                <c:pt idx="19">
                  <c:v>6.7603799999999996</c:v>
                </c:pt>
                <c:pt idx="20">
                  <c:v>7.1317599999999999</c:v>
                </c:pt>
                <c:pt idx="21">
                  <c:v>7.4473799999999999</c:v>
                </c:pt>
                <c:pt idx="22">
                  <c:v>7.7050799999999997</c:v>
                </c:pt>
                <c:pt idx="23">
                  <c:v>7.9047900000000002</c:v>
                </c:pt>
                <c:pt idx="24">
                  <c:v>8.0481499999999997</c:v>
                </c:pt>
                <c:pt idx="25">
                  <c:v>8.1382200000000005</c:v>
                </c:pt>
                <c:pt idx="26">
                  <c:v>8.1790900000000004</c:v>
                </c:pt>
                <c:pt idx="27">
                  <c:v>8.1755499999999994</c:v>
                </c:pt>
                <c:pt idx="28">
                  <c:v>8.1327700000000007</c:v>
                </c:pt>
                <c:pt idx="29">
                  <c:v>8.0560700000000001</c:v>
                </c:pt>
                <c:pt idx="30">
                  <c:v>7.9507399999999997</c:v>
                </c:pt>
                <c:pt idx="31">
                  <c:v>7.82186</c:v>
                </c:pt>
                <c:pt idx="32">
                  <c:v>7.6742100000000004</c:v>
                </c:pt>
                <c:pt idx="33">
                  <c:v>7.5122200000000001</c:v>
                </c:pt>
                <c:pt idx="34">
                  <c:v>7.33988</c:v>
                </c:pt>
                <c:pt idx="35">
                  <c:v>7.1607500000000002</c:v>
                </c:pt>
                <c:pt idx="36">
                  <c:v>6.9779499999999999</c:v>
                </c:pt>
                <c:pt idx="37">
                  <c:v>6.7941700000000003</c:v>
                </c:pt>
                <c:pt idx="38">
                  <c:v>6.6116799999999998</c:v>
                </c:pt>
                <c:pt idx="39">
                  <c:v>6.4323399999999999</c:v>
                </c:pt>
                <c:pt idx="40">
                  <c:v>6.2576799999999997</c:v>
                </c:pt>
                <c:pt idx="41">
                  <c:v>6.0888499999999999</c:v>
                </c:pt>
                <c:pt idx="42">
                  <c:v>5.9267700000000003</c:v>
                </c:pt>
                <c:pt idx="43">
                  <c:v>5.7720599999999997</c:v>
                </c:pt>
                <c:pt idx="44">
                  <c:v>5.6251199999999999</c:v>
                </c:pt>
                <c:pt idx="45">
                  <c:v>5.4861399999999998</c:v>
                </c:pt>
                <c:pt idx="46">
                  <c:v>5.3551900000000003</c:v>
                </c:pt>
                <c:pt idx="47">
                  <c:v>5.2321999999999997</c:v>
                </c:pt>
                <c:pt idx="48">
                  <c:v>5.1170099999999996</c:v>
                </c:pt>
                <c:pt idx="49">
                  <c:v>5.0093899999999998</c:v>
                </c:pt>
                <c:pt idx="50">
                  <c:v>4.9090600000000002</c:v>
                </c:pt>
                <c:pt idx="51">
                  <c:v>4.8157300000000003</c:v>
                </c:pt>
                <c:pt idx="52">
                  <c:v>4.7290400000000004</c:v>
                </c:pt>
                <c:pt idx="53">
                  <c:v>4.6486400000000003</c:v>
                </c:pt>
                <c:pt idx="54">
                  <c:v>4.5741300000000003</c:v>
                </c:pt>
                <c:pt idx="55">
                  <c:v>4.5050699999999999</c:v>
                </c:pt>
                <c:pt idx="56">
                  <c:v>4.4410499999999997</c:v>
                </c:pt>
                <c:pt idx="57">
                  <c:v>4.3816600000000001</c:v>
                </c:pt>
                <c:pt idx="58">
                  <c:v>4.3265200000000004</c:v>
                </c:pt>
                <c:pt idx="59">
                  <c:v>4.2752400000000002</c:v>
                </c:pt>
                <c:pt idx="60">
                  <c:v>4.2274500000000002</c:v>
                </c:pt>
                <c:pt idx="61">
                  <c:v>4.1828099999999999</c:v>
                </c:pt>
                <c:pt idx="62">
                  <c:v>4.141</c:v>
                </c:pt>
                <c:pt idx="63">
                  <c:v>4.1017400000000004</c:v>
                </c:pt>
                <c:pt idx="64">
                  <c:v>4.0647599999999997</c:v>
                </c:pt>
                <c:pt idx="65">
                  <c:v>4.0297900000000002</c:v>
                </c:pt>
                <c:pt idx="66">
                  <c:v>3.9965999999999999</c:v>
                </c:pt>
                <c:pt idx="67">
                  <c:v>3.9649800000000002</c:v>
                </c:pt>
                <c:pt idx="68">
                  <c:v>3.9347099999999999</c:v>
                </c:pt>
                <c:pt idx="69">
                  <c:v>3.9056199999999999</c:v>
                </c:pt>
                <c:pt idx="70">
                  <c:v>3.8775599999999999</c:v>
                </c:pt>
                <c:pt idx="71">
                  <c:v>3.8504</c:v>
                </c:pt>
                <c:pt idx="72">
                  <c:v>3.8240500000000002</c:v>
                </c:pt>
                <c:pt idx="73">
                  <c:v>3.7984300000000002</c:v>
                </c:pt>
                <c:pt idx="74">
                  <c:v>3.77346</c:v>
                </c:pt>
                <c:pt idx="75">
                  <c:v>3.7490600000000001</c:v>
                </c:pt>
                <c:pt idx="76">
                  <c:v>3.7251099999999999</c:v>
                </c:pt>
                <c:pt idx="77">
                  <c:v>3.70153</c:v>
                </c:pt>
                <c:pt idx="78">
                  <c:v>3.6782699999999999</c:v>
                </c:pt>
                <c:pt idx="79">
                  <c:v>3.65523</c:v>
                </c:pt>
                <c:pt idx="80">
                  <c:v>3.6323599999999998</c:v>
                </c:pt>
                <c:pt idx="81">
                  <c:v>3.6095600000000001</c:v>
                </c:pt>
                <c:pt idx="82">
                  <c:v>3.5868000000000002</c:v>
                </c:pt>
                <c:pt idx="83">
                  <c:v>3.5640700000000001</c:v>
                </c:pt>
                <c:pt idx="84">
                  <c:v>3.5413999999999999</c:v>
                </c:pt>
                <c:pt idx="85">
                  <c:v>3.5188299999999999</c:v>
                </c:pt>
                <c:pt idx="86">
                  <c:v>3.4963299999999999</c:v>
                </c:pt>
                <c:pt idx="87">
                  <c:v>3.4738699999999998</c:v>
                </c:pt>
                <c:pt idx="88">
                  <c:v>3.4514</c:v>
                </c:pt>
                <c:pt idx="89">
                  <c:v>3.4288500000000002</c:v>
                </c:pt>
                <c:pt idx="90">
                  <c:v>3.4061900000000001</c:v>
                </c:pt>
                <c:pt idx="91">
                  <c:v>3.3833899999999999</c:v>
                </c:pt>
                <c:pt idx="92">
                  <c:v>3.3604400000000001</c:v>
                </c:pt>
                <c:pt idx="93">
                  <c:v>3.3374000000000001</c:v>
                </c:pt>
                <c:pt idx="94">
                  <c:v>3.3143199999999999</c:v>
                </c:pt>
                <c:pt idx="95">
                  <c:v>3.2912699999999999</c:v>
                </c:pt>
                <c:pt idx="96">
                  <c:v>3.2682699999999998</c:v>
                </c:pt>
                <c:pt idx="97">
                  <c:v>3.2453099999999999</c:v>
                </c:pt>
                <c:pt idx="98">
                  <c:v>3.2223799999999998</c:v>
                </c:pt>
                <c:pt idx="99">
                  <c:v>3.1994099999999999</c:v>
                </c:pt>
                <c:pt idx="100">
                  <c:v>3.1763599999999999</c:v>
                </c:pt>
                <c:pt idx="101">
                  <c:v>3.1532100000000001</c:v>
                </c:pt>
                <c:pt idx="102">
                  <c:v>3.1299800000000002</c:v>
                </c:pt>
                <c:pt idx="103">
                  <c:v>3.1066799999999999</c:v>
                </c:pt>
                <c:pt idx="104">
                  <c:v>3.08331</c:v>
                </c:pt>
                <c:pt idx="105">
                  <c:v>3.05992</c:v>
                </c:pt>
                <c:pt idx="106">
                  <c:v>3.0365000000000002</c:v>
                </c:pt>
                <c:pt idx="107">
                  <c:v>3.0130699999999999</c:v>
                </c:pt>
                <c:pt idx="108">
                  <c:v>2.9895900000000002</c:v>
                </c:pt>
                <c:pt idx="109">
                  <c:v>2.96604</c:v>
                </c:pt>
                <c:pt idx="110">
                  <c:v>2.9423499999999998</c:v>
                </c:pt>
                <c:pt idx="111">
                  <c:v>2.91852</c:v>
                </c:pt>
                <c:pt idx="112">
                  <c:v>2.8946000000000001</c:v>
                </c:pt>
                <c:pt idx="113">
                  <c:v>2.8706</c:v>
                </c:pt>
                <c:pt idx="114">
                  <c:v>2.8465500000000001</c:v>
                </c:pt>
                <c:pt idx="115">
                  <c:v>2.8224499999999999</c:v>
                </c:pt>
                <c:pt idx="116">
                  <c:v>2.7982999999999998</c:v>
                </c:pt>
                <c:pt idx="117">
                  <c:v>2.7740900000000002</c:v>
                </c:pt>
                <c:pt idx="118">
                  <c:v>2.7498300000000002</c:v>
                </c:pt>
                <c:pt idx="119">
                  <c:v>2.7255199999999999</c:v>
                </c:pt>
                <c:pt idx="120">
                  <c:v>2.70112</c:v>
                </c:pt>
                <c:pt idx="121">
                  <c:v>2.6766299999999998</c:v>
                </c:pt>
                <c:pt idx="122">
                  <c:v>2.65205</c:v>
                </c:pt>
                <c:pt idx="123">
                  <c:v>2.6274199999999999</c:v>
                </c:pt>
                <c:pt idx="124">
                  <c:v>2.60276</c:v>
                </c:pt>
                <c:pt idx="125">
                  <c:v>2.5781000000000001</c:v>
                </c:pt>
                <c:pt idx="126">
                  <c:v>2.5534500000000002</c:v>
                </c:pt>
                <c:pt idx="127">
                  <c:v>2.5287999999999999</c:v>
                </c:pt>
                <c:pt idx="128">
                  <c:v>2.50414</c:v>
                </c:pt>
                <c:pt idx="129">
                  <c:v>2.4794700000000001</c:v>
                </c:pt>
                <c:pt idx="130">
                  <c:v>2.4548299999999998</c:v>
                </c:pt>
                <c:pt idx="131">
                  <c:v>2.4302600000000001</c:v>
                </c:pt>
                <c:pt idx="132">
                  <c:v>2.4057599999999999</c:v>
                </c:pt>
                <c:pt idx="133">
                  <c:v>2.3812899999999999</c:v>
                </c:pt>
                <c:pt idx="134">
                  <c:v>2.3568500000000001</c:v>
                </c:pt>
                <c:pt idx="135">
                  <c:v>2.3325300000000002</c:v>
                </c:pt>
                <c:pt idx="136">
                  <c:v>2.3083499999999999</c:v>
                </c:pt>
                <c:pt idx="137">
                  <c:v>2.2842899999999999</c:v>
                </c:pt>
                <c:pt idx="138">
                  <c:v>2.2603</c:v>
                </c:pt>
                <c:pt idx="139">
                  <c:v>2.2363400000000002</c:v>
                </c:pt>
                <c:pt idx="140">
                  <c:v>2.2124000000000001</c:v>
                </c:pt>
                <c:pt idx="141">
                  <c:v>2.18851</c:v>
                </c:pt>
                <c:pt idx="142">
                  <c:v>2.1647099999999999</c:v>
                </c:pt>
                <c:pt idx="143">
                  <c:v>2.1410300000000002</c:v>
                </c:pt>
                <c:pt idx="144">
                  <c:v>2.1174400000000002</c:v>
                </c:pt>
                <c:pt idx="145">
                  <c:v>2.09395</c:v>
                </c:pt>
                <c:pt idx="146">
                  <c:v>2.0705399999999998</c:v>
                </c:pt>
                <c:pt idx="147">
                  <c:v>2.0471599999999999</c:v>
                </c:pt>
                <c:pt idx="148">
                  <c:v>2.0237699999999998</c:v>
                </c:pt>
                <c:pt idx="149">
                  <c:v>2.0003600000000001</c:v>
                </c:pt>
                <c:pt idx="150">
                  <c:v>1.9770000000000001</c:v>
                </c:pt>
                <c:pt idx="151">
                  <c:v>1.9537500000000001</c:v>
                </c:pt>
                <c:pt idx="152">
                  <c:v>1.93065</c:v>
                </c:pt>
                <c:pt idx="153">
                  <c:v>1.90771</c:v>
                </c:pt>
                <c:pt idx="154">
                  <c:v>1.8849400000000001</c:v>
                </c:pt>
                <c:pt idx="155">
                  <c:v>1.86236</c:v>
                </c:pt>
                <c:pt idx="156">
                  <c:v>1.8399700000000001</c:v>
                </c:pt>
                <c:pt idx="157">
                  <c:v>1.81776</c:v>
                </c:pt>
                <c:pt idx="158">
                  <c:v>1.79573</c:v>
                </c:pt>
                <c:pt idx="159">
                  <c:v>1.77386</c:v>
                </c:pt>
                <c:pt idx="160">
                  <c:v>1.7521500000000001</c:v>
                </c:pt>
                <c:pt idx="161">
                  <c:v>1.7305699999999999</c:v>
                </c:pt>
                <c:pt idx="162">
                  <c:v>1.7090700000000001</c:v>
                </c:pt>
                <c:pt idx="163">
                  <c:v>1.6876500000000001</c:v>
                </c:pt>
                <c:pt idx="164">
                  <c:v>1.6662999999999999</c:v>
                </c:pt>
                <c:pt idx="165">
                  <c:v>1.64506</c:v>
                </c:pt>
                <c:pt idx="166">
                  <c:v>1.6239300000000001</c:v>
                </c:pt>
                <c:pt idx="167">
                  <c:v>1.60293</c:v>
                </c:pt>
                <c:pt idx="168">
                  <c:v>1.5820000000000001</c:v>
                </c:pt>
                <c:pt idx="169">
                  <c:v>1.56114</c:v>
                </c:pt>
                <c:pt idx="170">
                  <c:v>1.5403500000000001</c:v>
                </c:pt>
                <c:pt idx="171">
                  <c:v>1.51966</c:v>
                </c:pt>
                <c:pt idx="172">
                  <c:v>1.4990699999999999</c:v>
                </c:pt>
                <c:pt idx="173">
                  <c:v>1.47855</c:v>
                </c:pt>
                <c:pt idx="174">
                  <c:v>1.4580900000000001</c:v>
                </c:pt>
                <c:pt idx="175">
                  <c:v>1.4376800000000001</c:v>
                </c:pt>
                <c:pt idx="176">
                  <c:v>1.41734</c:v>
                </c:pt>
                <c:pt idx="177">
                  <c:v>1.39706</c:v>
                </c:pt>
                <c:pt idx="178">
                  <c:v>1.3768400000000001</c:v>
                </c:pt>
                <c:pt idx="179">
                  <c:v>1.35666</c:v>
                </c:pt>
                <c:pt idx="180">
                  <c:v>1.3364799999999999</c:v>
                </c:pt>
                <c:pt idx="181">
                  <c:v>1.3163199999999999</c:v>
                </c:pt>
                <c:pt idx="182">
                  <c:v>1.2962</c:v>
                </c:pt>
                <c:pt idx="183">
                  <c:v>1.27613</c:v>
                </c:pt>
                <c:pt idx="184">
                  <c:v>1.2561</c:v>
                </c:pt>
                <c:pt idx="185">
                  <c:v>1.2360899999999999</c:v>
                </c:pt>
                <c:pt idx="186">
                  <c:v>1.2161200000000001</c:v>
                </c:pt>
                <c:pt idx="187">
                  <c:v>1.1962200000000001</c:v>
                </c:pt>
                <c:pt idx="188">
                  <c:v>1.17645</c:v>
                </c:pt>
                <c:pt idx="189">
                  <c:v>1.1568499999999999</c:v>
                </c:pt>
                <c:pt idx="190">
                  <c:v>1.1374299999999999</c:v>
                </c:pt>
                <c:pt idx="191">
                  <c:v>1.11819</c:v>
                </c:pt>
                <c:pt idx="192">
                  <c:v>1.0991200000000001</c:v>
                </c:pt>
                <c:pt idx="193">
                  <c:v>1.08023</c:v>
                </c:pt>
                <c:pt idx="194">
                  <c:v>1.06155</c:v>
                </c:pt>
                <c:pt idx="195">
                  <c:v>1.0431299999999999</c:v>
                </c:pt>
                <c:pt idx="196">
                  <c:v>1.02505</c:v>
                </c:pt>
                <c:pt idx="197">
                  <c:v>1.00732</c:v>
                </c:pt>
                <c:pt idx="198">
                  <c:v>0.989923</c:v>
                </c:pt>
                <c:pt idx="199">
                  <c:v>0.97286399999999995</c:v>
                </c:pt>
                <c:pt idx="200">
                  <c:v>0.95613700000000001</c:v>
                </c:pt>
                <c:pt idx="201">
                  <c:v>0.93973899999999999</c:v>
                </c:pt>
                <c:pt idx="202">
                  <c:v>0.92369699999999999</c:v>
                </c:pt>
                <c:pt idx="203">
                  <c:v>0.90807700000000002</c:v>
                </c:pt>
                <c:pt idx="204">
                  <c:v>0.89295400000000003</c:v>
                </c:pt>
                <c:pt idx="205">
                  <c:v>0.87837399999999999</c:v>
                </c:pt>
                <c:pt idx="206">
                  <c:v>0.86435099999999998</c:v>
                </c:pt>
                <c:pt idx="207">
                  <c:v>0.85089599999999999</c:v>
                </c:pt>
                <c:pt idx="208">
                  <c:v>0.83802900000000002</c:v>
                </c:pt>
                <c:pt idx="209">
                  <c:v>0.82578700000000005</c:v>
                </c:pt>
                <c:pt idx="210">
                  <c:v>0.81420599999999999</c:v>
                </c:pt>
                <c:pt idx="211">
                  <c:v>0.80330199999999996</c:v>
                </c:pt>
                <c:pt idx="212">
                  <c:v>0.79309200000000002</c:v>
                </c:pt>
                <c:pt idx="213">
                  <c:v>0.78359299999999998</c:v>
                </c:pt>
                <c:pt idx="214">
                  <c:v>0.77483199999999997</c:v>
                </c:pt>
                <c:pt idx="215">
                  <c:v>0.76683900000000005</c:v>
                </c:pt>
                <c:pt idx="216">
                  <c:v>0.75965199999999999</c:v>
                </c:pt>
                <c:pt idx="217">
                  <c:v>0.753305</c:v>
                </c:pt>
                <c:pt idx="218">
                  <c:v>0.74782400000000004</c:v>
                </c:pt>
                <c:pt idx="219">
                  <c:v>0.74322900000000003</c:v>
                </c:pt>
                <c:pt idx="220">
                  <c:v>0.739541</c:v>
                </c:pt>
                <c:pt idx="221">
                  <c:v>0.73677599999999999</c:v>
                </c:pt>
                <c:pt idx="222">
                  <c:v>0.73493299999999995</c:v>
                </c:pt>
                <c:pt idx="223">
                  <c:v>0.73401099999999997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F1-4828-996A-737A374F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99296"/>
        <c:axId val="78600832"/>
      </c:scatterChart>
      <c:valAx>
        <c:axId val="7859929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8600832"/>
        <c:crosses val="autoZero"/>
        <c:crossBetween val="midCat"/>
      </c:valAx>
      <c:valAx>
        <c:axId val="7860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599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Rij!$C$2:$C$87</c:f>
              <c:numCache>
                <c:formatCode>General</c:formatCode>
                <c:ptCount val="86"/>
                <c:pt idx="0" formatCode="0.00E+00">
                  <c:v>8.0411964352718096E-6</c:v>
                </c:pt>
                <c:pt idx="1">
                  <c:v>1.4406821495945E-4</c:v>
                </c:pt>
                <c:pt idx="2">
                  <c:v>1.01593878110868E-3</c:v>
                </c:pt>
                <c:pt idx="3">
                  <c:v>3.6811364851809399E-3</c:v>
                </c:pt>
                <c:pt idx="4">
                  <c:v>9.5122310707461792E-3</c:v>
                </c:pt>
                <c:pt idx="5">
                  <c:v>1.99994121968688E-2</c:v>
                </c:pt>
                <c:pt idx="6">
                  <c:v>3.6530483855687003E-2</c:v>
                </c:pt>
                <c:pt idx="7">
                  <c:v>6.0230107735467803E-2</c:v>
                </c:pt>
                <c:pt idx="8">
                  <c:v>9.1979434365554794E-2</c:v>
                </c:pt>
                <c:pt idx="9">
                  <c:v>0.13242240268890901</c:v>
                </c:pt>
                <c:pt idx="10">
                  <c:v>0.18184936642838501</c:v>
                </c:pt>
                <c:pt idx="11">
                  <c:v>0.240104777551639</c:v>
                </c:pt>
                <c:pt idx="12">
                  <c:v>0.30656317381568499</c:v>
                </c:pt>
                <c:pt idx="13">
                  <c:v>0.380141131980828</c:v>
                </c:pt>
                <c:pt idx="14">
                  <c:v>0.45933346227639599</c:v>
                </c:pt>
                <c:pt idx="15">
                  <c:v>0.54227068650697297</c:v>
                </c:pt>
                <c:pt idx="16">
                  <c:v>0.62680176188218595</c:v>
                </c:pt>
                <c:pt idx="17">
                  <c:v>0.71060729614478302</c:v>
                </c:pt>
                <c:pt idx="18">
                  <c:v>0.79134383435847599</c:v>
                </c:pt>
                <c:pt idx="19">
                  <c:v>0.86683118173027496</c:v>
                </c:pt>
                <c:pt idx="20">
                  <c:v>0.93525115508927703</c:v>
                </c:pt>
                <c:pt idx="21">
                  <c:v>0.99531347697813399</c:v>
                </c:pt>
                <c:pt idx="22">
                  <c:v>1.0463830533857601</c:v>
                </c:pt>
                <c:pt idx="23">
                  <c:v>1.0884385448676801</c:v>
                </c:pt>
                <c:pt idx="24">
                  <c:v>1.1219747765341599</c:v>
                </c:pt>
                <c:pt idx="25">
                  <c:v>1.14780398657145</c:v>
                </c:pt>
                <c:pt idx="26">
                  <c:v>1.1669598433847701</c:v>
                </c:pt>
                <c:pt idx="27">
                  <c:v>1.18035137159479</c:v>
                </c:pt>
                <c:pt idx="28">
                  <c:v>1.1888911672772999</c:v>
                </c:pt>
                <c:pt idx="29">
                  <c:v>1.19323352101481</c:v>
                </c:pt>
                <c:pt idx="30">
                  <c:v>1.1940414734548801</c:v>
                </c:pt>
                <c:pt idx="31">
                  <c:v>1.19203297636797</c:v>
                </c:pt>
                <c:pt idx="32">
                  <c:v>1.1867570442556801</c:v>
                </c:pt>
                <c:pt idx="33">
                  <c:v>1.17613964382919</c:v>
                </c:pt>
                <c:pt idx="34">
                  <c:v>1.1637847304748901</c:v>
                </c:pt>
                <c:pt idx="35">
                  <c:v>1.1509771351810101</c:v>
                </c:pt>
                <c:pt idx="36">
                  <c:v>1.1375413209272001</c:v>
                </c:pt>
                <c:pt idx="37">
                  <c:v>1.12348478776928</c:v>
                </c:pt>
                <c:pt idx="38">
                  <c:v>1.10871199928211</c:v>
                </c:pt>
                <c:pt idx="39">
                  <c:v>1.09306036497024</c:v>
                </c:pt>
                <c:pt idx="40">
                  <c:v>1.07660363538242</c:v>
                </c:pt>
                <c:pt idx="41">
                  <c:v>1.0593563641983501</c:v>
                </c:pt>
                <c:pt idx="42">
                  <c:v>1.04155257101637</c:v>
                </c:pt>
                <c:pt idx="43">
                  <c:v>1.0232168988770001</c:v>
                </c:pt>
                <c:pt idx="44">
                  <c:v>1.0042399719664199</c:v>
                </c:pt>
                <c:pt idx="45">
                  <c:v>0.98474089831371603</c:v>
                </c:pt>
                <c:pt idx="46">
                  <c:v>0.96470083849298305</c:v>
                </c:pt>
                <c:pt idx="47">
                  <c:v>0.944301490284708</c:v>
                </c:pt>
                <c:pt idx="48">
                  <c:v>0.92362615788013802</c:v>
                </c:pt>
                <c:pt idx="49">
                  <c:v>0.90273350243002204</c:v>
                </c:pt>
                <c:pt idx="50">
                  <c:v>0.88165227414827396</c:v>
                </c:pt>
                <c:pt idx="51">
                  <c:v>0.86034309774192497</c:v>
                </c:pt>
                <c:pt idx="52">
                  <c:v>0.83887633087732205</c:v>
                </c:pt>
                <c:pt idx="53">
                  <c:v>0.81734518853373805</c:v>
                </c:pt>
                <c:pt idx="54">
                  <c:v>0.79583851065789502</c:v>
                </c:pt>
                <c:pt idx="55">
                  <c:v>0.77436799376539101</c:v>
                </c:pt>
                <c:pt idx="56">
                  <c:v>0.75301828134315096</c:v>
                </c:pt>
                <c:pt idx="57">
                  <c:v>0.73174495341781498</c:v>
                </c:pt>
                <c:pt idx="58">
                  <c:v>0.71052452767180796</c:v>
                </c:pt>
                <c:pt idx="59">
                  <c:v>0.68938611146455697</c:v>
                </c:pt>
                <c:pt idx="60">
                  <c:v>0.66834113345252599</c:v>
                </c:pt>
                <c:pt idx="61">
                  <c:v>0.64745276374858296</c:v>
                </c:pt>
                <c:pt idx="62">
                  <c:v>0.62675243115800205</c:v>
                </c:pt>
                <c:pt idx="63">
                  <c:v>0.60627321628405695</c:v>
                </c:pt>
                <c:pt idx="64">
                  <c:v>0.58605498549479995</c:v>
                </c:pt>
                <c:pt idx="65">
                  <c:v>0.56617885546520197</c:v>
                </c:pt>
                <c:pt idx="66">
                  <c:v>0.54670223733671197</c:v>
                </c:pt>
                <c:pt idx="67">
                  <c:v>0.52771848001817001</c:v>
                </c:pt>
                <c:pt idx="68">
                  <c:v>0.50923454784710798</c:v>
                </c:pt>
                <c:pt idx="69">
                  <c:v>0.491245172927188</c:v>
                </c:pt>
                <c:pt idx="70">
                  <c:v>0.47378642695536899</c:v>
                </c:pt>
                <c:pt idx="71">
                  <c:v>0.45693313191693102</c:v>
                </c:pt>
                <c:pt idx="72">
                  <c:v>0.44072506489354601</c:v>
                </c:pt>
                <c:pt idx="73">
                  <c:v>0.42523722644324902</c:v>
                </c:pt>
                <c:pt idx="74">
                  <c:v>0.41058457277850502</c:v>
                </c:pt>
                <c:pt idx="75">
                  <c:v>0.39688585478287097</c:v>
                </c:pt>
                <c:pt idx="76">
                  <c:v>0.38421053725890902</c:v>
                </c:pt>
                <c:pt idx="77">
                  <c:v>0.37258524986904001</c:v>
                </c:pt>
                <c:pt idx="78">
                  <c:v>0.36206805108095702</c:v>
                </c:pt>
                <c:pt idx="79">
                  <c:v>0.35270693232316602</c:v>
                </c:pt>
                <c:pt idx="80">
                  <c:v>0.34458173793974201</c:v>
                </c:pt>
                <c:pt idx="81">
                  <c:v>0.33776909796512999</c:v>
                </c:pt>
                <c:pt idx="82">
                  <c:v>0.33229977155676199</c:v>
                </c:pt>
                <c:pt idx="83">
                  <c:v>0.32819775442889199</c:v>
                </c:pt>
                <c:pt idx="84">
                  <c:v>0.32546936359280598</c:v>
                </c:pt>
                <c:pt idx="85">
                  <c:v>0.32410225520666103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A-4F42-B13A-46E0A1B79EFF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DNS!$B$381:$B$604</c:f>
              <c:numCache>
                <c:formatCode>0.00E+00</c:formatCode>
                <c:ptCount val="224"/>
                <c:pt idx="0">
                  <c:v>0.30789100000000003</c:v>
                </c:pt>
                <c:pt idx="1">
                  <c:v>0.62376399999999999</c:v>
                </c:pt>
                <c:pt idx="2">
                  <c:v>0.94890399999999997</c:v>
                </c:pt>
                <c:pt idx="3">
                  <c:v>1.2846200000000001</c:v>
                </c:pt>
                <c:pt idx="4">
                  <c:v>1.63222</c:v>
                </c:pt>
                <c:pt idx="5">
                  <c:v>1.99305</c:v>
                </c:pt>
                <c:pt idx="6">
                  <c:v>2.3684599999999998</c:v>
                </c:pt>
                <c:pt idx="7">
                  <c:v>2.7598099999999999</c:v>
                </c:pt>
                <c:pt idx="8">
                  <c:v>3.1684600000000001</c:v>
                </c:pt>
                <c:pt idx="9">
                  <c:v>3.59579</c:v>
                </c:pt>
                <c:pt idx="10">
                  <c:v>4.0431600000000003</c:v>
                </c:pt>
                <c:pt idx="11">
                  <c:v>4.5119699999999998</c:v>
                </c:pt>
                <c:pt idx="12">
                  <c:v>5.0035800000000004</c:v>
                </c:pt>
                <c:pt idx="13">
                  <c:v>5.51938</c:v>
                </c:pt>
                <c:pt idx="14">
                  <c:v>6.0607199999999999</c:v>
                </c:pt>
                <c:pt idx="15">
                  <c:v>6.6289600000000002</c:v>
                </c:pt>
                <c:pt idx="16">
                  <c:v>7.22546</c:v>
                </c:pt>
                <c:pt idx="17">
                  <c:v>7.8515600000000001</c:v>
                </c:pt>
                <c:pt idx="18">
                  <c:v>8.5085899999999999</c:v>
                </c:pt>
                <c:pt idx="19">
                  <c:v>9.1978399999999993</c:v>
                </c:pt>
                <c:pt idx="20">
                  <c:v>9.9206299999999992</c:v>
                </c:pt>
                <c:pt idx="21">
                  <c:v>10.6782</c:v>
                </c:pt>
                <c:pt idx="22">
                  <c:v>11.4719</c:v>
                </c:pt>
                <c:pt idx="23">
                  <c:v>12.3028</c:v>
                </c:pt>
                <c:pt idx="24">
                  <c:v>13.1723</c:v>
                </c:pt>
                <c:pt idx="25">
                  <c:v>14.0815</c:v>
                </c:pt>
                <c:pt idx="26">
                  <c:v>15.031499999999999</c:v>
                </c:pt>
                <c:pt idx="27">
                  <c:v>16.023599999999998</c:v>
                </c:pt>
                <c:pt idx="28">
                  <c:v>17.058800000000002</c:v>
                </c:pt>
                <c:pt idx="29">
                  <c:v>18.138200000000001</c:v>
                </c:pt>
                <c:pt idx="30">
                  <c:v>19.262899999999998</c:v>
                </c:pt>
                <c:pt idx="31">
                  <c:v>20.433900000000001</c:v>
                </c:pt>
                <c:pt idx="32">
                  <c:v>21.652200000000001</c:v>
                </c:pt>
                <c:pt idx="33">
                  <c:v>22.918700000000001</c:v>
                </c:pt>
                <c:pt idx="34">
                  <c:v>24.234500000000001</c:v>
                </c:pt>
                <c:pt idx="35">
                  <c:v>25.6004</c:v>
                </c:pt>
                <c:pt idx="36">
                  <c:v>27.017299999999999</c:v>
                </c:pt>
                <c:pt idx="37">
                  <c:v>28.4861</c:v>
                </c:pt>
                <c:pt idx="38">
                  <c:v>30.007400000000001</c:v>
                </c:pt>
                <c:pt idx="39">
                  <c:v>31.5822</c:v>
                </c:pt>
                <c:pt idx="40">
                  <c:v>33.211199999999998</c:v>
                </c:pt>
                <c:pt idx="41">
                  <c:v>34.895000000000003</c:v>
                </c:pt>
                <c:pt idx="42">
                  <c:v>36.634399999999999</c:v>
                </c:pt>
                <c:pt idx="43">
                  <c:v>38.43</c:v>
                </c:pt>
                <c:pt idx="44">
                  <c:v>40.282299999999999</c:v>
                </c:pt>
                <c:pt idx="45">
                  <c:v>42.192</c:v>
                </c:pt>
                <c:pt idx="46">
                  <c:v>44.159599999999998</c:v>
                </c:pt>
                <c:pt idx="47">
                  <c:v>46.185600000000001</c:v>
                </c:pt>
                <c:pt idx="48">
                  <c:v>48.270400000000002</c:v>
                </c:pt>
                <c:pt idx="49">
                  <c:v>50.414499999999997</c:v>
                </c:pt>
                <c:pt idx="50">
                  <c:v>52.618299999999998</c:v>
                </c:pt>
                <c:pt idx="51">
                  <c:v>54.882100000000001</c:v>
                </c:pt>
                <c:pt idx="52">
                  <c:v>57.206200000000003</c:v>
                </c:pt>
                <c:pt idx="53">
                  <c:v>59.591000000000001</c:v>
                </c:pt>
                <c:pt idx="54">
                  <c:v>62.036700000000003</c:v>
                </c:pt>
                <c:pt idx="55">
                  <c:v>64.543499999999995</c:v>
                </c:pt>
                <c:pt idx="56">
                  <c:v>67.111699999999999</c:v>
                </c:pt>
                <c:pt idx="57">
                  <c:v>69.741200000000006</c:v>
                </c:pt>
                <c:pt idx="58">
                  <c:v>72.432400000000001</c:v>
                </c:pt>
                <c:pt idx="59">
                  <c:v>75.185199999999995</c:v>
                </c:pt>
                <c:pt idx="60">
                  <c:v>77.999700000000004</c:v>
                </c:pt>
                <c:pt idx="61">
                  <c:v>80.876000000000005</c:v>
                </c:pt>
                <c:pt idx="62">
                  <c:v>83.813900000000004</c:v>
                </c:pt>
                <c:pt idx="63">
                  <c:v>86.813599999999994</c:v>
                </c:pt>
                <c:pt idx="64">
                  <c:v>89.874899999999997</c:v>
                </c:pt>
                <c:pt idx="65">
                  <c:v>92.997600000000006</c:v>
                </c:pt>
                <c:pt idx="66">
                  <c:v>96.181799999999996</c:v>
                </c:pt>
                <c:pt idx="67">
                  <c:v>99.427099999999996</c:v>
                </c:pt>
                <c:pt idx="68">
                  <c:v>102.733</c:v>
                </c:pt>
                <c:pt idx="69">
                  <c:v>106.101</c:v>
                </c:pt>
                <c:pt idx="70">
                  <c:v>109.52800000000001</c:v>
                </c:pt>
                <c:pt idx="71">
                  <c:v>113.01600000000001</c:v>
                </c:pt>
                <c:pt idx="72">
                  <c:v>116.56399999999999</c:v>
                </c:pt>
                <c:pt idx="73">
                  <c:v>120.172</c:v>
                </c:pt>
                <c:pt idx="74">
                  <c:v>123.839</c:v>
                </c:pt>
                <c:pt idx="75">
                  <c:v>127.56399999999999</c:v>
                </c:pt>
                <c:pt idx="76">
                  <c:v>131.34899999999999</c:v>
                </c:pt>
                <c:pt idx="77">
                  <c:v>135.191</c:v>
                </c:pt>
                <c:pt idx="78">
                  <c:v>139.09100000000001</c:v>
                </c:pt>
                <c:pt idx="79">
                  <c:v>143.048</c:v>
                </c:pt>
                <c:pt idx="80">
                  <c:v>147.06200000000001</c:v>
                </c:pt>
                <c:pt idx="81">
                  <c:v>151.13200000000001</c:v>
                </c:pt>
                <c:pt idx="82">
                  <c:v>155.25800000000001</c:v>
                </c:pt>
                <c:pt idx="83">
                  <c:v>159.43899999999999</c:v>
                </c:pt>
                <c:pt idx="84">
                  <c:v>163.67500000000001</c:v>
                </c:pt>
                <c:pt idx="85">
                  <c:v>167.964</c:v>
                </c:pt>
                <c:pt idx="86">
                  <c:v>172.30699999999999</c:v>
                </c:pt>
                <c:pt idx="87">
                  <c:v>176.703</c:v>
                </c:pt>
                <c:pt idx="88">
                  <c:v>181.15</c:v>
                </c:pt>
                <c:pt idx="89">
                  <c:v>185.65</c:v>
                </c:pt>
                <c:pt idx="90">
                  <c:v>190.2</c:v>
                </c:pt>
                <c:pt idx="91">
                  <c:v>194.8</c:v>
                </c:pt>
                <c:pt idx="92">
                  <c:v>199.45</c:v>
                </c:pt>
                <c:pt idx="93">
                  <c:v>204.149</c:v>
                </c:pt>
                <c:pt idx="94">
                  <c:v>208.89599999999999</c:v>
                </c:pt>
                <c:pt idx="95">
                  <c:v>213.691</c:v>
                </c:pt>
                <c:pt idx="96">
                  <c:v>218.53200000000001</c:v>
                </c:pt>
                <c:pt idx="97">
                  <c:v>223.41900000000001</c:v>
                </c:pt>
                <c:pt idx="98">
                  <c:v>228.352</c:v>
                </c:pt>
                <c:pt idx="99">
                  <c:v>233.32900000000001</c:v>
                </c:pt>
                <c:pt idx="100">
                  <c:v>238.35</c:v>
                </c:pt>
                <c:pt idx="101">
                  <c:v>243.41499999999999</c:v>
                </c:pt>
                <c:pt idx="102">
                  <c:v>248.52099999999999</c:v>
                </c:pt>
                <c:pt idx="103">
                  <c:v>253.67</c:v>
                </c:pt>
                <c:pt idx="104">
                  <c:v>258.85899999999998</c:v>
                </c:pt>
                <c:pt idx="105">
                  <c:v>264.08800000000002</c:v>
                </c:pt>
                <c:pt idx="106">
                  <c:v>269.35700000000003</c:v>
                </c:pt>
                <c:pt idx="107">
                  <c:v>274.66399999999999</c:v>
                </c:pt>
                <c:pt idx="108">
                  <c:v>280.00900000000001</c:v>
                </c:pt>
                <c:pt idx="109">
                  <c:v>285.392</c:v>
                </c:pt>
                <c:pt idx="110">
                  <c:v>290.81</c:v>
                </c:pt>
                <c:pt idx="111">
                  <c:v>296.26499999999999</c:v>
                </c:pt>
                <c:pt idx="112">
                  <c:v>301.75400000000002</c:v>
                </c:pt>
                <c:pt idx="113">
                  <c:v>307.27800000000002</c:v>
                </c:pt>
                <c:pt idx="114">
                  <c:v>312.83499999999998</c:v>
                </c:pt>
                <c:pt idx="115">
                  <c:v>318.42399999999998</c:v>
                </c:pt>
                <c:pt idx="116">
                  <c:v>324.04599999999999</c:v>
                </c:pt>
                <c:pt idx="117">
                  <c:v>329.69900000000001</c:v>
                </c:pt>
                <c:pt idx="118">
                  <c:v>335.38200000000001</c:v>
                </c:pt>
                <c:pt idx="119">
                  <c:v>341.096</c:v>
                </c:pt>
                <c:pt idx="120">
                  <c:v>346.83800000000002</c:v>
                </c:pt>
                <c:pt idx="121">
                  <c:v>352.60899999999998</c:v>
                </c:pt>
                <c:pt idx="122">
                  <c:v>358.40800000000002</c:v>
                </c:pt>
                <c:pt idx="123">
                  <c:v>364.233</c:v>
                </c:pt>
                <c:pt idx="124">
                  <c:v>370.08499999999998</c:v>
                </c:pt>
                <c:pt idx="125">
                  <c:v>375.96300000000002</c:v>
                </c:pt>
                <c:pt idx="126">
                  <c:v>381.86599999999999</c:v>
                </c:pt>
                <c:pt idx="127">
                  <c:v>387.79300000000001</c:v>
                </c:pt>
                <c:pt idx="128">
                  <c:v>393.74400000000003</c:v>
                </c:pt>
                <c:pt idx="129">
                  <c:v>399.71800000000002</c:v>
                </c:pt>
                <c:pt idx="130">
                  <c:v>405.71499999999997</c:v>
                </c:pt>
                <c:pt idx="131">
                  <c:v>411.73399999999998</c:v>
                </c:pt>
                <c:pt idx="132">
                  <c:v>417.774</c:v>
                </c:pt>
                <c:pt idx="133">
                  <c:v>423.83499999999998</c:v>
                </c:pt>
                <c:pt idx="134">
                  <c:v>429.916</c:v>
                </c:pt>
                <c:pt idx="135">
                  <c:v>436.01600000000002</c:v>
                </c:pt>
                <c:pt idx="136">
                  <c:v>442.13600000000002</c:v>
                </c:pt>
                <c:pt idx="137">
                  <c:v>448.274</c:v>
                </c:pt>
                <c:pt idx="138">
                  <c:v>454.43</c:v>
                </c:pt>
                <c:pt idx="139">
                  <c:v>460.60399999999998</c:v>
                </c:pt>
                <c:pt idx="140">
                  <c:v>466.79500000000002</c:v>
                </c:pt>
                <c:pt idx="141">
                  <c:v>473.00200000000001</c:v>
                </c:pt>
                <c:pt idx="142">
                  <c:v>479.22500000000002</c:v>
                </c:pt>
                <c:pt idx="143">
                  <c:v>485.464</c:v>
                </c:pt>
                <c:pt idx="144">
                  <c:v>491.71699999999998</c:v>
                </c:pt>
                <c:pt idx="145">
                  <c:v>497.98599999999999</c:v>
                </c:pt>
                <c:pt idx="146">
                  <c:v>504.26900000000001</c:v>
                </c:pt>
                <c:pt idx="147">
                  <c:v>510.565</c:v>
                </c:pt>
                <c:pt idx="148">
                  <c:v>516.875</c:v>
                </c:pt>
                <c:pt idx="149">
                  <c:v>523.19799999999998</c:v>
                </c:pt>
                <c:pt idx="150">
                  <c:v>529.53399999999999</c:v>
                </c:pt>
                <c:pt idx="151">
                  <c:v>535.88199999999995</c:v>
                </c:pt>
                <c:pt idx="152">
                  <c:v>542.24199999999996</c:v>
                </c:pt>
                <c:pt idx="153">
                  <c:v>548.61300000000006</c:v>
                </c:pt>
                <c:pt idx="154">
                  <c:v>554.99599999999998</c:v>
                </c:pt>
                <c:pt idx="155">
                  <c:v>561.39</c:v>
                </c:pt>
                <c:pt idx="156">
                  <c:v>567.79499999999996</c:v>
                </c:pt>
                <c:pt idx="157">
                  <c:v>574.21</c:v>
                </c:pt>
                <c:pt idx="158">
                  <c:v>580.63499999999999</c:v>
                </c:pt>
                <c:pt idx="159">
                  <c:v>587.07000000000005</c:v>
                </c:pt>
                <c:pt idx="160">
                  <c:v>593.51499999999999</c:v>
                </c:pt>
                <c:pt idx="161">
                  <c:v>599.97</c:v>
                </c:pt>
                <c:pt idx="162">
                  <c:v>606.43299999999999</c:v>
                </c:pt>
                <c:pt idx="163">
                  <c:v>612.90599999999995</c:v>
                </c:pt>
                <c:pt idx="164">
                  <c:v>619.38800000000003</c:v>
                </c:pt>
                <c:pt idx="165">
                  <c:v>625.87800000000004</c:v>
                </c:pt>
                <c:pt idx="166">
                  <c:v>632.37699999999995</c:v>
                </c:pt>
                <c:pt idx="167">
                  <c:v>638.88499999999999</c:v>
                </c:pt>
                <c:pt idx="168">
                  <c:v>645.40099999999995</c:v>
                </c:pt>
                <c:pt idx="169">
                  <c:v>651.92499999999995</c:v>
                </c:pt>
                <c:pt idx="170">
                  <c:v>658.45699999999999</c:v>
                </c:pt>
                <c:pt idx="171">
                  <c:v>664.99800000000005</c:v>
                </c:pt>
                <c:pt idx="172">
                  <c:v>671.54600000000005</c:v>
                </c:pt>
                <c:pt idx="173">
                  <c:v>678.10199999999998</c:v>
                </c:pt>
                <c:pt idx="174">
                  <c:v>684.66700000000003</c:v>
                </c:pt>
                <c:pt idx="175">
                  <c:v>691.23900000000003</c:v>
                </c:pt>
                <c:pt idx="176">
                  <c:v>697.81899999999996</c:v>
                </c:pt>
                <c:pt idx="177">
                  <c:v>704.40700000000004</c:v>
                </c:pt>
                <c:pt idx="178">
                  <c:v>711.00300000000004</c:v>
                </c:pt>
                <c:pt idx="179">
                  <c:v>717.60799999999995</c:v>
                </c:pt>
                <c:pt idx="180">
                  <c:v>724.22</c:v>
                </c:pt>
                <c:pt idx="181">
                  <c:v>730.84</c:v>
                </c:pt>
                <c:pt idx="182">
                  <c:v>737.46900000000005</c:v>
                </c:pt>
                <c:pt idx="183">
                  <c:v>744.10599999999999</c:v>
                </c:pt>
                <c:pt idx="184">
                  <c:v>750.75099999999998</c:v>
                </c:pt>
                <c:pt idx="185">
                  <c:v>757.40599999999995</c:v>
                </c:pt>
                <c:pt idx="186">
                  <c:v>764.06899999999996</c:v>
                </c:pt>
                <c:pt idx="187">
                  <c:v>770.74</c:v>
                </c:pt>
                <c:pt idx="188">
                  <c:v>777.42100000000005</c:v>
                </c:pt>
                <c:pt idx="189">
                  <c:v>784.11199999999997</c:v>
                </c:pt>
                <c:pt idx="190">
                  <c:v>790.81200000000001</c:v>
                </c:pt>
                <c:pt idx="191">
                  <c:v>797.52099999999996</c:v>
                </c:pt>
                <c:pt idx="192">
                  <c:v>804.24099999999999</c:v>
                </c:pt>
                <c:pt idx="193">
                  <c:v>810.97199999999998</c:v>
                </c:pt>
                <c:pt idx="194">
                  <c:v>817.71199999999999</c:v>
                </c:pt>
                <c:pt idx="195">
                  <c:v>824.46400000000006</c:v>
                </c:pt>
                <c:pt idx="196">
                  <c:v>831.22699999999998</c:v>
                </c:pt>
                <c:pt idx="197">
                  <c:v>838.00199999999995</c:v>
                </c:pt>
                <c:pt idx="198">
                  <c:v>844.78899999999999</c:v>
                </c:pt>
                <c:pt idx="199">
                  <c:v>851.58900000000006</c:v>
                </c:pt>
                <c:pt idx="200">
                  <c:v>858.40099999999995</c:v>
                </c:pt>
                <c:pt idx="201">
                  <c:v>865.226</c:v>
                </c:pt>
                <c:pt idx="202">
                  <c:v>872.06600000000003</c:v>
                </c:pt>
                <c:pt idx="203">
                  <c:v>878.91899999999998</c:v>
                </c:pt>
                <c:pt idx="204">
                  <c:v>885.78800000000001</c:v>
                </c:pt>
                <c:pt idx="205">
                  <c:v>892.67200000000003</c:v>
                </c:pt>
                <c:pt idx="206">
                  <c:v>899.57100000000003</c:v>
                </c:pt>
                <c:pt idx="207">
                  <c:v>906.48699999999997</c:v>
                </c:pt>
                <c:pt idx="208">
                  <c:v>913.42100000000005</c:v>
                </c:pt>
                <c:pt idx="209">
                  <c:v>920.37199999999996</c:v>
                </c:pt>
                <c:pt idx="210">
                  <c:v>927.34100000000001</c:v>
                </c:pt>
                <c:pt idx="211">
                  <c:v>934.33</c:v>
                </c:pt>
                <c:pt idx="212">
                  <c:v>941.33900000000006</c:v>
                </c:pt>
                <c:pt idx="213">
                  <c:v>948.36800000000005</c:v>
                </c:pt>
                <c:pt idx="214">
                  <c:v>955.41899999999998</c:v>
                </c:pt>
                <c:pt idx="215">
                  <c:v>962.49199999999996</c:v>
                </c:pt>
                <c:pt idx="216">
                  <c:v>969.58799999999997</c:v>
                </c:pt>
                <c:pt idx="217">
                  <c:v>976.70899999999995</c:v>
                </c:pt>
                <c:pt idx="218">
                  <c:v>983.85500000000002</c:v>
                </c:pt>
                <c:pt idx="219">
                  <c:v>991.02700000000004</c:v>
                </c:pt>
                <c:pt idx="220">
                  <c:v>998.226</c:v>
                </c:pt>
                <c:pt idx="221">
                  <c:v>1005.45</c:v>
                </c:pt>
                <c:pt idx="222">
                  <c:v>1012.71</c:v>
                </c:pt>
                <c:pt idx="223">
                  <c:v>1020</c:v>
                </c:pt>
              </c:numCache>
            </c:numRef>
          </c:xVal>
          <c:yVal>
            <c:numRef>
              <c:f>DNS!$C$381:$C$604</c:f>
              <c:numCache>
                <c:formatCode>0.00E+00</c:formatCode>
                <c:ptCount val="224"/>
                <c:pt idx="0">
                  <c:v>1.2763E-6</c:v>
                </c:pt>
                <c:pt idx="1">
                  <c:v>1.87046E-5</c:v>
                </c:pt>
                <c:pt idx="2">
                  <c:v>8.9758400000000004E-5</c:v>
                </c:pt>
                <c:pt idx="3">
                  <c:v>2.7177000000000001E-4</c:v>
                </c:pt>
                <c:pt idx="4">
                  <c:v>6.3922100000000004E-4</c:v>
                </c:pt>
                <c:pt idx="5">
                  <c:v>1.2817499999999999E-3</c:v>
                </c:pt>
                <c:pt idx="6">
                  <c:v>2.3025400000000001E-3</c:v>
                </c:pt>
                <c:pt idx="7">
                  <c:v>3.8168199999999998E-3</c:v>
                </c:pt>
                <c:pt idx="8">
                  <c:v>5.9504299999999996E-3</c:v>
                </c:pt>
                <c:pt idx="9">
                  <c:v>8.8381399999999995E-3</c:v>
                </c:pt>
                <c:pt idx="10">
                  <c:v>1.26219E-2</c:v>
                </c:pt>
                <c:pt idx="11">
                  <c:v>1.7448999999999999E-2</c:v>
                </c:pt>
                <c:pt idx="12">
                  <c:v>2.34696E-2</c:v>
                </c:pt>
                <c:pt idx="13">
                  <c:v>3.0834799999999999E-2</c:v>
                </c:pt>
                <c:pt idx="14">
                  <c:v>3.9694100000000003E-2</c:v>
                </c:pt>
                <c:pt idx="15">
                  <c:v>5.0192199999999999E-2</c:v>
                </c:pt>
                <c:pt idx="16">
                  <c:v>6.2466800000000003E-2</c:v>
                </c:pt>
                <c:pt idx="17">
                  <c:v>7.6644900000000002E-2</c:v>
                </c:pt>
                <c:pt idx="18">
                  <c:v>9.2838699999999996E-2</c:v>
                </c:pt>
                <c:pt idx="19">
                  <c:v>0.111142</c:v>
                </c:pt>
                <c:pt idx="20">
                  <c:v>0.13162599999999999</c:v>
                </c:pt>
                <c:pt idx="21">
                  <c:v>0.154332</c:v>
                </c:pt>
                <c:pt idx="22">
                  <c:v>0.17927199999999999</c:v>
                </c:pt>
                <c:pt idx="23">
                  <c:v>0.20641899999999999</c:v>
                </c:pt>
                <c:pt idx="24">
                  <c:v>0.23571</c:v>
                </c:pt>
                <c:pt idx="25">
                  <c:v>0.26704</c:v>
                </c:pt>
                <c:pt idx="26">
                  <c:v>0.300265</c:v>
                </c:pt>
                <c:pt idx="27">
                  <c:v>0.33520299999999997</c:v>
                </c:pt>
                <c:pt idx="28">
                  <c:v>0.37164000000000003</c:v>
                </c:pt>
                <c:pt idx="29">
                  <c:v>0.409333</c:v>
                </c:pt>
                <c:pt idx="30">
                  <c:v>0.448015</c:v>
                </c:pt>
                <c:pt idx="31">
                  <c:v>0.48740800000000001</c:v>
                </c:pt>
                <c:pt idx="32">
                  <c:v>0.52722500000000005</c:v>
                </c:pt>
                <c:pt idx="33">
                  <c:v>0.56717600000000001</c:v>
                </c:pt>
                <c:pt idx="34">
                  <c:v>0.60698200000000002</c:v>
                </c:pt>
                <c:pt idx="35">
                  <c:v>0.64637100000000003</c:v>
                </c:pt>
                <c:pt idx="36">
                  <c:v>0.68509399999999998</c:v>
                </c:pt>
                <c:pt idx="37">
                  <c:v>0.72291700000000003</c:v>
                </c:pt>
                <c:pt idx="38">
                  <c:v>0.75963499999999995</c:v>
                </c:pt>
                <c:pt idx="39">
                  <c:v>0.79506600000000005</c:v>
                </c:pt>
                <c:pt idx="40">
                  <c:v>0.82905499999999999</c:v>
                </c:pt>
                <c:pt idx="41">
                  <c:v>0.86147799999999997</c:v>
                </c:pt>
                <c:pt idx="42">
                  <c:v>0.892235</c:v>
                </c:pt>
                <c:pt idx="43">
                  <c:v>0.92125400000000002</c:v>
                </c:pt>
                <c:pt idx="44">
                  <c:v>0.948488</c:v>
                </c:pt>
                <c:pt idx="45">
                  <c:v>0.97391099999999997</c:v>
                </c:pt>
                <c:pt idx="46">
                  <c:v>0.99751599999999996</c:v>
                </c:pt>
                <c:pt idx="47">
                  <c:v>1.0193099999999999</c:v>
                </c:pt>
                <c:pt idx="48">
                  <c:v>1.0393300000000001</c:v>
                </c:pt>
                <c:pt idx="49">
                  <c:v>1.05762</c:v>
                </c:pt>
                <c:pt idx="50">
                  <c:v>1.0742100000000001</c:v>
                </c:pt>
                <c:pt idx="51">
                  <c:v>1.08918</c:v>
                </c:pt>
                <c:pt idx="52">
                  <c:v>1.1026100000000001</c:v>
                </c:pt>
                <c:pt idx="53">
                  <c:v>1.1145700000000001</c:v>
                </c:pt>
                <c:pt idx="54">
                  <c:v>1.12514</c:v>
                </c:pt>
                <c:pt idx="55">
                  <c:v>1.1344099999999999</c:v>
                </c:pt>
                <c:pt idx="56">
                  <c:v>1.14249</c:v>
                </c:pt>
                <c:pt idx="57">
                  <c:v>1.1494500000000001</c:v>
                </c:pt>
                <c:pt idx="58">
                  <c:v>1.1553899999999999</c:v>
                </c:pt>
                <c:pt idx="59">
                  <c:v>1.16039</c:v>
                </c:pt>
                <c:pt idx="60">
                  <c:v>1.16455</c:v>
                </c:pt>
                <c:pt idx="61">
                  <c:v>1.1679299999999999</c:v>
                </c:pt>
                <c:pt idx="62">
                  <c:v>1.1706000000000001</c:v>
                </c:pt>
                <c:pt idx="63">
                  <c:v>1.1726300000000001</c:v>
                </c:pt>
                <c:pt idx="64">
                  <c:v>1.17408</c:v>
                </c:pt>
                <c:pt idx="65">
                  <c:v>1.175</c:v>
                </c:pt>
                <c:pt idx="66">
                  <c:v>1.17544</c:v>
                </c:pt>
                <c:pt idx="67">
                  <c:v>1.1754500000000001</c:v>
                </c:pt>
                <c:pt idx="68">
                  <c:v>1.1750799999999999</c:v>
                </c:pt>
                <c:pt idx="69">
                  <c:v>1.17435</c:v>
                </c:pt>
                <c:pt idx="70">
                  <c:v>1.1733100000000001</c:v>
                </c:pt>
                <c:pt idx="71">
                  <c:v>1.1719900000000001</c:v>
                </c:pt>
                <c:pt idx="72">
                  <c:v>1.1704000000000001</c:v>
                </c:pt>
                <c:pt idx="73">
                  <c:v>1.16856</c:v>
                </c:pt>
                <c:pt idx="74">
                  <c:v>1.16649</c:v>
                </c:pt>
                <c:pt idx="75">
                  <c:v>1.16421</c:v>
                </c:pt>
                <c:pt idx="76">
                  <c:v>1.16174</c:v>
                </c:pt>
                <c:pt idx="77">
                  <c:v>1.15909</c:v>
                </c:pt>
                <c:pt idx="78">
                  <c:v>1.1562699999999999</c:v>
                </c:pt>
                <c:pt idx="79">
                  <c:v>1.1533100000000001</c:v>
                </c:pt>
                <c:pt idx="80">
                  <c:v>1.1501999999999999</c:v>
                </c:pt>
                <c:pt idx="81">
                  <c:v>1.14697</c:v>
                </c:pt>
                <c:pt idx="82">
                  <c:v>1.1436200000000001</c:v>
                </c:pt>
                <c:pt idx="83">
                  <c:v>1.1401699999999999</c:v>
                </c:pt>
                <c:pt idx="84">
                  <c:v>1.13662</c:v>
                </c:pt>
                <c:pt idx="85">
                  <c:v>1.13297</c:v>
                </c:pt>
                <c:pt idx="86">
                  <c:v>1.1292199999999999</c:v>
                </c:pt>
                <c:pt idx="87">
                  <c:v>1.12537</c:v>
                </c:pt>
                <c:pt idx="88">
                  <c:v>1.1214200000000001</c:v>
                </c:pt>
                <c:pt idx="89">
                  <c:v>1.1173900000000001</c:v>
                </c:pt>
                <c:pt idx="90">
                  <c:v>1.1132899999999999</c:v>
                </c:pt>
                <c:pt idx="91">
                  <c:v>1.1091200000000001</c:v>
                </c:pt>
                <c:pt idx="92">
                  <c:v>1.1048899999999999</c:v>
                </c:pt>
                <c:pt idx="93">
                  <c:v>1.1006100000000001</c:v>
                </c:pt>
                <c:pt idx="94">
                  <c:v>1.0962799999999999</c:v>
                </c:pt>
                <c:pt idx="95">
                  <c:v>1.09188</c:v>
                </c:pt>
                <c:pt idx="96">
                  <c:v>1.08741</c:v>
                </c:pt>
                <c:pt idx="97">
                  <c:v>1.0828599999999999</c:v>
                </c:pt>
                <c:pt idx="98">
                  <c:v>1.0782400000000001</c:v>
                </c:pt>
                <c:pt idx="99">
                  <c:v>1.0735300000000001</c:v>
                </c:pt>
                <c:pt idx="100">
                  <c:v>1.0687500000000001</c:v>
                </c:pt>
                <c:pt idx="101">
                  <c:v>1.0638799999999999</c:v>
                </c:pt>
                <c:pt idx="102">
                  <c:v>1.0589200000000001</c:v>
                </c:pt>
                <c:pt idx="103">
                  <c:v>1.0538799999999999</c:v>
                </c:pt>
                <c:pt idx="104">
                  <c:v>1.0487299999999999</c:v>
                </c:pt>
                <c:pt idx="105">
                  <c:v>1.04349</c:v>
                </c:pt>
                <c:pt idx="106">
                  <c:v>1.03816</c:v>
                </c:pt>
                <c:pt idx="107">
                  <c:v>1.0327299999999999</c:v>
                </c:pt>
                <c:pt idx="108">
                  <c:v>1.02722</c:v>
                </c:pt>
                <c:pt idx="109">
                  <c:v>1.0216499999999999</c:v>
                </c:pt>
                <c:pt idx="110">
                  <c:v>1.0160100000000001</c:v>
                </c:pt>
                <c:pt idx="111">
                  <c:v>1.0102899999999999</c:v>
                </c:pt>
                <c:pt idx="112">
                  <c:v>1.00451</c:v>
                </c:pt>
                <c:pt idx="113">
                  <c:v>0.99867600000000001</c:v>
                </c:pt>
                <c:pt idx="114">
                  <c:v>0.99278299999999997</c:v>
                </c:pt>
                <c:pt idx="115">
                  <c:v>0.98684300000000003</c:v>
                </c:pt>
                <c:pt idx="116">
                  <c:v>0.98086600000000002</c:v>
                </c:pt>
                <c:pt idx="117">
                  <c:v>0.97485999999999995</c:v>
                </c:pt>
                <c:pt idx="118">
                  <c:v>0.968831</c:v>
                </c:pt>
                <c:pt idx="119">
                  <c:v>0.962781</c:v>
                </c:pt>
                <c:pt idx="120">
                  <c:v>0.95670699999999997</c:v>
                </c:pt>
                <c:pt idx="121">
                  <c:v>0.9506</c:v>
                </c:pt>
                <c:pt idx="122">
                  <c:v>0.94444700000000004</c:v>
                </c:pt>
                <c:pt idx="123">
                  <c:v>0.93824099999999999</c:v>
                </c:pt>
                <c:pt idx="124">
                  <c:v>0.93198000000000003</c:v>
                </c:pt>
                <c:pt idx="125">
                  <c:v>0.92566599999999999</c:v>
                </c:pt>
                <c:pt idx="126">
                  <c:v>0.91930000000000001</c:v>
                </c:pt>
                <c:pt idx="127">
                  <c:v>0.91288599999999998</c:v>
                </c:pt>
                <c:pt idx="128">
                  <c:v>0.90642599999999995</c:v>
                </c:pt>
                <c:pt idx="129">
                  <c:v>0.89992000000000005</c:v>
                </c:pt>
                <c:pt idx="130">
                  <c:v>0.89337299999999997</c:v>
                </c:pt>
                <c:pt idx="131">
                  <c:v>0.88678699999999999</c:v>
                </c:pt>
                <c:pt idx="132">
                  <c:v>0.880166</c:v>
                </c:pt>
                <c:pt idx="133">
                  <c:v>0.87351800000000002</c:v>
                </c:pt>
                <c:pt idx="134">
                  <c:v>0.86685400000000001</c:v>
                </c:pt>
                <c:pt idx="135">
                  <c:v>0.86018099999999997</c:v>
                </c:pt>
                <c:pt idx="136">
                  <c:v>0.85350700000000002</c:v>
                </c:pt>
                <c:pt idx="137">
                  <c:v>0.84684400000000004</c:v>
                </c:pt>
                <c:pt idx="138">
                  <c:v>0.84020099999999998</c:v>
                </c:pt>
                <c:pt idx="139">
                  <c:v>0.83357199999999998</c:v>
                </c:pt>
                <c:pt idx="140">
                  <c:v>0.82694800000000002</c:v>
                </c:pt>
                <c:pt idx="141">
                  <c:v>0.82031900000000002</c:v>
                </c:pt>
                <c:pt idx="142">
                  <c:v>0.81368700000000005</c:v>
                </c:pt>
                <c:pt idx="143">
                  <c:v>0.80705800000000005</c:v>
                </c:pt>
                <c:pt idx="144">
                  <c:v>0.80043200000000003</c:v>
                </c:pt>
                <c:pt idx="145">
                  <c:v>0.79380399999999995</c:v>
                </c:pt>
                <c:pt idx="146">
                  <c:v>0.78716900000000001</c:v>
                </c:pt>
                <c:pt idx="147">
                  <c:v>0.78052999999999995</c:v>
                </c:pt>
                <c:pt idx="148">
                  <c:v>0.77388900000000005</c:v>
                </c:pt>
                <c:pt idx="149">
                  <c:v>0.76725299999999996</c:v>
                </c:pt>
                <c:pt idx="150">
                  <c:v>0.760633</c:v>
                </c:pt>
                <c:pt idx="151">
                  <c:v>0.75404099999999996</c:v>
                </c:pt>
                <c:pt idx="152">
                  <c:v>0.74748700000000001</c:v>
                </c:pt>
                <c:pt idx="153">
                  <c:v>0.740977</c:v>
                </c:pt>
                <c:pt idx="154">
                  <c:v>0.73451200000000005</c:v>
                </c:pt>
                <c:pt idx="155">
                  <c:v>0.72809500000000005</c:v>
                </c:pt>
                <c:pt idx="156">
                  <c:v>0.72172800000000004</c:v>
                </c:pt>
                <c:pt idx="157">
                  <c:v>0.71541100000000002</c:v>
                </c:pt>
                <c:pt idx="158">
                  <c:v>0.70914500000000003</c:v>
                </c:pt>
                <c:pt idx="159">
                  <c:v>0.70293099999999997</c:v>
                </c:pt>
                <c:pt idx="160">
                  <c:v>0.69676800000000005</c:v>
                </c:pt>
                <c:pt idx="161">
                  <c:v>0.69065500000000002</c:v>
                </c:pt>
                <c:pt idx="162">
                  <c:v>0.68458300000000005</c:v>
                </c:pt>
                <c:pt idx="163">
                  <c:v>0.67854400000000004</c:v>
                </c:pt>
                <c:pt idx="164">
                  <c:v>0.67252299999999998</c:v>
                </c:pt>
                <c:pt idx="165">
                  <c:v>0.66650699999999996</c:v>
                </c:pt>
                <c:pt idx="166">
                  <c:v>0.66049100000000005</c:v>
                </c:pt>
                <c:pt idx="167">
                  <c:v>0.65448200000000001</c:v>
                </c:pt>
                <c:pt idx="168">
                  <c:v>0.64849699999999999</c:v>
                </c:pt>
                <c:pt idx="169">
                  <c:v>0.64255399999999996</c:v>
                </c:pt>
                <c:pt idx="170">
                  <c:v>0.63666999999999996</c:v>
                </c:pt>
                <c:pt idx="171">
                  <c:v>0.63085500000000005</c:v>
                </c:pt>
                <c:pt idx="172">
                  <c:v>0.62511499999999998</c:v>
                </c:pt>
                <c:pt idx="173">
                  <c:v>0.61945899999999998</c:v>
                </c:pt>
                <c:pt idx="174">
                  <c:v>0.61389899999999997</c:v>
                </c:pt>
                <c:pt idx="175">
                  <c:v>0.60844799999999999</c:v>
                </c:pt>
                <c:pt idx="176">
                  <c:v>0.60310799999999998</c:v>
                </c:pt>
                <c:pt idx="177">
                  <c:v>0.597881</c:v>
                </c:pt>
                <c:pt idx="178">
                  <c:v>0.59276099999999998</c:v>
                </c:pt>
                <c:pt idx="179">
                  <c:v>0.58773900000000001</c:v>
                </c:pt>
                <c:pt idx="180">
                  <c:v>0.58281099999999997</c:v>
                </c:pt>
                <c:pt idx="181">
                  <c:v>0.57797299999999996</c:v>
                </c:pt>
                <c:pt idx="182">
                  <c:v>0.57322499999999998</c:v>
                </c:pt>
                <c:pt idx="183">
                  <c:v>0.56856899999999999</c:v>
                </c:pt>
                <c:pt idx="184">
                  <c:v>0.56401000000000001</c:v>
                </c:pt>
                <c:pt idx="185">
                  <c:v>0.55954700000000002</c:v>
                </c:pt>
                <c:pt idx="186">
                  <c:v>0.55517700000000003</c:v>
                </c:pt>
                <c:pt idx="187">
                  <c:v>0.55089600000000005</c:v>
                </c:pt>
                <c:pt idx="188">
                  <c:v>0.54670600000000003</c:v>
                </c:pt>
                <c:pt idx="189">
                  <c:v>0.54261099999999995</c:v>
                </c:pt>
                <c:pt idx="190">
                  <c:v>0.53861999999999999</c:v>
                </c:pt>
                <c:pt idx="191">
                  <c:v>0.53473999999999999</c:v>
                </c:pt>
                <c:pt idx="192">
                  <c:v>0.53097799999999995</c:v>
                </c:pt>
                <c:pt idx="193">
                  <c:v>0.527335</c:v>
                </c:pt>
                <c:pt idx="194">
                  <c:v>0.52380400000000005</c:v>
                </c:pt>
                <c:pt idx="195">
                  <c:v>0.52037800000000001</c:v>
                </c:pt>
                <c:pt idx="196">
                  <c:v>0.51705599999999996</c:v>
                </c:pt>
                <c:pt idx="197">
                  <c:v>0.51383999999999996</c:v>
                </c:pt>
                <c:pt idx="198">
                  <c:v>0.51073500000000005</c:v>
                </c:pt>
                <c:pt idx="199">
                  <c:v>0.50774200000000003</c:v>
                </c:pt>
                <c:pt idx="200">
                  <c:v>0.50485999999999998</c:v>
                </c:pt>
                <c:pt idx="201">
                  <c:v>0.50208299999999995</c:v>
                </c:pt>
                <c:pt idx="202">
                  <c:v>0.49940499999999999</c:v>
                </c:pt>
                <c:pt idx="203">
                  <c:v>0.49682500000000002</c:v>
                </c:pt>
                <c:pt idx="204">
                  <c:v>0.494342</c:v>
                </c:pt>
                <c:pt idx="205">
                  <c:v>0.49196400000000001</c:v>
                </c:pt>
                <c:pt idx="206">
                  <c:v>0.48970000000000002</c:v>
                </c:pt>
                <c:pt idx="207">
                  <c:v>0.48755500000000002</c:v>
                </c:pt>
                <c:pt idx="208">
                  <c:v>0.48553299999999999</c:v>
                </c:pt>
                <c:pt idx="209">
                  <c:v>0.48363600000000001</c:v>
                </c:pt>
                <c:pt idx="210">
                  <c:v>0.48186499999999999</c:v>
                </c:pt>
                <c:pt idx="211">
                  <c:v>0.48021900000000001</c:v>
                </c:pt>
                <c:pt idx="212">
                  <c:v>0.47869699999999998</c:v>
                </c:pt>
                <c:pt idx="213">
                  <c:v>0.4773</c:v>
                </c:pt>
                <c:pt idx="214">
                  <c:v>0.47602800000000001</c:v>
                </c:pt>
                <c:pt idx="215">
                  <c:v>0.474885</c:v>
                </c:pt>
                <c:pt idx="216">
                  <c:v>0.47387299999999999</c:v>
                </c:pt>
                <c:pt idx="217">
                  <c:v>0.47299400000000003</c:v>
                </c:pt>
                <c:pt idx="218">
                  <c:v>0.47224500000000003</c:v>
                </c:pt>
                <c:pt idx="219">
                  <c:v>0.47162999999999999</c:v>
                </c:pt>
                <c:pt idx="220">
                  <c:v>0.47114600000000001</c:v>
                </c:pt>
                <c:pt idx="221">
                  <c:v>0.47079599999999999</c:v>
                </c:pt>
                <c:pt idx="222">
                  <c:v>0.470582</c:v>
                </c:pt>
                <c:pt idx="223">
                  <c:v>0.47050900000000001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A-4F42-B13A-46E0A1B79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84992"/>
        <c:axId val="80086528"/>
      </c:scatterChart>
      <c:valAx>
        <c:axId val="800849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086528"/>
        <c:crosses val="autoZero"/>
        <c:crossBetween val="midCat"/>
      </c:valAx>
      <c:valAx>
        <c:axId val="80086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0084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Rij!$D$2:$D$87</c:f>
              <c:numCache>
                <c:formatCode>General</c:formatCode>
                <c:ptCount val="86"/>
                <c:pt idx="0">
                  <c:v>1.38050943451541E-2</c:v>
                </c:pt>
                <c:pt idx="1">
                  <c:v>0.10258495970368101</c:v>
                </c:pt>
                <c:pt idx="2">
                  <c:v>0.24913841619426899</c:v>
                </c:pt>
                <c:pt idx="3">
                  <c:v>0.42606625046867802</c:v>
                </c:pt>
                <c:pt idx="4">
                  <c:v>0.61075351747651896</c:v>
                </c:pt>
                <c:pt idx="5">
                  <c:v>0.78856220651914199</c:v>
                </c:pt>
                <c:pt idx="6">
                  <c:v>0.95259405198484404</c:v>
                </c:pt>
                <c:pt idx="7">
                  <c:v>1.10045283068757</c:v>
                </c:pt>
                <c:pt idx="8">
                  <c:v>1.2314038050177201</c:v>
                </c:pt>
                <c:pt idx="9">
                  <c:v>1.3453667065209201</c:v>
                </c:pt>
                <c:pt idx="10">
                  <c:v>1.4428255566556301</c:v>
                </c:pt>
                <c:pt idx="11">
                  <c:v>1.52475545196268</c:v>
                </c:pt>
                <c:pt idx="12">
                  <c:v>1.5924134553665901</c:v>
                </c:pt>
                <c:pt idx="13">
                  <c:v>1.6471590412681301</c:v>
                </c:pt>
                <c:pt idx="14">
                  <c:v>1.69037382708997</c:v>
                </c:pt>
                <c:pt idx="15">
                  <c:v>1.7234601446946201</c:v>
                </c:pt>
                <c:pt idx="16">
                  <c:v>1.7478615762515</c:v>
                </c:pt>
                <c:pt idx="17">
                  <c:v>1.7650302754223901</c:v>
                </c:pt>
                <c:pt idx="18">
                  <c:v>1.7763187522705299</c:v>
                </c:pt>
                <c:pt idx="19">
                  <c:v>1.78282397924358</c:v>
                </c:pt>
                <c:pt idx="20">
                  <c:v>1.7853166763617201</c:v>
                </c:pt>
                <c:pt idx="21">
                  <c:v>1.7842198824868301</c:v>
                </c:pt>
                <c:pt idx="22">
                  <c:v>1.7796141339324101</c:v>
                </c:pt>
                <c:pt idx="23">
                  <c:v>1.7714567518094999</c:v>
                </c:pt>
                <c:pt idx="24">
                  <c:v>1.7597698791399801</c:v>
                </c:pt>
                <c:pt idx="25">
                  <c:v>1.7448306608430799</c:v>
                </c:pt>
                <c:pt idx="26">
                  <c:v>1.72711588618058</c:v>
                </c:pt>
                <c:pt idx="27">
                  <c:v>1.7070350224848201</c:v>
                </c:pt>
                <c:pt idx="28">
                  <c:v>1.6848459288172299</c:v>
                </c:pt>
                <c:pt idx="29">
                  <c:v>1.6607057492041799</c:v>
                </c:pt>
                <c:pt idx="30">
                  <c:v>1.63511645166622</c:v>
                </c:pt>
                <c:pt idx="31">
                  <c:v>1.60823071591079</c:v>
                </c:pt>
                <c:pt idx="32">
                  <c:v>1.5794181801048699</c:v>
                </c:pt>
                <c:pt idx="33">
                  <c:v>1.55019081978391</c:v>
                </c:pt>
                <c:pt idx="34">
                  <c:v>1.5218288230444801</c:v>
                </c:pt>
                <c:pt idx="35">
                  <c:v>1.494617638439</c:v>
                </c:pt>
                <c:pt idx="36">
                  <c:v>1.46781252828346</c:v>
                </c:pt>
                <c:pt idx="37">
                  <c:v>1.4408616134716401</c:v>
                </c:pt>
                <c:pt idx="38">
                  <c:v>1.4135626603559801</c:v>
                </c:pt>
                <c:pt idx="39">
                  <c:v>1.3857777214815299</c:v>
                </c:pt>
                <c:pt idx="40">
                  <c:v>1.35781742415948</c:v>
                </c:pt>
                <c:pt idx="41">
                  <c:v>1.3300015029116501</c:v>
                </c:pt>
                <c:pt idx="42">
                  <c:v>1.3016963815953899</c:v>
                </c:pt>
                <c:pt idx="43">
                  <c:v>1.2728958101642101</c:v>
                </c:pt>
                <c:pt idx="44">
                  <c:v>1.24371112873223</c:v>
                </c:pt>
                <c:pt idx="45">
                  <c:v>1.2143960891874701</c:v>
                </c:pt>
                <c:pt idx="46">
                  <c:v>1.1847396185309</c:v>
                </c:pt>
                <c:pt idx="47">
                  <c:v>1.15467412697389</c:v>
                </c:pt>
                <c:pt idx="48">
                  <c:v>1.1246724751776001</c:v>
                </c:pt>
                <c:pt idx="49">
                  <c:v>1.09458653703989</c:v>
                </c:pt>
                <c:pt idx="50">
                  <c:v>1.0642563113702901</c:v>
                </c:pt>
                <c:pt idx="51">
                  <c:v>1.03384072792274</c:v>
                </c:pt>
                <c:pt idx="52">
                  <c:v>1.00297424826319</c:v>
                </c:pt>
                <c:pt idx="53">
                  <c:v>0.97164946162222399</c:v>
                </c:pt>
                <c:pt idx="54">
                  <c:v>0.94018556680336896</c:v>
                </c:pt>
                <c:pt idx="55">
                  <c:v>0.90894372720812699</c:v>
                </c:pt>
                <c:pt idx="56">
                  <c:v>0.87767563741757204</c:v>
                </c:pt>
                <c:pt idx="57">
                  <c:v>0.84634870790351102</c:v>
                </c:pt>
                <c:pt idx="58">
                  <c:v>0.81532517350398004</c:v>
                </c:pt>
                <c:pt idx="59">
                  <c:v>0.78497235838059498</c:v>
                </c:pt>
                <c:pt idx="60">
                  <c:v>0.75511838625452599</c:v>
                </c:pt>
                <c:pt idx="61">
                  <c:v>0.72553240719386602</c:v>
                </c:pt>
                <c:pt idx="62">
                  <c:v>0.69629571644634403</c:v>
                </c:pt>
                <c:pt idx="63">
                  <c:v>0.66745943046371503</c:v>
                </c:pt>
                <c:pt idx="64">
                  <c:v>0.63920176485769198</c:v>
                </c:pt>
                <c:pt idx="65">
                  <c:v>0.61169490840943397</c:v>
                </c:pt>
                <c:pt idx="66">
                  <c:v>0.58495573624449604</c:v>
                </c:pt>
                <c:pt idx="67">
                  <c:v>0.55878880048009505</c:v>
                </c:pt>
                <c:pt idx="68">
                  <c:v>0.53316419017939398</c:v>
                </c:pt>
                <c:pt idx="69">
                  <c:v>0.50834971983504496</c:v>
                </c:pt>
                <c:pt idx="70">
                  <c:v>0.48448061366745898</c:v>
                </c:pt>
                <c:pt idx="71">
                  <c:v>0.46153928226004998</c:v>
                </c:pt>
                <c:pt idx="72">
                  <c:v>0.43960260118480199</c:v>
                </c:pt>
                <c:pt idx="73">
                  <c:v>0.41885887541421402</c:v>
                </c:pt>
                <c:pt idx="74">
                  <c:v>0.39948417768691202</c:v>
                </c:pt>
                <c:pt idx="75">
                  <c:v>0.38158614273231301</c:v>
                </c:pt>
                <c:pt idx="76">
                  <c:v>0.36508262708209499</c:v>
                </c:pt>
                <c:pt idx="77">
                  <c:v>0.34993800547118897</c:v>
                </c:pt>
                <c:pt idx="78">
                  <c:v>0.33632015861298498</c:v>
                </c:pt>
                <c:pt idx="79">
                  <c:v>0.32434844007409402</c:v>
                </c:pt>
                <c:pt idx="80">
                  <c:v>0.31401782749571899</c:v>
                </c:pt>
                <c:pt idx="81">
                  <c:v>0.30540760718207</c:v>
                </c:pt>
                <c:pt idx="82">
                  <c:v>0.29860338244864298</c:v>
                </c:pt>
                <c:pt idx="83">
                  <c:v>0.29365767600765602</c:v>
                </c:pt>
                <c:pt idx="84">
                  <c:v>0.29053091167179002</c:v>
                </c:pt>
                <c:pt idx="85">
                  <c:v>0.28909724029038802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C-4D20-A196-AF34A23F27E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DNS!$E$155:$E$378</c:f>
              <c:numCache>
                <c:formatCode>0.00E+00</c:formatCode>
                <c:ptCount val="224"/>
                <c:pt idx="0">
                  <c:v>1.7276500000000001E-3</c:v>
                </c:pt>
                <c:pt idx="1">
                  <c:v>1.4319800000000001E-2</c:v>
                </c:pt>
                <c:pt idx="2">
                  <c:v>3.7686699999999997E-2</c:v>
                </c:pt>
                <c:pt idx="3">
                  <c:v>7.0357000000000003E-2</c:v>
                </c:pt>
                <c:pt idx="4">
                  <c:v>0.111056</c:v>
                </c:pt>
                <c:pt idx="5">
                  <c:v>0.15865299999999999</c:v>
                </c:pt>
                <c:pt idx="6">
                  <c:v>0.212121</c:v>
                </c:pt>
                <c:pt idx="7">
                  <c:v>0.27052500000000002</c:v>
                </c:pt>
                <c:pt idx="8">
                  <c:v>0.333007</c:v>
                </c:pt>
                <c:pt idx="9">
                  <c:v>0.39878599999999997</c:v>
                </c:pt>
                <c:pt idx="10">
                  <c:v>0.46716200000000002</c:v>
                </c:pt>
                <c:pt idx="11">
                  <c:v>0.53752</c:v>
                </c:pt>
                <c:pt idx="12">
                  <c:v>0.60933400000000004</c:v>
                </c:pt>
                <c:pt idx="13">
                  <c:v>0.68216600000000005</c:v>
                </c:pt>
                <c:pt idx="14">
                  <c:v>0.75565800000000005</c:v>
                </c:pt>
                <c:pt idx="15">
                  <c:v>0.82952300000000001</c:v>
                </c:pt>
                <c:pt idx="16">
                  <c:v>0.90352699999999997</c:v>
                </c:pt>
                <c:pt idx="17">
                  <c:v>0.977464</c:v>
                </c:pt>
                <c:pt idx="18">
                  <c:v>1.05114</c:v>
                </c:pt>
                <c:pt idx="19">
                  <c:v>1.12435</c:v>
                </c:pt>
                <c:pt idx="20">
                  <c:v>1.19686</c:v>
                </c:pt>
                <c:pt idx="21">
                  <c:v>1.2683899999999999</c:v>
                </c:pt>
                <c:pt idx="22">
                  <c:v>1.3386499999999999</c:v>
                </c:pt>
                <c:pt idx="23">
                  <c:v>1.4072800000000001</c:v>
                </c:pt>
                <c:pt idx="24">
                  <c:v>1.47393</c:v>
                </c:pt>
                <c:pt idx="25">
                  <c:v>1.5382199999999999</c:v>
                </c:pt>
                <c:pt idx="26">
                  <c:v>1.59981</c:v>
                </c:pt>
                <c:pt idx="27">
                  <c:v>1.6583600000000001</c:v>
                </c:pt>
                <c:pt idx="28">
                  <c:v>1.7135800000000001</c:v>
                </c:pt>
                <c:pt idx="29">
                  <c:v>1.76525</c:v>
                </c:pt>
                <c:pt idx="30">
                  <c:v>1.8131999999999999</c:v>
                </c:pt>
                <c:pt idx="31">
                  <c:v>1.8573299999999999</c:v>
                </c:pt>
                <c:pt idx="32">
                  <c:v>1.8975900000000001</c:v>
                </c:pt>
                <c:pt idx="33">
                  <c:v>1.93401</c:v>
                </c:pt>
                <c:pt idx="34">
                  <c:v>1.9666600000000001</c:v>
                </c:pt>
                <c:pt idx="35">
                  <c:v>1.9956400000000001</c:v>
                </c:pt>
                <c:pt idx="36">
                  <c:v>2.0211000000000001</c:v>
                </c:pt>
                <c:pt idx="37">
                  <c:v>2.0431900000000001</c:v>
                </c:pt>
                <c:pt idx="38">
                  <c:v>2.0621</c:v>
                </c:pt>
                <c:pt idx="39">
                  <c:v>2.0779999999999998</c:v>
                </c:pt>
                <c:pt idx="40">
                  <c:v>2.0910799999999998</c:v>
                </c:pt>
                <c:pt idx="41">
                  <c:v>2.1014900000000001</c:v>
                </c:pt>
                <c:pt idx="42">
                  <c:v>2.10941</c:v>
                </c:pt>
                <c:pt idx="43">
                  <c:v>2.1150099999999998</c:v>
                </c:pt>
                <c:pt idx="44">
                  <c:v>2.11843</c:v>
                </c:pt>
                <c:pt idx="45">
                  <c:v>2.1198399999999999</c:v>
                </c:pt>
                <c:pt idx="46">
                  <c:v>2.1193499999999998</c:v>
                </c:pt>
                <c:pt idx="47">
                  <c:v>2.1171000000000002</c:v>
                </c:pt>
                <c:pt idx="48">
                  <c:v>2.1131899999999999</c:v>
                </c:pt>
                <c:pt idx="49">
                  <c:v>2.1077400000000002</c:v>
                </c:pt>
                <c:pt idx="50">
                  <c:v>2.1008599999999999</c:v>
                </c:pt>
                <c:pt idx="51">
                  <c:v>2.0926800000000001</c:v>
                </c:pt>
                <c:pt idx="52">
                  <c:v>2.0833200000000001</c:v>
                </c:pt>
                <c:pt idx="53">
                  <c:v>2.07294</c:v>
                </c:pt>
                <c:pt idx="54">
                  <c:v>2.0616300000000001</c:v>
                </c:pt>
                <c:pt idx="55">
                  <c:v>2.0495199999999998</c:v>
                </c:pt>
                <c:pt idx="56">
                  <c:v>2.0366900000000001</c:v>
                </c:pt>
                <c:pt idx="57">
                  <c:v>2.0232399999999999</c:v>
                </c:pt>
                <c:pt idx="58">
                  <c:v>2.0092599999999998</c:v>
                </c:pt>
                <c:pt idx="59">
                  <c:v>1.9948399999999999</c:v>
                </c:pt>
                <c:pt idx="60">
                  <c:v>1.98003</c:v>
                </c:pt>
                <c:pt idx="61">
                  <c:v>1.96489</c:v>
                </c:pt>
                <c:pt idx="62">
                  <c:v>1.9494899999999999</c:v>
                </c:pt>
                <c:pt idx="63">
                  <c:v>1.9339</c:v>
                </c:pt>
                <c:pt idx="64">
                  <c:v>1.91818</c:v>
                </c:pt>
                <c:pt idx="65">
                  <c:v>1.9024000000000001</c:v>
                </c:pt>
                <c:pt idx="66">
                  <c:v>1.8866400000000001</c:v>
                </c:pt>
                <c:pt idx="67">
                  <c:v>1.87093</c:v>
                </c:pt>
                <c:pt idx="68">
                  <c:v>1.8552999999999999</c:v>
                </c:pt>
                <c:pt idx="69">
                  <c:v>1.8397699999999999</c:v>
                </c:pt>
                <c:pt idx="70">
                  <c:v>1.8244</c:v>
                </c:pt>
                <c:pt idx="71">
                  <c:v>1.8092299999999999</c:v>
                </c:pt>
                <c:pt idx="72">
                  <c:v>1.79427</c:v>
                </c:pt>
                <c:pt idx="73">
                  <c:v>1.7795700000000001</c:v>
                </c:pt>
                <c:pt idx="74">
                  <c:v>1.7651399999999999</c:v>
                </c:pt>
                <c:pt idx="75">
                  <c:v>1.75101</c:v>
                </c:pt>
                <c:pt idx="76">
                  <c:v>1.73716</c:v>
                </c:pt>
                <c:pt idx="77">
                  <c:v>1.72357</c:v>
                </c:pt>
                <c:pt idx="78">
                  <c:v>1.7102299999999999</c:v>
                </c:pt>
                <c:pt idx="79">
                  <c:v>1.6970700000000001</c:v>
                </c:pt>
                <c:pt idx="80">
                  <c:v>1.68407</c:v>
                </c:pt>
                <c:pt idx="81">
                  <c:v>1.6711800000000001</c:v>
                </c:pt>
                <c:pt idx="82">
                  <c:v>1.6584099999999999</c:v>
                </c:pt>
                <c:pt idx="83">
                  <c:v>1.64578</c:v>
                </c:pt>
                <c:pt idx="84">
                  <c:v>1.63327</c:v>
                </c:pt>
                <c:pt idx="85">
                  <c:v>1.6208800000000001</c:v>
                </c:pt>
                <c:pt idx="86">
                  <c:v>1.6086100000000001</c:v>
                </c:pt>
                <c:pt idx="87">
                  <c:v>1.59646</c:v>
                </c:pt>
                <c:pt idx="88">
                  <c:v>1.58447</c:v>
                </c:pt>
                <c:pt idx="89">
                  <c:v>1.57264</c:v>
                </c:pt>
                <c:pt idx="90">
                  <c:v>1.5609599999999999</c:v>
                </c:pt>
                <c:pt idx="91">
                  <c:v>1.54942</c:v>
                </c:pt>
                <c:pt idx="92">
                  <c:v>1.5379799999999999</c:v>
                </c:pt>
                <c:pt idx="93">
                  <c:v>1.5266500000000001</c:v>
                </c:pt>
                <c:pt idx="94">
                  <c:v>1.51542</c:v>
                </c:pt>
                <c:pt idx="95">
                  <c:v>1.50431</c:v>
                </c:pt>
                <c:pt idx="96">
                  <c:v>1.49336</c:v>
                </c:pt>
                <c:pt idx="97">
                  <c:v>1.4825699999999999</c:v>
                </c:pt>
                <c:pt idx="98">
                  <c:v>1.4719</c:v>
                </c:pt>
                <c:pt idx="99">
                  <c:v>1.4613400000000001</c:v>
                </c:pt>
                <c:pt idx="100">
                  <c:v>1.45089</c:v>
                </c:pt>
                <c:pt idx="101">
                  <c:v>1.44052</c:v>
                </c:pt>
                <c:pt idx="102">
                  <c:v>1.4301600000000001</c:v>
                </c:pt>
                <c:pt idx="103">
                  <c:v>1.41978</c:v>
                </c:pt>
                <c:pt idx="104">
                  <c:v>1.4093800000000001</c:v>
                </c:pt>
                <c:pt idx="105">
                  <c:v>1.39896</c:v>
                </c:pt>
                <c:pt idx="106">
                  <c:v>1.38853</c:v>
                </c:pt>
                <c:pt idx="107">
                  <c:v>1.3780699999999999</c:v>
                </c:pt>
                <c:pt idx="108">
                  <c:v>1.3675600000000001</c:v>
                </c:pt>
                <c:pt idx="109">
                  <c:v>1.3569800000000001</c:v>
                </c:pt>
                <c:pt idx="110">
                  <c:v>1.34639</c:v>
                </c:pt>
                <c:pt idx="111">
                  <c:v>1.33582</c:v>
                </c:pt>
                <c:pt idx="112">
                  <c:v>1.32525</c:v>
                </c:pt>
                <c:pt idx="113">
                  <c:v>1.3146500000000001</c:v>
                </c:pt>
                <c:pt idx="114">
                  <c:v>1.304</c:v>
                </c:pt>
                <c:pt idx="115">
                  <c:v>1.2932699999999999</c:v>
                </c:pt>
                <c:pt idx="116">
                  <c:v>1.2824599999999999</c:v>
                </c:pt>
                <c:pt idx="117">
                  <c:v>1.2715700000000001</c:v>
                </c:pt>
                <c:pt idx="118">
                  <c:v>1.26064</c:v>
                </c:pt>
                <c:pt idx="119">
                  <c:v>1.2496799999999999</c:v>
                </c:pt>
                <c:pt idx="120">
                  <c:v>1.23874</c:v>
                </c:pt>
                <c:pt idx="121">
                  <c:v>1.22786</c:v>
                </c:pt>
                <c:pt idx="122">
                  <c:v>1.21705</c:v>
                </c:pt>
                <c:pt idx="123">
                  <c:v>1.20631</c:v>
                </c:pt>
                <c:pt idx="124">
                  <c:v>1.19563</c:v>
                </c:pt>
                <c:pt idx="125">
                  <c:v>1.1850000000000001</c:v>
                </c:pt>
                <c:pt idx="126">
                  <c:v>1.17442</c:v>
                </c:pt>
                <c:pt idx="127">
                  <c:v>1.16384</c:v>
                </c:pt>
                <c:pt idx="128">
                  <c:v>1.1531899999999999</c:v>
                </c:pt>
                <c:pt idx="129">
                  <c:v>1.14249</c:v>
                </c:pt>
                <c:pt idx="130">
                  <c:v>1.1317900000000001</c:v>
                </c:pt>
                <c:pt idx="131">
                  <c:v>1.12113</c:v>
                </c:pt>
                <c:pt idx="132">
                  <c:v>1.11052</c:v>
                </c:pt>
                <c:pt idx="133">
                  <c:v>1.0999000000000001</c:v>
                </c:pt>
                <c:pt idx="134">
                  <c:v>1.0892599999999999</c:v>
                </c:pt>
                <c:pt idx="135">
                  <c:v>1.0786</c:v>
                </c:pt>
                <c:pt idx="136">
                  <c:v>1.06795</c:v>
                </c:pt>
                <c:pt idx="137">
                  <c:v>1.05731</c:v>
                </c:pt>
                <c:pt idx="138">
                  <c:v>1.0466899999999999</c:v>
                </c:pt>
                <c:pt idx="139">
                  <c:v>1.03609</c:v>
                </c:pt>
                <c:pt idx="140">
                  <c:v>1.02556</c:v>
                </c:pt>
                <c:pt idx="141">
                  <c:v>1.01509</c:v>
                </c:pt>
                <c:pt idx="142">
                  <c:v>1.0046600000000001</c:v>
                </c:pt>
                <c:pt idx="143">
                  <c:v>0.99425399999999997</c:v>
                </c:pt>
                <c:pt idx="144">
                  <c:v>0.98384700000000003</c:v>
                </c:pt>
                <c:pt idx="145">
                  <c:v>0.97342200000000001</c:v>
                </c:pt>
                <c:pt idx="146">
                  <c:v>0.96294800000000003</c:v>
                </c:pt>
                <c:pt idx="147">
                  <c:v>0.95240800000000003</c:v>
                </c:pt>
                <c:pt idx="148">
                  <c:v>0.94181300000000001</c:v>
                </c:pt>
                <c:pt idx="149">
                  <c:v>0.93122700000000003</c:v>
                </c:pt>
                <c:pt idx="150">
                  <c:v>0.92070700000000005</c:v>
                </c:pt>
                <c:pt idx="151">
                  <c:v>0.91027800000000003</c:v>
                </c:pt>
                <c:pt idx="152">
                  <c:v>0.89990700000000001</c:v>
                </c:pt>
                <c:pt idx="153">
                  <c:v>0.88953800000000005</c:v>
                </c:pt>
                <c:pt idx="154">
                  <c:v>0.87914999999999999</c:v>
                </c:pt>
                <c:pt idx="155">
                  <c:v>0.86876799999999998</c:v>
                </c:pt>
                <c:pt idx="156">
                  <c:v>0.85841699999999999</c:v>
                </c:pt>
                <c:pt idx="157">
                  <c:v>0.84811000000000003</c:v>
                </c:pt>
                <c:pt idx="158">
                  <c:v>0.83785100000000001</c:v>
                </c:pt>
                <c:pt idx="159">
                  <c:v>0.82763299999999995</c:v>
                </c:pt>
                <c:pt idx="160">
                  <c:v>0.81743699999999997</c:v>
                </c:pt>
                <c:pt idx="161">
                  <c:v>0.80726399999999998</c:v>
                </c:pt>
                <c:pt idx="162">
                  <c:v>0.79715400000000003</c:v>
                </c:pt>
                <c:pt idx="163">
                  <c:v>0.78717099999999995</c:v>
                </c:pt>
                <c:pt idx="164">
                  <c:v>0.77734999999999999</c:v>
                </c:pt>
                <c:pt idx="165">
                  <c:v>0.76769100000000001</c:v>
                </c:pt>
                <c:pt idx="166">
                  <c:v>0.75817100000000004</c:v>
                </c:pt>
                <c:pt idx="167">
                  <c:v>0.74873900000000004</c:v>
                </c:pt>
                <c:pt idx="168">
                  <c:v>0.73933300000000002</c:v>
                </c:pt>
                <c:pt idx="169">
                  <c:v>0.72992100000000004</c:v>
                </c:pt>
                <c:pt idx="170">
                  <c:v>0.72050199999999998</c:v>
                </c:pt>
                <c:pt idx="171">
                  <c:v>0.71108300000000002</c:v>
                </c:pt>
                <c:pt idx="172">
                  <c:v>0.70168900000000001</c:v>
                </c:pt>
                <c:pt idx="173">
                  <c:v>0.69236200000000003</c:v>
                </c:pt>
                <c:pt idx="174">
                  <c:v>0.68314200000000003</c:v>
                </c:pt>
                <c:pt idx="175">
                  <c:v>0.67406100000000002</c:v>
                </c:pt>
                <c:pt idx="176">
                  <c:v>0.66513800000000001</c:v>
                </c:pt>
                <c:pt idx="177">
                  <c:v>0.65637999999999996</c:v>
                </c:pt>
                <c:pt idx="178">
                  <c:v>0.64777099999999999</c:v>
                </c:pt>
                <c:pt idx="179">
                  <c:v>0.63929100000000005</c:v>
                </c:pt>
                <c:pt idx="180">
                  <c:v>0.63092499999999996</c:v>
                </c:pt>
                <c:pt idx="181">
                  <c:v>0.622664</c:v>
                </c:pt>
                <c:pt idx="182">
                  <c:v>0.61449500000000001</c:v>
                </c:pt>
                <c:pt idx="183">
                  <c:v>0.606406</c:v>
                </c:pt>
                <c:pt idx="184">
                  <c:v>0.59840099999999996</c:v>
                </c:pt>
                <c:pt idx="185">
                  <c:v>0.59048699999999998</c:v>
                </c:pt>
                <c:pt idx="186">
                  <c:v>0.582673</c:v>
                </c:pt>
                <c:pt idx="187">
                  <c:v>0.57498899999999997</c:v>
                </c:pt>
                <c:pt idx="188">
                  <c:v>0.56746399999999997</c:v>
                </c:pt>
                <c:pt idx="189">
                  <c:v>0.56011900000000003</c:v>
                </c:pt>
                <c:pt idx="190">
                  <c:v>0.55295399999999995</c:v>
                </c:pt>
                <c:pt idx="191">
                  <c:v>0.54596</c:v>
                </c:pt>
                <c:pt idx="192">
                  <c:v>0.53912899999999997</c:v>
                </c:pt>
                <c:pt idx="193">
                  <c:v>0.532443</c:v>
                </c:pt>
                <c:pt idx="194">
                  <c:v>0.52589900000000001</c:v>
                </c:pt>
                <c:pt idx="195">
                  <c:v>0.51951000000000003</c:v>
                </c:pt>
                <c:pt idx="196">
                  <c:v>0.51328399999999996</c:v>
                </c:pt>
                <c:pt idx="197">
                  <c:v>0.50722999999999996</c:v>
                </c:pt>
                <c:pt idx="198">
                  <c:v>0.50134000000000001</c:v>
                </c:pt>
                <c:pt idx="199">
                  <c:v>0.49559900000000001</c:v>
                </c:pt>
                <c:pt idx="200">
                  <c:v>0.49000899999999997</c:v>
                </c:pt>
                <c:pt idx="201">
                  <c:v>0.48458200000000001</c:v>
                </c:pt>
                <c:pt idx="202">
                  <c:v>0.47933999999999999</c:v>
                </c:pt>
                <c:pt idx="203">
                  <c:v>0.47429900000000003</c:v>
                </c:pt>
                <c:pt idx="204">
                  <c:v>0.46946599999999999</c:v>
                </c:pt>
                <c:pt idx="205">
                  <c:v>0.46483400000000002</c:v>
                </c:pt>
                <c:pt idx="206">
                  <c:v>0.46038699999999999</c:v>
                </c:pt>
                <c:pt idx="207">
                  <c:v>0.45611200000000002</c:v>
                </c:pt>
                <c:pt idx="208">
                  <c:v>0.45200200000000001</c:v>
                </c:pt>
                <c:pt idx="209">
                  <c:v>0.448046</c:v>
                </c:pt>
                <c:pt idx="210">
                  <c:v>0.44424200000000003</c:v>
                </c:pt>
                <c:pt idx="211">
                  <c:v>0.44060199999999999</c:v>
                </c:pt>
                <c:pt idx="212">
                  <c:v>0.43713999999999997</c:v>
                </c:pt>
                <c:pt idx="213">
                  <c:v>0.43387900000000001</c:v>
                </c:pt>
                <c:pt idx="214">
                  <c:v>0.43083900000000003</c:v>
                </c:pt>
                <c:pt idx="215">
                  <c:v>0.42802400000000002</c:v>
                </c:pt>
                <c:pt idx="216">
                  <c:v>0.42542999999999997</c:v>
                </c:pt>
                <c:pt idx="217">
                  <c:v>0.42307400000000001</c:v>
                </c:pt>
                <c:pt idx="218">
                  <c:v>0.42097299999999999</c:v>
                </c:pt>
                <c:pt idx="219">
                  <c:v>0.419153</c:v>
                </c:pt>
                <c:pt idx="220">
                  <c:v>0.417657</c:v>
                </c:pt>
                <c:pt idx="221">
                  <c:v>0.416522</c:v>
                </c:pt>
                <c:pt idx="222">
                  <c:v>0.41576999999999997</c:v>
                </c:pt>
                <c:pt idx="223">
                  <c:v>0.41540300000000002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C-4D20-A196-AF34A23F2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18144"/>
        <c:axId val="80119680"/>
      </c:scatterChart>
      <c:valAx>
        <c:axId val="8011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119680"/>
        <c:crosses val="autoZero"/>
        <c:crossBetween val="midCat"/>
      </c:valAx>
      <c:valAx>
        <c:axId val="8011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18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Rij!$E$2:$E$87</c:f>
              <c:numCache>
                <c:formatCode>General</c:formatCode>
                <c:ptCount val="86"/>
                <c:pt idx="0">
                  <c:v>1.4745074309144201E-4</c:v>
                </c:pt>
                <c:pt idx="1">
                  <c:v>2.8033838954608999E-3</c:v>
                </c:pt>
                <c:pt idx="2">
                  <c:v>1.52299333505715E-2</c:v>
                </c:pt>
                <c:pt idx="3">
                  <c:v>4.6098331272161702E-2</c:v>
                </c:pt>
                <c:pt idx="4">
                  <c:v>0.102203405525472</c:v>
                </c:pt>
                <c:pt idx="5">
                  <c:v>0.184051280132975</c:v>
                </c:pt>
                <c:pt idx="6">
                  <c:v>0.28414588648595401</c:v>
                </c:pt>
                <c:pt idx="7">
                  <c:v>0.39013017951781498</c:v>
                </c:pt>
                <c:pt idx="8">
                  <c:v>0.490561373196574</c:v>
                </c:pt>
                <c:pt idx="9">
                  <c:v>0.57853671527000305</c:v>
                </c:pt>
                <c:pt idx="10">
                  <c:v>0.651730295575214</c:v>
                </c:pt>
                <c:pt idx="11">
                  <c:v>0.71073528816852505</c:v>
                </c:pt>
                <c:pt idx="12">
                  <c:v>0.75743376062473899</c:v>
                </c:pt>
                <c:pt idx="13">
                  <c:v>0.79398608616079502</c:v>
                </c:pt>
                <c:pt idx="14">
                  <c:v>0.82236594017594999</c:v>
                </c:pt>
                <c:pt idx="15">
                  <c:v>0.84421788847789303</c:v>
                </c:pt>
                <c:pt idx="16">
                  <c:v>0.86083890500236704</c:v>
                </c:pt>
                <c:pt idx="17">
                  <c:v>0.87321105062774595</c:v>
                </c:pt>
                <c:pt idx="18">
                  <c:v>0.88207040225932198</c:v>
                </c:pt>
                <c:pt idx="19">
                  <c:v>0.88798401768767199</c:v>
                </c:pt>
                <c:pt idx="20">
                  <c:v>0.89139770380121397</c:v>
                </c:pt>
                <c:pt idx="21">
                  <c:v>0.89265798103534699</c:v>
                </c:pt>
                <c:pt idx="22">
                  <c:v>0.89206065516242095</c:v>
                </c:pt>
                <c:pt idx="23">
                  <c:v>0.88985322802395195</c:v>
                </c:pt>
                <c:pt idx="24">
                  <c:v>0.88623409395321995</c:v>
                </c:pt>
                <c:pt idx="25">
                  <c:v>0.88135432550283999</c:v>
                </c:pt>
                <c:pt idx="26">
                  <c:v>0.87527874458368504</c:v>
                </c:pt>
                <c:pt idx="27">
                  <c:v>0.86803842285551303</c:v>
                </c:pt>
                <c:pt idx="28">
                  <c:v>0.859673628475078</c:v>
                </c:pt>
                <c:pt idx="29">
                  <c:v>0.85018936147958402</c:v>
                </c:pt>
                <c:pt idx="30">
                  <c:v>0.839479906796751</c:v>
                </c:pt>
                <c:pt idx="31">
                  <c:v>0.82775348026150697</c:v>
                </c:pt>
                <c:pt idx="32">
                  <c:v>0.81451472104530198</c:v>
                </c:pt>
                <c:pt idx="33">
                  <c:v>0.799633449608118</c:v>
                </c:pt>
                <c:pt idx="34">
                  <c:v>0.78468333837302195</c:v>
                </c:pt>
                <c:pt idx="35">
                  <c:v>0.76983037071785898</c:v>
                </c:pt>
                <c:pt idx="36">
                  <c:v>0.75481954474530599</c:v>
                </c:pt>
                <c:pt idx="37">
                  <c:v>0.73979854012559099</c:v>
                </c:pt>
                <c:pt idx="38">
                  <c:v>0.72471302609732702</c:v>
                </c:pt>
                <c:pt idx="39">
                  <c:v>0.709609029788691</c:v>
                </c:pt>
                <c:pt idx="40">
                  <c:v>0.69450320310929303</c:v>
                </c:pt>
                <c:pt idx="41">
                  <c:v>0.67930755433300904</c:v>
                </c:pt>
                <c:pt idx="42">
                  <c:v>0.66413650395403401</c:v>
                </c:pt>
                <c:pt idx="43">
                  <c:v>0.648945765928574</c:v>
                </c:pt>
                <c:pt idx="44">
                  <c:v>0.633732393806136</c:v>
                </c:pt>
                <c:pt idx="45">
                  <c:v>0.61851428950563103</c:v>
                </c:pt>
                <c:pt idx="46">
                  <c:v>0.60332444434395704</c:v>
                </c:pt>
                <c:pt idx="47">
                  <c:v>0.58809486674380096</c:v>
                </c:pt>
                <c:pt idx="48">
                  <c:v>0.57284435148785895</c:v>
                </c:pt>
                <c:pt idx="49">
                  <c:v>0.55761691676078895</c:v>
                </c:pt>
                <c:pt idx="50">
                  <c:v>0.54237461585168001</c:v>
                </c:pt>
                <c:pt idx="51">
                  <c:v>0.52711093085489202</c:v>
                </c:pt>
                <c:pt idx="52">
                  <c:v>0.51182492426345205</c:v>
                </c:pt>
                <c:pt idx="53">
                  <c:v>0.49654891774641602</c:v>
                </c:pt>
                <c:pt idx="54">
                  <c:v>0.48127308980213701</c:v>
                </c:pt>
                <c:pt idx="55">
                  <c:v>0.46599913687180899</c:v>
                </c:pt>
                <c:pt idx="56">
                  <c:v>0.45071522851026602</c:v>
                </c:pt>
                <c:pt idx="57">
                  <c:v>0.435435829110843</c:v>
                </c:pt>
                <c:pt idx="58">
                  <c:v>0.42014111709748703</c:v>
                </c:pt>
                <c:pt idx="59">
                  <c:v>0.40483238712268899</c:v>
                </c:pt>
                <c:pt idx="60">
                  <c:v>0.389532005424292</c:v>
                </c:pt>
                <c:pt idx="61">
                  <c:v>0.37422269508803302</c:v>
                </c:pt>
                <c:pt idx="62">
                  <c:v>0.35890142037703998</c:v>
                </c:pt>
                <c:pt idx="63">
                  <c:v>0.34359664132449502</c:v>
                </c:pt>
                <c:pt idx="64">
                  <c:v>0.328283871141065</c:v>
                </c:pt>
                <c:pt idx="65">
                  <c:v>0.31295527494702602</c:v>
                </c:pt>
                <c:pt idx="66">
                  <c:v>0.29763437970314199</c:v>
                </c:pt>
                <c:pt idx="67">
                  <c:v>0.28232685509445499</c:v>
                </c:pt>
                <c:pt idx="68">
                  <c:v>0.26702178586118003</c:v>
                </c:pt>
                <c:pt idx="69">
                  <c:v>0.25173428372289802</c:v>
                </c:pt>
                <c:pt idx="70">
                  <c:v>0.236450420004544</c:v>
                </c:pt>
                <c:pt idx="71">
                  <c:v>0.221168252727384</c:v>
                </c:pt>
                <c:pt idx="72">
                  <c:v>0.20588579526949299</c:v>
                </c:pt>
                <c:pt idx="73">
                  <c:v>0.190602556555789</c:v>
                </c:pt>
                <c:pt idx="74">
                  <c:v>0.17533432911449001</c:v>
                </c:pt>
                <c:pt idx="75">
                  <c:v>0.160072530292451</c:v>
                </c:pt>
                <c:pt idx="76">
                  <c:v>0.14482118913750699</c:v>
                </c:pt>
                <c:pt idx="77">
                  <c:v>0.12956928994269701</c:v>
                </c:pt>
                <c:pt idx="78">
                  <c:v>0.11431614073858599</c:v>
                </c:pt>
                <c:pt idx="79">
                  <c:v>9.9073415719178895E-2</c:v>
                </c:pt>
                <c:pt idx="80">
                  <c:v>8.3843575840284901E-2</c:v>
                </c:pt>
                <c:pt idx="81">
                  <c:v>6.8614204714878696E-2</c:v>
                </c:pt>
                <c:pt idx="82">
                  <c:v>5.3389576928336298E-2</c:v>
                </c:pt>
                <c:pt idx="83">
                  <c:v>3.8166073592124601E-2</c:v>
                </c:pt>
                <c:pt idx="84">
                  <c:v>2.29409310138056E-2</c:v>
                </c:pt>
                <c:pt idx="85">
                  <c:v>7.7103775414326201E-3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9-4F02-A897-5356D8EC977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DNS!$B$381:$B$604</c:f>
              <c:numCache>
                <c:formatCode>0.00E+00</c:formatCode>
                <c:ptCount val="224"/>
                <c:pt idx="0">
                  <c:v>0.30789100000000003</c:v>
                </c:pt>
                <c:pt idx="1">
                  <c:v>0.62376399999999999</c:v>
                </c:pt>
                <c:pt idx="2">
                  <c:v>0.94890399999999997</c:v>
                </c:pt>
                <c:pt idx="3">
                  <c:v>1.2846200000000001</c:v>
                </c:pt>
                <c:pt idx="4">
                  <c:v>1.63222</c:v>
                </c:pt>
                <c:pt idx="5">
                  <c:v>1.99305</c:v>
                </c:pt>
                <c:pt idx="6">
                  <c:v>2.3684599999999998</c:v>
                </c:pt>
                <c:pt idx="7">
                  <c:v>2.7598099999999999</c:v>
                </c:pt>
                <c:pt idx="8">
                  <c:v>3.1684600000000001</c:v>
                </c:pt>
                <c:pt idx="9">
                  <c:v>3.59579</c:v>
                </c:pt>
                <c:pt idx="10">
                  <c:v>4.0431600000000003</c:v>
                </c:pt>
                <c:pt idx="11">
                  <c:v>4.5119699999999998</c:v>
                </c:pt>
                <c:pt idx="12">
                  <c:v>5.0035800000000004</c:v>
                </c:pt>
                <c:pt idx="13">
                  <c:v>5.51938</c:v>
                </c:pt>
                <c:pt idx="14">
                  <c:v>6.0607199999999999</c:v>
                </c:pt>
                <c:pt idx="15">
                  <c:v>6.6289600000000002</c:v>
                </c:pt>
                <c:pt idx="16">
                  <c:v>7.22546</c:v>
                </c:pt>
                <c:pt idx="17">
                  <c:v>7.8515600000000001</c:v>
                </c:pt>
                <c:pt idx="18">
                  <c:v>8.5085899999999999</c:v>
                </c:pt>
                <c:pt idx="19">
                  <c:v>9.1978399999999993</c:v>
                </c:pt>
                <c:pt idx="20">
                  <c:v>9.9206299999999992</c:v>
                </c:pt>
                <c:pt idx="21">
                  <c:v>10.6782</c:v>
                </c:pt>
                <c:pt idx="22">
                  <c:v>11.4719</c:v>
                </c:pt>
                <c:pt idx="23">
                  <c:v>12.3028</c:v>
                </c:pt>
                <c:pt idx="24">
                  <c:v>13.1723</c:v>
                </c:pt>
                <c:pt idx="25">
                  <c:v>14.0815</c:v>
                </c:pt>
                <c:pt idx="26">
                  <c:v>15.031499999999999</c:v>
                </c:pt>
                <c:pt idx="27">
                  <c:v>16.023599999999998</c:v>
                </c:pt>
                <c:pt idx="28">
                  <c:v>17.058800000000002</c:v>
                </c:pt>
                <c:pt idx="29">
                  <c:v>18.138200000000001</c:v>
                </c:pt>
                <c:pt idx="30">
                  <c:v>19.262899999999998</c:v>
                </c:pt>
                <c:pt idx="31">
                  <c:v>20.433900000000001</c:v>
                </c:pt>
                <c:pt idx="32">
                  <c:v>21.652200000000001</c:v>
                </c:pt>
                <c:pt idx="33">
                  <c:v>22.918700000000001</c:v>
                </c:pt>
                <c:pt idx="34">
                  <c:v>24.234500000000001</c:v>
                </c:pt>
                <c:pt idx="35">
                  <c:v>25.6004</c:v>
                </c:pt>
                <c:pt idx="36">
                  <c:v>27.017299999999999</c:v>
                </c:pt>
                <c:pt idx="37">
                  <c:v>28.4861</c:v>
                </c:pt>
                <c:pt idx="38">
                  <c:v>30.007400000000001</c:v>
                </c:pt>
                <c:pt idx="39">
                  <c:v>31.5822</c:v>
                </c:pt>
                <c:pt idx="40">
                  <c:v>33.211199999999998</c:v>
                </c:pt>
                <c:pt idx="41">
                  <c:v>34.895000000000003</c:v>
                </c:pt>
                <c:pt idx="42">
                  <c:v>36.634399999999999</c:v>
                </c:pt>
                <c:pt idx="43">
                  <c:v>38.43</c:v>
                </c:pt>
                <c:pt idx="44">
                  <c:v>40.282299999999999</c:v>
                </c:pt>
                <c:pt idx="45">
                  <c:v>42.192</c:v>
                </c:pt>
                <c:pt idx="46">
                  <c:v>44.159599999999998</c:v>
                </c:pt>
                <c:pt idx="47">
                  <c:v>46.185600000000001</c:v>
                </c:pt>
                <c:pt idx="48">
                  <c:v>48.270400000000002</c:v>
                </c:pt>
                <c:pt idx="49">
                  <c:v>50.414499999999997</c:v>
                </c:pt>
                <c:pt idx="50">
                  <c:v>52.618299999999998</c:v>
                </c:pt>
                <c:pt idx="51">
                  <c:v>54.882100000000001</c:v>
                </c:pt>
                <c:pt idx="52">
                  <c:v>57.206200000000003</c:v>
                </c:pt>
                <c:pt idx="53">
                  <c:v>59.591000000000001</c:v>
                </c:pt>
                <c:pt idx="54">
                  <c:v>62.036700000000003</c:v>
                </c:pt>
                <c:pt idx="55">
                  <c:v>64.543499999999995</c:v>
                </c:pt>
                <c:pt idx="56">
                  <c:v>67.111699999999999</c:v>
                </c:pt>
                <c:pt idx="57">
                  <c:v>69.741200000000006</c:v>
                </c:pt>
                <c:pt idx="58">
                  <c:v>72.432400000000001</c:v>
                </c:pt>
                <c:pt idx="59">
                  <c:v>75.185199999999995</c:v>
                </c:pt>
                <c:pt idx="60">
                  <c:v>77.999700000000004</c:v>
                </c:pt>
                <c:pt idx="61">
                  <c:v>80.876000000000005</c:v>
                </c:pt>
                <c:pt idx="62">
                  <c:v>83.813900000000004</c:v>
                </c:pt>
                <c:pt idx="63">
                  <c:v>86.813599999999994</c:v>
                </c:pt>
                <c:pt idx="64">
                  <c:v>89.874899999999997</c:v>
                </c:pt>
                <c:pt idx="65">
                  <c:v>92.997600000000006</c:v>
                </c:pt>
                <c:pt idx="66">
                  <c:v>96.181799999999996</c:v>
                </c:pt>
                <c:pt idx="67">
                  <c:v>99.427099999999996</c:v>
                </c:pt>
                <c:pt idx="68">
                  <c:v>102.733</c:v>
                </c:pt>
                <c:pt idx="69">
                  <c:v>106.101</c:v>
                </c:pt>
                <c:pt idx="70">
                  <c:v>109.52800000000001</c:v>
                </c:pt>
                <c:pt idx="71">
                  <c:v>113.01600000000001</c:v>
                </c:pt>
                <c:pt idx="72">
                  <c:v>116.56399999999999</c:v>
                </c:pt>
                <c:pt idx="73">
                  <c:v>120.172</c:v>
                </c:pt>
                <c:pt idx="74">
                  <c:v>123.839</c:v>
                </c:pt>
                <c:pt idx="75">
                  <c:v>127.56399999999999</c:v>
                </c:pt>
                <c:pt idx="76">
                  <c:v>131.34899999999999</c:v>
                </c:pt>
                <c:pt idx="77">
                  <c:v>135.191</c:v>
                </c:pt>
                <c:pt idx="78">
                  <c:v>139.09100000000001</c:v>
                </c:pt>
                <c:pt idx="79">
                  <c:v>143.048</c:v>
                </c:pt>
                <c:pt idx="80">
                  <c:v>147.06200000000001</c:v>
                </c:pt>
                <c:pt idx="81">
                  <c:v>151.13200000000001</c:v>
                </c:pt>
                <c:pt idx="82">
                  <c:v>155.25800000000001</c:v>
                </c:pt>
                <c:pt idx="83">
                  <c:v>159.43899999999999</c:v>
                </c:pt>
                <c:pt idx="84">
                  <c:v>163.67500000000001</c:v>
                </c:pt>
                <c:pt idx="85">
                  <c:v>167.964</c:v>
                </c:pt>
                <c:pt idx="86">
                  <c:v>172.30699999999999</c:v>
                </c:pt>
                <c:pt idx="87">
                  <c:v>176.703</c:v>
                </c:pt>
                <c:pt idx="88">
                  <c:v>181.15</c:v>
                </c:pt>
                <c:pt idx="89">
                  <c:v>185.65</c:v>
                </c:pt>
                <c:pt idx="90">
                  <c:v>190.2</c:v>
                </c:pt>
                <c:pt idx="91">
                  <c:v>194.8</c:v>
                </c:pt>
                <c:pt idx="92">
                  <c:v>199.45</c:v>
                </c:pt>
                <c:pt idx="93">
                  <c:v>204.149</c:v>
                </c:pt>
                <c:pt idx="94">
                  <c:v>208.89599999999999</c:v>
                </c:pt>
                <c:pt idx="95">
                  <c:v>213.691</c:v>
                </c:pt>
                <c:pt idx="96">
                  <c:v>218.53200000000001</c:v>
                </c:pt>
                <c:pt idx="97">
                  <c:v>223.41900000000001</c:v>
                </c:pt>
                <c:pt idx="98">
                  <c:v>228.352</c:v>
                </c:pt>
                <c:pt idx="99">
                  <c:v>233.32900000000001</c:v>
                </c:pt>
                <c:pt idx="100">
                  <c:v>238.35</c:v>
                </c:pt>
                <c:pt idx="101">
                  <c:v>243.41499999999999</c:v>
                </c:pt>
                <c:pt idx="102">
                  <c:v>248.52099999999999</c:v>
                </c:pt>
                <c:pt idx="103">
                  <c:v>253.67</c:v>
                </c:pt>
                <c:pt idx="104">
                  <c:v>258.85899999999998</c:v>
                </c:pt>
                <c:pt idx="105">
                  <c:v>264.08800000000002</c:v>
                </c:pt>
                <c:pt idx="106">
                  <c:v>269.35700000000003</c:v>
                </c:pt>
                <c:pt idx="107">
                  <c:v>274.66399999999999</c:v>
                </c:pt>
                <c:pt idx="108">
                  <c:v>280.00900000000001</c:v>
                </c:pt>
                <c:pt idx="109">
                  <c:v>285.392</c:v>
                </c:pt>
                <c:pt idx="110">
                  <c:v>290.81</c:v>
                </c:pt>
                <c:pt idx="111">
                  <c:v>296.26499999999999</c:v>
                </c:pt>
                <c:pt idx="112">
                  <c:v>301.75400000000002</c:v>
                </c:pt>
                <c:pt idx="113">
                  <c:v>307.27800000000002</c:v>
                </c:pt>
                <c:pt idx="114">
                  <c:v>312.83499999999998</c:v>
                </c:pt>
                <c:pt idx="115">
                  <c:v>318.42399999999998</c:v>
                </c:pt>
                <c:pt idx="116">
                  <c:v>324.04599999999999</c:v>
                </c:pt>
                <c:pt idx="117">
                  <c:v>329.69900000000001</c:v>
                </c:pt>
                <c:pt idx="118">
                  <c:v>335.38200000000001</c:v>
                </c:pt>
                <c:pt idx="119">
                  <c:v>341.096</c:v>
                </c:pt>
                <c:pt idx="120">
                  <c:v>346.83800000000002</c:v>
                </c:pt>
                <c:pt idx="121">
                  <c:v>352.60899999999998</c:v>
                </c:pt>
                <c:pt idx="122">
                  <c:v>358.40800000000002</c:v>
                </c:pt>
                <c:pt idx="123">
                  <c:v>364.233</c:v>
                </c:pt>
                <c:pt idx="124">
                  <c:v>370.08499999999998</c:v>
                </c:pt>
                <c:pt idx="125">
                  <c:v>375.96300000000002</c:v>
                </c:pt>
                <c:pt idx="126">
                  <c:v>381.86599999999999</c:v>
                </c:pt>
                <c:pt idx="127">
                  <c:v>387.79300000000001</c:v>
                </c:pt>
                <c:pt idx="128">
                  <c:v>393.74400000000003</c:v>
                </c:pt>
                <c:pt idx="129">
                  <c:v>399.71800000000002</c:v>
                </c:pt>
                <c:pt idx="130">
                  <c:v>405.71499999999997</c:v>
                </c:pt>
                <c:pt idx="131">
                  <c:v>411.73399999999998</c:v>
                </c:pt>
                <c:pt idx="132">
                  <c:v>417.774</c:v>
                </c:pt>
                <c:pt idx="133">
                  <c:v>423.83499999999998</c:v>
                </c:pt>
                <c:pt idx="134">
                  <c:v>429.916</c:v>
                </c:pt>
                <c:pt idx="135">
                  <c:v>436.01600000000002</c:v>
                </c:pt>
                <c:pt idx="136">
                  <c:v>442.13600000000002</c:v>
                </c:pt>
                <c:pt idx="137">
                  <c:v>448.274</c:v>
                </c:pt>
                <c:pt idx="138">
                  <c:v>454.43</c:v>
                </c:pt>
                <c:pt idx="139">
                  <c:v>460.60399999999998</c:v>
                </c:pt>
                <c:pt idx="140">
                  <c:v>466.79500000000002</c:v>
                </c:pt>
                <c:pt idx="141">
                  <c:v>473.00200000000001</c:v>
                </c:pt>
                <c:pt idx="142">
                  <c:v>479.22500000000002</c:v>
                </c:pt>
                <c:pt idx="143">
                  <c:v>485.464</c:v>
                </c:pt>
                <c:pt idx="144">
                  <c:v>491.71699999999998</c:v>
                </c:pt>
                <c:pt idx="145">
                  <c:v>497.98599999999999</c:v>
                </c:pt>
                <c:pt idx="146">
                  <c:v>504.26900000000001</c:v>
                </c:pt>
                <c:pt idx="147">
                  <c:v>510.565</c:v>
                </c:pt>
                <c:pt idx="148">
                  <c:v>516.875</c:v>
                </c:pt>
                <c:pt idx="149">
                  <c:v>523.19799999999998</c:v>
                </c:pt>
                <c:pt idx="150">
                  <c:v>529.53399999999999</c:v>
                </c:pt>
                <c:pt idx="151">
                  <c:v>535.88199999999995</c:v>
                </c:pt>
                <c:pt idx="152">
                  <c:v>542.24199999999996</c:v>
                </c:pt>
                <c:pt idx="153">
                  <c:v>548.61300000000006</c:v>
                </c:pt>
                <c:pt idx="154">
                  <c:v>554.99599999999998</c:v>
                </c:pt>
                <c:pt idx="155">
                  <c:v>561.39</c:v>
                </c:pt>
                <c:pt idx="156">
                  <c:v>567.79499999999996</c:v>
                </c:pt>
                <c:pt idx="157">
                  <c:v>574.21</c:v>
                </c:pt>
                <c:pt idx="158">
                  <c:v>580.63499999999999</c:v>
                </c:pt>
                <c:pt idx="159">
                  <c:v>587.07000000000005</c:v>
                </c:pt>
                <c:pt idx="160">
                  <c:v>593.51499999999999</c:v>
                </c:pt>
                <c:pt idx="161">
                  <c:v>599.97</c:v>
                </c:pt>
                <c:pt idx="162">
                  <c:v>606.43299999999999</c:v>
                </c:pt>
                <c:pt idx="163">
                  <c:v>612.90599999999995</c:v>
                </c:pt>
                <c:pt idx="164">
                  <c:v>619.38800000000003</c:v>
                </c:pt>
                <c:pt idx="165">
                  <c:v>625.87800000000004</c:v>
                </c:pt>
                <c:pt idx="166">
                  <c:v>632.37699999999995</c:v>
                </c:pt>
                <c:pt idx="167">
                  <c:v>638.88499999999999</c:v>
                </c:pt>
                <c:pt idx="168">
                  <c:v>645.40099999999995</c:v>
                </c:pt>
                <c:pt idx="169">
                  <c:v>651.92499999999995</c:v>
                </c:pt>
                <c:pt idx="170">
                  <c:v>658.45699999999999</c:v>
                </c:pt>
                <c:pt idx="171">
                  <c:v>664.99800000000005</c:v>
                </c:pt>
                <c:pt idx="172">
                  <c:v>671.54600000000005</c:v>
                </c:pt>
                <c:pt idx="173">
                  <c:v>678.10199999999998</c:v>
                </c:pt>
                <c:pt idx="174">
                  <c:v>684.66700000000003</c:v>
                </c:pt>
                <c:pt idx="175">
                  <c:v>691.23900000000003</c:v>
                </c:pt>
                <c:pt idx="176">
                  <c:v>697.81899999999996</c:v>
                </c:pt>
                <c:pt idx="177">
                  <c:v>704.40700000000004</c:v>
                </c:pt>
                <c:pt idx="178">
                  <c:v>711.00300000000004</c:v>
                </c:pt>
                <c:pt idx="179">
                  <c:v>717.60799999999995</c:v>
                </c:pt>
                <c:pt idx="180">
                  <c:v>724.22</c:v>
                </c:pt>
                <c:pt idx="181">
                  <c:v>730.84</c:v>
                </c:pt>
                <c:pt idx="182">
                  <c:v>737.46900000000005</c:v>
                </c:pt>
                <c:pt idx="183">
                  <c:v>744.10599999999999</c:v>
                </c:pt>
                <c:pt idx="184">
                  <c:v>750.75099999999998</c:v>
                </c:pt>
                <c:pt idx="185">
                  <c:v>757.40599999999995</c:v>
                </c:pt>
                <c:pt idx="186">
                  <c:v>764.06899999999996</c:v>
                </c:pt>
                <c:pt idx="187">
                  <c:v>770.74</c:v>
                </c:pt>
                <c:pt idx="188">
                  <c:v>777.42100000000005</c:v>
                </c:pt>
                <c:pt idx="189">
                  <c:v>784.11199999999997</c:v>
                </c:pt>
                <c:pt idx="190">
                  <c:v>790.81200000000001</c:v>
                </c:pt>
                <c:pt idx="191">
                  <c:v>797.52099999999996</c:v>
                </c:pt>
                <c:pt idx="192">
                  <c:v>804.24099999999999</c:v>
                </c:pt>
                <c:pt idx="193">
                  <c:v>810.97199999999998</c:v>
                </c:pt>
                <c:pt idx="194">
                  <c:v>817.71199999999999</c:v>
                </c:pt>
                <c:pt idx="195">
                  <c:v>824.46400000000006</c:v>
                </c:pt>
                <c:pt idx="196">
                  <c:v>831.22699999999998</c:v>
                </c:pt>
                <c:pt idx="197">
                  <c:v>838.00199999999995</c:v>
                </c:pt>
                <c:pt idx="198">
                  <c:v>844.78899999999999</c:v>
                </c:pt>
                <c:pt idx="199">
                  <c:v>851.58900000000006</c:v>
                </c:pt>
                <c:pt idx="200">
                  <c:v>858.40099999999995</c:v>
                </c:pt>
                <c:pt idx="201">
                  <c:v>865.226</c:v>
                </c:pt>
                <c:pt idx="202">
                  <c:v>872.06600000000003</c:v>
                </c:pt>
                <c:pt idx="203">
                  <c:v>878.91899999999998</c:v>
                </c:pt>
                <c:pt idx="204">
                  <c:v>885.78800000000001</c:v>
                </c:pt>
                <c:pt idx="205">
                  <c:v>892.67200000000003</c:v>
                </c:pt>
                <c:pt idx="206">
                  <c:v>899.57100000000003</c:v>
                </c:pt>
                <c:pt idx="207">
                  <c:v>906.48699999999997</c:v>
                </c:pt>
                <c:pt idx="208">
                  <c:v>913.42100000000005</c:v>
                </c:pt>
                <c:pt idx="209">
                  <c:v>920.37199999999996</c:v>
                </c:pt>
                <c:pt idx="210">
                  <c:v>927.34100000000001</c:v>
                </c:pt>
                <c:pt idx="211">
                  <c:v>934.33</c:v>
                </c:pt>
                <c:pt idx="212">
                  <c:v>941.33900000000006</c:v>
                </c:pt>
                <c:pt idx="213">
                  <c:v>948.36800000000005</c:v>
                </c:pt>
                <c:pt idx="214">
                  <c:v>955.41899999999998</c:v>
                </c:pt>
                <c:pt idx="215">
                  <c:v>962.49199999999996</c:v>
                </c:pt>
                <c:pt idx="216">
                  <c:v>969.58799999999997</c:v>
                </c:pt>
                <c:pt idx="217">
                  <c:v>976.70899999999995</c:v>
                </c:pt>
                <c:pt idx="218">
                  <c:v>983.85500000000002</c:v>
                </c:pt>
                <c:pt idx="219">
                  <c:v>991.02700000000004</c:v>
                </c:pt>
                <c:pt idx="220">
                  <c:v>998.226</c:v>
                </c:pt>
                <c:pt idx="221">
                  <c:v>1005.45</c:v>
                </c:pt>
                <c:pt idx="222">
                  <c:v>1012.71</c:v>
                </c:pt>
                <c:pt idx="223">
                  <c:v>1020</c:v>
                </c:pt>
              </c:numCache>
            </c:numRef>
          </c:xVal>
          <c:yVal>
            <c:numRef>
              <c:f>DNS!$D$381:$D$604</c:f>
              <c:numCache>
                <c:formatCode>0.00E+00</c:formatCode>
                <c:ptCount val="224"/>
                <c:pt idx="0">
                  <c:v>3.1108600000000002E-5</c:v>
                </c:pt>
                <c:pt idx="1">
                  <c:v>2.6180000000000002E-4</c:v>
                </c:pt>
                <c:pt idx="2">
                  <c:v>9.3496900000000001E-4</c:v>
                </c:pt>
                <c:pt idx="3">
                  <c:v>2.3458799999999998E-3</c:v>
                </c:pt>
                <c:pt idx="4">
                  <c:v>4.8421899999999997E-3</c:v>
                </c:pt>
                <c:pt idx="5">
                  <c:v>8.8182799999999995E-3</c:v>
                </c:pt>
                <c:pt idx="6">
                  <c:v>1.47029E-2</c:v>
                </c:pt>
                <c:pt idx="7">
                  <c:v>2.29404E-2</c:v>
                </c:pt>
                <c:pt idx="8">
                  <c:v>3.39654E-2</c:v>
                </c:pt>
                <c:pt idx="9">
                  <c:v>4.8173300000000002E-2</c:v>
                </c:pt>
                <c:pt idx="10">
                  <c:v>6.5888600000000005E-2</c:v>
                </c:pt>
                <c:pt idx="11">
                  <c:v>8.7334099999999998E-2</c:v>
                </c:pt>
                <c:pt idx="12">
                  <c:v>0.112605</c:v>
                </c:pt>
                <c:pt idx="13">
                  <c:v>0.14165</c:v>
                </c:pt>
                <c:pt idx="14">
                  <c:v>0.174266</c:v>
                </c:pt>
                <c:pt idx="15">
                  <c:v>0.21009800000000001</c:v>
                </c:pt>
                <c:pt idx="16">
                  <c:v>0.24865999999999999</c:v>
                </c:pt>
                <c:pt idx="17">
                  <c:v>0.28935699999999998</c:v>
                </c:pt>
                <c:pt idx="18">
                  <c:v>0.33152500000000001</c:v>
                </c:pt>
                <c:pt idx="19">
                  <c:v>0.37446299999999999</c:v>
                </c:pt>
                <c:pt idx="20">
                  <c:v>0.41747800000000002</c:v>
                </c:pt>
                <c:pt idx="21">
                  <c:v>0.45992</c:v>
                </c:pt>
                <c:pt idx="22">
                  <c:v>0.50120799999999999</c:v>
                </c:pt>
                <c:pt idx="23">
                  <c:v>0.54085300000000003</c:v>
                </c:pt>
                <c:pt idx="24">
                  <c:v>0.57846900000000001</c:v>
                </c:pt>
                <c:pt idx="25">
                  <c:v>0.61377599999999999</c:v>
                </c:pt>
                <c:pt idx="26">
                  <c:v>0.64659299999999997</c:v>
                </c:pt>
                <c:pt idx="27">
                  <c:v>0.67683000000000004</c:v>
                </c:pt>
                <c:pt idx="28">
                  <c:v>0.70447300000000002</c:v>
                </c:pt>
                <c:pt idx="29">
                  <c:v>0.72956799999999999</c:v>
                </c:pt>
                <c:pt idx="30">
                  <c:v>0.75220799999999999</c:v>
                </c:pt>
                <c:pt idx="31">
                  <c:v>0.77251999999999998</c:v>
                </c:pt>
                <c:pt idx="32">
                  <c:v>0.79064900000000005</c:v>
                </c:pt>
                <c:pt idx="33">
                  <c:v>0.80675200000000002</c:v>
                </c:pt>
                <c:pt idx="34">
                  <c:v>0.82099200000000006</c:v>
                </c:pt>
                <c:pt idx="35">
                  <c:v>0.83352800000000005</c:v>
                </c:pt>
                <c:pt idx="36">
                  <c:v>0.84451600000000004</c:v>
                </c:pt>
                <c:pt idx="37">
                  <c:v>0.85409900000000005</c:v>
                </c:pt>
                <c:pt idx="38">
                  <c:v>0.86241599999999996</c:v>
                </c:pt>
                <c:pt idx="39">
                  <c:v>0.869591</c:v>
                </c:pt>
                <c:pt idx="40">
                  <c:v>0.87573999999999996</c:v>
                </c:pt>
                <c:pt idx="41">
                  <c:v>0.88097000000000003</c:v>
                </c:pt>
                <c:pt idx="42">
                  <c:v>0.88537699999999997</c:v>
                </c:pt>
                <c:pt idx="43">
                  <c:v>0.88904499999999997</c:v>
                </c:pt>
                <c:pt idx="44">
                  <c:v>0.89205199999999996</c:v>
                </c:pt>
                <c:pt idx="45">
                  <c:v>0.89446899999999996</c:v>
                </c:pt>
                <c:pt idx="46">
                  <c:v>0.89635900000000002</c:v>
                </c:pt>
                <c:pt idx="47">
                  <c:v>0.89778199999999997</c:v>
                </c:pt>
                <c:pt idx="48">
                  <c:v>0.89878800000000003</c:v>
                </c:pt>
                <c:pt idx="49">
                  <c:v>0.89942299999999997</c:v>
                </c:pt>
                <c:pt idx="50">
                  <c:v>0.89972700000000005</c:v>
                </c:pt>
                <c:pt idx="51">
                  <c:v>0.899733</c:v>
                </c:pt>
                <c:pt idx="52">
                  <c:v>0.89947100000000002</c:v>
                </c:pt>
                <c:pt idx="53">
                  <c:v>0.89896500000000001</c:v>
                </c:pt>
                <c:pt idx="54">
                  <c:v>0.89823799999999998</c:v>
                </c:pt>
                <c:pt idx="55">
                  <c:v>0.89730900000000002</c:v>
                </c:pt>
                <c:pt idx="56">
                  <c:v>0.89619800000000005</c:v>
                </c:pt>
                <c:pt idx="57">
                  <c:v>0.89491900000000002</c:v>
                </c:pt>
                <c:pt idx="58">
                  <c:v>0.893486</c:v>
                </c:pt>
                <c:pt idx="59">
                  <c:v>0.89190800000000003</c:v>
                </c:pt>
                <c:pt idx="60">
                  <c:v>0.89019300000000001</c:v>
                </c:pt>
                <c:pt idx="61">
                  <c:v>0.888347</c:v>
                </c:pt>
                <c:pt idx="62">
                  <c:v>0.886378</c:v>
                </c:pt>
                <c:pt idx="63">
                  <c:v>0.884293</c:v>
                </c:pt>
                <c:pt idx="64">
                  <c:v>0.88209800000000005</c:v>
                </c:pt>
                <c:pt idx="65">
                  <c:v>0.87980000000000003</c:v>
                </c:pt>
                <c:pt idx="66">
                  <c:v>0.87740399999999996</c:v>
                </c:pt>
                <c:pt idx="67">
                  <c:v>0.87491399999999997</c:v>
                </c:pt>
                <c:pt idx="68">
                  <c:v>0.872332</c:v>
                </c:pt>
                <c:pt idx="69">
                  <c:v>0.86965999999999999</c:v>
                </c:pt>
                <c:pt idx="70">
                  <c:v>0.86690100000000003</c:v>
                </c:pt>
                <c:pt idx="71">
                  <c:v>0.86405500000000002</c:v>
                </c:pt>
                <c:pt idx="72">
                  <c:v>0.86112500000000003</c:v>
                </c:pt>
                <c:pt idx="73">
                  <c:v>0.85811400000000004</c:v>
                </c:pt>
                <c:pt idx="74">
                  <c:v>0.85502299999999998</c:v>
                </c:pt>
                <c:pt idx="75">
                  <c:v>0.85185200000000005</c:v>
                </c:pt>
                <c:pt idx="76">
                  <c:v>0.848603</c:v>
                </c:pt>
                <c:pt idx="77">
                  <c:v>0.845279</c:v>
                </c:pt>
                <c:pt idx="78">
                  <c:v>0.84188099999999999</c:v>
                </c:pt>
                <c:pt idx="79">
                  <c:v>0.83841399999999999</c:v>
                </c:pt>
                <c:pt idx="80">
                  <c:v>0.83487900000000004</c:v>
                </c:pt>
                <c:pt idx="81">
                  <c:v>0.83127300000000004</c:v>
                </c:pt>
                <c:pt idx="82">
                  <c:v>0.82759899999999997</c:v>
                </c:pt>
                <c:pt idx="83">
                  <c:v>0.82386000000000004</c:v>
                </c:pt>
                <c:pt idx="84">
                  <c:v>0.82005600000000001</c:v>
                </c:pt>
                <c:pt idx="85">
                  <c:v>0.81618500000000005</c:v>
                </c:pt>
                <c:pt idx="86">
                  <c:v>0.81225099999999995</c:v>
                </c:pt>
                <c:pt idx="87">
                  <c:v>0.80825400000000003</c:v>
                </c:pt>
                <c:pt idx="88">
                  <c:v>0.80419499999999999</c:v>
                </c:pt>
                <c:pt idx="89">
                  <c:v>0.80007600000000001</c:v>
                </c:pt>
                <c:pt idx="90">
                  <c:v>0.79589900000000002</c:v>
                </c:pt>
                <c:pt idx="91">
                  <c:v>0.79166499999999995</c:v>
                </c:pt>
                <c:pt idx="92">
                  <c:v>0.78737199999999996</c:v>
                </c:pt>
                <c:pt idx="93">
                  <c:v>0.78302099999999997</c:v>
                </c:pt>
                <c:pt idx="94">
                  <c:v>0.778613</c:v>
                </c:pt>
                <c:pt idx="95">
                  <c:v>0.77415100000000003</c:v>
                </c:pt>
                <c:pt idx="96">
                  <c:v>0.76963599999999999</c:v>
                </c:pt>
                <c:pt idx="97">
                  <c:v>0.76506799999999997</c:v>
                </c:pt>
                <c:pt idx="98">
                  <c:v>0.76044599999999996</c:v>
                </c:pt>
                <c:pt idx="99">
                  <c:v>0.75577099999999997</c:v>
                </c:pt>
                <c:pt idx="100">
                  <c:v>0.75104599999999999</c:v>
                </c:pt>
                <c:pt idx="101">
                  <c:v>0.74627399999999999</c:v>
                </c:pt>
                <c:pt idx="102">
                  <c:v>0.74145700000000003</c:v>
                </c:pt>
                <c:pt idx="103">
                  <c:v>0.736595</c:v>
                </c:pt>
                <c:pt idx="104">
                  <c:v>0.73168599999999995</c:v>
                </c:pt>
                <c:pt idx="105">
                  <c:v>0.72673500000000002</c:v>
                </c:pt>
                <c:pt idx="106">
                  <c:v>0.72174199999999999</c:v>
                </c:pt>
                <c:pt idx="107">
                  <c:v>0.71670900000000004</c:v>
                </c:pt>
                <c:pt idx="108">
                  <c:v>0.71163500000000002</c:v>
                </c:pt>
                <c:pt idx="109">
                  <c:v>0.70651900000000001</c:v>
                </c:pt>
                <c:pt idx="110">
                  <c:v>0.70136299999999996</c:v>
                </c:pt>
                <c:pt idx="111">
                  <c:v>0.69616599999999995</c:v>
                </c:pt>
                <c:pt idx="112">
                  <c:v>0.69093099999999996</c:v>
                </c:pt>
                <c:pt idx="113">
                  <c:v>0.68566099999999996</c:v>
                </c:pt>
                <c:pt idx="114">
                  <c:v>0.68035599999999996</c:v>
                </c:pt>
                <c:pt idx="115">
                  <c:v>0.67502099999999998</c:v>
                </c:pt>
                <c:pt idx="116">
                  <c:v>0.66965600000000003</c:v>
                </c:pt>
                <c:pt idx="117">
                  <c:v>0.66425800000000002</c:v>
                </c:pt>
                <c:pt idx="118">
                  <c:v>0.65882600000000002</c:v>
                </c:pt>
                <c:pt idx="119">
                  <c:v>0.65335799999999999</c:v>
                </c:pt>
                <c:pt idx="120">
                  <c:v>0.64785599999999999</c:v>
                </c:pt>
                <c:pt idx="121">
                  <c:v>0.64232400000000001</c:v>
                </c:pt>
                <c:pt idx="122">
                  <c:v>0.63675999999999999</c:v>
                </c:pt>
                <c:pt idx="123">
                  <c:v>0.63116499999999998</c:v>
                </c:pt>
                <c:pt idx="124">
                  <c:v>0.62553499999999995</c:v>
                </c:pt>
                <c:pt idx="125">
                  <c:v>0.61987599999999998</c:v>
                </c:pt>
                <c:pt idx="126">
                  <c:v>0.61418799999999996</c:v>
                </c:pt>
                <c:pt idx="127">
                  <c:v>0.60847300000000004</c:v>
                </c:pt>
                <c:pt idx="128">
                  <c:v>0.60273299999999996</c:v>
                </c:pt>
                <c:pt idx="129">
                  <c:v>0.59697</c:v>
                </c:pt>
                <c:pt idx="130">
                  <c:v>0.59118499999999996</c:v>
                </c:pt>
                <c:pt idx="131">
                  <c:v>0.58537899999999998</c:v>
                </c:pt>
                <c:pt idx="132">
                  <c:v>0.57955199999999996</c:v>
                </c:pt>
                <c:pt idx="133">
                  <c:v>0.57370500000000002</c:v>
                </c:pt>
                <c:pt idx="134">
                  <c:v>0.56783799999999995</c:v>
                </c:pt>
                <c:pt idx="135">
                  <c:v>0.56194999999999995</c:v>
                </c:pt>
                <c:pt idx="136">
                  <c:v>0.55604100000000001</c:v>
                </c:pt>
                <c:pt idx="137">
                  <c:v>0.55011100000000002</c:v>
                </c:pt>
                <c:pt idx="138">
                  <c:v>0.54415999999999998</c:v>
                </c:pt>
                <c:pt idx="139">
                  <c:v>0.53819099999999997</c:v>
                </c:pt>
                <c:pt idx="140">
                  <c:v>0.53220400000000001</c:v>
                </c:pt>
                <c:pt idx="141">
                  <c:v>0.52620100000000003</c:v>
                </c:pt>
                <c:pt idx="142">
                  <c:v>0.52018399999999998</c:v>
                </c:pt>
                <c:pt idx="143">
                  <c:v>0.51415100000000002</c:v>
                </c:pt>
                <c:pt idx="144">
                  <c:v>0.50810200000000005</c:v>
                </c:pt>
                <c:pt idx="145">
                  <c:v>0.50203699999999996</c:v>
                </c:pt>
                <c:pt idx="146">
                  <c:v>0.49595400000000001</c:v>
                </c:pt>
                <c:pt idx="147">
                  <c:v>0.48985299999999998</c:v>
                </c:pt>
                <c:pt idx="148">
                  <c:v>0.483736</c:v>
                </c:pt>
                <c:pt idx="149">
                  <c:v>0.477607</c:v>
                </c:pt>
                <c:pt idx="150">
                  <c:v>0.471466</c:v>
                </c:pt>
                <c:pt idx="151">
                  <c:v>0.46531600000000001</c:v>
                </c:pt>
                <c:pt idx="152">
                  <c:v>0.45915600000000001</c:v>
                </c:pt>
                <c:pt idx="153">
                  <c:v>0.452986</c:v>
                </c:pt>
                <c:pt idx="154">
                  <c:v>0.44680500000000001</c:v>
                </c:pt>
                <c:pt idx="155">
                  <c:v>0.440612</c:v>
                </c:pt>
                <c:pt idx="156">
                  <c:v>0.43440800000000002</c:v>
                </c:pt>
                <c:pt idx="157">
                  <c:v>0.42819200000000002</c:v>
                </c:pt>
                <c:pt idx="158">
                  <c:v>0.42196499999999998</c:v>
                </c:pt>
                <c:pt idx="159">
                  <c:v>0.41572700000000001</c:v>
                </c:pt>
                <c:pt idx="160">
                  <c:v>0.40948000000000001</c:v>
                </c:pt>
                <c:pt idx="161">
                  <c:v>0.40322400000000003</c:v>
                </c:pt>
                <c:pt idx="162">
                  <c:v>0.39695900000000001</c:v>
                </c:pt>
                <c:pt idx="163">
                  <c:v>0.39068599999999998</c:v>
                </c:pt>
                <c:pt idx="164">
                  <c:v>0.384405</c:v>
                </c:pt>
                <c:pt idx="165">
                  <c:v>0.37811899999999998</c:v>
                </c:pt>
                <c:pt idx="166">
                  <c:v>0.37182700000000002</c:v>
                </c:pt>
                <c:pt idx="167">
                  <c:v>0.36552800000000002</c:v>
                </c:pt>
                <c:pt idx="168">
                  <c:v>0.35922100000000001</c:v>
                </c:pt>
                <c:pt idx="169">
                  <c:v>0.35290700000000003</c:v>
                </c:pt>
                <c:pt idx="170">
                  <c:v>0.34658800000000001</c:v>
                </c:pt>
                <c:pt idx="171">
                  <c:v>0.34026299999999998</c:v>
                </c:pt>
                <c:pt idx="172">
                  <c:v>0.33393400000000001</c:v>
                </c:pt>
                <c:pt idx="173">
                  <c:v>0.32760099999999998</c:v>
                </c:pt>
                <c:pt idx="174">
                  <c:v>0.32126199999999999</c:v>
                </c:pt>
                <c:pt idx="175">
                  <c:v>0.314919</c:v>
                </c:pt>
                <c:pt idx="176">
                  <c:v>0.30857200000000001</c:v>
                </c:pt>
                <c:pt idx="177">
                  <c:v>0.30221900000000002</c:v>
                </c:pt>
                <c:pt idx="178">
                  <c:v>0.29586099999999999</c:v>
                </c:pt>
                <c:pt idx="179">
                  <c:v>0.28949799999999998</c:v>
                </c:pt>
                <c:pt idx="180">
                  <c:v>0.28312900000000002</c:v>
                </c:pt>
                <c:pt idx="181">
                  <c:v>0.27675499999999997</c:v>
                </c:pt>
                <c:pt idx="182">
                  <c:v>0.27037499999999998</c:v>
                </c:pt>
                <c:pt idx="183">
                  <c:v>0.263988</c:v>
                </c:pt>
                <c:pt idx="184">
                  <c:v>0.25759500000000002</c:v>
                </c:pt>
                <c:pt idx="185">
                  <c:v>0.251195</c:v>
                </c:pt>
                <c:pt idx="186">
                  <c:v>0.24478800000000001</c:v>
                </c:pt>
                <c:pt idx="187">
                  <c:v>0.238374</c:v>
                </c:pt>
                <c:pt idx="188">
                  <c:v>0.23195299999999999</c:v>
                </c:pt>
                <c:pt idx="189">
                  <c:v>0.225526</c:v>
                </c:pt>
                <c:pt idx="190">
                  <c:v>0.21909100000000001</c:v>
                </c:pt>
                <c:pt idx="191">
                  <c:v>0.212649</c:v>
                </c:pt>
                <c:pt idx="192">
                  <c:v>0.20619699999999999</c:v>
                </c:pt>
                <c:pt idx="193">
                  <c:v>0.199736</c:v>
                </c:pt>
                <c:pt idx="194">
                  <c:v>0.19326699999999999</c:v>
                </c:pt>
                <c:pt idx="195">
                  <c:v>0.18679000000000001</c:v>
                </c:pt>
                <c:pt idx="196">
                  <c:v>0.18030399999999999</c:v>
                </c:pt>
                <c:pt idx="197">
                  <c:v>0.17380899999999999</c:v>
                </c:pt>
                <c:pt idx="198">
                  <c:v>0.16730500000000001</c:v>
                </c:pt>
                <c:pt idx="199">
                  <c:v>0.16078999999999999</c:v>
                </c:pt>
                <c:pt idx="200">
                  <c:v>0.15426400000000001</c:v>
                </c:pt>
                <c:pt idx="201">
                  <c:v>0.147727</c:v>
                </c:pt>
                <c:pt idx="202">
                  <c:v>0.14118</c:v>
                </c:pt>
                <c:pt idx="203">
                  <c:v>0.13462199999999999</c:v>
                </c:pt>
                <c:pt idx="204">
                  <c:v>0.128052</c:v>
                </c:pt>
                <c:pt idx="205">
                  <c:v>0.12146800000000001</c:v>
                </c:pt>
                <c:pt idx="206">
                  <c:v>0.11487</c:v>
                </c:pt>
                <c:pt idx="207">
                  <c:v>0.10825600000000001</c:v>
                </c:pt>
                <c:pt idx="208">
                  <c:v>0.101628</c:v>
                </c:pt>
                <c:pt idx="209">
                  <c:v>9.4985399999999998E-2</c:v>
                </c:pt>
                <c:pt idx="210">
                  <c:v>8.8329299999999999E-2</c:v>
                </c:pt>
                <c:pt idx="211">
                  <c:v>8.1658900000000006E-2</c:v>
                </c:pt>
                <c:pt idx="212">
                  <c:v>7.4972200000000003E-2</c:v>
                </c:pt>
                <c:pt idx="213">
                  <c:v>6.8266900000000005E-2</c:v>
                </c:pt>
                <c:pt idx="214">
                  <c:v>6.1541999999999999E-2</c:v>
                </c:pt>
                <c:pt idx="215">
                  <c:v>5.4796900000000003E-2</c:v>
                </c:pt>
                <c:pt idx="216">
                  <c:v>4.80306E-2</c:v>
                </c:pt>
                <c:pt idx="217">
                  <c:v>4.1241800000000002E-2</c:v>
                </c:pt>
                <c:pt idx="218">
                  <c:v>3.4430299999999997E-2</c:v>
                </c:pt>
                <c:pt idx="219">
                  <c:v>2.75953E-2</c:v>
                </c:pt>
                <c:pt idx="220">
                  <c:v>2.0735300000000002E-2</c:v>
                </c:pt>
                <c:pt idx="221">
                  <c:v>1.38485E-2</c:v>
                </c:pt>
                <c:pt idx="222">
                  <c:v>6.9358199999999997E-3</c:v>
                </c:pt>
                <c:pt idx="2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E9-4F02-A897-5356D8EC9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37600"/>
        <c:axId val="80168064"/>
      </c:scatterChart>
      <c:valAx>
        <c:axId val="80137600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168064"/>
        <c:crosses val="autoZero"/>
        <c:crossBetween val="midCat"/>
      </c:valAx>
      <c:valAx>
        <c:axId val="8016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37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Diss.!$D$2:$D$87</c:f>
              <c:numCache>
                <c:formatCode>0.00E+00</c:formatCode>
                <c:ptCount val="86"/>
                <c:pt idx="0">
                  <c:v>-0.22285900124504773</c:v>
                </c:pt>
                <c:pt idx="1">
                  <c:v>-0.20696878852505488</c:v>
                </c:pt>
                <c:pt idx="2">
                  <c:v>-0.19032242634618926</c:v>
                </c:pt>
                <c:pt idx="3">
                  <c:v>-0.16940870611760578</c:v>
                </c:pt>
                <c:pt idx="4">
                  <c:v>-0.14646082488750595</c:v>
                </c:pt>
                <c:pt idx="5">
                  <c:v>-0.12822552135426199</c:v>
                </c:pt>
                <c:pt idx="6">
                  <c:v>-0.11986601476226114</c:v>
                </c:pt>
                <c:pt idx="7">
                  <c:v>-0.11973336859736497</c:v>
                </c:pt>
                <c:pt idx="8">
                  <c:v>-0.12120665417325562</c:v>
                </c:pt>
                <c:pt idx="9">
                  <c:v>-0.11932101114038521</c:v>
                </c:pt>
                <c:pt idx="10">
                  <c:v>-0.11337228178750754</c:v>
                </c:pt>
                <c:pt idx="11">
                  <c:v>-0.1049425752903423</c:v>
                </c:pt>
                <c:pt idx="12">
                  <c:v>-9.5774017551542481E-2</c:v>
                </c:pt>
                <c:pt idx="13">
                  <c:v>-8.6993404292489224E-2</c:v>
                </c:pt>
                <c:pt idx="14">
                  <c:v>-7.912373086305885E-2</c:v>
                </c:pt>
                <c:pt idx="15">
                  <c:v>-7.2285430526058528E-2</c:v>
                </c:pt>
                <c:pt idx="16">
                  <c:v>-6.6377961336368752E-2</c:v>
                </c:pt>
                <c:pt idx="17">
                  <c:v>-6.1210967423285426E-2</c:v>
                </c:pt>
                <c:pt idx="18">
                  <c:v>-5.6579198135661479E-2</c:v>
                </c:pt>
                <c:pt idx="19">
                  <c:v>-5.2309446845256541E-2</c:v>
                </c:pt>
                <c:pt idx="20">
                  <c:v>-4.8293860224600055E-2</c:v>
                </c:pt>
                <c:pt idx="21">
                  <c:v>-4.4481057468059804E-2</c:v>
                </c:pt>
                <c:pt idx="22">
                  <c:v>-4.0858383617060512E-2</c:v>
                </c:pt>
                <c:pt idx="23">
                  <c:v>-3.7442846860377202E-2</c:v>
                </c:pt>
                <c:pt idx="24">
                  <c:v>-3.4257692821156698E-2</c:v>
                </c:pt>
                <c:pt idx="25">
                  <c:v>-3.1317249308295901E-2</c:v>
                </c:pt>
                <c:pt idx="26">
                  <c:v>-2.863217337771266E-2</c:v>
                </c:pt>
                <c:pt idx="27">
                  <c:v>-2.6199415267963169E-2</c:v>
                </c:pt>
                <c:pt idx="28">
                  <c:v>-2.401149986722783E-2</c:v>
                </c:pt>
                <c:pt idx="29">
                  <c:v>-2.2050743912818031E-2</c:v>
                </c:pt>
                <c:pt idx="30">
                  <c:v>-2.0296955225167709E-2</c:v>
                </c:pt>
                <c:pt idx="31">
                  <c:v>-1.872150298399319E-2</c:v>
                </c:pt>
                <c:pt idx="32">
                  <c:v>-1.7417996304708101E-2</c:v>
                </c:pt>
                <c:pt idx="33">
                  <c:v>-1.586282685010831E-2</c:v>
                </c:pt>
                <c:pt idx="34">
                  <c:v>-1.464398846956338E-2</c:v>
                </c:pt>
                <c:pt idx="35">
                  <c:v>-1.363422958971949E-2</c:v>
                </c:pt>
                <c:pt idx="36">
                  <c:v>-1.277175134550948E-2</c:v>
                </c:pt>
                <c:pt idx="37">
                  <c:v>-1.202036608592002E-2</c:v>
                </c:pt>
                <c:pt idx="38">
                  <c:v>-1.1351572409194849E-2</c:v>
                </c:pt>
                <c:pt idx="39">
                  <c:v>-1.074240175903435E-2</c:v>
                </c:pt>
                <c:pt idx="40">
                  <c:v>-1.018152744217818E-2</c:v>
                </c:pt>
                <c:pt idx="41">
                  <c:v>-9.6599418480594508E-3</c:v>
                </c:pt>
                <c:pt idx="42">
                  <c:v>-9.1747327769428101E-3</c:v>
                </c:pt>
                <c:pt idx="43">
                  <c:v>-8.7182562931970298E-3</c:v>
                </c:pt>
                <c:pt idx="44">
                  <c:v>-8.28371694416348E-3</c:v>
                </c:pt>
                <c:pt idx="45">
                  <c:v>-7.8701513268448296E-3</c:v>
                </c:pt>
                <c:pt idx="46">
                  <c:v>-7.4750569419431701E-3</c:v>
                </c:pt>
                <c:pt idx="47">
                  <c:v>-7.0978741569590695E-3</c:v>
                </c:pt>
                <c:pt idx="48">
                  <c:v>-6.73671799843026E-3</c:v>
                </c:pt>
                <c:pt idx="49">
                  <c:v>-6.3931482755626599E-3</c:v>
                </c:pt>
                <c:pt idx="50">
                  <c:v>-6.0651795951681235E-3</c:v>
                </c:pt>
                <c:pt idx="51">
                  <c:v>-5.7480613940792489E-3</c:v>
                </c:pt>
                <c:pt idx="52">
                  <c:v>-5.4447653068642708E-3</c:v>
                </c:pt>
                <c:pt idx="53">
                  <c:v>-5.1541261321279676E-3</c:v>
                </c:pt>
                <c:pt idx="54">
                  <c:v>-4.8749847415080691E-3</c:v>
                </c:pt>
                <c:pt idx="55">
                  <c:v>-4.605965311101877E-3</c:v>
                </c:pt>
                <c:pt idx="56">
                  <c:v>-4.3479646033976853E-3</c:v>
                </c:pt>
                <c:pt idx="57">
                  <c:v>-4.0999065265554862E-3</c:v>
                </c:pt>
                <c:pt idx="58">
                  <c:v>-3.8637157825278348E-3</c:v>
                </c:pt>
                <c:pt idx="59">
                  <c:v>-3.6371985378701281E-3</c:v>
                </c:pt>
                <c:pt idx="60">
                  <c:v>-3.420534028171756E-3</c:v>
                </c:pt>
                <c:pt idx="61">
                  <c:v>-3.2138419448494403E-3</c:v>
                </c:pt>
                <c:pt idx="62">
                  <c:v>-3.0180579812764128E-3</c:v>
                </c:pt>
                <c:pt idx="63">
                  <c:v>-2.8311121517426759E-3</c:v>
                </c:pt>
                <c:pt idx="64">
                  <c:v>-2.6514906995813328E-3</c:v>
                </c:pt>
                <c:pt idx="65">
                  <c:v>-2.4812136195750097E-3</c:v>
                </c:pt>
                <c:pt idx="66">
                  <c:v>-2.319415000501977E-3</c:v>
                </c:pt>
                <c:pt idx="67">
                  <c:v>-2.1668941307502721E-3</c:v>
                </c:pt>
                <c:pt idx="68">
                  <c:v>-2.0227889245999758E-3</c:v>
                </c:pt>
                <c:pt idx="69">
                  <c:v>-1.8869736767672431E-3</c:v>
                </c:pt>
                <c:pt idx="70">
                  <c:v>-1.758758666678547E-3</c:v>
                </c:pt>
                <c:pt idx="71">
                  <c:v>-1.6396130905535458E-3</c:v>
                </c:pt>
                <c:pt idx="72">
                  <c:v>-1.528389254399748E-3</c:v>
                </c:pt>
                <c:pt idx="73">
                  <c:v>-1.4251817437560431E-3</c:v>
                </c:pt>
                <c:pt idx="74">
                  <c:v>-1.3303984110208781E-3</c:v>
                </c:pt>
                <c:pt idx="75">
                  <c:v>-1.2435258144296419E-3</c:v>
                </c:pt>
                <c:pt idx="76">
                  <c:v>-1.165233583005821E-3</c:v>
                </c:pt>
                <c:pt idx="77">
                  <c:v>-1.0948477948789939E-3</c:v>
                </c:pt>
                <c:pt idx="78">
                  <c:v>-1.0323544913155649E-3</c:v>
                </c:pt>
                <c:pt idx="79">
                  <c:v>-9.7734067016179101E-4</c:v>
                </c:pt>
                <c:pt idx="80">
                  <c:v>-9.3060756149621895E-4</c:v>
                </c:pt>
                <c:pt idx="81">
                  <c:v>-8.9238285736230132E-4</c:v>
                </c:pt>
                <c:pt idx="82">
                  <c:v>-8.6216170928172067E-4</c:v>
                </c:pt>
                <c:pt idx="83">
                  <c:v>-8.3990214732596806E-4</c:v>
                </c:pt>
                <c:pt idx="84">
                  <c:v>-8.2538485215294161E-4</c:v>
                </c:pt>
                <c:pt idx="85">
                  <c:v>-8.1838267975098172E-4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7A-410B-AF7A-EEC3ECD2EFD0}"/>
            </c:ext>
          </c:extLst>
        </c:ser>
        <c:ser>
          <c:idx val="1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DNS!$B$612:$B$835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DNS!$D$612:$D$835</c:f>
              <c:numCache>
                <c:formatCode>0.00E+00</c:formatCode>
                <c:ptCount val="224"/>
                <c:pt idx="0">
                  <c:v>-0.24029700000000001</c:v>
                </c:pt>
                <c:pt idx="1">
                  <c:v>-0.22986000000000001</c:v>
                </c:pt>
                <c:pt idx="2">
                  <c:v>-0.221469</c:v>
                </c:pt>
                <c:pt idx="3">
                  <c:v>-0.21437500000000001</c:v>
                </c:pt>
                <c:pt idx="4">
                  <c:v>-0.20802999999999999</c:v>
                </c:pt>
                <c:pt idx="5">
                  <c:v>-0.20197499999999999</c:v>
                </c:pt>
                <c:pt idx="6">
                  <c:v>-0.19586400000000001</c:v>
                </c:pt>
                <c:pt idx="7">
                  <c:v>-0.18948499999999999</c:v>
                </c:pt>
                <c:pt idx="8">
                  <c:v>-0.18277499999999999</c:v>
                </c:pt>
                <c:pt idx="9">
                  <c:v>-0.175815</c:v>
                </c:pt>
                <c:pt idx="10">
                  <c:v>-0.16881199999999999</c:v>
                </c:pt>
                <c:pt idx="11">
                  <c:v>-0.162049</c:v>
                </c:pt>
                <c:pt idx="12">
                  <c:v>-0.155829</c:v>
                </c:pt>
                <c:pt idx="13">
                  <c:v>-0.150421</c:v>
                </c:pt>
                <c:pt idx="14">
                  <c:v>-0.146005</c:v>
                </c:pt>
                <c:pt idx="15">
                  <c:v>-0.142651</c:v>
                </c:pt>
                <c:pt idx="16">
                  <c:v>-0.14030899999999999</c:v>
                </c:pt>
                <c:pt idx="17">
                  <c:v>-0.138824</c:v>
                </c:pt>
                <c:pt idx="18">
                  <c:v>-0.13797300000000001</c:v>
                </c:pt>
                <c:pt idx="19">
                  <c:v>-0.13749600000000001</c:v>
                </c:pt>
                <c:pt idx="20">
                  <c:v>-0.13714000000000001</c:v>
                </c:pt>
                <c:pt idx="21">
                  <c:v>-0.136685</c:v>
                </c:pt>
                <c:pt idx="22">
                  <c:v>-0.135961</c:v>
                </c:pt>
                <c:pt idx="23">
                  <c:v>-0.134856</c:v>
                </c:pt>
                <c:pt idx="24">
                  <c:v>-0.13331200000000001</c:v>
                </c:pt>
                <c:pt idx="25">
                  <c:v>-0.13131599999999999</c:v>
                </c:pt>
                <c:pt idx="26">
                  <c:v>-0.12889</c:v>
                </c:pt>
                <c:pt idx="27">
                  <c:v>-0.12607399999999999</c:v>
                </c:pt>
                <c:pt idx="28">
                  <c:v>-0.12292</c:v>
                </c:pt>
                <c:pt idx="29">
                  <c:v>-0.11948599999999999</c:v>
                </c:pt>
                <c:pt idx="30">
                  <c:v>-0.115825</c:v>
                </c:pt>
                <c:pt idx="31">
                  <c:v>-0.11199000000000001</c:v>
                </c:pt>
                <c:pt idx="32">
                  <c:v>-0.108027</c:v>
                </c:pt>
                <c:pt idx="33">
                  <c:v>-0.10398</c:v>
                </c:pt>
                <c:pt idx="34">
                  <c:v>-9.9885799999999997E-2</c:v>
                </c:pt>
                <c:pt idx="35">
                  <c:v>-9.5780599999999994E-2</c:v>
                </c:pt>
                <c:pt idx="36">
                  <c:v>-9.1695200000000004E-2</c:v>
                </c:pt>
                <c:pt idx="37">
                  <c:v>-8.7658100000000003E-2</c:v>
                </c:pt>
                <c:pt idx="38">
                  <c:v>-8.3694000000000005E-2</c:v>
                </c:pt>
                <c:pt idx="39">
                  <c:v>-7.9824900000000004E-2</c:v>
                </c:pt>
                <c:pt idx="40">
                  <c:v>-7.6069399999999995E-2</c:v>
                </c:pt>
                <c:pt idx="41">
                  <c:v>-7.2442300000000001E-2</c:v>
                </c:pt>
                <c:pt idx="42">
                  <c:v>-6.8955100000000005E-2</c:v>
                </c:pt>
                <c:pt idx="43">
                  <c:v>-6.56162E-2</c:v>
                </c:pt>
                <c:pt idx="44">
                  <c:v>-6.2431500000000001E-2</c:v>
                </c:pt>
                <c:pt idx="45">
                  <c:v>-5.9403900000000003E-2</c:v>
                </c:pt>
                <c:pt idx="46">
                  <c:v>-5.6533100000000003E-2</c:v>
                </c:pt>
                <c:pt idx="47">
                  <c:v>-5.3816200000000002E-2</c:v>
                </c:pt>
                <c:pt idx="48">
                  <c:v>-5.12489E-2</c:v>
                </c:pt>
                <c:pt idx="49">
                  <c:v>-4.8825899999999998E-2</c:v>
                </c:pt>
                <c:pt idx="50">
                  <c:v>-4.6541100000000002E-2</c:v>
                </c:pt>
                <c:pt idx="51">
                  <c:v>-4.4388200000000003E-2</c:v>
                </c:pt>
                <c:pt idx="52">
                  <c:v>-4.2360799999999997E-2</c:v>
                </c:pt>
                <c:pt idx="53">
                  <c:v>-4.0451899999999999E-2</c:v>
                </c:pt>
                <c:pt idx="54">
                  <c:v>-3.8654500000000001E-2</c:v>
                </c:pt>
                <c:pt idx="55">
                  <c:v>-3.6962000000000002E-2</c:v>
                </c:pt>
                <c:pt idx="56">
                  <c:v>-3.5367900000000001E-2</c:v>
                </c:pt>
                <c:pt idx="57">
                  <c:v>-3.3864999999999999E-2</c:v>
                </c:pt>
                <c:pt idx="58">
                  <c:v>-3.2446700000000002E-2</c:v>
                </c:pt>
                <c:pt idx="59">
                  <c:v>-3.1108500000000001E-2</c:v>
                </c:pt>
                <c:pt idx="60">
                  <c:v>-2.9846000000000001E-2</c:v>
                </c:pt>
                <c:pt idx="61">
                  <c:v>-2.8654200000000001E-2</c:v>
                </c:pt>
                <c:pt idx="62">
                  <c:v>-2.7528E-2</c:v>
                </c:pt>
                <c:pt idx="63">
                  <c:v>-2.6463299999999999E-2</c:v>
                </c:pt>
                <c:pt idx="64">
                  <c:v>-2.5456099999999999E-2</c:v>
                </c:pt>
                <c:pt idx="65">
                  <c:v>-2.4502400000000001E-2</c:v>
                </c:pt>
                <c:pt idx="66">
                  <c:v>-2.3597900000000002E-2</c:v>
                </c:pt>
                <c:pt idx="67">
                  <c:v>-2.2739100000000002E-2</c:v>
                </c:pt>
                <c:pt idx="68">
                  <c:v>-2.1923700000000001E-2</c:v>
                </c:pt>
                <c:pt idx="69">
                  <c:v>-2.1149500000000002E-2</c:v>
                </c:pt>
                <c:pt idx="70">
                  <c:v>-2.0413799999999999E-2</c:v>
                </c:pt>
                <c:pt idx="71">
                  <c:v>-1.9714300000000001E-2</c:v>
                </c:pt>
                <c:pt idx="72">
                  <c:v>-1.9049E-2</c:v>
                </c:pt>
                <c:pt idx="73">
                  <c:v>-1.8415600000000001E-2</c:v>
                </c:pt>
                <c:pt idx="74">
                  <c:v>-1.7812000000000001E-2</c:v>
                </c:pt>
                <c:pt idx="75">
                  <c:v>-1.7236399999999999E-2</c:v>
                </c:pt>
                <c:pt idx="76">
                  <c:v>-1.6687500000000001E-2</c:v>
                </c:pt>
                <c:pt idx="77">
                  <c:v>-1.6163E-2</c:v>
                </c:pt>
                <c:pt idx="78">
                  <c:v>-1.56607E-2</c:v>
                </c:pt>
                <c:pt idx="79">
                  <c:v>-1.51796E-2</c:v>
                </c:pt>
                <c:pt idx="80">
                  <c:v>-1.4719299999999999E-2</c:v>
                </c:pt>
                <c:pt idx="81">
                  <c:v>-1.4279200000000001E-2</c:v>
                </c:pt>
                <c:pt idx="82">
                  <c:v>-1.38583E-2</c:v>
                </c:pt>
                <c:pt idx="83">
                  <c:v>-1.34552E-2</c:v>
                </c:pt>
                <c:pt idx="84">
                  <c:v>-1.30688E-2</c:v>
                </c:pt>
                <c:pt idx="85">
                  <c:v>-1.26985E-2</c:v>
                </c:pt>
                <c:pt idx="86">
                  <c:v>-1.2343700000000001E-2</c:v>
                </c:pt>
                <c:pt idx="87">
                  <c:v>-1.20032E-2</c:v>
                </c:pt>
                <c:pt idx="88">
                  <c:v>-1.1676000000000001E-2</c:v>
                </c:pt>
                <c:pt idx="89">
                  <c:v>-1.1361599999999999E-2</c:v>
                </c:pt>
                <c:pt idx="90">
                  <c:v>-1.10597E-2</c:v>
                </c:pt>
                <c:pt idx="91">
                  <c:v>-1.07698E-2</c:v>
                </c:pt>
                <c:pt idx="92">
                  <c:v>-1.04911E-2</c:v>
                </c:pt>
                <c:pt idx="93">
                  <c:v>-1.0223400000000001E-2</c:v>
                </c:pt>
                <c:pt idx="94">
                  <c:v>-9.9659699999999993E-3</c:v>
                </c:pt>
                <c:pt idx="95">
                  <c:v>-9.7181000000000003E-3</c:v>
                </c:pt>
                <c:pt idx="96">
                  <c:v>-9.4788700000000004E-3</c:v>
                </c:pt>
                <c:pt idx="97">
                  <c:v>-9.2478899999999999E-3</c:v>
                </c:pt>
                <c:pt idx="98">
                  <c:v>-9.0249600000000003E-3</c:v>
                </c:pt>
                <c:pt idx="99">
                  <c:v>-8.8098099999999995E-3</c:v>
                </c:pt>
                <c:pt idx="100">
                  <c:v>-8.60204E-3</c:v>
                </c:pt>
                <c:pt idx="101">
                  <c:v>-8.4011599999999995E-3</c:v>
                </c:pt>
                <c:pt idx="102">
                  <c:v>-8.2066599999999993E-3</c:v>
                </c:pt>
                <c:pt idx="103">
                  <c:v>-8.01813E-3</c:v>
                </c:pt>
                <c:pt idx="104">
                  <c:v>-7.835E-3</c:v>
                </c:pt>
                <c:pt idx="105">
                  <c:v>-7.6569100000000003E-3</c:v>
                </c:pt>
                <c:pt idx="106">
                  <c:v>-7.4838500000000002E-3</c:v>
                </c:pt>
                <c:pt idx="107">
                  <c:v>-7.3159799999999997E-3</c:v>
                </c:pt>
                <c:pt idx="108">
                  <c:v>-7.1536200000000003E-3</c:v>
                </c:pt>
                <c:pt idx="109">
                  <c:v>-6.9968199999999999E-3</c:v>
                </c:pt>
                <c:pt idx="110">
                  <c:v>-6.8450999999999998E-3</c:v>
                </c:pt>
                <c:pt idx="111">
                  <c:v>-6.6978300000000001E-3</c:v>
                </c:pt>
                <c:pt idx="112">
                  <c:v>-6.5549099999999997E-3</c:v>
                </c:pt>
                <c:pt idx="113">
                  <c:v>-6.4163900000000001E-3</c:v>
                </c:pt>
                <c:pt idx="114">
                  <c:v>-6.28175E-3</c:v>
                </c:pt>
                <c:pt idx="115">
                  <c:v>-6.1505300000000004E-3</c:v>
                </c:pt>
                <c:pt idx="116">
                  <c:v>-6.0226899999999998E-3</c:v>
                </c:pt>
                <c:pt idx="117">
                  <c:v>-5.8981499999999996E-3</c:v>
                </c:pt>
                <c:pt idx="118">
                  <c:v>-5.7768000000000003E-3</c:v>
                </c:pt>
                <c:pt idx="119">
                  <c:v>-5.6587900000000003E-3</c:v>
                </c:pt>
                <c:pt idx="120">
                  <c:v>-5.5441300000000004E-3</c:v>
                </c:pt>
                <c:pt idx="121">
                  <c:v>-5.4325900000000002E-3</c:v>
                </c:pt>
                <c:pt idx="122">
                  <c:v>-5.3240199999999996E-3</c:v>
                </c:pt>
                <c:pt idx="123">
                  <c:v>-5.2183899999999998E-3</c:v>
                </c:pt>
                <c:pt idx="124">
                  <c:v>-5.1156500000000002E-3</c:v>
                </c:pt>
                <c:pt idx="125">
                  <c:v>-5.0156100000000002E-3</c:v>
                </c:pt>
                <c:pt idx="126">
                  <c:v>-4.9180500000000002E-3</c:v>
                </c:pt>
                <c:pt idx="127">
                  <c:v>-4.8227900000000004E-3</c:v>
                </c:pt>
                <c:pt idx="128">
                  <c:v>-4.7297099999999998E-3</c:v>
                </c:pt>
                <c:pt idx="129">
                  <c:v>-4.6386099999999996E-3</c:v>
                </c:pt>
                <c:pt idx="130">
                  <c:v>-4.5493799999999996E-3</c:v>
                </c:pt>
                <c:pt idx="131">
                  <c:v>-4.4619999999999998E-3</c:v>
                </c:pt>
                <c:pt idx="132">
                  <c:v>-4.3763200000000004E-3</c:v>
                </c:pt>
                <c:pt idx="133">
                  <c:v>-4.2923500000000003E-3</c:v>
                </c:pt>
                <c:pt idx="134">
                  <c:v>-4.2101400000000002E-3</c:v>
                </c:pt>
                <c:pt idx="135">
                  <c:v>-4.1295699999999999E-3</c:v>
                </c:pt>
                <c:pt idx="136">
                  <c:v>-4.0504499999999997E-3</c:v>
                </c:pt>
                <c:pt idx="137">
                  <c:v>-3.9729800000000001E-3</c:v>
                </c:pt>
                <c:pt idx="138">
                  <c:v>-3.89741E-3</c:v>
                </c:pt>
                <c:pt idx="139">
                  <c:v>-3.8237800000000001E-3</c:v>
                </c:pt>
                <c:pt idx="140">
                  <c:v>-3.7519300000000001E-3</c:v>
                </c:pt>
                <c:pt idx="141">
                  <c:v>-3.6814999999999999E-3</c:v>
                </c:pt>
                <c:pt idx="142">
                  <c:v>-3.6123499999999998E-3</c:v>
                </c:pt>
                <c:pt idx="143">
                  <c:v>-3.5446900000000001E-3</c:v>
                </c:pt>
                <c:pt idx="144">
                  <c:v>-3.4786800000000001E-3</c:v>
                </c:pt>
                <c:pt idx="145">
                  <c:v>-3.41407E-3</c:v>
                </c:pt>
                <c:pt idx="146">
                  <c:v>-3.35039E-3</c:v>
                </c:pt>
                <c:pt idx="147">
                  <c:v>-3.2877200000000001E-3</c:v>
                </c:pt>
                <c:pt idx="148">
                  <c:v>-3.22632E-3</c:v>
                </c:pt>
                <c:pt idx="149">
                  <c:v>-3.1660999999999998E-3</c:v>
                </c:pt>
                <c:pt idx="150">
                  <c:v>-3.10692E-3</c:v>
                </c:pt>
                <c:pt idx="151">
                  <c:v>-3.0486599999999999E-3</c:v>
                </c:pt>
                <c:pt idx="152">
                  <c:v>-2.9913700000000001E-3</c:v>
                </c:pt>
                <c:pt idx="153">
                  <c:v>-2.9352499999999999E-3</c:v>
                </c:pt>
                <c:pt idx="154">
                  <c:v>-2.8802599999999999E-3</c:v>
                </c:pt>
                <c:pt idx="155">
                  <c:v>-2.8263699999999999E-3</c:v>
                </c:pt>
                <c:pt idx="156">
                  <c:v>-2.7736800000000002E-3</c:v>
                </c:pt>
                <c:pt idx="157">
                  <c:v>-2.72222E-3</c:v>
                </c:pt>
                <c:pt idx="158">
                  <c:v>-2.67199E-3</c:v>
                </c:pt>
                <c:pt idx="159">
                  <c:v>-2.6230099999999998E-3</c:v>
                </c:pt>
                <c:pt idx="160">
                  <c:v>-2.5751400000000001E-3</c:v>
                </c:pt>
                <c:pt idx="161">
                  <c:v>-2.5283100000000002E-3</c:v>
                </c:pt>
                <c:pt idx="162">
                  <c:v>-2.4824399999999998E-3</c:v>
                </c:pt>
                <c:pt idx="163">
                  <c:v>-2.4373900000000002E-3</c:v>
                </c:pt>
                <c:pt idx="164">
                  <c:v>-2.3931199999999999E-3</c:v>
                </c:pt>
                <c:pt idx="165">
                  <c:v>-2.3494200000000001E-3</c:v>
                </c:pt>
                <c:pt idx="166">
                  <c:v>-2.30613E-3</c:v>
                </c:pt>
                <c:pt idx="167">
                  <c:v>-2.2635400000000001E-3</c:v>
                </c:pt>
                <c:pt idx="168">
                  <c:v>-2.222E-3</c:v>
                </c:pt>
                <c:pt idx="169">
                  <c:v>-2.1815599999999999E-3</c:v>
                </c:pt>
                <c:pt idx="170">
                  <c:v>-2.1420599999999999E-3</c:v>
                </c:pt>
                <c:pt idx="171">
                  <c:v>-2.10341E-3</c:v>
                </c:pt>
                <c:pt idx="172">
                  <c:v>-2.0655000000000001E-3</c:v>
                </c:pt>
                <c:pt idx="173">
                  <c:v>-2.0283800000000002E-3</c:v>
                </c:pt>
                <c:pt idx="174">
                  <c:v>-1.9920799999999998E-3</c:v>
                </c:pt>
                <c:pt idx="175">
                  <c:v>-1.95655E-3</c:v>
                </c:pt>
                <c:pt idx="176">
                  <c:v>-1.9217800000000001E-3</c:v>
                </c:pt>
                <c:pt idx="177">
                  <c:v>-1.8879000000000001E-3</c:v>
                </c:pt>
                <c:pt idx="178">
                  <c:v>-1.85502E-3</c:v>
                </c:pt>
                <c:pt idx="179">
                  <c:v>-1.8230399999999999E-3</c:v>
                </c:pt>
                <c:pt idx="180">
                  <c:v>-1.79178E-3</c:v>
                </c:pt>
                <c:pt idx="181">
                  <c:v>-1.7611199999999999E-3</c:v>
                </c:pt>
                <c:pt idx="182">
                  <c:v>-1.7309999999999999E-3</c:v>
                </c:pt>
                <c:pt idx="183">
                  <c:v>-1.7014700000000001E-3</c:v>
                </c:pt>
                <c:pt idx="184">
                  <c:v>-1.67263E-3</c:v>
                </c:pt>
                <c:pt idx="185">
                  <c:v>-1.64467E-3</c:v>
                </c:pt>
                <c:pt idx="186">
                  <c:v>-1.6176700000000001E-3</c:v>
                </c:pt>
                <c:pt idx="187">
                  <c:v>-1.5914E-3</c:v>
                </c:pt>
                <c:pt idx="188">
                  <c:v>-1.56569E-3</c:v>
                </c:pt>
                <c:pt idx="189">
                  <c:v>-1.54053E-3</c:v>
                </c:pt>
                <c:pt idx="190">
                  <c:v>-1.51592E-3</c:v>
                </c:pt>
                <c:pt idx="191">
                  <c:v>-1.49197E-3</c:v>
                </c:pt>
                <c:pt idx="192">
                  <c:v>-1.46883E-3</c:v>
                </c:pt>
                <c:pt idx="193">
                  <c:v>-1.4465999999999999E-3</c:v>
                </c:pt>
                <c:pt idx="194">
                  <c:v>-1.42519E-3</c:v>
                </c:pt>
                <c:pt idx="195">
                  <c:v>-1.4044000000000001E-3</c:v>
                </c:pt>
                <c:pt idx="196">
                  <c:v>-1.3842100000000001E-3</c:v>
                </c:pt>
                <c:pt idx="197">
                  <c:v>-1.3646299999999999E-3</c:v>
                </c:pt>
                <c:pt idx="198">
                  <c:v>-1.3457199999999999E-3</c:v>
                </c:pt>
                <c:pt idx="199">
                  <c:v>-1.3275299999999999E-3</c:v>
                </c:pt>
                <c:pt idx="200">
                  <c:v>-1.31007E-3</c:v>
                </c:pt>
                <c:pt idx="201">
                  <c:v>-1.2932600000000001E-3</c:v>
                </c:pt>
                <c:pt idx="202">
                  <c:v>-1.27706E-3</c:v>
                </c:pt>
                <c:pt idx="203">
                  <c:v>-1.26144E-3</c:v>
                </c:pt>
                <c:pt idx="204">
                  <c:v>-1.2463800000000001E-3</c:v>
                </c:pt>
                <c:pt idx="205">
                  <c:v>-1.23197E-3</c:v>
                </c:pt>
                <c:pt idx="206">
                  <c:v>-1.21839E-3</c:v>
                </c:pt>
                <c:pt idx="207">
                  <c:v>-1.2056600000000001E-3</c:v>
                </c:pt>
                <c:pt idx="208">
                  <c:v>-1.19378E-3</c:v>
                </c:pt>
                <c:pt idx="209">
                  <c:v>-1.18271E-3</c:v>
                </c:pt>
                <c:pt idx="210">
                  <c:v>-1.1723599999999999E-3</c:v>
                </c:pt>
                <c:pt idx="211">
                  <c:v>-1.1626500000000001E-3</c:v>
                </c:pt>
                <c:pt idx="212">
                  <c:v>-1.15365E-3</c:v>
                </c:pt>
                <c:pt idx="213">
                  <c:v>-1.1453699999999999E-3</c:v>
                </c:pt>
                <c:pt idx="214">
                  <c:v>-1.13776E-3</c:v>
                </c:pt>
                <c:pt idx="215">
                  <c:v>-1.13086E-3</c:v>
                </c:pt>
                <c:pt idx="216">
                  <c:v>-1.12469E-3</c:v>
                </c:pt>
                <c:pt idx="217">
                  <c:v>-1.11918E-3</c:v>
                </c:pt>
                <c:pt idx="218">
                  <c:v>-1.1143699999999999E-3</c:v>
                </c:pt>
                <c:pt idx="219">
                  <c:v>-1.11031E-3</c:v>
                </c:pt>
                <c:pt idx="220">
                  <c:v>-1.1070400000000001E-3</c:v>
                </c:pt>
                <c:pt idx="221">
                  <c:v>-1.10461E-3</c:v>
                </c:pt>
                <c:pt idx="222">
                  <c:v>-1.10304E-3</c:v>
                </c:pt>
                <c:pt idx="223">
                  <c:v>-1.1023000000000001E-3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7A-410B-AF7A-EEC3ECD2EFD0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Diss.!$C$2:$C$87</c:f>
              <c:numCache>
                <c:formatCode>0.00E+00</c:formatCode>
                <c:ptCount val="86"/>
                <c:pt idx="0">
                  <c:v>2.14172509373473E-6</c:v>
                </c:pt>
                <c:pt idx="1">
                  <c:v>2.7077324467879399E-5</c:v>
                </c:pt>
                <c:pt idx="2">
                  <c:v>1.13011094453252E-4</c:v>
                </c:pt>
                <c:pt idx="3" formatCode="General">
                  <c:v>2.48559082972782E-4</c:v>
                </c:pt>
                <c:pt idx="4" formatCode="General">
                  <c:v>4.9989509370292897E-4</c:v>
                </c:pt>
                <c:pt idx="5" formatCode="General">
                  <c:v>1.3786914400489899E-3</c:v>
                </c:pt>
                <c:pt idx="6" formatCode="General">
                  <c:v>3.7845301952041401E-3</c:v>
                </c:pt>
                <c:pt idx="7" formatCode="General">
                  <c:v>7.3447879416709697E-3</c:v>
                </c:pt>
                <c:pt idx="8" formatCode="General">
                  <c:v>9.8663645846846105E-3</c:v>
                </c:pt>
                <c:pt idx="9" formatCode="General">
                  <c:v>1.0048081417759199E-2</c:v>
                </c:pt>
                <c:pt idx="10" formatCode="General">
                  <c:v>8.5611069377075303E-3</c:v>
                </c:pt>
                <c:pt idx="11" formatCode="General">
                  <c:v>6.6560513016023998E-3</c:v>
                </c:pt>
                <c:pt idx="12" formatCode="General">
                  <c:v>5.1193521956103801E-3</c:v>
                </c:pt>
                <c:pt idx="13" formatCode="General">
                  <c:v>4.1991120936383198E-3</c:v>
                </c:pt>
                <c:pt idx="14" formatCode="General">
                  <c:v>3.8579695900528501E-3</c:v>
                </c:pt>
                <c:pt idx="15" formatCode="General">
                  <c:v>3.9601397481092296E-3</c:v>
                </c:pt>
                <c:pt idx="16">
                  <c:v>4.34874018321906E-3</c:v>
                </c:pt>
                <c:pt idx="17" formatCode="General">
                  <c:v>4.8716347350833298E-3</c:v>
                </c:pt>
                <c:pt idx="18" formatCode="General">
                  <c:v>5.39813015262928E-3</c:v>
                </c:pt>
                <c:pt idx="19" formatCode="General">
                  <c:v>5.8263122941111401E-3</c:v>
                </c:pt>
                <c:pt idx="20" formatCode="General">
                  <c:v>6.0965683632718502E-3</c:v>
                </c:pt>
                <c:pt idx="21" formatCode="General">
                  <c:v>6.1902883890130999E-3</c:v>
                </c:pt>
                <c:pt idx="22" formatCode="General">
                  <c:v>6.1160599921197102E-3</c:v>
                </c:pt>
                <c:pt idx="23" formatCode="General">
                  <c:v>5.9063970893381001E-3</c:v>
                </c:pt>
                <c:pt idx="24" formatCode="General">
                  <c:v>5.6066348647808998E-3</c:v>
                </c:pt>
                <c:pt idx="25" formatCode="General">
                  <c:v>5.2561752539475003E-3</c:v>
                </c:pt>
                <c:pt idx="26" formatCode="General">
                  <c:v>4.8864483204850602E-3</c:v>
                </c:pt>
                <c:pt idx="27" formatCode="General">
                  <c:v>4.5184287942868703E-3</c:v>
                </c:pt>
                <c:pt idx="28" formatCode="General">
                  <c:v>4.1705856960959301E-3</c:v>
                </c:pt>
                <c:pt idx="29" formatCode="General">
                  <c:v>3.8498414909747302E-3</c:v>
                </c:pt>
                <c:pt idx="30" formatCode="General">
                  <c:v>3.5570371476542099E-3</c:v>
                </c:pt>
                <c:pt idx="31" formatCode="General">
                  <c:v>3.29885473537619E-3</c:v>
                </c:pt>
                <c:pt idx="32" formatCode="General">
                  <c:v>3.1009115379534002E-3</c:v>
                </c:pt>
                <c:pt idx="33" formatCode="General">
                  <c:v>2.7869392754198098E-3</c:v>
                </c:pt>
                <c:pt idx="34" formatCode="General">
                  <c:v>2.5500980828554801E-3</c:v>
                </c:pt>
                <c:pt idx="35" formatCode="General">
                  <c:v>2.3583129825904899E-3</c:v>
                </c:pt>
                <c:pt idx="36" formatCode="General">
                  <c:v>2.1953581677655802E-3</c:v>
                </c:pt>
                <c:pt idx="37" formatCode="General">
                  <c:v>2.0576548693198101E-3</c:v>
                </c:pt>
                <c:pt idx="38" formatCode="General">
                  <c:v>1.9371560512647301E-3</c:v>
                </c:pt>
                <c:pt idx="39" formatCode="General">
                  <c:v>1.82671242691029E-3</c:v>
                </c:pt>
                <c:pt idx="40" formatCode="General">
                  <c:v>1.7249425976103799E-3</c:v>
                </c:pt>
                <c:pt idx="41" formatCode="General">
                  <c:v>1.6306663967948201E-3</c:v>
                </c:pt>
                <c:pt idx="42">
                  <c:v>1.5438505909573901E-3</c:v>
                </c:pt>
                <c:pt idx="43">
                  <c:v>1.46105538719694E-3</c:v>
                </c:pt>
                <c:pt idx="44">
                  <c:v>1.3814458337180801E-3</c:v>
                </c:pt>
                <c:pt idx="45">
                  <c:v>1.30674670904669E-3</c:v>
                </c:pt>
                <c:pt idx="46">
                  <c:v>1.23553893771469E-3</c:v>
                </c:pt>
                <c:pt idx="47">
                  <c:v>1.16776752795155E-3</c:v>
                </c:pt>
                <c:pt idx="48">
                  <c:v>1.1023057367743701E-3</c:v>
                </c:pt>
                <c:pt idx="49">
                  <c:v>1.04119946984952E-3</c:v>
                </c:pt>
                <c:pt idx="50">
                  <c:v>9.8433672458797397E-4</c:v>
                </c:pt>
                <c:pt idx="51">
                  <c:v>9.2853169244833903E-4</c:v>
                </c:pt>
                <c:pt idx="52">
                  <c:v>8.75214021481441E-4</c:v>
                </c:pt>
                <c:pt idx="53">
                  <c:v>8.2414443727561704E-4</c:v>
                </c:pt>
                <c:pt idx="54">
                  <c:v>7.7509917229167898E-4</c:v>
                </c:pt>
                <c:pt idx="55">
                  <c:v>7.2785169758656702E-4</c:v>
                </c:pt>
                <c:pt idx="56">
                  <c:v>6.83454816278665E-4</c:v>
                </c:pt>
                <c:pt idx="57">
                  <c:v>6.4094373837792601E-4</c:v>
                </c:pt>
                <c:pt idx="58">
                  <c:v>6.0162754560887501E-4</c:v>
                </c:pt>
                <c:pt idx="59">
                  <c:v>5.6344968903194797E-4</c:v>
                </c:pt>
                <c:pt idx="60">
                  <c:v>5.26159430582446E-4</c:v>
                </c:pt>
                <c:pt idx="61">
                  <c:v>4.9062039256112997E-4</c:v>
                </c:pt>
                <c:pt idx="62">
                  <c:v>4.5741601938216302E-4</c:v>
                </c:pt>
                <c:pt idx="63">
                  <c:v>4.2604310173328599E-4</c:v>
                </c:pt>
                <c:pt idx="64">
                  <c:v>3.95243882696913E-4</c:v>
                </c:pt>
                <c:pt idx="65">
                  <c:v>3.6635912338925998E-4</c:v>
                </c:pt>
                <c:pt idx="66">
                  <c:v>3.3900818935334698E-4</c:v>
                </c:pt>
                <c:pt idx="67">
                  <c:v>3.1360137814917202E-4</c:v>
                </c:pt>
                <c:pt idx="68">
                  <c:v>2.8920574973870602E-4</c:v>
                </c:pt>
                <c:pt idx="69">
                  <c:v>2.66546643499683E-4</c:v>
                </c:pt>
                <c:pt idx="70">
                  <c:v>2.4472995159704699E-4</c:v>
                </c:pt>
                <c:pt idx="71">
                  <c:v>2.2453116297748601E-4</c:v>
                </c:pt>
                <c:pt idx="72">
                  <c:v>2.0534859266004799E-4</c:v>
                </c:pt>
                <c:pt idx="73">
                  <c:v>1.8761068826067301E-4</c:v>
                </c:pt>
                <c:pt idx="74">
                  <c:v>1.7158720037342801E-4</c:v>
                </c:pt>
                <c:pt idx="75">
                  <c:v>1.56642872782932E-4</c:v>
                </c:pt>
                <c:pt idx="76">
                  <c:v>1.4323432899478099E-4</c:v>
                </c:pt>
                <c:pt idx="77">
                  <c:v>1.3096805039382499E-4</c:v>
                </c:pt>
                <c:pt idx="78">
                  <c:v>1.19972492693028E-4</c:v>
                </c:pt>
                <c:pt idx="79">
                  <c:v>1.0993455220969E-4</c:v>
                </c:pt>
                <c:pt idx="80">
                  <c:v>1.01474326927626E-4</c:v>
                </c:pt>
                <c:pt idx="81">
                  <c:v>9.4834688694355403E-5</c:v>
                </c:pt>
                <c:pt idx="82">
                  <c:v>8.9541508007748703E-5</c:v>
                </c:pt>
                <c:pt idx="83">
                  <c:v>8.5719106940398103E-5</c:v>
                </c:pt>
                <c:pt idx="84">
                  <c:v>8.33952817386056E-5</c:v>
                </c:pt>
                <c:pt idx="85">
                  <c:v>8.2334366617167697E-5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7A-410B-AF7A-EEC3ECD2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39616"/>
        <c:axId val="79841152"/>
      </c:scatterChart>
      <c:valAx>
        <c:axId val="7983961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9841152"/>
        <c:crosses val="autoZero"/>
        <c:crossBetween val="midCat"/>
      </c:valAx>
      <c:valAx>
        <c:axId val="7984115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983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2m" refreshOnLoad="1" growShrinkType="overwriteClear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1m" refreshOnLoad="1" growShrinkType="overwriteClear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eumam" refreshOnLoad="1" growShrinkType="overwriteClear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iricm" refreshOnLoad="1" growShrinkType="overwriteClear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nterfacem" refreshOnLoad="1" growShrinkType="overwriteClear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3m" refreshOnLoad="1" growShrinkType="overwriteClear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395_diric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2"/>
  <sheetViews>
    <sheetView tabSelected="1" workbookViewId="0"/>
  </sheetViews>
  <sheetFormatPr defaultRowHeight="15" x14ac:dyDescent="0.25"/>
  <cols>
    <col min="3" max="3" width="6.7109375" customWidth="1"/>
    <col min="4" max="5" width="7" bestFit="1" customWidth="1"/>
  </cols>
  <sheetData>
    <row r="1" spans="1:9" x14ac:dyDescent="0.25">
      <c r="A1" t="s">
        <v>494</v>
      </c>
    </row>
    <row r="3" spans="1:9" x14ac:dyDescent="0.25">
      <c r="A3" t="s">
        <v>495</v>
      </c>
    </row>
    <row r="5" spans="1:9" x14ac:dyDescent="0.25">
      <c r="A5" t="s">
        <v>496</v>
      </c>
    </row>
    <row r="6" spans="1:9" x14ac:dyDescent="0.25">
      <c r="B6" t="s">
        <v>497</v>
      </c>
    </row>
    <row r="7" spans="1:9" x14ac:dyDescent="0.25">
      <c r="A7" t="s">
        <v>498</v>
      </c>
    </row>
    <row r="8" spans="1:9" x14ac:dyDescent="0.25">
      <c r="B8" t="s">
        <v>499</v>
      </c>
    </row>
    <row r="10" spans="1:9" x14ac:dyDescent="0.25">
      <c r="A10" t="s">
        <v>500</v>
      </c>
    </row>
    <row r="11" spans="1:9" x14ac:dyDescent="0.25">
      <c r="B11" t="s">
        <v>501</v>
      </c>
    </row>
    <row r="13" spans="1:9" x14ac:dyDescent="0.25">
      <c r="A13" t="s">
        <v>502</v>
      </c>
    </row>
    <row r="14" spans="1:9" x14ac:dyDescent="0.25">
      <c r="C14" s="4">
        <v>0</v>
      </c>
      <c r="D14" s="4" t="s">
        <v>503</v>
      </c>
      <c r="E14" s="4">
        <f>12.566/2</f>
        <v>6.2830000000000004</v>
      </c>
      <c r="H14" s="5" t="s">
        <v>504</v>
      </c>
      <c r="I14">
        <v>30</v>
      </c>
    </row>
    <row r="15" spans="1:9" x14ac:dyDescent="0.25">
      <c r="B15" s="5" t="s">
        <v>505</v>
      </c>
      <c r="C15" s="4">
        <f>E15-150/1020</f>
        <v>-1.1470588235294117</v>
      </c>
      <c r="D15" s="4" t="s">
        <v>506</v>
      </c>
      <c r="E15" s="4">
        <v>-1</v>
      </c>
      <c r="G15">
        <v>1</v>
      </c>
      <c r="H15" s="6" t="s">
        <v>507</v>
      </c>
      <c r="I15">
        <v>15</v>
      </c>
    </row>
    <row r="16" spans="1:9" x14ac:dyDescent="0.25">
      <c r="B16" s="5" t="s">
        <v>468</v>
      </c>
      <c r="C16" s="4">
        <v>-1</v>
      </c>
      <c r="D16" s="4" t="str">
        <f>D15</f>
        <v>&lt;= Y &lt;=</v>
      </c>
      <c r="E16" s="4">
        <v>1</v>
      </c>
      <c r="H16" s="5" t="s">
        <v>508</v>
      </c>
      <c r="I16">
        <v>15</v>
      </c>
    </row>
    <row r="17" spans="1:5" x14ac:dyDescent="0.25">
      <c r="B17" s="5" t="s">
        <v>509</v>
      </c>
      <c r="C17" s="4">
        <v>1</v>
      </c>
      <c r="D17" s="4" t="str">
        <f>D16</f>
        <v>&lt;= Y &lt;=</v>
      </c>
      <c r="E17" s="4">
        <f>C17+150/1020</f>
        <v>1.1470588235294117</v>
      </c>
    </row>
    <row r="18" spans="1:5" x14ac:dyDescent="0.25">
      <c r="C18" s="4">
        <v>0</v>
      </c>
      <c r="D18" s="4" t="s">
        <v>510</v>
      </c>
      <c r="E18" s="4">
        <f>6.284/2</f>
        <v>3.1419999999999999</v>
      </c>
    </row>
    <row r="20" spans="1:5" x14ac:dyDescent="0.25">
      <c r="A20" t="s">
        <v>511</v>
      </c>
    </row>
    <row r="21" spans="1:5" x14ac:dyDescent="0.25">
      <c r="B21" s="5" t="s">
        <v>512</v>
      </c>
      <c r="C21">
        <v>1020</v>
      </c>
    </row>
    <row r="23" spans="1:5" x14ac:dyDescent="0.25">
      <c r="A23" s="7" t="s">
        <v>534</v>
      </c>
      <c r="B23" s="7"/>
    </row>
    <row r="24" spans="1:5" x14ac:dyDescent="0.25">
      <c r="A24" s="7">
        <v>1</v>
      </c>
      <c r="B24" s="7" t="s">
        <v>513</v>
      </c>
      <c r="C24" t="s">
        <v>514</v>
      </c>
    </row>
    <row r="25" spans="1:5" x14ac:dyDescent="0.25">
      <c r="A25">
        <v>1</v>
      </c>
      <c r="B25" t="s">
        <v>515</v>
      </c>
      <c r="C25" t="s">
        <v>516</v>
      </c>
    </row>
    <row r="26" spans="1:5" x14ac:dyDescent="0.25">
      <c r="A26">
        <v>1</v>
      </c>
      <c r="B26" t="s">
        <v>518</v>
      </c>
      <c r="C26" t="s">
        <v>517</v>
      </c>
    </row>
    <row r="27" spans="1:5" x14ac:dyDescent="0.25">
      <c r="A27">
        <v>1</v>
      </c>
      <c r="B27" t="s">
        <v>519</v>
      </c>
      <c r="C27" t="s">
        <v>520</v>
      </c>
    </row>
    <row r="28" spans="1:5" x14ac:dyDescent="0.25">
      <c r="D28" t="s">
        <v>537</v>
      </c>
    </row>
    <row r="29" spans="1:5" x14ac:dyDescent="0.25">
      <c r="D29" t="s">
        <v>538</v>
      </c>
    </row>
    <row r="30" spans="1:5" x14ac:dyDescent="0.25">
      <c r="A30">
        <v>1</v>
      </c>
      <c r="B30" t="s">
        <v>536</v>
      </c>
      <c r="C30" t="s">
        <v>520</v>
      </c>
    </row>
    <row r="31" spans="1:5" x14ac:dyDescent="0.25">
      <c r="D31" t="s">
        <v>539</v>
      </c>
    </row>
    <row r="32" spans="1:5" x14ac:dyDescent="0.25">
      <c r="D32" t="s">
        <v>540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7"/>
  <sheetViews>
    <sheetView workbookViewId="0"/>
  </sheetViews>
  <sheetFormatPr defaultRowHeight="15" x14ac:dyDescent="0.25"/>
  <cols>
    <col min="1" max="2" width="12" bestFit="1" customWidth="1"/>
    <col min="3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362</v>
      </c>
      <c r="B1" t="s">
        <v>521</v>
      </c>
      <c r="C1" t="s">
        <v>522</v>
      </c>
    </row>
    <row r="2" spans="1:6" x14ac:dyDescent="0.25">
      <c r="A2">
        <v>0.49999237060546797</v>
      </c>
      <c r="B2">
        <v>0.50009759458548797</v>
      </c>
      <c r="C2" s="1">
        <v>4.3420129462568E-5</v>
      </c>
      <c r="E2" s="1"/>
      <c r="F2" s="1"/>
    </row>
    <row r="3" spans="1:6" x14ac:dyDescent="0.25">
      <c r="A3">
        <v>1.54496669769287</v>
      </c>
      <c r="B3">
        <v>1.5431696138837701</v>
      </c>
      <c r="C3">
        <v>3.5275487621078101E-4</v>
      </c>
      <c r="E3" s="1"/>
      <c r="F3" s="1"/>
    </row>
    <row r="4" spans="1:6" x14ac:dyDescent="0.25">
      <c r="A4">
        <v>2.6840543746948198</v>
      </c>
      <c r="B4">
        <v>2.6704910432591098</v>
      </c>
      <c r="C4">
        <v>1.3828266988866701E-3</v>
      </c>
      <c r="E4" s="1"/>
      <c r="F4" s="1"/>
    </row>
    <row r="5" spans="1:6" x14ac:dyDescent="0.25">
      <c r="A5">
        <v>3.9255237579345699</v>
      </c>
      <c r="B5">
        <v>3.8708324418348399</v>
      </c>
      <c r="C5">
        <v>3.0764108281005E-3</v>
      </c>
      <c r="E5" s="1"/>
      <c r="F5" s="1"/>
    </row>
    <row r="6" spans="1:6" x14ac:dyDescent="0.25">
      <c r="A6">
        <v>5.2789807319641104</v>
      </c>
      <c r="B6">
        <v>5.1177152717814698</v>
      </c>
      <c r="C6">
        <v>5.9886961211077496E-3</v>
      </c>
      <c r="E6" s="1"/>
      <c r="F6" s="1"/>
    </row>
    <row r="7" spans="1:6" x14ac:dyDescent="0.25">
      <c r="A7">
        <v>6.7539703845977703</v>
      </c>
      <c r="B7">
        <v>6.3701324795975403</v>
      </c>
      <c r="C7">
        <v>1.22675887196237E-2</v>
      </c>
      <c r="E7" s="1"/>
      <c r="F7" s="1"/>
    </row>
    <row r="8" spans="1:6" x14ac:dyDescent="0.25">
      <c r="A8">
        <v>8.3618009090423495</v>
      </c>
      <c r="B8">
        <v>7.5805039321674998</v>
      </c>
      <c r="C8">
        <v>2.7096292719761501E-2</v>
      </c>
      <c r="E8" s="1"/>
      <c r="F8" s="1"/>
    </row>
    <row r="9" spans="1:6" x14ac:dyDescent="0.25">
      <c r="A9">
        <v>10.114449262619001</v>
      </c>
      <c r="B9">
        <v>8.7070525253520206</v>
      </c>
      <c r="C9">
        <v>5.6832268252037403E-2</v>
      </c>
      <c r="E9" s="1"/>
      <c r="F9" s="1"/>
    </row>
    <row r="10" spans="1:6" x14ac:dyDescent="0.25">
      <c r="A10">
        <v>12.0248043537139</v>
      </c>
      <c r="B10">
        <v>9.7235523812910998</v>
      </c>
      <c r="C10">
        <v>0.103323880333846</v>
      </c>
      <c r="E10" s="1"/>
      <c r="F10" s="1"/>
    </row>
    <row r="11" spans="1:6" x14ac:dyDescent="0.25">
      <c r="A11">
        <v>14.106971025466899</v>
      </c>
      <c r="B11">
        <v>10.6213538422304</v>
      </c>
      <c r="C11">
        <v>0.162753517652163</v>
      </c>
      <c r="E11" s="1"/>
      <c r="F11" s="1"/>
    </row>
    <row r="12" spans="1:6" x14ac:dyDescent="0.25">
      <c r="A12">
        <v>16.3765740394592</v>
      </c>
      <c r="B12">
        <v>11.405007057330099</v>
      </c>
      <c r="C12">
        <v>0.22975542080530401</v>
      </c>
      <c r="E12" s="1"/>
      <c r="F12" s="1"/>
    </row>
    <row r="13" spans="1:6" x14ac:dyDescent="0.25">
      <c r="A13">
        <v>18.850514888763399</v>
      </c>
      <c r="B13">
        <v>12.086077642440699</v>
      </c>
      <c r="C13">
        <v>0.30080708603054501</v>
      </c>
      <c r="E13" s="1"/>
      <c r="F13" s="1"/>
    </row>
    <row r="14" spans="1:6" x14ac:dyDescent="0.25">
      <c r="A14">
        <v>21.5470933914184</v>
      </c>
      <c r="B14">
        <v>12.678374512055299</v>
      </c>
      <c r="C14">
        <v>0.37477364683581899</v>
      </c>
      <c r="E14" s="1"/>
      <c r="F14" s="1"/>
    </row>
    <row r="15" spans="1:6" x14ac:dyDescent="0.25">
      <c r="A15">
        <v>24.4862508773803</v>
      </c>
      <c r="B15">
        <v>13.1953459031441</v>
      </c>
      <c r="C15">
        <v>0.451841031928779</v>
      </c>
      <c r="E15" s="1"/>
      <c r="F15" s="1"/>
    </row>
    <row r="16" spans="1:6" x14ac:dyDescent="0.25">
      <c r="A16">
        <v>27.690056562423699</v>
      </c>
      <c r="B16">
        <v>13.649032007245401</v>
      </c>
      <c r="C16">
        <v>0.53228113346267403</v>
      </c>
      <c r="E16" s="1"/>
      <c r="F16" s="1"/>
    </row>
    <row r="17" spans="1:6" x14ac:dyDescent="0.25">
      <c r="A17">
        <v>31.182160377502399</v>
      </c>
      <c r="B17">
        <v>14.0498404755311</v>
      </c>
      <c r="C17">
        <v>0.61564522533444599</v>
      </c>
      <c r="E17" s="1"/>
      <c r="F17" s="1"/>
    </row>
    <row r="18" spans="1:6" x14ac:dyDescent="0.25">
      <c r="A18">
        <v>34.988522529602001</v>
      </c>
      <c r="B18">
        <v>14.4066322551054</v>
      </c>
      <c r="C18">
        <v>0.70043370015628104</v>
      </c>
      <c r="E18" s="1"/>
      <c r="F18" s="1"/>
    </row>
    <row r="19" spans="1:6" x14ac:dyDescent="0.25">
      <c r="A19">
        <v>39.137535095214801</v>
      </c>
      <c r="B19">
        <v>14.7269271009108</v>
      </c>
      <c r="C19">
        <v>0.78428500385780298</v>
      </c>
      <c r="E19" s="1"/>
      <c r="F19" s="1"/>
    </row>
    <row r="20" spans="1:6" x14ac:dyDescent="0.25">
      <c r="A20">
        <v>43.659839630126903</v>
      </c>
      <c r="B20">
        <v>15.0171396255493</v>
      </c>
      <c r="C20">
        <v>0.86451078768004597</v>
      </c>
      <c r="E20" s="1"/>
      <c r="F20" s="1"/>
    </row>
    <row r="21" spans="1:6" x14ac:dyDescent="0.25">
      <c r="A21">
        <v>48.589299917220998</v>
      </c>
      <c r="B21">
        <v>15.282769954905699</v>
      </c>
      <c r="C21">
        <v>0.93874189289635901</v>
      </c>
      <c r="E21" s="1"/>
      <c r="F21" s="1"/>
    </row>
    <row r="22" spans="1:6" x14ac:dyDescent="0.25">
      <c r="A22">
        <v>53.962393999099703</v>
      </c>
      <c r="B22">
        <v>15.5285506402744</v>
      </c>
      <c r="C22">
        <v>1.00554571530665</v>
      </c>
      <c r="E22" s="1"/>
      <c r="F22" s="1"/>
    </row>
    <row r="23" spans="1:6" x14ac:dyDescent="0.25">
      <c r="A23">
        <v>59.819004535674999</v>
      </c>
      <c r="B23">
        <v>15.7586133788613</v>
      </c>
      <c r="C23">
        <v>1.0645654526597299</v>
      </c>
      <c r="E23" s="1"/>
      <c r="F23" s="1"/>
    </row>
    <row r="24" spans="1:6" x14ac:dyDescent="0.25">
      <c r="A24">
        <v>66.2026619911193</v>
      </c>
      <c r="B24">
        <v>15.9765864049687</v>
      </c>
      <c r="C24">
        <v>1.11631657733232</v>
      </c>
      <c r="E24" s="1"/>
      <c r="F24" s="1"/>
    </row>
    <row r="25" spans="1:6" x14ac:dyDescent="0.25">
      <c r="A25">
        <v>73.160848617553697</v>
      </c>
      <c r="B25">
        <v>16.185663819313</v>
      </c>
      <c r="C25">
        <v>1.16213144565699</v>
      </c>
      <c r="E25" s="1"/>
      <c r="F25" s="1"/>
    </row>
    <row r="26" spans="1:6" x14ac:dyDescent="0.25">
      <c r="A26">
        <v>80.745424032211304</v>
      </c>
      <c r="B26">
        <v>16.388622096005601</v>
      </c>
      <c r="C26">
        <v>1.2034939932636901</v>
      </c>
      <c r="E26" s="1"/>
      <c r="F26" s="1"/>
    </row>
    <row r="27" spans="1:6" x14ac:dyDescent="0.25">
      <c r="A27">
        <v>89.012442827224703</v>
      </c>
      <c r="B27">
        <v>16.587780465799199</v>
      </c>
      <c r="C27">
        <v>1.2417899118445299</v>
      </c>
      <c r="E27" s="1"/>
      <c r="F27" s="1"/>
    </row>
    <row r="28" spans="1:6" x14ac:dyDescent="0.25">
      <c r="A28">
        <v>98.0235528945922</v>
      </c>
      <c r="B28">
        <v>16.785157732402499</v>
      </c>
      <c r="C28">
        <v>1.2782064526691099</v>
      </c>
      <c r="E28" s="1"/>
      <c r="F28" s="1"/>
    </row>
    <row r="29" spans="1:6" x14ac:dyDescent="0.25">
      <c r="A29">
        <v>107.845630645751</v>
      </c>
      <c r="B29">
        <v>16.9826307394925</v>
      </c>
      <c r="C29">
        <v>1.3135306976619101</v>
      </c>
      <c r="E29" s="1"/>
      <c r="F29" s="1"/>
    </row>
    <row r="30" spans="1:6" x14ac:dyDescent="0.25">
      <c r="A30">
        <v>118.551753759384</v>
      </c>
      <c r="B30">
        <v>17.181858438603999</v>
      </c>
      <c r="C30">
        <v>1.3483994854032</v>
      </c>
      <c r="E30" s="1"/>
      <c r="F30" s="1"/>
    </row>
    <row r="31" spans="1:6" x14ac:dyDescent="0.25">
      <c r="A31">
        <v>130.22150516510001</v>
      </c>
      <c r="B31">
        <v>17.384248875169099</v>
      </c>
      <c r="C31">
        <v>1.3830034461279801</v>
      </c>
      <c r="E31" s="1"/>
      <c r="F31" s="1"/>
    </row>
    <row r="32" spans="1:6" x14ac:dyDescent="0.25">
      <c r="A32">
        <v>142.941337823867</v>
      </c>
      <c r="B32">
        <v>17.5911869848475</v>
      </c>
      <c r="C32">
        <v>1.4176420388685</v>
      </c>
      <c r="E32" s="1"/>
      <c r="F32" s="1"/>
    </row>
    <row r="33" spans="1:6" x14ac:dyDescent="0.25">
      <c r="A33">
        <v>156.806094646453</v>
      </c>
      <c r="B33">
        <v>17.803983421886599</v>
      </c>
      <c r="C33">
        <v>1.4532155932683899</v>
      </c>
      <c r="E33" s="1"/>
      <c r="F33" s="1"/>
    </row>
    <row r="34" spans="1:6" x14ac:dyDescent="0.25">
      <c r="A34">
        <v>171.91864371299701</v>
      </c>
      <c r="B34">
        <v>18.023484994383399</v>
      </c>
      <c r="C34">
        <v>1.4917931924283001</v>
      </c>
      <c r="E34" s="1"/>
      <c r="F34" s="1"/>
    </row>
    <row r="35" spans="1:6" x14ac:dyDescent="0.25">
      <c r="A35">
        <v>187.726768255233</v>
      </c>
      <c r="B35">
        <v>18.2417369884603</v>
      </c>
      <c r="C35">
        <v>1.4501741418207501</v>
      </c>
      <c r="E35" s="1"/>
      <c r="F35" s="1"/>
    </row>
    <row r="36" spans="1:6" x14ac:dyDescent="0.25">
      <c r="A36">
        <v>203.579578399658</v>
      </c>
      <c r="B36">
        <v>18.450652634396199</v>
      </c>
      <c r="C36">
        <v>1.40972322807647</v>
      </c>
      <c r="E36" s="1"/>
      <c r="F36" s="1"/>
    </row>
    <row r="37" spans="1:6" x14ac:dyDescent="0.25">
      <c r="A37">
        <v>219.43238854408199</v>
      </c>
      <c r="B37">
        <v>18.650552167611899</v>
      </c>
      <c r="C37">
        <v>1.37423836041125</v>
      </c>
      <c r="E37" s="1"/>
      <c r="F37" s="1"/>
    </row>
    <row r="38" spans="1:6" x14ac:dyDescent="0.25">
      <c r="A38">
        <v>235.28525948524401</v>
      </c>
      <c r="B38">
        <v>18.842564665569899</v>
      </c>
      <c r="C38">
        <v>1.3420745694602301</v>
      </c>
      <c r="E38" s="1"/>
      <c r="F38" s="1"/>
    </row>
    <row r="39" spans="1:6" x14ac:dyDescent="0.25">
      <c r="A39">
        <v>251.13806962966899</v>
      </c>
      <c r="B39">
        <v>19.027543539159399</v>
      </c>
      <c r="C39">
        <v>1.3126917190966101</v>
      </c>
      <c r="E39" s="1"/>
      <c r="F39" s="1"/>
    </row>
    <row r="40" spans="1:6" x14ac:dyDescent="0.25">
      <c r="A40">
        <v>266.99081897735499</v>
      </c>
      <c r="B40">
        <v>19.206124307127499</v>
      </c>
      <c r="C40">
        <v>1.2853789794899</v>
      </c>
      <c r="E40" s="1"/>
      <c r="F40" s="1"/>
    </row>
    <row r="41" spans="1:6" x14ac:dyDescent="0.25">
      <c r="A41">
        <v>282.84362912178</v>
      </c>
      <c r="B41">
        <v>19.378904522166501</v>
      </c>
      <c r="C41">
        <v>1.25911044140229</v>
      </c>
      <c r="E41" s="1"/>
      <c r="F41" s="1"/>
    </row>
    <row r="42" spans="1:6" x14ac:dyDescent="0.25">
      <c r="A42">
        <v>298.69643926620398</v>
      </c>
      <c r="B42">
        <v>19.546135090379099</v>
      </c>
      <c r="C42">
        <v>1.2340515574905999</v>
      </c>
      <c r="E42" s="1"/>
      <c r="F42" s="1"/>
    </row>
    <row r="43" spans="1:6" x14ac:dyDescent="0.25">
      <c r="A43">
        <v>314.54931020736598</v>
      </c>
      <c r="B43">
        <v>19.708189069523499</v>
      </c>
      <c r="C43">
        <v>1.2096210853778699</v>
      </c>
      <c r="E43" s="1"/>
      <c r="F43" s="1"/>
    </row>
    <row r="44" spans="1:6" x14ac:dyDescent="0.25">
      <c r="A44">
        <v>330.40212035179098</v>
      </c>
      <c r="B44">
        <v>19.865479134110799</v>
      </c>
      <c r="C44">
        <v>1.18580330192344</v>
      </c>
      <c r="E44" s="1"/>
      <c r="F44" s="1"/>
    </row>
    <row r="45" spans="1:6" x14ac:dyDescent="0.25">
      <c r="A45">
        <v>346.25493049621502</v>
      </c>
      <c r="B45">
        <v>20.018257840941899</v>
      </c>
      <c r="C45">
        <v>1.16271032442455</v>
      </c>
      <c r="E45" s="1"/>
      <c r="F45" s="1"/>
    </row>
    <row r="46" spans="1:6" x14ac:dyDescent="0.25">
      <c r="A46">
        <v>362.10780143737702</v>
      </c>
      <c r="B46">
        <v>20.166898247774899</v>
      </c>
      <c r="C46">
        <v>1.1397291559260301</v>
      </c>
      <c r="E46" s="1"/>
      <c r="F46" s="1"/>
    </row>
    <row r="47" spans="1:6" x14ac:dyDescent="0.25">
      <c r="A47">
        <v>377.96061158180203</v>
      </c>
      <c r="B47">
        <v>20.311565424414201</v>
      </c>
      <c r="C47">
        <v>1.1169982217252199</v>
      </c>
      <c r="E47" s="1"/>
      <c r="F47" s="1"/>
    </row>
    <row r="48" spans="1:6" x14ac:dyDescent="0.25">
      <c r="A48">
        <v>393.81348252296402</v>
      </c>
      <c r="B48">
        <v>20.452325398781699</v>
      </c>
      <c r="C48">
        <v>1.0944340761343401</v>
      </c>
      <c r="E48" s="1"/>
      <c r="F48" s="1"/>
    </row>
    <row r="49" spans="1:6" x14ac:dyDescent="0.25">
      <c r="A49">
        <v>409.66629266738801</v>
      </c>
      <c r="B49">
        <v>20.589310226720901</v>
      </c>
      <c r="C49">
        <v>1.0720087669033</v>
      </c>
      <c r="E49" s="1"/>
      <c r="F49" s="1"/>
    </row>
    <row r="50" spans="1:6" x14ac:dyDescent="0.25">
      <c r="A50">
        <v>425.519042015075</v>
      </c>
      <c r="B50">
        <v>20.722810431087701</v>
      </c>
      <c r="C50">
        <v>1.0498156052199099</v>
      </c>
      <c r="E50" s="1"/>
      <c r="F50" s="1"/>
    </row>
    <row r="51" spans="1:6" x14ac:dyDescent="0.25">
      <c r="A51">
        <v>441.371912956237</v>
      </c>
      <c r="B51">
        <v>20.8528771835214</v>
      </c>
      <c r="C51">
        <v>1.02799404403776</v>
      </c>
      <c r="E51" s="1"/>
      <c r="F51" s="1"/>
    </row>
    <row r="52" spans="1:6" x14ac:dyDescent="0.25">
      <c r="A52">
        <v>457.22478389739899</v>
      </c>
      <c r="B52">
        <v>20.979482422155399</v>
      </c>
      <c r="C52">
        <v>1.0063974368094899</v>
      </c>
    </row>
    <row r="53" spans="1:6" x14ac:dyDescent="0.25">
      <c r="A53">
        <v>473.07753324508599</v>
      </c>
      <c r="B53">
        <v>21.102678969327101</v>
      </c>
      <c r="C53">
        <v>0.98468891781521894</v>
      </c>
    </row>
    <row r="54" spans="1:6" x14ac:dyDescent="0.25">
      <c r="A54">
        <v>488.93034338951099</v>
      </c>
      <c r="B54">
        <v>21.2226566553115</v>
      </c>
      <c r="C54">
        <v>0.96295645443024103</v>
      </c>
    </row>
    <row r="55" spans="1:6" x14ac:dyDescent="0.25">
      <c r="A55">
        <v>504.78321433067299</v>
      </c>
      <c r="B55">
        <v>21.3394567475599</v>
      </c>
      <c r="C55">
        <v>0.941406400030246</v>
      </c>
    </row>
    <row r="56" spans="1:6" x14ac:dyDescent="0.25">
      <c r="A56">
        <v>520.63602447509697</v>
      </c>
      <c r="B56">
        <v>21.4530709925819</v>
      </c>
      <c r="C56">
        <v>0.92003433569334403</v>
      </c>
    </row>
    <row r="57" spans="1:6" x14ac:dyDescent="0.25">
      <c r="A57">
        <v>536.48889541625897</v>
      </c>
      <c r="B57">
        <v>21.5634812326992</v>
      </c>
      <c r="C57">
        <v>0.89878240437246804</v>
      </c>
    </row>
    <row r="58" spans="1:6" x14ac:dyDescent="0.25">
      <c r="A58">
        <v>552.34173595905304</v>
      </c>
      <c r="B58">
        <v>21.670718831174501</v>
      </c>
      <c r="C58">
        <v>0.877735490474151</v>
      </c>
    </row>
    <row r="59" spans="1:6" x14ac:dyDescent="0.25">
      <c r="A59">
        <v>568.19448530673901</v>
      </c>
      <c r="B59">
        <v>21.774806897780401</v>
      </c>
      <c r="C59">
        <v>0.85696588961582099</v>
      </c>
    </row>
    <row r="60" spans="1:6" x14ac:dyDescent="0.25">
      <c r="A60">
        <v>584.04732584953297</v>
      </c>
      <c r="B60">
        <v>21.875796604156399</v>
      </c>
      <c r="C60">
        <v>0.83629047345311802</v>
      </c>
    </row>
    <row r="61" spans="1:6" x14ac:dyDescent="0.25">
      <c r="A61">
        <v>599.90016639232601</v>
      </c>
      <c r="B61">
        <v>21.9737869921852</v>
      </c>
      <c r="C61">
        <v>0.81562214811856304</v>
      </c>
    </row>
    <row r="62" spans="1:6" x14ac:dyDescent="0.25">
      <c r="A62">
        <v>615.75300693511895</v>
      </c>
      <c r="B62">
        <v>22.0687830139608</v>
      </c>
      <c r="C62">
        <v>0.79506224051874497</v>
      </c>
    </row>
    <row r="63" spans="1:6" x14ac:dyDescent="0.25">
      <c r="A63">
        <v>631.60581707954395</v>
      </c>
      <c r="B63">
        <v>22.160758258314601</v>
      </c>
      <c r="C63">
        <v>0.77449226188764397</v>
      </c>
    </row>
    <row r="64" spans="1:6" x14ac:dyDescent="0.25">
      <c r="A64">
        <v>647.45859682559899</v>
      </c>
      <c r="B64">
        <v>22.249783705262502</v>
      </c>
      <c r="C64">
        <v>0.75418330794491295</v>
      </c>
    </row>
    <row r="65" spans="1:3" x14ac:dyDescent="0.25">
      <c r="A65">
        <v>663.31143736839203</v>
      </c>
      <c r="B65">
        <v>22.335933636216499</v>
      </c>
      <c r="C65">
        <v>0.73396314350247804</v>
      </c>
    </row>
    <row r="66" spans="1:3" x14ac:dyDescent="0.25">
      <c r="A66">
        <v>679.16427791118599</v>
      </c>
      <c r="B66">
        <v>22.419173386517599</v>
      </c>
      <c r="C66">
        <v>0.71388803274021395</v>
      </c>
    </row>
    <row r="67" spans="1:3" x14ac:dyDescent="0.25">
      <c r="A67">
        <v>695.01711845397904</v>
      </c>
      <c r="B67">
        <v>22.499603648746699</v>
      </c>
      <c r="C67">
        <v>0.69406182032253105</v>
      </c>
    </row>
    <row r="68" spans="1:3" x14ac:dyDescent="0.25">
      <c r="A68">
        <v>710.86992859840302</v>
      </c>
      <c r="B68">
        <v>22.577242580582102</v>
      </c>
      <c r="C68">
        <v>0.67451096839795299</v>
      </c>
    </row>
    <row r="69" spans="1:3" x14ac:dyDescent="0.25">
      <c r="A69">
        <v>726.72273874282803</v>
      </c>
      <c r="B69">
        <v>22.651946571293902</v>
      </c>
      <c r="C69">
        <v>0.65547985362354599</v>
      </c>
    </row>
    <row r="70" spans="1:3" x14ac:dyDescent="0.25">
      <c r="A70">
        <v>742.57554888725201</v>
      </c>
      <c r="B70">
        <v>22.723560455266099</v>
      </c>
      <c r="C70">
        <v>0.63679834750655495</v>
      </c>
    </row>
    <row r="71" spans="1:3" x14ac:dyDescent="0.25">
      <c r="A71">
        <v>758.42838943004597</v>
      </c>
      <c r="B71">
        <v>22.791915861298001</v>
      </c>
      <c r="C71">
        <v>0.61841876679682095</v>
      </c>
    </row>
    <row r="72" spans="1:3" x14ac:dyDescent="0.25">
      <c r="A72">
        <v>774.28122997283901</v>
      </c>
      <c r="B72">
        <v>22.856834514000798</v>
      </c>
      <c r="C72">
        <v>0.60052300665120095</v>
      </c>
    </row>
    <row r="73" spans="1:3" x14ac:dyDescent="0.25">
      <c r="A73">
        <v>790.13402491807904</v>
      </c>
      <c r="B73">
        <v>22.9182751459233</v>
      </c>
      <c r="C73">
        <v>0.58317180155427095</v>
      </c>
    </row>
    <row r="74" spans="1:3" x14ac:dyDescent="0.25">
      <c r="A74">
        <v>805.98686546087197</v>
      </c>
      <c r="B74">
        <v>22.976221250085199</v>
      </c>
      <c r="C74">
        <v>0.56630827073240597</v>
      </c>
    </row>
    <row r="75" spans="1:3" x14ac:dyDescent="0.25">
      <c r="A75">
        <v>821.83970600366501</v>
      </c>
      <c r="B75">
        <v>23.030631559035299</v>
      </c>
      <c r="C75">
        <v>0.54998174168576897</v>
      </c>
    </row>
    <row r="76" spans="1:3" x14ac:dyDescent="0.25">
      <c r="A76">
        <v>837.69251614809002</v>
      </c>
      <c r="B76">
        <v>23.081416935079201</v>
      </c>
      <c r="C76">
        <v>0.53442811290733505</v>
      </c>
    </row>
    <row r="77" spans="1:3" x14ac:dyDescent="0.25">
      <c r="A77">
        <v>853.54535669088295</v>
      </c>
      <c r="B77">
        <v>23.128446973071298</v>
      </c>
      <c r="C77">
        <v>0.51989242903073296</v>
      </c>
    </row>
    <row r="78" spans="1:3" x14ac:dyDescent="0.25">
      <c r="A78">
        <v>869.39818203449204</v>
      </c>
      <c r="B78">
        <v>23.171531842736599</v>
      </c>
      <c r="C78">
        <v>0.50649266499385703</v>
      </c>
    </row>
    <row r="79" spans="1:3" x14ac:dyDescent="0.25">
      <c r="A79">
        <v>885.25099217891602</v>
      </c>
      <c r="B79">
        <v>23.210569200796201</v>
      </c>
      <c r="C79">
        <v>0.49400993001472598</v>
      </c>
    </row>
    <row r="80" spans="1:3" x14ac:dyDescent="0.25">
      <c r="A80">
        <v>901.10380992293301</v>
      </c>
      <c r="B80">
        <v>23.2455507937599</v>
      </c>
      <c r="C80">
        <v>0.48250685974198798</v>
      </c>
    </row>
    <row r="81" spans="1:3" x14ac:dyDescent="0.25">
      <c r="A81">
        <v>916.95665046572606</v>
      </c>
      <c r="B81">
        <v>23.276405641611799</v>
      </c>
      <c r="C81">
        <v>0.472062840621219</v>
      </c>
    </row>
    <row r="82" spans="1:3" x14ac:dyDescent="0.25">
      <c r="A82">
        <v>932.80946820974305</v>
      </c>
      <c r="B82">
        <v>23.3029703252455</v>
      </c>
      <c r="C82">
        <v>0.46297722891904403</v>
      </c>
    </row>
    <row r="83" spans="1:3" x14ac:dyDescent="0.25">
      <c r="A83">
        <v>948.66229355335201</v>
      </c>
      <c r="B83">
        <v>23.325134247891999</v>
      </c>
      <c r="C83">
        <v>0.455431868409505</v>
      </c>
    </row>
    <row r="84" spans="1:3" x14ac:dyDescent="0.25">
      <c r="A84">
        <v>964.51511889696098</v>
      </c>
      <c r="B84">
        <v>23.342847888609899</v>
      </c>
      <c r="C84">
        <v>0.449449367530178</v>
      </c>
    </row>
    <row r="85" spans="1:3" x14ac:dyDescent="0.25">
      <c r="A85">
        <v>980.36794044077305</v>
      </c>
      <c r="B85">
        <v>23.356066678552001</v>
      </c>
      <c r="C85">
        <v>0.44506461521086699</v>
      </c>
    </row>
    <row r="86" spans="1:3" x14ac:dyDescent="0.25">
      <c r="A86">
        <v>996.22076388448397</v>
      </c>
      <c r="B86">
        <v>23.364775761436</v>
      </c>
      <c r="C86">
        <v>0.44221769909199699</v>
      </c>
    </row>
    <row r="87" spans="1:3" x14ac:dyDescent="0.25">
      <c r="A87">
        <v>1012.07358780317</v>
      </c>
      <c r="B87">
        <v>23.369018055410901</v>
      </c>
      <c r="C87">
        <v>0.44071192576666302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7"/>
  <sheetViews>
    <sheetView workbookViewId="0"/>
  </sheetViews>
  <sheetFormatPr defaultRowHeight="15" x14ac:dyDescent="0.25"/>
  <cols>
    <col min="1" max="5" width="12" bestFit="1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362</v>
      </c>
      <c r="B1" t="s">
        <v>523</v>
      </c>
      <c r="C1" t="s">
        <v>524</v>
      </c>
      <c r="D1" t="s">
        <v>525</v>
      </c>
      <c r="E1" t="s">
        <v>526</v>
      </c>
      <c r="G1" t="s">
        <v>7</v>
      </c>
      <c r="H1" t="s">
        <v>8</v>
      </c>
    </row>
    <row r="2" spans="1:20" x14ac:dyDescent="0.25">
      <c r="A2">
        <v>0.49999237060546797</v>
      </c>
      <c r="B2">
        <v>4.43370793284232E-2</v>
      </c>
      <c r="C2" s="1">
        <v>8.0411964352718096E-6</v>
      </c>
      <c r="D2">
        <v>1.38050943451541E-2</v>
      </c>
      <c r="E2">
        <v>1.4745074309144201E-4</v>
      </c>
      <c r="G2">
        <f>(D2+C2+B2)/2</f>
        <v>2.9075107435006284E-2</v>
      </c>
      <c r="H2">
        <f>scalar!L13*Rij!G2+scalar!M13*Rij!G3+scalar!N13*Rij!G4</f>
        <v>0</v>
      </c>
      <c r="K2" s="1"/>
      <c r="T2" s="1"/>
    </row>
    <row r="3" spans="1:20" x14ac:dyDescent="0.25">
      <c r="A3">
        <v>1.54496669769287</v>
      </c>
      <c r="B3">
        <v>0.42197577360524402</v>
      </c>
      <c r="C3">
        <v>1.4406821495945E-4</v>
      </c>
      <c r="D3">
        <v>0.10258495970368101</v>
      </c>
      <c r="E3">
        <v>2.8033838954608999E-3</v>
      </c>
      <c r="G3">
        <f>(D3+C3+B3)/2</f>
        <v>0.26235240076194222</v>
      </c>
      <c r="K3" s="1"/>
      <c r="T3" s="1"/>
    </row>
    <row r="4" spans="1:20" x14ac:dyDescent="0.25">
      <c r="A4">
        <v>2.6840543746948198</v>
      </c>
      <c r="B4">
        <v>1.25489156906225</v>
      </c>
      <c r="C4">
        <v>1.01593878110868E-3</v>
      </c>
      <c r="D4">
        <v>0.24913841619426899</v>
      </c>
      <c r="E4">
        <v>1.52299333505715E-2</v>
      </c>
      <c r="G4">
        <f>(D4+C4+B4)/2</f>
        <v>0.75252296201881386</v>
      </c>
      <c r="K4" s="1"/>
    </row>
    <row r="5" spans="1:20" x14ac:dyDescent="0.25">
      <c r="A5">
        <v>3.9255237579345699</v>
      </c>
      <c r="B5">
        <v>2.5719337791227601</v>
      </c>
      <c r="C5">
        <v>3.6811364851809399E-3</v>
      </c>
      <c r="D5">
        <v>0.42606625046867802</v>
      </c>
      <c r="E5">
        <v>4.6098331272161702E-2</v>
      </c>
      <c r="G5" s="1"/>
      <c r="K5" s="1"/>
    </row>
    <row r="6" spans="1:20" x14ac:dyDescent="0.25">
      <c r="A6">
        <v>5.2789807319641104</v>
      </c>
      <c r="B6">
        <v>4.2688460477186299</v>
      </c>
      <c r="C6">
        <v>9.5122310707461792E-3</v>
      </c>
      <c r="D6">
        <v>0.61075351747651896</v>
      </c>
      <c r="E6">
        <v>0.102203405525472</v>
      </c>
      <c r="K6" s="1"/>
    </row>
    <row r="7" spans="1:20" x14ac:dyDescent="0.25">
      <c r="A7">
        <v>6.7539703845977703</v>
      </c>
      <c r="B7">
        <v>6.08662457275297</v>
      </c>
      <c r="C7">
        <v>1.99994121968688E-2</v>
      </c>
      <c r="D7">
        <v>0.78856220651914199</v>
      </c>
      <c r="E7">
        <v>0.184051280132975</v>
      </c>
      <c r="K7" s="1"/>
    </row>
    <row r="8" spans="1:20" x14ac:dyDescent="0.25">
      <c r="A8">
        <v>8.3618009090423495</v>
      </c>
      <c r="B8">
        <v>7.7007058679088098</v>
      </c>
      <c r="C8">
        <v>3.6530483855687003E-2</v>
      </c>
      <c r="D8">
        <v>0.95259405198484404</v>
      </c>
      <c r="E8">
        <v>0.28414588648595401</v>
      </c>
      <c r="K8" s="1"/>
    </row>
    <row r="9" spans="1:20" x14ac:dyDescent="0.25">
      <c r="A9">
        <v>10.114449262619001</v>
      </c>
      <c r="B9">
        <v>8.8663473979133602</v>
      </c>
      <c r="C9">
        <v>6.0230107735467803E-2</v>
      </c>
      <c r="D9">
        <v>1.10045283068757</v>
      </c>
      <c r="E9">
        <v>0.39013017951781498</v>
      </c>
      <c r="K9" s="1"/>
    </row>
    <row r="10" spans="1:20" x14ac:dyDescent="0.25">
      <c r="A10">
        <v>12.0248043537139</v>
      </c>
      <c r="B10">
        <v>9.5008464045662695</v>
      </c>
      <c r="C10">
        <v>9.1979434365554794E-2</v>
      </c>
      <c r="D10">
        <v>1.2314038050177201</v>
      </c>
      <c r="E10">
        <v>0.490561373196574</v>
      </c>
      <c r="K10" s="1"/>
    </row>
    <row r="11" spans="1:20" x14ac:dyDescent="0.25">
      <c r="A11">
        <v>14.106971025466899</v>
      </c>
      <c r="B11">
        <v>9.6593397266801801</v>
      </c>
      <c r="C11">
        <v>0.13242240268890901</v>
      </c>
      <c r="D11">
        <v>1.3453667065209201</v>
      </c>
      <c r="E11">
        <v>0.57853671527000305</v>
      </c>
      <c r="K11" s="1"/>
    </row>
    <row r="12" spans="1:20" x14ac:dyDescent="0.25">
      <c r="A12">
        <v>16.3765740394592</v>
      </c>
      <c r="B12">
        <v>9.4612803958928708</v>
      </c>
      <c r="C12">
        <v>0.18184936642838501</v>
      </c>
      <c r="D12">
        <v>1.4428255566556301</v>
      </c>
      <c r="E12">
        <v>0.651730295575214</v>
      </c>
      <c r="K12" s="1"/>
    </row>
    <row r="13" spans="1:20" x14ac:dyDescent="0.25">
      <c r="A13">
        <v>18.850514888763399</v>
      </c>
      <c r="B13">
        <v>9.0305929056830792</v>
      </c>
      <c r="C13">
        <v>0.240104777551639</v>
      </c>
      <c r="D13">
        <v>1.52475545196268</v>
      </c>
      <c r="E13">
        <v>0.71073528816852505</v>
      </c>
      <c r="K13" s="1"/>
    </row>
    <row r="14" spans="1:20" x14ac:dyDescent="0.25">
      <c r="A14">
        <v>21.5470933914184</v>
      </c>
      <c r="B14">
        <v>8.46793300497181</v>
      </c>
      <c r="C14">
        <v>0.30656317381568499</v>
      </c>
      <c r="D14">
        <v>1.5924134553665901</v>
      </c>
      <c r="E14">
        <v>0.75743376062473899</v>
      </c>
      <c r="K14" s="1"/>
    </row>
    <row r="15" spans="1:20" x14ac:dyDescent="0.25">
      <c r="A15">
        <v>24.4862508773803</v>
      </c>
      <c r="B15">
        <v>7.8454876594317602</v>
      </c>
      <c r="C15">
        <v>0.380141131980828</v>
      </c>
      <c r="D15">
        <v>1.6471590412681301</v>
      </c>
      <c r="E15">
        <v>0.79398608616079502</v>
      </c>
      <c r="K15" s="1"/>
    </row>
    <row r="16" spans="1:20" x14ac:dyDescent="0.25">
      <c r="A16">
        <v>27.690056562423699</v>
      </c>
      <c r="B16">
        <v>7.2114772278426198</v>
      </c>
      <c r="C16">
        <v>0.45933346227639599</v>
      </c>
      <c r="D16">
        <v>1.69037382708997</v>
      </c>
      <c r="E16">
        <v>0.82236594017594999</v>
      </c>
      <c r="K16" s="1"/>
    </row>
    <row r="17" spans="1:11" x14ac:dyDescent="0.25">
      <c r="A17">
        <v>31.182160377502399</v>
      </c>
      <c r="B17">
        <v>6.5966433675066396</v>
      </c>
      <c r="C17">
        <v>0.54227068650697297</v>
      </c>
      <c r="D17">
        <v>1.7234601446946201</v>
      </c>
      <c r="E17">
        <v>0.84421788847789303</v>
      </c>
      <c r="K17" s="1"/>
    </row>
    <row r="18" spans="1:11" x14ac:dyDescent="0.25">
      <c r="A18">
        <v>34.988522529602001</v>
      </c>
      <c r="B18">
        <v>6.01961050271162</v>
      </c>
      <c r="C18">
        <v>0.62680176188218595</v>
      </c>
      <c r="D18">
        <v>1.7478615762515</v>
      </c>
      <c r="E18">
        <v>0.86083890500236704</v>
      </c>
      <c r="K18" s="1"/>
    </row>
    <row r="19" spans="1:11" x14ac:dyDescent="0.25">
      <c r="A19">
        <v>39.137535095214801</v>
      </c>
      <c r="B19">
        <v>5.4907722822192602</v>
      </c>
      <c r="C19">
        <v>0.71060729614478302</v>
      </c>
      <c r="D19">
        <v>1.7650302754223901</v>
      </c>
      <c r="E19">
        <v>0.87321105062774595</v>
      </c>
      <c r="K19" s="1"/>
    </row>
    <row r="20" spans="1:11" x14ac:dyDescent="0.25">
      <c r="A20">
        <v>43.659839630126903</v>
      </c>
      <c r="B20">
        <v>5.0151837436411402</v>
      </c>
      <c r="C20">
        <v>0.79134383435847599</v>
      </c>
      <c r="D20">
        <v>1.7763187522705299</v>
      </c>
      <c r="E20">
        <v>0.88207040225932198</v>
      </c>
      <c r="K20" s="1"/>
    </row>
    <row r="21" spans="1:11" x14ac:dyDescent="0.25">
      <c r="A21">
        <v>48.589299917220998</v>
      </c>
      <c r="B21">
        <v>4.5942670404158203</v>
      </c>
      <c r="C21">
        <v>0.86683118173027496</v>
      </c>
      <c r="D21">
        <v>1.78282397924358</v>
      </c>
      <c r="E21">
        <v>0.88798401768767199</v>
      </c>
      <c r="K21" s="1"/>
    </row>
    <row r="22" spans="1:11" x14ac:dyDescent="0.25">
      <c r="A22">
        <v>53.962393999099703</v>
      </c>
      <c r="B22">
        <v>4.2268225207602503</v>
      </c>
      <c r="C22">
        <v>0.93525115508927703</v>
      </c>
      <c r="D22">
        <v>1.7853166763617201</v>
      </c>
      <c r="E22">
        <v>0.89139770380121397</v>
      </c>
      <c r="K22" s="1"/>
    </row>
    <row r="23" spans="1:11" x14ac:dyDescent="0.25">
      <c r="A23">
        <v>59.819004535674999</v>
      </c>
      <c r="B23">
        <v>3.90987051964734</v>
      </c>
      <c r="C23">
        <v>0.99531347697813399</v>
      </c>
      <c r="D23">
        <v>1.7842198824868301</v>
      </c>
      <c r="E23">
        <v>0.89265798103534699</v>
      </c>
      <c r="K23" s="1"/>
    </row>
    <row r="24" spans="1:11" x14ac:dyDescent="0.25">
      <c r="A24">
        <v>66.2026619911193</v>
      </c>
      <c r="B24">
        <v>3.6390720762219502</v>
      </c>
      <c r="C24">
        <v>1.0463830533857601</v>
      </c>
      <c r="D24">
        <v>1.7796141339324101</v>
      </c>
      <c r="E24">
        <v>0.89206065516242095</v>
      </c>
      <c r="K24" s="1"/>
    </row>
    <row r="25" spans="1:11" x14ac:dyDescent="0.25">
      <c r="A25">
        <v>73.160848617553697</v>
      </c>
      <c r="B25">
        <v>3.4091110795014399</v>
      </c>
      <c r="C25">
        <v>1.0884385448676801</v>
      </c>
      <c r="D25">
        <v>1.7714567518094999</v>
      </c>
      <c r="E25">
        <v>0.88985322802395195</v>
      </c>
      <c r="K25" s="1"/>
    </row>
    <row r="26" spans="1:11" x14ac:dyDescent="0.25">
      <c r="A26">
        <v>80.745424032211304</v>
      </c>
      <c r="B26">
        <v>3.21442570238918</v>
      </c>
      <c r="C26">
        <v>1.1219747765341599</v>
      </c>
      <c r="D26">
        <v>1.7597698791399801</v>
      </c>
      <c r="E26">
        <v>0.88623409395321995</v>
      </c>
      <c r="K26" s="1"/>
    </row>
    <row r="27" spans="1:11" x14ac:dyDescent="0.25">
      <c r="A27">
        <v>89.012442827224703</v>
      </c>
      <c r="B27">
        <v>3.0498144776126601</v>
      </c>
      <c r="C27">
        <v>1.14780398657145</v>
      </c>
      <c r="D27">
        <v>1.7448306608430799</v>
      </c>
      <c r="E27">
        <v>0.88135432550283999</v>
      </c>
      <c r="K27" s="1"/>
    </row>
    <row r="28" spans="1:11" x14ac:dyDescent="0.25">
      <c r="A28">
        <v>98.0235528945922</v>
      </c>
      <c r="B28">
        <v>2.9102102246127699</v>
      </c>
      <c r="C28">
        <v>1.1669598433847701</v>
      </c>
      <c r="D28">
        <v>1.72711588618058</v>
      </c>
      <c r="E28">
        <v>0.87527874458368504</v>
      </c>
      <c r="K28" s="1"/>
    </row>
    <row r="29" spans="1:11" x14ac:dyDescent="0.25">
      <c r="A29">
        <v>107.845630645751</v>
      </c>
      <c r="B29">
        <v>2.7911177313718301</v>
      </c>
      <c r="C29">
        <v>1.18035137159479</v>
      </c>
      <c r="D29">
        <v>1.7070350224848201</v>
      </c>
      <c r="E29">
        <v>0.86803842285551303</v>
      </c>
      <c r="K29" s="1"/>
    </row>
    <row r="30" spans="1:11" x14ac:dyDescent="0.25">
      <c r="A30">
        <v>118.551753759384</v>
      </c>
      <c r="B30">
        <v>2.6888298274497999</v>
      </c>
      <c r="C30">
        <v>1.1888911672772999</v>
      </c>
      <c r="D30">
        <v>1.6848459288172299</v>
      </c>
      <c r="E30">
        <v>0.859673628475078</v>
      </c>
      <c r="K30" s="1"/>
    </row>
    <row r="31" spans="1:11" x14ac:dyDescent="0.25">
      <c r="A31">
        <v>130.22150516510001</v>
      </c>
      <c r="B31">
        <v>2.59968809276935</v>
      </c>
      <c r="C31">
        <v>1.19323352101481</v>
      </c>
      <c r="D31">
        <v>1.6607057492041799</v>
      </c>
      <c r="E31">
        <v>0.85018936147958402</v>
      </c>
      <c r="K31" s="1"/>
    </row>
    <row r="32" spans="1:11" x14ac:dyDescent="0.25">
      <c r="A32">
        <v>142.941337823867</v>
      </c>
      <c r="B32">
        <v>2.52066804054131</v>
      </c>
      <c r="C32">
        <v>1.1940414734548801</v>
      </c>
      <c r="D32">
        <v>1.63511645166622</v>
      </c>
      <c r="E32">
        <v>0.839479906796751</v>
      </c>
      <c r="K32" s="1"/>
    </row>
    <row r="33" spans="1:11" x14ac:dyDescent="0.25">
      <c r="A33">
        <v>156.806094646453</v>
      </c>
      <c r="B33">
        <v>2.4493467955956398</v>
      </c>
      <c r="C33">
        <v>1.19203297636797</v>
      </c>
      <c r="D33">
        <v>1.60823071591079</v>
      </c>
      <c r="E33">
        <v>0.82775348026150697</v>
      </c>
      <c r="K33" s="1"/>
    </row>
    <row r="34" spans="1:11" x14ac:dyDescent="0.25">
      <c r="A34">
        <v>171.91864371299701</v>
      </c>
      <c r="B34">
        <v>2.3844122053121999</v>
      </c>
      <c r="C34">
        <v>1.1867570442556801</v>
      </c>
      <c r="D34">
        <v>1.5794181801048699</v>
      </c>
      <c r="E34">
        <v>0.81451472104530198</v>
      </c>
      <c r="K34" s="1"/>
    </row>
    <row r="35" spans="1:11" x14ac:dyDescent="0.25">
      <c r="A35">
        <v>187.726768255233</v>
      </c>
      <c r="B35">
        <v>2.3263703448849999</v>
      </c>
      <c r="C35">
        <v>1.17613964382919</v>
      </c>
      <c r="D35">
        <v>1.55019081978391</v>
      </c>
      <c r="E35">
        <v>0.799633449608118</v>
      </c>
      <c r="K35" s="1"/>
    </row>
    <row r="36" spans="1:11" x14ac:dyDescent="0.25">
      <c r="A36">
        <v>203.579578399658</v>
      </c>
      <c r="B36">
        <v>2.2746174598218398</v>
      </c>
      <c r="C36">
        <v>1.1637847304748901</v>
      </c>
      <c r="D36">
        <v>1.5218288230444801</v>
      </c>
      <c r="E36">
        <v>0.78468333837302195</v>
      </c>
      <c r="K36" s="1"/>
    </row>
    <row r="37" spans="1:11" x14ac:dyDescent="0.25">
      <c r="A37">
        <v>219.43238854408199</v>
      </c>
      <c r="B37">
        <v>2.2257217388743098</v>
      </c>
      <c r="C37">
        <v>1.1509771351810101</v>
      </c>
      <c r="D37">
        <v>1.494617638439</v>
      </c>
      <c r="E37">
        <v>0.76983037071785898</v>
      </c>
      <c r="K37" s="1"/>
    </row>
    <row r="38" spans="1:11" x14ac:dyDescent="0.25">
      <c r="A38">
        <v>235.28525948524401</v>
      </c>
      <c r="B38">
        <v>2.17882924711737</v>
      </c>
      <c r="C38">
        <v>1.1375413209272001</v>
      </c>
      <c r="D38">
        <v>1.46781252828346</v>
      </c>
      <c r="E38">
        <v>0.75481954474530599</v>
      </c>
      <c r="K38" s="1"/>
    </row>
    <row r="39" spans="1:11" x14ac:dyDescent="0.25">
      <c r="A39">
        <v>251.13806962966899</v>
      </c>
      <c r="B39">
        <v>2.1331401571713902</v>
      </c>
      <c r="C39">
        <v>1.12348478776928</v>
      </c>
      <c r="D39">
        <v>1.4408616134716401</v>
      </c>
      <c r="E39">
        <v>0.73979854012559099</v>
      </c>
      <c r="K39" s="1"/>
    </row>
    <row r="40" spans="1:11" x14ac:dyDescent="0.25">
      <c r="A40">
        <v>266.99081897735499</v>
      </c>
      <c r="B40">
        <v>2.0885116108305799</v>
      </c>
      <c r="C40">
        <v>1.10871199928211</v>
      </c>
      <c r="D40">
        <v>1.4135626603559801</v>
      </c>
      <c r="E40">
        <v>0.72471302609732702</v>
      </c>
      <c r="K40" s="1"/>
    </row>
    <row r="41" spans="1:11" x14ac:dyDescent="0.25">
      <c r="A41">
        <v>282.84362912178</v>
      </c>
      <c r="B41">
        <v>2.04472664219491</v>
      </c>
      <c r="C41">
        <v>1.09306036497024</v>
      </c>
      <c r="D41">
        <v>1.3857777214815299</v>
      </c>
      <c r="E41">
        <v>0.709609029788691</v>
      </c>
      <c r="K41" s="1"/>
    </row>
    <row r="42" spans="1:11" x14ac:dyDescent="0.25">
      <c r="A42">
        <v>298.69643926620398</v>
      </c>
      <c r="B42">
        <v>2.0014791775585001</v>
      </c>
      <c r="C42">
        <v>1.07660363538242</v>
      </c>
      <c r="D42">
        <v>1.35781742415948</v>
      </c>
      <c r="E42">
        <v>0.69450320310929303</v>
      </c>
      <c r="K42" s="1"/>
    </row>
    <row r="43" spans="1:11" x14ac:dyDescent="0.25">
      <c r="A43">
        <v>314.54931020736598</v>
      </c>
      <c r="B43">
        <v>1.9579642109317601</v>
      </c>
      <c r="C43">
        <v>1.0593563641983501</v>
      </c>
      <c r="D43">
        <v>1.3300015029116501</v>
      </c>
      <c r="E43">
        <v>0.67930755433300904</v>
      </c>
      <c r="K43" s="1"/>
    </row>
    <row r="44" spans="1:11" x14ac:dyDescent="0.25">
      <c r="A44">
        <v>330.40212035179098</v>
      </c>
      <c r="B44">
        <v>1.9141049560290899</v>
      </c>
      <c r="C44">
        <v>1.04155257101637</v>
      </c>
      <c r="D44">
        <v>1.3016963815953899</v>
      </c>
      <c r="E44">
        <v>0.66413650395403401</v>
      </c>
      <c r="K44" s="1"/>
    </row>
    <row r="45" spans="1:11" x14ac:dyDescent="0.25">
      <c r="A45">
        <v>346.25493049621502</v>
      </c>
      <c r="B45">
        <v>1.8699989135759301</v>
      </c>
      <c r="C45">
        <v>1.0232168988770001</v>
      </c>
      <c r="D45">
        <v>1.2728958101642101</v>
      </c>
      <c r="E45">
        <v>0.648945765928574</v>
      </c>
      <c r="K45" s="1"/>
    </row>
    <row r="46" spans="1:11" x14ac:dyDescent="0.25">
      <c r="A46">
        <v>362.10780143737702</v>
      </c>
      <c r="B46">
        <v>1.8258207277288401</v>
      </c>
      <c r="C46">
        <v>1.0042399719664199</v>
      </c>
      <c r="D46">
        <v>1.24371112873223</v>
      </c>
      <c r="E46">
        <v>0.633732393806136</v>
      </c>
      <c r="K46" s="1"/>
    </row>
    <row r="47" spans="1:11" x14ac:dyDescent="0.25">
      <c r="A47">
        <v>377.96061158180203</v>
      </c>
      <c r="B47">
        <v>1.7817187924491</v>
      </c>
      <c r="C47">
        <v>0.98474089831371603</v>
      </c>
      <c r="D47">
        <v>1.2143960891874701</v>
      </c>
      <c r="E47">
        <v>0.61851428950563103</v>
      </c>
      <c r="K47" s="1"/>
    </row>
    <row r="48" spans="1:11" x14ac:dyDescent="0.25">
      <c r="A48">
        <v>393.81348252296402</v>
      </c>
      <c r="B48">
        <v>1.7376204286245001</v>
      </c>
      <c r="C48">
        <v>0.96470083849298305</v>
      </c>
      <c r="D48">
        <v>1.1847396185309</v>
      </c>
      <c r="E48">
        <v>0.60332444434395704</v>
      </c>
      <c r="K48" s="1"/>
    </row>
    <row r="49" spans="1:20" x14ac:dyDescent="0.25">
      <c r="A49">
        <v>409.66629266738801</v>
      </c>
      <c r="B49">
        <v>1.6937617094400901</v>
      </c>
      <c r="C49">
        <v>0.944301490284708</v>
      </c>
      <c r="D49">
        <v>1.15467412697389</v>
      </c>
      <c r="E49">
        <v>0.58809486674380096</v>
      </c>
      <c r="K49" s="1"/>
    </row>
    <row r="50" spans="1:20" x14ac:dyDescent="0.25">
      <c r="A50">
        <v>425.519042015075</v>
      </c>
      <c r="B50">
        <v>1.6499485263087901</v>
      </c>
      <c r="C50">
        <v>0.92362615788013802</v>
      </c>
      <c r="D50">
        <v>1.1246724751776001</v>
      </c>
      <c r="E50">
        <v>0.57284435148785895</v>
      </c>
      <c r="K50" s="1"/>
    </row>
    <row r="51" spans="1:20" x14ac:dyDescent="0.25">
      <c r="A51">
        <v>441.371912956237</v>
      </c>
      <c r="B51">
        <v>1.6061739148930401</v>
      </c>
      <c r="C51">
        <v>0.90273350243002204</v>
      </c>
      <c r="D51">
        <v>1.09458653703989</v>
      </c>
      <c r="E51">
        <v>0.55761691676078895</v>
      </c>
      <c r="K51" s="1"/>
      <c r="T51" s="1"/>
    </row>
    <row r="52" spans="1:20" x14ac:dyDescent="0.25">
      <c r="A52">
        <v>457.22478389739899</v>
      </c>
      <c r="B52">
        <v>1.5624014463503799</v>
      </c>
      <c r="C52">
        <v>0.88165227414827396</v>
      </c>
      <c r="D52">
        <v>1.0642563113702901</v>
      </c>
      <c r="E52">
        <v>0.54237461585168001</v>
      </c>
    </row>
    <row r="53" spans="1:20" x14ac:dyDescent="0.25">
      <c r="A53">
        <v>473.07753324508599</v>
      </c>
      <c r="B53">
        <v>1.5186695138236099</v>
      </c>
      <c r="C53">
        <v>0.86034309774192497</v>
      </c>
      <c r="D53">
        <v>1.03384072792274</v>
      </c>
      <c r="E53">
        <v>0.52711093085489202</v>
      </c>
    </row>
    <row r="54" spans="1:20" x14ac:dyDescent="0.25">
      <c r="A54">
        <v>488.93034338951099</v>
      </c>
      <c r="B54">
        <v>1.47488686663379</v>
      </c>
      <c r="C54">
        <v>0.83887633087732205</v>
      </c>
      <c r="D54">
        <v>1.00297424826319</v>
      </c>
      <c r="E54">
        <v>0.51182492426345205</v>
      </c>
    </row>
    <row r="55" spans="1:20" x14ac:dyDescent="0.25">
      <c r="A55">
        <v>504.78321433067299</v>
      </c>
      <c r="B55">
        <v>1.43093127172859</v>
      </c>
      <c r="C55">
        <v>0.81734518853373805</v>
      </c>
      <c r="D55">
        <v>0.97164946162222399</v>
      </c>
      <c r="E55">
        <v>0.49654891774641602</v>
      </c>
    </row>
    <row r="56" spans="1:20" x14ac:dyDescent="0.25">
      <c r="A56">
        <v>520.63602447509697</v>
      </c>
      <c r="B56">
        <v>1.3868747832155599</v>
      </c>
      <c r="C56">
        <v>0.79583851065789502</v>
      </c>
      <c r="D56">
        <v>0.94018556680336896</v>
      </c>
      <c r="E56">
        <v>0.48127308980213701</v>
      </c>
    </row>
    <row r="57" spans="1:20" x14ac:dyDescent="0.25">
      <c r="A57">
        <v>536.48889541625897</v>
      </c>
      <c r="B57">
        <v>1.3431648151379201</v>
      </c>
      <c r="C57">
        <v>0.77436799376539101</v>
      </c>
      <c r="D57">
        <v>0.90894372720812699</v>
      </c>
      <c r="E57">
        <v>0.46599913687180899</v>
      </c>
    </row>
    <row r="58" spans="1:20" x14ac:dyDescent="0.25">
      <c r="A58">
        <v>552.34173595905304</v>
      </c>
      <c r="B58">
        <v>1.2995092224648701</v>
      </c>
      <c r="C58">
        <v>0.75301828134315096</v>
      </c>
      <c r="D58">
        <v>0.87767563741757204</v>
      </c>
      <c r="E58">
        <v>0.45071522851026602</v>
      </c>
    </row>
    <row r="59" spans="1:20" x14ac:dyDescent="0.25">
      <c r="A59">
        <v>568.19448530673901</v>
      </c>
      <c r="B59">
        <v>1.2560054166354599</v>
      </c>
      <c r="C59">
        <v>0.73174495341781498</v>
      </c>
      <c r="D59">
        <v>0.84634870790351102</v>
      </c>
      <c r="E59">
        <v>0.435435829110843</v>
      </c>
    </row>
    <row r="60" spans="1:20" x14ac:dyDescent="0.25">
      <c r="A60">
        <v>584.04732584953297</v>
      </c>
      <c r="B60">
        <v>1.21297795363595</v>
      </c>
      <c r="C60">
        <v>0.71052452767180796</v>
      </c>
      <c r="D60">
        <v>0.81532517350398004</v>
      </c>
      <c r="E60">
        <v>0.42014111709748703</v>
      </c>
    </row>
    <row r="61" spans="1:20" x14ac:dyDescent="0.25">
      <c r="A61">
        <v>599.90016639232601</v>
      </c>
      <c r="B61">
        <v>1.1704936196775499</v>
      </c>
      <c r="C61">
        <v>0.68938611146455697</v>
      </c>
      <c r="D61">
        <v>0.78497235838059498</v>
      </c>
      <c r="E61">
        <v>0.40483238712268899</v>
      </c>
    </row>
    <row r="62" spans="1:20" x14ac:dyDescent="0.25">
      <c r="A62">
        <v>615.75300693511895</v>
      </c>
      <c r="B62">
        <v>1.1285317003204201</v>
      </c>
      <c r="C62">
        <v>0.66834113345252599</v>
      </c>
      <c r="D62">
        <v>0.75511838625452599</v>
      </c>
      <c r="E62">
        <v>0.389532005424292</v>
      </c>
    </row>
    <row r="63" spans="1:20" x14ac:dyDescent="0.25">
      <c r="A63">
        <v>631.60581707954395</v>
      </c>
      <c r="B63">
        <v>1.0870020163221601</v>
      </c>
      <c r="C63">
        <v>0.64745276374858296</v>
      </c>
      <c r="D63">
        <v>0.72553240719386602</v>
      </c>
      <c r="E63">
        <v>0.37422269508803302</v>
      </c>
    </row>
    <row r="64" spans="1:20" x14ac:dyDescent="0.25">
      <c r="A64">
        <v>647.45859682559899</v>
      </c>
      <c r="B64">
        <v>1.0458893889984</v>
      </c>
      <c r="C64">
        <v>0.62675243115800205</v>
      </c>
      <c r="D64">
        <v>0.69629571644634403</v>
      </c>
      <c r="E64">
        <v>0.35890142037703998</v>
      </c>
    </row>
    <row r="65" spans="1:5" x14ac:dyDescent="0.25">
      <c r="A65">
        <v>663.31143736839203</v>
      </c>
      <c r="B65">
        <v>1.0053338193908199</v>
      </c>
      <c r="C65">
        <v>0.60627321628405695</v>
      </c>
      <c r="D65">
        <v>0.66745943046371503</v>
      </c>
      <c r="E65">
        <v>0.34359664132449502</v>
      </c>
    </row>
    <row r="66" spans="1:5" x14ac:dyDescent="0.25">
      <c r="A66">
        <v>679.16427791118599</v>
      </c>
      <c r="B66">
        <v>0.96504468033702495</v>
      </c>
      <c r="C66">
        <v>0.58605498549479995</v>
      </c>
      <c r="D66">
        <v>0.63920176485769198</v>
      </c>
      <c r="E66">
        <v>0.328283871141065</v>
      </c>
    </row>
    <row r="67" spans="1:5" x14ac:dyDescent="0.25">
      <c r="A67">
        <v>695.01711845397904</v>
      </c>
      <c r="B67">
        <v>0.92490241737604395</v>
      </c>
      <c r="C67">
        <v>0.56617885546520197</v>
      </c>
      <c r="D67">
        <v>0.61169490840943397</v>
      </c>
      <c r="E67">
        <v>0.31295527494702602</v>
      </c>
    </row>
    <row r="68" spans="1:5" x14ac:dyDescent="0.25">
      <c r="A68">
        <v>710.86992859840302</v>
      </c>
      <c r="B68">
        <v>0.88532006929535001</v>
      </c>
      <c r="C68">
        <v>0.54670223733671197</v>
      </c>
      <c r="D68">
        <v>0.58495573624449604</v>
      </c>
      <c r="E68">
        <v>0.29763437970314199</v>
      </c>
    </row>
    <row r="69" spans="1:5" x14ac:dyDescent="0.25">
      <c r="A69">
        <v>726.72273874282803</v>
      </c>
      <c r="B69">
        <v>0.84651495914049002</v>
      </c>
      <c r="C69">
        <v>0.52771848001817001</v>
      </c>
      <c r="D69">
        <v>0.55878880048009505</v>
      </c>
      <c r="E69">
        <v>0.28232685509445499</v>
      </c>
    </row>
    <row r="70" spans="1:5" x14ac:dyDescent="0.25">
      <c r="A70">
        <v>742.57554888725201</v>
      </c>
      <c r="B70">
        <v>0.80855101595854995</v>
      </c>
      <c r="C70">
        <v>0.50923454784710798</v>
      </c>
      <c r="D70">
        <v>0.53316419017939398</v>
      </c>
      <c r="E70">
        <v>0.26702178586118003</v>
      </c>
    </row>
    <row r="71" spans="1:5" x14ac:dyDescent="0.25">
      <c r="A71">
        <v>758.42838943004597</v>
      </c>
      <c r="B71">
        <v>0.77159833030079095</v>
      </c>
      <c r="C71">
        <v>0.491245172927188</v>
      </c>
      <c r="D71">
        <v>0.50834971983504496</v>
      </c>
      <c r="E71">
        <v>0.25173428372289802</v>
      </c>
    </row>
    <row r="72" spans="1:5" x14ac:dyDescent="0.25">
      <c r="A72">
        <v>774.28122997283901</v>
      </c>
      <c r="B72">
        <v>0.73575333145611399</v>
      </c>
      <c r="C72">
        <v>0.47378642695536899</v>
      </c>
      <c r="D72">
        <v>0.48448061366745898</v>
      </c>
      <c r="E72">
        <v>0.236450420004544</v>
      </c>
    </row>
    <row r="73" spans="1:5" x14ac:dyDescent="0.25">
      <c r="A73">
        <v>790.13402491807904</v>
      </c>
      <c r="B73">
        <v>0.70089396494495504</v>
      </c>
      <c r="C73">
        <v>0.45693313191693102</v>
      </c>
      <c r="D73">
        <v>0.46153928226004998</v>
      </c>
      <c r="E73">
        <v>0.221168252727384</v>
      </c>
    </row>
    <row r="74" spans="1:5" x14ac:dyDescent="0.25">
      <c r="A74">
        <v>805.98686546087197</v>
      </c>
      <c r="B74">
        <v>0.66707514189016104</v>
      </c>
      <c r="C74">
        <v>0.44072506489354601</v>
      </c>
      <c r="D74">
        <v>0.43960260118480199</v>
      </c>
      <c r="E74">
        <v>0.20588579526949299</v>
      </c>
    </row>
    <row r="75" spans="1:5" x14ac:dyDescent="0.25">
      <c r="A75">
        <v>821.83970600366501</v>
      </c>
      <c r="B75">
        <v>0.63457253398570301</v>
      </c>
      <c r="C75">
        <v>0.42523722644324902</v>
      </c>
      <c r="D75">
        <v>0.41885887541421402</v>
      </c>
      <c r="E75">
        <v>0.190602556555789</v>
      </c>
    </row>
    <row r="76" spans="1:5" x14ac:dyDescent="0.25">
      <c r="A76">
        <v>837.69251614809002</v>
      </c>
      <c r="B76">
        <v>0.60361275006050097</v>
      </c>
      <c r="C76">
        <v>0.41058457277850502</v>
      </c>
      <c r="D76">
        <v>0.39948417768691202</v>
      </c>
      <c r="E76">
        <v>0.17533432911449001</v>
      </c>
    </row>
    <row r="77" spans="1:5" x14ac:dyDescent="0.25">
      <c r="A77">
        <v>853.54535669088295</v>
      </c>
      <c r="B77">
        <v>0.57428248718819097</v>
      </c>
      <c r="C77">
        <v>0.39688585478287097</v>
      </c>
      <c r="D77">
        <v>0.38158614273231301</v>
      </c>
      <c r="E77">
        <v>0.160072530292451</v>
      </c>
    </row>
    <row r="78" spans="1:5" x14ac:dyDescent="0.25">
      <c r="A78">
        <v>869.39818203449204</v>
      </c>
      <c r="B78">
        <v>0.54678174685686798</v>
      </c>
      <c r="C78">
        <v>0.38421053725890902</v>
      </c>
      <c r="D78">
        <v>0.36508262708209499</v>
      </c>
      <c r="E78">
        <v>0.14482118913750699</v>
      </c>
    </row>
    <row r="79" spans="1:5" x14ac:dyDescent="0.25">
      <c r="A79">
        <v>885.25099217891602</v>
      </c>
      <c r="B79">
        <v>0.52140124551529698</v>
      </c>
      <c r="C79">
        <v>0.37258524986904001</v>
      </c>
      <c r="D79">
        <v>0.34993800547118897</v>
      </c>
      <c r="E79">
        <v>0.12956928994269701</v>
      </c>
    </row>
    <row r="80" spans="1:5" x14ac:dyDescent="0.25">
      <c r="A80">
        <v>901.10380992293301</v>
      </c>
      <c r="B80">
        <v>0.49826464479785898</v>
      </c>
      <c r="C80">
        <v>0.36206805108095702</v>
      </c>
      <c r="D80">
        <v>0.33632015861298498</v>
      </c>
      <c r="E80">
        <v>0.11431614073858599</v>
      </c>
    </row>
    <row r="81" spans="1:5" x14ac:dyDescent="0.25">
      <c r="A81">
        <v>916.95665046572606</v>
      </c>
      <c r="B81">
        <v>0.47751676721066499</v>
      </c>
      <c r="C81">
        <v>0.35270693232316602</v>
      </c>
      <c r="D81">
        <v>0.32434844007409402</v>
      </c>
      <c r="E81">
        <v>9.9073415719178895E-2</v>
      </c>
    </row>
    <row r="82" spans="1:5" x14ac:dyDescent="0.25">
      <c r="A82">
        <v>932.80946820974305</v>
      </c>
      <c r="B82">
        <v>0.45931931038538498</v>
      </c>
      <c r="C82">
        <v>0.34458173793974201</v>
      </c>
      <c r="D82">
        <v>0.31401782749571899</v>
      </c>
      <c r="E82">
        <v>8.3843575840284901E-2</v>
      </c>
    </row>
    <row r="83" spans="1:5" x14ac:dyDescent="0.25">
      <c r="A83">
        <v>948.66229355335201</v>
      </c>
      <c r="B83">
        <v>0.44375740888402798</v>
      </c>
      <c r="C83">
        <v>0.33776909796512999</v>
      </c>
      <c r="D83">
        <v>0.30540760718207</v>
      </c>
      <c r="E83">
        <v>6.8614204714878696E-2</v>
      </c>
    </row>
    <row r="84" spans="1:5" x14ac:dyDescent="0.25">
      <c r="A84">
        <v>964.51511889696098</v>
      </c>
      <c r="B84">
        <v>0.43097101910507002</v>
      </c>
      <c r="C84">
        <v>0.33229977155676199</v>
      </c>
      <c r="D84">
        <v>0.29860338244864298</v>
      </c>
      <c r="E84">
        <v>5.3389576928336298E-2</v>
      </c>
    </row>
    <row r="85" spans="1:5" x14ac:dyDescent="0.25">
      <c r="A85">
        <v>980.36794044077305</v>
      </c>
      <c r="B85">
        <v>0.42109612420314002</v>
      </c>
      <c r="C85">
        <v>0.32819775442889199</v>
      </c>
      <c r="D85">
        <v>0.29365767600765602</v>
      </c>
      <c r="E85">
        <v>3.8166073592124601E-2</v>
      </c>
    </row>
    <row r="86" spans="1:5" x14ac:dyDescent="0.25">
      <c r="A86">
        <v>996.22076388448397</v>
      </c>
      <c r="B86">
        <v>0.41435473475866202</v>
      </c>
      <c r="C86">
        <v>0.32546936359280598</v>
      </c>
      <c r="D86">
        <v>0.29053091167179002</v>
      </c>
      <c r="E86">
        <v>2.29409310138056E-2</v>
      </c>
    </row>
    <row r="87" spans="1:5" x14ac:dyDescent="0.25">
      <c r="A87">
        <v>1012.07358780317</v>
      </c>
      <c r="B87">
        <v>0.41087479815218902</v>
      </c>
      <c r="C87">
        <v>0.32410225520666103</v>
      </c>
      <c r="D87">
        <v>0.28909724029038802</v>
      </c>
      <c r="E87">
        <v>7.7103775414326201E-3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2" width="12" bestFit="1" customWidth="1"/>
    <col min="3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362</v>
      </c>
      <c r="B1" t="s">
        <v>370</v>
      </c>
      <c r="C1" t="s">
        <v>527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>
        <v>0.49999237060546797</v>
      </c>
      <c r="B2">
        <v>0.22285685951995399</v>
      </c>
      <c r="C2" s="1">
        <v>2.14172509373473E-6</v>
      </c>
      <c r="D2" s="1">
        <f>-B2-C2</f>
        <v>-0.22285900124504773</v>
      </c>
      <c r="F2" s="1"/>
      <c r="G2" s="2">
        <f>D2-A2*(D3-D2)/(A3-A2)</f>
        <v>-0.23046204461304989</v>
      </c>
      <c r="H2" s="1">
        <f>DNS!D612-DNS!B612*(DNS!D613-DNS!D612)/(DNS!B613-DNS!B612)</f>
        <v>-0.24544870469921318</v>
      </c>
      <c r="I2" s="1">
        <f>100*(H2-G2)/H2</f>
        <v>6.1058216235155083</v>
      </c>
    </row>
    <row r="3" spans="1:9" x14ac:dyDescent="0.25">
      <c r="A3">
        <v>1.54496669769287</v>
      </c>
      <c r="B3">
        <v>0.20694171120058699</v>
      </c>
      <c r="C3" s="1">
        <v>2.7077324467879399E-5</v>
      </c>
      <c r="D3" s="1">
        <f t="shared" ref="D3:D66" si="0">-B3-C3</f>
        <v>-0.20696878852505488</v>
      </c>
    </row>
    <row r="4" spans="1:9" x14ac:dyDescent="0.25">
      <c r="A4">
        <v>2.6840543746948198</v>
      </c>
      <c r="B4">
        <v>0.19020941525173601</v>
      </c>
      <c r="C4" s="1">
        <v>1.13011094453252E-4</v>
      </c>
      <c r="D4" s="1">
        <f t="shared" si="0"/>
        <v>-0.19032242634618926</v>
      </c>
    </row>
    <row r="5" spans="1:9" x14ac:dyDescent="0.25">
      <c r="A5">
        <v>3.9255237579345699</v>
      </c>
      <c r="B5">
        <v>0.169160147034633</v>
      </c>
      <c r="C5">
        <v>2.48559082972782E-4</v>
      </c>
      <c r="D5" s="1">
        <f t="shared" si="0"/>
        <v>-0.16940870611760578</v>
      </c>
    </row>
    <row r="6" spans="1:9" x14ac:dyDescent="0.25">
      <c r="A6">
        <v>5.2789807319641104</v>
      </c>
      <c r="B6">
        <v>0.14596092979380301</v>
      </c>
      <c r="C6">
        <v>4.9989509370292897E-4</v>
      </c>
      <c r="D6" s="1">
        <f t="shared" si="0"/>
        <v>-0.14646082488750595</v>
      </c>
    </row>
    <row r="7" spans="1:9" x14ac:dyDescent="0.25">
      <c r="A7">
        <v>6.7539703845977703</v>
      </c>
      <c r="B7">
        <v>0.12684682991421301</v>
      </c>
      <c r="C7">
        <v>1.3786914400489899E-3</v>
      </c>
      <c r="D7" s="1">
        <f t="shared" si="0"/>
        <v>-0.12822552135426199</v>
      </c>
    </row>
    <row r="8" spans="1:9" x14ac:dyDescent="0.25">
      <c r="A8">
        <v>8.3618009090423495</v>
      </c>
      <c r="B8">
        <v>0.116081484567057</v>
      </c>
      <c r="C8">
        <v>3.7845301952041401E-3</v>
      </c>
      <c r="D8" s="1">
        <f t="shared" si="0"/>
        <v>-0.11986601476226114</v>
      </c>
    </row>
    <row r="9" spans="1:9" x14ac:dyDescent="0.25">
      <c r="A9">
        <v>10.114449262619001</v>
      </c>
      <c r="B9">
        <v>0.112388580655694</v>
      </c>
      <c r="C9">
        <v>7.3447879416709697E-3</v>
      </c>
      <c r="D9" s="1">
        <f t="shared" si="0"/>
        <v>-0.11973336859736497</v>
      </c>
    </row>
    <row r="10" spans="1:9" x14ac:dyDescent="0.25">
      <c r="A10">
        <v>12.0248043537139</v>
      </c>
      <c r="B10">
        <v>0.11134028958857101</v>
      </c>
      <c r="C10">
        <v>9.8663645846846105E-3</v>
      </c>
      <c r="D10" s="1">
        <f t="shared" si="0"/>
        <v>-0.12120665417325562</v>
      </c>
    </row>
    <row r="11" spans="1:9" x14ac:dyDescent="0.25">
      <c r="A11">
        <v>14.106971025466899</v>
      </c>
      <c r="B11">
        <v>0.10927292972262601</v>
      </c>
      <c r="C11">
        <v>1.0048081417759199E-2</v>
      </c>
      <c r="D11" s="1">
        <f t="shared" si="0"/>
        <v>-0.11932101114038521</v>
      </c>
    </row>
    <row r="12" spans="1:9" x14ac:dyDescent="0.25">
      <c r="A12">
        <v>16.3765740394592</v>
      </c>
      <c r="B12">
        <v>0.1048111748498</v>
      </c>
      <c r="C12">
        <v>8.5611069377075303E-3</v>
      </c>
      <c r="D12" s="1">
        <f t="shared" si="0"/>
        <v>-0.11337228178750754</v>
      </c>
    </row>
    <row r="13" spans="1:9" x14ac:dyDescent="0.25">
      <c r="A13">
        <v>18.850514888763399</v>
      </c>
      <c r="B13">
        <v>9.8286523988739896E-2</v>
      </c>
      <c r="C13">
        <v>6.6560513016023998E-3</v>
      </c>
      <c r="D13" s="1">
        <f t="shared" si="0"/>
        <v>-0.1049425752903423</v>
      </c>
    </row>
    <row r="14" spans="1:9" x14ac:dyDescent="0.25">
      <c r="A14">
        <v>21.5470933914184</v>
      </c>
      <c r="B14">
        <v>9.0654665355932099E-2</v>
      </c>
      <c r="C14">
        <v>5.1193521956103801E-3</v>
      </c>
      <c r="D14" s="1">
        <f t="shared" si="0"/>
        <v>-9.5774017551542481E-2</v>
      </c>
    </row>
    <row r="15" spans="1:9" x14ac:dyDescent="0.25">
      <c r="A15">
        <v>24.4862508773803</v>
      </c>
      <c r="B15">
        <v>8.27942921988509E-2</v>
      </c>
      <c r="C15">
        <v>4.1991120936383198E-3</v>
      </c>
      <c r="D15" s="1">
        <f t="shared" si="0"/>
        <v>-8.6993404292489224E-2</v>
      </c>
    </row>
    <row r="16" spans="1:9" x14ac:dyDescent="0.25">
      <c r="A16">
        <v>27.690056562423699</v>
      </c>
      <c r="B16">
        <v>7.5265761273005993E-2</v>
      </c>
      <c r="C16">
        <v>3.8579695900528501E-3</v>
      </c>
      <c r="D16" s="1">
        <f t="shared" si="0"/>
        <v>-7.912373086305885E-2</v>
      </c>
    </row>
    <row r="17" spans="1:16" x14ac:dyDescent="0.25">
      <c r="A17">
        <v>31.182160377502399</v>
      </c>
      <c r="B17">
        <v>6.8325290777949299E-2</v>
      </c>
      <c r="C17">
        <v>3.9601397481092296E-3</v>
      </c>
      <c r="D17" s="1">
        <f t="shared" si="0"/>
        <v>-7.2285430526058528E-2</v>
      </c>
    </row>
    <row r="18" spans="1:16" x14ac:dyDescent="0.25">
      <c r="A18">
        <v>34.988522529602001</v>
      </c>
      <c r="B18">
        <v>6.2029221153149697E-2</v>
      </c>
      <c r="C18" s="1">
        <v>4.34874018321906E-3</v>
      </c>
      <c r="D18" s="1">
        <f t="shared" si="0"/>
        <v>-6.6377961336368752E-2</v>
      </c>
    </row>
    <row r="19" spans="1:16" x14ac:dyDescent="0.25">
      <c r="A19">
        <v>39.137535095214801</v>
      </c>
      <c r="B19">
        <v>5.6339332688202098E-2</v>
      </c>
      <c r="C19">
        <v>4.8716347350833298E-3</v>
      </c>
      <c r="D19" s="1">
        <f t="shared" si="0"/>
        <v>-6.1210967423285426E-2</v>
      </c>
    </row>
    <row r="20" spans="1:16" x14ac:dyDescent="0.25">
      <c r="A20">
        <v>43.659839630126903</v>
      </c>
      <c r="B20">
        <v>5.1181067983032201E-2</v>
      </c>
      <c r="C20">
        <v>5.39813015262928E-3</v>
      </c>
      <c r="D20" s="1">
        <f t="shared" si="0"/>
        <v>-5.6579198135661479E-2</v>
      </c>
    </row>
    <row r="21" spans="1:16" x14ac:dyDescent="0.25">
      <c r="A21">
        <v>48.589299917220998</v>
      </c>
      <c r="B21">
        <v>4.6483134551145402E-2</v>
      </c>
      <c r="C21">
        <v>5.8263122941111401E-3</v>
      </c>
      <c r="D21" s="1">
        <f t="shared" si="0"/>
        <v>-5.2309446845256541E-2</v>
      </c>
    </row>
    <row r="22" spans="1:16" x14ac:dyDescent="0.25">
      <c r="A22">
        <v>53.962393999099703</v>
      </c>
      <c r="B22">
        <v>4.2197291861328201E-2</v>
      </c>
      <c r="C22">
        <v>6.0965683632718502E-3</v>
      </c>
      <c r="D22" s="1">
        <f t="shared" si="0"/>
        <v>-4.8293860224600055E-2</v>
      </c>
    </row>
    <row r="23" spans="1:16" x14ac:dyDescent="0.25">
      <c r="A23">
        <v>59.819004535674999</v>
      </c>
      <c r="B23">
        <v>3.8290769079046702E-2</v>
      </c>
      <c r="C23">
        <v>6.1902883890130999E-3</v>
      </c>
      <c r="D23" s="1">
        <f t="shared" si="0"/>
        <v>-4.4481057468059804E-2</v>
      </c>
    </row>
    <row r="24" spans="1:16" x14ac:dyDescent="0.25">
      <c r="A24">
        <v>66.2026619911193</v>
      </c>
      <c r="B24">
        <v>3.4742323624940799E-2</v>
      </c>
      <c r="C24">
        <v>6.1160599921197102E-3</v>
      </c>
      <c r="D24" s="1">
        <f t="shared" si="0"/>
        <v>-4.0858383617060512E-2</v>
      </c>
    </row>
    <row r="25" spans="1:16" x14ac:dyDescent="0.25">
      <c r="A25">
        <v>73.160848617553697</v>
      </c>
      <c r="B25">
        <v>3.1536449771039102E-2</v>
      </c>
      <c r="C25">
        <v>5.9063970893381001E-3</v>
      </c>
      <c r="D25" s="1">
        <f t="shared" si="0"/>
        <v>-3.7442846860377202E-2</v>
      </c>
    </row>
    <row r="26" spans="1:16" x14ac:dyDescent="0.25">
      <c r="A26">
        <v>80.745424032211304</v>
      </c>
      <c r="B26">
        <v>2.8651057956375799E-2</v>
      </c>
      <c r="C26">
        <v>5.6066348647808998E-3</v>
      </c>
      <c r="D26" s="1">
        <f t="shared" si="0"/>
        <v>-3.4257692821156698E-2</v>
      </c>
    </row>
    <row r="27" spans="1:16" x14ac:dyDescent="0.25">
      <c r="A27">
        <v>89.012442827224703</v>
      </c>
      <c r="B27">
        <v>2.6061074054348401E-2</v>
      </c>
      <c r="C27">
        <v>5.2561752539475003E-3</v>
      </c>
      <c r="D27" s="1">
        <f t="shared" si="0"/>
        <v>-3.1317249308295901E-2</v>
      </c>
    </row>
    <row r="28" spans="1:16" x14ac:dyDescent="0.25">
      <c r="A28">
        <v>98.0235528945922</v>
      </c>
      <c r="B28">
        <v>2.37457250572276E-2</v>
      </c>
      <c r="C28">
        <v>4.8864483204850602E-3</v>
      </c>
      <c r="D28" s="1">
        <f t="shared" si="0"/>
        <v>-2.863217337771266E-2</v>
      </c>
    </row>
    <row r="29" spans="1:16" x14ac:dyDescent="0.25">
      <c r="A29">
        <v>107.845630645751</v>
      </c>
      <c r="B29">
        <v>2.1680986473676299E-2</v>
      </c>
      <c r="C29">
        <v>4.5184287942868703E-3</v>
      </c>
      <c r="D29" s="1">
        <f t="shared" si="0"/>
        <v>-2.6199415267963169E-2</v>
      </c>
    </row>
    <row r="30" spans="1:16" x14ac:dyDescent="0.25">
      <c r="A30">
        <v>118.551753759384</v>
      </c>
      <c r="B30">
        <v>1.9840914171131901E-2</v>
      </c>
      <c r="C30">
        <v>4.1705856960959301E-3</v>
      </c>
      <c r="D30" s="1">
        <f t="shared" si="0"/>
        <v>-2.401149986722783E-2</v>
      </c>
    </row>
    <row r="31" spans="1:16" x14ac:dyDescent="0.25">
      <c r="A31">
        <v>130.22150516510001</v>
      </c>
      <c r="B31">
        <v>1.8200902421843301E-2</v>
      </c>
      <c r="C31">
        <v>3.8498414909747302E-3</v>
      </c>
      <c r="D31" s="1">
        <f t="shared" si="0"/>
        <v>-2.2050743912818031E-2</v>
      </c>
    </row>
    <row r="32" spans="1:16" x14ac:dyDescent="0.25">
      <c r="A32">
        <v>142.941337823867</v>
      </c>
      <c r="B32">
        <v>1.6739918077513499E-2</v>
      </c>
      <c r="C32">
        <v>3.5570371476542099E-3</v>
      </c>
      <c r="D32" s="1">
        <f t="shared" si="0"/>
        <v>-2.0296955225167709E-2</v>
      </c>
      <c r="L32" s="1"/>
      <c r="M32" s="1"/>
      <c r="P32" s="1"/>
    </row>
    <row r="33" spans="1:16" x14ac:dyDescent="0.25">
      <c r="A33">
        <v>156.806094646453</v>
      </c>
      <c r="B33">
        <v>1.5422648248617001E-2</v>
      </c>
      <c r="C33">
        <v>3.29885473537619E-3</v>
      </c>
      <c r="D33" s="1">
        <f t="shared" si="0"/>
        <v>-1.872150298399319E-2</v>
      </c>
      <c r="L33" s="1"/>
      <c r="M33" s="1"/>
    </row>
    <row r="34" spans="1:16" x14ac:dyDescent="0.25">
      <c r="A34">
        <v>171.91864371299701</v>
      </c>
      <c r="B34">
        <v>1.43170847667547E-2</v>
      </c>
      <c r="C34">
        <v>3.1009115379534002E-3</v>
      </c>
      <c r="D34" s="1">
        <f t="shared" si="0"/>
        <v>-1.7417996304708101E-2</v>
      </c>
      <c r="K34" s="1"/>
      <c r="L34" s="1"/>
      <c r="M34" s="1"/>
      <c r="N34" s="1"/>
    </row>
    <row r="35" spans="1:16" x14ac:dyDescent="0.25">
      <c r="A35">
        <v>187.726768255233</v>
      </c>
      <c r="B35">
        <v>1.3075887574688499E-2</v>
      </c>
      <c r="C35">
        <v>2.7869392754198098E-3</v>
      </c>
      <c r="D35" s="1">
        <f t="shared" si="0"/>
        <v>-1.586282685010831E-2</v>
      </c>
      <c r="L35" s="1"/>
    </row>
    <row r="36" spans="1:16" x14ac:dyDescent="0.25">
      <c r="A36">
        <v>203.579578399658</v>
      </c>
      <c r="B36">
        <v>1.20938903867079E-2</v>
      </c>
      <c r="C36">
        <v>2.5500980828554801E-3</v>
      </c>
      <c r="D36" s="1">
        <f t="shared" si="0"/>
        <v>-1.464398846956338E-2</v>
      </c>
      <c r="L36" s="1"/>
      <c r="M36" s="1"/>
    </row>
    <row r="37" spans="1:16" x14ac:dyDescent="0.25">
      <c r="A37">
        <v>219.43238854408199</v>
      </c>
      <c r="B37">
        <v>1.1275916607129E-2</v>
      </c>
      <c r="C37">
        <v>2.3583129825904899E-3</v>
      </c>
      <c r="D37" s="1">
        <f t="shared" si="0"/>
        <v>-1.363422958971949E-2</v>
      </c>
      <c r="L37" s="1"/>
      <c r="N37" s="2"/>
      <c r="O37" s="2"/>
      <c r="P37" s="1"/>
    </row>
    <row r="38" spans="1:16" x14ac:dyDescent="0.25">
      <c r="A38">
        <v>235.28525948524401</v>
      </c>
      <c r="B38">
        <v>1.0576393177743899E-2</v>
      </c>
      <c r="C38">
        <v>2.1953581677655802E-3</v>
      </c>
      <c r="D38" s="1">
        <f t="shared" si="0"/>
        <v>-1.277175134550948E-2</v>
      </c>
      <c r="N38" s="2"/>
      <c r="O38" s="2"/>
      <c r="P38" s="1"/>
    </row>
    <row r="39" spans="1:16" x14ac:dyDescent="0.25">
      <c r="A39">
        <v>251.13806962966899</v>
      </c>
      <c r="B39">
        <v>9.9627112166002108E-3</v>
      </c>
      <c r="C39">
        <v>2.0576548693198101E-3</v>
      </c>
      <c r="D39" s="1">
        <f t="shared" si="0"/>
        <v>-1.202036608592002E-2</v>
      </c>
      <c r="O39" s="1"/>
    </row>
    <row r="40" spans="1:16" x14ac:dyDescent="0.25">
      <c r="A40">
        <v>266.99081897735499</v>
      </c>
      <c r="B40">
        <v>9.4144163579301197E-3</v>
      </c>
      <c r="C40">
        <v>1.9371560512647301E-3</v>
      </c>
      <c r="D40" s="1">
        <f t="shared" si="0"/>
        <v>-1.1351572409194849E-2</v>
      </c>
    </row>
    <row r="41" spans="1:16" x14ac:dyDescent="0.25">
      <c r="A41">
        <v>282.84362912178</v>
      </c>
      <c r="B41">
        <v>8.9156893321240601E-3</v>
      </c>
      <c r="C41">
        <v>1.82671242691029E-3</v>
      </c>
      <c r="D41" s="1">
        <f t="shared" si="0"/>
        <v>-1.074240175903435E-2</v>
      </c>
    </row>
    <row r="42" spans="1:16" x14ac:dyDescent="0.25">
      <c r="A42">
        <v>298.69643926620398</v>
      </c>
      <c r="B42">
        <v>8.4565848445678007E-3</v>
      </c>
      <c r="C42">
        <v>1.7249425976103799E-3</v>
      </c>
      <c r="D42" s="1">
        <f t="shared" si="0"/>
        <v>-1.018152744217818E-2</v>
      </c>
    </row>
    <row r="43" spans="1:16" x14ac:dyDescent="0.25">
      <c r="A43">
        <v>314.54931020736598</v>
      </c>
      <c r="B43">
        <v>8.0292754512646305E-3</v>
      </c>
      <c r="C43">
        <v>1.6306663967948201E-3</v>
      </c>
      <c r="D43" s="1">
        <f t="shared" si="0"/>
        <v>-9.6599418480594508E-3</v>
      </c>
    </row>
    <row r="44" spans="1:16" x14ac:dyDescent="0.25">
      <c r="A44">
        <v>330.40212035179098</v>
      </c>
      <c r="B44">
        <v>7.6308821859854201E-3</v>
      </c>
      <c r="C44" s="1">
        <v>1.5438505909573901E-3</v>
      </c>
      <c r="D44" s="1">
        <f t="shared" si="0"/>
        <v>-9.1747327769428101E-3</v>
      </c>
    </row>
    <row r="45" spans="1:16" x14ac:dyDescent="0.25">
      <c r="A45">
        <v>346.25493049621502</v>
      </c>
      <c r="B45">
        <v>7.2572009060000902E-3</v>
      </c>
      <c r="C45" s="1">
        <v>1.46105538719694E-3</v>
      </c>
      <c r="D45" s="1">
        <f t="shared" si="0"/>
        <v>-8.7182562931970298E-3</v>
      </c>
    </row>
    <row r="46" spans="1:16" x14ac:dyDescent="0.25">
      <c r="A46">
        <v>362.10780143737702</v>
      </c>
      <c r="B46">
        <v>6.9022711104454E-3</v>
      </c>
      <c r="C46" s="1">
        <v>1.3814458337180801E-3</v>
      </c>
      <c r="D46" s="1">
        <f t="shared" si="0"/>
        <v>-8.28371694416348E-3</v>
      </c>
    </row>
    <row r="47" spans="1:16" x14ac:dyDescent="0.25">
      <c r="A47">
        <v>377.96061158180203</v>
      </c>
      <c r="B47">
        <v>6.56340461779814E-3</v>
      </c>
      <c r="C47" s="1">
        <v>1.30674670904669E-3</v>
      </c>
      <c r="D47" s="1">
        <f t="shared" si="0"/>
        <v>-7.8701513268448296E-3</v>
      </c>
    </row>
    <row r="48" spans="1:16" x14ac:dyDescent="0.25">
      <c r="A48">
        <v>393.81348252296402</v>
      </c>
      <c r="B48">
        <v>6.2395180042284799E-3</v>
      </c>
      <c r="C48" s="1">
        <v>1.23553893771469E-3</v>
      </c>
      <c r="D48" s="1">
        <f t="shared" si="0"/>
        <v>-7.4750569419431701E-3</v>
      </c>
    </row>
    <row r="49" spans="1:4" x14ac:dyDescent="0.25">
      <c r="A49">
        <v>409.66629266738801</v>
      </c>
      <c r="B49">
        <v>5.9301066290075198E-3</v>
      </c>
      <c r="C49" s="1">
        <v>1.16776752795155E-3</v>
      </c>
      <c r="D49" s="1">
        <f t="shared" si="0"/>
        <v>-7.0978741569590695E-3</v>
      </c>
    </row>
    <row r="50" spans="1:4" x14ac:dyDescent="0.25">
      <c r="A50">
        <v>425.519042015075</v>
      </c>
      <c r="B50">
        <v>5.6344122616558898E-3</v>
      </c>
      <c r="C50" s="1">
        <v>1.1023057367743701E-3</v>
      </c>
      <c r="D50" s="1">
        <f t="shared" si="0"/>
        <v>-6.73671799843026E-3</v>
      </c>
    </row>
    <row r="51" spans="1:4" x14ac:dyDescent="0.25">
      <c r="A51">
        <v>441.371912956237</v>
      </c>
      <c r="B51">
        <v>5.3519488057131399E-3</v>
      </c>
      <c r="C51" s="1">
        <v>1.04119946984952E-3</v>
      </c>
      <c r="D51" s="1">
        <f t="shared" si="0"/>
        <v>-6.3931482755626599E-3</v>
      </c>
    </row>
    <row r="52" spans="1:4" x14ac:dyDescent="0.25">
      <c r="A52">
        <v>457.22478389739899</v>
      </c>
      <c r="B52">
        <v>5.08084287058015E-3</v>
      </c>
      <c r="C52" s="1">
        <v>9.8433672458797397E-4</v>
      </c>
      <c r="D52" s="1">
        <f t="shared" si="0"/>
        <v>-6.0651795951681235E-3</v>
      </c>
    </row>
    <row r="53" spans="1:4" x14ac:dyDescent="0.25">
      <c r="A53">
        <v>473.07753324508599</v>
      </c>
      <c r="B53">
        <v>4.81952970163091E-3</v>
      </c>
      <c r="C53" s="1">
        <v>9.2853169244833903E-4</v>
      </c>
      <c r="D53" s="1">
        <f t="shared" si="0"/>
        <v>-5.7480613940792489E-3</v>
      </c>
    </row>
    <row r="54" spans="1:4" x14ac:dyDescent="0.25">
      <c r="A54">
        <v>488.93034338951099</v>
      </c>
      <c r="B54">
        <v>4.56955128538283E-3</v>
      </c>
      <c r="C54" s="1">
        <v>8.75214021481441E-4</v>
      </c>
      <c r="D54" s="1">
        <f t="shared" si="0"/>
        <v>-5.4447653068642708E-3</v>
      </c>
    </row>
    <row r="55" spans="1:4" x14ac:dyDescent="0.25">
      <c r="A55">
        <v>504.78321433067299</v>
      </c>
      <c r="B55">
        <v>4.3299816948523502E-3</v>
      </c>
      <c r="C55" s="1">
        <v>8.2414443727561704E-4</v>
      </c>
      <c r="D55" s="1">
        <f t="shared" si="0"/>
        <v>-5.1541261321279676E-3</v>
      </c>
    </row>
    <row r="56" spans="1:4" x14ac:dyDescent="0.25">
      <c r="A56">
        <v>520.63602447509697</v>
      </c>
      <c r="B56">
        <v>4.0998855692163903E-3</v>
      </c>
      <c r="C56" s="1">
        <v>7.7509917229167898E-4</v>
      </c>
      <c r="D56" s="1">
        <f t="shared" si="0"/>
        <v>-4.8749847415080691E-3</v>
      </c>
    </row>
    <row r="57" spans="1:4" x14ac:dyDescent="0.25">
      <c r="A57">
        <v>536.48889541625897</v>
      </c>
      <c r="B57">
        <v>3.87811361351531E-3</v>
      </c>
      <c r="C57" s="1">
        <v>7.2785169758656702E-4</v>
      </c>
      <c r="D57" s="1">
        <f t="shared" si="0"/>
        <v>-4.605965311101877E-3</v>
      </c>
    </row>
    <row r="58" spans="1:4" x14ac:dyDescent="0.25">
      <c r="A58">
        <v>552.34173595905304</v>
      </c>
      <c r="B58">
        <v>3.66450978711902E-3</v>
      </c>
      <c r="C58" s="1">
        <v>6.83454816278665E-4</v>
      </c>
      <c r="D58" s="1">
        <f t="shared" si="0"/>
        <v>-4.3479646033976853E-3</v>
      </c>
    </row>
    <row r="59" spans="1:4" x14ac:dyDescent="0.25">
      <c r="A59">
        <v>568.19448530673901</v>
      </c>
      <c r="B59">
        <v>3.45896278817756E-3</v>
      </c>
      <c r="C59" s="1">
        <v>6.4094373837792601E-4</v>
      </c>
      <c r="D59" s="1">
        <f t="shared" si="0"/>
        <v>-4.0999065265554862E-3</v>
      </c>
    </row>
    <row r="60" spans="1:4" x14ac:dyDescent="0.25">
      <c r="A60">
        <v>584.04732584953297</v>
      </c>
      <c r="B60">
        <v>3.2620882369189599E-3</v>
      </c>
      <c r="C60" s="1">
        <v>6.0162754560887501E-4</v>
      </c>
      <c r="D60" s="1">
        <f t="shared" si="0"/>
        <v>-3.8637157825278348E-3</v>
      </c>
    </row>
    <row r="61" spans="1:4" x14ac:dyDescent="0.25">
      <c r="A61">
        <v>599.90016639232601</v>
      </c>
      <c r="B61">
        <v>3.0737488488381801E-3</v>
      </c>
      <c r="C61" s="1">
        <v>5.6344968903194797E-4</v>
      </c>
      <c r="D61" s="1">
        <f t="shared" si="0"/>
        <v>-3.6371985378701281E-3</v>
      </c>
    </row>
    <row r="62" spans="1:4" x14ac:dyDescent="0.25">
      <c r="A62">
        <v>615.75300693511895</v>
      </c>
      <c r="B62">
        <v>2.89437459758931E-3</v>
      </c>
      <c r="C62" s="1">
        <v>5.26159430582446E-4</v>
      </c>
      <c r="D62" s="1">
        <f t="shared" si="0"/>
        <v>-3.420534028171756E-3</v>
      </c>
    </row>
    <row r="63" spans="1:4" x14ac:dyDescent="0.25">
      <c r="A63">
        <v>631.60581707954395</v>
      </c>
      <c r="B63">
        <v>2.7232215522883102E-3</v>
      </c>
      <c r="C63" s="1">
        <v>4.9062039256112997E-4</v>
      </c>
      <c r="D63" s="1">
        <f t="shared" si="0"/>
        <v>-3.2138419448494403E-3</v>
      </c>
    </row>
    <row r="64" spans="1:4" x14ac:dyDescent="0.25">
      <c r="A64">
        <v>647.45859682559899</v>
      </c>
      <c r="B64">
        <v>2.5606419618942498E-3</v>
      </c>
      <c r="C64" s="1">
        <v>4.5741601938216302E-4</v>
      </c>
      <c r="D64" s="1">
        <f t="shared" si="0"/>
        <v>-3.0180579812764128E-3</v>
      </c>
    </row>
    <row r="65" spans="1:4" x14ac:dyDescent="0.25">
      <c r="A65">
        <v>663.31143736839203</v>
      </c>
      <c r="B65">
        <v>2.40506905000939E-3</v>
      </c>
      <c r="C65" s="1">
        <v>4.2604310173328599E-4</v>
      </c>
      <c r="D65" s="1">
        <f t="shared" si="0"/>
        <v>-2.8311121517426759E-3</v>
      </c>
    </row>
    <row r="66" spans="1:4" x14ac:dyDescent="0.25">
      <c r="A66">
        <v>679.16427791118599</v>
      </c>
      <c r="B66">
        <v>2.2562468168844199E-3</v>
      </c>
      <c r="C66" s="1">
        <v>3.95243882696913E-4</v>
      </c>
      <c r="D66" s="1">
        <f t="shared" si="0"/>
        <v>-2.6514906995813328E-3</v>
      </c>
    </row>
    <row r="67" spans="1:4" x14ac:dyDescent="0.25">
      <c r="A67">
        <v>695.01711845397904</v>
      </c>
      <c r="B67">
        <v>2.1148544961857498E-3</v>
      </c>
      <c r="C67" s="1">
        <v>3.6635912338925998E-4</v>
      </c>
      <c r="D67" s="1">
        <f t="shared" ref="D67:D87" si="1">-B67-C67</f>
        <v>-2.4812136195750097E-3</v>
      </c>
    </row>
    <row r="68" spans="1:4" x14ac:dyDescent="0.25">
      <c r="A68">
        <v>710.86992859840302</v>
      </c>
      <c r="B68">
        <v>1.9804068111486301E-3</v>
      </c>
      <c r="C68" s="1">
        <v>3.3900818935334698E-4</v>
      </c>
      <c r="D68" s="1">
        <f t="shared" si="1"/>
        <v>-2.319415000501977E-3</v>
      </c>
    </row>
    <row r="69" spans="1:4" x14ac:dyDescent="0.25">
      <c r="A69">
        <v>726.72273874282803</v>
      </c>
      <c r="B69">
        <v>1.8532927526011E-3</v>
      </c>
      <c r="C69" s="1">
        <v>3.1360137814917202E-4</v>
      </c>
      <c r="D69" s="1">
        <f t="shared" si="1"/>
        <v>-2.1668941307502721E-3</v>
      </c>
    </row>
    <row r="70" spans="1:4" x14ac:dyDescent="0.25">
      <c r="A70">
        <v>742.57554888725201</v>
      </c>
      <c r="B70">
        <v>1.7335831748612699E-3</v>
      </c>
      <c r="C70" s="1">
        <v>2.8920574973870602E-4</v>
      </c>
      <c r="D70" s="1">
        <f t="shared" si="1"/>
        <v>-2.0227889245999758E-3</v>
      </c>
    </row>
    <row r="71" spans="1:4" x14ac:dyDescent="0.25">
      <c r="A71">
        <v>758.42838943004597</v>
      </c>
      <c r="B71">
        <v>1.62042703326756E-3</v>
      </c>
      <c r="C71" s="1">
        <v>2.66546643499683E-4</v>
      </c>
      <c r="D71" s="1">
        <f t="shared" si="1"/>
        <v>-1.8869736767672431E-3</v>
      </c>
    </row>
    <row r="72" spans="1:4" x14ac:dyDescent="0.25">
      <c r="A72">
        <v>774.28122997283901</v>
      </c>
      <c r="B72">
        <v>1.5140287150815E-3</v>
      </c>
      <c r="C72" s="1">
        <v>2.4472995159704699E-4</v>
      </c>
      <c r="D72" s="1">
        <f t="shared" si="1"/>
        <v>-1.758758666678547E-3</v>
      </c>
    </row>
    <row r="73" spans="1:4" x14ac:dyDescent="0.25">
      <c r="A73">
        <v>790.13402491807904</v>
      </c>
      <c r="B73">
        <v>1.4150819275760599E-3</v>
      </c>
      <c r="C73" s="1">
        <v>2.2453116297748601E-4</v>
      </c>
      <c r="D73" s="1">
        <f t="shared" si="1"/>
        <v>-1.6396130905535458E-3</v>
      </c>
    </row>
    <row r="74" spans="1:4" x14ac:dyDescent="0.25">
      <c r="A74">
        <v>805.98686546087197</v>
      </c>
      <c r="B74">
        <v>1.3230406617397001E-3</v>
      </c>
      <c r="C74" s="1">
        <v>2.0534859266004799E-4</v>
      </c>
      <c r="D74" s="1">
        <f t="shared" si="1"/>
        <v>-1.528389254399748E-3</v>
      </c>
    </row>
    <row r="75" spans="1:4" x14ac:dyDescent="0.25">
      <c r="A75">
        <v>821.83970600366501</v>
      </c>
      <c r="B75">
        <v>1.23757105549537E-3</v>
      </c>
      <c r="C75" s="1">
        <v>1.8761068826067301E-4</v>
      </c>
      <c r="D75" s="1">
        <f t="shared" si="1"/>
        <v>-1.4251817437560431E-3</v>
      </c>
    </row>
    <row r="76" spans="1:4" x14ac:dyDescent="0.25">
      <c r="A76">
        <v>837.69251614809002</v>
      </c>
      <c r="B76">
        <v>1.15881121064745E-3</v>
      </c>
      <c r="C76" s="1">
        <v>1.7158720037342801E-4</v>
      </c>
      <c r="D76" s="1">
        <f t="shared" si="1"/>
        <v>-1.3303984110208781E-3</v>
      </c>
    </row>
    <row r="77" spans="1:4" x14ac:dyDescent="0.25">
      <c r="A77">
        <v>853.54535669088295</v>
      </c>
      <c r="B77">
        <v>1.08688294164671E-3</v>
      </c>
      <c r="C77" s="1">
        <v>1.56642872782932E-4</v>
      </c>
      <c r="D77" s="1">
        <f t="shared" si="1"/>
        <v>-1.2435258144296419E-3</v>
      </c>
    </row>
    <row r="78" spans="1:4" x14ac:dyDescent="0.25">
      <c r="A78">
        <v>869.39818203449204</v>
      </c>
      <c r="B78">
        <v>1.0219992540110401E-3</v>
      </c>
      <c r="C78" s="1">
        <v>1.4323432899478099E-4</v>
      </c>
      <c r="D78" s="1">
        <f t="shared" si="1"/>
        <v>-1.165233583005821E-3</v>
      </c>
    </row>
    <row r="79" spans="1:4" x14ac:dyDescent="0.25">
      <c r="A79">
        <v>885.25099217891602</v>
      </c>
      <c r="B79">
        <v>9.6387974448516899E-4</v>
      </c>
      <c r="C79" s="1">
        <v>1.3096805039382499E-4</v>
      </c>
      <c r="D79" s="1">
        <f t="shared" si="1"/>
        <v>-1.0948477948789939E-3</v>
      </c>
    </row>
    <row r="80" spans="1:4" x14ac:dyDescent="0.25">
      <c r="A80">
        <v>901.10380992293301</v>
      </c>
      <c r="B80">
        <v>9.1238199862253696E-4</v>
      </c>
      <c r="C80" s="1">
        <v>1.19972492693028E-4</v>
      </c>
      <c r="D80" s="1">
        <f t="shared" si="1"/>
        <v>-1.0323544913155649E-3</v>
      </c>
    </row>
    <row r="81" spans="1:4" x14ac:dyDescent="0.25">
      <c r="A81">
        <v>916.95665046572606</v>
      </c>
      <c r="B81">
        <v>8.6740611795210103E-4</v>
      </c>
      <c r="C81" s="1">
        <v>1.0993455220969E-4</v>
      </c>
      <c r="D81" s="1">
        <f t="shared" si="1"/>
        <v>-9.7734067016179101E-4</v>
      </c>
    </row>
    <row r="82" spans="1:4" x14ac:dyDescent="0.25">
      <c r="A82">
        <v>932.80946820974305</v>
      </c>
      <c r="B82">
        <v>8.2913323456859298E-4</v>
      </c>
      <c r="C82" s="1">
        <v>1.01474326927626E-4</v>
      </c>
      <c r="D82" s="1">
        <f t="shared" si="1"/>
        <v>-9.3060756149621895E-4</v>
      </c>
    </row>
    <row r="83" spans="1:4" x14ac:dyDescent="0.25">
      <c r="A83">
        <v>948.66229355335201</v>
      </c>
      <c r="B83">
        <v>7.9754816866794596E-4</v>
      </c>
      <c r="C83" s="1">
        <v>9.4834688694355403E-5</v>
      </c>
      <c r="D83" s="1">
        <f t="shared" si="1"/>
        <v>-8.9238285736230132E-4</v>
      </c>
    </row>
    <row r="84" spans="1:4" x14ac:dyDescent="0.25">
      <c r="A84">
        <v>964.51511889696098</v>
      </c>
      <c r="B84">
        <v>7.72620201273972E-4</v>
      </c>
      <c r="C84" s="1">
        <v>8.9541508007748703E-5</v>
      </c>
      <c r="D84" s="1">
        <f t="shared" si="1"/>
        <v>-8.6216170928172067E-4</v>
      </c>
    </row>
    <row r="85" spans="1:4" x14ac:dyDescent="0.25">
      <c r="A85">
        <v>980.36794044077305</v>
      </c>
      <c r="B85">
        <v>7.5418304038556996E-4</v>
      </c>
      <c r="C85" s="1">
        <v>8.5719106940398103E-5</v>
      </c>
      <c r="D85" s="1">
        <f t="shared" si="1"/>
        <v>-8.3990214732596806E-4</v>
      </c>
    </row>
    <row r="86" spans="1:4" x14ac:dyDescent="0.25">
      <c r="A86">
        <v>996.22076388448397</v>
      </c>
      <c r="B86">
        <v>7.4198957041433596E-4</v>
      </c>
      <c r="C86" s="1">
        <v>8.33952817386056E-5</v>
      </c>
      <c r="D86" s="1">
        <f t="shared" si="1"/>
        <v>-8.2538485215294161E-4</v>
      </c>
    </row>
    <row r="87" spans="1:4" x14ac:dyDescent="0.25">
      <c r="A87">
        <v>1012.07358780317</v>
      </c>
      <c r="B87">
        <v>7.3604831313381401E-4</v>
      </c>
      <c r="C87" s="1">
        <v>8.2334366617167697E-5</v>
      </c>
      <c r="D87" s="1">
        <f t="shared" si="1"/>
        <v>-8.1838267975098172E-4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837"/>
  <sheetViews>
    <sheetView topLeftCell="A588" workbookViewId="0">
      <selection activeCell="A14" sqref="A14"/>
    </sheetView>
  </sheetViews>
  <sheetFormatPr defaultRowHeight="15" x14ac:dyDescent="0.25"/>
  <cols>
    <col min="1" max="1" width="81.140625" bestFit="1" customWidth="1"/>
    <col min="2" max="2" width="52.85546875" customWidth="1"/>
    <col min="3" max="3" width="18" bestFit="1" customWidth="1"/>
    <col min="4" max="4" width="19" customWidth="1"/>
    <col min="5" max="5" width="22.42578125" bestFit="1" customWidth="1"/>
    <col min="6" max="6" width="12.85546875" bestFit="1" customWidth="1"/>
    <col min="7" max="7" width="12.28515625" customWidth="1"/>
    <col min="8" max="8" width="11.5703125" customWidth="1"/>
    <col min="9" max="9" width="15.85546875" bestFit="1" customWidth="1"/>
    <col min="10" max="10" width="14" bestFit="1" customWidth="1"/>
    <col min="11" max="12" width="12" customWidth="1"/>
    <col min="13" max="13" width="3.140625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9</v>
      </c>
    </row>
    <row r="2" spans="1:6" x14ac:dyDescent="0.25">
      <c r="A2" t="s">
        <v>9</v>
      </c>
      <c r="B2" s="1"/>
      <c r="C2" s="1"/>
      <c r="D2" s="1"/>
      <c r="E2" s="1"/>
    </row>
    <row r="3" spans="1:6" x14ac:dyDescent="0.25">
      <c r="A3" t="s">
        <v>10</v>
      </c>
      <c r="B3" s="1" t="s">
        <v>11</v>
      </c>
      <c r="C3" s="1"/>
      <c r="D3" s="1"/>
      <c r="E3" s="1"/>
    </row>
    <row r="4" spans="1:6" x14ac:dyDescent="0.25">
      <c r="A4" t="s">
        <v>10</v>
      </c>
      <c r="B4" s="1" t="s">
        <v>12</v>
      </c>
      <c r="C4" s="1" t="s">
        <v>13</v>
      </c>
      <c r="D4" s="1" t="s">
        <v>14</v>
      </c>
      <c r="E4" s="1" t="s">
        <v>11</v>
      </c>
    </row>
    <row r="5" spans="1:6" x14ac:dyDescent="0.25">
      <c r="A5" t="s">
        <v>10</v>
      </c>
      <c r="B5" s="1" t="s">
        <v>15</v>
      </c>
      <c r="C5" s="1" t="s">
        <v>16</v>
      </c>
      <c r="D5" s="1" t="s">
        <v>11</v>
      </c>
      <c r="E5" s="1"/>
    </row>
    <row r="6" spans="1:6" x14ac:dyDescent="0.25">
      <c r="A6" t="s">
        <v>10</v>
      </c>
      <c r="B6" s="1" t="s">
        <v>17</v>
      </c>
      <c r="C6" s="1" t="s">
        <v>18</v>
      </c>
      <c r="D6" s="1" t="s">
        <v>19</v>
      </c>
      <c r="E6" s="1" t="s">
        <v>20</v>
      </c>
      <c r="F6" t="s">
        <v>11</v>
      </c>
    </row>
    <row r="7" spans="1:6" x14ac:dyDescent="0.25">
      <c r="A7" t="s">
        <v>10</v>
      </c>
      <c r="B7" s="1" t="s">
        <v>21</v>
      </c>
      <c r="C7" s="1" t="s">
        <v>22</v>
      </c>
      <c r="D7" s="1" t="s">
        <v>23</v>
      </c>
      <c r="E7" s="1" t="s">
        <v>11</v>
      </c>
    </row>
    <row r="8" spans="1:6" x14ac:dyDescent="0.25">
      <c r="A8" t="s">
        <v>10</v>
      </c>
      <c r="B8" s="1" t="s">
        <v>11</v>
      </c>
      <c r="C8" s="1"/>
      <c r="D8" s="1"/>
      <c r="E8" s="1"/>
    </row>
    <row r="9" spans="1:6" x14ac:dyDescent="0.25">
      <c r="A9" t="s">
        <v>10</v>
      </c>
      <c r="B9" s="1" t="s">
        <v>11</v>
      </c>
      <c r="C9" s="1"/>
      <c r="D9" s="1"/>
      <c r="E9" s="1"/>
    </row>
    <row r="10" spans="1:6" x14ac:dyDescent="0.25">
      <c r="A10" t="s">
        <v>10</v>
      </c>
      <c r="B10" s="1" t="s">
        <v>445</v>
      </c>
      <c r="C10" s="1" t="s">
        <v>11</v>
      </c>
      <c r="D10" s="1"/>
      <c r="E10" s="1"/>
    </row>
    <row r="11" spans="1:6" x14ac:dyDescent="0.25">
      <c r="A11" t="s">
        <v>10</v>
      </c>
      <c r="B11" s="1" t="s">
        <v>11</v>
      </c>
      <c r="C11" s="1"/>
      <c r="D11" s="1"/>
      <c r="E11" s="1"/>
    </row>
    <row r="12" spans="1:6" x14ac:dyDescent="0.25">
      <c r="A12" t="s">
        <v>10</v>
      </c>
      <c r="B12" s="1" t="s">
        <v>25</v>
      </c>
      <c r="C12" s="1" t="s">
        <v>26</v>
      </c>
      <c r="D12" s="1" t="s">
        <v>11</v>
      </c>
      <c r="E12" s="1"/>
    </row>
    <row r="13" spans="1:6" x14ac:dyDescent="0.25">
      <c r="A13" t="s">
        <v>10</v>
      </c>
      <c r="B13" s="1" t="s">
        <v>11</v>
      </c>
      <c r="C13" s="1"/>
      <c r="D13" s="1"/>
      <c r="E13" s="1"/>
    </row>
    <row r="14" spans="1:6" x14ac:dyDescent="0.25">
      <c r="A14" t="s">
        <v>10</v>
      </c>
      <c r="B14" s="1" t="s">
        <v>27</v>
      </c>
      <c r="C14" s="1" t="s">
        <v>28</v>
      </c>
      <c r="D14" s="1" t="s">
        <v>29</v>
      </c>
      <c r="E14" s="1" t="s">
        <v>30</v>
      </c>
      <c r="F14" t="s">
        <v>11</v>
      </c>
    </row>
    <row r="15" spans="1:6" x14ac:dyDescent="0.25">
      <c r="A15" t="s">
        <v>10</v>
      </c>
      <c r="B15" s="1" t="s">
        <v>11</v>
      </c>
      <c r="C15" s="1"/>
      <c r="D15" s="1"/>
      <c r="E15" s="1"/>
    </row>
    <row r="16" spans="1:6" x14ac:dyDescent="0.25">
      <c r="A16" t="s">
        <v>10</v>
      </c>
      <c r="B16" s="1" t="s">
        <v>31</v>
      </c>
      <c r="C16" s="1" t="s">
        <v>28</v>
      </c>
      <c r="D16" s="1" t="s">
        <v>32</v>
      </c>
      <c r="E16" s="1" t="s">
        <v>33</v>
      </c>
      <c r="F16" t="s">
        <v>11</v>
      </c>
    </row>
    <row r="17" spans="1:10" x14ac:dyDescent="0.25">
      <c r="A17" t="s">
        <v>10</v>
      </c>
      <c r="B17" s="1" t="s">
        <v>34</v>
      </c>
      <c r="C17" s="1" t="s">
        <v>28</v>
      </c>
      <c r="D17" s="1" t="s">
        <v>35</v>
      </c>
      <c r="E17" s="1" t="s">
        <v>36</v>
      </c>
      <c r="F17" t="s">
        <v>37</v>
      </c>
      <c r="G17" t="s">
        <v>11</v>
      </c>
    </row>
    <row r="18" spans="1:10" x14ac:dyDescent="0.25">
      <c r="A18" t="s">
        <v>10</v>
      </c>
      <c r="B18" s="1" t="s">
        <v>38</v>
      </c>
      <c r="C18" s="1" t="s">
        <v>39</v>
      </c>
      <c r="D18" s="1" t="s">
        <v>28</v>
      </c>
      <c r="E18" s="1" t="s">
        <v>35</v>
      </c>
      <c r="F18" t="s">
        <v>11</v>
      </c>
    </row>
    <row r="19" spans="1:10" x14ac:dyDescent="0.25">
      <c r="A19" t="s">
        <v>10</v>
      </c>
      <c r="B19" s="1" t="s">
        <v>40</v>
      </c>
      <c r="C19" s="1" t="s">
        <v>446</v>
      </c>
      <c r="D19" s="1" t="s">
        <v>11</v>
      </c>
      <c r="E19" s="1"/>
    </row>
    <row r="20" spans="1:10" x14ac:dyDescent="0.25">
      <c r="A20" t="s">
        <v>10</v>
      </c>
      <c r="B20" s="1" t="s">
        <v>43</v>
      </c>
      <c r="C20" s="1" t="s">
        <v>11</v>
      </c>
      <c r="D20" s="1"/>
      <c r="E20" s="1"/>
    </row>
    <row r="21" spans="1:10" x14ac:dyDescent="0.25">
      <c r="A21" t="s">
        <v>10</v>
      </c>
      <c r="B21" s="1" t="s">
        <v>11</v>
      </c>
      <c r="C21" s="1"/>
      <c r="D21" s="1"/>
      <c r="E21" s="1"/>
    </row>
    <row r="22" spans="1:10" x14ac:dyDescent="0.25">
      <c r="A22" t="s">
        <v>10</v>
      </c>
      <c r="B22" s="1" t="s">
        <v>11</v>
      </c>
      <c r="C22" s="1"/>
      <c r="D22" s="1"/>
      <c r="E22" s="1"/>
    </row>
    <row r="23" spans="1:10" x14ac:dyDescent="0.25">
      <c r="A23" t="s">
        <v>10</v>
      </c>
      <c r="B23" s="1" t="s">
        <v>11</v>
      </c>
      <c r="C23" s="1"/>
      <c r="D23" s="1"/>
      <c r="E23" s="1"/>
    </row>
    <row r="24" spans="1:10" x14ac:dyDescent="0.25">
      <c r="A24" t="s">
        <v>9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44</v>
      </c>
      <c r="B26" s="1"/>
      <c r="C26" s="1"/>
      <c r="D26" s="1"/>
      <c r="E26" s="1"/>
    </row>
    <row r="27" spans="1:10" x14ac:dyDescent="0.25">
      <c r="A27" t="s">
        <v>44</v>
      </c>
      <c r="B27" s="1"/>
      <c r="C27" s="1"/>
      <c r="D27" s="1"/>
      <c r="E27" s="1"/>
    </row>
    <row r="28" spans="1:10" x14ac:dyDescent="0.25">
      <c r="A28" t="s">
        <v>44</v>
      </c>
      <c r="B28" s="1"/>
      <c r="C28" s="1"/>
      <c r="D28" s="1"/>
      <c r="E28" s="1"/>
    </row>
    <row r="29" spans="1:10" x14ac:dyDescent="0.25">
      <c r="A29" t="s">
        <v>45</v>
      </c>
      <c r="B29" s="1" t="s">
        <v>46</v>
      </c>
      <c r="C29" s="1" t="s">
        <v>47</v>
      </c>
      <c r="D29" s="1" t="s">
        <v>46</v>
      </c>
      <c r="E29" s="1" t="s">
        <v>48</v>
      </c>
    </row>
    <row r="30" spans="1:10" x14ac:dyDescent="0.25">
      <c r="A30" t="s">
        <v>45</v>
      </c>
      <c r="B30" s="1" t="s">
        <v>48</v>
      </c>
      <c r="C30" s="1"/>
      <c r="D30" s="1"/>
      <c r="E30" s="1"/>
    </row>
    <row r="31" spans="1:10" x14ac:dyDescent="0.25">
      <c r="A31" t="s">
        <v>45</v>
      </c>
      <c r="B31" s="1" t="s">
        <v>49</v>
      </c>
      <c r="C31" s="1" t="s">
        <v>50</v>
      </c>
      <c r="D31" s="1" t="s">
        <v>51</v>
      </c>
      <c r="E31" s="1" t="s">
        <v>52</v>
      </c>
      <c r="F31" t="s">
        <v>53</v>
      </c>
      <c r="G31" t="s">
        <v>54</v>
      </c>
      <c r="H31" t="s">
        <v>55</v>
      </c>
      <c r="I31" t="s">
        <v>56</v>
      </c>
      <c r="J31" t="s">
        <v>48</v>
      </c>
    </row>
    <row r="32" spans="1:10" x14ac:dyDescent="0.25">
      <c r="A32" t="s">
        <v>45</v>
      </c>
      <c r="B32" s="1" t="s">
        <v>48</v>
      </c>
      <c r="C32" s="1"/>
      <c r="D32" s="1"/>
      <c r="E32" s="1"/>
    </row>
    <row r="33" spans="1:12" x14ac:dyDescent="0.25">
      <c r="A33" t="s">
        <v>45</v>
      </c>
      <c r="B33" s="1" t="s">
        <v>49</v>
      </c>
      <c r="C33" s="1" t="s">
        <v>54</v>
      </c>
      <c r="D33" s="1" t="s">
        <v>57</v>
      </c>
      <c r="E33" s="1" t="s">
        <v>58</v>
      </c>
      <c r="F33" t="s">
        <v>51</v>
      </c>
      <c r="G33" t="s">
        <v>59</v>
      </c>
      <c r="H33" t="s">
        <v>21</v>
      </c>
      <c r="I33" t="s">
        <v>60</v>
      </c>
      <c r="J33" t="s">
        <v>61</v>
      </c>
      <c r="K33" t="s">
        <v>48</v>
      </c>
    </row>
    <row r="34" spans="1:12" x14ac:dyDescent="0.25">
      <c r="A34" t="s">
        <v>45</v>
      </c>
      <c r="B34" s="1" t="s">
        <v>62</v>
      </c>
      <c r="C34" s="1" t="s">
        <v>54</v>
      </c>
      <c r="D34" s="1" t="s">
        <v>63</v>
      </c>
      <c r="E34" s="1" t="s">
        <v>36</v>
      </c>
      <c r="F34" t="s">
        <v>64</v>
      </c>
      <c r="G34" t="s">
        <v>65</v>
      </c>
      <c r="H34" t="s">
        <v>66</v>
      </c>
      <c r="I34" t="s">
        <v>67</v>
      </c>
      <c r="J34" t="s">
        <v>48</v>
      </c>
    </row>
    <row r="35" spans="1:12" x14ac:dyDescent="0.25">
      <c r="A35" t="s">
        <v>45</v>
      </c>
      <c r="B35" s="1" t="s">
        <v>68</v>
      </c>
      <c r="C35" s="1" t="s">
        <v>69</v>
      </c>
      <c r="D35" s="1" t="s">
        <v>70</v>
      </c>
      <c r="E35" s="1" t="s">
        <v>63</v>
      </c>
      <c r="F35" t="s">
        <v>71</v>
      </c>
      <c r="G35" t="s">
        <v>72</v>
      </c>
      <c r="H35" t="s">
        <v>73</v>
      </c>
      <c r="I35" t="s">
        <v>74</v>
      </c>
      <c r="J35" t="s">
        <v>75</v>
      </c>
      <c r="K35" t="s">
        <v>48</v>
      </c>
    </row>
    <row r="36" spans="1:12" x14ac:dyDescent="0.25">
      <c r="A36" t="s">
        <v>45</v>
      </c>
      <c r="B36" s="1" t="s">
        <v>76</v>
      </c>
      <c r="C36" s="1" t="s">
        <v>77</v>
      </c>
      <c r="D36" s="1" t="s">
        <v>78</v>
      </c>
      <c r="E36" s="1" t="s">
        <v>53</v>
      </c>
      <c r="F36" t="s">
        <v>54</v>
      </c>
      <c r="G36" t="s">
        <v>79</v>
      </c>
      <c r="H36" t="s">
        <v>80</v>
      </c>
      <c r="I36" t="s">
        <v>81</v>
      </c>
      <c r="J36" t="s">
        <v>48</v>
      </c>
    </row>
    <row r="37" spans="1:12" x14ac:dyDescent="0.25">
      <c r="A37" t="s">
        <v>45</v>
      </c>
      <c r="B37" s="1" t="s">
        <v>82</v>
      </c>
      <c r="C37" s="1" t="s">
        <v>36</v>
      </c>
      <c r="D37" s="1" t="s">
        <v>83</v>
      </c>
      <c r="E37" s="1" t="s">
        <v>84</v>
      </c>
      <c r="F37" t="s">
        <v>85</v>
      </c>
      <c r="G37" t="s">
        <v>48</v>
      </c>
    </row>
    <row r="38" spans="1:12" x14ac:dyDescent="0.25">
      <c r="A38" t="s">
        <v>45</v>
      </c>
      <c r="B38" s="1" t="s">
        <v>48</v>
      </c>
      <c r="C38" s="1"/>
      <c r="D38" s="1"/>
      <c r="E38" s="1"/>
    </row>
    <row r="39" spans="1:12" x14ac:dyDescent="0.25">
      <c r="A39" t="s">
        <v>45</v>
      </c>
      <c r="B39" s="1" t="s">
        <v>86</v>
      </c>
      <c r="C39" s="1" t="s">
        <v>57</v>
      </c>
      <c r="D39" s="1" t="s">
        <v>58</v>
      </c>
      <c r="E39" s="1" t="s">
        <v>87</v>
      </c>
      <c r="F39" t="s">
        <v>72</v>
      </c>
      <c r="G39" t="s">
        <v>88</v>
      </c>
      <c r="H39" t="s">
        <v>89</v>
      </c>
      <c r="I39" t="s">
        <v>90</v>
      </c>
      <c r="J39" t="s">
        <v>48</v>
      </c>
    </row>
    <row r="40" spans="1:12" x14ac:dyDescent="0.25">
      <c r="A40" t="s">
        <v>45</v>
      </c>
      <c r="B40" s="1" t="s">
        <v>48</v>
      </c>
      <c r="C40" s="1"/>
      <c r="D40" s="1"/>
      <c r="E40" s="1"/>
    </row>
    <row r="41" spans="1:12" x14ac:dyDescent="0.25">
      <c r="A41" t="s">
        <v>45</v>
      </c>
      <c r="B41" s="1" t="s">
        <v>86</v>
      </c>
      <c r="C41" s="1" t="s">
        <v>57</v>
      </c>
      <c r="D41" s="1" t="s">
        <v>58</v>
      </c>
      <c r="E41" s="1" t="s">
        <v>87</v>
      </c>
      <c r="F41" t="s">
        <v>72</v>
      </c>
      <c r="G41" t="s">
        <v>91</v>
      </c>
      <c r="H41" t="s">
        <v>89</v>
      </c>
      <c r="I41" t="s">
        <v>92</v>
      </c>
      <c r="J41" t="s">
        <v>93</v>
      </c>
      <c r="K41" t="s">
        <v>54</v>
      </c>
      <c r="L41" t="s">
        <v>48</v>
      </c>
    </row>
    <row r="42" spans="1:12" x14ac:dyDescent="0.25">
      <c r="A42" t="s">
        <v>45</v>
      </c>
      <c r="B42" s="1" t="s">
        <v>55</v>
      </c>
      <c r="C42" s="1" t="s">
        <v>94</v>
      </c>
      <c r="D42" s="1" t="s">
        <v>21</v>
      </c>
      <c r="E42" s="1" t="s">
        <v>95</v>
      </c>
      <c r="F42" t="s">
        <v>96</v>
      </c>
      <c r="G42" t="s">
        <v>97</v>
      </c>
      <c r="H42" t="s">
        <v>98</v>
      </c>
      <c r="I42" t="s">
        <v>99</v>
      </c>
      <c r="J42" t="s">
        <v>48</v>
      </c>
    </row>
    <row r="43" spans="1:12" x14ac:dyDescent="0.25">
      <c r="A43" t="s">
        <v>45</v>
      </c>
      <c r="B43" s="1" t="s">
        <v>100</v>
      </c>
      <c r="C43" s="1" t="s">
        <v>101</v>
      </c>
      <c r="D43" s="1" t="s">
        <v>69</v>
      </c>
      <c r="E43" s="1" t="s">
        <v>54</v>
      </c>
      <c r="F43" t="s">
        <v>102</v>
      </c>
      <c r="G43" t="s">
        <v>103</v>
      </c>
      <c r="H43" t="s">
        <v>99</v>
      </c>
      <c r="I43" t="s">
        <v>104</v>
      </c>
      <c r="J43" t="s">
        <v>93</v>
      </c>
      <c r="K43" t="s">
        <v>48</v>
      </c>
    </row>
    <row r="44" spans="1:12" x14ac:dyDescent="0.25">
      <c r="A44" t="s">
        <v>45</v>
      </c>
      <c r="B44" s="1" t="s">
        <v>105</v>
      </c>
      <c r="C44" s="1" t="s">
        <v>106</v>
      </c>
      <c r="D44" s="1" t="s">
        <v>48</v>
      </c>
      <c r="E44" s="1"/>
    </row>
    <row r="45" spans="1:12" x14ac:dyDescent="0.25">
      <c r="A45" t="s">
        <v>45</v>
      </c>
      <c r="B45" s="1" t="s">
        <v>48</v>
      </c>
      <c r="C45" s="1"/>
      <c r="D45" s="1"/>
      <c r="E45" s="1"/>
    </row>
    <row r="46" spans="1:12" x14ac:dyDescent="0.25">
      <c r="A46" t="s">
        <v>45</v>
      </c>
      <c r="B46" s="1" t="s">
        <v>107</v>
      </c>
      <c r="C46" s="1" t="s">
        <v>108</v>
      </c>
      <c r="D46" s="1" t="s">
        <v>109</v>
      </c>
      <c r="E46" s="1" t="s">
        <v>110</v>
      </c>
      <c r="F46" t="s">
        <v>48</v>
      </c>
    </row>
    <row r="47" spans="1:12" x14ac:dyDescent="0.25">
      <c r="A47" t="s">
        <v>45</v>
      </c>
      <c r="B47" s="1" t="s">
        <v>48</v>
      </c>
      <c r="C47" s="1"/>
      <c r="D47" s="1"/>
      <c r="E47" s="1"/>
    </row>
    <row r="48" spans="1:12" x14ac:dyDescent="0.25">
      <c r="A48" t="s">
        <v>45</v>
      </c>
      <c r="B48" s="1" t="s">
        <v>447</v>
      </c>
      <c r="C48" s="1" t="s">
        <v>48</v>
      </c>
      <c r="D48" s="1"/>
      <c r="E48" s="1"/>
    </row>
    <row r="49" spans="1:6" x14ac:dyDescent="0.25">
      <c r="A49" t="s">
        <v>44</v>
      </c>
      <c r="B49" s="1"/>
      <c r="C49" s="1"/>
      <c r="D49" s="1"/>
      <c r="E49" s="1"/>
    </row>
    <row r="50" spans="1:6" x14ac:dyDescent="0.25">
      <c r="A50" t="s">
        <v>44</v>
      </c>
      <c r="B50" s="1"/>
      <c r="C50" s="1"/>
      <c r="D50" s="1"/>
      <c r="E50" s="1"/>
    </row>
    <row r="51" spans="1:6" x14ac:dyDescent="0.25">
      <c r="A51" t="s">
        <v>113</v>
      </c>
      <c r="B51" s="1" t="s">
        <v>448</v>
      </c>
      <c r="C51" s="1"/>
      <c r="D51" s="1"/>
      <c r="E51" s="1"/>
    </row>
    <row r="52" spans="1:6" x14ac:dyDescent="0.25">
      <c r="B52" s="1"/>
      <c r="C52" s="1"/>
      <c r="D52" s="1"/>
      <c r="E52" s="1"/>
    </row>
    <row r="53" spans="1:6" x14ac:dyDescent="0.25">
      <c r="A53" t="s">
        <v>114</v>
      </c>
      <c r="B53" s="1" t="s">
        <v>28</v>
      </c>
      <c r="C53" s="1" t="s">
        <v>115</v>
      </c>
      <c r="D53" s="1" t="s">
        <v>447</v>
      </c>
      <c r="E53" s="1"/>
    </row>
    <row r="54" spans="1:6" x14ac:dyDescent="0.25">
      <c r="B54" s="1"/>
      <c r="C54" s="1"/>
      <c r="D54" s="1"/>
      <c r="E54" s="1"/>
    </row>
    <row r="55" spans="1:6" x14ac:dyDescent="0.25">
      <c r="A55" t="s">
        <v>116</v>
      </c>
      <c r="B55" s="1" t="s">
        <v>117</v>
      </c>
      <c r="C55" s="1" t="s">
        <v>449</v>
      </c>
      <c r="D55" s="1" t="s">
        <v>279</v>
      </c>
      <c r="E55" s="1" t="s">
        <v>123</v>
      </c>
    </row>
    <row r="56" spans="1:6" x14ac:dyDescent="0.25">
      <c r="B56" s="1"/>
      <c r="C56" s="1"/>
      <c r="D56" s="1"/>
      <c r="E56" s="1"/>
    </row>
    <row r="57" spans="1:6" x14ac:dyDescent="0.25">
      <c r="B57" s="1" t="s">
        <v>123</v>
      </c>
      <c r="C57" s="1" t="s">
        <v>296</v>
      </c>
      <c r="D57" s="1" t="s">
        <v>35</v>
      </c>
      <c r="E57" s="1" t="s">
        <v>450</v>
      </c>
      <c r="F57" t="s">
        <v>451</v>
      </c>
    </row>
    <row r="58" spans="1:6" x14ac:dyDescent="0.25">
      <c r="B58" s="1" t="s">
        <v>43</v>
      </c>
      <c r="C58" s="1" t="s">
        <v>452</v>
      </c>
      <c r="D58" s="1" t="s">
        <v>453</v>
      </c>
      <c r="E58" s="1" t="s">
        <v>454</v>
      </c>
    </row>
    <row r="59" spans="1:6" x14ac:dyDescent="0.25">
      <c r="B59" s="1" t="s">
        <v>455</v>
      </c>
      <c r="C59" s="1" t="s">
        <v>456</v>
      </c>
      <c r="D59" s="1" t="s">
        <v>457</v>
      </c>
      <c r="E59" s="1" t="s">
        <v>43</v>
      </c>
    </row>
    <row r="60" spans="1:6" x14ac:dyDescent="0.25">
      <c r="B60" s="1" t="s">
        <v>126</v>
      </c>
      <c r="C60" s="1" t="s">
        <v>127</v>
      </c>
      <c r="D60" s="1" t="s">
        <v>458</v>
      </c>
      <c r="E60" s="1"/>
    </row>
    <row r="61" spans="1:6" x14ac:dyDescent="0.25">
      <c r="B61" s="1"/>
      <c r="C61" s="1"/>
      <c r="D61" s="1"/>
      <c r="E61" s="1"/>
    </row>
    <row r="62" spans="1:6" x14ac:dyDescent="0.25">
      <c r="A62" t="s">
        <v>129</v>
      </c>
      <c r="B62" s="1"/>
      <c r="C62" s="1"/>
      <c r="D62" s="1"/>
      <c r="E62" s="1"/>
    </row>
    <row r="63" spans="1:6" x14ac:dyDescent="0.25">
      <c r="B63" s="1" t="s">
        <v>130</v>
      </c>
      <c r="C63" s="1" t="s">
        <v>131</v>
      </c>
      <c r="D63" s="1" t="s">
        <v>132</v>
      </c>
      <c r="E63" s="1" t="s">
        <v>133</v>
      </c>
      <c r="F63" t="s">
        <v>134</v>
      </c>
    </row>
    <row r="64" spans="1:6" x14ac:dyDescent="0.25">
      <c r="B64" s="1" t="s">
        <v>138</v>
      </c>
      <c r="C64" s="1" t="s">
        <v>131</v>
      </c>
      <c r="D64" s="1" t="s">
        <v>139</v>
      </c>
      <c r="E64" s="1" t="s">
        <v>140</v>
      </c>
    </row>
    <row r="65" spans="1:11" x14ac:dyDescent="0.25">
      <c r="B65" s="1" t="s">
        <v>459</v>
      </c>
      <c r="C65" s="1" t="s">
        <v>131</v>
      </c>
      <c r="D65" s="1" t="s">
        <v>189</v>
      </c>
      <c r="E65" s="1" t="s">
        <v>393</v>
      </c>
    </row>
    <row r="66" spans="1:11" x14ac:dyDescent="0.25">
      <c r="B66" s="1" t="s">
        <v>141</v>
      </c>
      <c r="C66" s="1" t="s">
        <v>131</v>
      </c>
      <c r="D66" s="1" t="s">
        <v>460</v>
      </c>
      <c r="E66" s="1" t="s">
        <v>109</v>
      </c>
      <c r="F66" t="s">
        <v>143</v>
      </c>
      <c r="G66" t="s">
        <v>144</v>
      </c>
    </row>
    <row r="67" spans="1:11" x14ac:dyDescent="0.25">
      <c r="B67" s="1" t="s">
        <v>145</v>
      </c>
      <c r="C67" s="1" t="s">
        <v>131</v>
      </c>
      <c r="D67" s="1" t="s">
        <v>146</v>
      </c>
      <c r="E67" s="1" t="s">
        <v>109</v>
      </c>
      <c r="F67" t="s">
        <v>143</v>
      </c>
      <c r="G67" t="s">
        <v>144</v>
      </c>
    </row>
    <row r="68" spans="1:11" x14ac:dyDescent="0.25">
      <c r="B68" s="1" t="s">
        <v>147</v>
      </c>
      <c r="C68" s="1" t="s">
        <v>131</v>
      </c>
      <c r="D68" s="1" t="s">
        <v>148</v>
      </c>
      <c r="E68" s="1"/>
    </row>
    <row r="69" spans="1:11" x14ac:dyDescent="0.25">
      <c r="B69" s="1" t="s">
        <v>149</v>
      </c>
      <c r="C69" s="1" t="s">
        <v>131</v>
      </c>
      <c r="D69" s="1" t="s">
        <v>150</v>
      </c>
      <c r="E69" s="1" t="s">
        <v>151</v>
      </c>
      <c r="F69" t="s">
        <v>152</v>
      </c>
    </row>
    <row r="70" spans="1:11" x14ac:dyDescent="0.25">
      <c r="B70" s="1" t="s">
        <v>153</v>
      </c>
      <c r="C70" s="1" t="s">
        <v>131</v>
      </c>
      <c r="D70" s="1" t="s">
        <v>154</v>
      </c>
      <c r="E70" s="1" t="s">
        <v>151</v>
      </c>
      <c r="F70" t="s">
        <v>152</v>
      </c>
    </row>
    <row r="71" spans="1:11" x14ac:dyDescent="0.25">
      <c r="B71" s="1" t="s">
        <v>155</v>
      </c>
      <c r="C71" s="1" t="s">
        <v>156</v>
      </c>
      <c r="D71" s="1" t="s">
        <v>157</v>
      </c>
      <c r="E71" s="1" t="s">
        <v>131</v>
      </c>
      <c r="F71" t="s">
        <v>158</v>
      </c>
      <c r="G71" t="s">
        <v>159</v>
      </c>
      <c r="H71" t="s">
        <v>36</v>
      </c>
      <c r="I71" t="s">
        <v>160</v>
      </c>
      <c r="J71" t="s">
        <v>152</v>
      </c>
      <c r="K71" t="s">
        <v>161</v>
      </c>
    </row>
    <row r="72" spans="1:11" x14ac:dyDescent="0.25">
      <c r="B72" s="1" t="s">
        <v>162</v>
      </c>
      <c r="C72" s="1" t="s">
        <v>131</v>
      </c>
      <c r="D72" s="1" t="s">
        <v>163</v>
      </c>
      <c r="E72" s="1" t="s">
        <v>164</v>
      </c>
      <c r="F72" t="s">
        <v>28</v>
      </c>
      <c r="G72" t="s">
        <v>152</v>
      </c>
      <c r="H72" t="s">
        <v>161</v>
      </c>
    </row>
    <row r="73" spans="1:11" x14ac:dyDescent="0.25">
      <c r="B73" s="1" t="s">
        <v>165</v>
      </c>
      <c r="C73" s="1" t="s">
        <v>131</v>
      </c>
      <c r="D73" s="1" t="s">
        <v>166</v>
      </c>
      <c r="E73" s="1" t="s">
        <v>152</v>
      </c>
    </row>
    <row r="74" spans="1:11" x14ac:dyDescent="0.25">
      <c r="B74" s="1" t="s">
        <v>167</v>
      </c>
      <c r="C74" s="1" t="s">
        <v>168</v>
      </c>
      <c r="D74" s="1" t="s">
        <v>169</v>
      </c>
      <c r="E74" s="1" t="s">
        <v>131</v>
      </c>
      <c r="F74" t="s">
        <v>158</v>
      </c>
      <c r="G74" t="s">
        <v>159</v>
      </c>
      <c r="H74" t="s">
        <v>36</v>
      </c>
      <c r="I74" t="s">
        <v>160</v>
      </c>
      <c r="J74" t="s">
        <v>170</v>
      </c>
    </row>
    <row r="75" spans="1:11" x14ac:dyDescent="0.25">
      <c r="B75" s="1"/>
      <c r="C75" s="1"/>
      <c r="D75" s="1"/>
      <c r="E75" s="1"/>
    </row>
    <row r="76" spans="1:11" x14ac:dyDescent="0.25">
      <c r="B76" s="1" t="s">
        <v>171</v>
      </c>
      <c r="C76" s="1" t="s">
        <v>131</v>
      </c>
      <c r="D76" s="1" t="s">
        <v>172</v>
      </c>
      <c r="E76" s="1" t="s">
        <v>53</v>
      </c>
      <c r="F76" t="s">
        <v>5</v>
      </c>
      <c r="G76" t="s">
        <v>173</v>
      </c>
      <c r="H76" t="s">
        <v>174</v>
      </c>
      <c r="I76" t="s">
        <v>138</v>
      </c>
      <c r="J76" t="s">
        <v>36</v>
      </c>
      <c r="K76" t="s">
        <v>175</v>
      </c>
    </row>
    <row r="77" spans="1:11" x14ac:dyDescent="0.25">
      <c r="B77" s="1" t="s">
        <v>400</v>
      </c>
      <c r="C77" s="1" t="s">
        <v>131</v>
      </c>
      <c r="D77" s="1" t="s">
        <v>401</v>
      </c>
      <c r="E77" s="1" t="s">
        <v>402</v>
      </c>
    </row>
    <row r="78" spans="1:11" x14ac:dyDescent="0.25">
      <c r="B78" s="1"/>
      <c r="C78" s="1"/>
      <c r="D78" s="1"/>
      <c r="E78" s="1"/>
    </row>
    <row r="79" spans="1:11" x14ac:dyDescent="0.25">
      <c r="B79" s="1"/>
      <c r="C79" s="1"/>
      <c r="D79" s="1"/>
      <c r="E79" s="1"/>
    </row>
    <row r="80" spans="1:11" x14ac:dyDescent="0.25">
      <c r="A80">
        <v>1</v>
      </c>
      <c r="B80" s="1" t="s">
        <v>176</v>
      </c>
      <c r="C80" s="1"/>
      <c r="D80" s="1"/>
      <c r="E80" s="1"/>
    </row>
    <row r="81" spans="1:13" x14ac:dyDescent="0.25">
      <c r="B81" s="1" t="s">
        <v>12</v>
      </c>
      <c r="C81" s="1" t="s">
        <v>83</v>
      </c>
      <c r="D81" s="1" t="s">
        <v>177</v>
      </c>
      <c r="E81" s="1" t="s">
        <v>178</v>
      </c>
      <c r="F81" t="s">
        <v>28</v>
      </c>
      <c r="G81" t="s">
        <v>179</v>
      </c>
      <c r="H81" t="s">
        <v>180</v>
      </c>
      <c r="I81" t="s">
        <v>181</v>
      </c>
      <c r="J81" t="s">
        <v>182</v>
      </c>
      <c r="K81" t="s">
        <v>183</v>
      </c>
    </row>
    <row r="82" spans="1:13" x14ac:dyDescent="0.25">
      <c r="B82" s="1" t="s">
        <v>86</v>
      </c>
      <c r="C82" s="1" t="s">
        <v>184</v>
      </c>
      <c r="D82" s="1" t="s">
        <v>185</v>
      </c>
      <c r="E82" s="1" t="s">
        <v>99</v>
      </c>
      <c r="F82" t="s">
        <v>75</v>
      </c>
      <c r="G82" t="s">
        <v>186</v>
      </c>
      <c r="H82" t="s">
        <v>187</v>
      </c>
      <c r="I82" t="s">
        <v>135</v>
      </c>
      <c r="J82" t="s">
        <v>132</v>
      </c>
      <c r="K82" t="s">
        <v>185</v>
      </c>
      <c r="L82" t="s">
        <v>188</v>
      </c>
      <c r="M82" t="s">
        <v>53</v>
      </c>
    </row>
    <row r="83" spans="1:13" x14ac:dyDescent="0.25">
      <c r="B83" s="1" t="s">
        <v>75</v>
      </c>
      <c r="C83" s="1" t="s">
        <v>154</v>
      </c>
      <c r="D83" s="1" t="s">
        <v>151</v>
      </c>
      <c r="E83" s="1" t="s">
        <v>189</v>
      </c>
      <c r="F83" t="s">
        <v>190</v>
      </c>
    </row>
    <row r="84" spans="1:13" x14ac:dyDescent="0.25">
      <c r="B84" s="1" t="s">
        <v>86</v>
      </c>
      <c r="C84" s="1" t="s">
        <v>404</v>
      </c>
      <c r="D84" s="1" t="s">
        <v>79</v>
      </c>
      <c r="E84" s="1" t="s">
        <v>191</v>
      </c>
      <c r="F84" t="s">
        <v>99</v>
      </c>
      <c r="G84" t="s">
        <v>78</v>
      </c>
      <c r="H84" t="s">
        <v>198</v>
      </c>
      <c r="I84" t="s">
        <v>54</v>
      </c>
      <c r="J84" t="s">
        <v>154</v>
      </c>
      <c r="K84" t="s">
        <v>36</v>
      </c>
      <c r="L84" t="s">
        <v>160</v>
      </c>
    </row>
    <row r="85" spans="1:13" x14ac:dyDescent="0.25">
      <c r="B85" s="1" t="s">
        <v>275</v>
      </c>
      <c r="C85" s="1" t="s">
        <v>405</v>
      </c>
      <c r="D85" s="1" t="s">
        <v>54</v>
      </c>
      <c r="E85" s="1" t="s">
        <v>406</v>
      </c>
      <c r="F85" t="s">
        <v>79</v>
      </c>
      <c r="G85" t="s">
        <v>191</v>
      </c>
      <c r="H85" t="s">
        <v>99</v>
      </c>
      <c r="I85" t="s">
        <v>192</v>
      </c>
      <c r="J85" t="s">
        <v>198</v>
      </c>
      <c r="K85" t="s">
        <v>54</v>
      </c>
      <c r="L85" t="s">
        <v>5</v>
      </c>
    </row>
    <row r="86" spans="1:13" x14ac:dyDescent="0.25">
      <c r="B86" s="1" t="e">
        <f>-normal</f>
        <v>#NAME?</v>
      </c>
      <c r="C86" s="1" t="s">
        <v>407</v>
      </c>
      <c r="D86" s="1" t="s">
        <v>408</v>
      </c>
      <c r="E86" s="1" t="s">
        <v>346</v>
      </c>
      <c r="F86" t="s">
        <v>54</v>
      </c>
      <c r="G86" t="s">
        <v>193</v>
      </c>
      <c r="H86" t="s">
        <v>36</v>
      </c>
      <c r="I86" t="s">
        <v>194</v>
      </c>
      <c r="J86" t="s">
        <v>195</v>
      </c>
    </row>
    <row r="87" spans="1:13" x14ac:dyDescent="0.25">
      <c r="B87" s="1" t="s">
        <v>196</v>
      </c>
      <c r="C87" s="1" t="s">
        <v>197</v>
      </c>
      <c r="D87" s="1" t="s">
        <v>51</v>
      </c>
      <c r="E87" s="1" t="s">
        <v>96</v>
      </c>
      <c r="F87" t="s">
        <v>198</v>
      </c>
      <c r="G87" t="s">
        <v>54</v>
      </c>
      <c r="H87" t="s">
        <v>199</v>
      </c>
      <c r="I87" t="s">
        <v>200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413</v>
      </c>
      <c r="C90" s="1"/>
      <c r="D90" s="1"/>
      <c r="E90" s="1"/>
    </row>
    <row r="91" spans="1:13" x14ac:dyDescent="0.25">
      <c r="B91" s="1" t="s">
        <v>225</v>
      </c>
      <c r="C91" s="1" t="s">
        <v>461</v>
      </c>
      <c r="D91" s="1" t="s">
        <v>206</v>
      </c>
      <c r="E91" s="1" t="s">
        <v>462</v>
      </c>
      <c r="F91" t="s">
        <v>36</v>
      </c>
      <c r="G91" t="s">
        <v>226</v>
      </c>
      <c r="H91" t="s">
        <v>227</v>
      </c>
    </row>
    <row r="92" spans="1:13" x14ac:dyDescent="0.25">
      <c r="B92" s="1" t="s">
        <v>463</v>
      </c>
      <c r="C92" s="1"/>
      <c r="D92" s="1"/>
      <c r="E92" s="1"/>
    </row>
    <row r="93" spans="1:13" x14ac:dyDescent="0.25">
      <c r="B93" s="1" t="s">
        <v>430</v>
      </c>
      <c r="C93" s="1" t="s">
        <v>93</v>
      </c>
      <c r="D93" s="1" t="s">
        <v>464</v>
      </c>
      <c r="E93" s="1" t="s">
        <v>21</v>
      </c>
      <c r="F93" t="s">
        <v>465</v>
      </c>
      <c r="G93" t="s">
        <v>36</v>
      </c>
      <c r="H93" t="s">
        <v>466</v>
      </c>
    </row>
    <row r="94" spans="1:13" x14ac:dyDescent="0.25">
      <c r="B94" s="1" t="s">
        <v>467</v>
      </c>
      <c r="C94" s="1" t="s">
        <v>232</v>
      </c>
      <c r="D94" s="1" t="s">
        <v>22</v>
      </c>
      <c r="E94" s="1" t="s">
        <v>36</v>
      </c>
      <c r="F94" t="s">
        <v>468</v>
      </c>
      <c r="G94" t="s">
        <v>469</v>
      </c>
      <c r="H94" t="s">
        <v>470</v>
      </c>
      <c r="I94" t="s">
        <v>471</v>
      </c>
    </row>
    <row r="95" spans="1:13" x14ac:dyDescent="0.25">
      <c r="B95" s="1"/>
      <c r="C95" s="1"/>
      <c r="D95" s="1"/>
      <c r="E95" s="1"/>
    </row>
    <row r="96" spans="1:13" x14ac:dyDescent="0.25">
      <c r="B96" s="1"/>
      <c r="C96" s="1"/>
      <c r="D96" s="1"/>
      <c r="E96" s="1"/>
    </row>
    <row r="97" spans="1:12" x14ac:dyDescent="0.25">
      <c r="A97">
        <v>3</v>
      </c>
      <c r="B97" s="1" t="s">
        <v>13</v>
      </c>
      <c r="C97" s="1" t="s">
        <v>437</v>
      </c>
      <c r="D97" s="1"/>
      <c r="E97" s="1"/>
    </row>
    <row r="98" spans="1:12" x14ac:dyDescent="0.25">
      <c r="B98" s="1"/>
      <c r="C98" s="1"/>
      <c r="D98" s="1"/>
      <c r="E98" s="1"/>
    </row>
    <row r="99" spans="1:12" x14ac:dyDescent="0.25">
      <c r="A99" t="s">
        <v>256</v>
      </c>
      <c r="B99" s="1" t="s">
        <v>257</v>
      </c>
      <c r="C99" s="1" t="s">
        <v>258</v>
      </c>
      <c r="D99" s="1"/>
      <c r="E99" s="1"/>
    </row>
    <row r="100" spans="1:12" x14ac:dyDescent="0.25">
      <c r="B100" s="1" t="s">
        <v>259</v>
      </c>
      <c r="C100" s="1" t="s">
        <v>260</v>
      </c>
      <c r="D100" s="1" t="s">
        <v>36</v>
      </c>
      <c r="E100" s="1" t="s">
        <v>54</v>
      </c>
      <c r="F100" t="s">
        <v>261</v>
      </c>
      <c r="G100" t="s">
        <v>260</v>
      </c>
      <c r="H100" t="s">
        <v>17</v>
      </c>
      <c r="I100" t="s">
        <v>185</v>
      </c>
      <c r="J100" t="s">
        <v>262</v>
      </c>
    </row>
    <row r="101" spans="1:12" x14ac:dyDescent="0.25">
      <c r="B101" s="1" t="s">
        <v>36</v>
      </c>
      <c r="C101" s="1" t="s">
        <v>54</v>
      </c>
      <c r="D101" s="1" t="s">
        <v>137</v>
      </c>
      <c r="E101" s="1" t="s">
        <v>260</v>
      </c>
      <c r="F101" t="s">
        <v>17</v>
      </c>
      <c r="G101" t="s">
        <v>263</v>
      </c>
      <c r="H101" t="s">
        <v>264</v>
      </c>
    </row>
    <row r="102" spans="1:12" x14ac:dyDescent="0.25">
      <c r="B102" s="1"/>
      <c r="C102" s="1"/>
      <c r="D102" s="1"/>
      <c r="E102" s="1"/>
    </row>
    <row r="103" spans="1:12" x14ac:dyDescent="0.25">
      <c r="A103" t="s">
        <v>265</v>
      </c>
      <c r="B103" s="1" t="s">
        <v>266</v>
      </c>
      <c r="C103" s="1" t="s">
        <v>267</v>
      </c>
      <c r="D103" s="1"/>
      <c r="E103" s="1"/>
    </row>
    <row r="104" spans="1:12" x14ac:dyDescent="0.25">
      <c r="B104" s="1" t="s">
        <v>268</v>
      </c>
      <c r="C104" s="1" t="s">
        <v>269</v>
      </c>
      <c r="D104" s="1" t="s">
        <v>255</v>
      </c>
      <c r="E104" s="1" t="s">
        <v>270</v>
      </c>
      <c r="F104" t="s">
        <v>271</v>
      </c>
    </row>
    <row r="105" spans="1:12" x14ac:dyDescent="0.25">
      <c r="B105" s="1" t="s">
        <v>86</v>
      </c>
      <c r="C105" s="1" t="s">
        <v>272</v>
      </c>
      <c r="D105" s="1" t="s">
        <v>273</v>
      </c>
      <c r="E105" s="1" t="s">
        <v>274</v>
      </c>
      <c r="F105" t="s">
        <v>84</v>
      </c>
      <c r="G105" t="s">
        <v>270</v>
      </c>
      <c r="H105" t="s">
        <v>192</v>
      </c>
      <c r="I105" t="s">
        <v>198</v>
      </c>
      <c r="J105" t="s">
        <v>54</v>
      </c>
      <c r="K105" t="s">
        <v>154</v>
      </c>
      <c r="L105" t="s">
        <v>36</v>
      </c>
    </row>
    <row r="106" spans="1:12" x14ac:dyDescent="0.25">
      <c r="B106" s="1" t="s">
        <v>160</v>
      </c>
      <c r="C106" s="1" t="s">
        <v>275</v>
      </c>
      <c r="D106" s="1" t="s">
        <v>36</v>
      </c>
      <c r="E106" s="1" t="s">
        <v>54</v>
      </c>
      <c r="F106" t="s">
        <v>276</v>
      </c>
      <c r="G106" t="s">
        <v>273</v>
      </c>
      <c r="H106" t="s">
        <v>274</v>
      </c>
      <c r="I106" t="s">
        <v>84</v>
      </c>
      <c r="J106" t="s">
        <v>270</v>
      </c>
      <c r="K106" t="s">
        <v>91</v>
      </c>
    </row>
    <row r="107" spans="1:12" x14ac:dyDescent="0.25">
      <c r="B107" s="1" t="s">
        <v>198</v>
      </c>
      <c r="C107" s="1" t="s">
        <v>54</v>
      </c>
      <c r="D107" s="1" t="s">
        <v>159</v>
      </c>
      <c r="E107" s="1" t="s">
        <v>277</v>
      </c>
    </row>
    <row r="108" spans="1:12" x14ac:dyDescent="0.25">
      <c r="B108" s="1"/>
      <c r="C108" s="1"/>
      <c r="D108" s="1"/>
      <c r="E108" s="1"/>
    </row>
    <row r="109" spans="1:12" x14ac:dyDescent="0.25">
      <c r="A109" t="s">
        <v>280</v>
      </c>
      <c r="B109" s="1" t="s">
        <v>242</v>
      </c>
      <c r="C109" s="1" t="s">
        <v>82</v>
      </c>
      <c r="D109" s="1"/>
      <c r="E109" s="1"/>
    </row>
    <row r="110" spans="1:12" x14ac:dyDescent="0.25">
      <c r="B110" s="1">
        <v>6.38</v>
      </c>
      <c r="C110" s="1" t="s">
        <v>472</v>
      </c>
      <c r="D110" s="1" t="s">
        <v>5</v>
      </c>
      <c r="E110" s="1" t="s">
        <v>173</v>
      </c>
      <c r="F110" t="s">
        <v>198</v>
      </c>
      <c r="G110" t="s">
        <v>54</v>
      </c>
      <c r="H110" t="s">
        <v>281</v>
      </c>
      <c r="I110" t="s">
        <v>36</v>
      </c>
      <c r="J110" t="s">
        <v>473</v>
      </c>
    </row>
    <row r="111" spans="1:12" x14ac:dyDescent="0.25">
      <c r="B111" s="1" t="s">
        <v>36</v>
      </c>
      <c r="C111" s="1">
        <v>0.15</v>
      </c>
      <c r="D111" s="1" t="s">
        <v>474</v>
      </c>
      <c r="E111" s="1" t="s">
        <v>5</v>
      </c>
      <c r="F111" t="s">
        <v>173</v>
      </c>
      <c r="G111" t="s">
        <v>198</v>
      </c>
      <c r="H111" t="s">
        <v>54</v>
      </c>
      <c r="I111" t="s">
        <v>284</v>
      </c>
    </row>
    <row r="112" spans="1:12" x14ac:dyDescent="0.25">
      <c r="B112" s="1"/>
      <c r="C112" s="1"/>
      <c r="D112" s="1"/>
      <c r="E112" s="1"/>
    </row>
    <row r="113" spans="1:11" x14ac:dyDescent="0.25">
      <c r="A113" t="s">
        <v>285</v>
      </c>
      <c r="B113" s="1" t="s">
        <v>286</v>
      </c>
      <c r="C113" s="1" t="s">
        <v>287</v>
      </c>
      <c r="D113" s="1"/>
      <c r="E113" s="1"/>
    </row>
    <row r="114" spans="1:11" x14ac:dyDescent="0.25">
      <c r="B114" s="1" t="s">
        <v>86</v>
      </c>
      <c r="C114" s="1" t="s">
        <v>288</v>
      </c>
      <c r="D114" s="1" t="s">
        <v>267</v>
      </c>
      <c r="E114" s="1" t="s">
        <v>17</v>
      </c>
      <c r="F114" t="s">
        <v>54</v>
      </c>
      <c r="G114" t="s">
        <v>289</v>
      </c>
      <c r="H114" t="s">
        <v>290</v>
      </c>
      <c r="I114" t="s">
        <v>21</v>
      </c>
      <c r="J114" t="s">
        <v>159</v>
      </c>
      <c r="K114" t="s">
        <v>291</v>
      </c>
    </row>
    <row r="115" spans="1:11" x14ac:dyDescent="0.25">
      <c r="B115" s="1" t="s">
        <v>36</v>
      </c>
      <c r="C115" s="1" t="s">
        <v>54</v>
      </c>
      <c r="D115" s="1" t="s">
        <v>475</v>
      </c>
      <c r="E115" s="1" t="s">
        <v>476</v>
      </c>
      <c r="F115" t="s">
        <v>267</v>
      </c>
      <c r="G115" t="s">
        <v>17</v>
      </c>
      <c r="H115" t="s">
        <v>54</v>
      </c>
      <c r="I115" t="s">
        <v>293</v>
      </c>
      <c r="J115" t="s">
        <v>294</v>
      </c>
    </row>
    <row r="116" spans="1:11" x14ac:dyDescent="0.25">
      <c r="B116" s="1"/>
      <c r="C116" s="1"/>
      <c r="D116" s="1"/>
      <c r="E116" s="1"/>
    </row>
    <row r="117" spans="1:11" x14ac:dyDescent="0.25">
      <c r="A117" t="s">
        <v>295</v>
      </c>
      <c r="B117" s="1" t="s">
        <v>296</v>
      </c>
      <c r="C117" s="1" t="s">
        <v>297</v>
      </c>
      <c r="D117" s="1"/>
      <c r="E117" s="1"/>
    </row>
    <row r="118" spans="1:11" x14ac:dyDescent="0.25">
      <c r="B118" s="1" t="s">
        <v>477</v>
      </c>
      <c r="C118" s="1" t="s">
        <v>478</v>
      </c>
      <c r="D118" s="1" t="s">
        <v>479</v>
      </c>
      <c r="E118" s="1"/>
    </row>
    <row r="119" spans="1:11" x14ac:dyDescent="0.25">
      <c r="B119" s="1"/>
      <c r="C119" s="1"/>
      <c r="D119" s="1"/>
      <c r="E119" s="1"/>
    </row>
    <row r="120" spans="1:11" x14ac:dyDescent="0.25">
      <c r="A120" t="s">
        <v>302</v>
      </c>
      <c r="B120" s="1" t="s">
        <v>303</v>
      </c>
      <c r="C120" s="1"/>
      <c r="D120" s="1"/>
      <c r="E120" s="1"/>
    </row>
    <row r="121" spans="1:11" x14ac:dyDescent="0.25">
      <c r="B121" s="1" t="s">
        <v>304</v>
      </c>
      <c r="C121" s="1" t="s">
        <v>305</v>
      </c>
      <c r="D121" s="1"/>
      <c r="E121" s="1"/>
    </row>
    <row r="122" spans="1:11" x14ac:dyDescent="0.25">
      <c r="B122" s="1"/>
      <c r="C122" s="1"/>
      <c r="D122" s="1"/>
      <c r="E122" s="1"/>
    </row>
    <row r="123" spans="1:11" x14ac:dyDescent="0.25">
      <c r="A123" t="s">
        <v>306</v>
      </c>
      <c r="B123" s="1" t="s">
        <v>307</v>
      </c>
      <c r="C123" s="1" t="s">
        <v>144</v>
      </c>
      <c r="D123" s="1"/>
      <c r="E123" s="1"/>
    </row>
    <row r="124" spans="1:11" x14ac:dyDescent="0.25">
      <c r="B124" s="1">
        <v>2048</v>
      </c>
      <c r="C124" s="1" t="s">
        <v>480</v>
      </c>
      <c r="D124" s="1" t="s">
        <v>481</v>
      </c>
      <c r="E124" s="1"/>
    </row>
    <row r="125" spans="1:11" x14ac:dyDescent="0.25">
      <c r="B125" s="1"/>
      <c r="C125" s="1"/>
      <c r="D125" s="1"/>
      <c r="E125" s="1"/>
    </row>
    <row r="126" spans="1:11" x14ac:dyDescent="0.25">
      <c r="A126" t="s">
        <v>308</v>
      </c>
      <c r="B126" s="1" t="s">
        <v>309</v>
      </c>
      <c r="C126" s="1" t="s">
        <v>17</v>
      </c>
      <c r="D126" s="1" t="s">
        <v>310</v>
      </c>
      <c r="E126" s="1" t="s">
        <v>311</v>
      </c>
    </row>
    <row r="127" spans="1:11" x14ac:dyDescent="0.25">
      <c r="B127" s="1" t="s">
        <v>86</v>
      </c>
      <c r="C127" s="1" t="s">
        <v>312</v>
      </c>
      <c r="D127" s="1" t="s">
        <v>311</v>
      </c>
      <c r="E127" s="1" t="s">
        <v>99</v>
      </c>
      <c r="F127" t="s">
        <v>313</v>
      </c>
      <c r="G127" t="s">
        <v>53</v>
      </c>
    </row>
    <row r="128" spans="1:11" x14ac:dyDescent="0.25">
      <c r="B128" s="1" t="s">
        <v>314</v>
      </c>
      <c r="C128" s="1" t="s">
        <v>315</v>
      </c>
      <c r="D128" s="1" t="s">
        <v>316</v>
      </c>
      <c r="E128" s="1" t="s">
        <v>317</v>
      </c>
      <c r="F128" t="s">
        <v>135</v>
      </c>
      <c r="G128" t="s">
        <v>136</v>
      </c>
      <c r="H128" t="s">
        <v>137</v>
      </c>
      <c r="I128" t="s">
        <v>17</v>
      </c>
      <c r="J128" t="s">
        <v>152</v>
      </c>
      <c r="K128" t="s">
        <v>318</v>
      </c>
    </row>
    <row r="129" spans="1:12" x14ac:dyDescent="0.25">
      <c r="B129" s="1" t="s">
        <v>36</v>
      </c>
      <c r="C129" s="1" t="s">
        <v>314</v>
      </c>
      <c r="D129" s="1" t="s">
        <v>319</v>
      </c>
      <c r="E129" s="1" t="s">
        <v>320</v>
      </c>
      <c r="F129" t="s">
        <v>317</v>
      </c>
      <c r="G129" t="s">
        <v>321</v>
      </c>
      <c r="H129" t="s">
        <v>322</v>
      </c>
      <c r="I129" t="s">
        <v>17</v>
      </c>
      <c r="J129" t="s">
        <v>321</v>
      </c>
      <c r="K129" t="s">
        <v>264</v>
      </c>
    </row>
    <row r="130" spans="1:12" x14ac:dyDescent="0.25">
      <c r="B130" s="1"/>
      <c r="C130" s="1"/>
      <c r="D130" s="1"/>
      <c r="E130" s="1"/>
    </row>
    <row r="131" spans="1:12" x14ac:dyDescent="0.25">
      <c r="A131" t="s">
        <v>323</v>
      </c>
      <c r="B131" s="1" t="s">
        <v>324</v>
      </c>
      <c r="C131" s="1" t="s">
        <v>28</v>
      </c>
      <c r="D131" s="1" t="s">
        <v>325</v>
      </c>
      <c r="E131" s="1" t="s">
        <v>326</v>
      </c>
      <c r="F131" t="s">
        <v>17</v>
      </c>
      <c r="G131" t="s">
        <v>327</v>
      </c>
      <c r="H131" t="s">
        <v>328</v>
      </c>
    </row>
    <row r="132" spans="1:12" x14ac:dyDescent="0.25">
      <c r="B132" s="1" t="s">
        <v>482</v>
      </c>
      <c r="C132" s="1" t="s">
        <v>438</v>
      </c>
      <c r="D132" s="1"/>
      <c r="E132" s="1"/>
    </row>
    <row r="133" spans="1:12" x14ac:dyDescent="0.25">
      <c r="B133" s="1" t="s">
        <v>330</v>
      </c>
      <c r="C133" s="1" t="s">
        <v>54</v>
      </c>
      <c r="D133" s="1" t="s">
        <v>185</v>
      </c>
      <c r="E133" s="1" t="s">
        <v>331</v>
      </c>
      <c r="F133" t="s">
        <v>54</v>
      </c>
      <c r="G133" t="s">
        <v>186</v>
      </c>
      <c r="H133" t="s">
        <v>187</v>
      </c>
      <c r="I133" t="s">
        <v>332</v>
      </c>
      <c r="J133" t="s">
        <v>333</v>
      </c>
      <c r="K133" t="s">
        <v>326</v>
      </c>
      <c r="L133" t="s">
        <v>325</v>
      </c>
    </row>
    <row r="134" spans="1:12" x14ac:dyDescent="0.25">
      <c r="B134" s="1" t="s">
        <v>334</v>
      </c>
      <c r="C134" s="1" t="s">
        <v>93</v>
      </c>
      <c r="D134" s="1" t="s">
        <v>483</v>
      </c>
      <c r="E134" s="1" t="s">
        <v>336</v>
      </c>
      <c r="F134" t="s">
        <v>337</v>
      </c>
      <c r="G134" t="s">
        <v>338</v>
      </c>
      <c r="H134" t="s">
        <v>339</v>
      </c>
      <c r="I134" t="s">
        <v>54</v>
      </c>
      <c r="J134" t="s">
        <v>340</v>
      </c>
      <c r="K134" t="s">
        <v>341</v>
      </c>
    </row>
    <row r="135" spans="1:12" x14ac:dyDescent="0.25">
      <c r="B135" s="1"/>
      <c r="C135" s="1"/>
      <c r="D135" s="1"/>
      <c r="E135" s="1"/>
    </row>
    <row r="136" spans="1:12" x14ac:dyDescent="0.25">
      <c r="A136" t="s">
        <v>342</v>
      </c>
      <c r="B136" s="1" t="s">
        <v>343</v>
      </c>
      <c r="C136" s="1"/>
      <c r="D136" s="1"/>
      <c r="E136" s="1"/>
    </row>
    <row r="137" spans="1:12" x14ac:dyDescent="0.25">
      <c r="B137" s="1" t="s">
        <v>484</v>
      </c>
      <c r="C137" s="1" t="s">
        <v>270</v>
      </c>
      <c r="D137" s="1" t="s">
        <v>485</v>
      </c>
      <c r="E137" s="1" t="s">
        <v>21</v>
      </c>
      <c r="F137" t="s">
        <v>13</v>
      </c>
      <c r="G137" t="s">
        <v>486</v>
      </c>
      <c r="H137" t="s">
        <v>487</v>
      </c>
    </row>
    <row r="138" spans="1:12" x14ac:dyDescent="0.25">
      <c r="B138" s="1" t="s">
        <v>346</v>
      </c>
      <c r="C138" s="1" t="s">
        <v>343</v>
      </c>
      <c r="D138" s="1" t="s">
        <v>488</v>
      </c>
      <c r="E138" s="1" t="s">
        <v>28</v>
      </c>
      <c r="F138" t="s">
        <v>43</v>
      </c>
      <c r="G138" t="s">
        <v>452</v>
      </c>
      <c r="H138" t="s">
        <v>453</v>
      </c>
      <c r="I138" t="s">
        <v>489</v>
      </c>
    </row>
    <row r="139" spans="1:12" x14ac:dyDescent="0.25">
      <c r="B139" s="1"/>
      <c r="C139" s="1"/>
      <c r="D139" s="1"/>
      <c r="E139" s="1"/>
    </row>
    <row r="140" spans="1:12" x14ac:dyDescent="0.25">
      <c r="B140" s="1"/>
      <c r="C140" s="1"/>
      <c r="D140" s="1"/>
      <c r="E140" s="1"/>
    </row>
    <row r="141" spans="1:12" x14ac:dyDescent="0.25">
      <c r="A141">
        <v>4</v>
      </c>
      <c r="B141" s="1" t="s">
        <v>353</v>
      </c>
      <c r="C141" s="1"/>
      <c r="D141" s="1"/>
      <c r="E141" s="1"/>
    </row>
    <row r="142" spans="1:12" x14ac:dyDescent="0.25">
      <c r="B142" s="1"/>
      <c r="C142" s="1"/>
      <c r="D142" s="1"/>
      <c r="E142" s="1"/>
    </row>
    <row r="143" spans="1:12" x14ac:dyDescent="0.25">
      <c r="A143" t="s">
        <v>354</v>
      </c>
      <c r="B143" s="1" t="s">
        <v>355</v>
      </c>
      <c r="C143" s="1" t="s">
        <v>356</v>
      </c>
      <c r="D143" s="1"/>
      <c r="E143" s="1"/>
    </row>
    <row r="144" spans="1:12" x14ac:dyDescent="0.25">
      <c r="B144" s="1"/>
      <c r="C144" s="1"/>
      <c r="D144" s="1"/>
      <c r="E144" s="1"/>
    </row>
    <row r="145" spans="1:6" x14ac:dyDescent="0.25">
      <c r="B145" s="1" t="s">
        <v>145</v>
      </c>
      <c r="C145" s="1">
        <f>1020</f>
        <v>1020</v>
      </c>
      <c r="D145" s="1"/>
      <c r="E145" s="1"/>
    </row>
    <row r="146" spans="1:6" x14ac:dyDescent="0.25">
      <c r="B146" s="1"/>
      <c r="C146" s="1"/>
      <c r="D146" s="1"/>
      <c r="E146" s="1"/>
    </row>
    <row r="147" spans="1:6" x14ac:dyDescent="0.25">
      <c r="A147" t="s">
        <v>357</v>
      </c>
      <c r="B147" s="1" t="s">
        <v>358</v>
      </c>
      <c r="C147" s="1" t="s">
        <v>151</v>
      </c>
      <c r="D147" s="1" t="s">
        <v>359</v>
      </c>
      <c r="E147" s="1"/>
    </row>
    <row r="148" spans="1:6" x14ac:dyDescent="0.25">
      <c r="B148" s="1"/>
      <c r="C148" s="1"/>
      <c r="D148" s="1"/>
      <c r="E148" s="1"/>
    </row>
    <row r="149" spans="1:6" x14ac:dyDescent="0.25">
      <c r="B149" s="1" t="s">
        <v>141</v>
      </c>
      <c r="C149" s="1">
        <f>41441</f>
        <v>41441</v>
      </c>
      <c r="D149" s="1"/>
      <c r="E149" s="1"/>
    </row>
    <row r="150" spans="1:6" x14ac:dyDescent="0.25">
      <c r="B150" s="1"/>
      <c r="C150" s="1"/>
      <c r="D150" s="1"/>
      <c r="E150" s="1"/>
    </row>
    <row r="151" spans="1:6" x14ac:dyDescent="0.25">
      <c r="B151" s="1"/>
      <c r="C151" s="1"/>
      <c r="D151" s="1"/>
      <c r="E151" s="1"/>
    </row>
    <row r="152" spans="1:6" x14ac:dyDescent="0.25">
      <c r="A152">
        <v>5</v>
      </c>
      <c r="B152" s="1" t="s">
        <v>216</v>
      </c>
      <c r="C152" s="1" t="s">
        <v>360</v>
      </c>
      <c r="D152" s="1"/>
      <c r="E152" s="1"/>
    </row>
    <row r="153" spans="1:6" x14ac:dyDescent="0.25">
      <c r="B153" s="1"/>
      <c r="C153" s="1"/>
      <c r="D153" s="1"/>
      <c r="E153" s="1"/>
    </row>
    <row r="154" spans="1:6" x14ac:dyDescent="0.25">
      <c r="B154" s="1" t="s">
        <v>361</v>
      </c>
      <c r="C154" s="1" t="s">
        <v>362</v>
      </c>
      <c r="D154" s="1" t="s">
        <v>153</v>
      </c>
      <c r="E154" s="1" t="s">
        <v>363</v>
      </c>
      <c r="F154" t="s">
        <v>364</v>
      </c>
    </row>
    <row r="155" spans="1:6" x14ac:dyDescent="0.25">
      <c r="A155">
        <v>1</v>
      </c>
      <c r="B155" s="1">
        <v>0.153945</v>
      </c>
      <c r="C155" s="1">
        <v>0.153892</v>
      </c>
      <c r="D155" s="1">
        <v>4.1021299999999998E-3</v>
      </c>
      <c r="E155" s="1">
        <v>1.7276500000000001E-3</v>
      </c>
    </row>
    <row r="156" spans="1:6" x14ac:dyDescent="0.25">
      <c r="A156">
        <v>2</v>
      </c>
      <c r="B156" s="1">
        <v>0.46582699999999999</v>
      </c>
      <c r="C156" s="1">
        <v>0.46556199999999998</v>
      </c>
      <c r="D156" s="1">
        <v>3.7274700000000001E-2</v>
      </c>
      <c r="E156" s="1">
        <v>1.4319800000000001E-2</v>
      </c>
    </row>
    <row r="157" spans="1:6" x14ac:dyDescent="0.25">
      <c r="A157">
        <v>3</v>
      </c>
      <c r="B157" s="1">
        <v>0.78633399999999998</v>
      </c>
      <c r="C157" s="1">
        <v>0.78567699999999996</v>
      </c>
      <c r="D157" s="1">
        <v>0.105683</v>
      </c>
      <c r="E157" s="1">
        <v>3.7686699999999997E-2</v>
      </c>
    </row>
    <row r="158" spans="1:6" x14ac:dyDescent="0.25">
      <c r="A158">
        <v>4</v>
      </c>
      <c r="B158" s="1">
        <v>1.11676</v>
      </c>
      <c r="C158" s="1">
        <v>1.11537</v>
      </c>
      <c r="D158" s="1">
        <v>0.212148</v>
      </c>
      <c r="E158" s="1">
        <v>7.0357000000000003E-2</v>
      </c>
    </row>
    <row r="159" spans="1:6" x14ac:dyDescent="0.25">
      <c r="A159">
        <v>5</v>
      </c>
      <c r="B159" s="1">
        <v>1.45842</v>
      </c>
      <c r="C159" s="1">
        <v>1.4556800000000001</v>
      </c>
      <c r="D159" s="1">
        <v>0.35984899999999997</v>
      </c>
      <c r="E159" s="1">
        <v>0.111056</v>
      </c>
    </row>
    <row r="160" spans="1:6" x14ac:dyDescent="0.25">
      <c r="A160">
        <v>6</v>
      </c>
      <c r="B160" s="1">
        <v>1.81264</v>
      </c>
      <c r="C160" s="1">
        <v>1.80749</v>
      </c>
      <c r="D160" s="1">
        <v>0.55200400000000005</v>
      </c>
      <c r="E160" s="1">
        <v>0.15865299999999999</v>
      </c>
    </row>
    <row r="161" spans="1:6" x14ac:dyDescent="0.25">
      <c r="A161">
        <v>7</v>
      </c>
      <c r="B161" s="1">
        <v>2.1807599999999998</v>
      </c>
      <c r="C161" s="1">
        <v>2.1715100000000001</v>
      </c>
      <c r="D161" s="1">
        <v>0.79148399999999997</v>
      </c>
      <c r="E161" s="1">
        <v>0.212121</v>
      </c>
    </row>
    <row r="162" spans="1:6" x14ac:dyDescent="0.25">
      <c r="A162">
        <v>8</v>
      </c>
      <c r="B162" s="1">
        <v>2.5641400000000001</v>
      </c>
      <c r="C162" s="1">
        <v>2.5482200000000002</v>
      </c>
      <c r="D162" s="1">
        <v>1.0803499999999999</v>
      </c>
      <c r="E162" s="1">
        <v>0.27052500000000002</v>
      </c>
    </row>
    <row r="163" spans="1:6" x14ac:dyDescent="0.25">
      <c r="A163">
        <v>9</v>
      </c>
      <c r="B163" s="1">
        <v>2.9641299999999999</v>
      </c>
      <c r="C163" s="1">
        <v>2.9378000000000002</v>
      </c>
      <c r="D163" s="1">
        <v>1.4193499999999999</v>
      </c>
      <c r="E163" s="1">
        <v>0.333007</v>
      </c>
    </row>
    <row r="164" spans="1:6" x14ac:dyDescent="0.25">
      <c r="A164">
        <v>10</v>
      </c>
      <c r="B164" s="1">
        <v>3.38212</v>
      </c>
      <c r="C164" s="1">
        <v>3.3401299999999998</v>
      </c>
      <c r="D164" s="1">
        <v>1.8075000000000001</v>
      </c>
      <c r="E164" s="1">
        <v>0.39878599999999997</v>
      </c>
    </row>
    <row r="165" spans="1:6" x14ac:dyDescent="0.25">
      <c r="A165">
        <v>11</v>
      </c>
      <c r="B165" s="1">
        <v>3.8194699999999999</v>
      </c>
      <c r="C165" s="1">
        <v>3.75468</v>
      </c>
      <c r="D165" s="1">
        <v>2.2416800000000001</v>
      </c>
      <c r="E165" s="1">
        <v>0.46716200000000002</v>
      </c>
    </row>
    <row r="166" spans="1:6" x14ac:dyDescent="0.25">
      <c r="A166">
        <v>12</v>
      </c>
      <c r="B166" s="1">
        <v>4.2775699999999999</v>
      </c>
      <c r="C166" s="1">
        <v>4.1805599999999998</v>
      </c>
      <c r="D166" s="1">
        <v>2.71644</v>
      </c>
      <c r="E166" s="1">
        <v>0.53752</v>
      </c>
    </row>
    <row r="167" spans="1:6" x14ac:dyDescent="0.25">
      <c r="A167">
        <v>13</v>
      </c>
      <c r="B167" s="1">
        <v>4.7577800000000003</v>
      </c>
      <c r="C167" s="1">
        <v>4.6164699999999996</v>
      </c>
      <c r="D167" s="1">
        <v>3.2240500000000001</v>
      </c>
      <c r="E167" s="1">
        <v>0.60933400000000004</v>
      </c>
    </row>
    <row r="168" spans="1:6" x14ac:dyDescent="0.25">
      <c r="A168">
        <v>14</v>
      </c>
      <c r="B168" s="1">
        <v>5.2614799999999997</v>
      </c>
      <c r="C168" s="1">
        <v>5.0607100000000003</v>
      </c>
      <c r="D168" s="1">
        <v>3.7546900000000001</v>
      </c>
      <c r="E168" s="1">
        <v>0.68216600000000005</v>
      </c>
    </row>
    <row r="169" spans="1:6" x14ac:dyDescent="0.25">
      <c r="A169">
        <v>15</v>
      </c>
      <c r="B169" s="1">
        <v>5.7900499999999999</v>
      </c>
      <c r="C169" s="1">
        <v>5.5112399999999999</v>
      </c>
      <c r="D169" s="1">
        <v>4.29697</v>
      </c>
      <c r="E169" s="1">
        <v>0.75565800000000005</v>
      </c>
    </row>
    <row r="170" spans="1:6" x14ac:dyDescent="0.25">
      <c r="A170">
        <v>16</v>
      </c>
      <c r="B170" s="1">
        <v>6.3448399999999996</v>
      </c>
      <c r="C170" s="1">
        <v>5.9656900000000004</v>
      </c>
      <c r="D170" s="1">
        <v>4.8385699999999998</v>
      </c>
      <c r="E170" s="1">
        <v>0.82952300000000001</v>
      </c>
    </row>
    <row r="171" spans="1:6" x14ac:dyDescent="0.25">
      <c r="A171">
        <v>17</v>
      </c>
      <c r="B171" s="1">
        <v>6.9272099999999996</v>
      </c>
      <c r="C171" s="1">
        <v>6.4215099999999996</v>
      </c>
      <c r="D171" s="1">
        <v>5.3669500000000001</v>
      </c>
      <c r="E171" s="1">
        <v>0.90352699999999997</v>
      </c>
    </row>
    <row r="172" spans="1:6" x14ac:dyDescent="0.25">
      <c r="A172">
        <v>18</v>
      </c>
      <c r="B172" s="1">
        <v>7.5385099999999996</v>
      </c>
      <c r="C172" s="1">
        <v>6.87601</v>
      </c>
      <c r="D172" s="1">
        <v>5.87019</v>
      </c>
      <c r="E172" s="1">
        <v>0.977464</v>
      </c>
      <c r="F172" s="1"/>
    </row>
    <row r="173" spans="1:6" x14ac:dyDescent="0.25">
      <c r="A173">
        <v>19</v>
      </c>
      <c r="B173" s="1">
        <v>8.1800700000000006</v>
      </c>
      <c r="C173" s="1">
        <v>7.3264500000000004</v>
      </c>
      <c r="D173" s="1">
        <v>6.3376200000000003</v>
      </c>
      <c r="E173" s="1">
        <v>1.05114</v>
      </c>
      <c r="F173" s="1"/>
    </row>
    <row r="174" spans="1:6" x14ac:dyDescent="0.25">
      <c r="A174">
        <v>20</v>
      </c>
      <c r="B174" s="1">
        <v>8.8532100000000007</v>
      </c>
      <c r="C174" s="1">
        <v>7.7701900000000004</v>
      </c>
      <c r="D174" s="1">
        <v>6.7603799999999996</v>
      </c>
      <c r="E174" s="1">
        <v>1.12435</v>
      </c>
      <c r="F174" s="1"/>
    </row>
    <row r="175" spans="1:6" x14ac:dyDescent="0.25">
      <c r="A175">
        <v>21</v>
      </c>
      <c r="B175" s="1">
        <v>9.5592299999999994</v>
      </c>
      <c r="C175" s="1">
        <v>8.2047699999999999</v>
      </c>
      <c r="D175" s="1">
        <v>7.1317599999999999</v>
      </c>
      <c r="E175" s="1">
        <v>1.19686</v>
      </c>
      <c r="F175" s="1"/>
    </row>
    <row r="176" spans="1:6" x14ac:dyDescent="0.25">
      <c r="A176">
        <v>22</v>
      </c>
      <c r="B176" s="1">
        <v>10.2994</v>
      </c>
      <c r="C176" s="1">
        <v>8.6279500000000002</v>
      </c>
      <c r="D176" s="1">
        <v>7.4473799999999999</v>
      </c>
      <c r="E176" s="1">
        <v>1.2683899999999999</v>
      </c>
      <c r="F176" s="1"/>
    </row>
    <row r="177" spans="1:6" x14ac:dyDescent="0.25">
      <c r="A177">
        <v>23</v>
      </c>
      <c r="B177" s="1">
        <v>11.074999999999999</v>
      </c>
      <c r="C177" s="1">
        <v>9.0378399999999992</v>
      </c>
      <c r="D177" s="1">
        <v>7.7050799999999997</v>
      </c>
      <c r="E177" s="1">
        <v>1.3386499999999999</v>
      </c>
      <c r="F177" s="1"/>
    </row>
    <row r="178" spans="1:6" x14ac:dyDescent="0.25">
      <c r="A178">
        <v>24</v>
      </c>
      <c r="B178" s="1">
        <v>11.8874</v>
      </c>
      <c r="C178" s="1">
        <v>9.4328800000000008</v>
      </c>
      <c r="D178" s="1">
        <v>7.9047900000000002</v>
      </c>
      <c r="E178" s="1">
        <v>1.4072800000000001</v>
      </c>
      <c r="F178" s="1"/>
    </row>
    <row r="179" spans="1:6" x14ac:dyDescent="0.25">
      <c r="A179">
        <v>25</v>
      </c>
      <c r="B179" s="1">
        <v>12.7376</v>
      </c>
      <c r="C179" s="1">
        <v>9.8118800000000004</v>
      </c>
      <c r="D179" s="1">
        <v>8.0481499999999997</v>
      </c>
      <c r="E179" s="1">
        <v>1.47393</v>
      </c>
      <c r="F179" s="1"/>
    </row>
    <row r="180" spans="1:6" x14ac:dyDescent="0.25">
      <c r="A180">
        <v>26</v>
      </c>
      <c r="B180" s="1">
        <v>13.626899999999999</v>
      </c>
      <c r="C180" s="1">
        <v>10.173999999999999</v>
      </c>
      <c r="D180" s="1">
        <v>8.1382200000000005</v>
      </c>
      <c r="E180" s="1">
        <v>1.5382199999999999</v>
      </c>
      <c r="F180" s="1"/>
    </row>
    <row r="181" spans="1:6" x14ac:dyDescent="0.25">
      <c r="A181">
        <v>27</v>
      </c>
      <c r="B181" s="1">
        <v>14.5565</v>
      </c>
      <c r="C181" s="1">
        <v>10.5189</v>
      </c>
      <c r="D181" s="1">
        <v>8.1790900000000004</v>
      </c>
      <c r="E181" s="1">
        <v>1.59981</v>
      </c>
      <c r="F181" s="1"/>
    </row>
    <row r="182" spans="1:6" x14ac:dyDescent="0.25">
      <c r="A182">
        <v>28</v>
      </c>
      <c r="B182" s="1">
        <v>15.5276</v>
      </c>
      <c r="C182" s="1">
        <v>10.846299999999999</v>
      </c>
      <c r="D182" s="1">
        <v>8.1755499999999994</v>
      </c>
      <c r="E182" s="1">
        <v>1.6583600000000001</v>
      </c>
      <c r="F182" s="1"/>
    </row>
    <row r="183" spans="1:6" x14ac:dyDescent="0.25">
      <c r="A183">
        <v>29</v>
      </c>
      <c r="B183" s="1">
        <v>16.5412</v>
      </c>
      <c r="C183" s="1">
        <v>11.1563</v>
      </c>
      <c r="D183" s="1">
        <v>8.1327700000000007</v>
      </c>
      <c r="E183" s="1">
        <v>1.7135800000000001</v>
      </c>
      <c r="F183" s="1"/>
    </row>
    <row r="184" spans="1:6" x14ac:dyDescent="0.25">
      <c r="A184">
        <v>30</v>
      </c>
      <c r="B184" s="1">
        <v>17.598500000000001</v>
      </c>
      <c r="C184" s="1">
        <v>11.449299999999999</v>
      </c>
      <c r="D184" s="1">
        <v>8.0560700000000001</v>
      </c>
      <c r="E184" s="1">
        <v>1.76525</v>
      </c>
      <c r="F184" s="1"/>
    </row>
    <row r="185" spans="1:6" x14ac:dyDescent="0.25">
      <c r="A185">
        <v>31</v>
      </c>
      <c r="B185" s="1">
        <v>18.700500000000002</v>
      </c>
      <c r="C185" s="1">
        <v>11.7258</v>
      </c>
      <c r="D185" s="1">
        <v>7.9507399999999997</v>
      </c>
      <c r="E185" s="1">
        <v>1.8131999999999999</v>
      </c>
      <c r="F185" s="1"/>
    </row>
    <row r="186" spans="1:6" x14ac:dyDescent="0.25">
      <c r="A186">
        <v>32</v>
      </c>
      <c r="B186" s="1">
        <v>19.848400000000002</v>
      </c>
      <c r="C186" s="1">
        <v>11.9864</v>
      </c>
      <c r="D186" s="1">
        <v>7.82186</v>
      </c>
      <c r="E186" s="1">
        <v>1.8573299999999999</v>
      </c>
      <c r="F186" s="1"/>
    </row>
    <row r="187" spans="1:6" x14ac:dyDescent="0.25">
      <c r="A187">
        <v>33</v>
      </c>
      <c r="B187" s="1">
        <v>21.042999999999999</v>
      </c>
      <c r="C187" s="1">
        <v>12.2319</v>
      </c>
      <c r="D187" s="1">
        <v>7.6742100000000004</v>
      </c>
      <c r="E187" s="1">
        <v>1.8975900000000001</v>
      </c>
      <c r="F187" s="1"/>
    </row>
    <row r="188" spans="1:6" x14ac:dyDescent="0.25">
      <c r="A188">
        <v>34</v>
      </c>
      <c r="B188" s="1">
        <v>22.285499999999999</v>
      </c>
      <c r="C188" s="1">
        <v>12.463200000000001</v>
      </c>
      <c r="D188" s="1">
        <v>7.5122200000000001</v>
      </c>
      <c r="E188" s="1">
        <v>1.93401</v>
      </c>
      <c r="F188" s="1"/>
    </row>
    <row r="189" spans="1:6" x14ac:dyDescent="0.25">
      <c r="A189">
        <v>35</v>
      </c>
      <c r="B189" s="1">
        <v>23.576599999999999</v>
      </c>
      <c r="C189" s="1">
        <v>12.681100000000001</v>
      </c>
      <c r="D189" s="1">
        <v>7.33988</v>
      </c>
      <c r="E189" s="1">
        <v>1.9666600000000001</v>
      </c>
      <c r="F189" s="1"/>
    </row>
    <row r="190" spans="1:6" x14ac:dyDescent="0.25">
      <c r="A190">
        <v>36</v>
      </c>
      <c r="B190" s="1">
        <v>24.9175</v>
      </c>
      <c r="C190" s="1">
        <v>12.8864</v>
      </c>
      <c r="D190" s="1">
        <v>7.1607500000000002</v>
      </c>
      <c r="E190" s="1">
        <v>1.9956400000000001</v>
      </c>
      <c r="F190" s="1"/>
    </row>
    <row r="191" spans="1:6" x14ac:dyDescent="0.25">
      <c r="A191">
        <v>37</v>
      </c>
      <c r="B191" s="1">
        <v>26.308900000000001</v>
      </c>
      <c r="C191" s="1">
        <v>13.0801</v>
      </c>
      <c r="D191" s="1">
        <v>6.9779499999999999</v>
      </c>
      <c r="E191" s="1">
        <v>2.0211000000000001</v>
      </c>
      <c r="F191" s="1"/>
    </row>
    <row r="192" spans="1:6" x14ac:dyDescent="0.25">
      <c r="A192">
        <v>38</v>
      </c>
      <c r="B192" s="1">
        <v>27.7517</v>
      </c>
      <c r="C192" s="1">
        <v>13.263</v>
      </c>
      <c r="D192" s="1">
        <v>6.7941700000000003</v>
      </c>
      <c r="E192" s="1">
        <v>2.0431900000000001</v>
      </c>
      <c r="F192" s="1"/>
    </row>
    <row r="193" spans="1:6" x14ac:dyDescent="0.25">
      <c r="A193">
        <v>39</v>
      </c>
      <c r="B193" s="1">
        <v>29.246700000000001</v>
      </c>
      <c r="C193" s="1">
        <v>13.4359</v>
      </c>
      <c r="D193" s="1">
        <v>6.6116799999999998</v>
      </c>
      <c r="E193" s="1">
        <v>2.0621</v>
      </c>
      <c r="F193" s="1"/>
    </row>
    <row r="194" spans="1:6" x14ac:dyDescent="0.25">
      <c r="A194">
        <v>40</v>
      </c>
      <c r="B194" s="1">
        <v>30.794799999999999</v>
      </c>
      <c r="C194" s="1">
        <v>13.5997</v>
      </c>
      <c r="D194" s="1">
        <v>6.4323399999999999</v>
      </c>
      <c r="E194" s="1">
        <v>2.0779999999999998</v>
      </c>
      <c r="F194" s="1"/>
    </row>
    <row r="195" spans="1:6" x14ac:dyDescent="0.25">
      <c r="A195">
        <v>41</v>
      </c>
      <c r="B195" s="1">
        <v>32.396700000000003</v>
      </c>
      <c r="C195" s="1">
        <v>13.7552</v>
      </c>
      <c r="D195" s="1">
        <v>6.2576799999999997</v>
      </c>
      <c r="E195" s="1">
        <v>2.0910799999999998</v>
      </c>
      <c r="F195" s="1"/>
    </row>
    <row r="196" spans="1:6" x14ac:dyDescent="0.25">
      <c r="A196">
        <v>42</v>
      </c>
      <c r="B196" s="1">
        <v>34.053100000000001</v>
      </c>
      <c r="C196" s="1">
        <v>13.903</v>
      </c>
      <c r="D196" s="1">
        <v>6.0888499999999999</v>
      </c>
      <c r="E196" s="1">
        <v>2.1014900000000001</v>
      </c>
      <c r="F196" s="1"/>
    </row>
    <row r="197" spans="1:6" x14ac:dyDescent="0.25">
      <c r="A197">
        <v>43</v>
      </c>
      <c r="B197" s="1">
        <v>35.764699999999998</v>
      </c>
      <c r="C197" s="1">
        <v>14.043799999999999</v>
      </c>
      <c r="D197" s="1">
        <v>5.9267700000000003</v>
      </c>
      <c r="E197" s="1">
        <v>2.10941</v>
      </c>
      <c r="F197" s="1"/>
    </row>
    <row r="198" spans="1:6" x14ac:dyDescent="0.25">
      <c r="A198">
        <v>44</v>
      </c>
      <c r="B198" s="1">
        <v>37.532200000000003</v>
      </c>
      <c r="C198" s="1">
        <v>14.1784</v>
      </c>
      <c r="D198" s="1">
        <v>5.7720599999999997</v>
      </c>
      <c r="E198" s="1">
        <v>2.1150099999999998</v>
      </c>
      <c r="F198" s="1"/>
    </row>
    <row r="199" spans="1:6" x14ac:dyDescent="0.25">
      <c r="A199">
        <v>45</v>
      </c>
      <c r="B199" s="1">
        <v>39.356200000000001</v>
      </c>
      <c r="C199" s="1">
        <v>14.3073</v>
      </c>
      <c r="D199" s="1">
        <v>5.6251199999999999</v>
      </c>
      <c r="E199" s="1">
        <v>2.11843</v>
      </c>
      <c r="F199" s="1"/>
    </row>
    <row r="200" spans="1:6" x14ac:dyDescent="0.25">
      <c r="A200">
        <v>46</v>
      </c>
      <c r="B200" s="1">
        <v>41.237200000000001</v>
      </c>
      <c r="C200" s="1">
        <v>14.430999999999999</v>
      </c>
      <c r="D200" s="1">
        <v>5.4861399999999998</v>
      </c>
      <c r="E200" s="1">
        <v>2.1198399999999999</v>
      </c>
      <c r="F200" s="1"/>
    </row>
    <row r="201" spans="1:6" x14ac:dyDescent="0.25">
      <c r="A201">
        <v>47</v>
      </c>
      <c r="B201" s="1">
        <v>43.175800000000002</v>
      </c>
      <c r="C201" s="1">
        <v>14.5502</v>
      </c>
      <c r="D201" s="1">
        <v>5.3551900000000003</v>
      </c>
      <c r="E201" s="1">
        <v>2.1193499999999998</v>
      </c>
      <c r="F201" s="1"/>
    </row>
    <row r="202" spans="1:6" x14ac:dyDescent="0.25">
      <c r="A202">
        <v>48</v>
      </c>
      <c r="B202" s="1">
        <v>45.172600000000003</v>
      </c>
      <c r="C202" s="1">
        <v>14.6652</v>
      </c>
      <c r="D202" s="1">
        <v>5.2321999999999997</v>
      </c>
      <c r="E202" s="1">
        <v>2.1171000000000002</v>
      </c>
      <c r="F202" s="1"/>
    </row>
    <row r="203" spans="1:6" x14ac:dyDescent="0.25">
      <c r="A203">
        <v>49</v>
      </c>
      <c r="B203" s="1">
        <v>47.228000000000002</v>
      </c>
      <c r="C203" s="1">
        <v>14.776400000000001</v>
      </c>
      <c r="D203" s="1">
        <v>5.1170099999999996</v>
      </c>
      <c r="E203" s="1">
        <v>2.1131899999999999</v>
      </c>
      <c r="F203" s="1"/>
    </row>
    <row r="204" spans="1:6" x14ac:dyDescent="0.25">
      <c r="A204">
        <v>50</v>
      </c>
      <c r="B204" s="1">
        <v>49.342500000000001</v>
      </c>
      <c r="C204" s="1">
        <v>14.884399999999999</v>
      </c>
      <c r="D204" s="1">
        <v>5.0093899999999998</v>
      </c>
      <c r="E204" s="1">
        <v>2.1077400000000002</v>
      </c>
      <c r="F204" s="1"/>
    </row>
    <row r="205" spans="1:6" x14ac:dyDescent="0.25">
      <c r="A205">
        <v>51</v>
      </c>
      <c r="B205" s="1">
        <v>51.516399999999997</v>
      </c>
      <c r="C205" s="1">
        <v>14.9894</v>
      </c>
      <c r="D205" s="1">
        <v>4.9090600000000002</v>
      </c>
      <c r="E205" s="1">
        <v>2.1008599999999999</v>
      </c>
      <c r="F205" s="1"/>
    </row>
    <row r="206" spans="1:6" x14ac:dyDescent="0.25">
      <c r="A206">
        <v>52</v>
      </c>
      <c r="B206" s="1">
        <v>53.7502</v>
      </c>
      <c r="C206" s="1">
        <v>15.091699999999999</v>
      </c>
      <c r="D206" s="1">
        <v>4.8157300000000003</v>
      </c>
      <c r="E206" s="1">
        <v>2.0926800000000001</v>
      </c>
      <c r="F206" s="1"/>
    </row>
    <row r="207" spans="1:6" x14ac:dyDescent="0.25">
      <c r="A207">
        <v>53</v>
      </c>
      <c r="B207" s="1">
        <v>56.044199999999996</v>
      </c>
      <c r="C207" s="1">
        <v>15.191599999999999</v>
      </c>
      <c r="D207" s="1">
        <v>4.7290400000000004</v>
      </c>
      <c r="E207" s="1">
        <v>2.0833200000000001</v>
      </c>
      <c r="F207" s="1"/>
    </row>
    <row r="208" spans="1:6" x14ac:dyDescent="0.25">
      <c r="A208">
        <v>54</v>
      </c>
      <c r="B208" s="1">
        <v>58.398600000000002</v>
      </c>
      <c r="C208" s="1">
        <v>15.289300000000001</v>
      </c>
      <c r="D208" s="1">
        <v>4.6486400000000003</v>
      </c>
      <c r="E208" s="1">
        <v>2.07294</v>
      </c>
      <c r="F208" s="1"/>
    </row>
    <row r="209" spans="1:6" x14ac:dyDescent="0.25">
      <c r="A209">
        <v>55</v>
      </c>
      <c r="B209" s="1">
        <v>60.813899999999997</v>
      </c>
      <c r="C209" s="1">
        <v>15.3851</v>
      </c>
      <c r="D209" s="1">
        <v>4.5741300000000003</v>
      </c>
      <c r="E209" s="1">
        <v>2.0616300000000001</v>
      </c>
      <c r="F209" s="1"/>
    </row>
    <row r="210" spans="1:6" x14ac:dyDescent="0.25">
      <c r="A210">
        <v>56</v>
      </c>
      <c r="B210" s="1">
        <v>63.290100000000002</v>
      </c>
      <c r="C210" s="1">
        <v>15.479100000000001</v>
      </c>
      <c r="D210" s="1">
        <v>4.5050699999999999</v>
      </c>
      <c r="E210" s="1">
        <v>2.0495199999999998</v>
      </c>
      <c r="F210" s="1"/>
    </row>
    <row r="211" spans="1:6" x14ac:dyDescent="0.25">
      <c r="A211">
        <v>57</v>
      </c>
      <c r="B211" s="1">
        <v>65.827600000000004</v>
      </c>
      <c r="C211" s="1">
        <v>15.5715</v>
      </c>
      <c r="D211" s="1">
        <v>4.4410499999999997</v>
      </c>
      <c r="E211" s="1">
        <v>2.0366900000000001</v>
      </c>
      <c r="F211" s="1"/>
    </row>
    <row r="212" spans="1:6" x14ac:dyDescent="0.25">
      <c r="A212">
        <v>58</v>
      </c>
      <c r="B212" s="1">
        <v>68.426400000000001</v>
      </c>
      <c r="C212" s="1">
        <v>15.6625</v>
      </c>
      <c r="D212" s="1">
        <v>4.3816600000000001</v>
      </c>
      <c r="E212" s="1">
        <v>2.0232399999999999</v>
      </c>
      <c r="F212" s="1"/>
    </row>
    <row r="213" spans="1:6" x14ac:dyDescent="0.25">
      <c r="A213">
        <v>59</v>
      </c>
      <c r="B213" s="1">
        <v>71.086799999999997</v>
      </c>
      <c r="C213" s="1">
        <v>15.7521</v>
      </c>
      <c r="D213" s="1">
        <v>4.3265200000000004</v>
      </c>
      <c r="E213" s="1">
        <v>2.0092599999999998</v>
      </c>
      <c r="F213" s="1"/>
    </row>
    <row r="214" spans="1:6" x14ac:dyDescent="0.25">
      <c r="A214">
        <v>60</v>
      </c>
      <c r="B214" s="1">
        <v>73.808800000000005</v>
      </c>
      <c r="C214" s="1">
        <v>15.8405</v>
      </c>
      <c r="D214" s="1">
        <v>4.2752400000000002</v>
      </c>
      <c r="E214" s="1">
        <v>1.9948399999999999</v>
      </c>
      <c r="F214" s="1"/>
    </row>
    <row r="215" spans="1:6" x14ac:dyDescent="0.25">
      <c r="A215">
        <v>61</v>
      </c>
      <c r="B215" s="1">
        <v>76.592399999999998</v>
      </c>
      <c r="C215" s="1">
        <v>15.9277</v>
      </c>
      <c r="D215" s="1">
        <v>4.2274500000000002</v>
      </c>
      <c r="E215" s="1">
        <v>1.98003</v>
      </c>
      <c r="F215" s="1"/>
    </row>
    <row r="216" spans="1:6" x14ac:dyDescent="0.25">
      <c r="A216">
        <v>62</v>
      </c>
      <c r="B216" s="1">
        <v>79.437799999999996</v>
      </c>
      <c r="C216" s="1">
        <v>16.0139</v>
      </c>
      <c r="D216" s="1">
        <v>4.1828099999999999</v>
      </c>
      <c r="E216" s="1">
        <v>1.96489</v>
      </c>
      <c r="F216" s="1"/>
    </row>
    <row r="217" spans="1:6" x14ac:dyDescent="0.25">
      <c r="A217">
        <v>63</v>
      </c>
      <c r="B217" s="1">
        <v>82.344899999999996</v>
      </c>
      <c r="C217" s="1">
        <v>16.0991</v>
      </c>
      <c r="D217" s="1">
        <v>4.141</v>
      </c>
      <c r="E217" s="1">
        <v>1.9494899999999999</v>
      </c>
      <c r="F217" s="1"/>
    </row>
    <row r="218" spans="1:6" x14ac:dyDescent="0.25">
      <c r="A218">
        <v>64</v>
      </c>
      <c r="B218" s="1">
        <v>85.313800000000001</v>
      </c>
      <c r="C218" s="1">
        <v>16.183399999999999</v>
      </c>
      <c r="D218" s="1">
        <v>4.1017400000000004</v>
      </c>
      <c r="E218" s="1">
        <v>1.9339</v>
      </c>
      <c r="F218" s="1"/>
    </row>
    <row r="219" spans="1:6" x14ac:dyDescent="0.25">
      <c r="A219">
        <v>65</v>
      </c>
      <c r="B219" s="1">
        <v>88.344200000000001</v>
      </c>
      <c r="C219" s="1">
        <v>16.2668</v>
      </c>
      <c r="D219" s="1">
        <v>4.0647599999999997</v>
      </c>
      <c r="E219" s="1">
        <v>1.91818</v>
      </c>
      <c r="F219" s="1"/>
    </row>
    <row r="220" spans="1:6" x14ac:dyDescent="0.25">
      <c r="A220">
        <v>66</v>
      </c>
      <c r="B220" s="1">
        <v>91.436199999999999</v>
      </c>
      <c r="C220" s="1">
        <v>16.349399999999999</v>
      </c>
      <c r="D220" s="1">
        <v>4.0297900000000002</v>
      </c>
      <c r="E220" s="1">
        <v>1.9024000000000001</v>
      </c>
      <c r="F220" s="1"/>
    </row>
    <row r="221" spans="1:6" x14ac:dyDescent="0.25">
      <c r="A221">
        <v>67</v>
      </c>
      <c r="B221" s="1">
        <v>94.589699999999993</v>
      </c>
      <c r="C221" s="1">
        <v>16.4313</v>
      </c>
      <c r="D221" s="1">
        <v>3.9965999999999999</v>
      </c>
      <c r="E221" s="1">
        <v>1.8866400000000001</v>
      </c>
      <c r="F221" s="1"/>
    </row>
    <row r="222" spans="1:6" x14ac:dyDescent="0.25">
      <c r="A222">
        <v>68</v>
      </c>
      <c r="B222" s="1">
        <v>97.804400000000001</v>
      </c>
      <c r="C222" s="1">
        <v>16.5123</v>
      </c>
      <c r="D222" s="1">
        <v>3.9649800000000002</v>
      </c>
      <c r="E222" s="1">
        <v>1.87093</v>
      </c>
      <c r="F222" s="1"/>
    </row>
    <row r="223" spans="1:6" x14ac:dyDescent="0.25">
      <c r="A223">
        <v>69</v>
      </c>
      <c r="B223" s="1">
        <v>101.08</v>
      </c>
      <c r="C223" s="1">
        <v>16.592700000000001</v>
      </c>
      <c r="D223" s="1">
        <v>3.9347099999999999</v>
      </c>
      <c r="E223" s="1">
        <v>1.8552999999999999</v>
      </c>
      <c r="F223" s="1"/>
    </row>
    <row r="224" spans="1:6" x14ac:dyDescent="0.25">
      <c r="A224">
        <v>70</v>
      </c>
      <c r="B224" s="1">
        <v>104.417</v>
      </c>
      <c r="C224" s="1">
        <v>16.6723</v>
      </c>
      <c r="D224" s="1">
        <v>3.9056199999999999</v>
      </c>
      <c r="E224" s="1">
        <v>1.8397699999999999</v>
      </c>
      <c r="F224" s="1"/>
    </row>
    <row r="225" spans="1:6" x14ac:dyDescent="0.25">
      <c r="A225">
        <v>71</v>
      </c>
      <c r="B225" s="1">
        <v>107.81399999999999</v>
      </c>
      <c r="C225" s="1">
        <v>16.751200000000001</v>
      </c>
      <c r="D225" s="1">
        <v>3.8775599999999999</v>
      </c>
      <c r="E225" s="1">
        <v>1.8244</v>
      </c>
      <c r="F225" s="1"/>
    </row>
    <row r="226" spans="1:6" x14ac:dyDescent="0.25">
      <c r="A226">
        <v>72</v>
      </c>
      <c r="B226" s="1">
        <v>111.27200000000001</v>
      </c>
      <c r="C226" s="1">
        <v>16.8294</v>
      </c>
      <c r="D226" s="1">
        <v>3.8504</v>
      </c>
      <c r="E226" s="1">
        <v>1.8092299999999999</v>
      </c>
      <c r="F226" s="1"/>
    </row>
    <row r="227" spans="1:6" x14ac:dyDescent="0.25">
      <c r="A227">
        <v>73</v>
      </c>
      <c r="B227" s="1">
        <v>114.79</v>
      </c>
      <c r="C227" s="1">
        <v>16.9069</v>
      </c>
      <c r="D227" s="1">
        <v>3.8240500000000002</v>
      </c>
      <c r="E227" s="1">
        <v>1.79427</v>
      </c>
      <c r="F227" s="1"/>
    </row>
    <row r="228" spans="1:6" x14ac:dyDescent="0.25">
      <c r="A228">
        <v>74</v>
      </c>
      <c r="B228" s="1">
        <v>118.36799999999999</v>
      </c>
      <c r="C228" s="1">
        <v>16.983799999999999</v>
      </c>
      <c r="D228" s="1">
        <v>3.7984300000000002</v>
      </c>
      <c r="E228" s="1">
        <v>1.7795700000000001</v>
      </c>
      <c r="F228" s="1"/>
    </row>
    <row r="229" spans="1:6" x14ac:dyDescent="0.25">
      <c r="A229">
        <v>75</v>
      </c>
      <c r="B229" s="1">
        <v>122.005</v>
      </c>
      <c r="C229" s="1">
        <v>17.059999999999999</v>
      </c>
      <c r="D229" s="1">
        <v>3.77346</v>
      </c>
      <c r="E229" s="1">
        <v>1.7651399999999999</v>
      </c>
      <c r="F229" s="1"/>
    </row>
    <row r="230" spans="1:6" x14ac:dyDescent="0.25">
      <c r="A230">
        <v>76</v>
      </c>
      <c r="B230" s="1">
        <v>125.702</v>
      </c>
      <c r="C230" s="1">
        <v>17.1356</v>
      </c>
      <c r="D230" s="1">
        <v>3.7490600000000001</v>
      </c>
      <c r="E230" s="1">
        <v>1.75101</v>
      </c>
      <c r="F230" s="1"/>
    </row>
    <row r="231" spans="1:6" x14ac:dyDescent="0.25">
      <c r="A231">
        <v>77</v>
      </c>
      <c r="B231" s="1">
        <v>129.45699999999999</v>
      </c>
      <c r="C231" s="1">
        <v>17.2105</v>
      </c>
      <c r="D231" s="1">
        <v>3.7251099999999999</v>
      </c>
      <c r="E231" s="1">
        <v>1.73716</v>
      </c>
      <c r="F231" s="1"/>
    </row>
    <row r="232" spans="1:6" x14ac:dyDescent="0.25">
      <c r="A232">
        <v>78</v>
      </c>
      <c r="B232" s="1">
        <v>133.27000000000001</v>
      </c>
      <c r="C232" s="1">
        <v>17.2849</v>
      </c>
      <c r="D232" s="1">
        <v>3.70153</v>
      </c>
      <c r="E232" s="1">
        <v>1.72357</v>
      </c>
      <c r="F232" s="1"/>
    </row>
    <row r="233" spans="1:6" x14ac:dyDescent="0.25">
      <c r="A233">
        <v>79</v>
      </c>
      <c r="B233" s="1">
        <v>137.14099999999999</v>
      </c>
      <c r="C233" s="1">
        <v>17.358599999999999</v>
      </c>
      <c r="D233" s="1">
        <v>3.6782699999999999</v>
      </c>
      <c r="E233" s="1">
        <v>1.7102299999999999</v>
      </c>
      <c r="F233" s="1"/>
    </row>
    <row r="234" spans="1:6" x14ac:dyDescent="0.25">
      <c r="A234">
        <v>80</v>
      </c>
      <c r="B234" s="1">
        <v>141.07</v>
      </c>
      <c r="C234" s="1">
        <v>17.431699999999999</v>
      </c>
      <c r="D234" s="1">
        <v>3.65523</v>
      </c>
      <c r="E234" s="1">
        <v>1.6970700000000001</v>
      </c>
      <c r="F234" s="1"/>
    </row>
    <row r="235" spans="1:6" x14ac:dyDescent="0.25">
      <c r="A235">
        <v>81</v>
      </c>
      <c r="B235" s="1">
        <v>145.05500000000001</v>
      </c>
      <c r="C235" s="1">
        <v>17.504300000000001</v>
      </c>
      <c r="D235" s="1">
        <v>3.6323599999999998</v>
      </c>
      <c r="E235" s="1">
        <v>1.68407</v>
      </c>
      <c r="F235" s="1"/>
    </row>
    <row r="236" spans="1:6" x14ac:dyDescent="0.25">
      <c r="A236">
        <v>82</v>
      </c>
      <c r="B236" s="1">
        <v>149.09700000000001</v>
      </c>
      <c r="C236" s="1">
        <v>17.5762</v>
      </c>
      <c r="D236" s="1">
        <v>3.6095600000000001</v>
      </c>
      <c r="E236" s="1">
        <v>1.6711800000000001</v>
      </c>
      <c r="F236" s="1"/>
    </row>
    <row r="237" spans="1:6" x14ac:dyDescent="0.25">
      <c r="A237">
        <v>83</v>
      </c>
      <c r="B237" s="1">
        <v>153.19499999999999</v>
      </c>
      <c r="C237" s="1">
        <v>17.647500000000001</v>
      </c>
      <c r="D237" s="1">
        <v>3.5868000000000002</v>
      </c>
      <c r="E237" s="1">
        <v>1.6584099999999999</v>
      </c>
      <c r="F237" s="1"/>
    </row>
    <row r="238" spans="1:6" x14ac:dyDescent="0.25">
      <c r="A238">
        <v>84</v>
      </c>
      <c r="B238" s="1">
        <v>157.34899999999999</v>
      </c>
      <c r="C238" s="1">
        <v>17.7182</v>
      </c>
      <c r="D238" s="1">
        <v>3.5640700000000001</v>
      </c>
      <c r="E238" s="1">
        <v>1.64578</v>
      </c>
      <c r="F238" s="1"/>
    </row>
    <row r="239" spans="1:6" x14ac:dyDescent="0.25">
      <c r="A239">
        <v>85</v>
      </c>
      <c r="B239" s="1">
        <v>161.55699999999999</v>
      </c>
      <c r="C239" s="1">
        <v>17.7883</v>
      </c>
      <c r="D239" s="1">
        <v>3.5413999999999999</v>
      </c>
      <c r="E239" s="1">
        <v>1.63327</v>
      </c>
      <c r="F239" s="1"/>
    </row>
    <row r="240" spans="1:6" x14ac:dyDescent="0.25">
      <c r="A240">
        <v>86</v>
      </c>
      <c r="B240" s="1">
        <v>165.81899999999999</v>
      </c>
      <c r="C240" s="1">
        <v>17.857700000000001</v>
      </c>
      <c r="D240" s="1">
        <v>3.5188299999999999</v>
      </c>
      <c r="E240" s="1">
        <v>1.6208800000000001</v>
      </c>
      <c r="F240" s="1"/>
    </row>
    <row r="241" spans="1:6" x14ac:dyDescent="0.25">
      <c r="A241">
        <v>87</v>
      </c>
      <c r="B241" s="1">
        <v>170.136</v>
      </c>
      <c r="C241" s="1">
        <v>17.926600000000001</v>
      </c>
      <c r="D241" s="1">
        <v>3.4963299999999999</v>
      </c>
      <c r="E241" s="1">
        <v>1.6086100000000001</v>
      </c>
      <c r="F241" s="1"/>
    </row>
    <row r="242" spans="1:6" x14ac:dyDescent="0.25">
      <c r="A242">
        <v>88</v>
      </c>
      <c r="B242" s="1">
        <v>174.505</v>
      </c>
      <c r="C242" s="1">
        <v>17.994900000000001</v>
      </c>
      <c r="D242" s="1">
        <v>3.4738699999999998</v>
      </c>
      <c r="E242" s="1">
        <v>1.59646</v>
      </c>
      <c r="F242" s="1"/>
    </row>
    <row r="243" spans="1:6" x14ac:dyDescent="0.25">
      <c r="A243">
        <v>89</v>
      </c>
      <c r="B243" s="1">
        <v>178.92699999999999</v>
      </c>
      <c r="C243" s="1">
        <v>18.0625</v>
      </c>
      <c r="D243" s="1">
        <v>3.4514</v>
      </c>
      <c r="E243" s="1">
        <v>1.58447</v>
      </c>
      <c r="F243" s="1"/>
    </row>
    <row r="244" spans="1:6" x14ac:dyDescent="0.25">
      <c r="A244">
        <v>90</v>
      </c>
      <c r="B244" s="1">
        <v>183.4</v>
      </c>
      <c r="C244" s="1">
        <v>18.1296</v>
      </c>
      <c r="D244" s="1">
        <v>3.4288500000000002</v>
      </c>
      <c r="E244" s="1">
        <v>1.57264</v>
      </c>
      <c r="F244" s="1"/>
    </row>
    <row r="245" spans="1:6" x14ac:dyDescent="0.25">
      <c r="A245">
        <v>91</v>
      </c>
      <c r="B245" s="1">
        <v>187.92500000000001</v>
      </c>
      <c r="C245" s="1">
        <v>18.196100000000001</v>
      </c>
      <c r="D245" s="1">
        <v>3.4061900000000001</v>
      </c>
      <c r="E245" s="1">
        <v>1.5609599999999999</v>
      </c>
      <c r="F245" s="1"/>
    </row>
    <row r="246" spans="1:6" x14ac:dyDescent="0.25">
      <c r="A246">
        <v>92</v>
      </c>
      <c r="B246" s="1">
        <v>192.5</v>
      </c>
      <c r="C246" s="1">
        <v>18.261900000000001</v>
      </c>
      <c r="D246" s="1">
        <v>3.3833899999999999</v>
      </c>
      <c r="E246" s="1">
        <v>1.54942</v>
      </c>
      <c r="F246" s="1"/>
    </row>
    <row r="247" spans="1:6" x14ac:dyDescent="0.25">
      <c r="A247">
        <v>93</v>
      </c>
      <c r="B247" s="1">
        <v>197.125</v>
      </c>
      <c r="C247" s="1">
        <v>18.327200000000001</v>
      </c>
      <c r="D247" s="1">
        <v>3.3604400000000001</v>
      </c>
      <c r="E247" s="1">
        <v>1.5379799999999999</v>
      </c>
      <c r="F247" s="1"/>
    </row>
    <row r="248" spans="1:6" x14ac:dyDescent="0.25">
      <c r="A248">
        <v>94</v>
      </c>
      <c r="B248" s="1">
        <v>201.8</v>
      </c>
      <c r="C248" s="1">
        <v>18.3919</v>
      </c>
      <c r="D248" s="1">
        <v>3.3374000000000001</v>
      </c>
      <c r="E248" s="1">
        <v>1.5266500000000001</v>
      </c>
      <c r="F248" s="1"/>
    </row>
    <row r="249" spans="1:6" x14ac:dyDescent="0.25">
      <c r="A249">
        <v>95</v>
      </c>
      <c r="B249" s="1">
        <v>206.523</v>
      </c>
      <c r="C249" s="1">
        <v>18.456</v>
      </c>
      <c r="D249" s="1">
        <v>3.3143199999999999</v>
      </c>
      <c r="E249" s="1">
        <v>1.51542</v>
      </c>
      <c r="F249" s="1"/>
    </row>
    <row r="250" spans="1:6" x14ac:dyDescent="0.25">
      <c r="A250">
        <v>96</v>
      </c>
      <c r="B250" s="1">
        <v>211.29400000000001</v>
      </c>
      <c r="C250" s="1">
        <v>18.519500000000001</v>
      </c>
      <c r="D250" s="1">
        <v>3.2912699999999999</v>
      </c>
      <c r="E250" s="1">
        <v>1.50431</v>
      </c>
      <c r="F250" s="1"/>
    </row>
    <row r="251" spans="1:6" x14ac:dyDescent="0.25">
      <c r="A251">
        <v>97</v>
      </c>
      <c r="B251" s="1">
        <v>216.11099999999999</v>
      </c>
      <c r="C251" s="1">
        <v>18.5825</v>
      </c>
      <c r="D251" s="1">
        <v>3.2682699999999998</v>
      </c>
      <c r="E251" s="1">
        <v>1.49336</v>
      </c>
      <c r="F251" s="1"/>
    </row>
    <row r="252" spans="1:6" x14ac:dyDescent="0.25">
      <c r="A252">
        <v>98</v>
      </c>
      <c r="B252" s="1">
        <v>220.976</v>
      </c>
      <c r="C252" s="1">
        <v>18.6449</v>
      </c>
      <c r="D252" s="1">
        <v>3.2453099999999999</v>
      </c>
      <c r="E252" s="1">
        <v>1.4825699999999999</v>
      </c>
      <c r="F252" s="1"/>
    </row>
    <row r="253" spans="1:6" x14ac:dyDescent="0.25">
      <c r="A253">
        <v>99</v>
      </c>
      <c r="B253" s="1">
        <v>225.886</v>
      </c>
      <c r="C253" s="1">
        <v>18.706700000000001</v>
      </c>
      <c r="D253" s="1">
        <v>3.2223799999999998</v>
      </c>
      <c r="E253" s="1">
        <v>1.4719</v>
      </c>
      <c r="F253" s="1"/>
    </row>
    <row r="254" spans="1:6" x14ac:dyDescent="0.25">
      <c r="A254">
        <v>100</v>
      </c>
      <c r="B254" s="1">
        <v>230.84100000000001</v>
      </c>
      <c r="C254" s="1">
        <v>18.768000000000001</v>
      </c>
      <c r="D254" s="1">
        <v>3.1994099999999999</v>
      </c>
      <c r="E254" s="1">
        <v>1.4613400000000001</v>
      </c>
      <c r="F254" s="1"/>
    </row>
    <row r="255" spans="1:6" x14ac:dyDescent="0.25">
      <c r="A255">
        <v>101</v>
      </c>
      <c r="B255" s="1">
        <v>235.84</v>
      </c>
      <c r="C255" s="1">
        <v>18.828800000000001</v>
      </c>
      <c r="D255" s="1">
        <v>3.1763599999999999</v>
      </c>
      <c r="E255" s="1">
        <v>1.45089</v>
      </c>
      <c r="F255" s="1"/>
    </row>
    <row r="256" spans="1:6" x14ac:dyDescent="0.25">
      <c r="A256">
        <v>102</v>
      </c>
      <c r="B256" s="1">
        <v>240.88300000000001</v>
      </c>
      <c r="C256" s="1">
        <v>18.889099999999999</v>
      </c>
      <c r="D256" s="1">
        <v>3.1532100000000001</v>
      </c>
      <c r="E256" s="1">
        <v>1.44052</v>
      </c>
      <c r="F256" s="1"/>
    </row>
    <row r="257" spans="1:6" x14ac:dyDescent="0.25">
      <c r="A257">
        <v>103</v>
      </c>
      <c r="B257" s="1">
        <v>245.96799999999999</v>
      </c>
      <c r="C257" s="1">
        <v>18.948899999999998</v>
      </c>
      <c r="D257" s="1">
        <v>3.1299800000000002</v>
      </c>
      <c r="E257" s="1">
        <v>1.4301600000000001</v>
      </c>
      <c r="F257" s="1"/>
    </row>
    <row r="258" spans="1:6" x14ac:dyDescent="0.25">
      <c r="A258">
        <v>104</v>
      </c>
      <c r="B258" s="1">
        <v>251.095</v>
      </c>
      <c r="C258" s="1">
        <v>19.008099999999999</v>
      </c>
      <c r="D258" s="1">
        <v>3.1066799999999999</v>
      </c>
      <c r="E258" s="1">
        <v>1.41978</v>
      </c>
      <c r="F258" s="1"/>
    </row>
    <row r="259" spans="1:6" x14ac:dyDescent="0.25">
      <c r="A259">
        <v>105</v>
      </c>
      <c r="B259" s="1">
        <v>256.26400000000001</v>
      </c>
      <c r="C259" s="1">
        <v>19.0669</v>
      </c>
      <c r="D259" s="1">
        <v>3.08331</v>
      </c>
      <c r="E259" s="1">
        <v>1.4093800000000001</v>
      </c>
      <c r="F259" s="1"/>
    </row>
    <row r="260" spans="1:6" x14ac:dyDescent="0.25">
      <c r="A260">
        <v>106</v>
      </c>
      <c r="B260" s="1">
        <v>261.47300000000001</v>
      </c>
      <c r="C260" s="1">
        <v>19.1252</v>
      </c>
      <c r="D260" s="1">
        <v>3.05992</v>
      </c>
      <c r="E260" s="1">
        <v>1.39896</v>
      </c>
      <c r="F260" s="1"/>
    </row>
    <row r="261" spans="1:6" x14ac:dyDescent="0.25">
      <c r="A261">
        <v>107</v>
      </c>
      <c r="B261" s="1">
        <v>266.72199999999998</v>
      </c>
      <c r="C261" s="1">
        <v>19.183</v>
      </c>
      <c r="D261" s="1">
        <v>3.0365000000000002</v>
      </c>
      <c r="E261" s="1">
        <v>1.38853</v>
      </c>
      <c r="F261" s="1"/>
    </row>
    <row r="262" spans="1:6" x14ac:dyDescent="0.25">
      <c r="A262">
        <v>108</v>
      </c>
      <c r="B262" s="1">
        <v>272.01</v>
      </c>
      <c r="C262" s="1">
        <v>19.240400000000001</v>
      </c>
      <c r="D262" s="1">
        <v>3.0130699999999999</v>
      </c>
      <c r="E262" s="1">
        <v>1.3780699999999999</v>
      </c>
      <c r="F262" s="1"/>
    </row>
    <row r="263" spans="1:6" x14ac:dyDescent="0.25">
      <c r="A263">
        <v>109</v>
      </c>
      <c r="B263" s="1">
        <v>277.33699999999999</v>
      </c>
      <c r="C263" s="1">
        <v>19.2972</v>
      </c>
      <c r="D263" s="1">
        <v>2.9895900000000002</v>
      </c>
      <c r="E263" s="1">
        <v>1.3675600000000001</v>
      </c>
      <c r="F263" s="1"/>
    </row>
    <row r="264" spans="1:6" x14ac:dyDescent="0.25">
      <c r="A264">
        <v>110</v>
      </c>
      <c r="B264" s="1">
        <v>282.7</v>
      </c>
      <c r="C264" s="1">
        <v>19.3536</v>
      </c>
      <c r="D264" s="1">
        <v>2.96604</v>
      </c>
      <c r="E264" s="1">
        <v>1.3569800000000001</v>
      </c>
      <c r="F264" s="1"/>
    </row>
    <row r="265" spans="1:6" x14ac:dyDescent="0.25">
      <c r="A265">
        <v>111</v>
      </c>
      <c r="B265" s="1">
        <v>288.101</v>
      </c>
      <c r="C265" s="1">
        <v>19.409500000000001</v>
      </c>
      <c r="D265" s="1">
        <v>2.9423499999999998</v>
      </c>
      <c r="E265" s="1">
        <v>1.34639</v>
      </c>
      <c r="F265" s="1"/>
    </row>
    <row r="266" spans="1:6" x14ac:dyDescent="0.25">
      <c r="A266">
        <v>112</v>
      </c>
      <c r="B266" s="1">
        <v>293.53800000000001</v>
      </c>
      <c r="C266" s="1">
        <v>19.4649</v>
      </c>
      <c r="D266" s="1">
        <v>2.91852</v>
      </c>
      <c r="E266" s="1">
        <v>1.33582</v>
      </c>
      <c r="F266" s="1"/>
    </row>
    <row r="267" spans="1:6" x14ac:dyDescent="0.25">
      <c r="A267">
        <v>113</v>
      </c>
      <c r="B267" s="1">
        <v>299.01</v>
      </c>
      <c r="C267" s="1">
        <v>19.5199</v>
      </c>
      <c r="D267" s="1">
        <v>2.8946000000000001</v>
      </c>
      <c r="E267" s="1">
        <v>1.32525</v>
      </c>
      <c r="F267" s="1"/>
    </row>
    <row r="268" spans="1:6" x14ac:dyDescent="0.25">
      <c r="A268">
        <v>114</v>
      </c>
      <c r="B268" s="1">
        <v>304.51600000000002</v>
      </c>
      <c r="C268" s="1">
        <v>19.5745</v>
      </c>
      <c r="D268" s="1">
        <v>2.8706</v>
      </c>
      <c r="E268" s="1">
        <v>1.3146500000000001</v>
      </c>
      <c r="F268" s="1"/>
    </row>
    <row r="269" spans="1:6" x14ac:dyDescent="0.25">
      <c r="A269">
        <v>115</v>
      </c>
      <c r="B269" s="1">
        <v>310.05599999999998</v>
      </c>
      <c r="C269" s="1">
        <v>19.628599999999999</v>
      </c>
      <c r="D269" s="1">
        <v>2.8465500000000001</v>
      </c>
      <c r="E269" s="1">
        <v>1.304</v>
      </c>
      <c r="F269" s="1"/>
    </row>
    <row r="270" spans="1:6" x14ac:dyDescent="0.25">
      <c r="A270">
        <v>116</v>
      </c>
      <c r="B270" s="1">
        <v>315.63</v>
      </c>
      <c r="C270" s="1">
        <v>19.682300000000001</v>
      </c>
      <c r="D270" s="1">
        <v>2.8224499999999999</v>
      </c>
      <c r="E270" s="1">
        <v>1.2932699999999999</v>
      </c>
      <c r="F270" s="1"/>
    </row>
    <row r="271" spans="1:6" x14ac:dyDescent="0.25">
      <c r="A271">
        <v>117</v>
      </c>
      <c r="B271" s="1">
        <v>321.23500000000001</v>
      </c>
      <c r="C271" s="1">
        <v>19.735600000000002</v>
      </c>
      <c r="D271" s="1">
        <v>2.7982999999999998</v>
      </c>
      <c r="E271" s="1">
        <v>1.2824599999999999</v>
      </c>
      <c r="F271" s="1"/>
    </row>
    <row r="272" spans="1:6" x14ac:dyDescent="0.25">
      <c r="A272">
        <v>118</v>
      </c>
      <c r="B272" s="1">
        <v>326.87299999999999</v>
      </c>
      <c r="C272" s="1">
        <v>19.788399999999999</v>
      </c>
      <c r="D272" s="1">
        <v>2.7740900000000002</v>
      </c>
      <c r="E272" s="1">
        <v>1.2715700000000001</v>
      </c>
      <c r="F272" s="1"/>
    </row>
    <row r="273" spans="1:6" x14ac:dyDescent="0.25">
      <c r="A273">
        <v>119</v>
      </c>
      <c r="B273" s="1">
        <v>332.541</v>
      </c>
      <c r="C273" s="1">
        <v>19.840699999999998</v>
      </c>
      <c r="D273" s="1">
        <v>2.7498300000000002</v>
      </c>
      <c r="E273" s="1">
        <v>1.26064</v>
      </c>
      <c r="F273" s="1"/>
    </row>
    <row r="274" spans="1:6" x14ac:dyDescent="0.25">
      <c r="A274">
        <v>120</v>
      </c>
      <c r="B274" s="1">
        <v>338.23899999999998</v>
      </c>
      <c r="C274" s="1">
        <v>19.892600000000002</v>
      </c>
      <c r="D274" s="1">
        <v>2.7255199999999999</v>
      </c>
      <c r="E274" s="1">
        <v>1.2496799999999999</v>
      </c>
      <c r="F274" s="1"/>
    </row>
    <row r="275" spans="1:6" x14ac:dyDescent="0.25">
      <c r="A275">
        <v>121</v>
      </c>
      <c r="B275" s="1">
        <v>343.96699999999998</v>
      </c>
      <c r="C275" s="1">
        <v>19.943999999999999</v>
      </c>
      <c r="D275" s="1">
        <v>2.70112</v>
      </c>
      <c r="E275" s="1">
        <v>1.23874</v>
      </c>
      <c r="F275" s="1"/>
    </row>
    <row r="276" spans="1:6" x14ac:dyDescent="0.25">
      <c r="A276">
        <v>122</v>
      </c>
      <c r="B276" s="1">
        <v>349.72399999999999</v>
      </c>
      <c r="C276" s="1">
        <v>19.995000000000001</v>
      </c>
      <c r="D276" s="1">
        <v>2.6766299999999998</v>
      </c>
      <c r="E276" s="1">
        <v>1.22786</v>
      </c>
      <c r="F276" s="1"/>
    </row>
    <row r="277" spans="1:6" x14ac:dyDescent="0.25">
      <c r="A277">
        <v>123</v>
      </c>
      <c r="B277" s="1">
        <v>355.50799999999998</v>
      </c>
      <c r="C277" s="1">
        <v>20.0456</v>
      </c>
      <c r="D277" s="1">
        <v>2.65205</v>
      </c>
      <c r="E277" s="1">
        <v>1.21705</v>
      </c>
      <c r="F277" s="1"/>
    </row>
    <row r="278" spans="1:6" x14ac:dyDescent="0.25">
      <c r="A278">
        <v>124</v>
      </c>
      <c r="B278" s="1">
        <v>361.32</v>
      </c>
      <c r="C278" s="1">
        <v>20.095700000000001</v>
      </c>
      <c r="D278" s="1">
        <v>2.6274199999999999</v>
      </c>
      <c r="E278" s="1">
        <v>1.20631</v>
      </c>
      <c r="F278" s="1"/>
    </row>
    <row r="279" spans="1:6" x14ac:dyDescent="0.25">
      <c r="A279">
        <v>125</v>
      </c>
      <c r="B279" s="1">
        <v>367.15899999999999</v>
      </c>
      <c r="C279" s="1">
        <v>20.145399999999999</v>
      </c>
      <c r="D279" s="1">
        <v>2.60276</v>
      </c>
      <c r="E279" s="1">
        <v>1.19563</v>
      </c>
      <c r="F279" s="1"/>
    </row>
    <row r="280" spans="1:6" x14ac:dyDescent="0.25">
      <c r="A280">
        <v>126</v>
      </c>
      <c r="B280" s="1">
        <v>373.024</v>
      </c>
      <c r="C280" s="1">
        <v>20.194800000000001</v>
      </c>
      <c r="D280" s="1">
        <v>2.5781000000000001</v>
      </c>
      <c r="E280" s="1">
        <v>1.1850000000000001</v>
      </c>
      <c r="F280" s="1"/>
    </row>
    <row r="281" spans="1:6" x14ac:dyDescent="0.25">
      <c r="A281">
        <v>127</v>
      </c>
      <c r="B281" s="1">
        <v>378.91500000000002</v>
      </c>
      <c r="C281" s="1">
        <v>20.2437</v>
      </c>
      <c r="D281" s="1">
        <v>2.5534500000000002</v>
      </c>
      <c r="E281" s="1">
        <v>1.17442</v>
      </c>
      <c r="F281" s="1"/>
    </row>
    <row r="282" spans="1:6" x14ac:dyDescent="0.25">
      <c r="A282">
        <v>128</v>
      </c>
      <c r="B282" s="1">
        <v>384.83</v>
      </c>
      <c r="C282" s="1">
        <v>20.292300000000001</v>
      </c>
      <c r="D282" s="1">
        <v>2.5287999999999999</v>
      </c>
      <c r="E282" s="1">
        <v>1.16384</v>
      </c>
      <c r="F282" s="1"/>
    </row>
    <row r="283" spans="1:6" x14ac:dyDescent="0.25">
      <c r="A283">
        <v>129</v>
      </c>
      <c r="B283" s="1">
        <v>390.76900000000001</v>
      </c>
      <c r="C283" s="1">
        <v>20.340499999999999</v>
      </c>
      <c r="D283" s="1">
        <v>2.50414</v>
      </c>
      <c r="E283" s="1">
        <v>1.1531899999999999</v>
      </c>
      <c r="F283" s="1"/>
    </row>
    <row r="284" spans="1:6" x14ac:dyDescent="0.25">
      <c r="A284">
        <v>130</v>
      </c>
      <c r="B284" s="1">
        <v>396.73099999999999</v>
      </c>
      <c r="C284" s="1">
        <v>20.388300000000001</v>
      </c>
      <c r="D284" s="1">
        <v>2.4794700000000001</v>
      </c>
      <c r="E284" s="1">
        <v>1.14249</v>
      </c>
      <c r="F284" s="1"/>
    </row>
    <row r="285" spans="1:6" x14ac:dyDescent="0.25">
      <c r="A285">
        <v>131</v>
      </c>
      <c r="B285" s="1">
        <v>402.71699999999998</v>
      </c>
      <c r="C285" s="1">
        <v>20.4358</v>
      </c>
      <c r="D285" s="1">
        <v>2.4548299999999998</v>
      </c>
      <c r="E285" s="1">
        <v>1.1317900000000001</v>
      </c>
      <c r="F285" s="1"/>
    </row>
    <row r="286" spans="1:6" x14ac:dyDescent="0.25">
      <c r="A286">
        <v>132</v>
      </c>
      <c r="B286" s="1">
        <v>408.72500000000002</v>
      </c>
      <c r="C286" s="1">
        <v>20.482900000000001</v>
      </c>
      <c r="D286" s="1">
        <v>2.4302600000000001</v>
      </c>
      <c r="E286" s="1">
        <v>1.12113</v>
      </c>
      <c r="F286" s="1"/>
    </row>
    <row r="287" spans="1:6" x14ac:dyDescent="0.25">
      <c r="A287">
        <v>133</v>
      </c>
      <c r="B287" s="1">
        <v>414.75400000000002</v>
      </c>
      <c r="C287" s="1">
        <v>20.529499999999999</v>
      </c>
      <c r="D287" s="1">
        <v>2.4057599999999999</v>
      </c>
      <c r="E287" s="1">
        <v>1.11052</v>
      </c>
      <c r="F287" s="1"/>
    </row>
    <row r="288" spans="1:6" x14ac:dyDescent="0.25">
      <c r="A288">
        <v>134</v>
      </c>
      <c r="B288" s="1">
        <v>420.80399999999997</v>
      </c>
      <c r="C288" s="1">
        <v>20.575800000000001</v>
      </c>
      <c r="D288" s="1">
        <v>2.3812899999999999</v>
      </c>
      <c r="E288" s="1">
        <v>1.0999000000000001</v>
      </c>
      <c r="F288" s="1"/>
    </row>
    <row r="289" spans="1:6" x14ac:dyDescent="0.25">
      <c r="A289">
        <v>135</v>
      </c>
      <c r="B289" s="1">
        <v>426.875</v>
      </c>
      <c r="C289" s="1">
        <v>20.621700000000001</v>
      </c>
      <c r="D289" s="1">
        <v>2.3568500000000001</v>
      </c>
      <c r="E289" s="1">
        <v>1.0892599999999999</v>
      </c>
      <c r="F289" s="1"/>
    </row>
    <row r="290" spans="1:6" x14ac:dyDescent="0.25">
      <c r="A290">
        <v>136</v>
      </c>
      <c r="B290" s="1">
        <v>432.96600000000001</v>
      </c>
      <c r="C290" s="1">
        <v>20.667100000000001</v>
      </c>
      <c r="D290" s="1">
        <v>2.3325300000000002</v>
      </c>
      <c r="E290" s="1">
        <v>1.0786</v>
      </c>
      <c r="F290" s="1"/>
    </row>
    <row r="291" spans="1:6" x14ac:dyDescent="0.25">
      <c r="A291">
        <v>137</v>
      </c>
      <c r="B291" s="1">
        <v>439.07600000000002</v>
      </c>
      <c r="C291" s="1">
        <v>20.7121</v>
      </c>
      <c r="D291" s="1">
        <v>2.3083499999999999</v>
      </c>
      <c r="E291" s="1">
        <v>1.06795</v>
      </c>
      <c r="F291" s="1"/>
    </row>
    <row r="292" spans="1:6" x14ac:dyDescent="0.25">
      <c r="A292">
        <v>138</v>
      </c>
      <c r="B292" s="1">
        <v>445.20499999999998</v>
      </c>
      <c r="C292" s="1">
        <v>20.756799999999998</v>
      </c>
      <c r="D292" s="1">
        <v>2.2842899999999999</v>
      </c>
      <c r="E292" s="1">
        <v>1.05731</v>
      </c>
      <c r="F292" s="1"/>
    </row>
    <row r="293" spans="1:6" x14ac:dyDescent="0.25">
      <c r="A293">
        <v>139</v>
      </c>
      <c r="B293" s="1">
        <v>451.35199999999998</v>
      </c>
      <c r="C293" s="1">
        <v>20.800999999999998</v>
      </c>
      <c r="D293" s="1">
        <v>2.2603</v>
      </c>
      <c r="E293" s="1">
        <v>1.0466899999999999</v>
      </c>
      <c r="F293" s="1"/>
    </row>
    <row r="294" spans="1:6" x14ac:dyDescent="0.25">
      <c r="A294">
        <v>140</v>
      </c>
      <c r="B294" s="1">
        <v>457.517</v>
      </c>
      <c r="C294" s="1">
        <v>20.844899999999999</v>
      </c>
      <c r="D294" s="1">
        <v>2.2363400000000002</v>
      </c>
      <c r="E294" s="1">
        <v>1.03609</v>
      </c>
      <c r="F294" s="1"/>
    </row>
    <row r="295" spans="1:6" x14ac:dyDescent="0.25">
      <c r="A295">
        <v>141</v>
      </c>
      <c r="B295" s="1">
        <v>463.69900000000001</v>
      </c>
      <c r="C295" s="1">
        <v>20.888400000000001</v>
      </c>
      <c r="D295" s="1">
        <v>2.2124000000000001</v>
      </c>
      <c r="E295" s="1">
        <v>1.02556</v>
      </c>
      <c r="F295" s="1"/>
    </row>
    <row r="296" spans="1:6" x14ac:dyDescent="0.25">
      <c r="A296">
        <v>142</v>
      </c>
      <c r="B296" s="1">
        <v>469.89800000000002</v>
      </c>
      <c r="C296" s="1">
        <v>20.9316</v>
      </c>
      <c r="D296" s="1">
        <v>2.18851</v>
      </c>
      <c r="E296" s="1">
        <v>1.01509</v>
      </c>
      <c r="F296" s="1"/>
    </row>
    <row r="297" spans="1:6" x14ac:dyDescent="0.25">
      <c r="A297">
        <v>143</v>
      </c>
      <c r="B297" s="1">
        <v>476.113</v>
      </c>
      <c r="C297" s="1">
        <v>20.974399999999999</v>
      </c>
      <c r="D297" s="1">
        <v>2.1647099999999999</v>
      </c>
      <c r="E297" s="1">
        <v>1.0046600000000001</v>
      </c>
      <c r="F297" s="1"/>
    </row>
    <row r="298" spans="1:6" x14ac:dyDescent="0.25">
      <c r="A298">
        <v>144</v>
      </c>
      <c r="B298" s="1">
        <v>482.34399999999999</v>
      </c>
      <c r="C298" s="1">
        <v>21.0168</v>
      </c>
      <c r="D298" s="1">
        <v>2.1410300000000002</v>
      </c>
      <c r="E298" s="1">
        <v>0.99425399999999997</v>
      </c>
      <c r="F298" s="1"/>
    </row>
    <row r="299" spans="1:6" x14ac:dyDescent="0.25">
      <c r="A299">
        <v>145</v>
      </c>
      <c r="B299" s="1">
        <v>488.59</v>
      </c>
      <c r="C299" s="1">
        <v>21.058800000000002</v>
      </c>
      <c r="D299" s="1">
        <v>2.1174400000000002</v>
      </c>
      <c r="E299" s="1">
        <v>0.98384700000000003</v>
      </c>
      <c r="F299" s="1"/>
    </row>
    <row r="300" spans="1:6" x14ac:dyDescent="0.25">
      <c r="A300">
        <v>146</v>
      </c>
      <c r="B300" s="1">
        <v>494.85199999999998</v>
      </c>
      <c r="C300" s="1">
        <v>21.1005</v>
      </c>
      <c r="D300" s="1">
        <v>2.09395</v>
      </c>
      <c r="E300" s="1">
        <v>0.97342200000000001</v>
      </c>
      <c r="F300" s="1"/>
    </row>
    <row r="301" spans="1:6" x14ac:dyDescent="0.25">
      <c r="A301">
        <v>147</v>
      </c>
      <c r="B301" s="1">
        <v>501.12700000000001</v>
      </c>
      <c r="C301" s="1">
        <v>21.1418</v>
      </c>
      <c r="D301" s="1">
        <v>2.0705399999999998</v>
      </c>
      <c r="E301" s="1">
        <v>0.96294800000000003</v>
      </c>
      <c r="F301" s="1"/>
    </row>
    <row r="302" spans="1:6" x14ac:dyDescent="0.25">
      <c r="A302">
        <v>148</v>
      </c>
      <c r="B302" s="1">
        <v>507.41699999999997</v>
      </c>
      <c r="C302" s="1">
        <v>21.1828</v>
      </c>
      <c r="D302" s="1">
        <v>2.0471599999999999</v>
      </c>
      <c r="E302" s="1">
        <v>0.95240800000000003</v>
      </c>
      <c r="F302" s="1"/>
    </row>
    <row r="303" spans="1:6" x14ac:dyDescent="0.25">
      <c r="A303">
        <v>149</v>
      </c>
      <c r="B303" s="1">
        <v>513.72</v>
      </c>
      <c r="C303" s="1">
        <v>21.223400000000002</v>
      </c>
      <c r="D303" s="1">
        <v>2.0237699999999998</v>
      </c>
      <c r="E303" s="1">
        <v>0.94181300000000001</v>
      </c>
      <c r="F303" s="1"/>
    </row>
    <row r="304" spans="1:6" x14ac:dyDescent="0.25">
      <c r="A304">
        <v>150</v>
      </c>
      <c r="B304" s="1">
        <v>520.03700000000003</v>
      </c>
      <c r="C304" s="1">
        <v>21.2637</v>
      </c>
      <c r="D304" s="1">
        <v>2.0003600000000001</v>
      </c>
      <c r="E304" s="1">
        <v>0.93122700000000003</v>
      </c>
      <c r="F304" s="1"/>
    </row>
    <row r="305" spans="1:6" x14ac:dyDescent="0.25">
      <c r="A305">
        <v>151</v>
      </c>
      <c r="B305" s="1">
        <v>526.36599999999999</v>
      </c>
      <c r="C305" s="1">
        <v>21.303699999999999</v>
      </c>
      <c r="D305" s="1">
        <v>1.9770000000000001</v>
      </c>
      <c r="E305" s="1">
        <v>0.92070700000000005</v>
      </c>
      <c r="F305" s="1"/>
    </row>
    <row r="306" spans="1:6" x14ac:dyDescent="0.25">
      <c r="A306">
        <v>152</v>
      </c>
      <c r="B306" s="1">
        <v>532.70799999999997</v>
      </c>
      <c r="C306" s="1">
        <v>21.343399999999999</v>
      </c>
      <c r="D306" s="1">
        <v>1.9537500000000001</v>
      </c>
      <c r="E306" s="1">
        <v>0.91027800000000003</v>
      </c>
      <c r="F306" s="1"/>
    </row>
    <row r="307" spans="1:6" x14ac:dyDescent="0.25">
      <c r="A307">
        <v>153</v>
      </c>
      <c r="B307" s="1">
        <v>539.06200000000001</v>
      </c>
      <c r="C307" s="1">
        <v>21.3827</v>
      </c>
      <c r="D307" s="1">
        <v>1.93065</v>
      </c>
      <c r="E307" s="1">
        <v>0.89990700000000001</v>
      </c>
      <c r="F307" s="1"/>
    </row>
    <row r="308" spans="1:6" x14ac:dyDescent="0.25">
      <c r="A308">
        <v>154</v>
      </c>
      <c r="B308" s="1">
        <v>545.42700000000002</v>
      </c>
      <c r="C308" s="1">
        <v>21.421600000000002</v>
      </c>
      <c r="D308" s="1">
        <v>1.90771</v>
      </c>
      <c r="E308" s="1">
        <v>0.88953800000000005</v>
      </c>
      <c r="F308" s="1"/>
    </row>
    <row r="309" spans="1:6" x14ac:dyDescent="0.25">
      <c r="A309">
        <v>155</v>
      </c>
      <c r="B309" s="1">
        <v>551.80499999999995</v>
      </c>
      <c r="C309" s="1">
        <v>21.4602</v>
      </c>
      <c r="D309" s="1">
        <v>1.8849400000000001</v>
      </c>
      <c r="E309" s="1">
        <v>0.87914999999999999</v>
      </c>
      <c r="F309" s="1"/>
    </row>
    <row r="310" spans="1:6" x14ac:dyDescent="0.25">
      <c r="A310">
        <v>156</v>
      </c>
      <c r="B310" s="1">
        <v>558.19299999999998</v>
      </c>
      <c r="C310" s="1">
        <v>21.4984</v>
      </c>
      <c r="D310" s="1">
        <v>1.86236</v>
      </c>
      <c r="E310" s="1">
        <v>0.86876799999999998</v>
      </c>
      <c r="F310" s="1"/>
    </row>
    <row r="311" spans="1:6" x14ac:dyDescent="0.25">
      <c r="A311">
        <v>157</v>
      </c>
      <c r="B311" s="1">
        <v>564.59199999999998</v>
      </c>
      <c r="C311" s="1">
        <v>21.536200000000001</v>
      </c>
      <c r="D311" s="1">
        <v>1.8399700000000001</v>
      </c>
      <c r="E311" s="1">
        <v>0.85841699999999999</v>
      </c>
      <c r="F311" s="1"/>
    </row>
    <row r="312" spans="1:6" x14ac:dyDescent="0.25">
      <c r="A312">
        <v>158</v>
      </c>
      <c r="B312" s="1">
        <v>571.00199999999995</v>
      </c>
      <c r="C312" s="1">
        <v>21.573599999999999</v>
      </c>
      <c r="D312" s="1">
        <v>1.81776</v>
      </c>
      <c r="E312" s="1">
        <v>0.84811000000000003</v>
      </c>
      <c r="F312" s="1"/>
    </row>
    <row r="313" spans="1:6" x14ac:dyDescent="0.25">
      <c r="A313">
        <v>159</v>
      </c>
      <c r="B313" s="1">
        <v>577.42200000000003</v>
      </c>
      <c r="C313" s="1">
        <v>21.610700000000001</v>
      </c>
      <c r="D313" s="1">
        <v>1.79573</v>
      </c>
      <c r="E313" s="1">
        <v>0.83785100000000001</v>
      </c>
      <c r="F313" s="1"/>
    </row>
    <row r="314" spans="1:6" x14ac:dyDescent="0.25">
      <c r="A314">
        <v>160</v>
      </c>
      <c r="B314" s="1">
        <v>583.85299999999995</v>
      </c>
      <c r="C314" s="1">
        <v>21.647400000000001</v>
      </c>
      <c r="D314" s="1">
        <v>1.77386</v>
      </c>
      <c r="E314" s="1">
        <v>0.82763299999999995</v>
      </c>
      <c r="F314" s="1"/>
    </row>
    <row r="315" spans="1:6" x14ac:dyDescent="0.25">
      <c r="A315">
        <v>161</v>
      </c>
      <c r="B315" s="1">
        <v>590.29300000000001</v>
      </c>
      <c r="C315" s="1">
        <v>21.683800000000002</v>
      </c>
      <c r="D315" s="1">
        <v>1.7521500000000001</v>
      </c>
      <c r="E315" s="1">
        <v>0.81743699999999997</v>
      </c>
      <c r="F315" s="1"/>
    </row>
    <row r="316" spans="1:6" x14ac:dyDescent="0.25">
      <c r="A316">
        <v>162</v>
      </c>
      <c r="B316" s="1">
        <v>596.74199999999996</v>
      </c>
      <c r="C316" s="1">
        <v>21.719799999999999</v>
      </c>
      <c r="D316" s="1">
        <v>1.7305699999999999</v>
      </c>
      <c r="E316" s="1">
        <v>0.80726399999999998</v>
      </c>
      <c r="F316" s="1"/>
    </row>
    <row r="317" spans="1:6" x14ac:dyDescent="0.25">
      <c r="A317">
        <v>163</v>
      </c>
      <c r="B317" s="1">
        <v>603.20100000000002</v>
      </c>
      <c r="C317" s="1">
        <v>21.755600000000001</v>
      </c>
      <c r="D317" s="1">
        <v>1.7090700000000001</v>
      </c>
      <c r="E317" s="1">
        <v>0.79715400000000003</v>
      </c>
      <c r="F317" s="1"/>
    </row>
    <row r="318" spans="1:6" x14ac:dyDescent="0.25">
      <c r="A318">
        <v>164</v>
      </c>
      <c r="B318" s="1">
        <v>609.66999999999996</v>
      </c>
      <c r="C318" s="1">
        <v>21.790900000000001</v>
      </c>
      <c r="D318" s="1">
        <v>1.6876500000000001</v>
      </c>
      <c r="E318" s="1">
        <v>0.78717099999999995</v>
      </c>
      <c r="F318" s="1"/>
    </row>
    <row r="319" spans="1:6" x14ac:dyDescent="0.25">
      <c r="A319">
        <v>165</v>
      </c>
      <c r="B319" s="1">
        <v>616.14700000000005</v>
      </c>
      <c r="C319" s="1">
        <v>21.826000000000001</v>
      </c>
      <c r="D319" s="1">
        <v>1.6662999999999999</v>
      </c>
      <c r="E319" s="1">
        <v>0.77734999999999999</v>
      </c>
      <c r="F319" s="1"/>
    </row>
    <row r="320" spans="1:6" x14ac:dyDescent="0.25">
      <c r="A320">
        <v>166</v>
      </c>
      <c r="B320" s="1">
        <v>622.63300000000004</v>
      </c>
      <c r="C320" s="1">
        <v>21.860800000000001</v>
      </c>
      <c r="D320" s="1">
        <v>1.64506</v>
      </c>
      <c r="E320" s="1">
        <v>0.76769100000000001</v>
      </c>
      <c r="F320" s="1"/>
    </row>
    <row r="321" spans="1:6" x14ac:dyDescent="0.25">
      <c r="A321">
        <v>167</v>
      </c>
      <c r="B321" s="1">
        <v>629.12800000000004</v>
      </c>
      <c r="C321" s="1">
        <v>21.895199999999999</v>
      </c>
      <c r="D321" s="1">
        <v>1.6239300000000001</v>
      </c>
      <c r="E321" s="1">
        <v>0.75817100000000004</v>
      </c>
      <c r="F321" s="1"/>
    </row>
    <row r="322" spans="1:6" x14ac:dyDescent="0.25">
      <c r="A322">
        <v>168</v>
      </c>
      <c r="B322" s="1">
        <v>635.63099999999997</v>
      </c>
      <c r="C322" s="1">
        <v>21.929300000000001</v>
      </c>
      <c r="D322" s="1">
        <v>1.60293</v>
      </c>
      <c r="E322" s="1">
        <v>0.74873900000000004</v>
      </c>
      <c r="F322" s="1"/>
    </row>
    <row r="323" spans="1:6" x14ac:dyDescent="0.25">
      <c r="A323">
        <v>169</v>
      </c>
      <c r="B323" s="1">
        <v>642.14300000000003</v>
      </c>
      <c r="C323" s="1">
        <v>21.963000000000001</v>
      </c>
      <c r="D323" s="1">
        <v>1.5820000000000001</v>
      </c>
      <c r="E323" s="1">
        <v>0.73933300000000002</v>
      </c>
      <c r="F323" s="1"/>
    </row>
    <row r="324" spans="1:6" x14ac:dyDescent="0.25">
      <c r="A324">
        <v>170</v>
      </c>
      <c r="B324" s="1">
        <v>648.66300000000001</v>
      </c>
      <c r="C324" s="1">
        <v>21.996400000000001</v>
      </c>
      <c r="D324" s="1">
        <v>1.56114</v>
      </c>
      <c r="E324" s="1">
        <v>0.72992100000000004</v>
      </c>
      <c r="F324" s="1"/>
    </row>
    <row r="325" spans="1:6" x14ac:dyDescent="0.25">
      <c r="A325">
        <v>171</v>
      </c>
      <c r="B325" s="1">
        <v>655.19100000000003</v>
      </c>
      <c r="C325" s="1">
        <v>22.029399999999999</v>
      </c>
      <c r="D325" s="1">
        <v>1.5403500000000001</v>
      </c>
      <c r="E325" s="1">
        <v>0.72050199999999998</v>
      </c>
      <c r="F325" s="1"/>
    </row>
    <row r="326" spans="1:6" x14ac:dyDescent="0.25">
      <c r="A326">
        <v>172</v>
      </c>
      <c r="B326" s="1">
        <v>661.72699999999998</v>
      </c>
      <c r="C326" s="1">
        <v>22.062100000000001</v>
      </c>
      <c r="D326" s="1">
        <v>1.51966</v>
      </c>
      <c r="E326" s="1">
        <v>0.71108300000000002</v>
      </c>
      <c r="F326" s="1"/>
    </row>
    <row r="327" spans="1:6" x14ac:dyDescent="0.25">
      <c r="A327">
        <v>173</v>
      </c>
      <c r="B327" s="1">
        <v>668.27200000000005</v>
      </c>
      <c r="C327" s="1">
        <v>22.0944</v>
      </c>
      <c r="D327" s="1">
        <v>1.4990699999999999</v>
      </c>
      <c r="E327" s="1">
        <v>0.70168900000000001</v>
      </c>
      <c r="F327" s="1"/>
    </row>
    <row r="328" spans="1:6" x14ac:dyDescent="0.25">
      <c r="A328">
        <v>174</v>
      </c>
      <c r="B328" s="1">
        <v>674.82399999999996</v>
      </c>
      <c r="C328" s="1">
        <v>22.126300000000001</v>
      </c>
      <c r="D328" s="1">
        <v>1.47855</v>
      </c>
      <c r="E328" s="1">
        <v>0.69236200000000003</v>
      </c>
      <c r="F328" s="1"/>
    </row>
    <row r="329" spans="1:6" x14ac:dyDescent="0.25">
      <c r="A329">
        <v>175</v>
      </c>
      <c r="B329" s="1">
        <v>681.38499999999999</v>
      </c>
      <c r="C329" s="1">
        <v>22.157800000000002</v>
      </c>
      <c r="D329" s="1">
        <v>1.4580900000000001</v>
      </c>
      <c r="E329" s="1">
        <v>0.68314200000000003</v>
      </c>
      <c r="F329" s="1"/>
    </row>
    <row r="330" spans="1:6" x14ac:dyDescent="0.25">
      <c r="A330">
        <v>176</v>
      </c>
      <c r="B330" s="1">
        <v>687.95299999999997</v>
      </c>
      <c r="C330" s="1">
        <v>22.189</v>
      </c>
      <c r="D330" s="1">
        <v>1.4376800000000001</v>
      </c>
      <c r="E330" s="1">
        <v>0.67406100000000002</v>
      </c>
      <c r="F330" s="1"/>
    </row>
    <row r="331" spans="1:6" x14ac:dyDescent="0.25">
      <c r="A331">
        <v>177</v>
      </c>
      <c r="B331" s="1">
        <v>694.529</v>
      </c>
      <c r="C331" s="1">
        <v>22.2197</v>
      </c>
      <c r="D331" s="1">
        <v>1.41734</v>
      </c>
      <c r="E331" s="1">
        <v>0.66513800000000001</v>
      </c>
      <c r="F331" s="1"/>
    </row>
    <row r="332" spans="1:6" x14ac:dyDescent="0.25">
      <c r="A332">
        <v>178</v>
      </c>
      <c r="B332" s="1">
        <v>701.11300000000006</v>
      </c>
      <c r="C332" s="1">
        <v>22.25</v>
      </c>
      <c r="D332" s="1">
        <v>1.39706</v>
      </c>
      <c r="E332" s="1">
        <v>0.65637999999999996</v>
      </c>
      <c r="F332" s="1"/>
    </row>
    <row r="333" spans="1:6" x14ac:dyDescent="0.25">
      <c r="A333">
        <v>179</v>
      </c>
      <c r="B333" s="1">
        <v>707.70500000000004</v>
      </c>
      <c r="C333" s="1">
        <v>22.279900000000001</v>
      </c>
      <c r="D333" s="1">
        <v>1.3768400000000001</v>
      </c>
      <c r="E333" s="1">
        <v>0.64777099999999999</v>
      </c>
      <c r="F333" s="1"/>
    </row>
    <row r="334" spans="1:6" x14ac:dyDescent="0.25">
      <c r="A334">
        <v>180</v>
      </c>
      <c r="B334" s="1">
        <v>714.30600000000004</v>
      </c>
      <c r="C334" s="1">
        <v>22.3094</v>
      </c>
      <c r="D334" s="1">
        <v>1.35666</v>
      </c>
      <c r="E334" s="1">
        <v>0.63929100000000005</v>
      </c>
      <c r="F334" s="1"/>
    </row>
    <row r="335" spans="1:6" x14ac:dyDescent="0.25">
      <c r="A335">
        <v>181</v>
      </c>
      <c r="B335" s="1">
        <v>720.91399999999999</v>
      </c>
      <c r="C335" s="1">
        <v>22.3384</v>
      </c>
      <c r="D335" s="1">
        <v>1.3364799999999999</v>
      </c>
      <c r="E335" s="1">
        <v>0.63092499999999996</v>
      </c>
      <c r="F335" s="1"/>
    </row>
    <row r="336" spans="1:6" x14ac:dyDescent="0.25">
      <c r="A336">
        <v>182</v>
      </c>
      <c r="B336" s="1">
        <v>727.53</v>
      </c>
      <c r="C336" s="1">
        <v>22.367000000000001</v>
      </c>
      <c r="D336" s="1">
        <v>1.3163199999999999</v>
      </c>
      <c r="E336" s="1">
        <v>0.622664</v>
      </c>
      <c r="F336" s="1"/>
    </row>
    <row r="337" spans="1:6" x14ac:dyDescent="0.25">
      <c r="A337">
        <v>183</v>
      </c>
      <c r="B337" s="1">
        <v>734.15499999999997</v>
      </c>
      <c r="C337" s="1">
        <v>22.395299999999999</v>
      </c>
      <c r="D337" s="1">
        <v>1.2962</v>
      </c>
      <c r="E337" s="1">
        <v>0.61449500000000001</v>
      </c>
      <c r="F337" s="1"/>
    </row>
    <row r="338" spans="1:6" x14ac:dyDescent="0.25">
      <c r="A338">
        <v>184</v>
      </c>
      <c r="B338" s="1">
        <v>740.78700000000003</v>
      </c>
      <c r="C338" s="1">
        <v>22.422999999999998</v>
      </c>
      <c r="D338" s="1">
        <v>1.27613</v>
      </c>
      <c r="E338" s="1">
        <v>0.606406</v>
      </c>
      <c r="F338" s="1"/>
    </row>
    <row r="339" spans="1:6" x14ac:dyDescent="0.25">
      <c r="A339">
        <v>185</v>
      </c>
      <c r="B339" s="1">
        <v>747.42899999999997</v>
      </c>
      <c r="C339" s="1">
        <v>22.450399999999998</v>
      </c>
      <c r="D339" s="1">
        <v>1.2561</v>
      </c>
      <c r="E339" s="1">
        <v>0.59840099999999996</v>
      </c>
      <c r="F339" s="1"/>
    </row>
    <row r="340" spans="1:6" x14ac:dyDescent="0.25">
      <c r="A340">
        <v>186</v>
      </c>
      <c r="B340" s="1">
        <v>754.07899999999995</v>
      </c>
      <c r="C340" s="1">
        <v>22.4773</v>
      </c>
      <c r="D340" s="1">
        <v>1.2360899999999999</v>
      </c>
      <c r="E340" s="1">
        <v>0.59048699999999998</v>
      </c>
      <c r="F340" s="1"/>
    </row>
    <row r="341" spans="1:6" x14ac:dyDescent="0.25">
      <c r="A341">
        <v>187</v>
      </c>
      <c r="B341" s="1">
        <v>760.73699999999997</v>
      </c>
      <c r="C341" s="1">
        <v>22.503799999999998</v>
      </c>
      <c r="D341" s="1">
        <v>1.2161200000000001</v>
      </c>
      <c r="E341" s="1">
        <v>0.582673</v>
      </c>
      <c r="F341" s="1"/>
    </row>
    <row r="342" spans="1:6" x14ac:dyDescent="0.25">
      <c r="A342">
        <v>188</v>
      </c>
      <c r="B342" s="1">
        <v>767.404</v>
      </c>
      <c r="C342" s="1">
        <v>22.529800000000002</v>
      </c>
      <c r="D342" s="1">
        <v>1.1962200000000001</v>
      </c>
      <c r="E342" s="1">
        <v>0.57498899999999997</v>
      </c>
      <c r="F342" s="1"/>
    </row>
    <row r="343" spans="1:6" x14ac:dyDescent="0.25">
      <c r="A343">
        <v>189</v>
      </c>
      <c r="B343" s="1">
        <v>774.08100000000002</v>
      </c>
      <c r="C343" s="1">
        <v>22.555299999999999</v>
      </c>
      <c r="D343" s="1">
        <v>1.17645</v>
      </c>
      <c r="E343" s="1">
        <v>0.56746399999999997</v>
      </c>
      <c r="F343" s="1"/>
    </row>
    <row r="344" spans="1:6" x14ac:dyDescent="0.25">
      <c r="A344">
        <v>190</v>
      </c>
      <c r="B344" s="1">
        <v>780.76700000000005</v>
      </c>
      <c r="C344" s="1">
        <v>22.580400000000001</v>
      </c>
      <c r="D344" s="1">
        <v>1.1568499999999999</v>
      </c>
      <c r="E344" s="1">
        <v>0.56011900000000003</v>
      </c>
      <c r="F344" s="1"/>
    </row>
    <row r="345" spans="1:6" x14ac:dyDescent="0.25">
      <c r="A345">
        <v>191</v>
      </c>
      <c r="B345" s="1">
        <v>787.46199999999999</v>
      </c>
      <c r="C345" s="1">
        <v>22.605</v>
      </c>
      <c r="D345" s="1">
        <v>1.1374299999999999</v>
      </c>
      <c r="E345" s="1">
        <v>0.55295399999999995</v>
      </c>
      <c r="F345" s="1"/>
    </row>
    <row r="346" spans="1:6" x14ac:dyDescent="0.25">
      <c r="A346">
        <v>192</v>
      </c>
      <c r="B346" s="1">
        <v>794.16700000000003</v>
      </c>
      <c r="C346" s="1">
        <v>22.629100000000001</v>
      </c>
      <c r="D346" s="1">
        <v>1.11819</v>
      </c>
      <c r="E346" s="1">
        <v>0.54596</v>
      </c>
      <c r="F346" s="1"/>
    </row>
    <row r="347" spans="1:6" x14ac:dyDescent="0.25">
      <c r="A347">
        <v>193</v>
      </c>
      <c r="B347" s="1">
        <v>800.88099999999997</v>
      </c>
      <c r="C347" s="1">
        <v>22.652699999999999</v>
      </c>
      <c r="D347" s="1">
        <v>1.0991200000000001</v>
      </c>
      <c r="E347" s="1">
        <v>0.53912899999999997</v>
      </c>
      <c r="F347" s="1"/>
    </row>
    <row r="348" spans="1:6" x14ac:dyDescent="0.25">
      <c r="A348">
        <v>194</v>
      </c>
      <c r="B348" s="1">
        <v>807.60599999999999</v>
      </c>
      <c r="C348" s="1">
        <v>22.675799999999999</v>
      </c>
      <c r="D348" s="1">
        <v>1.08023</v>
      </c>
      <c r="E348" s="1">
        <v>0.532443</v>
      </c>
      <c r="F348" s="1"/>
    </row>
    <row r="349" spans="1:6" x14ac:dyDescent="0.25">
      <c r="A349">
        <v>195</v>
      </c>
      <c r="B349" s="1">
        <v>814.34199999999998</v>
      </c>
      <c r="C349" s="1">
        <v>22.6983</v>
      </c>
      <c r="D349" s="1">
        <v>1.06155</v>
      </c>
      <c r="E349" s="1">
        <v>0.52589900000000001</v>
      </c>
      <c r="F349" s="1"/>
    </row>
    <row r="350" spans="1:6" x14ac:dyDescent="0.25">
      <c r="A350">
        <v>196</v>
      </c>
      <c r="B350" s="1">
        <v>821.08799999999997</v>
      </c>
      <c r="C350" s="1">
        <v>22.720300000000002</v>
      </c>
      <c r="D350" s="1">
        <v>1.0431299999999999</v>
      </c>
      <c r="E350" s="1">
        <v>0.51951000000000003</v>
      </c>
      <c r="F350" s="1"/>
    </row>
    <row r="351" spans="1:6" x14ac:dyDescent="0.25">
      <c r="A351">
        <v>197</v>
      </c>
      <c r="B351" s="1">
        <v>827.846</v>
      </c>
      <c r="C351" s="1">
        <v>22.741599999999998</v>
      </c>
      <c r="D351" s="1">
        <v>1.02505</v>
      </c>
      <c r="E351" s="1">
        <v>0.51328399999999996</v>
      </c>
      <c r="F351" s="1"/>
    </row>
    <row r="352" spans="1:6" x14ac:dyDescent="0.25">
      <c r="A352">
        <v>198</v>
      </c>
      <c r="B352" s="1">
        <v>834.61500000000001</v>
      </c>
      <c r="C352" s="1">
        <v>22.762499999999999</v>
      </c>
      <c r="D352" s="1">
        <v>1.00732</v>
      </c>
      <c r="E352" s="1">
        <v>0.50722999999999996</v>
      </c>
      <c r="F352" s="1"/>
    </row>
    <row r="353" spans="1:6" x14ac:dyDescent="0.25">
      <c r="A353">
        <v>199</v>
      </c>
      <c r="B353" s="1">
        <v>841.39599999999996</v>
      </c>
      <c r="C353" s="1">
        <v>22.782699999999998</v>
      </c>
      <c r="D353" s="1">
        <v>0.989923</v>
      </c>
      <c r="E353" s="1">
        <v>0.50134000000000001</v>
      </c>
      <c r="F353" s="1"/>
    </row>
    <row r="354" spans="1:6" x14ac:dyDescent="0.25">
      <c r="A354">
        <v>200</v>
      </c>
      <c r="B354" s="1">
        <v>848.18899999999996</v>
      </c>
      <c r="C354" s="1">
        <v>22.802199999999999</v>
      </c>
      <c r="D354" s="1">
        <v>0.97286399999999995</v>
      </c>
      <c r="E354" s="1">
        <v>0.49559900000000001</v>
      </c>
      <c r="F354" s="1"/>
    </row>
    <row r="355" spans="1:6" x14ac:dyDescent="0.25">
      <c r="A355">
        <v>201</v>
      </c>
      <c r="B355" s="1">
        <v>854.995</v>
      </c>
      <c r="C355" s="1">
        <v>22.821200000000001</v>
      </c>
      <c r="D355" s="1">
        <v>0.95613700000000001</v>
      </c>
      <c r="E355" s="1">
        <v>0.49000899999999997</v>
      </c>
      <c r="F355" s="1"/>
    </row>
    <row r="356" spans="1:6" x14ac:dyDescent="0.25">
      <c r="A356">
        <v>202</v>
      </c>
      <c r="B356" s="1">
        <v>861.81399999999996</v>
      </c>
      <c r="C356" s="1">
        <v>22.839500000000001</v>
      </c>
      <c r="D356" s="1">
        <v>0.93973899999999999</v>
      </c>
      <c r="E356" s="1">
        <v>0.48458200000000001</v>
      </c>
      <c r="F356" s="1"/>
    </row>
    <row r="357" spans="1:6" x14ac:dyDescent="0.25">
      <c r="A357">
        <v>203</v>
      </c>
      <c r="B357" s="1">
        <v>868.64599999999996</v>
      </c>
      <c r="C357" s="1">
        <v>22.857199999999999</v>
      </c>
      <c r="D357" s="1">
        <v>0.92369699999999999</v>
      </c>
      <c r="E357" s="1">
        <v>0.47933999999999999</v>
      </c>
      <c r="F357" s="1"/>
    </row>
    <row r="358" spans="1:6" x14ac:dyDescent="0.25">
      <c r="A358">
        <v>204</v>
      </c>
      <c r="B358" s="1">
        <v>875.49300000000005</v>
      </c>
      <c r="C358" s="1">
        <v>22.874199999999998</v>
      </c>
      <c r="D358" s="1">
        <v>0.90807700000000002</v>
      </c>
      <c r="E358" s="1">
        <v>0.47429900000000003</v>
      </c>
      <c r="F358" s="1"/>
    </row>
    <row r="359" spans="1:6" x14ac:dyDescent="0.25">
      <c r="A359">
        <v>205</v>
      </c>
      <c r="B359" s="1">
        <v>882.35400000000004</v>
      </c>
      <c r="C359" s="1">
        <v>22.890499999999999</v>
      </c>
      <c r="D359" s="1">
        <v>0.89295400000000003</v>
      </c>
      <c r="E359" s="1">
        <v>0.46946599999999999</v>
      </c>
      <c r="F359" s="1"/>
    </row>
    <row r="360" spans="1:6" x14ac:dyDescent="0.25">
      <c r="A360">
        <v>206</v>
      </c>
      <c r="B360" s="1">
        <v>889.23</v>
      </c>
      <c r="C360" s="1">
        <v>22.906199999999998</v>
      </c>
      <c r="D360" s="1">
        <v>0.87837399999999999</v>
      </c>
      <c r="E360" s="1">
        <v>0.46483400000000002</v>
      </c>
      <c r="F360" s="1"/>
    </row>
    <row r="361" spans="1:6" x14ac:dyDescent="0.25">
      <c r="A361">
        <v>207</v>
      </c>
      <c r="B361" s="1">
        <v>896.12099999999998</v>
      </c>
      <c r="C361" s="1">
        <v>22.921199999999999</v>
      </c>
      <c r="D361" s="1">
        <v>0.86435099999999998</v>
      </c>
      <c r="E361" s="1">
        <v>0.46038699999999999</v>
      </c>
      <c r="F361" s="1"/>
    </row>
    <row r="362" spans="1:6" x14ac:dyDescent="0.25">
      <c r="A362">
        <v>208</v>
      </c>
      <c r="B362" s="1">
        <v>903.029</v>
      </c>
      <c r="C362" s="1">
        <v>22.935400000000001</v>
      </c>
      <c r="D362" s="1">
        <v>0.85089599999999999</v>
      </c>
      <c r="E362" s="1">
        <v>0.45611200000000002</v>
      </c>
      <c r="F362" s="1"/>
    </row>
    <row r="363" spans="1:6" x14ac:dyDescent="0.25">
      <c r="A363">
        <v>209</v>
      </c>
      <c r="B363" s="1">
        <v>909.95399999999995</v>
      </c>
      <c r="C363" s="1">
        <v>22.949000000000002</v>
      </c>
      <c r="D363" s="1">
        <v>0.83802900000000002</v>
      </c>
      <c r="E363" s="1">
        <v>0.45200200000000001</v>
      </c>
      <c r="F363" s="1"/>
    </row>
    <row r="364" spans="1:6" x14ac:dyDescent="0.25">
      <c r="A364">
        <v>210</v>
      </c>
      <c r="B364" s="1">
        <v>916.89599999999996</v>
      </c>
      <c r="C364" s="1">
        <v>22.9619</v>
      </c>
      <c r="D364" s="1">
        <v>0.82578700000000005</v>
      </c>
      <c r="E364" s="1">
        <v>0.448046</v>
      </c>
      <c r="F364" s="1"/>
    </row>
    <row r="365" spans="1:6" x14ac:dyDescent="0.25">
      <c r="A365">
        <v>211</v>
      </c>
      <c r="B365" s="1">
        <v>923.85699999999997</v>
      </c>
      <c r="C365" s="1">
        <v>22.9741</v>
      </c>
      <c r="D365" s="1">
        <v>0.81420599999999999</v>
      </c>
      <c r="E365" s="1">
        <v>0.44424200000000003</v>
      </c>
      <c r="F365" s="1"/>
    </row>
    <row r="366" spans="1:6" x14ac:dyDescent="0.25">
      <c r="A366">
        <v>212</v>
      </c>
      <c r="B366" s="1">
        <v>930.83600000000001</v>
      </c>
      <c r="C366" s="1">
        <v>22.985499999999998</v>
      </c>
      <c r="D366" s="1">
        <v>0.80330199999999996</v>
      </c>
      <c r="E366" s="1">
        <v>0.44060199999999999</v>
      </c>
      <c r="F366" s="1"/>
    </row>
    <row r="367" spans="1:6" x14ac:dyDescent="0.25">
      <c r="A367">
        <v>213</v>
      </c>
      <c r="B367" s="1">
        <v>937.83399999999995</v>
      </c>
      <c r="C367" s="1">
        <v>22.996099999999998</v>
      </c>
      <c r="D367" s="1">
        <v>0.79309200000000002</v>
      </c>
      <c r="E367" s="1">
        <v>0.43713999999999997</v>
      </c>
      <c r="F367" s="1"/>
    </row>
    <row r="368" spans="1:6" x14ac:dyDescent="0.25">
      <c r="A368">
        <v>214</v>
      </c>
      <c r="B368" s="1">
        <v>944.85299999999995</v>
      </c>
      <c r="C368" s="1">
        <v>23.0059</v>
      </c>
      <c r="D368" s="1">
        <v>0.78359299999999998</v>
      </c>
      <c r="E368" s="1">
        <v>0.43387900000000001</v>
      </c>
      <c r="F368" s="1"/>
    </row>
    <row r="369" spans="1:6" x14ac:dyDescent="0.25">
      <c r="A369">
        <v>215</v>
      </c>
      <c r="B369" s="1">
        <v>951.89300000000003</v>
      </c>
      <c r="C369" s="1">
        <v>23.014900000000001</v>
      </c>
      <c r="D369" s="1">
        <v>0.77483199999999997</v>
      </c>
      <c r="E369" s="1">
        <v>0.43083900000000003</v>
      </c>
      <c r="F369" s="1"/>
    </row>
    <row r="370" spans="1:6" x14ac:dyDescent="0.25">
      <c r="A370">
        <v>216</v>
      </c>
      <c r="B370" s="1">
        <v>958.95500000000004</v>
      </c>
      <c r="C370" s="1">
        <v>23.023</v>
      </c>
      <c r="D370" s="1">
        <v>0.76683900000000005</v>
      </c>
      <c r="E370" s="1">
        <v>0.42802400000000002</v>
      </c>
      <c r="F370" s="1"/>
    </row>
    <row r="371" spans="1:6" x14ac:dyDescent="0.25">
      <c r="A371">
        <v>217</v>
      </c>
      <c r="B371" s="1">
        <v>966.04</v>
      </c>
      <c r="C371" s="1">
        <v>23.0303</v>
      </c>
      <c r="D371" s="1">
        <v>0.75965199999999999</v>
      </c>
      <c r="E371" s="1">
        <v>0.42542999999999997</v>
      </c>
      <c r="F371" s="1"/>
    </row>
    <row r="372" spans="1:6" x14ac:dyDescent="0.25">
      <c r="A372">
        <v>218</v>
      </c>
      <c r="B372" s="1">
        <v>973.149</v>
      </c>
      <c r="C372" s="1">
        <v>23.0367</v>
      </c>
      <c r="D372" s="1">
        <v>0.753305</v>
      </c>
      <c r="E372" s="1">
        <v>0.42307400000000001</v>
      </c>
      <c r="F372" s="1"/>
    </row>
    <row r="373" spans="1:6" x14ac:dyDescent="0.25">
      <c r="A373">
        <v>219</v>
      </c>
      <c r="B373" s="1">
        <v>980.28200000000004</v>
      </c>
      <c r="C373" s="1">
        <v>23.042300000000001</v>
      </c>
      <c r="D373" s="1">
        <v>0.74782400000000004</v>
      </c>
      <c r="E373" s="1">
        <v>0.42097299999999999</v>
      </c>
      <c r="F373" s="1"/>
    </row>
    <row r="374" spans="1:6" x14ac:dyDescent="0.25">
      <c r="A374">
        <v>220</v>
      </c>
      <c r="B374" s="1">
        <v>987.44100000000003</v>
      </c>
      <c r="C374" s="1">
        <v>23.047000000000001</v>
      </c>
      <c r="D374" s="1">
        <v>0.74322900000000003</v>
      </c>
      <c r="E374" s="1">
        <v>0.419153</v>
      </c>
      <c r="F374" s="1"/>
    </row>
    <row r="375" spans="1:6" x14ac:dyDescent="0.25">
      <c r="A375">
        <v>221</v>
      </c>
      <c r="B375" s="1">
        <v>994.62699999999995</v>
      </c>
      <c r="C375" s="1">
        <v>23.050799999999999</v>
      </c>
      <c r="D375" s="1">
        <v>0.739541</v>
      </c>
      <c r="E375" s="1">
        <v>0.417657</v>
      </c>
      <c r="F375" s="1"/>
    </row>
    <row r="376" spans="1:6" x14ac:dyDescent="0.25">
      <c r="A376">
        <v>222</v>
      </c>
      <c r="B376" s="1">
        <v>1001.84</v>
      </c>
      <c r="C376" s="1">
        <v>23.053699999999999</v>
      </c>
      <c r="D376" s="1">
        <v>0.73677599999999999</v>
      </c>
      <c r="E376" s="1">
        <v>0.416522</v>
      </c>
      <c r="F376" s="1"/>
    </row>
    <row r="377" spans="1:6" x14ac:dyDescent="0.25">
      <c r="A377">
        <v>223</v>
      </c>
      <c r="B377" s="1">
        <v>1009.08</v>
      </c>
      <c r="C377" s="1">
        <v>23.055700000000002</v>
      </c>
      <c r="D377" s="1">
        <v>0.73493299999999995</v>
      </c>
      <c r="E377" s="1">
        <v>0.41576999999999997</v>
      </c>
      <c r="F377" s="1"/>
    </row>
    <row r="378" spans="1:6" x14ac:dyDescent="0.25">
      <c r="A378">
        <v>224</v>
      </c>
      <c r="B378" s="1">
        <v>1016.36</v>
      </c>
      <c r="C378" s="1">
        <v>23.056699999999999</v>
      </c>
      <c r="D378" s="1">
        <v>0.73401099999999997</v>
      </c>
      <c r="E378" s="1">
        <v>0.41540300000000002</v>
      </c>
      <c r="F378" s="1"/>
    </row>
    <row r="379" spans="1:6" x14ac:dyDescent="0.25">
      <c r="B379" s="1"/>
      <c r="C379" s="1"/>
      <c r="D379" s="1"/>
      <c r="E379" s="1"/>
      <c r="F379" s="1"/>
    </row>
    <row r="380" spans="1:6" x14ac:dyDescent="0.25">
      <c r="B380" s="1" t="s">
        <v>361</v>
      </c>
      <c r="C380" s="1" t="s">
        <v>362</v>
      </c>
      <c r="D380" s="1" t="s">
        <v>365</v>
      </c>
      <c r="E380" s="1" t="s">
        <v>366</v>
      </c>
      <c r="F380" s="1"/>
    </row>
    <row r="381" spans="1:6" x14ac:dyDescent="0.25">
      <c r="A381">
        <v>1</v>
      </c>
      <c r="B381" s="1">
        <v>0.30789100000000003</v>
      </c>
      <c r="C381" s="1">
        <v>1.2763E-6</v>
      </c>
      <c r="D381" s="1">
        <v>3.1108600000000002E-5</v>
      </c>
      <c r="E381" s="1"/>
      <c r="F381" s="1"/>
    </row>
    <row r="382" spans="1:6" x14ac:dyDescent="0.25">
      <c r="A382">
        <v>2</v>
      </c>
      <c r="B382" s="1">
        <v>0.62376399999999999</v>
      </c>
      <c r="C382" s="1">
        <v>1.87046E-5</v>
      </c>
      <c r="D382" s="1">
        <v>2.6180000000000002E-4</v>
      </c>
      <c r="E382" s="1"/>
      <c r="F382" s="1"/>
    </row>
    <row r="383" spans="1:6" x14ac:dyDescent="0.25">
      <c r="A383">
        <v>3</v>
      </c>
      <c r="B383" s="1">
        <v>0.94890399999999997</v>
      </c>
      <c r="C383" s="1">
        <v>8.9758400000000004E-5</v>
      </c>
      <c r="D383" s="1">
        <v>9.3496900000000001E-4</v>
      </c>
      <c r="E383" s="1"/>
      <c r="F383" s="1"/>
    </row>
    <row r="384" spans="1:6" x14ac:dyDescent="0.25">
      <c r="A384">
        <v>4</v>
      </c>
      <c r="B384" s="1">
        <v>1.2846200000000001</v>
      </c>
      <c r="C384" s="1">
        <v>2.7177000000000001E-4</v>
      </c>
      <c r="D384" s="1">
        <v>2.3458799999999998E-3</v>
      </c>
      <c r="E384" s="1"/>
      <c r="F384" s="1"/>
    </row>
    <row r="385" spans="1:6" x14ac:dyDescent="0.25">
      <c r="A385">
        <v>5</v>
      </c>
      <c r="B385" s="1">
        <v>1.63222</v>
      </c>
      <c r="C385" s="1">
        <v>6.3922100000000004E-4</v>
      </c>
      <c r="D385" s="1">
        <v>4.8421899999999997E-3</v>
      </c>
      <c r="E385" s="1"/>
      <c r="F385" s="1"/>
    </row>
    <row r="386" spans="1:6" x14ac:dyDescent="0.25">
      <c r="A386">
        <v>6</v>
      </c>
      <c r="B386" s="1">
        <v>1.99305</v>
      </c>
      <c r="C386" s="1">
        <v>1.2817499999999999E-3</v>
      </c>
      <c r="D386" s="1">
        <v>8.8182799999999995E-3</v>
      </c>
      <c r="E386" s="1"/>
      <c r="F386" s="1"/>
    </row>
    <row r="387" spans="1:6" x14ac:dyDescent="0.25">
      <c r="A387">
        <v>7</v>
      </c>
      <c r="B387" s="1">
        <v>2.3684599999999998</v>
      </c>
      <c r="C387" s="1">
        <v>2.3025400000000001E-3</v>
      </c>
      <c r="D387" s="1">
        <v>1.47029E-2</v>
      </c>
      <c r="E387" s="1"/>
      <c r="F387" s="1"/>
    </row>
    <row r="388" spans="1:6" x14ac:dyDescent="0.25">
      <c r="A388">
        <v>8</v>
      </c>
      <c r="B388" s="1">
        <v>2.7598099999999999</v>
      </c>
      <c r="C388" s="1">
        <v>3.8168199999999998E-3</v>
      </c>
      <c r="D388" s="1">
        <v>2.29404E-2</v>
      </c>
      <c r="E388" s="1"/>
      <c r="F388" s="1"/>
    </row>
    <row r="389" spans="1:6" x14ac:dyDescent="0.25">
      <c r="A389">
        <v>9</v>
      </c>
      <c r="B389" s="1">
        <v>3.1684600000000001</v>
      </c>
      <c r="C389" s="1">
        <v>5.9504299999999996E-3</v>
      </c>
      <c r="D389" s="1">
        <v>3.39654E-2</v>
      </c>
      <c r="E389" s="1"/>
      <c r="F389" s="1"/>
    </row>
    <row r="390" spans="1:6" x14ac:dyDescent="0.25">
      <c r="A390">
        <v>10</v>
      </c>
      <c r="B390" s="1">
        <v>3.59579</v>
      </c>
      <c r="C390" s="1">
        <v>8.8381399999999995E-3</v>
      </c>
      <c r="D390" s="1">
        <v>4.8173300000000002E-2</v>
      </c>
      <c r="E390" s="1"/>
      <c r="F390" s="1"/>
    </row>
    <row r="391" spans="1:6" x14ac:dyDescent="0.25">
      <c r="A391">
        <v>11</v>
      </c>
      <c r="B391" s="1">
        <v>4.0431600000000003</v>
      </c>
      <c r="C391" s="1">
        <v>1.26219E-2</v>
      </c>
      <c r="D391" s="1">
        <v>6.5888600000000005E-2</v>
      </c>
      <c r="E391" s="1"/>
      <c r="F391" s="1"/>
    </row>
    <row r="392" spans="1:6" x14ac:dyDescent="0.25">
      <c r="A392">
        <v>12</v>
      </c>
      <c r="B392" s="1">
        <v>4.5119699999999998</v>
      </c>
      <c r="C392" s="1">
        <v>1.7448999999999999E-2</v>
      </c>
      <c r="D392" s="1">
        <v>8.7334099999999998E-2</v>
      </c>
      <c r="E392" s="1"/>
      <c r="F392" s="1"/>
    </row>
    <row r="393" spans="1:6" x14ac:dyDescent="0.25">
      <c r="A393">
        <v>13</v>
      </c>
      <c r="B393" s="1">
        <v>5.0035800000000004</v>
      </c>
      <c r="C393" s="1">
        <v>2.34696E-2</v>
      </c>
      <c r="D393" s="1">
        <v>0.112605</v>
      </c>
      <c r="E393" s="1"/>
      <c r="F393" s="1"/>
    </row>
    <row r="394" spans="1:6" x14ac:dyDescent="0.25">
      <c r="A394">
        <v>14</v>
      </c>
      <c r="B394" s="1">
        <v>5.51938</v>
      </c>
      <c r="C394" s="1">
        <v>3.0834799999999999E-2</v>
      </c>
      <c r="D394" s="1">
        <v>0.14165</v>
      </c>
      <c r="E394" s="1"/>
      <c r="F394" s="1"/>
    </row>
    <row r="395" spans="1:6" x14ac:dyDescent="0.25">
      <c r="A395">
        <v>15</v>
      </c>
      <c r="B395" s="1">
        <v>6.0607199999999999</v>
      </c>
      <c r="C395" s="1">
        <v>3.9694100000000003E-2</v>
      </c>
      <c r="D395" s="1">
        <v>0.174266</v>
      </c>
      <c r="E395" s="1"/>
      <c r="F395" s="1"/>
    </row>
    <row r="396" spans="1:6" x14ac:dyDescent="0.25">
      <c r="A396">
        <v>16</v>
      </c>
      <c r="B396" s="1">
        <v>6.6289600000000002</v>
      </c>
      <c r="C396" s="1">
        <v>5.0192199999999999E-2</v>
      </c>
      <c r="D396" s="1">
        <v>0.21009800000000001</v>
      </c>
      <c r="E396" s="1"/>
      <c r="F396" s="1"/>
    </row>
    <row r="397" spans="1:6" x14ac:dyDescent="0.25">
      <c r="A397">
        <v>17</v>
      </c>
      <c r="B397" s="1">
        <v>7.22546</v>
      </c>
      <c r="C397" s="1">
        <v>6.2466800000000003E-2</v>
      </c>
      <c r="D397" s="1">
        <v>0.24865999999999999</v>
      </c>
      <c r="E397" s="1"/>
      <c r="F397" s="1"/>
    </row>
    <row r="398" spans="1:6" x14ac:dyDescent="0.25">
      <c r="A398">
        <v>18</v>
      </c>
      <c r="B398" s="1">
        <v>7.8515600000000001</v>
      </c>
      <c r="C398" s="1">
        <v>7.6644900000000002E-2</v>
      </c>
      <c r="D398" s="1">
        <v>0.28935699999999998</v>
      </c>
      <c r="E398" s="1"/>
      <c r="F398" s="1"/>
    </row>
    <row r="399" spans="1:6" x14ac:dyDescent="0.25">
      <c r="A399">
        <v>19</v>
      </c>
      <c r="B399" s="1">
        <v>8.5085899999999999</v>
      </c>
      <c r="C399" s="1">
        <v>9.2838699999999996E-2</v>
      </c>
      <c r="D399" s="1">
        <v>0.33152500000000001</v>
      </c>
      <c r="E399" s="1"/>
      <c r="F399" s="1"/>
    </row>
    <row r="400" spans="1:6" x14ac:dyDescent="0.25">
      <c r="A400">
        <v>20</v>
      </c>
      <c r="B400" s="1">
        <v>9.1978399999999993</v>
      </c>
      <c r="C400" s="1">
        <v>0.111142</v>
      </c>
      <c r="D400" s="1">
        <v>0.37446299999999999</v>
      </c>
      <c r="E400" s="1"/>
      <c r="F400" s="1"/>
    </row>
    <row r="401" spans="1:6" x14ac:dyDescent="0.25">
      <c r="A401">
        <v>21</v>
      </c>
      <c r="B401" s="1">
        <v>9.9206299999999992</v>
      </c>
      <c r="C401" s="1">
        <v>0.13162599999999999</v>
      </c>
      <c r="D401" s="1">
        <v>0.41747800000000002</v>
      </c>
      <c r="E401" s="1"/>
      <c r="F401" s="1"/>
    </row>
    <row r="402" spans="1:6" x14ac:dyDescent="0.25">
      <c r="A402">
        <v>22</v>
      </c>
      <c r="B402" s="1">
        <v>10.6782</v>
      </c>
      <c r="C402" s="1">
        <v>0.154332</v>
      </c>
      <c r="D402" s="1">
        <v>0.45992</v>
      </c>
      <c r="E402" s="1"/>
      <c r="F402" s="1"/>
    </row>
    <row r="403" spans="1:6" x14ac:dyDescent="0.25">
      <c r="A403">
        <v>23</v>
      </c>
      <c r="B403" s="1">
        <v>11.4719</v>
      </c>
      <c r="C403" s="1">
        <v>0.17927199999999999</v>
      </c>
      <c r="D403" s="1">
        <v>0.50120799999999999</v>
      </c>
      <c r="E403" s="1"/>
      <c r="F403" s="1"/>
    </row>
    <row r="404" spans="1:6" x14ac:dyDescent="0.25">
      <c r="A404">
        <v>24</v>
      </c>
      <c r="B404" s="1">
        <v>12.3028</v>
      </c>
      <c r="C404" s="1">
        <v>0.20641899999999999</v>
      </c>
      <c r="D404" s="1">
        <v>0.54085300000000003</v>
      </c>
      <c r="E404" s="1"/>
      <c r="F404" s="1"/>
    </row>
    <row r="405" spans="1:6" x14ac:dyDescent="0.25">
      <c r="A405">
        <v>25</v>
      </c>
      <c r="B405" s="1">
        <v>13.1723</v>
      </c>
      <c r="C405" s="1">
        <v>0.23571</v>
      </c>
      <c r="D405" s="1">
        <v>0.57846900000000001</v>
      </c>
      <c r="E405" s="1"/>
      <c r="F405" s="1"/>
    </row>
    <row r="406" spans="1:6" x14ac:dyDescent="0.25">
      <c r="A406">
        <v>26</v>
      </c>
      <c r="B406" s="1">
        <v>14.0815</v>
      </c>
      <c r="C406" s="1">
        <v>0.26704</v>
      </c>
      <c r="D406" s="1">
        <v>0.61377599999999999</v>
      </c>
      <c r="E406" s="1"/>
      <c r="F406" s="1"/>
    </row>
    <row r="407" spans="1:6" x14ac:dyDescent="0.25">
      <c r="A407">
        <v>27</v>
      </c>
      <c r="B407" s="1">
        <v>15.031499999999999</v>
      </c>
      <c r="C407" s="1">
        <v>0.300265</v>
      </c>
      <c r="D407" s="1">
        <v>0.64659299999999997</v>
      </c>
      <c r="E407" s="1"/>
      <c r="F407" s="1"/>
    </row>
    <row r="408" spans="1:6" x14ac:dyDescent="0.25">
      <c r="A408">
        <v>28</v>
      </c>
      <c r="B408" s="1">
        <v>16.023599999999998</v>
      </c>
      <c r="C408" s="1">
        <v>0.33520299999999997</v>
      </c>
      <c r="D408" s="1">
        <v>0.67683000000000004</v>
      </c>
      <c r="E408" s="1"/>
      <c r="F408" s="1"/>
    </row>
    <row r="409" spans="1:6" x14ac:dyDescent="0.25">
      <c r="A409">
        <v>29</v>
      </c>
      <c r="B409" s="1">
        <v>17.058800000000002</v>
      </c>
      <c r="C409" s="1">
        <v>0.37164000000000003</v>
      </c>
      <c r="D409" s="1">
        <v>0.70447300000000002</v>
      </c>
      <c r="E409" s="1"/>
      <c r="F409" s="1"/>
    </row>
    <row r="410" spans="1:6" x14ac:dyDescent="0.25">
      <c r="A410">
        <v>30</v>
      </c>
      <c r="B410" s="1">
        <v>18.138200000000001</v>
      </c>
      <c r="C410" s="1">
        <v>0.409333</v>
      </c>
      <c r="D410" s="1">
        <v>0.72956799999999999</v>
      </c>
      <c r="E410" s="1"/>
      <c r="F410" s="1"/>
    </row>
    <row r="411" spans="1:6" x14ac:dyDescent="0.25">
      <c r="A411">
        <v>31</v>
      </c>
      <c r="B411" s="1">
        <v>19.262899999999998</v>
      </c>
      <c r="C411" s="1">
        <v>0.448015</v>
      </c>
      <c r="D411" s="1">
        <v>0.75220799999999999</v>
      </c>
      <c r="E411" s="1"/>
      <c r="F411" s="1"/>
    </row>
    <row r="412" spans="1:6" x14ac:dyDescent="0.25">
      <c r="A412">
        <v>32</v>
      </c>
      <c r="B412" s="1">
        <v>20.433900000000001</v>
      </c>
      <c r="C412" s="1">
        <v>0.48740800000000001</v>
      </c>
      <c r="D412" s="1">
        <v>0.77251999999999998</v>
      </c>
    </row>
    <row r="413" spans="1:6" x14ac:dyDescent="0.25">
      <c r="A413">
        <v>33</v>
      </c>
      <c r="B413" s="1">
        <v>21.652200000000001</v>
      </c>
      <c r="C413" s="1">
        <v>0.52722500000000005</v>
      </c>
      <c r="D413" s="1">
        <v>0.79064900000000005</v>
      </c>
    </row>
    <row r="414" spans="1:6" x14ac:dyDescent="0.25">
      <c r="A414">
        <v>34</v>
      </c>
      <c r="B414" s="1">
        <v>22.918700000000001</v>
      </c>
      <c r="C414" s="1">
        <v>0.56717600000000001</v>
      </c>
      <c r="D414" s="1">
        <v>0.80675200000000002</v>
      </c>
      <c r="E414" s="1"/>
    </row>
    <row r="415" spans="1:6" x14ac:dyDescent="0.25">
      <c r="A415">
        <v>35</v>
      </c>
      <c r="B415" s="1">
        <v>24.234500000000001</v>
      </c>
      <c r="C415" s="1">
        <v>0.60698200000000002</v>
      </c>
      <c r="D415" s="1">
        <v>0.82099200000000006</v>
      </c>
      <c r="E415" s="1"/>
    </row>
    <row r="416" spans="1:6" x14ac:dyDescent="0.25">
      <c r="A416">
        <v>36</v>
      </c>
      <c r="B416" s="1">
        <v>25.6004</v>
      </c>
      <c r="C416" s="1">
        <v>0.64637100000000003</v>
      </c>
      <c r="D416" s="1">
        <v>0.83352800000000005</v>
      </c>
      <c r="E416" s="1"/>
    </row>
    <row r="417" spans="1:5" x14ac:dyDescent="0.25">
      <c r="A417">
        <v>37</v>
      </c>
      <c r="B417" s="1">
        <v>27.017299999999999</v>
      </c>
      <c r="C417" s="1">
        <v>0.68509399999999998</v>
      </c>
      <c r="D417" s="1">
        <v>0.84451600000000004</v>
      </c>
      <c r="E417" s="1"/>
    </row>
    <row r="418" spans="1:5" x14ac:dyDescent="0.25">
      <c r="A418">
        <v>38</v>
      </c>
      <c r="B418" s="1">
        <v>28.4861</v>
      </c>
      <c r="C418" s="1">
        <v>0.72291700000000003</v>
      </c>
      <c r="D418" s="1">
        <v>0.85409900000000005</v>
      </c>
      <c r="E418" s="1"/>
    </row>
    <row r="419" spans="1:5" x14ac:dyDescent="0.25">
      <c r="A419">
        <v>39</v>
      </c>
      <c r="B419" s="1">
        <v>30.007400000000001</v>
      </c>
      <c r="C419" s="1">
        <v>0.75963499999999995</v>
      </c>
      <c r="D419" s="1">
        <v>0.86241599999999996</v>
      </c>
      <c r="E419" s="1"/>
    </row>
    <row r="420" spans="1:5" x14ac:dyDescent="0.25">
      <c r="A420">
        <v>40</v>
      </c>
      <c r="B420" s="1">
        <v>31.5822</v>
      </c>
      <c r="C420" s="1">
        <v>0.79506600000000005</v>
      </c>
      <c r="D420" s="1">
        <v>0.869591</v>
      </c>
      <c r="E420" s="1"/>
    </row>
    <row r="421" spans="1:5" x14ac:dyDescent="0.25">
      <c r="A421">
        <v>41</v>
      </c>
      <c r="B421" s="1">
        <v>33.211199999999998</v>
      </c>
      <c r="C421" s="1">
        <v>0.82905499999999999</v>
      </c>
      <c r="D421" s="1">
        <v>0.87573999999999996</v>
      </c>
      <c r="E421" s="1"/>
    </row>
    <row r="422" spans="1:5" x14ac:dyDescent="0.25">
      <c r="A422">
        <v>42</v>
      </c>
      <c r="B422" s="1">
        <v>34.895000000000003</v>
      </c>
      <c r="C422" s="1">
        <v>0.86147799999999997</v>
      </c>
      <c r="D422" s="1">
        <v>0.88097000000000003</v>
      </c>
      <c r="E422" s="1"/>
    </row>
    <row r="423" spans="1:5" x14ac:dyDescent="0.25">
      <c r="A423">
        <v>43</v>
      </c>
      <c r="B423" s="1">
        <v>36.634399999999999</v>
      </c>
      <c r="C423" s="1">
        <v>0.892235</v>
      </c>
      <c r="D423" s="1">
        <v>0.88537699999999997</v>
      </c>
      <c r="E423" s="1"/>
    </row>
    <row r="424" spans="1:5" x14ac:dyDescent="0.25">
      <c r="A424">
        <v>44</v>
      </c>
      <c r="B424" s="1">
        <v>38.43</v>
      </c>
      <c r="C424" s="1">
        <v>0.92125400000000002</v>
      </c>
      <c r="D424" s="1">
        <v>0.88904499999999997</v>
      </c>
      <c r="E424" s="1"/>
    </row>
    <row r="425" spans="1:5" x14ac:dyDescent="0.25">
      <c r="A425">
        <v>45</v>
      </c>
      <c r="B425" s="1">
        <v>40.282299999999999</v>
      </c>
      <c r="C425" s="1">
        <v>0.948488</v>
      </c>
      <c r="D425" s="1">
        <v>0.89205199999999996</v>
      </c>
      <c r="E425" s="1"/>
    </row>
    <row r="426" spans="1:5" x14ac:dyDescent="0.25">
      <c r="A426">
        <v>46</v>
      </c>
      <c r="B426" s="1">
        <v>42.192</v>
      </c>
      <c r="C426" s="1">
        <v>0.97391099999999997</v>
      </c>
      <c r="D426" s="1">
        <v>0.89446899999999996</v>
      </c>
      <c r="E426" s="1"/>
    </row>
    <row r="427" spans="1:5" x14ac:dyDescent="0.25">
      <c r="A427">
        <v>47</v>
      </c>
      <c r="B427" s="1">
        <v>44.159599999999998</v>
      </c>
      <c r="C427" s="1">
        <v>0.99751599999999996</v>
      </c>
      <c r="D427" s="1">
        <v>0.89635900000000002</v>
      </c>
      <c r="E427" s="1"/>
    </row>
    <row r="428" spans="1:5" x14ac:dyDescent="0.25">
      <c r="A428">
        <v>48</v>
      </c>
      <c r="B428" s="1">
        <v>46.185600000000001</v>
      </c>
      <c r="C428" s="1">
        <v>1.0193099999999999</v>
      </c>
      <c r="D428" s="1">
        <v>0.89778199999999997</v>
      </c>
      <c r="E428" s="1"/>
    </row>
    <row r="429" spans="1:5" x14ac:dyDescent="0.25">
      <c r="A429">
        <v>49</v>
      </c>
      <c r="B429" s="1">
        <v>48.270400000000002</v>
      </c>
      <c r="C429" s="1">
        <v>1.0393300000000001</v>
      </c>
      <c r="D429" s="1">
        <v>0.89878800000000003</v>
      </c>
      <c r="E429" s="1"/>
    </row>
    <row r="430" spans="1:5" x14ac:dyDescent="0.25">
      <c r="A430">
        <v>50</v>
      </c>
      <c r="B430" s="1">
        <v>50.414499999999997</v>
      </c>
      <c r="C430" s="1">
        <v>1.05762</v>
      </c>
      <c r="D430" s="1">
        <v>0.89942299999999997</v>
      </c>
      <c r="E430" s="1"/>
    </row>
    <row r="431" spans="1:5" x14ac:dyDescent="0.25">
      <c r="A431">
        <v>51</v>
      </c>
      <c r="B431" s="1">
        <v>52.618299999999998</v>
      </c>
      <c r="C431" s="1">
        <v>1.0742100000000001</v>
      </c>
      <c r="D431" s="1">
        <v>0.89972700000000005</v>
      </c>
      <c r="E431" s="1"/>
    </row>
    <row r="432" spans="1:5" x14ac:dyDescent="0.25">
      <c r="A432">
        <v>52</v>
      </c>
      <c r="B432" s="1">
        <v>54.882100000000001</v>
      </c>
      <c r="C432" s="1">
        <v>1.08918</v>
      </c>
      <c r="D432" s="1">
        <v>0.899733</v>
      </c>
      <c r="E432" s="1"/>
    </row>
    <row r="433" spans="1:5" x14ac:dyDescent="0.25">
      <c r="A433">
        <v>53</v>
      </c>
      <c r="B433" s="1">
        <v>57.206200000000003</v>
      </c>
      <c r="C433" s="1">
        <v>1.1026100000000001</v>
      </c>
      <c r="D433" s="1">
        <v>0.89947100000000002</v>
      </c>
      <c r="E433" s="1"/>
    </row>
    <row r="434" spans="1:5" x14ac:dyDescent="0.25">
      <c r="A434">
        <v>54</v>
      </c>
      <c r="B434" s="1">
        <v>59.591000000000001</v>
      </c>
      <c r="C434" s="1">
        <v>1.1145700000000001</v>
      </c>
      <c r="D434" s="1">
        <v>0.89896500000000001</v>
      </c>
      <c r="E434" s="1"/>
    </row>
    <row r="435" spans="1:5" x14ac:dyDescent="0.25">
      <c r="A435">
        <v>55</v>
      </c>
      <c r="B435" s="1">
        <v>62.036700000000003</v>
      </c>
      <c r="C435" s="1">
        <v>1.12514</v>
      </c>
      <c r="D435" s="1">
        <v>0.89823799999999998</v>
      </c>
      <c r="E435" s="1"/>
    </row>
    <row r="436" spans="1:5" x14ac:dyDescent="0.25">
      <c r="A436">
        <v>56</v>
      </c>
      <c r="B436" s="1">
        <v>64.543499999999995</v>
      </c>
      <c r="C436" s="1">
        <v>1.1344099999999999</v>
      </c>
      <c r="D436" s="1">
        <v>0.89730900000000002</v>
      </c>
      <c r="E436" s="1"/>
    </row>
    <row r="437" spans="1:5" x14ac:dyDescent="0.25">
      <c r="A437">
        <v>57</v>
      </c>
      <c r="B437" s="1">
        <v>67.111699999999999</v>
      </c>
      <c r="C437" s="1">
        <v>1.14249</v>
      </c>
      <c r="D437" s="1">
        <v>0.89619800000000005</v>
      </c>
      <c r="E437" s="1"/>
    </row>
    <row r="438" spans="1:5" x14ac:dyDescent="0.25">
      <c r="A438">
        <v>58</v>
      </c>
      <c r="B438" s="1">
        <v>69.741200000000006</v>
      </c>
      <c r="C438" s="1">
        <v>1.1494500000000001</v>
      </c>
      <c r="D438" s="1">
        <v>0.89491900000000002</v>
      </c>
      <c r="E438" s="1"/>
    </row>
    <row r="439" spans="1:5" x14ac:dyDescent="0.25">
      <c r="A439">
        <v>59</v>
      </c>
      <c r="B439" s="1">
        <v>72.432400000000001</v>
      </c>
      <c r="C439" s="1">
        <v>1.1553899999999999</v>
      </c>
      <c r="D439" s="1">
        <v>0.893486</v>
      </c>
      <c r="E439" s="1"/>
    </row>
    <row r="440" spans="1:5" x14ac:dyDescent="0.25">
      <c r="A440">
        <v>60</v>
      </c>
      <c r="B440" s="1">
        <v>75.185199999999995</v>
      </c>
      <c r="C440" s="1">
        <v>1.16039</v>
      </c>
      <c r="D440" s="1">
        <v>0.89190800000000003</v>
      </c>
      <c r="E440" s="1"/>
    </row>
    <row r="441" spans="1:5" x14ac:dyDescent="0.25">
      <c r="A441">
        <v>61</v>
      </c>
      <c r="B441" s="1">
        <v>77.999700000000004</v>
      </c>
      <c r="C441" s="1">
        <v>1.16455</v>
      </c>
      <c r="D441" s="1">
        <v>0.89019300000000001</v>
      </c>
      <c r="E441" s="1"/>
    </row>
    <row r="442" spans="1:5" x14ac:dyDescent="0.25">
      <c r="A442">
        <v>62</v>
      </c>
      <c r="B442" s="1">
        <v>80.876000000000005</v>
      </c>
      <c r="C442" s="1">
        <v>1.1679299999999999</v>
      </c>
      <c r="D442" s="1">
        <v>0.888347</v>
      </c>
      <c r="E442" s="1"/>
    </row>
    <row r="443" spans="1:5" x14ac:dyDescent="0.25">
      <c r="A443">
        <v>63</v>
      </c>
      <c r="B443" s="1">
        <v>83.813900000000004</v>
      </c>
      <c r="C443" s="1">
        <v>1.1706000000000001</v>
      </c>
      <c r="D443" s="1">
        <v>0.886378</v>
      </c>
      <c r="E443" s="1"/>
    </row>
    <row r="444" spans="1:5" x14ac:dyDescent="0.25">
      <c r="A444">
        <v>64</v>
      </c>
      <c r="B444" s="1">
        <v>86.813599999999994</v>
      </c>
      <c r="C444" s="1">
        <v>1.1726300000000001</v>
      </c>
      <c r="D444" s="1">
        <v>0.884293</v>
      </c>
      <c r="E444" s="1"/>
    </row>
    <row r="445" spans="1:5" x14ac:dyDescent="0.25">
      <c r="A445">
        <v>65</v>
      </c>
      <c r="B445" s="1">
        <v>89.874899999999997</v>
      </c>
      <c r="C445" s="1">
        <v>1.17408</v>
      </c>
      <c r="D445" s="1">
        <v>0.88209800000000005</v>
      </c>
      <c r="E445" s="1"/>
    </row>
    <row r="446" spans="1:5" x14ac:dyDescent="0.25">
      <c r="A446">
        <v>66</v>
      </c>
      <c r="B446" s="1">
        <v>92.997600000000006</v>
      </c>
      <c r="C446" s="1">
        <v>1.175</v>
      </c>
      <c r="D446" s="1">
        <v>0.87980000000000003</v>
      </c>
      <c r="E446" s="1"/>
    </row>
    <row r="447" spans="1:5" x14ac:dyDescent="0.25">
      <c r="A447">
        <v>67</v>
      </c>
      <c r="B447" s="1">
        <v>96.181799999999996</v>
      </c>
      <c r="C447" s="1">
        <v>1.17544</v>
      </c>
      <c r="D447" s="1">
        <v>0.87740399999999996</v>
      </c>
      <c r="E447" s="1"/>
    </row>
    <row r="448" spans="1:5" x14ac:dyDescent="0.25">
      <c r="A448">
        <v>68</v>
      </c>
      <c r="B448" s="1">
        <v>99.427099999999996</v>
      </c>
      <c r="C448" s="1">
        <v>1.1754500000000001</v>
      </c>
      <c r="D448" s="1">
        <v>0.87491399999999997</v>
      </c>
      <c r="E448" s="1"/>
    </row>
    <row r="449" spans="1:8" x14ac:dyDescent="0.25">
      <c r="A449">
        <v>69</v>
      </c>
      <c r="B449" s="1">
        <v>102.733</v>
      </c>
      <c r="C449" s="1">
        <v>1.1750799999999999</v>
      </c>
      <c r="D449" s="1">
        <v>0.872332</v>
      </c>
      <c r="E449" s="1"/>
    </row>
    <row r="450" spans="1:8" x14ac:dyDescent="0.25">
      <c r="A450">
        <v>70</v>
      </c>
      <c r="B450" s="1">
        <v>106.101</v>
      </c>
      <c r="C450" s="1">
        <v>1.17435</v>
      </c>
      <c r="D450" s="1">
        <v>0.86965999999999999</v>
      </c>
      <c r="E450" s="1"/>
    </row>
    <row r="451" spans="1:8" x14ac:dyDescent="0.25">
      <c r="A451">
        <v>71</v>
      </c>
      <c r="B451" s="1">
        <v>109.52800000000001</v>
      </c>
      <c r="C451" s="1">
        <v>1.1733100000000001</v>
      </c>
      <c r="D451" s="1">
        <v>0.86690100000000003</v>
      </c>
      <c r="E451" s="1"/>
    </row>
    <row r="452" spans="1:8" x14ac:dyDescent="0.25">
      <c r="A452">
        <v>72</v>
      </c>
      <c r="B452" s="1">
        <v>113.01600000000001</v>
      </c>
      <c r="C452" s="1">
        <v>1.1719900000000001</v>
      </c>
      <c r="D452" s="1">
        <v>0.86405500000000002</v>
      </c>
      <c r="E452" s="1"/>
    </row>
    <row r="453" spans="1:8" x14ac:dyDescent="0.25">
      <c r="A453">
        <v>73</v>
      </c>
      <c r="B453" s="1">
        <v>116.56399999999999</v>
      </c>
      <c r="C453" s="1">
        <v>1.1704000000000001</v>
      </c>
      <c r="D453" s="1">
        <v>0.86112500000000003</v>
      </c>
      <c r="E453" s="1"/>
    </row>
    <row r="454" spans="1:8" x14ac:dyDescent="0.25">
      <c r="A454">
        <v>74</v>
      </c>
      <c r="B454" s="1">
        <v>120.172</v>
      </c>
      <c r="C454" s="1">
        <v>1.16856</v>
      </c>
      <c r="D454" s="1">
        <v>0.85811400000000004</v>
      </c>
      <c r="E454" s="1"/>
    </row>
    <row r="455" spans="1:8" x14ac:dyDescent="0.25">
      <c r="A455">
        <v>75</v>
      </c>
      <c r="B455" s="1">
        <v>123.839</v>
      </c>
      <c r="C455" s="1">
        <v>1.16649</v>
      </c>
      <c r="D455" s="1">
        <v>0.85502299999999998</v>
      </c>
      <c r="E455" s="1"/>
    </row>
    <row r="456" spans="1:8" x14ac:dyDescent="0.25">
      <c r="A456">
        <v>76</v>
      </c>
      <c r="B456" s="1">
        <v>127.56399999999999</v>
      </c>
      <c r="C456" s="1">
        <v>1.16421</v>
      </c>
      <c r="D456" s="1">
        <v>0.85185200000000005</v>
      </c>
      <c r="E456" s="1"/>
    </row>
    <row r="457" spans="1:8" x14ac:dyDescent="0.25">
      <c r="A457">
        <v>77</v>
      </c>
      <c r="B457" s="1">
        <v>131.34899999999999</v>
      </c>
      <c r="C457" s="1">
        <v>1.16174</v>
      </c>
      <c r="D457" s="1">
        <v>0.848603</v>
      </c>
      <c r="E457" s="1"/>
    </row>
    <row r="458" spans="1:8" x14ac:dyDescent="0.25">
      <c r="A458">
        <v>78</v>
      </c>
      <c r="B458" s="1">
        <v>135.191</v>
      </c>
      <c r="C458" s="1">
        <v>1.15909</v>
      </c>
      <c r="D458" s="1">
        <v>0.845279</v>
      </c>
      <c r="E458" s="1"/>
    </row>
    <row r="459" spans="1:8" x14ac:dyDescent="0.25">
      <c r="A459">
        <v>79</v>
      </c>
      <c r="B459" s="1">
        <v>139.09100000000001</v>
      </c>
      <c r="C459" s="1">
        <v>1.1562699999999999</v>
      </c>
      <c r="D459" s="1">
        <v>0.84188099999999999</v>
      </c>
      <c r="E459" s="1"/>
      <c r="F459" s="1"/>
      <c r="G459" s="1"/>
      <c r="H459" s="1"/>
    </row>
    <row r="460" spans="1:8" x14ac:dyDescent="0.25">
      <c r="A460">
        <v>80</v>
      </c>
      <c r="B460" s="1">
        <v>143.048</v>
      </c>
      <c r="C460" s="1">
        <v>1.1533100000000001</v>
      </c>
      <c r="D460" s="1">
        <v>0.83841399999999999</v>
      </c>
      <c r="E460" s="1"/>
      <c r="F460" s="1"/>
      <c r="G460" s="1"/>
      <c r="H460" s="1"/>
    </row>
    <row r="461" spans="1:8" x14ac:dyDescent="0.25">
      <c r="A461">
        <v>81</v>
      </c>
      <c r="B461" s="1">
        <v>147.06200000000001</v>
      </c>
      <c r="C461" s="1">
        <v>1.1501999999999999</v>
      </c>
      <c r="D461" s="1">
        <v>0.83487900000000004</v>
      </c>
      <c r="E461" s="1"/>
      <c r="F461" s="1"/>
      <c r="G461" s="1"/>
      <c r="H461" s="1"/>
    </row>
    <row r="462" spans="1:8" x14ac:dyDescent="0.25">
      <c r="A462">
        <v>82</v>
      </c>
      <c r="B462" s="1">
        <v>151.13200000000001</v>
      </c>
      <c r="C462" s="1">
        <v>1.14697</v>
      </c>
      <c r="D462" s="1">
        <v>0.83127300000000004</v>
      </c>
      <c r="E462" s="1"/>
      <c r="F462" s="1"/>
      <c r="G462" s="1"/>
      <c r="H462" s="1"/>
    </row>
    <row r="463" spans="1:8" x14ac:dyDescent="0.25">
      <c r="A463">
        <v>83</v>
      </c>
      <c r="B463" s="1">
        <v>155.25800000000001</v>
      </c>
      <c r="C463" s="1">
        <v>1.1436200000000001</v>
      </c>
      <c r="D463" s="1">
        <v>0.82759899999999997</v>
      </c>
      <c r="E463" s="1"/>
      <c r="F463" s="1"/>
      <c r="G463" s="1"/>
      <c r="H463" s="1"/>
    </row>
    <row r="464" spans="1:8" x14ac:dyDescent="0.25">
      <c r="A464">
        <v>84</v>
      </c>
      <c r="B464" s="1">
        <v>159.43899999999999</v>
      </c>
      <c r="C464" s="1">
        <v>1.1401699999999999</v>
      </c>
      <c r="D464" s="1">
        <v>0.82386000000000004</v>
      </c>
      <c r="E464" s="1"/>
      <c r="F464" s="1"/>
      <c r="G464" s="1"/>
      <c r="H464" s="1"/>
    </row>
    <row r="465" spans="1:8" x14ac:dyDescent="0.25">
      <c r="A465">
        <v>85</v>
      </c>
      <c r="B465" s="1">
        <v>163.67500000000001</v>
      </c>
      <c r="C465" s="1">
        <v>1.13662</v>
      </c>
      <c r="D465" s="1">
        <v>0.82005600000000001</v>
      </c>
      <c r="E465" s="1"/>
      <c r="F465" s="1"/>
      <c r="G465" s="1"/>
      <c r="H465" s="1"/>
    </row>
    <row r="466" spans="1:8" x14ac:dyDescent="0.25">
      <c r="A466">
        <v>86</v>
      </c>
      <c r="B466" s="1">
        <v>167.964</v>
      </c>
      <c r="C466" s="1">
        <v>1.13297</v>
      </c>
      <c r="D466" s="1">
        <v>0.81618500000000005</v>
      </c>
      <c r="E466" s="1"/>
      <c r="F466" s="1"/>
      <c r="G466" s="1"/>
      <c r="H466" s="1"/>
    </row>
    <row r="467" spans="1:8" x14ac:dyDescent="0.25">
      <c r="A467">
        <v>87</v>
      </c>
      <c r="B467" s="1">
        <v>172.30699999999999</v>
      </c>
      <c r="C467" s="1">
        <v>1.1292199999999999</v>
      </c>
      <c r="D467" s="1">
        <v>0.81225099999999995</v>
      </c>
      <c r="E467" s="1"/>
      <c r="F467" s="1"/>
      <c r="G467" s="1"/>
      <c r="H467" s="1"/>
    </row>
    <row r="468" spans="1:8" x14ac:dyDescent="0.25">
      <c r="A468">
        <v>88</v>
      </c>
      <c r="B468" s="1">
        <v>176.703</v>
      </c>
      <c r="C468" s="1">
        <v>1.12537</v>
      </c>
      <c r="D468" s="1">
        <v>0.80825400000000003</v>
      </c>
      <c r="E468" s="1"/>
      <c r="F468" s="1"/>
      <c r="G468" s="1"/>
      <c r="H468" s="1"/>
    </row>
    <row r="469" spans="1:8" x14ac:dyDescent="0.25">
      <c r="A469">
        <v>89</v>
      </c>
      <c r="B469" s="1">
        <v>181.15</v>
      </c>
      <c r="C469" s="1">
        <v>1.1214200000000001</v>
      </c>
      <c r="D469" s="1">
        <v>0.80419499999999999</v>
      </c>
      <c r="E469" s="1"/>
      <c r="F469" s="1"/>
      <c r="G469" s="1"/>
      <c r="H469" s="1"/>
    </row>
    <row r="470" spans="1:8" x14ac:dyDescent="0.25">
      <c r="A470">
        <v>90</v>
      </c>
      <c r="B470" s="1">
        <v>185.65</v>
      </c>
      <c r="C470" s="1">
        <v>1.1173900000000001</v>
      </c>
      <c r="D470" s="1">
        <v>0.80007600000000001</v>
      </c>
      <c r="E470" s="1"/>
      <c r="F470" s="1"/>
      <c r="G470" s="1"/>
      <c r="H470" s="1"/>
    </row>
    <row r="471" spans="1:8" x14ac:dyDescent="0.25">
      <c r="A471">
        <v>91</v>
      </c>
      <c r="B471" s="1">
        <v>190.2</v>
      </c>
      <c r="C471" s="1">
        <v>1.1132899999999999</v>
      </c>
      <c r="D471" s="1">
        <v>0.79589900000000002</v>
      </c>
      <c r="E471" s="1"/>
      <c r="F471" s="1"/>
      <c r="G471" s="1"/>
      <c r="H471" s="1"/>
    </row>
    <row r="472" spans="1:8" x14ac:dyDescent="0.25">
      <c r="A472">
        <v>92</v>
      </c>
      <c r="B472" s="1">
        <v>194.8</v>
      </c>
      <c r="C472" s="1">
        <v>1.1091200000000001</v>
      </c>
      <c r="D472" s="1">
        <v>0.79166499999999995</v>
      </c>
      <c r="E472" s="1"/>
      <c r="F472" s="1"/>
      <c r="G472" s="1"/>
      <c r="H472" s="1"/>
    </row>
    <row r="473" spans="1:8" x14ac:dyDescent="0.25">
      <c r="A473">
        <v>93</v>
      </c>
      <c r="B473" s="1">
        <v>199.45</v>
      </c>
      <c r="C473" s="1">
        <v>1.1048899999999999</v>
      </c>
      <c r="D473" s="1">
        <v>0.78737199999999996</v>
      </c>
      <c r="E473" s="1"/>
      <c r="F473" s="1"/>
      <c r="G473" s="1"/>
      <c r="H473" s="1"/>
    </row>
    <row r="474" spans="1:8" x14ac:dyDescent="0.25">
      <c r="A474">
        <v>94</v>
      </c>
      <c r="B474" s="1">
        <v>204.149</v>
      </c>
      <c r="C474" s="1">
        <v>1.1006100000000001</v>
      </c>
      <c r="D474" s="1">
        <v>0.78302099999999997</v>
      </c>
      <c r="E474" s="1"/>
      <c r="F474" s="1"/>
      <c r="G474" s="1"/>
      <c r="H474" s="1"/>
    </row>
    <row r="475" spans="1:8" x14ac:dyDescent="0.25">
      <c r="A475">
        <v>95</v>
      </c>
      <c r="B475" s="1">
        <v>208.89599999999999</v>
      </c>
      <c r="C475" s="1">
        <v>1.0962799999999999</v>
      </c>
      <c r="D475" s="1">
        <v>0.778613</v>
      </c>
      <c r="E475" s="1"/>
      <c r="F475" s="1"/>
      <c r="G475" s="1"/>
      <c r="H475" s="1"/>
    </row>
    <row r="476" spans="1:8" x14ac:dyDescent="0.25">
      <c r="A476">
        <v>96</v>
      </c>
      <c r="B476" s="1">
        <v>213.691</v>
      </c>
      <c r="C476" s="1">
        <v>1.09188</v>
      </c>
      <c r="D476" s="1">
        <v>0.77415100000000003</v>
      </c>
      <c r="E476" s="1"/>
      <c r="F476" s="1"/>
      <c r="G476" s="1"/>
      <c r="H476" s="1"/>
    </row>
    <row r="477" spans="1:8" x14ac:dyDescent="0.25">
      <c r="A477">
        <v>97</v>
      </c>
      <c r="B477" s="1">
        <v>218.53200000000001</v>
      </c>
      <c r="C477" s="1">
        <v>1.08741</v>
      </c>
      <c r="D477" s="1">
        <v>0.76963599999999999</v>
      </c>
      <c r="E477" s="1"/>
      <c r="F477" s="1"/>
      <c r="G477" s="1"/>
      <c r="H477" s="1"/>
    </row>
    <row r="478" spans="1:8" x14ac:dyDescent="0.25">
      <c r="A478">
        <v>98</v>
      </c>
      <c r="B478" s="1">
        <v>223.41900000000001</v>
      </c>
      <c r="C478" s="1">
        <v>1.0828599999999999</v>
      </c>
      <c r="D478" s="1">
        <v>0.76506799999999997</v>
      </c>
      <c r="E478" s="1"/>
      <c r="F478" s="1"/>
      <c r="G478" s="1"/>
      <c r="H478" s="1"/>
    </row>
    <row r="479" spans="1:8" x14ac:dyDescent="0.25">
      <c r="A479">
        <v>99</v>
      </c>
      <c r="B479" s="1">
        <v>228.352</v>
      </c>
      <c r="C479" s="1">
        <v>1.0782400000000001</v>
      </c>
      <c r="D479" s="1">
        <v>0.76044599999999996</v>
      </c>
      <c r="E479" s="1"/>
      <c r="F479" s="1"/>
      <c r="G479" s="1"/>
      <c r="H479" s="1"/>
    </row>
    <row r="480" spans="1:8" x14ac:dyDescent="0.25">
      <c r="A480">
        <v>100</v>
      </c>
      <c r="B480" s="1">
        <v>233.32900000000001</v>
      </c>
      <c r="C480" s="1">
        <v>1.0735300000000001</v>
      </c>
      <c r="D480" s="1">
        <v>0.75577099999999997</v>
      </c>
      <c r="E480" s="1"/>
      <c r="F480" s="1"/>
      <c r="G480" s="1"/>
      <c r="H480" s="1"/>
    </row>
    <row r="481" spans="1:8" x14ac:dyDescent="0.25">
      <c r="A481">
        <v>101</v>
      </c>
      <c r="B481" s="1">
        <v>238.35</v>
      </c>
      <c r="C481" s="1">
        <v>1.0687500000000001</v>
      </c>
      <c r="D481" s="1">
        <v>0.75104599999999999</v>
      </c>
      <c r="E481" s="1"/>
      <c r="F481" s="1"/>
      <c r="G481" s="1"/>
      <c r="H481" s="1"/>
    </row>
    <row r="482" spans="1:8" x14ac:dyDescent="0.25">
      <c r="A482">
        <v>102</v>
      </c>
      <c r="B482" s="1">
        <v>243.41499999999999</v>
      </c>
      <c r="C482" s="1">
        <v>1.0638799999999999</v>
      </c>
      <c r="D482" s="1">
        <v>0.74627399999999999</v>
      </c>
      <c r="E482" s="1"/>
      <c r="F482" s="1"/>
      <c r="G482" s="1"/>
      <c r="H482" s="1"/>
    </row>
    <row r="483" spans="1:8" x14ac:dyDescent="0.25">
      <c r="A483">
        <v>103</v>
      </c>
      <c r="B483" s="1">
        <v>248.52099999999999</v>
      </c>
      <c r="C483" s="1">
        <v>1.0589200000000001</v>
      </c>
      <c r="D483" s="1">
        <v>0.74145700000000003</v>
      </c>
      <c r="E483" s="1"/>
      <c r="F483" s="1"/>
      <c r="G483" s="1"/>
      <c r="H483" s="1"/>
    </row>
    <row r="484" spans="1:8" x14ac:dyDescent="0.25">
      <c r="A484">
        <v>104</v>
      </c>
      <c r="B484" s="1">
        <v>253.67</v>
      </c>
      <c r="C484" s="1">
        <v>1.0538799999999999</v>
      </c>
      <c r="D484" s="1">
        <v>0.736595</v>
      </c>
      <c r="E484" s="1"/>
      <c r="F484" s="1"/>
      <c r="G484" s="1"/>
      <c r="H484" s="1"/>
    </row>
    <row r="485" spans="1:8" x14ac:dyDescent="0.25">
      <c r="A485">
        <v>105</v>
      </c>
      <c r="B485" s="1">
        <v>258.85899999999998</v>
      </c>
      <c r="C485" s="1">
        <v>1.0487299999999999</v>
      </c>
      <c r="D485" s="1">
        <v>0.73168599999999995</v>
      </c>
      <c r="E485" s="1"/>
      <c r="F485" s="1"/>
      <c r="G485" s="1"/>
      <c r="H485" s="1"/>
    </row>
    <row r="486" spans="1:8" x14ac:dyDescent="0.25">
      <c r="A486">
        <v>106</v>
      </c>
      <c r="B486" s="1">
        <v>264.08800000000002</v>
      </c>
      <c r="C486" s="1">
        <v>1.04349</v>
      </c>
      <c r="D486" s="1">
        <v>0.72673500000000002</v>
      </c>
      <c r="E486" s="1"/>
      <c r="F486" s="1"/>
      <c r="G486" s="1"/>
      <c r="H486" s="1"/>
    </row>
    <row r="487" spans="1:8" x14ac:dyDescent="0.25">
      <c r="A487">
        <v>107</v>
      </c>
      <c r="B487" s="1">
        <v>269.35700000000003</v>
      </c>
      <c r="C487" s="1">
        <v>1.03816</v>
      </c>
      <c r="D487" s="1">
        <v>0.72174199999999999</v>
      </c>
      <c r="E487" s="1"/>
      <c r="F487" s="1"/>
      <c r="G487" s="1"/>
      <c r="H487" s="1"/>
    </row>
    <row r="488" spans="1:8" x14ac:dyDescent="0.25">
      <c r="A488">
        <v>108</v>
      </c>
      <c r="B488" s="1">
        <v>274.66399999999999</v>
      </c>
      <c r="C488" s="1">
        <v>1.0327299999999999</v>
      </c>
      <c r="D488" s="1">
        <v>0.71670900000000004</v>
      </c>
      <c r="E488" s="1"/>
      <c r="F488" s="1"/>
      <c r="G488" s="1"/>
      <c r="H488" s="1"/>
    </row>
    <row r="489" spans="1:8" x14ac:dyDescent="0.25">
      <c r="A489">
        <v>109</v>
      </c>
      <c r="B489" s="1">
        <v>280.00900000000001</v>
      </c>
      <c r="C489" s="1">
        <v>1.02722</v>
      </c>
      <c r="D489" s="1">
        <v>0.71163500000000002</v>
      </c>
      <c r="E489" s="1"/>
      <c r="F489" s="1"/>
      <c r="G489" s="1"/>
      <c r="H489" s="1"/>
    </row>
    <row r="490" spans="1:8" x14ac:dyDescent="0.25">
      <c r="A490">
        <v>110</v>
      </c>
      <c r="B490" s="1">
        <v>285.392</v>
      </c>
      <c r="C490" s="1">
        <v>1.0216499999999999</v>
      </c>
      <c r="D490" s="1">
        <v>0.70651900000000001</v>
      </c>
      <c r="E490" s="1"/>
      <c r="F490" s="1"/>
      <c r="G490" s="1"/>
      <c r="H490" s="1"/>
    </row>
    <row r="491" spans="1:8" x14ac:dyDescent="0.25">
      <c r="A491">
        <v>111</v>
      </c>
      <c r="B491" s="1">
        <v>290.81</v>
      </c>
      <c r="C491" s="1">
        <v>1.0160100000000001</v>
      </c>
      <c r="D491" s="1">
        <v>0.70136299999999996</v>
      </c>
      <c r="E491" s="1"/>
      <c r="F491" s="1"/>
      <c r="G491" s="1"/>
      <c r="H491" s="1"/>
    </row>
    <row r="492" spans="1:8" x14ac:dyDescent="0.25">
      <c r="A492">
        <v>112</v>
      </c>
      <c r="B492" s="1">
        <v>296.26499999999999</v>
      </c>
      <c r="C492" s="1">
        <v>1.0102899999999999</v>
      </c>
      <c r="D492" s="1">
        <v>0.69616599999999995</v>
      </c>
      <c r="E492" s="1"/>
      <c r="F492" s="1"/>
      <c r="G492" s="1"/>
      <c r="H492" s="1"/>
    </row>
    <row r="493" spans="1:8" x14ac:dyDescent="0.25">
      <c r="A493">
        <v>113</v>
      </c>
      <c r="B493" s="1">
        <v>301.75400000000002</v>
      </c>
      <c r="C493" s="1">
        <v>1.00451</v>
      </c>
      <c r="D493" s="1">
        <v>0.69093099999999996</v>
      </c>
      <c r="E493" s="1"/>
      <c r="F493" s="1"/>
      <c r="G493" s="1"/>
      <c r="H493" s="1"/>
    </row>
    <row r="494" spans="1:8" x14ac:dyDescent="0.25">
      <c r="A494">
        <v>114</v>
      </c>
      <c r="B494" s="1">
        <v>307.27800000000002</v>
      </c>
      <c r="C494" s="1">
        <v>0.99867600000000001</v>
      </c>
      <c r="D494" s="1">
        <v>0.68566099999999996</v>
      </c>
      <c r="E494" s="1"/>
      <c r="F494" s="1"/>
      <c r="G494" s="1"/>
      <c r="H494" s="1"/>
    </row>
    <row r="495" spans="1:8" x14ac:dyDescent="0.25">
      <c r="A495">
        <v>115</v>
      </c>
      <c r="B495" s="1">
        <v>312.83499999999998</v>
      </c>
      <c r="C495" s="1">
        <v>0.99278299999999997</v>
      </c>
      <c r="D495" s="1">
        <v>0.68035599999999996</v>
      </c>
      <c r="E495" s="1"/>
      <c r="F495" s="1"/>
      <c r="G495" s="1"/>
      <c r="H495" s="1"/>
    </row>
    <row r="496" spans="1:8" x14ac:dyDescent="0.25">
      <c r="A496">
        <v>116</v>
      </c>
      <c r="B496" s="1">
        <v>318.42399999999998</v>
      </c>
      <c r="C496" s="1">
        <v>0.98684300000000003</v>
      </c>
      <c r="D496" s="1">
        <v>0.67502099999999998</v>
      </c>
      <c r="E496" s="1"/>
      <c r="F496" s="1"/>
      <c r="G496" s="1"/>
      <c r="H496" s="1"/>
    </row>
    <row r="497" spans="1:8" x14ac:dyDescent="0.25">
      <c r="A497">
        <v>117</v>
      </c>
      <c r="B497" s="1">
        <v>324.04599999999999</v>
      </c>
      <c r="C497" s="1">
        <v>0.98086600000000002</v>
      </c>
      <c r="D497" s="1">
        <v>0.66965600000000003</v>
      </c>
      <c r="E497" s="1"/>
      <c r="F497" s="1"/>
      <c r="G497" s="1"/>
      <c r="H497" s="1"/>
    </row>
    <row r="498" spans="1:8" x14ac:dyDescent="0.25">
      <c r="A498">
        <v>118</v>
      </c>
      <c r="B498" s="1">
        <v>329.69900000000001</v>
      </c>
      <c r="C498" s="1">
        <v>0.97485999999999995</v>
      </c>
      <c r="D498" s="1">
        <v>0.66425800000000002</v>
      </c>
      <c r="E498" s="1"/>
      <c r="F498" s="1"/>
      <c r="G498" s="1"/>
      <c r="H498" s="1"/>
    </row>
    <row r="499" spans="1:8" x14ac:dyDescent="0.25">
      <c r="A499">
        <v>119</v>
      </c>
      <c r="B499" s="1">
        <v>335.38200000000001</v>
      </c>
      <c r="C499" s="1">
        <v>0.968831</v>
      </c>
      <c r="D499" s="1">
        <v>0.65882600000000002</v>
      </c>
      <c r="E499" s="1"/>
      <c r="F499" s="1"/>
      <c r="G499" s="1"/>
      <c r="H499" s="1"/>
    </row>
    <row r="500" spans="1:8" x14ac:dyDescent="0.25">
      <c r="A500">
        <v>120</v>
      </c>
      <c r="B500" s="1">
        <v>341.096</v>
      </c>
      <c r="C500" s="1">
        <v>0.962781</v>
      </c>
      <c r="D500" s="1">
        <v>0.65335799999999999</v>
      </c>
      <c r="E500" s="1"/>
      <c r="F500" s="1"/>
      <c r="G500" s="1"/>
      <c r="H500" s="1"/>
    </row>
    <row r="501" spans="1:8" x14ac:dyDescent="0.25">
      <c r="A501">
        <v>121</v>
      </c>
      <c r="B501" s="1">
        <v>346.83800000000002</v>
      </c>
      <c r="C501" s="1">
        <v>0.95670699999999997</v>
      </c>
      <c r="D501" s="1">
        <v>0.64785599999999999</v>
      </c>
      <c r="E501" s="1"/>
      <c r="F501" s="1"/>
      <c r="G501" s="1"/>
      <c r="H501" s="1"/>
    </row>
    <row r="502" spans="1:8" x14ac:dyDescent="0.25">
      <c r="A502">
        <v>122</v>
      </c>
      <c r="B502" s="1">
        <v>352.60899999999998</v>
      </c>
      <c r="C502" s="1">
        <v>0.9506</v>
      </c>
      <c r="D502" s="1">
        <v>0.64232400000000001</v>
      </c>
      <c r="E502" s="1"/>
      <c r="F502" s="1"/>
      <c r="G502" s="1"/>
      <c r="H502" s="1"/>
    </row>
    <row r="503" spans="1:8" x14ac:dyDescent="0.25">
      <c r="A503">
        <v>123</v>
      </c>
      <c r="B503" s="1">
        <v>358.40800000000002</v>
      </c>
      <c r="C503" s="1">
        <v>0.94444700000000004</v>
      </c>
      <c r="D503" s="1">
        <v>0.63675999999999999</v>
      </c>
      <c r="E503" s="1"/>
      <c r="F503" s="1"/>
      <c r="G503" s="1"/>
      <c r="H503" s="1"/>
    </row>
    <row r="504" spans="1:8" x14ac:dyDescent="0.25">
      <c r="A504">
        <v>124</v>
      </c>
      <c r="B504" s="1">
        <v>364.233</v>
      </c>
      <c r="C504" s="1">
        <v>0.93824099999999999</v>
      </c>
      <c r="D504" s="1">
        <v>0.63116499999999998</v>
      </c>
      <c r="E504" s="1"/>
      <c r="F504" s="1"/>
      <c r="G504" s="1"/>
      <c r="H504" s="1"/>
    </row>
    <row r="505" spans="1:8" x14ac:dyDescent="0.25">
      <c r="A505">
        <v>125</v>
      </c>
      <c r="B505" s="1">
        <v>370.08499999999998</v>
      </c>
      <c r="C505" s="1">
        <v>0.93198000000000003</v>
      </c>
      <c r="D505" s="1">
        <v>0.62553499999999995</v>
      </c>
      <c r="E505" s="1"/>
      <c r="F505" s="1"/>
      <c r="G505" s="1"/>
      <c r="H505" s="1"/>
    </row>
    <row r="506" spans="1:8" x14ac:dyDescent="0.25">
      <c r="A506">
        <v>126</v>
      </c>
      <c r="B506" s="1">
        <v>375.96300000000002</v>
      </c>
      <c r="C506" s="1">
        <v>0.92566599999999999</v>
      </c>
      <c r="D506" s="1">
        <v>0.61987599999999998</v>
      </c>
      <c r="E506" s="1"/>
      <c r="F506" s="1"/>
      <c r="G506" s="1"/>
      <c r="H506" s="1"/>
    </row>
    <row r="507" spans="1:8" x14ac:dyDescent="0.25">
      <c r="A507">
        <v>127</v>
      </c>
      <c r="B507" s="1">
        <v>381.86599999999999</v>
      </c>
      <c r="C507" s="1">
        <v>0.91930000000000001</v>
      </c>
      <c r="D507" s="1">
        <v>0.61418799999999996</v>
      </c>
      <c r="E507" s="1"/>
      <c r="F507" s="1"/>
      <c r="G507" s="1"/>
      <c r="H507" s="1"/>
    </row>
    <row r="508" spans="1:8" x14ac:dyDescent="0.25">
      <c r="A508">
        <v>128</v>
      </c>
      <c r="B508" s="1">
        <v>387.79300000000001</v>
      </c>
      <c r="C508" s="1">
        <v>0.91288599999999998</v>
      </c>
      <c r="D508" s="1">
        <v>0.60847300000000004</v>
      </c>
      <c r="E508" s="1"/>
      <c r="F508" s="1"/>
      <c r="G508" s="1"/>
      <c r="H508" s="1"/>
    </row>
    <row r="509" spans="1:8" x14ac:dyDescent="0.25">
      <c r="A509">
        <v>129</v>
      </c>
      <c r="B509" s="1">
        <v>393.74400000000003</v>
      </c>
      <c r="C509" s="1">
        <v>0.90642599999999995</v>
      </c>
      <c r="D509" s="1">
        <v>0.60273299999999996</v>
      </c>
      <c r="E509" s="1"/>
      <c r="F509" s="1"/>
      <c r="G509" s="1"/>
      <c r="H509" s="1"/>
    </row>
    <row r="510" spans="1:8" x14ac:dyDescent="0.25">
      <c r="A510">
        <v>130</v>
      </c>
      <c r="B510" s="1">
        <v>399.71800000000002</v>
      </c>
      <c r="C510" s="1">
        <v>0.89992000000000005</v>
      </c>
      <c r="D510" s="1">
        <v>0.59697</v>
      </c>
      <c r="E510" s="1"/>
      <c r="F510" s="1"/>
      <c r="G510" s="1"/>
      <c r="H510" s="1"/>
    </row>
    <row r="511" spans="1:8" x14ac:dyDescent="0.25">
      <c r="A511">
        <v>131</v>
      </c>
      <c r="B511" s="1">
        <v>405.71499999999997</v>
      </c>
      <c r="C511" s="1">
        <v>0.89337299999999997</v>
      </c>
      <c r="D511" s="1">
        <v>0.59118499999999996</v>
      </c>
      <c r="E511" s="1"/>
      <c r="F511" s="1"/>
      <c r="G511" s="1"/>
      <c r="H511" s="1"/>
    </row>
    <row r="512" spans="1:8" x14ac:dyDescent="0.25">
      <c r="A512">
        <v>132</v>
      </c>
      <c r="B512" s="1">
        <v>411.73399999999998</v>
      </c>
      <c r="C512" s="1">
        <v>0.88678699999999999</v>
      </c>
      <c r="D512" s="1">
        <v>0.58537899999999998</v>
      </c>
      <c r="E512" s="1"/>
      <c r="F512" s="1"/>
      <c r="G512" s="1"/>
      <c r="H512" s="1"/>
    </row>
    <row r="513" spans="1:8" x14ac:dyDescent="0.25">
      <c r="A513">
        <v>133</v>
      </c>
      <c r="B513" s="1">
        <v>417.774</v>
      </c>
      <c r="C513" s="1">
        <v>0.880166</v>
      </c>
      <c r="D513" s="1">
        <v>0.57955199999999996</v>
      </c>
      <c r="E513" s="1"/>
      <c r="F513" s="1"/>
      <c r="G513" s="1"/>
      <c r="H513" s="1"/>
    </row>
    <row r="514" spans="1:8" x14ac:dyDescent="0.25">
      <c r="A514">
        <v>134</v>
      </c>
      <c r="B514" s="1">
        <v>423.83499999999998</v>
      </c>
      <c r="C514" s="1">
        <v>0.87351800000000002</v>
      </c>
      <c r="D514" s="1">
        <v>0.57370500000000002</v>
      </c>
      <c r="E514" s="1"/>
      <c r="F514" s="1"/>
      <c r="G514" s="1"/>
      <c r="H514" s="1"/>
    </row>
    <row r="515" spans="1:8" x14ac:dyDescent="0.25">
      <c r="A515">
        <v>135</v>
      </c>
      <c r="B515" s="1">
        <v>429.916</v>
      </c>
      <c r="C515" s="1">
        <v>0.86685400000000001</v>
      </c>
      <c r="D515" s="1">
        <v>0.56783799999999995</v>
      </c>
      <c r="E515" s="1"/>
      <c r="F515" s="1"/>
      <c r="G515" s="1"/>
      <c r="H515" s="1"/>
    </row>
    <row r="516" spans="1:8" x14ac:dyDescent="0.25">
      <c r="A516">
        <v>136</v>
      </c>
      <c r="B516" s="1">
        <v>436.01600000000002</v>
      </c>
      <c r="C516" s="1">
        <v>0.86018099999999997</v>
      </c>
      <c r="D516" s="1">
        <v>0.56194999999999995</v>
      </c>
      <c r="E516" s="1"/>
      <c r="F516" s="1"/>
      <c r="G516" s="1"/>
      <c r="H516" s="1"/>
    </row>
    <row r="517" spans="1:8" x14ac:dyDescent="0.25">
      <c r="A517">
        <v>137</v>
      </c>
      <c r="B517" s="1">
        <v>442.13600000000002</v>
      </c>
      <c r="C517" s="1">
        <v>0.85350700000000002</v>
      </c>
      <c r="D517" s="1">
        <v>0.55604100000000001</v>
      </c>
      <c r="E517" s="1"/>
      <c r="F517" s="1"/>
      <c r="G517" s="1"/>
      <c r="H517" s="1"/>
    </row>
    <row r="518" spans="1:8" x14ac:dyDescent="0.25">
      <c r="A518">
        <v>138</v>
      </c>
      <c r="B518" s="1">
        <v>448.274</v>
      </c>
      <c r="C518" s="1">
        <v>0.84684400000000004</v>
      </c>
      <c r="D518" s="1">
        <v>0.55011100000000002</v>
      </c>
      <c r="E518" s="1"/>
      <c r="F518" s="1"/>
      <c r="G518" s="1"/>
      <c r="H518" s="1"/>
    </row>
    <row r="519" spans="1:8" x14ac:dyDescent="0.25">
      <c r="A519">
        <v>139</v>
      </c>
      <c r="B519" s="1">
        <v>454.43</v>
      </c>
      <c r="C519" s="1">
        <v>0.84020099999999998</v>
      </c>
      <c r="D519" s="1">
        <v>0.54415999999999998</v>
      </c>
      <c r="E519" s="1"/>
      <c r="F519" s="1"/>
      <c r="G519" s="1"/>
      <c r="H519" s="1"/>
    </row>
    <row r="520" spans="1:8" x14ac:dyDescent="0.25">
      <c r="A520">
        <v>140</v>
      </c>
      <c r="B520" s="1">
        <v>460.60399999999998</v>
      </c>
      <c r="C520" s="1">
        <v>0.83357199999999998</v>
      </c>
      <c r="D520" s="1">
        <v>0.53819099999999997</v>
      </c>
      <c r="E520" s="1"/>
      <c r="F520" s="1"/>
      <c r="G520" s="1"/>
      <c r="H520" s="1"/>
    </row>
    <row r="521" spans="1:8" x14ac:dyDescent="0.25">
      <c r="A521">
        <v>141</v>
      </c>
      <c r="B521" s="1">
        <v>466.79500000000002</v>
      </c>
      <c r="C521" s="1">
        <v>0.82694800000000002</v>
      </c>
      <c r="D521" s="1">
        <v>0.53220400000000001</v>
      </c>
      <c r="E521" s="1"/>
      <c r="F521" s="1"/>
      <c r="G521" s="1"/>
      <c r="H521" s="1"/>
    </row>
    <row r="522" spans="1:8" x14ac:dyDescent="0.25">
      <c r="A522">
        <v>142</v>
      </c>
      <c r="B522" s="1">
        <v>473.00200000000001</v>
      </c>
      <c r="C522" s="1">
        <v>0.82031900000000002</v>
      </c>
      <c r="D522" s="1">
        <v>0.52620100000000003</v>
      </c>
      <c r="E522" s="1"/>
      <c r="F522" s="1"/>
      <c r="G522" s="1"/>
      <c r="H522" s="1"/>
    </row>
    <row r="523" spans="1:8" x14ac:dyDescent="0.25">
      <c r="A523">
        <v>143</v>
      </c>
      <c r="B523" s="1">
        <v>479.22500000000002</v>
      </c>
      <c r="C523" s="1">
        <v>0.81368700000000005</v>
      </c>
      <c r="D523" s="1">
        <v>0.52018399999999998</v>
      </c>
      <c r="E523" s="1"/>
      <c r="F523" s="1"/>
      <c r="G523" s="1"/>
      <c r="H523" s="1"/>
    </row>
    <row r="524" spans="1:8" x14ac:dyDescent="0.25">
      <c r="A524">
        <v>144</v>
      </c>
      <c r="B524" s="1">
        <v>485.464</v>
      </c>
      <c r="C524" s="1">
        <v>0.80705800000000005</v>
      </c>
      <c r="D524" s="1">
        <v>0.51415100000000002</v>
      </c>
      <c r="E524" s="1"/>
      <c r="F524" s="1"/>
      <c r="G524" s="1"/>
      <c r="H524" s="1"/>
    </row>
    <row r="525" spans="1:8" x14ac:dyDescent="0.25">
      <c r="A525">
        <v>145</v>
      </c>
      <c r="B525" s="1">
        <v>491.71699999999998</v>
      </c>
      <c r="C525" s="1">
        <v>0.80043200000000003</v>
      </c>
      <c r="D525" s="1">
        <v>0.50810200000000005</v>
      </c>
      <c r="E525" s="1"/>
      <c r="F525" s="1"/>
      <c r="G525" s="1"/>
      <c r="H525" s="1"/>
    </row>
    <row r="526" spans="1:8" x14ac:dyDescent="0.25">
      <c r="A526">
        <v>146</v>
      </c>
      <c r="B526" s="1">
        <v>497.98599999999999</v>
      </c>
      <c r="C526" s="1">
        <v>0.79380399999999995</v>
      </c>
      <c r="D526" s="1">
        <v>0.50203699999999996</v>
      </c>
      <c r="E526" s="1"/>
      <c r="F526" s="1"/>
      <c r="G526" s="1"/>
      <c r="H526" s="1"/>
    </row>
    <row r="527" spans="1:8" x14ac:dyDescent="0.25">
      <c r="A527">
        <v>147</v>
      </c>
      <c r="B527" s="1">
        <v>504.26900000000001</v>
      </c>
      <c r="C527" s="1">
        <v>0.78716900000000001</v>
      </c>
      <c r="D527" s="1">
        <v>0.49595400000000001</v>
      </c>
      <c r="E527" s="1"/>
      <c r="F527" s="1"/>
      <c r="G527" s="1"/>
      <c r="H527" s="1"/>
    </row>
    <row r="528" spans="1:8" x14ac:dyDescent="0.25">
      <c r="A528">
        <v>148</v>
      </c>
      <c r="B528" s="1">
        <v>510.565</v>
      </c>
      <c r="C528" s="1">
        <v>0.78052999999999995</v>
      </c>
      <c r="D528" s="1">
        <v>0.48985299999999998</v>
      </c>
      <c r="E528" s="1"/>
      <c r="F528" s="1"/>
      <c r="G528" s="1"/>
      <c r="H528" s="1"/>
    </row>
    <row r="529" spans="1:8" x14ac:dyDescent="0.25">
      <c r="A529">
        <v>149</v>
      </c>
      <c r="B529" s="1">
        <v>516.875</v>
      </c>
      <c r="C529" s="1">
        <v>0.77388900000000005</v>
      </c>
      <c r="D529" s="1">
        <v>0.483736</v>
      </c>
      <c r="E529" s="1"/>
      <c r="F529" s="1"/>
      <c r="G529" s="1"/>
      <c r="H529" s="1"/>
    </row>
    <row r="530" spans="1:8" x14ac:dyDescent="0.25">
      <c r="A530">
        <v>150</v>
      </c>
      <c r="B530" s="1">
        <v>523.19799999999998</v>
      </c>
      <c r="C530" s="1">
        <v>0.76725299999999996</v>
      </c>
      <c r="D530" s="1">
        <v>0.477607</v>
      </c>
      <c r="E530" s="1"/>
      <c r="F530" s="1"/>
      <c r="G530" s="1"/>
      <c r="H530" s="1"/>
    </row>
    <row r="531" spans="1:8" x14ac:dyDescent="0.25">
      <c r="A531">
        <v>151</v>
      </c>
      <c r="B531" s="1">
        <v>529.53399999999999</v>
      </c>
      <c r="C531" s="1">
        <v>0.760633</v>
      </c>
      <c r="D531" s="1">
        <v>0.471466</v>
      </c>
      <c r="E531" s="1"/>
      <c r="F531" s="1"/>
      <c r="G531" s="1"/>
      <c r="H531" s="1"/>
    </row>
    <row r="532" spans="1:8" x14ac:dyDescent="0.25">
      <c r="A532">
        <v>152</v>
      </c>
      <c r="B532" s="1">
        <v>535.88199999999995</v>
      </c>
      <c r="C532" s="1">
        <v>0.75404099999999996</v>
      </c>
      <c r="D532" s="1">
        <v>0.46531600000000001</v>
      </c>
      <c r="E532" s="1"/>
      <c r="F532" s="1"/>
      <c r="G532" s="1"/>
      <c r="H532" s="1"/>
    </row>
    <row r="533" spans="1:8" x14ac:dyDescent="0.25">
      <c r="A533">
        <v>153</v>
      </c>
      <c r="B533" s="1">
        <v>542.24199999999996</v>
      </c>
      <c r="C533" s="1">
        <v>0.74748700000000001</v>
      </c>
      <c r="D533" s="1">
        <v>0.45915600000000001</v>
      </c>
      <c r="E533" s="1"/>
      <c r="F533" s="1"/>
      <c r="G533" s="1"/>
      <c r="H533" s="1"/>
    </row>
    <row r="534" spans="1:8" x14ac:dyDescent="0.25">
      <c r="A534">
        <v>154</v>
      </c>
      <c r="B534" s="1">
        <v>548.61300000000006</v>
      </c>
      <c r="C534" s="1">
        <v>0.740977</v>
      </c>
      <c r="D534" s="1">
        <v>0.452986</v>
      </c>
      <c r="E534" s="1"/>
      <c r="F534" s="1"/>
      <c r="G534" s="1"/>
      <c r="H534" s="1"/>
    </row>
    <row r="535" spans="1:8" x14ac:dyDescent="0.25">
      <c r="A535">
        <v>155</v>
      </c>
      <c r="B535" s="1">
        <v>554.99599999999998</v>
      </c>
      <c r="C535" s="1">
        <v>0.73451200000000005</v>
      </c>
      <c r="D535" s="1">
        <v>0.44680500000000001</v>
      </c>
      <c r="E535" s="1"/>
      <c r="F535" s="1"/>
      <c r="G535" s="1"/>
      <c r="H535" s="1"/>
    </row>
    <row r="536" spans="1:8" x14ac:dyDescent="0.25">
      <c r="A536">
        <v>156</v>
      </c>
      <c r="B536" s="1">
        <v>561.39</v>
      </c>
      <c r="C536" s="1">
        <v>0.72809500000000005</v>
      </c>
      <c r="D536" s="1">
        <v>0.440612</v>
      </c>
      <c r="E536" s="1"/>
      <c r="F536" s="1"/>
      <c r="G536" s="1"/>
      <c r="H536" s="1"/>
    </row>
    <row r="537" spans="1:8" x14ac:dyDescent="0.25">
      <c r="A537">
        <v>157</v>
      </c>
      <c r="B537" s="1">
        <v>567.79499999999996</v>
      </c>
      <c r="C537" s="1">
        <v>0.72172800000000004</v>
      </c>
      <c r="D537" s="1">
        <v>0.43440800000000002</v>
      </c>
      <c r="E537" s="1"/>
      <c r="F537" s="1"/>
      <c r="G537" s="1"/>
      <c r="H537" s="1"/>
    </row>
    <row r="538" spans="1:8" x14ac:dyDescent="0.25">
      <c r="A538">
        <v>158</v>
      </c>
      <c r="B538" s="1">
        <v>574.21</v>
      </c>
      <c r="C538" s="1">
        <v>0.71541100000000002</v>
      </c>
      <c r="D538" s="1">
        <v>0.42819200000000002</v>
      </c>
      <c r="E538" s="1"/>
      <c r="F538" s="1"/>
      <c r="G538" s="1"/>
      <c r="H538" s="1"/>
    </row>
    <row r="539" spans="1:8" x14ac:dyDescent="0.25">
      <c r="A539">
        <v>159</v>
      </c>
      <c r="B539" s="1">
        <v>580.63499999999999</v>
      </c>
      <c r="C539" s="1">
        <v>0.70914500000000003</v>
      </c>
      <c r="D539" s="1">
        <v>0.42196499999999998</v>
      </c>
      <c r="E539" s="1"/>
      <c r="F539" s="1"/>
      <c r="G539" s="1"/>
      <c r="H539" s="1"/>
    </row>
    <row r="540" spans="1:8" x14ac:dyDescent="0.25">
      <c r="A540">
        <v>160</v>
      </c>
      <c r="B540" s="1">
        <v>587.07000000000005</v>
      </c>
      <c r="C540" s="1">
        <v>0.70293099999999997</v>
      </c>
      <c r="D540" s="1">
        <v>0.41572700000000001</v>
      </c>
      <c r="E540" s="1"/>
      <c r="F540" s="1"/>
      <c r="G540" s="1"/>
      <c r="H540" s="1"/>
    </row>
    <row r="541" spans="1:8" x14ac:dyDescent="0.25">
      <c r="A541">
        <v>161</v>
      </c>
      <c r="B541" s="1">
        <v>593.51499999999999</v>
      </c>
      <c r="C541" s="1">
        <v>0.69676800000000005</v>
      </c>
      <c r="D541" s="1">
        <v>0.40948000000000001</v>
      </c>
      <c r="E541" s="1"/>
      <c r="F541" s="1"/>
      <c r="G541" s="1"/>
      <c r="H541" s="1"/>
    </row>
    <row r="542" spans="1:8" x14ac:dyDescent="0.25">
      <c r="A542">
        <v>162</v>
      </c>
      <c r="B542" s="1">
        <v>599.97</v>
      </c>
      <c r="C542" s="1">
        <v>0.69065500000000002</v>
      </c>
      <c r="D542" s="1">
        <v>0.40322400000000003</v>
      </c>
      <c r="E542" s="1"/>
      <c r="F542" s="1"/>
      <c r="G542" s="1"/>
      <c r="H542" s="1"/>
    </row>
    <row r="543" spans="1:8" x14ac:dyDescent="0.25">
      <c r="A543">
        <v>163</v>
      </c>
      <c r="B543" s="1">
        <v>606.43299999999999</v>
      </c>
      <c r="C543" s="1">
        <v>0.68458300000000005</v>
      </c>
      <c r="D543" s="1">
        <v>0.39695900000000001</v>
      </c>
      <c r="E543" s="1"/>
      <c r="F543" s="1"/>
      <c r="G543" s="1"/>
      <c r="H543" s="1"/>
    </row>
    <row r="544" spans="1:8" x14ac:dyDescent="0.25">
      <c r="A544">
        <v>164</v>
      </c>
      <c r="B544" s="1">
        <v>612.90599999999995</v>
      </c>
      <c r="C544" s="1">
        <v>0.67854400000000004</v>
      </c>
      <c r="D544" s="1">
        <v>0.39068599999999998</v>
      </c>
      <c r="E544" s="1"/>
      <c r="F544" s="1"/>
      <c r="G544" s="1"/>
      <c r="H544" s="1"/>
    </row>
    <row r="545" spans="1:8" x14ac:dyDescent="0.25">
      <c r="A545">
        <v>165</v>
      </c>
      <c r="B545" s="1">
        <v>619.38800000000003</v>
      </c>
      <c r="C545" s="1">
        <v>0.67252299999999998</v>
      </c>
      <c r="D545" s="1">
        <v>0.384405</v>
      </c>
      <c r="E545" s="1"/>
      <c r="F545" s="1"/>
      <c r="G545" s="1"/>
      <c r="H545" s="1"/>
    </row>
    <row r="546" spans="1:8" x14ac:dyDescent="0.25">
      <c r="A546">
        <v>166</v>
      </c>
      <c r="B546" s="1">
        <v>625.87800000000004</v>
      </c>
      <c r="C546" s="1">
        <v>0.66650699999999996</v>
      </c>
      <c r="D546" s="1">
        <v>0.37811899999999998</v>
      </c>
      <c r="E546" s="1"/>
      <c r="F546" s="1"/>
      <c r="G546" s="1"/>
      <c r="H546" s="1"/>
    </row>
    <row r="547" spans="1:8" x14ac:dyDescent="0.25">
      <c r="A547">
        <v>167</v>
      </c>
      <c r="B547" s="1">
        <v>632.37699999999995</v>
      </c>
      <c r="C547" s="1">
        <v>0.66049100000000005</v>
      </c>
      <c r="D547" s="1">
        <v>0.37182700000000002</v>
      </c>
      <c r="E547" s="1"/>
      <c r="F547" s="1"/>
      <c r="G547" s="1"/>
      <c r="H547" s="1"/>
    </row>
    <row r="548" spans="1:8" x14ac:dyDescent="0.25">
      <c r="A548">
        <v>168</v>
      </c>
      <c r="B548" s="1">
        <v>638.88499999999999</v>
      </c>
      <c r="C548" s="1">
        <v>0.65448200000000001</v>
      </c>
      <c r="D548" s="1">
        <v>0.36552800000000002</v>
      </c>
      <c r="E548" s="1"/>
      <c r="F548" s="1"/>
      <c r="G548" s="1"/>
      <c r="H548" s="1"/>
    </row>
    <row r="549" spans="1:8" x14ac:dyDescent="0.25">
      <c r="A549">
        <v>169</v>
      </c>
      <c r="B549" s="1">
        <v>645.40099999999995</v>
      </c>
      <c r="C549" s="1">
        <v>0.64849699999999999</v>
      </c>
      <c r="D549" s="1">
        <v>0.35922100000000001</v>
      </c>
      <c r="E549" s="1"/>
      <c r="F549" s="1"/>
      <c r="G549" s="1"/>
      <c r="H549" s="1"/>
    </row>
    <row r="550" spans="1:8" x14ac:dyDescent="0.25">
      <c r="A550">
        <v>170</v>
      </c>
      <c r="B550" s="1">
        <v>651.92499999999995</v>
      </c>
      <c r="C550" s="1">
        <v>0.64255399999999996</v>
      </c>
      <c r="D550" s="1">
        <v>0.35290700000000003</v>
      </c>
      <c r="E550" s="1"/>
      <c r="F550" s="1"/>
      <c r="G550" s="1"/>
      <c r="H550" s="1"/>
    </row>
    <row r="551" spans="1:8" x14ac:dyDescent="0.25">
      <c r="A551">
        <v>171</v>
      </c>
      <c r="B551" s="1">
        <v>658.45699999999999</v>
      </c>
      <c r="C551" s="1">
        <v>0.63666999999999996</v>
      </c>
      <c r="D551" s="1">
        <v>0.34658800000000001</v>
      </c>
      <c r="E551" s="1"/>
      <c r="F551" s="1"/>
      <c r="G551" s="1"/>
      <c r="H551" s="1"/>
    </row>
    <row r="552" spans="1:8" x14ac:dyDescent="0.25">
      <c r="A552">
        <v>172</v>
      </c>
      <c r="B552" s="1">
        <v>664.99800000000005</v>
      </c>
      <c r="C552" s="1">
        <v>0.63085500000000005</v>
      </c>
      <c r="D552" s="1">
        <v>0.34026299999999998</v>
      </c>
      <c r="E552" s="1"/>
      <c r="F552" s="1"/>
      <c r="G552" s="1"/>
      <c r="H552" s="1"/>
    </row>
    <row r="553" spans="1:8" x14ac:dyDescent="0.25">
      <c r="A553">
        <v>173</v>
      </c>
      <c r="B553" s="1">
        <v>671.54600000000005</v>
      </c>
      <c r="C553" s="1">
        <v>0.62511499999999998</v>
      </c>
      <c r="D553" s="1">
        <v>0.33393400000000001</v>
      </c>
      <c r="E553" s="1"/>
      <c r="F553" s="1"/>
      <c r="G553" s="1"/>
      <c r="H553" s="1"/>
    </row>
    <row r="554" spans="1:8" x14ac:dyDescent="0.25">
      <c r="A554">
        <v>174</v>
      </c>
      <c r="B554" s="1">
        <v>678.10199999999998</v>
      </c>
      <c r="C554" s="1">
        <v>0.61945899999999998</v>
      </c>
      <c r="D554" s="1">
        <v>0.32760099999999998</v>
      </c>
      <c r="E554" s="1"/>
      <c r="F554" s="1"/>
      <c r="G554" s="1"/>
      <c r="H554" s="1"/>
    </row>
    <row r="555" spans="1:8" x14ac:dyDescent="0.25">
      <c r="A555">
        <v>175</v>
      </c>
      <c r="B555" s="1">
        <v>684.66700000000003</v>
      </c>
      <c r="C555" s="1">
        <v>0.61389899999999997</v>
      </c>
      <c r="D555" s="1">
        <v>0.32126199999999999</v>
      </c>
      <c r="E555" s="1"/>
      <c r="F555" s="1"/>
      <c r="G555" s="1"/>
      <c r="H555" s="1"/>
    </row>
    <row r="556" spans="1:8" x14ac:dyDescent="0.25">
      <c r="A556">
        <v>176</v>
      </c>
      <c r="B556" s="1">
        <v>691.23900000000003</v>
      </c>
      <c r="C556" s="1">
        <v>0.60844799999999999</v>
      </c>
      <c r="D556" s="1">
        <v>0.314919</v>
      </c>
      <c r="E556" s="1"/>
      <c r="F556" s="1"/>
      <c r="G556" s="1"/>
      <c r="H556" s="1"/>
    </row>
    <row r="557" spans="1:8" x14ac:dyDescent="0.25">
      <c r="A557">
        <v>177</v>
      </c>
      <c r="B557" s="1">
        <v>697.81899999999996</v>
      </c>
      <c r="C557" s="1">
        <v>0.60310799999999998</v>
      </c>
      <c r="D557" s="1">
        <v>0.30857200000000001</v>
      </c>
      <c r="E557" s="1"/>
      <c r="F557" s="1"/>
      <c r="G557" s="1"/>
      <c r="H557" s="1"/>
    </row>
    <row r="558" spans="1:8" x14ac:dyDescent="0.25">
      <c r="A558">
        <v>178</v>
      </c>
      <c r="B558" s="1">
        <v>704.40700000000004</v>
      </c>
      <c r="C558" s="1">
        <v>0.597881</v>
      </c>
      <c r="D558" s="1">
        <v>0.30221900000000002</v>
      </c>
      <c r="E558" s="1"/>
      <c r="F558" s="1"/>
      <c r="G558" s="1"/>
      <c r="H558" s="1"/>
    </row>
    <row r="559" spans="1:8" x14ac:dyDescent="0.25">
      <c r="A559">
        <v>179</v>
      </c>
      <c r="B559" s="1">
        <v>711.00300000000004</v>
      </c>
      <c r="C559" s="1">
        <v>0.59276099999999998</v>
      </c>
      <c r="D559" s="1">
        <v>0.29586099999999999</v>
      </c>
      <c r="E559" s="1"/>
      <c r="F559" s="1"/>
      <c r="G559" s="1"/>
      <c r="H559" s="1"/>
    </row>
    <row r="560" spans="1:8" x14ac:dyDescent="0.25">
      <c r="A560">
        <v>180</v>
      </c>
      <c r="B560" s="1">
        <v>717.60799999999995</v>
      </c>
      <c r="C560" s="1">
        <v>0.58773900000000001</v>
      </c>
      <c r="D560" s="1">
        <v>0.28949799999999998</v>
      </c>
      <c r="E560" s="1"/>
      <c r="F560" s="1"/>
      <c r="G560" s="1"/>
      <c r="H560" s="1"/>
    </row>
    <row r="561" spans="1:8" x14ac:dyDescent="0.25">
      <c r="A561">
        <v>181</v>
      </c>
      <c r="B561" s="1">
        <v>724.22</v>
      </c>
      <c r="C561" s="1">
        <v>0.58281099999999997</v>
      </c>
      <c r="D561" s="1">
        <v>0.28312900000000002</v>
      </c>
      <c r="E561" s="1"/>
      <c r="F561" s="1"/>
      <c r="G561" s="1"/>
      <c r="H561" s="1"/>
    </row>
    <row r="562" spans="1:8" x14ac:dyDescent="0.25">
      <c r="A562">
        <v>182</v>
      </c>
      <c r="B562" s="1">
        <v>730.84</v>
      </c>
      <c r="C562" s="1">
        <v>0.57797299999999996</v>
      </c>
      <c r="D562" s="1">
        <v>0.27675499999999997</v>
      </c>
      <c r="E562" s="1"/>
      <c r="F562" s="1"/>
      <c r="G562" s="1"/>
      <c r="H562" s="1"/>
    </row>
    <row r="563" spans="1:8" x14ac:dyDescent="0.25">
      <c r="A563">
        <v>183</v>
      </c>
      <c r="B563" s="1">
        <v>737.46900000000005</v>
      </c>
      <c r="C563" s="1">
        <v>0.57322499999999998</v>
      </c>
      <c r="D563" s="1">
        <v>0.27037499999999998</v>
      </c>
      <c r="E563" s="1"/>
      <c r="F563" s="1"/>
      <c r="G563" s="1"/>
      <c r="H563" s="1"/>
    </row>
    <row r="564" spans="1:8" x14ac:dyDescent="0.25">
      <c r="A564">
        <v>184</v>
      </c>
      <c r="B564" s="1">
        <v>744.10599999999999</v>
      </c>
      <c r="C564" s="1">
        <v>0.56856899999999999</v>
      </c>
      <c r="D564" s="1">
        <v>0.263988</v>
      </c>
      <c r="E564" s="1"/>
      <c r="F564" s="1"/>
      <c r="G564" s="1"/>
      <c r="H564" s="1"/>
    </row>
    <row r="565" spans="1:8" x14ac:dyDescent="0.25">
      <c r="A565">
        <v>185</v>
      </c>
      <c r="B565" s="1">
        <v>750.75099999999998</v>
      </c>
      <c r="C565" s="1">
        <v>0.56401000000000001</v>
      </c>
      <c r="D565" s="1">
        <v>0.25759500000000002</v>
      </c>
      <c r="E565" s="1"/>
      <c r="F565" s="1"/>
      <c r="G565" s="1"/>
      <c r="H565" s="1"/>
    </row>
    <row r="566" spans="1:8" x14ac:dyDescent="0.25">
      <c r="A566">
        <v>186</v>
      </c>
      <c r="B566" s="1">
        <v>757.40599999999995</v>
      </c>
      <c r="C566" s="1">
        <v>0.55954700000000002</v>
      </c>
      <c r="D566" s="1">
        <v>0.251195</v>
      </c>
      <c r="E566" s="1"/>
      <c r="F566" s="1"/>
      <c r="G566" s="1"/>
      <c r="H566" s="1"/>
    </row>
    <row r="567" spans="1:8" x14ac:dyDescent="0.25">
      <c r="A567">
        <v>187</v>
      </c>
      <c r="B567" s="1">
        <v>764.06899999999996</v>
      </c>
      <c r="C567" s="1">
        <v>0.55517700000000003</v>
      </c>
      <c r="D567" s="1">
        <v>0.24478800000000001</v>
      </c>
      <c r="E567" s="1"/>
      <c r="F567" s="1"/>
      <c r="G567" s="1"/>
      <c r="H567" s="1"/>
    </row>
    <row r="568" spans="1:8" x14ac:dyDescent="0.25">
      <c r="A568">
        <v>188</v>
      </c>
      <c r="B568" s="1">
        <v>770.74</v>
      </c>
      <c r="C568" s="1">
        <v>0.55089600000000005</v>
      </c>
      <c r="D568" s="1">
        <v>0.238374</v>
      </c>
      <c r="E568" s="1"/>
      <c r="F568" s="1"/>
      <c r="G568" s="1"/>
      <c r="H568" s="1"/>
    </row>
    <row r="569" spans="1:8" x14ac:dyDescent="0.25">
      <c r="A569">
        <v>189</v>
      </c>
      <c r="B569" s="1">
        <v>777.42100000000005</v>
      </c>
      <c r="C569" s="1">
        <v>0.54670600000000003</v>
      </c>
      <c r="D569" s="1">
        <v>0.23195299999999999</v>
      </c>
      <c r="E569" s="1"/>
      <c r="F569" s="1"/>
      <c r="G569" s="1"/>
      <c r="H569" s="1"/>
    </row>
    <row r="570" spans="1:8" x14ac:dyDescent="0.25">
      <c r="A570">
        <v>190</v>
      </c>
      <c r="B570" s="1">
        <v>784.11199999999997</v>
      </c>
      <c r="C570" s="1">
        <v>0.54261099999999995</v>
      </c>
      <c r="D570" s="1">
        <v>0.225526</v>
      </c>
      <c r="E570" s="1"/>
      <c r="F570" s="1"/>
      <c r="G570" s="1"/>
      <c r="H570" s="1"/>
    </row>
    <row r="571" spans="1:8" x14ac:dyDescent="0.25">
      <c r="A571">
        <v>191</v>
      </c>
      <c r="B571" s="1">
        <v>790.81200000000001</v>
      </c>
      <c r="C571" s="1">
        <v>0.53861999999999999</v>
      </c>
      <c r="D571" s="1">
        <v>0.21909100000000001</v>
      </c>
      <c r="E571" s="1"/>
      <c r="F571" s="1"/>
      <c r="G571" s="1"/>
      <c r="H571" s="1"/>
    </row>
    <row r="572" spans="1:8" x14ac:dyDescent="0.25">
      <c r="A572">
        <v>192</v>
      </c>
      <c r="B572" s="1">
        <v>797.52099999999996</v>
      </c>
      <c r="C572" s="1">
        <v>0.53473999999999999</v>
      </c>
      <c r="D572" s="1">
        <v>0.212649</v>
      </c>
      <c r="E572" s="1"/>
      <c r="F572" s="1"/>
      <c r="G572" s="1"/>
      <c r="H572" s="1"/>
    </row>
    <row r="573" spans="1:8" x14ac:dyDescent="0.25">
      <c r="A573">
        <v>193</v>
      </c>
      <c r="B573" s="1">
        <v>804.24099999999999</v>
      </c>
      <c r="C573" s="1">
        <v>0.53097799999999995</v>
      </c>
      <c r="D573" s="1">
        <v>0.20619699999999999</v>
      </c>
      <c r="E573" s="1"/>
      <c r="F573" s="1"/>
      <c r="G573" s="1"/>
      <c r="H573" s="1"/>
    </row>
    <row r="574" spans="1:8" x14ac:dyDescent="0.25">
      <c r="A574">
        <v>194</v>
      </c>
      <c r="B574" s="1">
        <v>810.97199999999998</v>
      </c>
      <c r="C574" s="1">
        <v>0.527335</v>
      </c>
      <c r="D574" s="1">
        <v>0.199736</v>
      </c>
      <c r="E574" s="1"/>
      <c r="F574" s="1"/>
      <c r="G574" s="1"/>
      <c r="H574" s="1"/>
    </row>
    <row r="575" spans="1:8" x14ac:dyDescent="0.25">
      <c r="A575">
        <v>195</v>
      </c>
      <c r="B575" s="1">
        <v>817.71199999999999</v>
      </c>
      <c r="C575" s="1">
        <v>0.52380400000000005</v>
      </c>
      <c r="D575" s="1">
        <v>0.19326699999999999</v>
      </c>
      <c r="E575" s="1"/>
      <c r="F575" s="1"/>
      <c r="G575" s="1"/>
      <c r="H575" s="1"/>
    </row>
    <row r="576" spans="1:8" x14ac:dyDescent="0.25">
      <c r="A576">
        <v>196</v>
      </c>
      <c r="B576" s="1">
        <v>824.46400000000006</v>
      </c>
      <c r="C576" s="1">
        <v>0.52037800000000001</v>
      </c>
      <c r="D576" s="1">
        <v>0.18679000000000001</v>
      </c>
      <c r="E576" s="1"/>
      <c r="F576" s="1"/>
      <c r="G576" s="1"/>
      <c r="H576" s="1"/>
    </row>
    <row r="577" spans="1:8" x14ac:dyDescent="0.25">
      <c r="A577">
        <v>197</v>
      </c>
      <c r="B577" s="1">
        <v>831.22699999999998</v>
      </c>
      <c r="C577" s="1">
        <v>0.51705599999999996</v>
      </c>
      <c r="D577" s="1">
        <v>0.18030399999999999</v>
      </c>
      <c r="E577" s="1"/>
      <c r="F577" s="1"/>
      <c r="G577" s="1"/>
      <c r="H577" s="1"/>
    </row>
    <row r="578" spans="1:8" x14ac:dyDescent="0.25">
      <c r="A578">
        <v>198</v>
      </c>
      <c r="B578" s="1">
        <v>838.00199999999995</v>
      </c>
      <c r="C578" s="1">
        <v>0.51383999999999996</v>
      </c>
      <c r="D578" s="1">
        <v>0.17380899999999999</v>
      </c>
      <c r="E578" s="1"/>
      <c r="F578" s="1"/>
      <c r="G578" s="1"/>
      <c r="H578" s="1"/>
    </row>
    <row r="579" spans="1:8" x14ac:dyDescent="0.25">
      <c r="A579">
        <v>199</v>
      </c>
      <c r="B579" s="1">
        <v>844.78899999999999</v>
      </c>
      <c r="C579" s="1">
        <v>0.51073500000000005</v>
      </c>
      <c r="D579" s="1">
        <v>0.16730500000000001</v>
      </c>
      <c r="E579" s="1"/>
      <c r="F579" s="1"/>
      <c r="G579" s="1"/>
      <c r="H579" s="1"/>
    </row>
    <row r="580" spans="1:8" x14ac:dyDescent="0.25">
      <c r="A580">
        <v>200</v>
      </c>
      <c r="B580" s="1">
        <v>851.58900000000006</v>
      </c>
      <c r="C580" s="1">
        <v>0.50774200000000003</v>
      </c>
      <c r="D580" s="1">
        <v>0.16078999999999999</v>
      </c>
      <c r="E580" s="1"/>
      <c r="F580" s="1"/>
      <c r="G580" s="1"/>
      <c r="H580" s="1"/>
    </row>
    <row r="581" spans="1:8" x14ac:dyDescent="0.25">
      <c r="A581">
        <v>201</v>
      </c>
      <c r="B581" s="1">
        <v>858.40099999999995</v>
      </c>
      <c r="C581" s="1">
        <v>0.50485999999999998</v>
      </c>
      <c r="D581" s="1">
        <v>0.15426400000000001</v>
      </c>
      <c r="E581" s="1"/>
      <c r="F581" s="1"/>
      <c r="G581" s="1"/>
      <c r="H581" s="1"/>
    </row>
    <row r="582" spans="1:8" x14ac:dyDescent="0.25">
      <c r="A582">
        <v>202</v>
      </c>
      <c r="B582" s="1">
        <v>865.226</v>
      </c>
      <c r="C582" s="1">
        <v>0.50208299999999995</v>
      </c>
      <c r="D582" s="1">
        <v>0.147727</v>
      </c>
      <c r="E582" s="1"/>
      <c r="F582" s="1"/>
      <c r="G582" s="1"/>
      <c r="H582" s="1"/>
    </row>
    <row r="583" spans="1:8" x14ac:dyDescent="0.25">
      <c r="A583">
        <v>203</v>
      </c>
      <c r="B583" s="1">
        <v>872.06600000000003</v>
      </c>
      <c r="C583" s="1">
        <v>0.49940499999999999</v>
      </c>
      <c r="D583" s="1">
        <v>0.14118</v>
      </c>
      <c r="E583" s="1"/>
      <c r="F583" s="1"/>
      <c r="G583" s="1"/>
      <c r="H583" s="1"/>
    </row>
    <row r="584" spans="1:8" x14ac:dyDescent="0.25">
      <c r="A584">
        <v>204</v>
      </c>
      <c r="B584" s="1">
        <v>878.91899999999998</v>
      </c>
      <c r="C584" s="1">
        <v>0.49682500000000002</v>
      </c>
      <c r="D584" s="1">
        <v>0.13462199999999999</v>
      </c>
      <c r="E584" s="1"/>
      <c r="F584" s="1"/>
      <c r="G584" s="1"/>
      <c r="H584" s="1"/>
    </row>
    <row r="585" spans="1:8" x14ac:dyDescent="0.25">
      <c r="A585">
        <v>205</v>
      </c>
      <c r="B585" s="1">
        <v>885.78800000000001</v>
      </c>
      <c r="C585" s="1">
        <v>0.494342</v>
      </c>
      <c r="D585" s="1">
        <v>0.128052</v>
      </c>
      <c r="E585" s="1"/>
      <c r="F585" s="1"/>
      <c r="G585" s="1"/>
      <c r="H585" s="1"/>
    </row>
    <row r="586" spans="1:8" x14ac:dyDescent="0.25">
      <c r="A586">
        <v>206</v>
      </c>
      <c r="B586" s="1">
        <v>892.67200000000003</v>
      </c>
      <c r="C586" s="1">
        <v>0.49196400000000001</v>
      </c>
      <c r="D586" s="1">
        <v>0.12146800000000001</v>
      </c>
      <c r="E586" s="1"/>
      <c r="F586" s="1"/>
      <c r="G586" s="1"/>
      <c r="H586" s="1"/>
    </row>
    <row r="587" spans="1:8" x14ac:dyDescent="0.25">
      <c r="A587">
        <v>207</v>
      </c>
      <c r="B587" s="1">
        <v>899.57100000000003</v>
      </c>
      <c r="C587" s="1">
        <v>0.48970000000000002</v>
      </c>
      <c r="D587" s="1">
        <v>0.11487</v>
      </c>
      <c r="E587" s="1"/>
      <c r="F587" s="1"/>
      <c r="G587" s="1"/>
      <c r="H587" s="1"/>
    </row>
    <row r="588" spans="1:8" x14ac:dyDescent="0.25">
      <c r="A588">
        <v>208</v>
      </c>
      <c r="B588" s="1">
        <v>906.48699999999997</v>
      </c>
      <c r="C588" s="1">
        <v>0.48755500000000002</v>
      </c>
      <c r="D588" s="1">
        <v>0.10825600000000001</v>
      </c>
      <c r="E588" s="1"/>
      <c r="F588" s="1"/>
      <c r="G588" s="1"/>
      <c r="H588" s="1"/>
    </row>
    <row r="589" spans="1:8" x14ac:dyDescent="0.25">
      <c r="A589">
        <v>209</v>
      </c>
      <c r="B589" s="1">
        <v>913.42100000000005</v>
      </c>
      <c r="C589" s="1">
        <v>0.48553299999999999</v>
      </c>
      <c r="D589" s="1">
        <v>0.101628</v>
      </c>
      <c r="E589" s="1"/>
      <c r="F589" s="1"/>
      <c r="G589" s="1"/>
      <c r="H589" s="1"/>
    </row>
    <row r="590" spans="1:8" x14ac:dyDescent="0.25">
      <c r="A590">
        <v>210</v>
      </c>
      <c r="B590" s="1">
        <v>920.37199999999996</v>
      </c>
      <c r="C590" s="1">
        <v>0.48363600000000001</v>
      </c>
      <c r="D590" s="1">
        <v>9.4985399999999998E-2</v>
      </c>
      <c r="E590" s="1"/>
      <c r="F590" s="1"/>
      <c r="G590" s="1"/>
      <c r="H590" s="1"/>
    </row>
    <row r="591" spans="1:8" x14ac:dyDescent="0.25">
      <c r="A591">
        <v>211</v>
      </c>
      <c r="B591" s="1">
        <v>927.34100000000001</v>
      </c>
      <c r="C591" s="1">
        <v>0.48186499999999999</v>
      </c>
      <c r="D591" s="1">
        <v>8.8329299999999999E-2</v>
      </c>
      <c r="E591" s="1"/>
      <c r="F591" s="1"/>
      <c r="G591" s="1"/>
      <c r="H591" s="1"/>
    </row>
    <row r="592" spans="1:8" x14ac:dyDescent="0.25">
      <c r="A592">
        <v>212</v>
      </c>
      <c r="B592" s="1">
        <v>934.33</v>
      </c>
      <c r="C592" s="1">
        <v>0.48021900000000001</v>
      </c>
      <c r="D592" s="1">
        <v>8.1658900000000006E-2</v>
      </c>
      <c r="E592" s="1"/>
      <c r="F592" s="1"/>
      <c r="G592" s="1"/>
      <c r="H592" s="1"/>
    </row>
    <row r="593" spans="1:8" x14ac:dyDescent="0.25">
      <c r="A593">
        <v>213</v>
      </c>
      <c r="B593" s="1">
        <v>941.33900000000006</v>
      </c>
      <c r="C593" s="1">
        <v>0.47869699999999998</v>
      </c>
      <c r="D593" s="1">
        <v>7.4972200000000003E-2</v>
      </c>
      <c r="E593" s="1"/>
      <c r="F593" s="1"/>
      <c r="G593" s="1"/>
      <c r="H593" s="1"/>
    </row>
    <row r="594" spans="1:8" x14ac:dyDescent="0.25">
      <c r="A594">
        <v>214</v>
      </c>
      <c r="B594" s="1">
        <v>948.36800000000005</v>
      </c>
      <c r="C594" s="1">
        <v>0.4773</v>
      </c>
      <c r="D594" s="1">
        <v>6.8266900000000005E-2</v>
      </c>
      <c r="E594" s="1"/>
      <c r="F594" s="1"/>
      <c r="G594" s="1"/>
      <c r="H594" s="1"/>
    </row>
    <row r="595" spans="1:8" x14ac:dyDescent="0.25">
      <c r="A595">
        <v>215</v>
      </c>
      <c r="B595" s="1">
        <v>955.41899999999998</v>
      </c>
      <c r="C595" s="1">
        <v>0.47602800000000001</v>
      </c>
      <c r="D595" s="1">
        <v>6.1541999999999999E-2</v>
      </c>
      <c r="E595" s="1"/>
      <c r="F595" s="1"/>
      <c r="G595" s="1"/>
      <c r="H595" s="1"/>
    </row>
    <row r="596" spans="1:8" x14ac:dyDescent="0.25">
      <c r="A596">
        <v>216</v>
      </c>
      <c r="B596" s="1">
        <v>962.49199999999996</v>
      </c>
      <c r="C596" s="1">
        <v>0.474885</v>
      </c>
      <c r="D596" s="1">
        <v>5.4796900000000003E-2</v>
      </c>
      <c r="E596" s="1"/>
      <c r="F596" s="1"/>
      <c r="G596" s="1"/>
      <c r="H596" s="1"/>
    </row>
    <row r="597" spans="1:8" x14ac:dyDescent="0.25">
      <c r="A597">
        <v>217</v>
      </c>
      <c r="B597" s="1">
        <v>969.58799999999997</v>
      </c>
      <c r="C597" s="1">
        <v>0.47387299999999999</v>
      </c>
      <c r="D597" s="1">
        <v>4.80306E-2</v>
      </c>
      <c r="E597" s="1"/>
      <c r="F597" s="1"/>
      <c r="G597" s="1"/>
      <c r="H597" s="1"/>
    </row>
    <row r="598" spans="1:8" x14ac:dyDescent="0.25">
      <c r="A598">
        <v>218</v>
      </c>
      <c r="B598" s="1">
        <v>976.70899999999995</v>
      </c>
      <c r="C598" s="1">
        <v>0.47299400000000003</v>
      </c>
      <c r="D598" s="1">
        <v>4.1241800000000002E-2</v>
      </c>
      <c r="E598" s="1"/>
      <c r="F598" s="1"/>
      <c r="G598" s="1"/>
      <c r="H598" s="1"/>
    </row>
    <row r="599" spans="1:8" x14ac:dyDescent="0.25">
      <c r="A599">
        <v>219</v>
      </c>
      <c r="B599" s="1">
        <v>983.85500000000002</v>
      </c>
      <c r="C599" s="1">
        <v>0.47224500000000003</v>
      </c>
      <c r="D599" s="1">
        <v>3.4430299999999997E-2</v>
      </c>
      <c r="E599" s="1"/>
      <c r="F599" s="1"/>
      <c r="G599" s="1"/>
      <c r="H599" s="1"/>
    </row>
    <row r="600" spans="1:8" x14ac:dyDescent="0.25">
      <c r="A600">
        <v>220</v>
      </c>
      <c r="B600" s="1">
        <v>991.02700000000004</v>
      </c>
      <c r="C600" s="1">
        <v>0.47162999999999999</v>
      </c>
      <c r="D600" s="1">
        <v>2.75953E-2</v>
      </c>
      <c r="E600" s="1"/>
      <c r="F600" s="1"/>
      <c r="G600" s="1"/>
      <c r="H600" s="1"/>
    </row>
    <row r="601" spans="1:8" x14ac:dyDescent="0.25">
      <c r="A601">
        <v>221</v>
      </c>
      <c r="B601" s="1">
        <v>998.226</v>
      </c>
      <c r="C601" s="1">
        <v>0.47114600000000001</v>
      </c>
      <c r="D601" s="1">
        <v>2.0735300000000002E-2</v>
      </c>
      <c r="E601" s="1"/>
      <c r="F601" s="1"/>
      <c r="G601" s="1"/>
      <c r="H601" s="1"/>
    </row>
    <row r="602" spans="1:8" x14ac:dyDescent="0.25">
      <c r="A602">
        <v>222</v>
      </c>
      <c r="B602" s="1">
        <v>1005.45</v>
      </c>
      <c r="C602" s="1">
        <v>0.47079599999999999</v>
      </c>
      <c r="D602" s="1">
        <v>1.38485E-2</v>
      </c>
      <c r="E602" s="1"/>
      <c r="F602" s="1"/>
      <c r="G602" s="1"/>
      <c r="H602" s="1"/>
    </row>
    <row r="603" spans="1:8" x14ac:dyDescent="0.25">
      <c r="A603">
        <v>223</v>
      </c>
      <c r="B603" s="1">
        <v>1012.71</v>
      </c>
      <c r="C603" s="1">
        <v>0.470582</v>
      </c>
      <c r="D603" s="1">
        <v>6.9358199999999997E-3</v>
      </c>
      <c r="E603" s="1"/>
      <c r="F603" s="1"/>
      <c r="G603" s="1"/>
      <c r="H603" s="1"/>
    </row>
    <row r="604" spans="1:8" x14ac:dyDescent="0.25">
      <c r="A604">
        <v>224</v>
      </c>
      <c r="B604" s="1">
        <v>1020</v>
      </c>
      <c r="C604" s="1">
        <v>0.47050900000000001</v>
      </c>
      <c r="D604" s="1">
        <v>0</v>
      </c>
      <c r="E604" s="1"/>
      <c r="F604" s="1"/>
      <c r="G604" s="1"/>
      <c r="H604" s="1"/>
    </row>
    <row r="605" spans="1:8" x14ac:dyDescent="0.25">
      <c r="B605" s="1"/>
      <c r="C605" s="1"/>
      <c r="D605" s="1"/>
      <c r="E605" s="1"/>
      <c r="F605" s="1"/>
      <c r="G605" s="1"/>
      <c r="H605" s="1"/>
    </row>
    <row r="606" spans="1:8" x14ac:dyDescent="0.25">
      <c r="B606" s="1"/>
      <c r="C606" s="1"/>
      <c r="D606" s="1"/>
      <c r="E606" s="1"/>
      <c r="F606" s="1"/>
      <c r="G606" s="1"/>
      <c r="H606" s="1"/>
    </row>
    <row r="607" spans="1:8" x14ac:dyDescent="0.25">
      <c r="A607">
        <v>6</v>
      </c>
      <c r="B607" s="1" t="s">
        <v>367</v>
      </c>
      <c r="C607" s="1" t="s">
        <v>28</v>
      </c>
      <c r="D607" s="1" t="s">
        <v>278</v>
      </c>
      <c r="E607" s="1" t="s">
        <v>258</v>
      </c>
      <c r="F607" s="1"/>
      <c r="G607" s="1"/>
      <c r="H607" s="1"/>
    </row>
    <row r="608" spans="1:8" x14ac:dyDescent="0.25">
      <c r="B608" s="1"/>
      <c r="C608" s="1"/>
      <c r="D608" s="1"/>
      <c r="E608" s="1"/>
      <c r="F608" s="1"/>
      <c r="G608" s="1"/>
      <c r="H608" s="1"/>
    </row>
    <row r="609" spans="1:9" x14ac:dyDescent="0.25">
      <c r="A609" t="s">
        <v>368</v>
      </c>
      <c r="B609" s="1" t="s">
        <v>28</v>
      </c>
      <c r="C609" s="1" t="s">
        <v>7</v>
      </c>
      <c r="D609" s="1" t="s">
        <v>109</v>
      </c>
      <c r="E609" s="1"/>
      <c r="F609" s="1"/>
      <c r="G609" s="1"/>
      <c r="H609" s="1"/>
    </row>
    <row r="610" spans="1:9" x14ac:dyDescent="0.25">
      <c r="B610" s="1"/>
      <c r="C610" s="1"/>
      <c r="D610" s="1"/>
      <c r="E610" s="1"/>
      <c r="F610" s="1"/>
      <c r="G610" s="1"/>
      <c r="H610" s="1"/>
    </row>
    <row r="611" spans="1:9" x14ac:dyDescent="0.25">
      <c r="B611" s="1" t="s">
        <v>361</v>
      </c>
      <c r="C611" s="1" t="s">
        <v>362</v>
      </c>
      <c r="D611" s="1" t="s">
        <v>369</v>
      </c>
      <c r="E611" s="1" t="s">
        <v>370</v>
      </c>
      <c r="F611" s="1" t="s">
        <v>371</v>
      </c>
      <c r="G611" s="1" t="s">
        <v>372</v>
      </c>
      <c r="H611" s="1" t="s">
        <v>373</v>
      </c>
      <c r="I611" t="s">
        <v>374</v>
      </c>
    </row>
    <row r="612" spans="1:9" x14ac:dyDescent="0.25">
      <c r="A612">
        <v>1</v>
      </c>
      <c r="B612" s="1">
        <v>0.153945</v>
      </c>
      <c r="C612" s="1">
        <v>7.4778099999999996E-6</v>
      </c>
      <c r="D612" s="1">
        <v>-0.24029700000000001</v>
      </c>
      <c r="E612" s="1">
        <v>3.2485999999999999E-3</v>
      </c>
      <c r="F612" s="1">
        <v>1.37542E-5</v>
      </c>
      <c r="G612" s="1">
        <v>0.23697099999999999</v>
      </c>
      <c r="H612" s="1">
        <v>-5.5628399999999998E-5</v>
      </c>
    </row>
    <row r="613" spans="1:9" x14ac:dyDescent="0.25">
      <c r="A613">
        <v>2</v>
      </c>
      <c r="B613" s="1">
        <v>0.46582699999999999</v>
      </c>
      <c r="C613" s="1">
        <v>1.19296E-4</v>
      </c>
      <c r="D613" s="1">
        <v>-0.22986000000000001</v>
      </c>
      <c r="E613" s="1">
        <v>8.3976599999999995E-3</v>
      </c>
      <c r="F613" s="1">
        <v>2.1433300000000001E-4</v>
      </c>
      <c r="G613" s="1">
        <v>0.221079</v>
      </c>
      <c r="H613" s="1">
        <v>-4.8968200000000003E-5</v>
      </c>
    </row>
    <row r="614" spans="1:9" x14ac:dyDescent="0.25">
      <c r="A614">
        <v>3</v>
      </c>
      <c r="B614" s="1">
        <v>0.78633399999999998</v>
      </c>
      <c r="C614" s="1">
        <v>5.47113E-4</v>
      </c>
      <c r="D614" s="1">
        <v>-0.221469</v>
      </c>
      <c r="E614" s="1">
        <v>1.24063E-2</v>
      </c>
      <c r="F614" s="1">
        <v>9.6289200000000002E-4</v>
      </c>
      <c r="G614" s="1">
        <v>0.207508</v>
      </c>
      <c r="H614" s="1">
        <v>-4.4915900000000001E-5</v>
      </c>
    </row>
    <row r="615" spans="1:9" x14ac:dyDescent="0.25">
      <c r="A615">
        <v>4</v>
      </c>
      <c r="B615" s="1">
        <v>1.11676</v>
      </c>
      <c r="C615" s="1">
        <v>1.55843E-3</v>
      </c>
      <c r="D615" s="1">
        <v>-0.21437500000000001</v>
      </c>
      <c r="E615" s="1">
        <v>1.5438800000000001E-2</v>
      </c>
      <c r="F615" s="1">
        <v>2.6650799999999998E-3</v>
      </c>
      <c r="G615" s="1">
        <v>0.19470100000000001</v>
      </c>
      <c r="H615" s="1">
        <v>-1.25438E-5</v>
      </c>
    </row>
    <row r="616" spans="1:9" x14ac:dyDescent="0.25">
      <c r="A616">
        <v>5</v>
      </c>
      <c r="B616" s="1">
        <v>1.45842</v>
      </c>
      <c r="C616" s="1">
        <v>3.46919E-3</v>
      </c>
      <c r="D616" s="1">
        <v>-0.20802999999999999</v>
      </c>
      <c r="E616" s="1">
        <v>1.76434E-2</v>
      </c>
      <c r="F616" s="1">
        <v>5.6967199999999997E-3</v>
      </c>
      <c r="G616" s="1">
        <v>0.18124399999999999</v>
      </c>
      <c r="H616" s="1">
        <v>2.2935899999999998E-5</v>
      </c>
    </row>
    <row r="617" spans="1:9" x14ac:dyDescent="0.25">
      <c r="A617">
        <v>6</v>
      </c>
      <c r="B617" s="1">
        <v>1.81264</v>
      </c>
      <c r="C617" s="1">
        <v>6.6353000000000002E-3</v>
      </c>
      <c r="D617" s="1">
        <v>-0.20197499999999999</v>
      </c>
      <c r="E617" s="1">
        <v>1.9152700000000002E-2</v>
      </c>
      <c r="F617" s="1">
        <v>1.0312E-2</v>
      </c>
      <c r="G617" s="1">
        <v>0.165931</v>
      </c>
      <c r="H617" s="1">
        <v>5.6369100000000002E-5</v>
      </c>
    </row>
    <row r="618" spans="1:9" x14ac:dyDescent="0.25">
      <c r="A618">
        <v>7</v>
      </c>
      <c r="B618" s="1">
        <v>2.1807599999999998</v>
      </c>
      <c r="C618" s="1">
        <v>1.14343E-2</v>
      </c>
      <c r="D618" s="1">
        <v>-0.19586400000000001</v>
      </c>
      <c r="E618" s="1">
        <v>2.0085100000000002E-2</v>
      </c>
      <c r="F618" s="1">
        <v>1.65462E-2</v>
      </c>
      <c r="G618" s="1">
        <v>0.14788399999999999</v>
      </c>
      <c r="H618" s="1">
        <v>8.5561899999999998E-5</v>
      </c>
    </row>
    <row r="619" spans="1:9" x14ac:dyDescent="0.25">
      <c r="A619">
        <v>8</v>
      </c>
      <c r="B619" s="1">
        <v>2.5641400000000001</v>
      </c>
      <c r="C619" s="1">
        <v>1.8236200000000001E-2</v>
      </c>
      <c r="D619" s="1">
        <v>-0.18948499999999999</v>
      </c>
      <c r="E619" s="1">
        <v>2.05452E-2</v>
      </c>
      <c r="F619" s="1">
        <v>2.41415E-2</v>
      </c>
      <c r="G619" s="1">
        <v>0.12667300000000001</v>
      </c>
      <c r="H619" s="1">
        <v>1.10945E-4</v>
      </c>
    </row>
    <row r="620" spans="1:9" x14ac:dyDescent="0.25">
      <c r="A620">
        <v>9</v>
      </c>
      <c r="B620" s="1">
        <v>2.9641299999999999</v>
      </c>
      <c r="C620" s="1">
        <v>2.7364200000000002E-2</v>
      </c>
      <c r="D620" s="1">
        <v>-0.18277499999999999</v>
      </c>
      <c r="E620" s="1">
        <v>2.0624E-2</v>
      </c>
      <c r="F620" s="1">
        <v>3.2520800000000002E-2</v>
      </c>
      <c r="G620" s="1">
        <v>0.10240100000000001</v>
      </c>
      <c r="H620" s="1">
        <v>1.3575600000000001E-4</v>
      </c>
    </row>
    <row r="621" spans="1:9" x14ac:dyDescent="0.25">
      <c r="A621">
        <v>10</v>
      </c>
      <c r="B621" s="1">
        <v>3.38212</v>
      </c>
      <c r="C621" s="1">
        <v>3.9047699999999998E-2</v>
      </c>
      <c r="D621" s="1">
        <v>-0.175815</v>
      </c>
      <c r="E621" s="1">
        <v>2.0399500000000001E-2</v>
      </c>
      <c r="F621" s="1">
        <v>4.0826000000000001E-2</v>
      </c>
      <c r="G621" s="1">
        <v>7.57076E-2</v>
      </c>
      <c r="H621" s="1">
        <v>1.6531299999999999E-4</v>
      </c>
    </row>
    <row r="622" spans="1:9" x14ac:dyDescent="0.25">
      <c r="A622">
        <v>11</v>
      </c>
      <c r="B622" s="1">
        <v>3.8194699999999999</v>
      </c>
      <c r="C622" s="1">
        <v>5.3374600000000001E-2</v>
      </c>
      <c r="D622" s="1">
        <v>-0.16881199999999999</v>
      </c>
      <c r="E622" s="1">
        <v>1.9935700000000001E-2</v>
      </c>
      <c r="F622" s="1">
        <v>4.8020199999999999E-2</v>
      </c>
      <c r="G622" s="1">
        <v>4.7687500000000001E-2</v>
      </c>
      <c r="H622" s="1">
        <v>2.0567900000000001E-4</v>
      </c>
    </row>
    <row r="623" spans="1:9" x14ac:dyDescent="0.25">
      <c r="A623">
        <v>12</v>
      </c>
      <c r="B623" s="1">
        <v>4.2775699999999999</v>
      </c>
      <c r="C623" s="1">
        <v>7.02483E-2</v>
      </c>
      <c r="D623" s="1">
        <v>-0.162049</v>
      </c>
      <c r="E623" s="1">
        <v>1.9283600000000001E-2</v>
      </c>
      <c r="F623" s="1">
        <v>5.3039700000000002E-2</v>
      </c>
      <c r="G623" s="1">
        <v>1.9739199999999998E-2</v>
      </c>
      <c r="H623" s="1">
        <v>2.6205299999999999E-4</v>
      </c>
    </row>
    <row r="624" spans="1:9" x14ac:dyDescent="0.25">
      <c r="A624">
        <v>13</v>
      </c>
      <c r="B624" s="1">
        <v>4.7577800000000003</v>
      </c>
      <c r="C624" s="1">
        <v>8.9360499999999995E-2</v>
      </c>
      <c r="D624" s="1">
        <v>-0.155829</v>
      </c>
      <c r="E624" s="1">
        <v>1.84811E-2</v>
      </c>
      <c r="F624" s="1">
        <v>5.49662E-2</v>
      </c>
      <c r="G624" s="1">
        <v>-6.6413599999999998E-3</v>
      </c>
      <c r="H624" s="1">
        <v>3.3733800000000002E-4</v>
      </c>
    </row>
    <row r="625" spans="1:8" x14ac:dyDescent="0.25">
      <c r="A625">
        <v>14</v>
      </c>
      <c r="B625" s="1">
        <v>5.2614799999999997</v>
      </c>
      <c r="C625" s="1">
        <v>0.11018600000000001</v>
      </c>
      <c r="D625" s="1">
        <v>-0.150421</v>
      </c>
      <c r="E625" s="1">
        <v>1.7554299999999998E-2</v>
      </c>
      <c r="F625" s="1">
        <v>5.3182399999999998E-2</v>
      </c>
      <c r="G625" s="1">
        <v>-3.0070800000000002E-2</v>
      </c>
      <c r="H625" s="1">
        <v>4.31247E-4</v>
      </c>
    </row>
    <row r="626" spans="1:8" x14ac:dyDescent="0.25">
      <c r="A626">
        <v>15</v>
      </c>
      <c r="B626" s="1">
        <v>5.7900499999999999</v>
      </c>
      <c r="C626" s="1">
        <v>0.13200500000000001</v>
      </c>
      <c r="D626" s="1">
        <v>-0.146005</v>
      </c>
      <c r="E626" s="1">
        <v>1.6519599999999999E-2</v>
      </c>
      <c r="F626" s="1">
        <v>4.74802E-2</v>
      </c>
      <c r="G626" s="1">
        <v>-4.9459099999999999E-2</v>
      </c>
      <c r="H626" s="1">
        <v>5.4019599999999995E-4</v>
      </c>
    </row>
    <row r="627" spans="1:8" x14ac:dyDescent="0.25">
      <c r="A627">
        <v>16</v>
      </c>
      <c r="B627" s="1">
        <v>6.3448399999999996</v>
      </c>
      <c r="C627" s="1">
        <v>0.15395200000000001</v>
      </c>
      <c r="D627" s="1">
        <v>-0.142651</v>
      </c>
      <c r="E627" s="1">
        <v>1.53864E-2</v>
      </c>
      <c r="F627" s="1">
        <v>3.8099500000000001E-2</v>
      </c>
      <c r="G627" s="1">
        <v>-6.4128699999999997E-2</v>
      </c>
      <c r="H627" s="1">
        <v>6.5798099999999997E-4</v>
      </c>
    </row>
    <row r="628" spans="1:8" x14ac:dyDescent="0.25">
      <c r="A628">
        <v>17</v>
      </c>
      <c r="B628" s="1">
        <v>6.9272099999999996</v>
      </c>
      <c r="C628" s="1">
        <v>0.175093</v>
      </c>
      <c r="D628" s="1">
        <v>-0.14030899999999999</v>
      </c>
      <c r="E628" s="1">
        <v>1.4160300000000001E-2</v>
      </c>
      <c r="F628" s="1">
        <v>2.56913E-2</v>
      </c>
      <c r="G628" s="1">
        <v>-7.3858599999999996E-2</v>
      </c>
      <c r="H628" s="1">
        <v>7.7701199999999999E-4</v>
      </c>
    </row>
    <row r="629" spans="1:8" x14ac:dyDescent="0.25">
      <c r="A629">
        <v>18</v>
      </c>
      <c r="B629" s="1">
        <v>7.5385099999999996</v>
      </c>
      <c r="C629" s="1">
        <v>0.19450500000000001</v>
      </c>
      <c r="D629" s="1">
        <v>-0.138824</v>
      </c>
      <c r="E629" s="1">
        <v>1.28469E-2</v>
      </c>
      <c r="F629" s="1">
        <v>1.1217400000000001E-2</v>
      </c>
      <c r="G629" s="1">
        <v>-7.8855300000000003E-2</v>
      </c>
      <c r="H629" s="1">
        <v>8.8976699999999997E-4</v>
      </c>
    </row>
    <row r="630" spans="1:8" x14ac:dyDescent="0.25">
      <c r="A630">
        <v>19</v>
      </c>
      <c r="B630" s="1">
        <v>8.1800700000000006</v>
      </c>
      <c r="C630" s="1">
        <v>0.211367</v>
      </c>
      <c r="D630" s="1">
        <v>-0.13797300000000001</v>
      </c>
      <c r="E630" s="1">
        <v>1.1455099999999999E-2</v>
      </c>
      <c r="F630" s="1">
        <v>-4.1909800000000004E-3</v>
      </c>
      <c r="G630" s="1">
        <v>-7.9668100000000006E-2</v>
      </c>
      <c r="H630" s="1">
        <v>9.9008800000000008E-4</v>
      </c>
    </row>
    <row r="631" spans="1:8" x14ac:dyDescent="0.25">
      <c r="A631">
        <v>20</v>
      </c>
      <c r="B631" s="1">
        <v>8.8532100000000007</v>
      </c>
      <c r="C631" s="1">
        <v>0.22502900000000001</v>
      </c>
      <c r="D631" s="1">
        <v>-0.13749600000000001</v>
      </c>
      <c r="E631" s="1">
        <v>9.99945E-3</v>
      </c>
      <c r="F631" s="1">
        <v>-1.9386899999999999E-2</v>
      </c>
      <c r="G631" s="1">
        <v>-7.7071000000000001E-2</v>
      </c>
      <c r="H631" s="1">
        <v>1.0740599999999999E-3</v>
      </c>
    </row>
    <row r="632" spans="1:8" x14ac:dyDescent="0.25">
      <c r="A632">
        <v>21</v>
      </c>
      <c r="B632" s="1">
        <v>9.5592299999999994</v>
      </c>
      <c r="C632" s="1">
        <v>0.23506299999999999</v>
      </c>
      <c r="D632" s="1">
        <v>-0.13714000000000001</v>
      </c>
      <c r="E632" s="1">
        <v>8.5017900000000004E-3</v>
      </c>
      <c r="F632" s="1">
        <v>-3.3345399999999997E-2</v>
      </c>
      <c r="G632" s="1">
        <v>-7.1938699999999994E-2</v>
      </c>
      <c r="H632" s="1">
        <v>1.14029E-3</v>
      </c>
    </row>
    <row r="633" spans="1:8" x14ac:dyDescent="0.25">
      <c r="A633">
        <v>22</v>
      </c>
      <c r="B633" s="1">
        <v>10.2994</v>
      </c>
      <c r="C633" s="1">
        <v>0.241285</v>
      </c>
      <c r="D633" s="1">
        <v>-0.136685</v>
      </c>
      <c r="E633" s="1">
        <v>6.9912200000000002E-3</v>
      </c>
      <c r="F633" s="1">
        <v>-4.5264699999999998E-2</v>
      </c>
      <c r="G633" s="1">
        <v>-6.5136299999999994E-2</v>
      </c>
      <c r="H633" s="1">
        <v>1.1896700000000001E-3</v>
      </c>
    </row>
    <row r="634" spans="1:8" x14ac:dyDescent="0.25">
      <c r="A634">
        <v>23</v>
      </c>
      <c r="B634" s="1">
        <v>11.074999999999999</v>
      </c>
      <c r="C634" s="1">
        <v>0.24374199999999999</v>
      </c>
      <c r="D634" s="1">
        <v>-0.135961</v>
      </c>
      <c r="E634" s="1">
        <v>5.5026099999999998E-3</v>
      </c>
      <c r="F634" s="1">
        <v>-5.4621400000000001E-2</v>
      </c>
      <c r="G634" s="1">
        <v>-5.7437500000000002E-2</v>
      </c>
      <c r="H634" s="1">
        <v>1.2247499999999999E-3</v>
      </c>
    </row>
    <row r="635" spans="1:8" x14ac:dyDescent="0.25">
      <c r="A635">
        <v>24</v>
      </c>
      <c r="B635" s="1">
        <v>11.8874</v>
      </c>
      <c r="C635" s="1">
        <v>0.24268400000000001</v>
      </c>
      <c r="D635" s="1">
        <v>-0.134856</v>
      </c>
      <c r="E635" s="1">
        <v>4.0741700000000002E-3</v>
      </c>
      <c r="F635" s="1">
        <v>-6.1178200000000002E-2</v>
      </c>
      <c r="G635" s="1">
        <v>-4.9474999999999998E-2</v>
      </c>
      <c r="H635" s="1">
        <v>1.24887E-3</v>
      </c>
    </row>
    <row r="636" spans="1:8" x14ac:dyDescent="0.25">
      <c r="A636">
        <v>25</v>
      </c>
      <c r="B636" s="1">
        <v>12.7376</v>
      </c>
      <c r="C636" s="1">
        <v>0.238511</v>
      </c>
      <c r="D636" s="1">
        <v>-0.13331200000000001</v>
      </c>
      <c r="E636" s="1">
        <v>2.74421E-3</v>
      </c>
      <c r="F636" s="1">
        <v>-6.4954499999999998E-2</v>
      </c>
      <c r="G636" s="1">
        <v>-4.1723299999999998E-2</v>
      </c>
      <c r="H636" s="1">
        <v>1.2654999999999999E-3</v>
      </c>
    </row>
    <row r="637" spans="1:8" x14ac:dyDescent="0.25">
      <c r="A637">
        <v>26</v>
      </c>
      <c r="B637" s="1">
        <v>13.626899999999999</v>
      </c>
      <c r="C637" s="1">
        <v>0.23172100000000001</v>
      </c>
      <c r="D637" s="1">
        <v>-0.13131599999999999</v>
      </c>
      <c r="E637" s="1">
        <v>1.5477500000000001E-3</v>
      </c>
      <c r="F637" s="1">
        <v>-6.6171999999999995E-2</v>
      </c>
      <c r="G637" s="1">
        <v>-3.4503499999999999E-2</v>
      </c>
      <c r="H637" s="1">
        <v>1.2775900000000001E-3</v>
      </c>
    </row>
    <row r="638" spans="1:8" x14ac:dyDescent="0.25">
      <c r="A638">
        <v>27</v>
      </c>
      <c r="B638" s="1">
        <v>14.5565</v>
      </c>
      <c r="C638" s="1">
        <v>0.222857</v>
      </c>
      <c r="D638" s="1">
        <v>-0.12889</v>
      </c>
      <c r="E638" s="1">
        <v>5.1349800000000004E-4</v>
      </c>
      <c r="F638" s="1">
        <v>-6.5188899999999994E-2</v>
      </c>
      <c r="G638" s="1">
        <v>-2.8004899999999999E-2</v>
      </c>
      <c r="H638" s="1">
        <v>1.2873299999999999E-3</v>
      </c>
    </row>
    <row r="639" spans="1:8" x14ac:dyDescent="0.25">
      <c r="A639">
        <v>28</v>
      </c>
      <c r="B639" s="1">
        <v>15.5276</v>
      </c>
      <c r="C639" s="1">
        <v>0.21245800000000001</v>
      </c>
      <c r="D639" s="1">
        <v>-0.12607399999999999</v>
      </c>
      <c r="E639" s="1">
        <v>-3.3849699999999999E-4</v>
      </c>
      <c r="F639" s="1">
        <v>-6.2436800000000001E-2</v>
      </c>
      <c r="G639" s="1">
        <v>-2.2313300000000001E-2</v>
      </c>
      <c r="H639" s="1">
        <v>1.29608E-3</v>
      </c>
    </row>
    <row r="640" spans="1:8" x14ac:dyDescent="0.25">
      <c r="A640">
        <v>29</v>
      </c>
      <c r="B640" s="1">
        <v>16.5412</v>
      </c>
      <c r="C640" s="1">
        <v>0.20102800000000001</v>
      </c>
      <c r="D640" s="1">
        <v>-0.12292</v>
      </c>
      <c r="E640" s="1">
        <v>-9.9818299999999993E-4</v>
      </c>
      <c r="F640" s="1">
        <v>-5.8365199999999999E-2</v>
      </c>
      <c r="G640" s="1">
        <v>-1.7439699999999999E-2</v>
      </c>
      <c r="H640" s="1">
        <v>1.30445E-3</v>
      </c>
    </row>
    <row r="641" spans="1:8" x14ac:dyDescent="0.25">
      <c r="A641">
        <v>30</v>
      </c>
      <c r="B641" s="1">
        <v>17.598500000000001</v>
      </c>
      <c r="C641" s="1">
        <v>0.18901100000000001</v>
      </c>
      <c r="D641" s="1">
        <v>-0.11948599999999999</v>
      </c>
      <c r="E641" s="1">
        <v>-1.4657800000000001E-3</v>
      </c>
      <c r="F641" s="1">
        <v>-5.3400799999999998E-2</v>
      </c>
      <c r="G641" s="1">
        <v>-1.3346E-2</v>
      </c>
      <c r="H641" s="1">
        <v>1.3124600000000001E-3</v>
      </c>
    </row>
    <row r="642" spans="1:8" x14ac:dyDescent="0.25">
      <c r="A642">
        <v>31</v>
      </c>
      <c r="B642" s="1">
        <v>18.700500000000002</v>
      </c>
      <c r="C642" s="1">
        <v>0.17678199999999999</v>
      </c>
      <c r="D642" s="1">
        <v>-0.115825</v>
      </c>
      <c r="E642" s="1">
        <v>-1.7509800000000001E-3</v>
      </c>
      <c r="F642" s="1">
        <v>-4.7920299999999999E-2</v>
      </c>
      <c r="G642" s="1">
        <v>-9.9660900000000004E-3</v>
      </c>
      <c r="H642" s="1">
        <v>1.3198000000000001E-3</v>
      </c>
    </row>
    <row r="643" spans="1:8" x14ac:dyDescent="0.25">
      <c r="A643">
        <v>32</v>
      </c>
      <c r="B643" s="1">
        <v>19.848400000000002</v>
      </c>
      <c r="C643" s="1">
        <v>0.16464400000000001</v>
      </c>
      <c r="D643" s="1">
        <v>-0.11199000000000001</v>
      </c>
      <c r="E643" s="1">
        <v>-1.8714300000000001E-3</v>
      </c>
      <c r="F643" s="1">
        <v>-4.2236599999999999E-2</v>
      </c>
      <c r="G643" s="1">
        <v>-7.2197299999999997E-3</v>
      </c>
      <c r="H643" s="1">
        <v>1.32602E-3</v>
      </c>
    </row>
    <row r="644" spans="1:8" x14ac:dyDescent="0.25">
      <c r="A644">
        <v>33</v>
      </c>
      <c r="B644" s="1">
        <v>21.042999999999999</v>
      </c>
      <c r="C644" s="1">
        <v>0.15282699999999999</v>
      </c>
      <c r="D644" s="1">
        <v>-0.108027</v>
      </c>
      <c r="E644" s="1">
        <v>-1.8506200000000001E-3</v>
      </c>
      <c r="F644" s="1">
        <v>-3.6595900000000001E-2</v>
      </c>
      <c r="G644" s="1">
        <v>-5.0227500000000003E-3</v>
      </c>
      <c r="H644" s="1">
        <v>1.3305999999999999E-3</v>
      </c>
    </row>
    <row r="645" spans="1:8" x14ac:dyDescent="0.25">
      <c r="A645">
        <v>34</v>
      </c>
      <c r="B645" s="1">
        <v>22.285499999999999</v>
      </c>
      <c r="C645" s="1">
        <v>0.14150199999999999</v>
      </c>
      <c r="D645" s="1">
        <v>-0.10398</v>
      </c>
      <c r="E645" s="1">
        <v>-1.7156300000000001E-3</v>
      </c>
      <c r="F645" s="1">
        <v>-3.1180300000000001E-2</v>
      </c>
      <c r="G645" s="1">
        <v>-3.2928800000000002E-3</v>
      </c>
      <c r="H645" s="1">
        <v>1.3330600000000001E-3</v>
      </c>
    </row>
    <row r="646" spans="1:8" x14ac:dyDescent="0.25">
      <c r="A646">
        <v>35</v>
      </c>
      <c r="B646" s="1">
        <v>23.576599999999999</v>
      </c>
      <c r="C646" s="1">
        <v>0.13078300000000001</v>
      </c>
      <c r="D646" s="1">
        <v>-9.9885799999999997E-2</v>
      </c>
      <c r="E646" s="1">
        <v>-1.49485E-3</v>
      </c>
      <c r="F646" s="1">
        <v>-2.6115300000000001E-2</v>
      </c>
      <c r="G646" s="1">
        <v>-1.9538699999999999E-3</v>
      </c>
      <c r="H646" s="1">
        <v>1.3330099999999999E-3</v>
      </c>
    </row>
    <row r="647" spans="1:8" x14ac:dyDescent="0.25">
      <c r="A647">
        <v>36</v>
      </c>
      <c r="B647" s="1">
        <v>24.9175</v>
      </c>
      <c r="C647" s="1">
        <v>0.120742</v>
      </c>
      <c r="D647" s="1">
        <v>-9.5780599999999994E-2</v>
      </c>
      <c r="E647" s="1">
        <v>-1.21583E-3</v>
      </c>
      <c r="F647" s="1">
        <v>-2.1478199999999999E-2</v>
      </c>
      <c r="G647" s="1">
        <v>-9.3768900000000001E-4</v>
      </c>
      <c r="H647" s="1">
        <v>1.33018E-3</v>
      </c>
    </row>
    <row r="648" spans="1:8" x14ac:dyDescent="0.25">
      <c r="A648">
        <v>37</v>
      </c>
      <c r="B648" s="1">
        <v>26.308900000000001</v>
      </c>
      <c r="C648" s="1">
        <v>0.111417</v>
      </c>
      <c r="D648" s="1">
        <v>-9.1695200000000004E-2</v>
      </c>
      <c r="E648" s="1">
        <v>-9.0362799999999996E-4</v>
      </c>
      <c r="F648" s="1">
        <v>-1.73087E-2</v>
      </c>
      <c r="G648" s="1">
        <v>-1.8468900000000001E-4</v>
      </c>
      <c r="H648" s="1">
        <v>1.32441E-3</v>
      </c>
    </row>
    <row r="649" spans="1:8" x14ac:dyDescent="0.25">
      <c r="A649">
        <v>38</v>
      </c>
      <c r="B649" s="1">
        <v>27.7517</v>
      </c>
      <c r="C649" s="1">
        <v>0.102815</v>
      </c>
      <c r="D649" s="1">
        <v>-8.7658100000000003E-2</v>
      </c>
      <c r="E649" s="1">
        <v>-5.7975300000000002E-4</v>
      </c>
      <c r="F649" s="1">
        <v>-1.36179E-2</v>
      </c>
      <c r="G649" s="1">
        <v>3.5651699999999999E-4</v>
      </c>
      <c r="H649" s="1">
        <v>1.31573E-3</v>
      </c>
    </row>
    <row r="650" spans="1:8" x14ac:dyDescent="0.25">
      <c r="A650">
        <v>39</v>
      </c>
      <c r="B650" s="1">
        <v>29.246700000000001</v>
      </c>
      <c r="C650" s="1">
        <v>9.4927300000000006E-2</v>
      </c>
      <c r="D650" s="1">
        <v>-8.3694000000000005E-2</v>
      </c>
      <c r="E650" s="1">
        <v>-2.6197999999999998E-4</v>
      </c>
      <c r="F650" s="1">
        <v>-1.03964E-2</v>
      </c>
      <c r="G650" s="1">
        <v>7.2937200000000005E-4</v>
      </c>
      <c r="H650" s="1">
        <v>1.30422E-3</v>
      </c>
    </row>
    <row r="651" spans="1:8" x14ac:dyDescent="0.25">
      <c r="A651">
        <v>40</v>
      </c>
      <c r="B651" s="1">
        <v>30.794799999999999</v>
      </c>
      <c r="C651" s="1">
        <v>8.7729299999999996E-2</v>
      </c>
      <c r="D651" s="1">
        <v>-7.9824900000000004E-2</v>
      </c>
      <c r="E651" s="1">
        <v>3.5503400000000003E-5</v>
      </c>
      <c r="F651" s="1">
        <v>-7.6207599999999999E-3</v>
      </c>
      <c r="G651" s="1">
        <v>9.7094E-4</v>
      </c>
      <c r="H651" s="1">
        <v>1.2900100000000001E-3</v>
      </c>
    </row>
    <row r="652" spans="1:8" x14ac:dyDescent="0.25">
      <c r="A652">
        <v>41</v>
      </c>
      <c r="B652" s="1">
        <v>32.396700000000003</v>
      </c>
      <c r="C652" s="1">
        <v>8.1186499999999995E-2</v>
      </c>
      <c r="D652" s="1">
        <v>-7.6069399999999995E-2</v>
      </c>
      <c r="E652" s="1">
        <v>3.0197900000000002E-4</v>
      </c>
      <c r="F652" s="1">
        <v>-5.2587600000000003E-3</v>
      </c>
      <c r="G652" s="1">
        <v>1.11282E-3</v>
      </c>
      <c r="H652" s="1">
        <v>1.2731800000000001E-3</v>
      </c>
    </row>
    <row r="653" spans="1:8" x14ac:dyDescent="0.25">
      <c r="A653">
        <v>42</v>
      </c>
      <c r="B653" s="1">
        <v>34.053100000000001</v>
      </c>
      <c r="C653" s="1">
        <v>7.5258099999999994E-2</v>
      </c>
      <c r="D653" s="1">
        <v>-7.2442300000000001E-2</v>
      </c>
      <c r="E653" s="1">
        <v>5.3042300000000003E-4</v>
      </c>
      <c r="F653" s="1">
        <v>-3.2732099999999999E-3</v>
      </c>
      <c r="G653" s="1">
        <v>1.1808299999999999E-3</v>
      </c>
      <c r="H653" s="1">
        <v>1.25381E-3</v>
      </c>
    </row>
    <row r="654" spans="1:8" x14ac:dyDescent="0.25">
      <c r="A654">
        <v>43</v>
      </c>
      <c r="B654" s="1">
        <v>35.764699999999998</v>
      </c>
      <c r="C654" s="1">
        <v>6.9899600000000006E-2</v>
      </c>
      <c r="D654" s="1">
        <v>-6.8955100000000005E-2</v>
      </c>
      <c r="E654" s="1">
        <v>7.1741000000000003E-4</v>
      </c>
      <c r="F654" s="1">
        <v>-1.62425E-3</v>
      </c>
      <c r="G654" s="1">
        <v>1.1943699999999999E-3</v>
      </c>
      <c r="H654" s="1">
        <v>1.2320199999999999E-3</v>
      </c>
    </row>
    <row r="655" spans="1:8" x14ac:dyDescent="0.25">
      <c r="A655">
        <v>44</v>
      </c>
      <c r="B655" s="1">
        <v>37.532200000000003</v>
      </c>
      <c r="C655" s="1">
        <v>6.5066100000000002E-2</v>
      </c>
      <c r="D655" s="1">
        <v>-6.56162E-2</v>
      </c>
      <c r="E655" s="1">
        <v>8.6269999999999999E-4</v>
      </c>
      <c r="F655" s="1">
        <v>-2.72417E-4</v>
      </c>
      <c r="G655" s="1">
        <v>1.1677899999999999E-3</v>
      </c>
      <c r="H655" s="1">
        <v>1.2079E-3</v>
      </c>
    </row>
    <row r="656" spans="1:8" x14ac:dyDescent="0.25">
      <c r="A656">
        <v>45</v>
      </c>
      <c r="B656" s="1">
        <v>39.356200000000001</v>
      </c>
      <c r="C656" s="1">
        <v>6.0712799999999997E-2</v>
      </c>
      <c r="D656" s="1">
        <v>-6.2431500000000001E-2</v>
      </c>
      <c r="E656" s="1">
        <v>9.6836000000000003E-4</v>
      </c>
      <c r="F656" s="1">
        <v>8.1818099999999996E-4</v>
      </c>
      <c r="G656" s="1">
        <v>1.1138999999999999E-3</v>
      </c>
      <c r="H656" s="1">
        <v>1.1817500000000001E-3</v>
      </c>
    </row>
    <row r="657" spans="1:8" x14ac:dyDescent="0.25">
      <c r="A657">
        <v>46</v>
      </c>
      <c r="B657" s="1">
        <v>41.237200000000001</v>
      </c>
      <c r="C657" s="1">
        <v>5.67958E-2</v>
      </c>
      <c r="D657" s="1">
        <v>-5.9403900000000003E-2</v>
      </c>
      <c r="E657" s="1">
        <v>1.0372700000000001E-3</v>
      </c>
      <c r="F657" s="1">
        <v>1.6808700000000001E-3</v>
      </c>
      <c r="G657" s="1">
        <v>1.04375E-3</v>
      </c>
      <c r="H657" s="1">
        <v>1.15383E-3</v>
      </c>
    </row>
    <row r="658" spans="1:8" x14ac:dyDescent="0.25">
      <c r="A658">
        <v>47</v>
      </c>
      <c r="B658" s="1">
        <v>43.175800000000002</v>
      </c>
      <c r="C658" s="1">
        <v>5.3271600000000002E-2</v>
      </c>
      <c r="D658" s="1">
        <v>-5.6533100000000003E-2</v>
      </c>
      <c r="E658" s="1">
        <v>1.07227E-3</v>
      </c>
      <c r="F658" s="1">
        <v>2.3481000000000001E-3</v>
      </c>
      <c r="G658" s="1">
        <v>9.6544000000000003E-4</v>
      </c>
      <c r="H658" s="1">
        <v>1.12436E-3</v>
      </c>
    </row>
    <row r="659" spans="1:8" x14ac:dyDescent="0.25">
      <c r="A659">
        <v>48</v>
      </c>
      <c r="B659" s="1">
        <v>45.172600000000003</v>
      </c>
      <c r="C659" s="1">
        <v>5.0098400000000001E-2</v>
      </c>
      <c r="D659" s="1">
        <v>-5.3816200000000002E-2</v>
      </c>
      <c r="E659" s="1">
        <v>1.07627E-3</v>
      </c>
      <c r="F659" s="1">
        <v>2.8508700000000001E-3</v>
      </c>
      <c r="G659" s="1">
        <v>8.8431600000000001E-4</v>
      </c>
      <c r="H659" s="1">
        <v>1.09359E-3</v>
      </c>
    </row>
    <row r="660" spans="1:8" x14ac:dyDescent="0.25">
      <c r="A660">
        <v>49</v>
      </c>
      <c r="B660" s="1">
        <v>47.228000000000002</v>
      </c>
      <c r="C660" s="1">
        <v>4.7237099999999997E-2</v>
      </c>
      <c r="D660" s="1">
        <v>-5.12489E-2</v>
      </c>
      <c r="E660" s="1">
        <v>1.0526400000000001E-3</v>
      </c>
      <c r="F660" s="1">
        <v>3.2166999999999999E-3</v>
      </c>
      <c r="G660" s="1">
        <v>8.0430499999999995E-4</v>
      </c>
      <c r="H660" s="1">
        <v>1.06178E-3</v>
      </c>
    </row>
    <row r="661" spans="1:8" x14ac:dyDescent="0.25">
      <c r="A661">
        <v>50</v>
      </c>
      <c r="B661" s="1">
        <v>49.342500000000001</v>
      </c>
      <c r="C661" s="1">
        <v>4.4652299999999999E-2</v>
      </c>
      <c r="D661" s="1">
        <v>-4.8825899999999998E-2</v>
      </c>
      <c r="E661" s="1">
        <v>1.0054899999999999E-3</v>
      </c>
      <c r="F661" s="1">
        <v>3.4682200000000002E-3</v>
      </c>
      <c r="G661" s="1">
        <v>7.2924899999999996E-4</v>
      </c>
      <c r="H661" s="1">
        <v>1.02929E-3</v>
      </c>
    </row>
    <row r="662" spans="1:8" x14ac:dyDescent="0.25">
      <c r="A662">
        <v>51</v>
      </c>
      <c r="B662" s="1">
        <v>51.516399999999997</v>
      </c>
      <c r="C662" s="1">
        <v>4.2311799999999997E-2</v>
      </c>
      <c r="D662" s="1">
        <v>-4.6541100000000002E-2</v>
      </c>
      <c r="E662" s="1">
        <v>9.3915000000000003E-4</v>
      </c>
      <c r="F662" s="1">
        <v>3.6258499999999999E-3</v>
      </c>
      <c r="G662" s="1">
        <v>6.6071999999999995E-4</v>
      </c>
      <c r="H662" s="1">
        <v>9.9636499999999992E-4</v>
      </c>
    </row>
    <row r="663" spans="1:8" x14ac:dyDescent="0.25">
      <c r="A663">
        <v>52</v>
      </c>
      <c r="B663" s="1">
        <v>53.7502</v>
      </c>
      <c r="C663" s="1">
        <v>4.0187E-2</v>
      </c>
      <c r="D663" s="1">
        <v>-4.4388200000000003E-2</v>
      </c>
      <c r="E663" s="1">
        <v>8.5778500000000001E-4</v>
      </c>
      <c r="F663" s="1">
        <v>3.7089499999999999E-3</v>
      </c>
      <c r="G663" s="1">
        <v>5.9764699999999998E-4</v>
      </c>
      <c r="H663" s="1">
        <v>9.6318300000000005E-4</v>
      </c>
    </row>
    <row r="664" spans="1:8" x14ac:dyDescent="0.25">
      <c r="A664">
        <v>53</v>
      </c>
      <c r="B664" s="1">
        <v>56.044199999999996</v>
      </c>
      <c r="C664" s="1">
        <v>3.8253200000000001E-2</v>
      </c>
      <c r="D664" s="1">
        <v>-4.2360799999999997E-2</v>
      </c>
      <c r="E664" s="1">
        <v>7.6494300000000002E-4</v>
      </c>
      <c r="F664" s="1">
        <v>3.73376E-3</v>
      </c>
      <c r="G664" s="1">
        <v>5.3902400000000004E-4</v>
      </c>
      <c r="H664" s="1">
        <v>9.3011600000000004E-4</v>
      </c>
    </row>
    <row r="665" spans="1:8" x14ac:dyDescent="0.25">
      <c r="A665">
        <v>54</v>
      </c>
      <c r="B665" s="1">
        <v>58.398600000000002</v>
      </c>
      <c r="C665" s="1">
        <v>3.64885E-2</v>
      </c>
      <c r="D665" s="1">
        <v>-4.0451899999999999E-2</v>
      </c>
      <c r="E665" s="1">
        <v>6.6348600000000002E-4</v>
      </c>
      <c r="F665" s="1">
        <v>3.7143200000000001E-3</v>
      </c>
      <c r="G665" s="1">
        <v>4.8285999999999999E-4</v>
      </c>
      <c r="H665" s="1">
        <v>8.9729199999999995E-4</v>
      </c>
    </row>
    <row r="666" spans="1:8" x14ac:dyDescent="0.25">
      <c r="A666">
        <v>55</v>
      </c>
      <c r="B666" s="1">
        <v>60.813899999999997</v>
      </c>
      <c r="C666" s="1">
        <v>3.4873599999999998E-2</v>
      </c>
      <c r="D666" s="1">
        <v>-3.8654500000000001E-2</v>
      </c>
      <c r="E666" s="1">
        <v>5.56044E-4</v>
      </c>
      <c r="F666" s="1">
        <v>3.6609300000000002E-3</v>
      </c>
      <c r="G666" s="1">
        <v>4.28837E-4</v>
      </c>
      <c r="H666" s="1">
        <v>8.6491300000000003E-4</v>
      </c>
    </row>
    <row r="667" spans="1:8" x14ac:dyDescent="0.25">
      <c r="A667">
        <v>56</v>
      </c>
      <c r="B667" s="1">
        <v>63.290100000000002</v>
      </c>
      <c r="C667" s="1">
        <v>3.3390900000000001E-2</v>
      </c>
      <c r="D667" s="1">
        <v>-3.6962000000000002E-2</v>
      </c>
      <c r="E667" s="1">
        <v>4.4557E-4</v>
      </c>
      <c r="F667" s="1">
        <v>3.5792699999999998E-3</v>
      </c>
      <c r="G667" s="1">
        <v>3.79372E-4</v>
      </c>
      <c r="H667" s="1">
        <v>8.3309300000000003E-4</v>
      </c>
    </row>
    <row r="668" spans="1:8" x14ac:dyDescent="0.25">
      <c r="A668">
        <v>57</v>
      </c>
      <c r="B668" s="1">
        <v>65.827600000000004</v>
      </c>
      <c r="C668" s="1">
        <v>3.2024400000000001E-2</v>
      </c>
      <c r="D668" s="1">
        <v>-3.5367900000000001E-2</v>
      </c>
      <c r="E668" s="1">
        <v>3.35199E-4</v>
      </c>
      <c r="F668" s="1">
        <v>3.47307E-3</v>
      </c>
      <c r="G668" s="1">
        <v>3.3732499999999997E-4</v>
      </c>
      <c r="H668" s="1">
        <v>8.02029E-4</v>
      </c>
    </row>
    <row r="669" spans="1:8" x14ac:dyDescent="0.25">
      <c r="A669">
        <v>58</v>
      </c>
      <c r="B669" s="1">
        <v>68.426400000000001</v>
      </c>
      <c r="C669" s="1">
        <v>3.07593E-2</v>
      </c>
      <c r="D669" s="1">
        <v>-3.3864999999999999E-2</v>
      </c>
      <c r="E669" s="1">
        <v>2.2775200000000001E-4</v>
      </c>
      <c r="F669" s="1">
        <v>3.3492299999999999E-3</v>
      </c>
      <c r="G669" s="1">
        <v>3.0047800000000002E-4</v>
      </c>
      <c r="H669" s="1">
        <v>7.7176999999999996E-4</v>
      </c>
    </row>
    <row r="670" spans="1:8" x14ac:dyDescent="0.25">
      <c r="A670">
        <v>59</v>
      </c>
      <c r="B670" s="1">
        <v>71.086799999999997</v>
      </c>
      <c r="C670" s="1">
        <v>2.95833E-2</v>
      </c>
      <c r="D670" s="1">
        <v>-3.2446700000000002E-2</v>
      </c>
      <c r="E670" s="1">
        <v>1.25513E-4</v>
      </c>
      <c r="F670" s="1">
        <v>3.21463E-3</v>
      </c>
      <c r="G670" s="1">
        <v>2.6563599999999998E-4</v>
      </c>
      <c r="H670" s="1">
        <v>7.4233899999999995E-4</v>
      </c>
    </row>
    <row r="671" spans="1:8" x14ac:dyDescent="0.25">
      <c r="A671">
        <v>60</v>
      </c>
      <c r="B671" s="1">
        <v>73.808800000000005</v>
      </c>
      <c r="C671" s="1">
        <v>2.8486899999999999E-2</v>
      </c>
      <c r="D671" s="1">
        <v>-3.1108500000000001E-2</v>
      </c>
      <c r="E671" s="1">
        <v>3.06936E-5</v>
      </c>
      <c r="F671" s="1">
        <v>3.07143E-3</v>
      </c>
      <c r="G671" s="1">
        <v>2.33413E-4</v>
      </c>
      <c r="H671" s="1">
        <v>7.1391300000000005E-4</v>
      </c>
    </row>
    <row r="672" spans="1:8" x14ac:dyDescent="0.25">
      <c r="A672">
        <v>61</v>
      </c>
      <c r="B672" s="1">
        <v>76.592399999999998</v>
      </c>
      <c r="C672" s="1">
        <v>2.74626E-2</v>
      </c>
      <c r="D672" s="1">
        <v>-2.9846000000000001E-2</v>
      </c>
      <c r="E672" s="1">
        <v>-5.4968800000000001E-5</v>
      </c>
      <c r="F672" s="1">
        <v>2.91946E-3</v>
      </c>
      <c r="G672" s="1">
        <v>2.05522E-4</v>
      </c>
      <c r="H672" s="1">
        <v>6.8662300000000003E-4</v>
      </c>
    </row>
    <row r="673" spans="1:8" x14ac:dyDescent="0.25">
      <c r="A673">
        <v>62</v>
      </c>
      <c r="B673" s="1">
        <v>79.437799999999996</v>
      </c>
      <c r="C673" s="1">
        <v>2.6503800000000001E-2</v>
      </c>
      <c r="D673" s="1">
        <v>-2.8654200000000001E-2</v>
      </c>
      <c r="E673" s="1">
        <v>-1.3164000000000001E-4</v>
      </c>
      <c r="F673" s="1">
        <v>2.7600699999999999E-3</v>
      </c>
      <c r="G673" s="1">
        <v>1.8215399999999999E-4</v>
      </c>
      <c r="H673" s="1">
        <v>6.6025000000000003E-4</v>
      </c>
    </row>
    <row r="674" spans="1:8" x14ac:dyDescent="0.25">
      <c r="A674">
        <v>63</v>
      </c>
      <c r="B674" s="1">
        <v>82.344899999999996</v>
      </c>
      <c r="C674" s="1">
        <v>2.5604200000000001E-2</v>
      </c>
      <c r="D674" s="1">
        <v>-2.7528E-2</v>
      </c>
      <c r="E674" s="1">
        <v>-2.00003E-4</v>
      </c>
      <c r="F674" s="1">
        <v>2.5962300000000002E-3</v>
      </c>
      <c r="G674" s="1">
        <v>1.62261E-4</v>
      </c>
      <c r="H674" s="1">
        <v>6.34722E-4</v>
      </c>
    </row>
    <row r="675" spans="1:8" x14ac:dyDescent="0.25">
      <c r="A675">
        <v>64</v>
      </c>
      <c r="B675" s="1">
        <v>85.313800000000001</v>
      </c>
      <c r="C675" s="1">
        <v>2.4757899999999999E-2</v>
      </c>
      <c r="D675" s="1">
        <v>-2.6463299999999999E-2</v>
      </c>
      <c r="E675" s="1">
        <v>-2.5959399999999998E-4</v>
      </c>
      <c r="F675" s="1">
        <v>2.4304800000000001E-3</v>
      </c>
      <c r="G675" s="1">
        <v>1.4466300000000001E-4</v>
      </c>
      <c r="H675" s="1">
        <v>6.1013899999999999E-4</v>
      </c>
    </row>
    <row r="676" spans="1:8" x14ac:dyDescent="0.25">
      <c r="A676">
        <v>65</v>
      </c>
      <c r="B676" s="1">
        <v>88.344200000000001</v>
      </c>
      <c r="C676" s="1">
        <v>2.3958799999999999E-2</v>
      </c>
      <c r="D676" s="1">
        <v>-2.5456099999999999E-2</v>
      </c>
      <c r="E676" s="1">
        <v>-3.1013600000000003E-4</v>
      </c>
      <c r="F676" s="1">
        <v>2.2649599999999999E-3</v>
      </c>
      <c r="G676" s="1">
        <v>1.28959E-4</v>
      </c>
      <c r="H676" s="1">
        <v>5.8648399999999996E-4</v>
      </c>
    </row>
    <row r="677" spans="1:8" x14ac:dyDescent="0.25">
      <c r="A677">
        <v>66</v>
      </c>
      <c r="B677" s="1">
        <v>91.436199999999999</v>
      </c>
      <c r="C677" s="1">
        <v>2.3201300000000001E-2</v>
      </c>
      <c r="D677" s="1">
        <v>-2.4502400000000001E-2</v>
      </c>
      <c r="E677" s="1">
        <v>-3.5304999999999999E-4</v>
      </c>
      <c r="F677" s="1">
        <v>2.10261E-3</v>
      </c>
      <c r="G677" s="1">
        <v>1.15291E-4</v>
      </c>
      <c r="H677" s="1">
        <v>5.6377900000000004E-4</v>
      </c>
    </row>
    <row r="678" spans="1:8" x14ac:dyDescent="0.25">
      <c r="A678">
        <v>67</v>
      </c>
      <c r="B678" s="1">
        <v>94.589699999999993</v>
      </c>
      <c r="C678" s="1">
        <v>2.2480699999999999E-2</v>
      </c>
      <c r="D678" s="1">
        <v>-2.3597900000000002E-2</v>
      </c>
      <c r="E678" s="1">
        <v>-3.9077900000000001E-4</v>
      </c>
      <c r="F678" s="1">
        <v>1.94707E-3</v>
      </c>
      <c r="G678" s="1">
        <v>1.02767E-4</v>
      </c>
      <c r="H678" s="1">
        <v>5.4187799999999998E-4</v>
      </c>
    </row>
    <row r="679" spans="1:8" x14ac:dyDescent="0.25">
      <c r="A679">
        <v>68</v>
      </c>
      <c r="B679" s="1">
        <v>97.804400000000001</v>
      </c>
      <c r="C679" s="1">
        <v>2.1793400000000001E-2</v>
      </c>
      <c r="D679" s="1">
        <v>-2.2739100000000002E-2</v>
      </c>
      <c r="E679" s="1">
        <v>-4.2452800000000003E-4</v>
      </c>
      <c r="F679" s="1">
        <v>1.80032E-3</v>
      </c>
      <c r="G679" s="1">
        <v>9.0607399999999996E-5</v>
      </c>
      <c r="H679" s="1">
        <v>5.2070800000000004E-4</v>
      </c>
    </row>
    <row r="680" spans="1:8" x14ac:dyDescent="0.25">
      <c r="A680">
        <v>69</v>
      </c>
      <c r="B680" s="1">
        <v>101.08</v>
      </c>
      <c r="C680" s="1">
        <v>2.11364E-2</v>
      </c>
      <c r="D680" s="1">
        <v>-2.1923700000000001E-2</v>
      </c>
      <c r="E680" s="1">
        <v>-4.5361899999999999E-4</v>
      </c>
      <c r="F680" s="1">
        <v>1.66096E-3</v>
      </c>
      <c r="G680" s="1">
        <v>8.0379700000000006E-5</v>
      </c>
      <c r="H680" s="1">
        <v>5.0046300000000004E-4</v>
      </c>
    </row>
    <row r="681" spans="1:8" x14ac:dyDescent="0.25">
      <c r="A681">
        <v>70</v>
      </c>
      <c r="B681" s="1">
        <v>104.417</v>
      </c>
      <c r="C681" s="1">
        <v>2.0507500000000001E-2</v>
      </c>
      <c r="D681" s="1">
        <v>-2.1149500000000002E-2</v>
      </c>
      <c r="E681" s="1">
        <v>-4.77252E-4</v>
      </c>
      <c r="F681" s="1">
        <v>1.52735E-3</v>
      </c>
      <c r="G681" s="1">
        <v>7.2993199999999998E-5</v>
      </c>
      <c r="H681" s="1">
        <v>4.81015E-4</v>
      </c>
    </row>
    <row r="682" spans="1:8" x14ac:dyDescent="0.25">
      <c r="A682">
        <v>71</v>
      </c>
      <c r="B682" s="1">
        <v>107.81399999999999</v>
      </c>
      <c r="C682" s="1">
        <v>1.9904999999999999E-2</v>
      </c>
      <c r="D682" s="1">
        <v>-2.0413799999999999E-2</v>
      </c>
      <c r="E682" s="1">
        <v>-4.9492099999999995E-4</v>
      </c>
      <c r="F682" s="1">
        <v>1.3991299999999999E-3</v>
      </c>
      <c r="G682" s="1">
        <v>6.6805700000000003E-5</v>
      </c>
      <c r="H682" s="1">
        <v>4.6222400000000001E-4</v>
      </c>
    </row>
    <row r="683" spans="1:8" x14ac:dyDescent="0.25">
      <c r="A683">
        <v>72</v>
      </c>
      <c r="B683" s="1">
        <v>111.27200000000001</v>
      </c>
      <c r="C683" s="1">
        <v>1.93283E-2</v>
      </c>
      <c r="D683" s="1">
        <v>-1.9714300000000001E-2</v>
      </c>
      <c r="E683" s="1">
        <v>-5.0593899999999995E-4</v>
      </c>
      <c r="F683" s="1">
        <v>1.2747699999999999E-3</v>
      </c>
      <c r="G683" s="1">
        <v>6.1474400000000002E-5</v>
      </c>
      <c r="H683" s="1">
        <v>4.4432800000000002E-4</v>
      </c>
    </row>
    <row r="684" spans="1:8" x14ac:dyDescent="0.25">
      <c r="A684">
        <v>73</v>
      </c>
      <c r="B684" s="1">
        <v>114.79</v>
      </c>
      <c r="C684" s="1">
        <v>1.8775699999999999E-2</v>
      </c>
      <c r="D684" s="1">
        <v>-1.9049E-2</v>
      </c>
      <c r="E684" s="1">
        <v>-5.10087E-4</v>
      </c>
      <c r="F684" s="1">
        <v>1.1533400000000001E-3</v>
      </c>
      <c r="G684" s="1">
        <v>5.71745E-5</v>
      </c>
      <c r="H684" s="1">
        <v>4.27129E-4</v>
      </c>
    </row>
    <row r="685" spans="1:8" x14ac:dyDescent="0.25">
      <c r="A685">
        <v>74</v>
      </c>
      <c r="B685" s="1">
        <v>118.36799999999999</v>
      </c>
      <c r="C685" s="1">
        <v>1.82451E-2</v>
      </c>
      <c r="D685" s="1">
        <v>-1.8415600000000001E-2</v>
      </c>
      <c r="E685" s="1">
        <v>-5.0763000000000002E-4</v>
      </c>
      <c r="F685" s="1">
        <v>1.03535E-3</v>
      </c>
      <c r="G685" s="1">
        <v>5.3472199999999999E-5</v>
      </c>
      <c r="H685" s="1">
        <v>4.1071599999999999E-4</v>
      </c>
    </row>
    <row r="686" spans="1:8" x14ac:dyDescent="0.25">
      <c r="A686">
        <v>75</v>
      </c>
      <c r="B686" s="1">
        <v>122.005</v>
      </c>
      <c r="C686" s="1">
        <v>1.7735500000000001E-2</v>
      </c>
      <c r="D686" s="1">
        <v>-1.7812000000000001E-2</v>
      </c>
      <c r="E686" s="1">
        <v>-4.9985000000000003E-4</v>
      </c>
      <c r="F686" s="1">
        <v>9.2315500000000005E-4</v>
      </c>
      <c r="G686" s="1">
        <v>4.8139700000000003E-5</v>
      </c>
      <c r="H686" s="1">
        <v>3.9497099999999998E-4</v>
      </c>
    </row>
    <row r="687" spans="1:8" x14ac:dyDescent="0.25">
      <c r="A687">
        <v>76</v>
      </c>
      <c r="B687" s="1">
        <v>125.702</v>
      </c>
      <c r="C687" s="1">
        <v>1.72461E-2</v>
      </c>
      <c r="D687" s="1">
        <v>-1.7236399999999999E-2</v>
      </c>
      <c r="E687" s="1">
        <v>-4.8855999999999997E-4</v>
      </c>
      <c r="F687" s="1">
        <v>8.1688099999999999E-4</v>
      </c>
      <c r="G687" s="1">
        <v>4.2133299999999999E-5</v>
      </c>
      <c r="H687" s="1">
        <v>3.80088E-4</v>
      </c>
    </row>
    <row r="688" spans="1:8" x14ac:dyDescent="0.25">
      <c r="A688">
        <v>77</v>
      </c>
      <c r="B688" s="1">
        <v>129.45699999999999</v>
      </c>
      <c r="C688" s="1">
        <v>1.6776099999999999E-2</v>
      </c>
      <c r="D688" s="1">
        <v>-1.6687500000000001E-2</v>
      </c>
      <c r="E688" s="1">
        <v>-4.7595800000000001E-4</v>
      </c>
      <c r="F688" s="1">
        <v>7.1599800000000003E-4</v>
      </c>
      <c r="G688" s="1">
        <v>3.7302899999999998E-5</v>
      </c>
      <c r="H688" s="1">
        <v>3.6588700000000002E-4</v>
      </c>
    </row>
    <row r="689" spans="1:8" x14ac:dyDescent="0.25">
      <c r="A689">
        <v>78</v>
      </c>
      <c r="B689" s="1">
        <v>133.27000000000001</v>
      </c>
      <c r="C689" s="1">
        <v>1.6324200000000001E-2</v>
      </c>
      <c r="D689" s="1">
        <v>-1.6163E-2</v>
      </c>
      <c r="E689" s="1">
        <v>-4.6323700000000002E-4</v>
      </c>
      <c r="F689" s="1">
        <v>6.2143599999999995E-4</v>
      </c>
      <c r="G689" s="1">
        <v>3.2935999999999998E-5</v>
      </c>
      <c r="H689" s="1">
        <v>3.5235699999999997E-4</v>
      </c>
    </row>
    <row r="690" spans="1:8" x14ac:dyDescent="0.25">
      <c r="A690">
        <v>79</v>
      </c>
      <c r="B690" s="1">
        <v>137.14099999999999</v>
      </c>
      <c r="C690" s="1">
        <v>1.5888599999999999E-2</v>
      </c>
      <c r="D690" s="1">
        <v>-1.56607E-2</v>
      </c>
      <c r="E690" s="1">
        <v>-4.5102100000000002E-4</v>
      </c>
      <c r="F690" s="1">
        <v>5.3479700000000005E-4</v>
      </c>
      <c r="G690" s="1">
        <v>2.77933E-5</v>
      </c>
      <c r="H690" s="1">
        <v>3.3946099999999999E-4</v>
      </c>
    </row>
    <row r="691" spans="1:8" x14ac:dyDescent="0.25">
      <c r="A691">
        <v>80</v>
      </c>
      <c r="B691" s="1">
        <v>141.07</v>
      </c>
      <c r="C691" s="1">
        <v>1.5466799999999999E-2</v>
      </c>
      <c r="D691" s="1">
        <v>-1.51796E-2</v>
      </c>
      <c r="E691" s="1">
        <v>-4.3961899999999998E-4</v>
      </c>
      <c r="F691" s="1">
        <v>4.5648599999999998E-4</v>
      </c>
      <c r="G691" s="1">
        <v>2.2944600000000001E-5</v>
      </c>
      <c r="H691" s="1">
        <v>3.2703099999999998E-4</v>
      </c>
    </row>
    <row r="692" spans="1:8" x14ac:dyDescent="0.25">
      <c r="A692">
        <v>81</v>
      </c>
      <c r="B692" s="1">
        <v>145.05500000000001</v>
      </c>
      <c r="C692" s="1">
        <v>1.50575E-2</v>
      </c>
      <c r="D692" s="1">
        <v>-1.4719299999999999E-2</v>
      </c>
      <c r="E692" s="1">
        <v>-4.2826799999999999E-4</v>
      </c>
      <c r="F692" s="1">
        <v>3.8602200000000003E-4</v>
      </c>
      <c r="G692" s="1">
        <v>1.9304300000000001E-5</v>
      </c>
      <c r="H692" s="1">
        <v>3.1521199999999999E-4</v>
      </c>
    </row>
    <row r="693" spans="1:8" x14ac:dyDescent="0.25">
      <c r="A693">
        <v>82</v>
      </c>
      <c r="B693" s="1">
        <v>149.09700000000001</v>
      </c>
      <c r="C693" s="1">
        <v>1.4660899999999999E-2</v>
      </c>
      <c r="D693" s="1">
        <v>-1.4279200000000001E-2</v>
      </c>
      <c r="E693" s="1">
        <v>-4.16938E-4</v>
      </c>
      <c r="F693" s="1">
        <v>3.2241799999999999E-4</v>
      </c>
      <c r="G693" s="1">
        <v>1.6917100000000001E-5</v>
      </c>
      <c r="H693" s="1">
        <v>3.0405699999999999E-4</v>
      </c>
    </row>
    <row r="694" spans="1:8" x14ac:dyDescent="0.25">
      <c r="A694">
        <v>83</v>
      </c>
      <c r="B694" s="1">
        <v>153.19499999999999</v>
      </c>
      <c r="C694" s="1">
        <v>1.42773E-2</v>
      </c>
      <c r="D694" s="1">
        <v>-1.38583E-2</v>
      </c>
      <c r="E694" s="1">
        <v>-4.06165E-4</v>
      </c>
      <c r="F694" s="1">
        <v>2.6396299999999998E-4</v>
      </c>
      <c r="G694" s="1">
        <v>1.67604E-5</v>
      </c>
      <c r="H694" s="1">
        <v>2.9355100000000002E-4</v>
      </c>
    </row>
    <row r="695" spans="1:8" x14ac:dyDescent="0.25">
      <c r="A695">
        <v>84</v>
      </c>
      <c r="B695" s="1">
        <v>157.34899999999999</v>
      </c>
      <c r="C695" s="1">
        <v>1.3905600000000001E-2</v>
      </c>
      <c r="D695" s="1">
        <v>-1.34552E-2</v>
      </c>
      <c r="E695" s="1">
        <v>-3.9607100000000001E-4</v>
      </c>
      <c r="F695" s="1">
        <v>2.11843E-4</v>
      </c>
      <c r="G695" s="1">
        <v>1.7452199999999999E-5</v>
      </c>
      <c r="H695" s="1">
        <v>2.8354999999999998E-4</v>
      </c>
    </row>
    <row r="696" spans="1:8" x14ac:dyDescent="0.25">
      <c r="A696">
        <v>85</v>
      </c>
      <c r="B696" s="1">
        <v>161.55699999999999</v>
      </c>
      <c r="C696" s="1">
        <v>1.35446E-2</v>
      </c>
      <c r="D696" s="1">
        <v>-1.30688E-2</v>
      </c>
      <c r="E696" s="1">
        <v>-3.8604200000000001E-4</v>
      </c>
      <c r="F696" s="1">
        <v>1.67245E-4</v>
      </c>
      <c r="G696" s="1">
        <v>1.69274E-5</v>
      </c>
      <c r="H696" s="1">
        <v>2.7396400000000002E-4</v>
      </c>
    </row>
    <row r="697" spans="1:8" x14ac:dyDescent="0.25">
      <c r="A697">
        <v>86</v>
      </c>
      <c r="B697" s="1">
        <v>165.81899999999999</v>
      </c>
      <c r="C697" s="1">
        <v>1.3195E-2</v>
      </c>
      <c r="D697" s="1">
        <v>-1.26985E-2</v>
      </c>
      <c r="E697" s="1">
        <v>-3.7569399999999998E-4</v>
      </c>
      <c r="F697" s="1">
        <v>1.2857E-4</v>
      </c>
      <c r="G697" s="1">
        <v>1.5466300000000001E-5</v>
      </c>
      <c r="H697" s="1">
        <v>2.6486100000000002E-4</v>
      </c>
    </row>
    <row r="698" spans="1:8" x14ac:dyDescent="0.25">
      <c r="A698">
        <v>87</v>
      </c>
      <c r="B698" s="1">
        <v>170.136</v>
      </c>
      <c r="C698" s="1">
        <v>1.2857E-2</v>
      </c>
      <c r="D698" s="1">
        <v>-1.2343700000000001E-2</v>
      </c>
      <c r="E698" s="1">
        <v>-3.6577499999999999E-4</v>
      </c>
      <c r="F698" s="1">
        <v>9.4348100000000006E-5</v>
      </c>
      <c r="G698" s="1">
        <v>1.42008E-5</v>
      </c>
      <c r="H698" s="1">
        <v>2.5612500000000001E-4</v>
      </c>
    </row>
    <row r="699" spans="1:8" x14ac:dyDescent="0.25">
      <c r="A699">
        <v>88</v>
      </c>
      <c r="B699" s="1">
        <v>174.505</v>
      </c>
      <c r="C699" s="1">
        <v>1.2529800000000001E-2</v>
      </c>
      <c r="D699" s="1">
        <v>-1.20032E-2</v>
      </c>
      <c r="E699" s="1">
        <v>-3.5649899999999998E-4</v>
      </c>
      <c r="F699" s="1">
        <v>6.4826700000000001E-5</v>
      </c>
      <c r="G699" s="1">
        <v>1.2799100000000001E-5</v>
      </c>
      <c r="H699" s="1">
        <v>2.4779400000000002E-4</v>
      </c>
    </row>
    <row r="700" spans="1:8" x14ac:dyDescent="0.25">
      <c r="A700">
        <v>89</v>
      </c>
      <c r="B700" s="1">
        <v>178.92699999999999</v>
      </c>
      <c r="C700" s="1">
        <v>1.22129E-2</v>
      </c>
      <c r="D700" s="1">
        <v>-1.1676000000000001E-2</v>
      </c>
      <c r="E700" s="1">
        <v>-3.47294E-4</v>
      </c>
      <c r="F700" s="1">
        <v>3.8933100000000002E-5</v>
      </c>
      <c r="G700" s="1">
        <v>1.1365E-5</v>
      </c>
      <c r="H700" s="1">
        <v>2.3985200000000001E-4</v>
      </c>
    </row>
    <row r="701" spans="1:8" x14ac:dyDescent="0.25">
      <c r="A701">
        <v>90</v>
      </c>
      <c r="B701" s="1">
        <v>183.4</v>
      </c>
      <c r="C701" s="1">
        <v>1.19054E-2</v>
      </c>
      <c r="D701" s="1">
        <v>-1.1361599999999999E-2</v>
      </c>
      <c r="E701" s="1">
        <v>-3.3721700000000001E-4</v>
      </c>
      <c r="F701" s="1">
        <v>1.5695599999999999E-5</v>
      </c>
      <c r="G701" s="1">
        <v>9.9443799999999995E-6</v>
      </c>
      <c r="H701" s="1">
        <v>2.3216900000000001E-4</v>
      </c>
    </row>
    <row r="702" spans="1:8" x14ac:dyDescent="0.25">
      <c r="A702">
        <v>91</v>
      </c>
      <c r="B702" s="1">
        <v>187.92500000000001</v>
      </c>
      <c r="C702" s="1">
        <v>1.16063E-2</v>
      </c>
      <c r="D702" s="1">
        <v>-1.10597E-2</v>
      </c>
      <c r="E702" s="1">
        <v>-3.2543900000000001E-4</v>
      </c>
      <c r="F702" s="1">
        <v>-4.6515500000000004E-6</v>
      </c>
      <c r="G702" s="1">
        <v>8.2866400000000007E-6</v>
      </c>
      <c r="H702" s="1">
        <v>2.24782E-4</v>
      </c>
    </row>
    <row r="703" spans="1:8" x14ac:dyDescent="0.25">
      <c r="A703">
        <v>92</v>
      </c>
      <c r="B703" s="1">
        <v>192.5</v>
      </c>
      <c r="C703" s="1">
        <v>1.1315499999999999E-2</v>
      </c>
      <c r="D703" s="1">
        <v>-1.07698E-2</v>
      </c>
      <c r="E703" s="1">
        <v>-3.12145E-4</v>
      </c>
      <c r="F703" s="1">
        <v>-2.36118E-5</v>
      </c>
      <c r="G703" s="1">
        <v>7.7330399999999997E-6</v>
      </c>
      <c r="H703" s="1">
        <v>2.1767299999999999E-4</v>
      </c>
    </row>
    <row r="704" spans="1:8" x14ac:dyDescent="0.25">
      <c r="A704">
        <v>93</v>
      </c>
      <c r="B704" s="1">
        <v>197.125</v>
      </c>
      <c r="C704" s="1">
        <v>1.10335E-2</v>
      </c>
      <c r="D704" s="1">
        <v>-1.04911E-2</v>
      </c>
      <c r="E704" s="1">
        <v>-2.9894200000000001E-4</v>
      </c>
      <c r="F704" s="1">
        <v>-4.1030299999999999E-5</v>
      </c>
      <c r="G704" s="1">
        <v>8.3937700000000004E-6</v>
      </c>
      <c r="H704" s="1">
        <v>2.1075999999999999E-4</v>
      </c>
    </row>
    <row r="705" spans="1:8" x14ac:dyDescent="0.25">
      <c r="A705">
        <v>94</v>
      </c>
      <c r="B705" s="1">
        <v>201.8</v>
      </c>
      <c r="C705" s="1">
        <v>1.0760799999999999E-2</v>
      </c>
      <c r="D705" s="1">
        <v>-1.0223400000000001E-2</v>
      </c>
      <c r="E705" s="1">
        <v>-2.8689500000000001E-4</v>
      </c>
      <c r="F705" s="1">
        <v>-5.57625E-5</v>
      </c>
      <c r="G705" s="1">
        <v>9.2781599999999993E-6</v>
      </c>
      <c r="H705" s="1">
        <v>2.04062E-4</v>
      </c>
    </row>
    <row r="706" spans="1:8" x14ac:dyDescent="0.25">
      <c r="A706">
        <v>95</v>
      </c>
      <c r="B706" s="1">
        <v>206.523</v>
      </c>
      <c r="C706" s="1">
        <v>1.04972E-2</v>
      </c>
      <c r="D706" s="1">
        <v>-9.9659699999999993E-3</v>
      </c>
      <c r="E706" s="1">
        <v>-2.7609500000000002E-4</v>
      </c>
      <c r="F706" s="1">
        <v>-6.7809699999999996E-5</v>
      </c>
      <c r="G706" s="1">
        <v>1.0448100000000001E-5</v>
      </c>
      <c r="H706" s="1">
        <v>1.9773999999999999E-4</v>
      </c>
    </row>
    <row r="707" spans="1:8" x14ac:dyDescent="0.25">
      <c r="A707">
        <v>96</v>
      </c>
      <c r="B707" s="1">
        <v>211.29400000000001</v>
      </c>
      <c r="C707" s="1">
        <v>1.0241399999999999E-2</v>
      </c>
      <c r="D707" s="1">
        <v>-9.7181000000000003E-3</v>
      </c>
      <c r="E707" s="1">
        <v>-2.6686E-4</v>
      </c>
      <c r="F707" s="1">
        <v>-7.6117400000000004E-5</v>
      </c>
      <c r="G707" s="1">
        <v>1.13742E-5</v>
      </c>
      <c r="H707" s="1">
        <v>1.9175E-4</v>
      </c>
    </row>
    <row r="708" spans="1:8" x14ac:dyDescent="0.25">
      <c r="A708">
        <v>97</v>
      </c>
      <c r="B708" s="1">
        <v>216.11099999999999</v>
      </c>
      <c r="C708" s="1">
        <v>9.9930100000000001E-3</v>
      </c>
      <c r="D708" s="1">
        <v>-9.4788700000000004E-3</v>
      </c>
      <c r="E708" s="1">
        <v>-2.5959600000000001E-4</v>
      </c>
      <c r="F708" s="1">
        <v>-7.9060000000000005E-5</v>
      </c>
      <c r="G708" s="1">
        <v>1.06315E-5</v>
      </c>
      <c r="H708" s="1">
        <v>1.8611499999999999E-4</v>
      </c>
    </row>
    <row r="709" spans="1:8" x14ac:dyDescent="0.25">
      <c r="A709">
        <v>98</v>
      </c>
      <c r="B709" s="1">
        <v>220.976</v>
      </c>
      <c r="C709" s="1">
        <v>9.7521599999999993E-3</v>
      </c>
      <c r="D709" s="1">
        <v>-9.2478899999999999E-3</v>
      </c>
      <c r="E709" s="1">
        <v>-2.5423299999999998E-4</v>
      </c>
      <c r="F709" s="1">
        <v>-7.8018799999999999E-5</v>
      </c>
      <c r="G709" s="1">
        <v>8.8945799999999998E-6</v>
      </c>
      <c r="H709" s="1">
        <v>1.8091E-4</v>
      </c>
    </row>
    <row r="710" spans="1:8" x14ac:dyDescent="0.25">
      <c r="A710">
        <v>99</v>
      </c>
      <c r="B710" s="1">
        <v>225.886</v>
      </c>
      <c r="C710" s="1">
        <v>9.5196399999999994E-3</v>
      </c>
      <c r="D710" s="1">
        <v>-9.0249600000000003E-3</v>
      </c>
      <c r="E710" s="1">
        <v>-2.4879600000000002E-4</v>
      </c>
      <c r="F710" s="1">
        <v>-7.7093600000000003E-5</v>
      </c>
      <c r="G710" s="1">
        <v>7.13973E-6</v>
      </c>
      <c r="H710" s="1">
        <v>1.7593E-4</v>
      </c>
    </row>
    <row r="711" spans="1:8" x14ac:dyDescent="0.25">
      <c r="A711">
        <v>100</v>
      </c>
      <c r="B711" s="1">
        <v>230.84100000000001</v>
      </c>
      <c r="C711" s="1">
        <v>9.2961899999999993E-3</v>
      </c>
      <c r="D711" s="1">
        <v>-8.8098099999999995E-3</v>
      </c>
      <c r="E711" s="1">
        <v>-2.4079700000000001E-4</v>
      </c>
      <c r="F711" s="1">
        <v>-8.00497E-5</v>
      </c>
      <c r="G711" s="1">
        <v>5.6180000000000003E-6</v>
      </c>
      <c r="H711" s="1">
        <v>1.71156E-4</v>
      </c>
    </row>
    <row r="712" spans="1:8" x14ac:dyDescent="0.25">
      <c r="A712">
        <v>101</v>
      </c>
      <c r="B712" s="1">
        <v>235.84</v>
      </c>
      <c r="C712" s="1">
        <v>9.0812600000000007E-3</v>
      </c>
      <c r="D712" s="1">
        <v>-8.60204E-3</v>
      </c>
      <c r="E712" s="1">
        <v>-2.3044499999999999E-4</v>
      </c>
      <c r="F712" s="1">
        <v>-8.6846800000000003E-5</v>
      </c>
      <c r="G712" s="1">
        <v>4.6221399999999996E-6</v>
      </c>
      <c r="H712" s="1">
        <v>1.6655000000000001E-4</v>
      </c>
    </row>
    <row r="713" spans="1:8" x14ac:dyDescent="0.25">
      <c r="A713">
        <v>102</v>
      </c>
      <c r="B713" s="1">
        <v>240.88300000000001</v>
      </c>
      <c r="C713" s="1">
        <v>8.8728499999999998E-3</v>
      </c>
      <c r="D713" s="1">
        <v>-8.4011599999999995E-3</v>
      </c>
      <c r="E713" s="1">
        <v>-2.19297E-4</v>
      </c>
      <c r="F713" s="1">
        <v>-9.3951100000000002E-5</v>
      </c>
      <c r="G713" s="1">
        <v>3.5539E-6</v>
      </c>
      <c r="H713" s="1">
        <v>1.6199899999999999E-4</v>
      </c>
    </row>
    <row r="714" spans="1:8" x14ac:dyDescent="0.25">
      <c r="A714">
        <v>103</v>
      </c>
      <c r="B714" s="1">
        <v>245.96799999999999</v>
      </c>
      <c r="C714" s="1">
        <v>8.6696299999999994E-3</v>
      </c>
      <c r="D714" s="1">
        <v>-8.2066599999999993E-3</v>
      </c>
      <c r="E714" s="1">
        <v>-2.08731E-4</v>
      </c>
      <c r="F714" s="1">
        <v>-9.91111E-5</v>
      </c>
      <c r="G714" s="1">
        <v>2.4177600000000001E-6</v>
      </c>
      <c r="H714" s="1">
        <v>1.57546E-4</v>
      </c>
    </row>
    <row r="715" spans="1:8" x14ac:dyDescent="0.25">
      <c r="A715">
        <v>104</v>
      </c>
      <c r="B715" s="1">
        <v>251.095</v>
      </c>
      <c r="C715" s="1">
        <v>8.4718799999999993E-3</v>
      </c>
      <c r="D715" s="1">
        <v>-8.01813E-3</v>
      </c>
      <c r="E715" s="1">
        <v>-2.0000199999999999E-4</v>
      </c>
      <c r="F715" s="1">
        <v>-1.02935E-4</v>
      </c>
      <c r="G715" s="1">
        <v>2.4115499999999998E-6</v>
      </c>
      <c r="H715" s="1">
        <v>1.53232E-4</v>
      </c>
    </row>
    <row r="716" spans="1:8" x14ac:dyDescent="0.25">
      <c r="A716">
        <v>105</v>
      </c>
      <c r="B716" s="1">
        <v>256.26400000000001</v>
      </c>
      <c r="C716" s="1">
        <v>8.28016E-3</v>
      </c>
      <c r="D716" s="1">
        <v>-7.835E-3</v>
      </c>
      <c r="E716" s="1">
        <v>-1.93516E-4</v>
      </c>
      <c r="F716" s="1">
        <v>-1.05614E-4</v>
      </c>
      <c r="G716" s="1">
        <v>3.03372E-6</v>
      </c>
      <c r="H716" s="1">
        <v>1.49066E-4</v>
      </c>
    </row>
    <row r="717" spans="1:8" x14ac:dyDescent="0.25">
      <c r="A717">
        <v>106</v>
      </c>
      <c r="B717" s="1">
        <v>261.47300000000001</v>
      </c>
      <c r="C717" s="1">
        <v>8.0940300000000003E-3</v>
      </c>
      <c r="D717" s="1">
        <v>-7.6569100000000003E-3</v>
      </c>
      <c r="E717" s="1">
        <v>-1.8825299999999999E-4</v>
      </c>
      <c r="F717" s="1">
        <v>-1.0679E-4</v>
      </c>
      <c r="G717" s="1">
        <v>3.1128800000000002E-6</v>
      </c>
      <c r="H717" s="1">
        <v>1.4518800000000001E-4</v>
      </c>
    </row>
    <row r="718" spans="1:8" x14ac:dyDescent="0.25">
      <c r="A718">
        <v>107</v>
      </c>
      <c r="B718" s="1">
        <v>266.72199999999998</v>
      </c>
      <c r="C718" s="1">
        <v>7.9123700000000002E-3</v>
      </c>
      <c r="D718" s="1">
        <v>-7.4838500000000002E-3</v>
      </c>
      <c r="E718" s="1">
        <v>-1.83167E-4</v>
      </c>
      <c r="F718" s="1">
        <v>-1.0642899999999999E-4</v>
      </c>
      <c r="G718" s="1">
        <v>2.73374E-6</v>
      </c>
      <c r="H718" s="1">
        <v>1.41662E-4</v>
      </c>
    </row>
    <row r="719" spans="1:8" x14ac:dyDescent="0.25">
      <c r="A719">
        <v>108</v>
      </c>
      <c r="B719" s="1">
        <v>272.01</v>
      </c>
      <c r="C719" s="1">
        <v>7.7345499999999998E-3</v>
      </c>
      <c r="D719" s="1">
        <v>-7.3159799999999997E-3</v>
      </c>
      <c r="E719" s="1">
        <v>-1.7786700000000001E-4</v>
      </c>
      <c r="F719" s="1">
        <v>-1.04341E-4</v>
      </c>
      <c r="G719" s="1">
        <v>1.79277E-6</v>
      </c>
      <c r="H719" s="1">
        <v>1.3815999999999999E-4</v>
      </c>
    </row>
    <row r="720" spans="1:8" x14ac:dyDescent="0.25">
      <c r="A720">
        <v>109</v>
      </c>
      <c r="B720" s="1">
        <v>277.33699999999999</v>
      </c>
      <c r="C720" s="1">
        <v>7.5608200000000002E-3</v>
      </c>
      <c r="D720" s="1">
        <v>-7.1536200000000003E-3</v>
      </c>
      <c r="E720" s="1">
        <v>-1.7204199999999999E-4</v>
      </c>
      <c r="F720" s="1">
        <v>-1.01502E-4</v>
      </c>
      <c r="G720" s="1">
        <v>1.08665E-6</v>
      </c>
      <c r="H720" s="1">
        <v>1.34747E-4</v>
      </c>
    </row>
    <row r="721" spans="1:8" x14ac:dyDescent="0.25">
      <c r="A721">
        <v>110</v>
      </c>
      <c r="B721" s="1">
        <v>282.7</v>
      </c>
      <c r="C721" s="1">
        <v>7.3920399999999999E-3</v>
      </c>
      <c r="D721" s="1">
        <v>-6.9968199999999999E-3</v>
      </c>
      <c r="E721" s="1">
        <v>-1.66658E-4</v>
      </c>
      <c r="F721" s="1">
        <v>-9.8067999999999997E-5</v>
      </c>
      <c r="G721" s="1">
        <v>9.4237500000000002E-7</v>
      </c>
      <c r="H721" s="1">
        <v>1.3144099999999999E-4</v>
      </c>
    </row>
    <row r="722" spans="1:8" x14ac:dyDescent="0.25">
      <c r="A722">
        <v>111</v>
      </c>
      <c r="B722" s="1">
        <v>288.101</v>
      </c>
      <c r="C722" s="1">
        <v>7.2291300000000003E-3</v>
      </c>
      <c r="D722" s="1">
        <v>-6.8450999999999998E-3</v>
      </c>
      <c r="E722" s="1">
        <v>-1.63127E-4</v>
      </c>
      <c r="F722" s="1">
        <v>-9.4018599999999995E-5</v>
      </c>
      <c r="G722" s="1">
        <v>1.3702E-6</v>
      </c>
      <c r="H722" s="1">
        <v>1.2825400000000001E-4</v>
      </c>
    </row>
    <row r="723" spans="1:8" x14ac:dyDescent="0.25">
      <c r="A723">
        <v>112</v>
      </c>
      <c r="B723" s="1">
        <v>293.53800000000001</v>
      </c>
      <c r="C723" s="1">
        <v>7.0720000000000002E-3</v>
      </c>
      <c r="D723" s="1">
        <v>-6.6978300000000001E-3</v>
      </c>
      <c r="E723" s="1">
        <v>-1.6214300000000001E-4</v>
      </c>
      <c r="F723" s="1">
        <v>-8.8644400000000001E-5</v>
      </c>
      <c r="G723" s="1">
        <v>1.64461E-6</v>
      </c>
      <c r="H723" s="1">
        <v>1.2502800000000001E-4</v>
      </c>
    </row>
    <row r="724" spans="1:8" x14ac:dyDescent="0.25">
      <c r="A724">
        <v>113</v>
      </c>
      <c r="B724" s="1">
        <v>299.01</v>
      </c>
      <c r="C724" s="1">
        <v>6.9196700000000002E-3</v>
      </c>
      <c r="D724" s="1">
        <v>-6.5549099999999997E-3</v>
      </c>
      <c r="E724" s="1">
        <v>-1.6305599999999999E-4</v>
      </c>
      <c r="F724" s="1">
        <v>-8.1174599999999994E-5</v>
      </c>
      <c r="G724" s="1">
        <v>1.3493200000000001E-6</v>
      </c>
      <c r="H724" s="1">
        <v>1.21871E-4</v>
      </c>
    </row>
    <row r="725" spans="1:8" x14ac:dyDescent="0.25">
      <c r="A725">
        <v>114</v>
      </c>
      <c r="B725" s="1">
        <v>304.51600000000002</v>
      </c>
      <c r="C725" s="1">
        <v>6.77117E-3</v>
      </c>
      <c r="D725" s="1">
        <v>-6.4163900000000001E-3</v>
      </c>
      <c r="E725" s="1">
        <v>-1.6450699999999999E-4</v>
      </c>
      <c r="F725" s="1">
        <v>-7.2852899999999995E-5</v>
      </c>
      <c r="G725" s="1">
        <v>1.40594E-6</v>
      </c>
      <c r="H725" s="1">
        <v>1.18819E-4</v>
      </c>
    </row>
    <row r="726" spans="1:8" x14ac:dyDescent="0.25">
      <c r="A726">
        <v>115</v>
      </c>
      <c r="B726" s="1">
        <v>310.05599999999998</v>
      </c>
      <c r="C726" s="1">
        <v>6.6255200000000002E-3</v>
      </c>
      <c r="D726" s="1">
        <v>-6.28175E-3</v>
      </c>
      <c r="E726" s="1">
        <v>-1.6493700000000001E-4</v>
      </c>
      <c r="F726" s="1">
        <v>-6.4365399999999999E-5</v>
      </c>
      <c r="G726" s="1">
        <v>1.2302600000000001E-6</v>
      </c>
      <c r="H726" s="1">
        <v>1.15696E-4</v>
      </c>
    </row>
    <row r="727" spans="1:8" x14ac:dyDescent="0.25">
      <c r="A727">
        <v>116</v>
      </c>
      <c r="B727" s="1">
        <v>315.63</v>
      </c>
      <c r="C727" s="1">
        <v>6.4814399999999998E-3</v>
      </c>
      <c r="D727" s="1">
        <v>-6.1505300000000004E-3</v>
      </c>
      <c r="E727" s="1">
        <v>-1.6402800000000001E-4</v>
      </c>
      <c r="F727" s="1">
        <v>-5.5218199999999999E-5</v>
      </c>
      <c r="G727" s="1">
        <v>8.2968899999999999E-7</v>
      </c>
      <c r="H727" s="1">
        <v>1.1249200000000001E-4</v>
      </c>
    </row>
    <row r="728" spans="1:8" x14ac:dyDescent="0.25">
      <c r="A728">
        <v>117</v>
      </c>
      <c r="B728" s="1">
        <v>321.23500000000001</v>
      </c>
      <c r="C728" s="1">
        <v>6.3381799999999997E-3</v>
      </c>
      <c r="D728" s="1">
        <v>-6.0226899999999998E-3</v>
      </c>
      <c r="E728" s="1">
        <v>-1.6301299999999999E-4</v>
      </c>
      <c r="F728" s="1">
        <v>-4.42662E-5</v>
      </c>
      <c r="G728" s="1">
        <v>9.9834199999999993E-7</v>
      </c>
      <c r="H728" s="1">
        <v>1.0920399999999999E-4</v>
      </c>
    </row>
    <row r="729" spans="1:8" x14ac:dyDescent="0.25">
      <c r="A729">
        <v>118</v>
      </c>
      <c r="B729" s="1">
        <v>326.87299999999999</v>
      </c>
      <c r="C729" s="1">
        <v>6.1964999999999998E-3</v>
      </c>
      <c r="D729" s="1">
        <v>-5.8981499999999996E-3</v>
      </c>
      <c r="E729" s="1">
        <v>-1.6284200000000001E-4</v>
      </c>
      <c r="F729" s="1">
        <v>-3.1033900000000001E-5</v>
      </c>
      <c r="G729" s="1">
        <v>1.58272E-6</v>
      </c>
      <c r="H729" s="1">
        <v>1.0606400000000001E-4</v>
      </c>
    </row>
    <row r="730" spans="1:8" x14ac:dyDescent="0.25">
      <c r="A730">
        <v>119</v>
      </c>
      <c r="B730" s="1">
        <v>332.541</v>
      </c>
      <c r="C730" s="1">
        <v>6.0583800000000004E-3</v>
      </c>
      <c r="D730" s="1">
        <v>-5.7768000000000003E-3</v>
      </c>
      <c r="E730" s="1">
        <v>-1.6343400000000001E-4</v>
      </c>
      <c r="F730" s="1">
        <v>-1.69786E-5</v>
      </c>
      <c r="G730" s="1">
        <v>1.8430200000000001E-6</v>
      </c>
      <c r="H730" s="1">
        <v>1.0300499999999999E-4</v>
      </c>
    </row>
    <row r="731" spans="1:8" x14ac:dyDescent="0.25">
      <c r="A731">
        <v>120</v>
      </c>
      <c r="B731" s="1">
        <v>338.23899999999998</v>
      </c>
      <c r="C731" s="1">
        <v>5.9253600000000002E-3</v>
      </c>
      <c r="D731" s="1">
        <v>-5.6587900000000003E-3</v>
      </c>
      <c r="E731" s="1">
        <v>-1.6374599999999999E-4</v>
      </c>
      <c r="F731" s="1">
        <v>-4.8773300000000003E-6</v>
      </c>
      <c r="G731" s="1">
        <v>2.0072500000000001E-6</v>
      </c>
      <c r="H731" s="1">
        <v>9.9956299999999997E-5</v>
      </c>
    </row>
    <row r="732" spans="1:8" x14ac:dyDescent="0.25">
      <c r="A732">
        <v>121</v>
      </c>
      <c r="B732" s="1">
        <v>343.96699999999998</v>
      </c>
      <c r="C732" s="1">
        <v>5.7969900000000001E-3</v>
      </c>
      <c r="D732" s="1">
        <v>-5.5441300000000004E-3</v>
      </c>
      <c r="E732" s="1">
        <v>-1.6246500000000001E-4</v>
      </c>
      <c r="F732" s="1">
        <v>4.4608499999999998E-6</v>
      </c>
      <c r="G732" s="1">
        <v>2.1154900000000001E-6</v>
      </c>
      <c r="H732" s="1">
        <v>9.6968700000000006E-5</v>
      </c>
    </row>
    <row r="733" spans="1:8" x14ac:dyDescent="0.25">
      <c r="A733">
        <v>122</v>
      </c>
      <c r="B733" s="1">
        <v>349.72399999999999</v>
      </c>
      <c r="C733" s="1">
        <v>5.6717499999999997E-3</v>
      </c>
      <c r="D733" s="1">
        <v>-5.4325900000000002E-3</v>
      </c>
      <c r="E733" s="1">
        <v>-1.5924600000000001E-4</v>
      </c>
      <c r="F733" s="1">
        <v>1.2106800000000001E-5</v>
      </c>
      <c r="G733" s="1">
        <v>2.2582499999999999E-6</v>
      </c>
      <c r="H733" s="1">
        <v>9.4279999999999999E-5</v>
      </c>
    </row>
    <row r="734" spans="1:8" x14ac:dyDescent="0.25">
      <c r="A734">
        <v>123</v>
      </c>
      <c r="B734" s="1">
        <v>355.50799999999998</v>
      </c>
      <c r="C734" s="1">
        <v>5.54902E-3</v>
      </c>
      <c r="D734" s="1">
        <v>-5.3240199999999996E-3</v>
      </c>
      <c r="E734" s="1">
        <v>-1.5487899999999999E-4</v>
      </c>
      <c r="F734" s="1">
        <v>1.9299800000000001E-5</v>
      </c>
      <c r="G734" s="1">
        <v>2.3874300000000002E-6</v>
      </c>
      <c r="H734" s="1">
        <v>9.1813799999999998E-5</v>
      </c>
    </row>
    <row r="735" spans="1:8" x14ac:dyDescent="0.25">
      <c r="A735">
        <v>124</v>
      </c>
      <c r="B735" s="1">
        <v>361.32</v>
      </c>
      <c r="C735" s="1">
        <v>5.4293700000000002E-3</v>
      </c>
      <c r="D735" s="1">
        <v>-5.2183899999999998E-3</v>
      </c>
      <c r="E735" s="1">
        <v>-1.5016000000000001E-4</v>
      </c>
      <c r="F735" s="1">
        <v>2.61258E-5</v>
      </c>
      <c r="G735" s="1">
        <v>2.4960100000000002E-6</v>
      </c>
      <c r="H735" s="1">
        <v>8.94412E-5</v>
      </c>
    </row>
    <row r="736" spans="1:8" x14ac:dyDescent="0.25">
      <c r="A736">
        <v>125</v>
      </c>
      <c r="B736" s="1">
        <v>367.15899999999999</v>
      </c>
      <c r="C736" s="1">
        <v>5.3137599999999998E-3</v>
      </c>
      <c r="D736" s="1">
        <v>-5.1156500000000002E-3</v>
      </c>
      <c r="E736" s="1">
        <v>-1.4500799999999999E-4</v>
      </c>
      <c r="F736" s="1">
        <v>3.15494E-5</v>
      </c>
      <c r="G736" s="1">
        <v>2.6190100000000001E-6</v>
      </c>
      <c r="H736" s="1">
        <v>8.7273000000000003E-5</v>
      </c>
    </row>
    <row r="737" spans="1:8" x14ac:dyDescent="0.25">
      <c r="A737">
        <v>126</v>
      </c>
      <c r="B737" s="1">
        <v>373.024</v>
      </c>
      <c r="C737" s="1">
        <v>5.2020900000000004E-3</v>
      </c>
      <c r="D737" s="1">
        <v>-5.0156100000000002E-3</v>
      </c>
      <c r="E737" s="1">
        <v>-1.3873999999999999E-4</v>
      </c>
      <c r="F737" s="1">
        <v>3.5058799999999997E-5</v>
      </c>
      <c r="G737" s="1">
        <v>2.6707800000000002E-6</v>
      </c>
      <c r="H737" s="1">
        <v>8.5468200000000003E-5</v>
      </c>
    </row>
    <row r="738" spans="1:8" x14ac:dyDescent="0.25">
      <c r="A738">
        <v>127</v>
      </c>
      <c r="B738" s="1">
        <v>378.91500000000002</v>
      </c>
      <c r="C738" s="1">
        <v>5.0933899999999997E-3</v>
      </c>
      <c r="D738" s="1">
        <v>-4.9180500000000002E-3</v>
      </c>
      <c r="E738" s="1">
        <v>-1.3158700000000001E-4</v>
      </c>
      <c r="F738" s="1">
        <v>3.8275799999999997E-5</v>
      </c>
      <c r="G738" s="1">
        <v>1.8339299999999999E-6</v>
      </c>
      <c r="H738" s="1">
        <v>8.3862499999999999E-5</v>
      </c>
    </row>
    <row r="739" spans="1:8" x14ac:dyDescent="0.25">
      <c r="A739">
        <v>128</v>
      </c>
      <c r="B739" s="1">
        <v>384.83</v>
      </c>
      <c r="C739" s="1">
        <v>4.98716E-3</v>
      </c>
      <c r="D739" s="1">
        <v>-4.8227900000000004E-3</v>
      </c>
      <c r="E739" s="1">
        <v>-1.24664E-4</v>
      </c>
      <c r="F739" s="1">
        <v>4.2074899999999999E-5</v>
      </c>
      <c r="G739" s="1">
        <v>6.6935100000000002E-7</v>
      </c>
      <c r="H739" s="1">
        <v>8.2452000000000003E-5</v>
      </c>
    </row>
    <row r="740" spans="1:8" x14ac:dyDescent="0.25">
      <c r="A740">
        <v>129</v>
      </c>
      <c r="B740" s="1">
        <v>390.76900000000001</v>
      </c>
      <c r="C740" s="1">
        <v>4.8829399999999997E-3</v>
      </c>
      <c r="D740" s="1">
        <v>-4.7297099999999998E-3</v>
      </c>
      <c r="E740" s="1">
        <v>-1.19381E-4</v>
      </c>
      <c r="F740" s="1">
        <v>4.6555199999999998E-5</v>
      </c>
      <c r="G740" s="1">
        <v>7.5771000000000003E-7</v>
      </c>
      <c r="H740" s="1">
        <v>8.1155000000000005E-5</v>
      </c>
    </row>
    <row r="741" spans="1:8" x14ac:dyDescent="0.25">
      <c r="A741">
        <v>130</v>
      </c>
      <c r="B741" s="1">
        <v>396.73099999999999</v>
      </c>
      <c r="C741" s="1">
        <v>4.7800500000000001E-3</v>
      </c>
      <c r="D741" s="1">
        <v>-4.6386099999999996E-3</v>
      </c>
      <c r="E741" s="1">
        <v>-1.1687E-4</v>
      </c>
      <c r="F741" s="1">
        <v>5.3214799999999997E-5</v>
      </c>
      <c r="G741" s="1">
        <v>2.0165399999999999E-6</v>
      </c>
      <c r="H741" s="1">
        <v>7.9804500000000005E-5</v>
      </c>
    </row>
    <row r="742" spans="1:8" x14ac:dyDescent="0.25">
      <c r="A742">
        <v>131</v>
      </c>
      <c r="B742" s="1">
        <v>402.71699999999998</v>
      </c>
      <c r="C742" s="1">
        <v>4.6783099999999998E-3</v>
      </c>
      <c r="D742" s="1">
        <v>-4.5493799999999996E-3</v>
      </c>
      <c r="E742" s="1">
        <v>-1.17224E-4</v>
      </c>
      <c r="F742" s="1">
        <v>6.3578599999999995E-5</v>
      </c>
      <c r="G742" s="1">
        <v>3.2564700000000001E-6</v>
      </c>
      <c r="H742" s="1">
        <v>7.8538699999999994E-5</v>
      </c>
    </row>
    <row r="743" spans="1:8" x14ac:dyDescent="0.25">
      <c r="A743">
        <v>132</v>
      </c>
      <c r="B743" s="1">
        <v>408.72500000000002</v>
      </c>
      <c r="C743" s="1">
        <v>4.5776100000000002E-3</v>
      </c>
      <c r="D743" s="1">
        <v>-4.4619999999999998E-3</v>
      </c>
      <c r="E743" s="1">
        <v>-1.19622E-4</v>
      </c>
      <c r="F743" s="1">
        <v>7.8243400000000004E-5</v>
      </c>
      <c r="G743" s="1">
        <v>3.09862E-6</v>
      </c>
      <c r="H743" s="1">
        <v>7.7331300000000003E-5</v>
      </c>
    </row>
    <row r="744" spans="1:8" x14ac:dyDescent="0.25">
      <c r="A744">
        <v>133</v>
      </c>
      <c r="B744" s="1">
        <v>414.75400000000002</v>
      </c>
      <c r="C744" s="1">
        <v>4.4778700000000001E-3</v>
      </c>
      <c r="D744" s="1">
        <v>-4.3763200000000004E-3</v>
      </c>
      <c r="E744" s="1">
        <v>-1.22552E-4</v>
      </c>
      <c r="F744" s="1">
        <v>9.5430699999999994E-5</v>
      </c>
      <c r="G744" s="1">
        <v>1.8872699999999999E-6</v>
      </c>
      <c r="H744" s="1">
        <v>7.63165E-5</v>
      </c>
    </row>
    <row r="745" spans="1:8" x14ac:dyDescent="0.25">
      <c r="A745">
        <v>134</v>
      </c>
      <c r="B745" s="1">
        <v>420.80399999999997</v>
      </c>
      <c r="C745" s="1">
        <v>4.37931E-3</v>
      </c>
      <c r="D745" s="1">
        <v>-4.2923500000000003E-3</v>
      </c>
      <c r="E745" s="1">
        <v>-1.26193E-4</v>
      </c>
      <c r="F745" s="1">
        <v>1.12763E-4</v>
      </c>
      <c r="G745" s="1">
        <v>1.78752E-6</v>
      </c>
      <c r="H745" s="1">
        <v>7.5319600000000003E-5</v>
      </c>
    </row>
    <row r="746" spans="1:8" x14ac:dyDescent="0.25">
      <c r="A746">
        <v>135</v>
      </c>
      <c r="B746" s="1">
        <v>426.875</v>
      </c>
      <c r="C746" s="1">
        <v>4.2820200000000001E-3</v>
      </c>
      <c r="D746" s="1">
        <v>-4.2101400000000002E-3</v>
      </c>
      <c r="E746" s="1">
        <v>-1.3094199999999999E-4</v>
      </c>
      <c r="F746" s="1">
        <v>1.30402E-4</v>
      </c>
      <c r="G746" s="1">
        <v>2.9744100000000001E-6</v>
      </c>
      <c r="H746" s="1">
        <v>7.4308500000000002E-5</v>
      </c>
    </row>
    <row r="747" spans="1:8" x14ac:dyDescent="0.25">
      <c r="A747">
        <v>136</v>
      </c>
      <c r="B747" s="1">
        <v>432.96600000000001</v>
      </c>
      <c r="C747" s="1">
        <v>4.1863200000000003E-3</v>
      </c>
      <c r="D747" s="1">
        <v>-4.1295699999999999E-3</v>
      </c>
      <c r="E747" s="1">
        <v>-1.3574999999999999E-4</v>
      </c>
      <c r="F747" s="1">
        <v>1.48715E-4</v>
      </c>
      <c r="G747" s="1">
        <v>3.72278E-6</v>
      </c>
      <c r="H747" s="1">
        <v>7.3438900000000006E-5</v>
      </c>
    </row>
    <row r="748" spans="1:8" x14ac:dyDescent="0.25">
      <c r="A748">
        <v>137</v>
      </c>
      <c r="B748" s="1">
        <v>439.07600000000002</v>
      </c>
      <c r="C748" s="1">
        <v>4.0928199999999996E-3</v>
      </c>
      <c r="D748" s="1">
        <v>-4.0504499999999997E-3</v>
      </c>
      <c r="E748" s="1">
        <v>-1.3948399999999999E-4</v>
      </c>
      <c r="F748" s="1">
        <v>1.6616100000000001E-4</v>
      </c>
      <c r="G748" s="1">
        <v>3.546E-6</v>
      </c>
      <c r="H748" s="1">
        <v>7.2593099999999995E-5</v>
      </c>
    </row>
    <row r="749" spans="1:8" x14ac:dyDescent="0.25">
      <c r="A749">
        <v>138</v>
      </c>
      <c r="B749" s="1">
        <v>445.20499999999998</v>
      </c>
      <c r="C749" s="1">
        <v>4.0019900000000004E-3</v>
      </c>
      <c r="D749" s="1">
        <v>-3.9729800000000001E-3</v>
      </c>
      <c r="E749" s="1">
        <v>-1.41879E-4</v>
      </c>
      <c r="F749" s="1">
        <v>1.81659E-4</v>
      </c>
      <c r="G749" s="1">
        <v>3.0378E-6</v>
      </c>
      <c r="H749" s="1">
        <v>7.1831399999999998E-5</v>
      </c>
    </row>
    <row r="750" spans="1:8" x14ac:dyDescent="0.25">
      <c r="A750">
        <v>139</v>
      </c>
      <c r="B750" s="1">
        <v>451.35199999999998</v>
      </c>
      <c r="C750" s="1">
        <v>3.9139500000000002E-3</v>
      </c>
      <c r="D750" s="1">
        <v>-3.89741E-3</v>
      </c>
      <c r="E750" s="1">
        <v>-1.43597E-4</v>
      </c>
      <c r="F750" s="1">
        <v>1.95448E-4</v>
      </c>
      <c r="G750" s="1">
        <v>2.58898E-6</v>
      </c>
      <c r="H750" s="1">
        <v>7.0972599999999999E-5</v>
      </c>
    </row>
    <row r="751" spans="1:8" x14ac:dyDescent="0.25">
      <c r="A751">
        <v>140</v>
      </c>
      <c r="B751" s="1">
        <v>457.517</v>
      </c>
      <c r="C751" s="1">
        <v>3.82833E-3</v>
      </c>
      <c r="D751" s="1">
        <v>-3.8237800000000001E-3</v>
      </c>
      <c r="E751" s="1">
        <v>-1.4501299999999999E-4</v>
      </c>
      <c r="F751" s="1">
        <v>2.0766200000000001E-4</v>
      </c>
      <c r="G751" s="1">
        <v>2.6105499999999999E-6</v>
      </c>
      <c r="H751" s="1">
        <v>6.9811299999999993E-5</v>
      </c>
    </row>
    <row r="752" spans="1:8" x14ac:dyDescent="0.25">
      <c r="A752">
        <v>141</v>
      </c>
      <c r="B752" s="1">
        <v>463.69900000000001</v>
      </c>
      <c r="C752" s="1">
        <v>3.7448E-3</v>
      </c>
      <c r="D752" s="1">
        <v>-3.7519300000000001E-3</v>
      </c>
      <c r="E752" s="1">
        <v>-1.45914E-4</v>
      </c>
      <c r="F752" s="1">
        <v>2.1846699999999999E-4</v>
      </c>
      <c r="G752" s="1">
        <v>2.98444E-6</v>
      </c>
      <c r="H752" s="1">
        <v>6.8407799999999999E-5</v>
      </c>
    </row>
    <row r="753" spans="1:8" x14ac:dyDescent="0.25">
      <c r="A753">
        <v>142</v>
      </c>
      <c r="B753" s="1">
        <v>469.89800000000002</v>
      </c>
      <c r="C753" s="1">
        <v>3.6628799999999999E-3</v>
      </c>
      <c r="D753" s="1">
        <v>-3.6814999999999999E-3</v>
      </c>
      <c r="E753" s="1">
        <v>-1.4627499999999999E-4</v>
      </c>
      <c r="F753" s="1">
        <v>2.2874200000000001E-4</v>
      </c>
      <c r="G753" s="1">
        <v>3.05003E-6</v>
      </c>
      <c r="H753" s="1">
        <v>6.6899599999999999E-5</v>
      </c>
    </row>
    <row r="754" spans="1:8" x14ac:dyDescent="0.25">
      <c r="A754">
        <v>143</v>
      </c>
      <c r="B754" s="1">
        <v>476.113</v>
      </c>
      <c r="C754" s="1">
        <v>3.5818999999999998E-3</v>
      </c>
      <c r="D754" s="1">
        <v>-3.6123499999999998E-3</v>
      </c>
      <c r="E754" s="1">
        <v>-1.46766E-4</v>
      </c>
      <c r="F754" s="1">
        <v>2.3964599999999999E-4</v>
      </c>
      <c r="G754" s="1">
        <v>2.9664500000000002E-6</v>
      </c>
      <c r="H754" s="1">
        <v>6.5395999999999995E-5</v>
      </c>
    </row>
    <row r="755" spans="1:8" x14ac:dyDescent="0.25">
      <c r="A755">
        <v>144</v>
      </c>
      <c r="B755" s="1">
        <v>482.34399999999999</v>
      </c>
      <c r="C755" s="1">
        <v>3.50155E-3</v>
      </c>
      <c r="D755" s="1">
        <v>-3.5446900000000001E-3</v>
      </c>
      <c r="E755" s="1">
        <v>-1.4823399999999999E-4</v>
      </c>
      <c r="F755" s="1">
        <v>2.52489E-4</v>
      </c>
      <c r="G755" s="1">
        <v>2.7488499999999999E-6</v>
      </c>
      <c r="H755" s="1">
        <v>6.3864799999999999E-5</v>
      </c>
    </row>
    <row r="756" spans="1:8" x14ac:dyDescent="0.25">
      <c r="A756">
        <v>145</v>
      </c>
      <c r="B756" s="1">
        <v>488.59</v>
      </c>
      <c r="C756" s="1">
        <v>3.4222200000000001E-3</v>
      </c>
      <c r="D756" s="1">
        <v>-3.4786800000000001E-3</v>
      </c>
      <c r="E756" s="1">
        <v>-1.5004999999999999E-4</v>
      </c>
      <c r="F756" s="1">
        <v>2.66801E-4</v>
      </c>
      <c r="G756" s="1">
        <v>2.1573500000000002E-6</v>
      </c>
      <c r="H756" s="1">
        <v>6.2447900000000002E-5</v>
      </c>
    </row>
    <row r="757" spans="1:8" x14ac:dyDescent="0.25">
      <c r="A757">
        <v>146</v>
      </c>
      <c r="B757" s="1">
        <v>494.85199999999998</v>
      </c>
      <c r="C757" s="1">
        <v>3.3443000000000001E-3</v>
      </c>
      <c r="D757" s="1">
        <v>-3.41407E-3</v>
      </c>
      <c r="E757" s="1">
        <v>-1.51547E-4</v>
      </c>
      <c r="F757" s="1">
        <v>2.8096300000000001E-4</v>
      </c>
      <c r="G757" s="1">
        <v>1.50997E-6</v>
      </c>
      <c r="H757" s="1">
        <v>6.1154600000000006E-5</v>
      </c>
    </row>
    <row r="758" spans="1:8" x14ac:dyDescent="0.25">
      <c r="A758">
        <v>147</v>
      </c>
      <c r="B758" s="1">
        <v>501.12700000000001</v>
      </c>
      <c r="C758" s="1">
        <v>3.2682399999999999E-3</v>
      </c>
      <c r="D758" s="1">
        <v>-3.35039E-3</v>
      </c>
      <c r="E758" s="1">
        <v>-1.5300900000000001E-4</v>
      </c>
      <c r="F758" s="1">
        <v>2.9431299999999999E-4</v>
      </c>
      <c r="G758" s="1">
        <v>7.0302999999999996E-7</v>
      </c>
      <c r="H758" s="1">
        <v>5.98571E-5</v>
      </c>
    </row>
    <row r="759" spans="1:8" x14ac:dyDescent="0.25">
      <c r="A759">
        <v>148</v>
      </c>
      <c r="B759" s="1">
        <v>507.41699999999997</v>
      </c>
      <c r="C759" s="1">
        <v>3.19477E-3</v>
      </c>
      <c r="D759" s="1">
        <v>-3.2877200000000001E-3</v>
      </c>
      <c r="E759" s="1">
        <v>-1.5426599999999999E-4</v>
      </c>
      <c r="F759" s="1">
        <v>3.0565699999999998E-4</v>
      </c>
      <c r="G759" s="1">
        <v>2.19154E-7</v>
      </c>
      <c r="H759" s="1">
        <v>5.8662100000000002E-5</v>
      </c>
    </row>
    <row r="760" spans="1:8" x14ac:dyDescent="0.25">
      <c r="A760">
        <v>149</v>
      </c>
      <c r="B760" s="1">
        <v>513.72</v>
      </c>
      <c r="C760" s="1">
        <v>3.12365E-3</v>
      </c>
      <c r="D760" s="1">
        <v>-3.22632E-3</v>
      </c>
      <c r="E760" s="1">
        <v>-1.5496999999999999E-4</v>
      </c>
      <c r="F760" s="1">
        <v>3.1416199999999999E-4</v>
      </c>
      <c r="G760" s="1">
        <v>9.5101700000000002E-7</v>
      </c>
      <c r="H760" s="1">
        <v>5.74776E-5</v>
      </c>
    </row>
    <row r="761" spans="1:8" x14ac:dyDescent="0.25">
      <c r="A761">
        <v>150</v>
      </c>
      <c r="B761" s="1">
        <v>520.03700000000003</v>
      </c>
      <c r="C761" s="1">
        <v>3.0537300000000002E-3</v>
      </c>
      <c r="D761" s="1">
        <v>-3.1660999999999998E-3</v>
      </c>
      <c r="E761" s="1">
        <v>-1.5510400000000001E-4</v>
      </c>
      <c r="F761" s="1">
        <v>3.2121999999999999E-4</v>
      </c>
      <c r="G761" s="1">
        <v>2.50151E-6</v>
      </c>
      <c r="H761" s="1">
        <v>5.6253199999999999E-5</v>
      </c>
    </row>
    <row r="762" spans="1:8" x14ac:dyDescent="0.25">
      <c r="A762">
        <v>151</v>
      </c>
      <c r="B762" s="1">
        <v>526.36599999999999</v>
      </c>
      <c r="C762" s="1">
        <v>2.9842100000000002E-3</v>
      </c>
      <c r="D762" s="1">
        <v>-3.10692E-3</v>
      </c>
      <c r="E762" s="1">
        <v>-1.54778E-4</v>
      </c>
      <c r="F762" s="1">
        <v>3.2884400000000001E-4</v>
      </c>
      <c r="G762" s="1">
        <v>3.8664300000000004E-6</v>
      </c>
      <c r="H762" s="1">
        <v>5.5215900000000001E-5</v>
      </c>
    </row>
    <row r="763" spans="1:8" x14ac:dyDescent="0.25">
      <c r="A763">
        <v>152</v>
      </c>
      <c r="B763" s="1">
        <v>532.70799999999997</v>
      </c>
      <c r="C763" s="1">
        <v>2.9145899999999999E-3</v>
      </c>
      <c r="D763" s="1">
        <v>-3.0486599999999999E-3</v>
      </c>
      <c r="E763" s="1">
        <v>-1.5455699999999999E-4</v>
      </c>
      <c r="F763" s="1">
        <v>3.3882200000000002E-4</v>
      </c>
      <c r="G763" s="1">
        <v>4.0125199999999998E-6</v>
      </c>
      <c r="H763" s="1">
        <v>5.42079E-5</v>
      </c>
    </row>
    <row r="764" spans="1:8" x14ac:dyDescent="0.25">
      <c r="A764">
        <v>153</v>
      </c>
      <c r="B764" s="1">
        <v>539.06200000000001</v>
      </c>
      <c r="C764" s="1">
        <v>2.8446299999999999E-3</v>
      </c>
      <c r="D764" s="1">
        <v>-2.9913700000000001E-3</v>
      </c>
      <c r="E764" s="1">
        <v>-1.5461899999999999E-4</v>
      </c>
      <c r="F764" s="1">
        <v>3.5125199999999998E-4</v>
      </c>
      <c r="G764" s="1">
        <v>3.3640299999999999E-6</v>
      </c>
      <c r="H764" s="1">
        <v>5.3261899999999999E-5</v>
      </c>
    </row>
    <row r="765" spans="1:8" x14ac:dyDescent="0.25">
      <c r="A765">
        <v>154</v>
      </c>
      <c r="B765" s="1">
        <v>545.42700000000002</v>
      </c>
      <c r="C765" s="1">
        <v>2.7746099999999998E-3</v>
      </c>
      <c r="D765" s="1">
        <v>-2.9352499999999999E-3</v>
      </c>
      <c r="E765" s="1">
        <v>-1.54604E-4</v>
      </c>
      <c r="F765" s="1">
        <v>3.6431300000000001E-4</v>
      </c>
      <c r="G765" s="1">
        <v>3.3152699999999999E-6</v>
      </c>
      <c r="H765" s="1">
        <v>5.23846E-5</v>
      </c>
    </row>
    <row r="766" spans="1:8" x14ac:dyDescent="0.25">
      <c r="A766">
        <v>155</v>
      </c>
      <c r="B766" s="1">
        <v>551.80499999999995</v>
      </c>
      <c r="C766" s="1">
        <v>2.70521E-3</v>
      </c>
      <c r="D766" s="1">
        <v>-2.8802599999999999E-3</v>
      </c>
      <c r="E766" s="1">
        <v>-1.5439800000000001E-4</v>
      </c>
      <c r="F766" s="1">
        <v>3.77041E-4</v>
      </c>
      <c r="G766" s="1">
        <v>3.8327700000000004E-6</v>
      </c>
      <c r="H766" s="1">
        <v>5.1419699999999998E-5</v>
      </c>
    </row>
    <row r="767" spans="1:8" x14ac:dyDescent="0.25">
      <c r="A767">
        <v>156</v>
      </c>
      <c r="B767" s="1">
        <v>558.19299999999998</v>
      </c>
      <c r="C767" s="1">
        <v>2.6370199999999999E-3</v>
      </c>
      <c r="D767" s="1">
        <v>-2.8263699999999999E-3</v>
      </c>
      <c r="E767" s="1">
        <v>-1.54222E-4</v>
      </c>
      <c r="F767" s="1">
        <v>3.8992900000000001E-4</v>
      </c>
      <c r="G767" s="1">
        <v>4.09619E-6</v>
      </c>
      <c r="H767" s="1">
        <v>5.0451200000000002E-5</v>
      </c>
    </row>
    <row r="768" spans="1:8" x14ac:dyDescent="0.25">
      <c r="A768">
        <v>157</v>
      </c>
      <c r="B768" s="1">
        <v>564.59199999999998</v>
      </c>
      <c r="C768" s="1">
        <v>2.57026E-3</v>
      </c>
      <c r="D768" s="1">
        <v>-2.7736800000000002E-3</v>
      </c>
      <c r="E768" s="1">
        <v>-1.5432799999999999E-4</v>
      </c>
      <c r="F768" s="1">
        <v>4.0313700000000003E-4</v>
      </c>
      <c r="G768" s="1">
        <v>4.1372E-6</v>
      </c>
      <c r="H768" s="1">
        <v>4.9520900000000002E-5</v>
      </c>
    </row>
    <row r="769" spans="1:8" x14ac:dyDescent="0.25">
      <c r="A769">
        <v>158</v>
      </c>
      <c r="B769" s="1">
        <v>571.00199999999995</v>
      </c>
      <c r="C769" s="1">
        <v>2.50505E-3</v>
      </c>
      <c r="D769" s="1">
        <v>-2.72222E-3</v>
      </c>
      <c r="E769" s="1">
        <v>-1.5487300000000001E-4</v>
      </c>
      <c r="F769" s="1">
        <v>4.1652399999999998E-4</v>
      </c>
      <c r="G769" s="1">
        <v>4.1019200000000002E-6</v>
      </c>
      <c r="H769" s="1">
        <v>4.8582499999999998E-5</v>
      </c>
    </row>
    <row r="770" spans="1:8" x14ac:dyDescent="0.25">
      <c r="A770">
        <v>159</v>
      </c>
      <c r="B770" s="1">
        <v>577.42200000000003</v>
      </c>
      <c r="C770" s="1">
        <v>2.4415499999999998E-3</v>
      </c>
      <c r="D770" s="1">
        <v>-2.67199E-3</v>
      </c>
      <c r="E770" s="1">
        <v>-1.5573900000000001E-4</v>
      </c>
      <c r="F770" s="1">
        <v>4.3000800000000001E-4</v>
      </c>
      <c r="G770" s="1">
        <v>3.8466300000000001E-6</v>
      </c>
      <c r="H770" s="1">
        <v>4.7672600000000002E-5</v>
      </c>
    </row>
    <row r="771" spans="1:8" x14ac:dyDescent="0.25">
      <c r="A771">
        <v>160</v>
      </c>
      <c r="B771" s="1">
        <v>583.85299999999995</v>
      </c>
      <c r="C771" s="1">
        <v>2.3797100000000002E-3</v>
      </c>
      <c r="D771" s="1">
        <v>-2.6230099999999998E-3</v>
      </c>
      <c r="E771" s="1">
        <v>-1.5668100000000001E-4</v>
      </c>
      <c r="F771" s="1">
        <v>4.4325899999999999E-4</v>
      </c>
      <c r="G771" s="1">
        <v>3.4824700000000001E-6</v>
      </c>
      <c r="H771" s="1">
        <v>4.6757400000000001E-5</v>
      </c>
    </row>
    <row r="772" spans="1:8" x14ac:dyDescent="0.25">
      <c r="A772">
        <v>161</v>
      </c>
      <c r="B772" s="1">
        <v>590.29300000000001</v>
      </c>
      <c r="C772" s="1">
        <v>2.3192500000000001E-3</v>
      </c>
      <c r="D772" s="1">
        <v>-2.5751400000000001E-3</v>
      </c>
      <c r="E772" s="1">
        <v>-1.5722500000000001E-4</v>
      </c>
      <c r="F772" s="1">
        <v>4.5585200000000003E-4</v>
      </c>
      <c r="G772" s="1">
        <v>3.1109000000000001E-6</v>
      </c>
      <c r="H772" s="1">
        <v>4.5846800000000003E-5</v>
      </c>
    </row>
    <row r="773" spans="1:8" x14ac:dyDescent="0.25">
      <c r="A773">
        <v>162</v>
      </c>
      <c r="B773" s="1">
        <v>596.74199999999996</v>
      </c>
      <c r="C773" s="1">
        <v>2.25991E-3</v>
      </c>
      <c r="D773" s="1">
        <v>-2.5283100000000002E-3</v>
      </c>
      <c r="E773" s="1">
        <v>-1.5730400000000001E-4</v>
      </c>
      <c r="F773" s="1">
        <v>4.67598E-4</v>
      </c>
      <c r="G773" s="1">
        <v>3.0075E-6</v>
      </c>
      <c r="H773" s="1">
        <v>4.4904400000000003E-5</v>
      </c>
    </row>
    <row r="774" spans="1:8" x14ac:dyDescent="0.25">
      <c r="A774">
        <v>163</v>
      </c>
      <c r="B774" s="1">
        <v>603.20100000000002</v>
      </c>
      <c r="C774" s="1">
        <v>2.2016499999999999E-3</v>
      </c>
      <c r="D774" s="1">
        <v>-2.4824399999999998E-3</v>
      </c>
      <c r="E774" s="1">
        <v>-1.573E-4</v>
      </c>
      <c r="F774" s="1">
        <v>4.7856599999999998E-4</v>
      </c>
      <c r="G774" s="1">
        <v>3.4915599999999999E-6</v>
      </c>
      <c r="H774" s="1">
        <v>4.3968599999999998E-5</v>
      </c>
    </row>
    <row r="775" spans="1:8" x14ac:dyDescent="0.25">
      <c r="A775">
        <v>164</v>
      </c>
      <c r="B775" s="1">
        <v>609.66999999999996</v>
      </c>
      <c r="C775" s="1">
        <v>2.1445800000000001E-3</v>
      </c>
      <c r="D775" s="1">
        <v>-2.4373900000000002E-3</v>
      </c>
      <c r="E775" s="1">
        <v>-1.5777200000000001E-4</v>
      </c>
      <c r="F775" s="1">
        <v>4.8982599999999996E-4</v>
      </c>
      <c r="G775" s="1">
        <v>3.78596E-6</v>
      </c>
      <c r="H775" s="1">
        <v>4.3022699999999997E-5</v>
      </c>
    </row>
    <row r="776" spans="1:8" x14ac:dyDescent="0.25">
      <c r="A776">
        <v>165</v>
      </c>
      <c r="B776" s="1">
        <v>616.14700000000005</v>
      </c>
      <c r="C776" s="1">
        <v>2.0884300000000001E-3</v>
      </c>
      <c r="D776" s="1">
        <v>-2.3931199999999999E-3</v>
      </c>
      <c r="E776" s="1">
        <v>-1.5881900000000001E-4</v>
      </c>
      <c r="F776" s="1">
        <v>5.0172900000000002E-4</v>
      </c>
      <c r="G776" s="1">
        <v>3.84968E-6</v>
      </c>
      <c r="H776" s="1">
        <v>4.2076700000000003E-5</v>
      </c>
    </row>
    <row r="777" spans="1:8" x14ac:dyDescent="0.25">
      <c r="A777">
        <v>166</v>
      </c>
      <c r="B777" s="1">
        <v>622.63300000000004</v>
      </c>
      <c r="C777" s="1">
        <v>2.0326200000000002E-3</v>
      </c>
      <c r="D777" s="1">
        <v>-2.3494200000000001E-3</v>
      </c>
      <c r="E777" s="1">
        <v>-1.6012700000000001E-4</v>
      </c>
      <c r="F777" s="1">
        <v>5.1420199999999995E-4</v>
      </c>
      <c r="G777" s="1">
        <v>3.73556E-6</v>
      </c>
      <c r="H777" s="1">
        <v>4.1017099999999997E-5</v>
      </c>
    </row>
    <row r="778" spans="1:8" x14ac:dyDescent="0.25">
      <c r="A778">
        <v>167</v>
      </c>
      <c r="B778" s="1">
        <v>629.12800000000004</v>
      </c>
      <c r="C778" s="1">
        <v>1.97693E-3</v>
      </c>
      <c r="D778" s="1">
        <v>-2.30613E-3</v>
      </c>
      <c r="E778" s="1">
        <v>-1.61063E-4</v>
      </c>
      <c r="F778" s="1">
        <v>5.2714299999999999E-4</v>
      </c>
      <c r="G778" s="1">
        <v>3.0247500000000001E-6</v>
      </c>
      <c r="H778" s="1">
        <v>3.9898000000000003E-5</v>
      </c>
    </row>
    <row r="779" spans="1:8" x14ac:dyDescent="0.25">
      <c r="A779">
        <v>168</v>
      </c>
      <c r="B779" s="1">
        <v>635.63099999999997</v>
      </c>
      <c r="C779" s="1">
        <v>1.9216599999999999E-3</v>
      </c>
      <c r="D779" s="1">
        <v>-2.2635400000000001E-3</v>
      </c>
      <c r="E779" s="1">
        <v>-1.61399E-4</v>
      </c>
      <c r="F779" s="1">
        <v>5.4007199999999995E-4</v>
      </c>
      <c r="G779" s="1">
        <v>2.0033599999999999E-6</v>
      </c>
      <c r="H779" s="1">
        <v>3.8795799999999999E-5</v>
      </c>
    </row>
    <row r="780" spans="1:8" x14ac:dyDescent="0.25">
      <c r="A780">
        <v>169</v>
      </c>
      <c r="B780" s="1">
        <v>642.14300000000003</v>
      </c>
      <c r="C780" s="1">
        <v>1.86713E-3</v>
      </c>
      <c r="D780" s="1">
        <v>-2.222E-3</v>
      </c>
      <c r="E780" s="1">
        <v>-1.6155799999999999E-4</v>
      </c>
      <c r="F780" s="1">
        <v>5.5259199999999997E-4</v>
      </c>
      <c r="G780" s="1">
        <v>1.57705E-6</v>
      </c>
      <c r="H780" s="1">
        <v>3.77427E-5</v>
      </c>
    </row>
    <row r="781" spans="1:8" x14ac:dyDescent="0.25">
      <c r="A781">
        <v>170</v>
      </c>
      <c r="B781" s="1">
        <v>648.66300000000001</v>
      </c>
      <c r="C781" s="1">
        <v>1.8132999999999999E-3</v>
      </c>
      <c r="D781" s="1">
        <v>-2.1815599999999999E-3</v>
      </c>
      <c r="E781" s="1">
        <v>-1.6216900000000001E-4</v>
      </c>
      <c r="F781" s="1">
        <v>5.6510399999999998E-4</v>
      </c>
      <c r="G781" s="1">
        <v>1.9307800000000001E-6</v>
      </c>
      <c r="H781" s="1">
        <v>3.6604499999999998E-5</v>
      </c>
    </row>
    <row r="782" spans="1:8" x14ac:dyDescent="0.25">
      <c r="A782">
        <v>171</v>
      </c>
      <c r="B782" s="1">
        <v>655.19100000000003</v>
      </c>
      <c r="C782" s="1">
        <v>1.7599899999999999E-3</v>
      </c>
      <c r="D782" s="1">
        <v>-2.1420599999999999E-3</v>
      </c>
      <c r="E782" s="1">
        <v>-1.62969E-4</v>
      </c>
      <c r="F782" s="1">
        <v>5.7805499999999995E-4</v>
      </c>
      <c r="G782" s="1">
        <v>2.4243100000000001E-6</v>
      </c>
      <c r="H782" s="1">
        <v>3.5432899999999997E-5</v>
      </c>
    </row>
    <row r="783" spans="1:8" x14ac:dyDescent="0.25">
      <c r="A783">
        <v>172</v>
      </c>
      <c r="B783" s="1">
        <v>661.72699999999998</v>
      </c>
      <c r="C783" s="1">
        <v>1.70706E-3</v>
      </c>
      <c r="D783" s="1">
        <v>-2.10341E-3</v>
      </c>
      <c r="E783" s="1">
        <v>-1.6334300000000001E-4</v>
      </c>
      <c r="F783" s="1">
        <v>5.9118599999999995E-4</v>
      </c>
      <c r="G783" s="1">
        <v>2.8293300000000001E-6</v>
      </c>
      <c r="H783" s="1">
        <v>3.4323799999999998E-5</v>
      </c>
    </row>
    <row r="784" spans="1:8" x14ac:dyDescent="0.25">
      <c r="A784">
        <v>173</v>
      </c>
      <c r="B784" s="1">
        <v>668.27200000000005</v>
      </c>
      <c r="C784" s="1">
        <v>1.6543599999999999E-3</v>
      </c>
      <c r="D784" s="1">
        <v>-2.0655000000000001E-3</v>
      </c>
      <c r="E784" s="1">
        <v>-1.6312400000000001E-4</v>
      </c>
      <c r="F784" s="1">
        <v>6.0441900000000003E-4</v>
      </c>
      <c r="G784" s="1">
        <v>3.0558E-6</v>
      </c>
      <c r="H784" s="1">
        <v>3.3208099999999998E-5</v>
      </c>
    </row>
    <row r="785" spans="1:8" x14ac:dyDescent="0.25">
      <c r="A785">
        <v>174</v>
      </c>
      <c r="B785" s="1">
        <v>674.82399999999996</v>
      </c>
      <c r="C785" s="1">
        <v>1.6018899999999999E-3</v>
      </c>
      <c r="D785" s="1">
        <v>-2.0283800000000002E-3</v>
      </c>
      <c r="E785" s="1">
        <v>-1.6236500000000001E-4</v>
      </c>
      <c r="F785" s="1">
        <v>6.1744399999999998E-4</v>
      </c>
      <c r="G785" s="1">
        <v>3.46358E-6</v>
      </c>
      <c r="H785" s="1">
        <v>3.2055099999999997E-5</v>
      </c>
    </row>
    <row r="786" spans="1:8" x14ac:dyDescent="0.25">
      <c r="A786">
        <v>175</v>
      </c>
      <c r="B786" s="1">
        <v>681.38499999999999</v>
      </c>
      <c r="C786" s="1">
        <v>1.5498199999999999E-3</v>
      </c>
      <c r="D786" s="1">
        <v>-1.9920799999999998E-3</v>
      </c>
      <c r="E786" s="1">
        <v>-1.61182E-4</v>
      </c>
      <c r="F786" s="1">
        <v>6.3038500000000002E-4</v>
      </c>
      <c r="G786" s="1">
        <v>3.9534299999999997E-6</v>
      </c>
      <c r="H786" s="1">
        <v>3.0896099999999997E-5</v>
      </c>
    </row>
    <row r="787" spans="1:8" x14ac:dyDescent="0.25">
      <c r="A787">
        <v>176</v>
      </c>
      <c r="B787" s="1">
        <v>687.95299999999997</v>
      </c>
      <c r="C787" s="1">
        <v>1.49833E-3</v>
      </c>
      <c r="D787" s="1">
        <v>-1.95655E-3</v>
      </c>
      <c r="E787" s="1">
        <v>-1.5983999999999999E-4</v>
      </c>
      <c r="F787" s="1">
        <v>6.4360800000000005E-4</v>
      </c>
      <c r="G787" s="1">
        <v>4.2987699999999998E-6</v>
      </c>
      <c r="H787" s="1">
        <v>2.9845500000000001E-5</v>
      </c>
    </row>
    <row r="788" spans="1:8" x14ac:dyDescent="0.25">
      <c r="A788">
        <v>177</v>
      </c>
      <c r="B788" s="1">
        <v>694.529</v>
      </c>
      <c r="C788" s="1">
        <v>1.4475E-3</v>
      </c>
      <c r="D788" s="1">
        <v>-1.9217800000000001E-3</v>
      </c>
      <c r="E788" s="1">
        <v>-1.5895500000000001E-4</v>
      </c>
      <c r="F788" s="1">
        <v>6.5768000000000001E-4</v>
      </c>
      <c r="G788" s="1">
        <v>4.4732499999999999E-6</v>
      </c>
      <c r="H788" s="1">
        <v>2.8916199999999999E-5</v>
      </c>
    </row>
    <row r="789" spans="1:8" x14ac:dyDescent="0.25">
      <c r="A789">
        <v>178</v>
      </c>
      <c r="B789" s="1">
        <v>701.11300000000006</v>
      </c>
      <c r="C789" s="1">
        <v>1.39734E-3</v>
      </c>
      <c r="D789" s="1">
        <v>-1.8879000000000001E-3</v>
      </c>
      <c r="E789" s="1">
        <v>-1.5886900000000001E-4</v>
      </c>
      <c r="F789" s="1">
        <v>6.7345700000000003E-4</v>
      </c>
      <c r="G789" s="1">
        <v>4.1138299999999999E-6</v>
      </c>
      <c r="H789" s="1">
        <v>2.8142700000000001E-5</v>
      </c>
    </row>
    <row r="790" spans="1:8" x14ac:dyDescent="0.25">
      <c r="A790">
        <v>179</v>
      </c>
      <c r="B790" s="1">
        <v>707.70500000000004</v>
      </c>
      <c r="C790" s="1">
        <v>1.3479099999999999E-3</v>
      </c>
      <c r="D790" s="1">
        <v>-1.85502E-3</v>
      </c>
      <c r="E790" s="1">
        <v>-1.59476E-4</v>
      </c>
      <c r="F790" s="1">
        <v>6.9066099999999997E-4</v>
      </c>
      <c r="G790" s="1">
        <v>3.4931099999999999E-6</v>
      </c>
      <c r="H790" s="1">
        <v>2.75677E-5</v>
      </c>
    </row>
    <row r="791" spans="1:8" x14ac:dyDescent="0.25">
      <c r="A791">
        <v>180</v>
      </c>
      <c r="B791" s="1">
        <v>714.30600000000004</v>
      </c>
      <c r="C791" s="1">
        <v>1.29923E-3</v>
      </c>
      <c r="D791" s="1">
        <v>-1.8230399999999999E-3</v>
      </c>
      <c r="E791" s="1">
        <v>-1.6072699999999999E-4</v>
      </c>
      <c r="F791" s="1">
        <v>7.0857299999999999E-4</v>
      </c>
      <c r="G791" s="1">
        <v>2.9906499999999999E-6</v>
      </c>
      <c r="H791" s="1">
        <v>2.7024899999999999E-5</v>
      </c>
    </row>
    <row r="792" spans="1:8" x14ac:dyDescent="0.25">
      <c r="A792">
        <v>181</v>
      </c>
      <c r="B792" s="1">
        <v>720.91399999999999</v>
      </c>
      <c r="C792" s="1">
        <v>1.2512300000000001E-3</v>
      </c>
      <c r="D792" s="1">
        <v>-1.79178E-3</v>
      </c>
      <c r="E792" s="1">
        <v>-1.62292E-4</v>
      </c>
      <c r="F792" s="1">
        <v>7.2641100000000005E-4</v>
      </c>
      <c r="G792" s="1">
        <v>2.9081000000000002E-6</v>
      </c>
      <c r="H792" s="1">
        <v>2.6476299999999999E-5</v>
      </c>
    </row>
    <row r="793" spans="1:8" x14ac:dyDescent="0.25">
      <c r="A793">
        <v>182</v>
      </c>
      <c r="B793" s="1">
        <v>727.53</v>
      </c>
      <c r="C793" s="1">
        <v>1.20385E-3</v>
      </c>
      <c r="D793" s="1">
        <v>-1.7611199999999999E-3</v>
      </c>
      <c r="E793" s="1">
        <v>-1.6357000000000001E-4</v>
      </c>
      <c r="F793" s="1">
        <v>7.4366199999999997E-4</v>
      </c>
      <c r="G793" s="1">
        <v>3.0730500000000002E-6</v>
      </c>
      <c r="H793" s="1">
        <v>2.58943E-5</v>
      </c>
    </row>
    <row r="794" spans="1:8" x14ac:dyDescent="0.25">
      <c r="A794">
        <v>183</v>
      </c>
      <c r="B794" s="1">
        <v>734.15499999999997</v>
      </c>
      <c r="C794" s="1">
        <v>1.1571999999999999E-3</v>
      </c>
      <c r="D794" s="1">
        <v>-1.7309999999999999E-3</v>
      </c>
      <c r="E794" s="1">
        <v>-1.64229E-4</v>
      </c>
      <c r="F794" s="1">
        <v>7.6030900000000003E-4</v>
      </c>
      <c r="G794" s="1">
        <v>2.9885299999999998E-6</v>
      </c>
      <c r="H794" s="1">
        <v>2.5264300000000001E-5</v>
      </c>
    </row>
    <row r="795" spans="1:8" x14ac:dyDescent="0.25">
      <c r="A795">
        <v>184</v>
      </c>
      <c r="B795" s="1">
        <v>740.78700000000003</v>
      </c>
      <c r="C795" s="1">
        <v>1.1114199999999999E-3</v>
      </c>
      <c r="D795" s="1">
        <v>-1.7014700000000001E-3</v>
      </c>
      <c r="E795" s="1">
        <v>-1.6408300000000001E-4</v>
      </c>
      <c r="F795" s="1">
        <v>7.7593599999999997E-4</v>
      </c>
      <c r="G795" s="1">
        <v>2.8920999999999998E-6</v>
      </c>
      <c r="H795" s="1">
        <v>2.4697300000000002E-5</v>
      </c>
    </row>
    <row r="796" spans="1:8" x14ac:dyDescent="0.25">
      <c r="A796">
        <v>185</v>
      </c>
      <c r="B796" s="1">
        <v>747.42899999999997</v>
      </c>
      <c r="C796" s="1">
        <v>1.0664299999999999E-3</v>
      </c>
      <c r="D796" s="1">
        <v>-1.67263E-3</v>
      </c>
      <c r="E796" s="1">
        <v>-1.6312799999999999E-4</v>
      </c>
      <c r="F796" s="1">
        <v>7.9061799999999998E-4</v>
      </c>
      <c r="G796" s="1">
        <v>2.85665E-6</v>
      </c>
      <c r="H796" s="1">
        <v>2.4152199999999999E-5</v>
      </c>
    </row>
    <row r="797" spans="1:8" x14ac:dyDescent="0.25">
      <c r="A797">
        <v>186</v>
      </c>
      <c r="B797" s="1">
        <v>754.07899999999995</v>
      </c>
      <c r="C797" s="1">
        <v>1.02213E-3</v>
      </c>
      <c r="D797" s="1">
        <v>-1.64467E-3</v>
      </c>
      <c r="E797" s="1">
        <v>-1.61454E-4</v>
      </c>
      <c r="F797" s="1">
        <v>8.0455000000000001E-4</v>
      </c>
      <c r="G797" s="1">
        <v>3.0515700000000002E-6</v>
      </c>
      <c r="H797" s="1">
        <v>2.3606899999999999E-5</v>
      </c>
    </row>
    <row r="798" spans="1:8" x14ac:dyDescent="0.25">
      <c r="A798">
        <v>187</v>
      </c>
      <c r="B798" s="1">
        <v>760.73699999999997</v>
      </c>
      <c r="C798" s="1">
        <v>9.7853000000000002E-4</v>
      </c>
      <c r="D798" s="1">
        <v>-1.6176700000000001E-3</v>
      </c>
      <c r="E798" s="1">
        <v>-1.5926199999999999E-4</v>
      </c>
      <c r="F798" s="1">
        <v>8.1764499999999998E-4</v>
      </c>
      <c r="G798" s="1">
        <v>3.82757E-6</v>
      </c>
      <c r="H798" s="1">
        <v>2.30697E-5</v>
      </c>
    </row>
    <row r="799" spans="1:8" x14ac:dyDescent="0.25">
      <c r="A799">
        <v>188</v>
      </c>
      <c r="B799" s="1">
        <v>767.404</v>
      </c>
      <c r="C799" s="1">
        <v>9.3557199999999997E-4</v>
      </c>
      <c r="D799" s="1">
        <v>-1.5914E-3</v>
      </c>
      <c r="E799" s="1">
        <v>-1.56902E-4</v>
      </c>
      <c r="F799" s="1">
        <v>8.3047299999999998E-4</v>
      </c>
      <c r="G799" s="1">
        <v>4.7298E-6</v>
      </c>
      <c r="H799" s="1">
        <v>2.24702E-5</v>
      </c>
    </row>
    <row r="800" spans="1:8" x14ac:dyDescent="0.25">
      <c r="A800">
        <v>189</v>
      </c>
      <c r="B800" s="1">
        <v>774.08100000000002</v>
      </c>
      <c r="C800" s="1">
        <v>8.9310799999999999E-4</v>
      </c>
      <c r="D800" s="1">
        <v>-1.56569E-3</v>
      </c>
      <c r="E800" s="1">
        <v>-1.5484E-4</v>
      </c>
      <c r="F800" s="1">
        <v>8.4387000000000004E-4</v>
      </c>
      <c r="G800" s="1">
        <v>5.3986399999999997E-6</v>
      </c>
      <c r="H800" s="1">
        <v>2.1842299999999999E-5</v>
      </c>
    </row>
    <row r="801" spans="1:8" x14ac:dyDescent="0.25">
      <c r="A801">
        <v>190</v>
      </c>
      <c r="B801" s="1">
        <v>780.76700000000005</v>
      </c>
      <c r="C801" s="1">
        <v>8.5108099999999995E-4</v>
      </c>
      <c r="D801" s="1">
        <v>-1.54053E-3</v>
      </c>
      <c r="E801" s="1">
        <v>-1.5331200000000001E-4</v>
      </c>
      <c r="F801" s="1">
        <v>8.5828200000000003E-4</v>
      </c>
      <c r="G801" s="1">
        <v>5.6843199999999996E-6</v>
      </c>
      <c r="H801" s="1">
        <v>2.12074E-5</v>
      </c>
    </row>
    <row r="802" spans="1:8" x14ac:dyDescent="0.25">
      <c r="A802">
        <v>191</v>
      </c>
      <c r="B802" s="1">
        <v>787.46199999999999</v>
      </c>
      <c r="C802" s="1">
        <v>8.0954400000000004E-4</v>
      </c>
      <c r="D802" s="1">
        <v>-1.51592E-3</v>
      </c>
      <c r="E802" s="1">
        <v>-1.51939E-4</v>
      </c>
      <c r="F802" s="1">
        <v>8.7330199999999995E-4</v>
      </c>
      <c r="G802" s="1">
        <v>5.63502E-6</v>
      </c>
      <c r="H802" s="1">
        <v>2.0617700000000001E-5</v>
      </c>
    </row>
    <row r="803" spans="1:8" x14ac:dyDescent="0.25">
      <c r="A803">
        <v>192</v>
      </c>
      <c r="B803" s="1">
        <v>794.16700000000003</v>
      </c>
      <c r="C803" s="1">
        <v>7.6855499999999998E-4</v>
      </c>
      <c r="D803" s="1">
        <v>-1.49197E-3</v>
      </c>
      <c r="E803" s="1">
        <v>-1.50395E-4</v>
      </c>
      <c r="F803" s="1">
        <v>8.8842399999999996E-4</v>
      </c>
      <c r="G803" s="1">
        <v>5.4923099999999998E-6</v>
      </c>
      <c r="H803" s="1">
        <v>2.0100699999999999E-5</v>
      </c>
    </row>
    <row r="804" spans="1:8" x14ac:dyDescent="0.25">
      <c r="A804">
        <v>193</v>
      </c>
      <c r="B804" s="1">
        <v>800.88099999999997</v>
      </c>
      <c r="C804" s="1">
        <v>7.2824800000000002E-4</v>
      </c>
      <c r="D804" s="1">
        <v>-1.46883E-3</v>
      </c>
      <c r="E804" s="1">
        <v>-1.48672E-4</v>
      </c>
      <c r="F804" s="1">
        <v>9.03582E-4</v>
      </c>
      <c r="G804" s="1">
        <v>5.3264600000000003E-6</v>
      </c>
      <c r="H804" s="1">
        <v>1.9653E-5</v>
      </c>
    </row>
    <row r="805" spans="1:8" x14ac:dyDescent="0.25">
      <c r="A805">
        <v>194</v>
      </c>
      <c r="B805" s="1">
        <v>807.60599999999999</v>
      </c>
      <c r="C805" s="1">
        <v>6.8872599999999996E-4</v>
      </c>
      <c r="D805" s="1">
        <v>-1.4465999999999999E-3</v>
      </c>
      <c r="E805" s="1">
        <v>-1.46713E-4</v>
      </c>
      <c r="F805" s="1">
        <v>9.1824199999999999E-4</v>
      </c>
      <c r="G805" s="1">
        <v>5.6302400000000002E-6</v>
      </c>
      <c r="H805" s="1">
        <v>1.9281400000000001E-5</v>
      </c>
    </row>
    <row r="806" spans="1:8" x14ac:dyDescent="0.25">
      <c r="A806">
        <v>195</v>
      </c>
      <c r="B806" s="1">
        <v>814.34199999999998</v>
      </c>
      <c r="C806" s="1">
        <v>6.4992800000000003E-4</v>
      </c>
      <c r="D806" s="1">
        <v>-1.42519E-3</v>
      </c>
      <c r="E806" s="1">
        <v>-1.44287E-4</v>
      </c>
      <c r="F806" s="1">
        <v>9.3203000000000003E-4</v>
      </c>
      <c r="G806" s="1">
        <v>6.4060400000000004E-6</v>
      </c>
      <c r="H806" s="1">
        <v>1.8891900000000001E-5</v>
      </c>
    </row>
    <row r="807" spans="1:8" x14ac:dyDescent="0.25">
      <c r="A807">
        <v>196</v>
      </c>
      <c r="B807" s="1">
        <v>821.08799999999997</v>
      </c>
      <c r="C807" s="1">
        <v>6.1178600000000001E-4</v>
      </c>
      <c r="D807" s="1">
        <v>-1.4044000000000001E-3</v>
      </c>
      <c r="E807" s="1">
        <v>-1.4114999999999999E-4</v>
      </c>
      <c r="F807" s="1">
        <v>9.4509800000000001E-4</v>
      </c>
      <c r="G807" s="1">
        <v>7.0839000000000001E-6</v>
      </c>
      <c r="H807" s="1">
        <v>1.8414699999999998E-5</v>
      </c>
    </row>
    <row r="808" spans="1:8" x14ac:dyDescent="0.25">
      <c r="A808">
        <v>197</v>
      </c>
      <c r="B808" s="1">
        <v>827.846</v>
      </c>
      <c r="C808" s="1">
        <v>5.7431099999999998E-4</v>
      </c>
      <c r="D808" s="1">
        <v>-1.3842100000000001E-3</v>
      </c>
      <c r="E808" s="1">
        <v>-1.3731099999999999E-4</v>
      </c>
      <c r="F808" s="1">
        <v>9.5774599999999999E-4</v>
      </c>
      <c r="G808" s="1">
        <v>7.3344800000000001E-6</v>
      </c>
      <c r="H808" s="1">
        <v>1.78731E-5</v>
      </c>
    </row>
    <row r="809" spans="1:8" x14ac:dyDescent="0.25">
      <c r="A809">
        <v>198</v>
      </c>
      <c r="B809" s="1">
        <v>834.61500000000001</v>
      </c>
      <c r="C809" s="1">
        <v>5.3759000000000001E-4</v>
      </c>
      <c r="D809" s="1">
        <v>-1.3646299999999999E-3</v>
      </c>
      <c r="E809" s="1">
        <v>-1.3304899999999999E-4</v>
      </c>
      <c r="F809" s="1">
        <v>9.7019000000000001E-4</v>
      </c>
      <c r="G809" s="1">
        <v>7.1607400000000002E-6</v>
      </c>
      <c r="H809" s="1">
        <v>1.7265499999999999E-5</v>
      </c>
    </row>
    <row r="810" spans="1:8" x14ac:dyDescent="0.25">
      <c r="A810">
        <v>199</v>
      </c>
      <c r="B810" s="1">
        <v>841.39599999999996</v>
      </c>
      <c r="C810" s="1">
        <v>5.0173600000000002E-4</v>
      </c>
      <c r="D810" s="1">
        <v>-1.3457199999999999E-3</v>
      </c>
      <c r="E810" s="1">
        <v>-1.2861200000000001E-4</v>
      </c>
      <c r="F810" s="1">
        <v>9.8224199999999992E-4</v>
      </c>
      <c r="G810" s="1">
        <v>7.0092499999999998E-6</v>
      </c>
      <c r="H810" s="1">
        <v>1.66587E-5</v>
      </c>
    </row>
    <row r="811" spans="1:8" x14ac:dyDescent="0.25">
      <c r="A811">
        <v>200</v>
      </c>
      <c r="B811" s="1">
        <v>848.18899999999996</v>
      </c>
      <c r="C811" s="1">
        <v>4.6684299999999999E-4</v>
      </c>
      <c r="D811" s="1">
        <v>-1.3275299999999999E-3</v>
      </c>
      <c r="E811" s="1">
        <v>-1.24234E-4</v>
      </c>
      <c r="F811" s="1">
        <v>9.9410899999999996E-4</v>
      </c>
      <c r="G811" s="1">
        <v>6.9432900000000002E-6</v>
      </c>
      <c r="H811" s="1">
        <v>1.6125199999999999E-5</v>
      </c>
    </row>
    <row r="812" spans="1:8" x14ac:dyDescent="0.25">
      <c r="A812">
        <v>201</v>
      </c>
      <c r="B812" s="1">
        <v>854.995</v>
      </c>
      <c r="C812" s="1">
        <v>4.33003E-4</v>
      </c>
      <c r="D812" s="1">
        <v>-1.31007E-3</v>
      </c>
      <c r="E812" s="1">
        <v>-1.20288E-4</v>
      </c>
      <c r="F812" s="1">
        <v>1.00606E-3</v>
      </c>
      <c r="G812" s="1">
        <v>6.9907499999999999E-6</v>
      </c>
      <c r="H812" s="1">
        <v>1.5692399999999999E-5</v>
      </c>
    </row>
    <row r="813" spans="1:8" x14ac:dyDescent="0.25">
      <c r="A813">
        <v>202</v>
      </c>
      <c r="B813" s="1">
        <v>861.81399999999996</v>
      </c>
      <c r="C813" s="1">
        <v>4.0025500000000002E-4</v>
      </c>
      <c r="D813" s="1">
        <v>-1.2932600000000001E-3</v>
      </c>
      <c r="E813" s="1">
        <v>-1.17256E-4</v>
      </c>
      <c r="F813" s="1">
        <v>1.01815E-3</v>
      </c>
      <c r="G813" s="1">
        <v>7.4224500000000004E-6</v>
      </c>
      <c r="H813" s="1">
        <v>1.5315199999999999E-5</v>
      </c>
    </row>
    <row r="814" spans="1:8" x14ac:dyDescent="0.25">
      <c r="A814">
        <v>203</v>
      </c>
      <c r="B814" s="1">
        <v>868.64599999999996</v>
      </c>
      <c r="C814" s="1">
        <v>3.6858399999999998E-4</v>
      </c>
      <c r="D814" s="1">
        <v>-1.27706E-3</v>
      </c>
      <c r="E814" s="1">
        <v>-1.15412E-4</v>
      </c>
      <c r="F814" s="1">
        <v>1.0306099999999999E-3</v>
      </c>
      <c r="G814" s="1">
        <v>8.2457800000000002E-6</v>
      </c>
      <c r="H814" s="1">
        <v>1.4969E-5</v>
      </c>
    </row>
    <row r="815" spans="1:8" x14ac:dyDescent="0.25">
      <c r="A815">
        <v>204</v>
      </c>
      <c r="B815" s="1">
        <v>875.49300000000005</v>
      </c>
      <c r="C815" s="1">
        <v>3.3796199999999997E-4</v>
      </c>
      <c r="D815" s="1">
        <v>-1.26144E-3</v>
      </c>
      <c r="E815" s="1">
        <v>-1.14574E-4</v>
      </c>
      <c r="F815" s="1">
        <v>1.0436899999999999E-3</v>
      </c>
      <c r="G815" s="1">
        <v>9.0560400000000005E-6</v>
      </c>
      <c r="H815" s="1">
        <v>1.4691900000000001E-5</v>
      </c>
    </row>
    <row r="816" spans="1:8" x14ac:dyDescent="0.25">
      <c r="A816">
        <v>205</v>
      </c>
      <c r="B816" s="1">
        <v>882.35400000000004</v>
      </c>
      <c r="C816" s="1">
        <v>3.0843500000000002E-4</v>
      </c>
      <c r="D816" s="1">
        <v>-1.2463800000000001E-3</v>
      </c>
      <c r="E816" s="1">
        <v>-1.1404300000000001E-4</v>
      </c>
      <c r="F816" s="1">
        <v>1.0569900000000001E-3</v>
      </c>
      <c r="G816" s="1">
        <v>9.47551E-6</v>
      </c>
      <c r="H816" s="1">
        <v>1.4474199999999999E-5</v>
      </c>
    </row>
    <row r="817" spans="1:8" x14ac:dyDescent="0.25">
      <c r="A817">
        <v>206</v>
      </c>
      <c r="B817" s="1">
        <v>889.23</v>
      </c>
      <c r="C817" s="1">
        <v>2.8012499999999999E-4</v>
      </c>
      <c r="D817" s="1">
        <v>-1.23197E-3</v>
      </c>
      <c r="E817" s="1">
        <v>-1.13099E-4</v>
      </c>
      <c r="F817" s="1">
        <v>1.0697899999999999E-3</v>
      </c>
      <c r="G817" s="1">
        <v>9.4935600000000006E-6</v>
      </c>
      <c r="H817" s="1">
        <v>1.4335000000000001E-5</v>
      </c>
    </row>
    <row r="818" spans="1:8" x14ac:dyDescent="0.25">
      <c r="A818">
        <v>207</v>
      </c>
      <c r="B818" s="1">
        <v>896.12099999999998</v>
      </c>
      <c r="C818" s="1">
        <v>2.5310900000000001E-4</v>
      </c>
      <c r="D818" s="1">
        <v>-1.21839E-3</v>
      </c>
      <c r="E818" s="1">
        <v>-1.11581E-4</v>
      </c>
      <c r="F818" s="1">
        <v>1.0816599999999999E-3</v>
      </c>
      <c r="G818" s="1">
        <v>9.5147200000000003E-6</v>
      </c>
      <c r="H818" s="1">
        <v>1.43191E-5</v>
      </c>
    </row>
    <row r="819" spans="1:8" x14ac:dyDescent="0.25">
      <c r="A819">
        <v>208</v>
      </c>
      <c r="B819" s="1">
        <v>903.029</v>
      </c>
      <c r="C819" s="1">
        <v>2.27397E-4</v>
      </c>
      <c r="D819" s="1">
        <v>-1.2056600000000001E-3</v>
      </c>
      <c r="E819" s="1">
        <v>-1.0995800000000001E-4</v>
      </c>
      <c r="F819" s="1">
        <v>1.0928699999999999E-3</v>
      </c>
      <c r="G819" s="1">
        <v>9.6389099999999992E-6</v>
      </c>
      <c r="H819" s="1">
        <v>1.42908E-5</v>
      </c>
    </row>
    <row r="820" spans="1:8" x14ac:dyDescent="0.25">
      <c r="A820">
        <v>209</v>
      </c>
      <c r="B820" s="1">
        <v>909.95399999999995</v>
      </c>
      <c r="C820" s="1">
        <v>2.0294900000000001E-4</v>
      </c>
      <c r="D820" s="1">
        <v>-1.19378E-3</v>
      </c>
      <c r="E820" s="1">
        <v>-1.08658E-4</v>
      </c>
      <c r="F820" s="1">
        <v>1.10384E-3</v>
      </c>
      <c r="G820" s="1">
        <v>9.87893E-6</v>
      </c>
      <c r="H820" s="1">
        <v>1.4230700000000001E-5</v>
      </c>
    </row>
    <row r="821" spans="1:8" x14ac:dyDescent="0.25">
      <c r="A821">
        <v>210</v>
      </c>
      <c r="B821" s="1">
        <v>916.89599999999996</v>
      </c>
      <c r="C821" s="1">
        <v>1.7967800000000001E-4</v>
      </c>
      <c r="D821" s="1">
        <v>-1.18271E-3</v>
      </c>
      <c r="E821" s="1">
        <v>-1.07861E-4</v>
      </c>
      <c r="F821" s="1">
        <v>1.1148600000000001E-3</v>
      </c>
      <c r="G821" s="1">
        <v>1.0184799999999999E-5</v>
      </c>
      <c r="H821" s="1">
        <v>1.4153400000000001E-5</v>
      </c>
    </row>
    <row r="822" spans="1:8" x14ac:dyDescent="0.25">
      <c r="A822">
        <v>211</v>
      </c>
      <c r="B822" s="1">
        <v>923.85699999999997</v>
      </c>
      <c r="C822" s="1">
        <v>1.5752799999999999E-4</v>
      </c>
      <c r="D822" s="1">
        <v>-1.1723599999999999E-3</v>
      </c>
      <c r="E822" s="1">
        <v>-1.07308E-4</v>
      </c>
      <c r="F822" s="1">
        <v>1.1257999999999999E-3</v>
      </c>
      <c r="G822" s="1">
        <v>1.0434E-5</v>
      </c>
      <c r="H822" s="1">
        <v>1.4098500000000001E-5</v>
      </c>
    </row>
    <row r="823" spans="1:8" x14ac:dyDescent="0.25">
      <c r="A823">
        <v>212</v>
      </c>
      <c r="B823" s="1">
        <v>930.83600000000001</v>
      </c>
      <c r="C823" s="1">
        <v>1.3652E-4</v>
      </c>
      <c r="D823" s="1">
        <v>-1.1626500000000001E-3</v>
      </c>
      <c r="E823" s="1">
        <v>-1.06474E-4</v>
      </c>
      <c r="F823" s="1">
        <v>1.13601E-3</v>
      </c>
      <c r="G823" s="1">
        <v>1.0655900000000001E-5</v>
      </c>
      <c r="H823" s="1">
        <v>1.4060799999999999E-5</v>
      </c>
    </row>
    <row r="824" spans="1:8" x14ac:dyDescent="0.25">
      <c r="A824">
        <v>213</v>
      </c>
      <c r="B824" s="1">
        <v>937.83399999999995</v>
      </c>
      <c r="C824" s="1">
        <v>1.1678E-4</v>
      </c>
      <c r="D824" s="1">
        <v>-1.15365E-3</v>
      </c>
      <c r="E824" s="1">
        <v>-1.05074E-4</v>
      </c>
      <c r="F824" s="1">
        <v>1.1449800000000001E-3</v>
      </c>
      <c r="G824" s="1">
        <v>1.09909E-5</v>
      </c>
      <c r="H824" s="1">
        <v>1.40224E-5</v>
      </c>
    </row>
    <row r="825" spans="1:8" x14ac:dyDescent="0.25">
      <c r="A825">
        <v>214</v>
      </c>
      <c r="B825" s="1">
        <v>944.85299999999995</v>
      </c>
      <c r="C825" s="1">
        <v>9.8484299999999995E-5</v>
      </c>
      <c r="D825" s="1">
        <v>-1.1453699999999999E-3</v>
      </c>
      <c r="E825" s="1">
        <v>-1.0325E-4</v>
      </c>
      <c r="F825" s="1">
        <v>1.1527200000000001E-3</v>
      </c>
      <c r="G825" s="1">
        <v>1.14009E-5</v>
      </c>
      <c r="H825" s="1">
        <v>1.39862E-5</v>
      </c>
    </row>
    <row r="826" spans="1:8" x14ac:dyDescent="0.25">
      <c r="A826">
        <v>215</v>
      </c>
      <c r="B826" s="1">
        <v>951.89300000000003</v>
      </c>
      <c r="C826" s="1">
        <v>8.1732100000000003E-5</v>
      </c>
      <c r="D826" s="1">
        <v>-1.13776E-3</v>
      </c>
      <c r="E826" s="1">
        <v>-1.01374E-4</v>
      </c>
      <c r="F826" s="1">
        <v>1.1596600000000001E-3</v>
      </c>
      <c r="G826" s="1">
        <v>1.16538E-5</v>
      </c>
      <c r="H826" s="1">
        <v>1.39167E-5</v>
      </c>
    </row>
    <row r="827" spans="1:8" x14ac:dyDescent="0.25">
      <c r="A827">
        <v>216</v>
      </c>
      <c r="B827" s="1">
        <v>958.95500000000004</v>
      </c>
      <c r="C827" s="1">
        <v>6.6542400000000002E-5</v>
      </c>
      <c r="D827" s="1">
        <v>-1.13086E-3</v>
      </c>
      <c r="E827" s="1">
        <v>-9.9612799999999996E-5</v>
      </c>
      <c r="F827" s="1">
        <v>1.16584E-3</v>
      </c>
      <c r="G827" s="1">
        <v>1.19474E-5</v>
      </c>
      <c r="H827" s="1">
        <v>1.3863600000000001E-5</v>
      </c>
    </row>
    <row r="828" spans="1:8" x14ac:dyDescent="0.25">
      <c r="A828">
        <v>217</v>
      </c>
      <c r="B828" s="1">
        <v>966.04</v>
      </c>
      <c r="C828" s="1">
        <v>5.2942000000000002E-5</v>
      </c>
      <c r="D828" s="1">
        <v>-1.12469E-3</v>
      </c>
      <c r="E828" s="1">
        <v>-9.8012700000000004E-5</v>
      </c>
      <c r="F828" s="1">
        <v>1.1712999999999999E-3</v>
      </c>
      <c r="G828" s="1">
        <v>1.2362500000000001E-5</v>
      </c>
      <c r="H828" s="1">
        <v>1.39033E-5</v>
      </c>
    </row>
    <row r="829" spans="1:8" x14ac:dyDescent="0.25">
      <c r="A829">
        <v>218</v>
      </c>
      <c r="B829" s="1">
        <v>973.149</v>
      </c>
      <c r="C829" s="1">
        <v>4.0966700000000002E-5</v>
      </c>
      <c r="D829" s="1">
        <v>-1.11918E-3</v>
      </c>
      <c r="E829" s="1">
        <v>-9.6796E-5</v>
      </c>
      <c r="F829" s="1">
        <v>1.1764E-3</v>
      </c>
      <c r="G829" s="1">
        <v>1.2659E-5</v>
      </c>
      <c r="H829" s="1">
        <v>1.4053000000000001E-5</v>
      </c>
    </row>
    <row r="830" spans="1:8" x14ac:dyDescent="0.25">
      <c r="A830">
        <v>219</v>
      </c>
      <c r="B830" s="1">
        <v>980.28200000000004</v>
      </c>
      <c r="C830" s="1">
        <v>3.0622700000000001E-5</v>
      </c>
      <c r="D830" s="1">
        <v>-1.1143699999999999E-3</v>
      </c>
      <c r="E830" s="1">
        <v>-9.6350900000000006E-5</v>
      </c>
      <c r="F830" s="1">
        <v>1.18133E-3</v>
      </c>
      <c r="G830" s="1">
        <v>1.3002399999999999E-5</v>
      </c>
      <c r="H830" s="1">
        <v>1.42356E-5</v>
      </c>
    </row>
    <row r="831" spans="1:8" x14ac:dyDescent="0.25">
      <c r="A831">
        <v>220</v>
      </c>
      <c r="B831" s="1">
        <v>987.44100000000003</v>
      </c>
      <c r="C831" s="1">
        <v>2.19182E-5</v>
      </c>
      <c r="D831" s="1">
        <v>-1.11031E-3</v>
      </c>
      <c r="E831" s="1">
        <v>-9.6622700000000006E-5</v>
      </c>
      <c r="F831" s="1">
        <v>1.1858999999999999E-3</v>
      </c>
      <c r="G831" s="1">
        <v>1.35057E-5</v>
      </c>
      <c r="H831" s="1">
        <v>1.43942E-5</v>
      </c>
    </row>
    <row r="832" spans="1:8" x14ac:dyDescent="0.25">
      <c r="A832">
        <v>221</v>
      </c>
      <c r="B832" s="1">
        <v>994.62699999999995</v>
      </c>
      <c r="C832" s="1">
        <v>1.48822E-5</v>
      </c>
      <c r="D832" s="1">
        <v>-1.1070400000000001E-3</v>
      </c>
      <c r="E832" s="1">
        <v>-9.7132299999999998E-5</v>
      </c>
      <c r="F832" s="1">
        <v>1.1900000000000001E-3</v>
      </c>
      <c r="G832" s="1">
        <v>1.3851E-5</v>
      </c>
      <c r="H832" s="1">
        <v>1.456E-5</v>
      </c>
    </row>
    <row r="833" spans="1:8" x14ac:dyDescent="0.25">
      <c r="A833">
        <v>222</v>
      </c>
      <c r="B833" s="1">
        <v>1001.84</v>
      </c>
      <c r="C833" s="1">
        <v>9.5478599999999994E-6</v>
      </c>
      <c r="D833" s="1">
        <v>-1.10461E-3</v>
      </c>
      <c r="E833" s="1">
        <v>-9.7586799999999999E-5</v>
      </c>
      <c r="F833" s="1">
        <v>1.19344E-3</v>
      </c>
      <c r="G833" s="1">
        <v>1.3931700000000001E-5</v>
      </c>
      <c r="H833" s="1">
        <v>1.4724E-5</v>
      </c>
    </row>
    <row r="834" spans="1:8" x14ac:dyDescent="0.25">
      <c r="A834">
        <v>223</v>
      </c>
      <c r="B834" s="1">
        <v>1009.08</v>
      </c>
      <c r="C834" s="1">
        <v>5.9332799999999999E-6</v>
      </c>
      <c r="D834" s="1">
        <v>-1.10304E-3</v>
      </c>
      <c r="E834" s="1">
        <v>-9.8098799999999997E-5</v>
      </c>
      <c r="F834" s="1">
        <v>1.1962400000000001E-3</v>
      </c>
      <c r="G834" s="1">
        <v>1.3802799999999999E-5</v>
      </c>
      <c r="H834" s="1">
        <v>1.4836400000000001E-5</v>
      </c>
    </row>
    <row r="835" spans="1:8" x14ac:dyDescent="0.25">
      <c r="A835">
        <v>224</v>
      </c>
      <c r="B835" s="1">
        <v>1016.36</v>
      </c>
      <c r="C835" s="1">
        <v>4.0780900000000001E-6</v>
      </c>
      <c r="D835" s="1">
        <v>-1.1023000000000001E-3</v>
      </c>
      <c r="E835" s="1">
        <v>-9.8563199999999998E-5</v>
      </c>
      <c r="F835" s="1">
        <v>1.19815E-3</v>
      </c>
      <c r="G835" s="1">
        <v>1.3539100000000001E-5</v>
      </c>
      <c r="H835" s="1">
        <v>1.49071E-5</v>
      </c>
    </row>
    <row r="836" spans="1:8" x14ac:dyDescent="0.25">
      <c r="B836" s="1"/>
      <c r="C836" s="1"/>
      <c r="D836" s="1"/>
      <c r="E836" s="1"/>
      <c r="F836" s="1"/>
      <c r="G836" s="1"/>
      <c r="H836" s="1"/>
    </row>
    <row r="837" spans="1:8" x14ac:dyDescent="0.25">
      <c r="A837" t="s">
        <v>375</v>
      </c>
      <c r="B837" s="1"/>
      <c r="C837" s="1"/>
      <c r="D837" s="1"/>
      <c r="E837" s="1"/>
      <c r="F837" s="1"/>
      <c r="G837" s="1"/>
      <c r="H837" s="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590"/>
  <sheetViews>
    <sheetView topLeftCell="D1" workbookViewId="0">
      <selection activeCell="R48" sqref="R48"/>
    </sheetView>
  </sheetViews>
  <sheetFormatPr defaultRowHeight="15" x14ac:dyDescent="0.25"/>
  <cols>
    <col min="1" max="1" width="12.7109375" bestFit="1" customWidth="1"/>
    <col min="2" max="2" width="12.7109375" customWidth="1"/>
    <col min="3" max="4" width="12" bestFit="1" customWidth="1"/>
    <col min="5" max="6" width="12.7109375" bestFit="1" customWidth="1"/>
    <col min="7" max="7" width="12" bestFit="1" customWidth="1"/>
    <col min="8" max="8" width="12" customWidth="1"/>
    <col min="9" max="9" width="12.7109375" customWidth="1"/>
    <col min="12" max="12" width="9.5703125" bestFit="1" customWidth="1"/>
    <col min="14" max="14" width="11.7109375" customWidth="1"/>
    <col min="16" max="16" width="10.42578125" bestFit="1" customWidth="1"/>
    <col min="17" max="17" width="12" bestFit="1" customWidth="1"/>
  </cols>
  <sheetData>
    <row r="1" spans="1:16" x14ac:dyDescent="0.25">
      <c r="A1" t="s">
        <v>490</v>
      </c>
      <c r="B1" t="s">
        <v>528</v>
      </c>
      <c r="C1" t="s">
        <v>529</v>
      </c>
      <c r="D1" t="s">
        <v>530</v>
      </c>
      <c r="E1" t="s">
        <v>531</v>
      </c>
      <c r="F1" t="s">
        <v>532</v>
      </c>
      <c r="G1" t="s">
        <v>370</v>
      </c>
      <c r="H1" t="s">
        <v>533</v>
      </c>
      <c r="I1" t="s">
        <v>527</v>
      </c>
      <c r="J1" t="s">
        <v>6</v>
      </c>
    </row>
    <row r="2" spans="1:16" x14ac:dyDescent="0.25">
      <c r="A2">
        <v>-143.34727764129599</v>
      </c>
      <c r="B2" s="1">
        <v>-2.13702119253866E-4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>
        <v>0</v>
      </c>
      <c r="I2" s="1">
        <v>0</v>
      </c>
      <c r="J2">
        <f>-G2</f>
        <v>0</v>
      </c>
      <c r="M2" s="1"/>
    </row>
    <row r="3" spans="1:16" x14ac:dyDescent="0.25">
      <c r="A3">
        <v>-130.59127092361399</v>
      </c>
      <c r="B3" s="1">
        <v>-2.13702119253866E-4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>
        <v>0</v>
      </c>
      <c r="I3" s="1">
        <v>0</v>
      </c>
      <c r="J3">
        <f t="shared" ref="J3:J66" si="0">-G3</f>
        <v>0</v>
      </c>
    </row>
    <row r="4" spans="1:16" x14ac:dyDescent="0.25">
      <c r="A4">
        <v>-118.88850688934301</v>
      </c>
      <c r="B4" s="1">
        <v>-2.13702119253866E-4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>
        <v>0</v>
      </c>
      <c r="I4" s="1">
        <v>0</v>
      </c>
      <c r="J4">
        <f t="shared" si="0"/>
        <v>0</v>
      </c>
    </row>
    <row r="5" spans="1:16" x14ac:dyDescent="0.25">
      <c r="A5">
        <v>-108.151924610137</v>
      </c>
      <c r="B5" s="1">
        <v>-2.13702119253866E-4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>
        <v>0</v>
      </c>
      <c r="I5" s="1">
        <v>0</v>
      </c>
      <c r="J5">
        <f t="shared" si="0"/>
        <v>0</v>
      </c>
    </row>
    <row r="6" spans="1:16" x14ac:dyDescent="0.25">
      <c r="A6">
        <v>-98.302001953125</v>
      </c>
      <c r="B6" s="1">
        <v>-2.13702119253866E-4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>
        <v>0</v>
      </c>
      <c r="I6" s="1">
        <v>0</v>
      </c>
      <c r="J6">
        <f t="shared" si="0"/>
        <v>0</v>
      </c>
    </row>
    <row r="7" spans="1:16" x14ac:dyDescent="0.25">
      <c r="A7">
        <v>-89.265174865722599</v>
      </c>
      <c r="B7" s="1">
        <v>-2.13702119253866E-4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>
        <v>0</v>
      </c>
      <c r="I7" s="1">
        <v>0</v>
      </c>
      <c r="J7">
        <f t="shared" si="0"/>
        <v>0</v>
      </c>
    </row>
    <row r="8" spans="1:16" x14ac:dyDescent="0.25">
      <c r="A8">
        <v>-80.974688529968205</v>
      </c>
      <c r="B8" s="1">
        <v>-2.13702119253866E-4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>
        <v>0</v>
      </c>
      <c r="I8" s="1">
        <v>0</v>
      </c>
      <c r="J8">
        <f t="shared" si="0"/>
        <v>0</v>
      </c>
    </row>
    <row r="9" spans="1:16" x14ac:dyDescent="0.25">
      <c r="A9">
        <v>-73.368651866912799</v>
      </c>
      <c r="B9" s="1">
        <v>-2.13702119253866E-4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>
        <v>0</v>
      </c>
      <c r="I9" s="1">
        <v>0</v>
      </c>
      <c r="J9">
        <f t="shared" si="0"/>
        <v>0</v>
      </c>
    </row>
    <row r="10" spans="1:16" x14ac:dyDescent="0.25">
      <c r="A10">
        <v>-66.390645503997803</v>
      </c>
      <c r="B10" s="1">
        <v>-2.13702119253866E-4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>
        <v>0</v>
      </c>
      <c r="I10" s="1">
        <v>0</v>
      </c>
      <c r="J10">
        <f t="shared" si="0"/>
        <v>0</v>
      </c>
    </row>
    <row r="11" spans="1:16" x14ac:dyDescent="0.25">
      <c r="A11">
        <v>-59.988870620727504</v>
      </c>
      <c r="B11" s="1">
        <v>-2.13702119253866E-4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  <c r="J11">
        <f t="shared" si="0"/>
        <v>0</v>
      </c>
      <c r="P11" s="1"/>
    </row>
    <row r="12" spans="1:16" x14ac:dyDescent="0.25">
      <c r="A12">
        <v>-54.115540981292703</v>
      </c>
      <c r="B12" s="1">
        <v>-2.13702119253866E-4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>
        <v>0</v>
      </c>
      <c r="I12" s="1">
        <v>0</v>
      </c>
      <c r="J12">
        <f t="shared" si="0"/>
        <v>0</v>
      </c>
    </row>
    <row r="13" spans="1:16" x14ac:dyDescent="0.25">
      <c r="A13">
        <v>-48.727247714996302</v>
      </c>
      <c r="B13" s="1">
        <v>-2.13702119253866E-4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>
        <v>0</v>
      </c>
      <c r="I13" s="1">
        <v>0</v>
      </c>
      <c r="J13">
        <f t="shared" si="0"/>
        <v>0</v>
      </c>
    </row>
    <row r="14" spans="1:16" x14ac:dyDescent="0.25">
      <c r="A14">
        <v>-43.783864974975501</v>
      </c>
      <c r="B14" s="1">
        <v>-2.13702119253866E-4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>
        <v>0</v>
      </c>
      <c r="I14" s="1">
        <v>0</v>
      </c>
      <c r="J14">
        <f t="shared" si="0"/>
        <v>0</v>
      </c>
    </row>
    <row r="15" spans="1:16" x14ac:dyDescent="0.25">
      <c r="A15">
        <v>-39.248671531677203</v>
      </c>
      <c r="B15" s="1">
        <v>-2.13702119253866E-4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>
        <v>0</v>
      </c>
      <c r="I15" s="1">
        <v>0</v>
      </c>
      <c r="J15">
        <f t="shared" si="0"/>
        <v>0</v>
      </c>
    </row>
    <row r="16" spans="1:16" x14ac:dyDescent="0.25">
      <c r="A16">
        <v>-35.087985992431598</v>
      </c>
      <c r="B16" s="1">
        <v>-2.13702119253866E-4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>
        <v>0</v>
      </c>
      <c r="I16" s="1">
        <v>0</v>
      </c>
      <c r="J16">
        <f t="shared" si="0"/>
        <v>0</v>
      </c>
    </row>
    <row r="17" spans="1:17" x14ac:dyDescent="0.25">
      <c r="A17">
        <v>-31.270802021026601</v>
      </c>
      <c r="B17" s="1">
        <v>-2.13702119253866E-4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>
        <v>0</v>
      </c>
      <c r="I17" s="1">
        <v>0</v>
      </c>
      <c r="J17">
        <f t="shared" si="0"/>
        <v>0</v>
      </c>
    </row>
    <row r="18" spans="1:17" x14ac:dyDescent="0.25">
      <c r="A18">
        <v>-27.7686667442321</v>
      </c>
      <c r="B18" s="1">
        <v>-2.13702119253866E-4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>
        <v>0</v>
      </c>
      <c r="I18" s="1">
        <v>0</v>
      </c>
      <c r="J18">
        <f t="shared" si="0"/>
        <v>0</v>
      </c>
    </row>
    <row r="19" spans="1:17" x14ac:dyDescent="0.25">
      <c r="A19">
        <v>-24.555802345275801</v>
      </c>
      <c r="B19" s="1">
        <v>-2.13702119253866E-4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>
        <v>0</v>
      </c>
      <c r="I19" s="1">
        <v>0</v>
      </c>
      <c r="J19">
        <f t="shared" si="0"/>
        <v>0</v>
      </c>
    </row>
    <row r="20" spans="1:17" x14ac:dyDescent="0.25">
      <c r="A20">
        <v>-21.608254909515299</v>
      </c>
      <c r="B20" s="1">
        <v>-2.13702119253866E-4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>
        <v>0</v>
      </c>
      <c r="I20" s="1">
        <v>0</v>
      </c>
      <c r="J20">
        <f t="shared" si="0"/>
        <v>0</v>
      </c>
    </row>
    <row r="21" spans="1:17" x14ac:dyDescent="0.25">
      <c r="A21">
        <v>-18.904016017913801</v>
      </c>
      <c r="B21" s="1">
        <v>-2.13702119253866E-4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>
        <v>0</v>
      </c>
      <c r="I21" s="1">
        <v>0</v>
      </c>
      <c r="J21">
        <f t="shared" si="0"/>
        <v>0</v>
      </c>
    </row>
    <row r="22" spans="1:17" x14ac:dyDescent="0.25">
      <c r="A22">
        <v>-16.423144340515101</v>
      </c>
      <c r="B22" s="1">
        <v>-2.13702119253866E-4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>
        <v>0</v>
      </c>
      <c r="I22" s="1">
        <v>0</v>
      </c>
      <c r="J22">
        <f t="shared" si="0"/>
        <v>0</v>
      </c>
      <c r="P22" s="8" t="s">
        <v>541</v>
      </c>
      <c r="Q22">
        <v>1</v>
      </c>
    </row>
    <row r="23" spans="1:17" x14ac:dyDescent="0.25">
      <c r="A23">
        <v>-14.147036075592</v>
      </c>
      <c r="B23" s="1">
        <v>-2.13702119253866E-4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>
        <v>0</v>
      </c>
      <c r="I23" s="1">
        <v>0</v>
      </c>
      <c r="J23">
        <f t="shared" si="0"/>
        <v>0</v>
      </c>
      <c r="P23" s="8"/>
      <c r="Q23">
        <v>1.3</v>
      </c>
    </row>
    <row r="24" spans="1:17" x14ac:dyDescent="0.25">
      <c r="A24">
        <v>-12.058911323547299</v>
      </c>
      <c r="B24" s="1">
        <v>-2.13702119253866E-4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>
        <v>0</v>
      </c>
      <c r="I24" s="1">
        <v>0</v>
      </c>
      <c r="J24">
        <f t="shared" si="0"/>
        <v>0</v>
      </c>
      <c r="P24" s="8"/>
      <c r="Q24">
        <v>0.1</v>
      </c>
    </row>
    <row r="25" spans="1:17" x14ac:dyDescent="0.25">
      <c r="A25">
        <v>-10.143084526061999</v>
      </c>
      <c r="B25" s="1">
        <v>-2.13702119253866E-4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>
        <v>0</v>
      </c>
      <c r="I25" s="1">
        <v>0</v>
      </c>
      <c r="J25">
        <f t="shared" si="0"/>
        <v>0</v>
      </c>
      <c r="P25" s="8" t="s">
        <v>542</v>
      </c>
      <c r="Q25">
        <v>1</v>
      </c>
    </row>
    <row r="26" spans="1:17" x14ac:dyDescent="0.25">
      <c r="A26">
        <v>-8.3855724334716708</v>
      </c>
      <c r="B26" s="1">
        <v>-2.13702119253866E-4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>
        <v>0</v>
      </c>
      <c r="I26" s="1">
        <v>0</v>
      </c>
      <c r="J26">
        <f t="shared" si="0"/>
        <v>0</v>
      </c>
      <c r="P26" s="8"/>
      <c r="Q26">
        <v>2.7999999999999901</v>
      </c>
    </row>
    <row r="27" spans="1:17" x14ac:dyDescent="0.25">
      <c r="A27">
        <v>-6.7732429504394496</v>
      </c>
      <c r="B27" s="1">
        <v>-2.13702119253866E-4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J27">
        <f t="shared" si="0"/>
        <v>0</v>
      </c>
      <c r="P27" s="8"/>
      <c r="Q27">
        <v>0.23</v>
      </c>
    </row>
    <row r="28" spans="1:17" x14ac:dyDescent="0.25">
      <c r="A28">
        <v>-5.2939367294311497</v>
      </c>
      <c r="B28" s="1">
        <v>-2.13702119253866E-4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>
        <v>0</v>
      </c>
      <c r="I28" s="1">
        <v>0</v>
      </c>
      <c r="J28">
        <f t="shared" si="0"/>
        <v>0</v>
      </c>
      <c r="P28" s="8" t="s">
        <v>543</v>
      </c>
      <c r="Q28">
        <v>1</v>
      </c>
    </row>
    <row r="29" spans="1:17" x14ac:dyDescent="0.25">
      <c r="A29">
        <v>-3.9367103576660099</v>
      </c>
      <c r="B29" s="1">
        <v>-2.13702119253866E-4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>
        <v>0</v>
      </c>
      <c r="I29" s="1">
        <v>0</v>
      </c>
      <c r="J29">
        <f t="shared" si="0"/>
        <v>0</v>
      </c>
      <c r="P29" s="8"/>
      <c r="Q29">
        <v>0.31323500689536699</v>
      </c>
    </row>
    <row r="30" spans="1:17" x14ac:dyDescent="0.25">
      <c r="A30">
        <v>-2.6915931701660099</v>
      </c>
      <c r="B30" s="1">
        <v>-2.13702119253866E-4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>
        <v>0</v>
      </c>
      <c r="I30" s="1">
        <v>0</v>
      </c>
      <c r="J30">
        <f t="shared" si="0"/>
        <v>0</v>
      </c>
      <c r="P30" s="8"/>
      <c r="Q30">
        <v>13.7490333050799</v>
      </c>
    </row>
    <row r="31" spans="1:17" x14ac:dyDescent="0.25">
      <c r="A31">
        <v>-1.54934406280517</v>
      </c>
      <c r="B31" s="1">
        <v>-2.13702119253866E-4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>
        <v>0</v>
      </c>
      <c r="I31" s="1">
        <v>0</v>
      </c>
      <c r="J31">
        <f t="shared" si="0"/>
        <v>0</v>
      </c>
      <c r="P31" s="8" t="s">
        <v>544</v>
      </c>
      <c r="Q31">
        <v>2.5988815332025799</v>
      </c>
    </row>
    <row r="32" spans="1:17" x14ac:dyDescent="0.25">
      <c r="A32">
        <v>-0.50145149230956998</v>
      </c>
      <c r="B32" s="1">
        <v>-2.13702119253866E-4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>
        <v>0</v>
      </c>
      <c r="I32" s="1">
        <v>0</v>
      </c>
      <c r="J32">
        <f t="shared" si="0"/>
        <v>0</v>
      </c>
      <c r="P32" s="8"/>
      <c r="Q32">
        <v>5.3637848773442496</v>
      </c>
    </row>
    <row r="33" spans="1:17" x14ac:dyDescent="0.25">
      <c r="A33">
        <v>0.49999237060546797</v>
      </c>
      <c r="B33" s="1">
        <v>0.50009327972929796</v>
      </c>
      <c r="C33" s="1">
        <v>4.8763732226575401E-2</v>
      </c>
      <c r="D33" s="1">
        <v>4.4347574457890102E-2</v>
      </c>
      <c r="E33" s="1">
        <v>-1.2281900371162799E-4</v>
      </c>
      <c r="F33" s="1">
        <v>-6.9836812991009602E-6</v>
      </c>
      <c r="G33" s="1">
        <v>0.19462356569442699</v>
      </c>
      <c r="H33">
        <v>0.999542238978544</v>
      </c>
      <c r="I33" s="1">
        <v>1.4163602968256899E-6</v>
      </c>
      <c r="J33">
        <f t="shared" si="0"/>
        <v>-0.19462356569442699</v>
      </c>
      <c r="P33" s="8"/>
      <c r="Q33">
        <v>0.37803893877389999</v>
      </c>
    </row>
    <row r="34" spans="1:17" x14ac:dyDescent="0.25">
      <c r="A34">
        <v>1.54496669769287</v>
      </c>
      <c r="B34" s="1">
        <v>1.5445673992826401</v>
      </c>
      <c r="C34" s="1">
        <v>0.46386014307699902</v>
      </c>
      <c r="D34" s="1">
        <v>0.42497726614474401</v>
      </c>
      <c r="E34" s="1">
        <v>-2.6023771634126501E-3</v>
      </c>
      <c r="F34" s="1">
        <v>-6.3120809033462096E-5</v>
      </c>
      <c r="G34" s="1">
        <v>0.19139324796153301</v>
      </c>
      <c r="H34">
        <v>0.99556536255250305</v>
      </c>
      <c r="I34" s="1">
        <v>4.0069790355918399E-5</v>
      </c>
      <c r="J34">
        <f t="shared" si="0"/>
        <v>-0.19139324796153301</v>
      </c>
      <c r="L34" s="3"/>
      <c r="P34" s="8" t="s">
        <v>545</v>
      </c>
      <c r="Q34">
        <v>0.44845618703604101</v>
      </c>
    </row>
    <row r="35" spans="1:17" x14ac:dyDescent="0.25">
      <c r="A35">
        <v>2.6840543746948198</v>
      </c>
      <c r="B35" s="1">
        <v>2.6741286312199</v>
      </c>
      <c r="C35" s="1">
        <v>1.3734569498865301</v>
      </c>
      <c r="D35" s="1">
        <v>1.26631508125046</v>
      </c>
      <c r="E35" s="1">
        <v>-1.46908291608778E-2</v>
      </c>
      <c r="F35" s="1">
        <v>-1.7742973622253099E-4</v>
      </c>
      <c r="G35" s="1">
        <v>0.18224318699179201</v>
      </c>
      <c r="H35">
        <v>0.98613613864887795</v>
      </c>
      <c r="I35" s="1">
        <v>1.9871979330642601E-4</v>
      </c>
      <c r="J35">
        <f t="shared" si="0"/>
        <v>-0.18224318699179201</v>
      </c>
      <c r="P35" s="8"/>
      <c r="Q35">
        <v>0.36924691716227198</v>
      </c>
    </row>
    <row r="36" spans="1:17" x14ac:dyDescent="0.25">
      <c r="A36">
        <v>3.9255237579345699</v>
      </c>
      <c r="B36" s="1">
        <v>3.8771521524495198</v>
      </c>
      <c r="C36" s="1">
        <v>2.7978910681667899</v>
      </c>
      <c r="D36" s="1">
        <v>2.5940328774779502</v>
      </c>
      <c r="E36" s="1">
        <v>-4.52448173665317E-2</v>
      </c>
      <c r="F36" s="1">
        <v>-3.3919539997762598E-4</v>
      </c>
      <c r="G36" s="1">
        <v>0.166332266471588</v>
      </c>
      <c r="H36">
        <v>0.96875671931908403</v>
      </c>
      <c r="I36" s="1">
        <v>4.7109460666536299E-4</v>
      </c>
      <c r="J36">
        <f t="shared" si="0"/>
        <v>-0.166332266471588</v>
      </c>
      <c r="P36" s="8"/>
      <c r="Q36">
        <v>0.25792378825732698</v>
      </c>
    </row>
    <row r="37" spans="1:17" x14ac:dyDescent="0.25">
      <c r="A37">
        <v>5.2789807319641104</v>
      </c>
      <c r="B37" s="1">
        <v>5.1265324736914399</v>
      </c>
      <c r="C37" s="1">
        <v>4.6164709279764802</v>
      </c>
      <c r="D37" s="1">
        <v>4.2967617718381899</v>
      </c>
      <c r="E37" s="1">
        <v>-0.101250112172441</v>
      </c>
      <c r="F37" s="1">
        <v>-5.2042043740957401E-4</v>
      </c>
      <c r="G37" s="1">
        <v>0.14743451454127299</v>
      </c>
      <c r="H37">
        <v>0.94100003829396295</v>
      </c>
      <c r="I37" s="1">
        <v>1.02606957449898E-3</v>
      </c>
      <c r="J37">
        <f t="shared" si="0"/>
        <v>-0.14743451454127299</v>
      </c>
      <c r="P37" s="8" t="s">
        <v>546</v>
      </c>
      <c r="Q37">
        <v>0.44845618703604101</v>
      </c>
    </row>
    <row r="38" spans="1:17" x14ac:dyDescent="0.25">
      <c r="A38">
        <v>6.7539703845977703</v>
      </c>
      <c r="B38" s="1">
        <v>6.3802918224564502</v>
      </c>
      <c r="C38" s="1">
        <v>6.5541876290808396</v>
      </c>
      <c r="D38" s="1">
        <v>6.1088336495731603</v>
      </c>
      <c r="E38" s="1">
        <v>-0.18323053083288901</v>
      </c>
      <c r="F38" s="1">
        <v>-6.9194000851117705E-4</v>
      </c>
      <c r="G38" s="1">
        <v>0.13229043653914899</v>
      </c>
      <c r="H38">
        <v>0.90462045597818297</v>
      </c>
      <c r="I38" s="1">
        <v>2.8659352807783802E-3</v>
      </c>
      <c r="J38">
        <f t="shared" si="0"/>
        <v>-0.13229043653914899</v>
      </c>
      <c r="P38" s="8"/>
      <c r="Q38">
        <v>1.17881753007771</v>
      </c>
    </row>
    <row r="39" spans="1:17" x14ac:dyDescent="0.25">
      <c r="A39">
        <v>8.3618009090423495</v>
      </c>
      <c r="B39" s="1">
        <v>7.5897892462990004</v>
      </c>
      <c r="C39" s="1">
        <v>8.2775657450838391</v>
      </c>
      <c r="D39" s="1">
        <v>7.7034193169281897</v>
      </c>
      <c r="E39" s="1">
        <v>-0.28351423797455499</v>
      </c>
      <c r="F39" s="1">
        <v>-8.3774845269392903E-4</v>
      </c>
      <c r="G39" s="1">
        <v>0.12545498583158801</v>
      </c>
      <c r="H39">
        <v>0.86822906823505797</v>
      </c>
      <c r="I39" s="1">
        <v>7.3641184265612197E-3</v>
      </c>
      <c r="J39">
        <f t="shared" si="0"/>
        <v>-0.12545498583158801</v>
      </c>
      <c r="P39" s="8"/>
      <c r="Q39">
        <v>1.87594125735394E-2</v>
      </c>
    </row>
    <row r="40" spans="1:17" x14ac:dyDescent="0.25">
      <c r="A40">
        <v>10.114449262619001</v>
      </c>
      <c r="B40" s="1">
        <v>8.7126456192663593</v>
      </c>
      <c r="C40" s="1">
        <v>9.5406083964917308</v>
      </c>
      <c r="D40" s="1">
        <v>8.8386104871760605</v>
      </c>
      <c r="E40" s="1">
        <v>-0.38957311378632897</v>
      </c>
      <c r="F40" s="1">
        <v>-9.5211243247802797E-4</v>
      </c>
      <c r="G40" s="1">
        <v>0.12590739658715999</v>
      </c>
      <c r="H40">
        <v>0.839071097753186</v>
      </c>
      <c r="I40" s="1">
        <v>1.2793581293748701E-2</v>
      </c>
      <c r="J40">
        <f t="shared" si="0"/>
        <v>-0.12590739658715999</v>
      </c>
      <c r="P40" s="8" t="s">
        <v>547</v>
      </c>
      <c r="Q40">
        <v>2.9449031980926599E-3</v>
      </c>
    </row>
    <row r="41" spans="1:17" x14ac:dyDescent="0.25">
      <c r="A41">
        <v>12.0248043537139</v>
      </c>
      <c r="B41" s="1">
        <v>9.7228328130176997</v>
      </c>
      <c r="C41" s="1">
        <v>10.262096166115899</v>
      </c>
      <c r="D41" s="1">
        <v>9.4367270611100995</v>
      </c>
      <c r="E41" s="1">
        <v>-0.489971186641185</v>
      </c>
      <c r="F41" s="1">
        <v>-1.04777570192663E-3</v>
      </c>
      <c r="G41" s="1">
        <v>0.12895111672988699</v>
      </c>
      <c r="H41">
        <v>0.81610386239474297</v>
      </c>
      <c r="I41" s="1">
        <v>1.43274704707517E-2</v>
      </c>
      <c r="J41">
        <f t="shared" si="0"/>
        <v>-0.12895111672988699</v>
      </c>
      <c r="P41" s="8"/>
      <c r="Q41">
        <v>6.6115461776236999E-3</v>
      </c>
    </row>
    <row r="42" spans="1:17" x14ac:dyDescent="0.25">
      <c r="A42">
        <v>14.106971025466899</v>
      </c>
      <c r="B42" s="1">
        <v>10.612514223062099</v>
      </c>
      <c r="C42" s="1">
        <v>10.4965144008019</v>
      </c>
      <c r="D42" s="1">
        <v>9.5566778671305794</v>
      </c>
      <c r="E42" s="1">
        <v>-0.57796996444612203</v>
      </c>
      <c r="F42" s="1">
        <v>-1.14759591942493E-3</v>
      </c>
      <c r="G42" s="1">
        <v>0.13018542018246201</v>
      </c>
      <c r="H42">
        <v>0.79520349578455096</v>
      </c>
      <c r="I42" s="1">
        <v>1.0262000213167401E-2</v>
      </c>
      <c r="J42">
        <f t="shared" si="0"/>
        <v>-0.13018542018246201</v>
      </c>
      <c r="P42" s="8"/>
      <c r="Q42">
        <v>2.21887956873025E-4</v>
      </c>
    </row>
    <row r="43" spans="1:17" x14ac:dyDescent="0.25">
      <c r="A43">
        <v>16.3765740394592</v>
      </c>
      <c r="B43" s="1">
        <v>11.387204303496199</v>
      </c>
      <c r="C43" s="1">
        <v>10.359923957730601</v>
      </c>
      <c r="D43" s="1">
        <v>9.3192702513993808</v>
      </c>
      <c r="E43" s="1">
        <v>-0.65143149615529905</v>
      </c>
      <c r="F43" s="1">
        <v>-1.27547581982049E-3</v>
      </c>
      <c r="G43" s="1">
        <v>0.12764286128201899</v>
      </c>
      <c r="H43">
        <v>0.77382252306857402</v>
      </c>
      <c r="I43" s="1">
        <v>3.1247732747110299E-3</v>
      </c>
      <c r="J43">
        <f t="shared" si="0"/>
        <v>-0.12764286128201899</v>
      </c>
      <c r="P43" s="8" t="s">
        <v>548</v>
      </c>
      <c r="Q43">
        <v>5.5825676212577599E-2</v>
      </c>
    </row>
    <row r="44" spans="1:17" x14ac:dyDescent="0.25">
      <c r="A44">
        <v>18.850514888763399</v>
      </c>
      <c r="B44">
        <v>12.0592466919652</v>
      </c>
      <c r="C44">
        <v>9.9724251853331207</v>
      </c>
      <c r="D44">
        <v>8.8481902607508598</v>
      </c>
      <c r="E44" s="1">
        <v>-0.71104138367580305</v>
      </c>
      <c r="F44" s="1">
        <v>-1.4487172884967499E-3</v>
      </c>
      <c r="G44">
        <v>0.121587173893867</v>
      </c>
      <c r="H44">
        <v>0.75118768349952802</v>
      </c>
      <c r="I44" s="1">
        <v>-4.0288773367224999E-3</v>
      </c>
      <c r="J44">
        <f t="shared" si="0"/>
        <v>-0.121587173893867</v>
      </c>
      <c r="P44" s="8"/>
      <c r="Q44">
        <v>1.7412485816877099E-2</v>
      </c>
    </row>
    <row r="45" spans="1:17" x14ac:dyDescent="0.25">
      <c r="A45">
        <v>21.5470933914184</v>
      </c>
      <c r="B45">
        <v>12.642966619782699</v>
      </c>
      <c r="C45">
        <v>9.4326870810618804</v>
      </c>
      <c r="D45">
        <v>8.2436495295593808</v>
      </c>
      <c r="E45">
        <v>-0.75865307929312598</v>
      </c>
      <c r="F45" s="1">
        <v>-1.6489222935522701E-3</v>
      </c>
      <c r="G45">
        <v>0.113267160183642</v>
      </c>
      <c r="H45">
        <v>0.72742243608310297</v>
      </c>
      <c r="I45" s="1">
        <v>-9.6365495952273096E-3</v>
      </c>
      <c r="J45">
        <f t="shared" si="0"/>
        <v>-0.113267160183642</v>
      </c>
      <c r="P45" s="8"/>
      <c r="Q45">
        <v>0.14125550965147499</v>
      </c>
    </row>
    <row r="46" spans="1:17" x14ac:dyDescent="0.25">
      <c r="A46">
        <v>24.4862508773803</v>
      </c>
      <c r="B46">
        <v>13.1521316981843</v>
      </c>
      <c r="C46">
        <v>8.8134583369537705</v>
      </c>
      <c r="D46">
        <v>7.5778476514333102</v>
      </c>
      <c r="E46">
        <v>-0.79633537937050203</v>
      </c>
      <c r="F46" s="1">
        <v>-1.8272469237795199E-3</v>
      </c>
      <c r="G46">
        <v>0.10392734344068399</v>
      </c>
      <c r="H46">
        <v>0.70301910237190302</v>
      </c>
      <c r="I46" s="1">
        <v>-1.3408720632473401E-2</v>
      </c>
      <c r="J46">
        <f t="shared" si="0"/>
        <v>-0.10392734344068399</v>
      </c>
      <c r="P46" s="8" t="s">
        <v>549</v>
      </c>
      <c r="Q46">
        <v>5.5825676212577703E-2</v>
      </c>
    </row>
    <row r="47" spans="1:17" x14ac:dyDescent="0.25">
      <c r="A47">
        <v>27.690056562423699</v>
      </c>
      <c r="B47">
        <v>13.599009568893001</v>
      </c>
      <c r="C47">
        <v>8.1654260993673198</v>
      </c>
      <c r="D47">
        <v>6.8995285623221099</v>
      </c>
      <c r="E47">
        <v>-0.82597841613951195</v>
      </c>
      <c r="F47" s="1">
        <v>-1.97042583829359E-3</v>
      </c>
      <c r="G47">
        <v>9.4415186384683103E-2</v>
      </c>
      <c r="H47">
        <v>0.67858985633823798</v>
      </c>
      <c r="I47" s="1">
        <v>-1.55975325772892E-2</v>
      </c>
      <c r="J47">
        <f t="shared" si="0"/>
        <v>-9.4415186384683103E-2</v>
      </c>
      <c r="P47" s="8"/>
      <c r="Q47">
        <v>0.17746805544561201</v>
      </c>
    </row>
    <row r="48" spans="1:17" x14ac:dyDescent="0.25">
      <c r="A48">
        <v>31.182160377502399</v>
      </c>
      <c r="B48">
        <v>13.994195963346099</v>
      </c>
      <c r="C48">
        <v>7.5226246670354104</v>
      </c>
      <c r="D48">
        <v>6.2401473855226204</v>
      </c>
      <c r="E48">
        <v>-0.84918500429752197</v>
      </c>
      <c r="F48" s="1">
        <v>-2.0899371209979899E-3</v>
      </c>
      <c r="G48">
        <v>8.5180495080333998E-2</v>
      </c>
      <c r="H48">
        <v>0.65472590715033196</v>
      </c>
      <c r="I48">
        <v>-1.6557691097531899E-2</v>
      </c>
      <c r="J48">
        <f t="shared" si="0"/>
        <v>-8.5180495080333998E-2</v>
      </c>
      <c r="P48" s="8"/>
      <c r="Q48">
        <v>7.4724164605631895E-4</v>
      </c>
    </row>
    <row r="49" spans="1:17" x14ac:dyDescent="0.25">
      <c r="A49">
        <v>34.988522529602001</v>
      </c>
      <c r="B49">
        <v>14.346705897801201</v>
      </c>
      <c r="C49">
        <v>6.90694526274455</v>
      </c>
      <c r="D49">
        <v>5.6189490104410398</v>
      </c>
      <c r="E49">
        <v>-0.86725261745759197</v>
      </c>
      <c r="F49">
        <v>-2.2009450533907798E-3</v>
      </c>
      <c r="G49">
        <v>7.6407140660066805E-2</v>
      </c>
      <c r="H49">
        <v>0.63191151860871098</v>
      </c>
      <c r="I49">
        <v>-1.6598131696887501E-2</v>
      </c>
      <c r="J49">
        <f t="shared" si="0"/>
        <v>-7.6407140660066805E-2</v>
      </c>
      <c r="P49" s="8" t="s">
        <v>550</v>
      </c>
      <c r="Q49">
        <v>1</v>
      </c>
    </row>
    <row r="50" spans="1:17" x14ac:dyDescent="0.25">
      <c r="A50">
        <v>39.137535095214801</v>
      </c>
      <c r="B50">
        <v>14.6641513138047</v>
      </c>
      <c r="C50">
        <v>6.3315126846646299</v>
      </c>
      <c r="D50">
        <v>5.0467916384083598</v>
      </c>
      <c r="E50">
        <v>-0.881187819225416</v>
      </c>
      <c r="F50">
        <v>-2.3167578328878698E-3</v>
      </c>
      <c r="G50">
        <v>6.8164363640936601E-2</v>
      </c>
      <c r="H50">
        <v>0.61055886030635398</v>
      </c>
      <c r="I50">
        <v>-1.5974830400461101E-2</v>
      </c>
      <c r="J50">
        <f t="shared" si="0"/>
        <v>-6.8164363640936601E-2</v>
      </c>
      <c r="P50" s="8"/>
      <c r="Q50">
        <v>0.999999999999999</v>
      </c>
    </row>
    <row r="51" spans="1:17" x14ac:dyDescent="0.25">
      <c r="A51">
        <v>43.659839630126903</v>
      </c>
      <c r="B51">
        <v>14.9529310679963</v>
      </c>
      <c r="C51">
        <v>5.8032628594446498</v>
      </c>
      <c r="D51">
        <v>4.5288410501182303</v>
      </c>
      <c r="E51">
        <v>-0.89175746537838496</v>
      </c>
      <c r="F51" s="1">
        <v>-2.3552211975698101E-3</v>
      </c>
      <c r="G51">
        <v>6.0487716322998902E-2</v>
      </c>
      <c r="H51">
        <v>0.59093824573701204</v>
      </c>
      <c r="I51">
        <v>-1.49061187367445E-2</v>
      </c>
      <c r="J51">
        <f t="shared" si="0"/>
        <v>-6.0487716322998902E-2</v>
      </c>
      <c r="P51" s="8"/>
      <c r="Q51">
        <v>1</v>
      </c>
    </row>
    <row r="52" spans="1:17" x14ac:dyDescent="0.25">
      <c r="A52">
        <v>48.589299917220998</v>
      </c>
      <c r="B52">
        <v>15.218388623648</v>
      </c>
      <c r="C52">
        <v>5.3249602222422201</v>
      </c>
      <c r="D52">
        <v>4.0664546613360804</v>
      </c>
      <c r="E52">
        <v>-0.89953155029805398</v>
      </c>
      <c r="F52">
        <v>-2.2894857911834499E-3</v>
      </c>
      <c r="G52">
        <v>5.3404743713063002E-2</v>
      </c>
      <c r="H52">
        <v>0.57309781882581301</v>
      </c>
      <c r="I52">
        <v>-1.35757295179042E-2</v>
      </c>
      <c r="J52">
        <f t="shared" si="0"/>
        <v>-5.3404743713063002E-2</v>
      </c>
    </row>
    <row r="53" spans="1:17" x14ac:dyDescent="0.25">
      <c r="A53">
        <v>53.962393999099703</v>
      </c>
      <c r="B53">
        <v>15.4649583428135</v>
      </c>
      <c r="C53">
        <v>4.8964604717184503</v>
      </c>
      <c r="D53">
        <v>3.6583938688174902</v>
      </c>
      <c r="E53">
        <v>-0.90493326075292702</v>
      </c>
      <c r="F53">
        <v>-2.1453757146943299E-3</v>
      </c>
      <c r="G53">
        <v>4.6953639986817203E-2</v>
      </c>
      <c r="H53">
        <v>0.55695539321604404</v>
      </c>
      <c r="I53">
        <v>-1.21405522152606E-2</v>
      </c>
      <c r="J53">
        <f t="shared" si="0"/>
        <v>-4.6953639986817203E-2</v>
      </c>
    </row>
    <row r="54" spans="1:17" x14ac:dyDescent="0.25">
      <c r="A54">
        <v>59.819004535674999</v>
      </c>
      <c r="B54">
        <v>15.6963298275104</v>
      </c>
      <c r="C54">
        <v>4.5157362923418898</v>
      </c>
      <c r="D54">
        <v>3.3017339080483099</v>
      </c>
      <c r="E54">
        <v>-0.90827385124820903</v>
      </c>
      <c r="F54">
        <v>-1.93705466230192E-3</v>
      </c>
      <c r="G54">
        <v>4.1159081044525599E-2</v>
      </c>
      <c r="H54">
        <v>0.54228603296975297</v>
      </c>
      <c r="I54">
        <v>-1.07193241180111E-2</v>
      </c>
      <c r="J54">
        <f t="shared" si="0"/>
        <v>-4.1159081044525599E-2</v>
      </c>
    </row>
    <row r="55" spans="1:17" x14ac:dyDescent="0.25">
      <c r="A55">
        <v>66.2026619911193</v>
      </c>
      <c r="B55">
        <v>15.915600861512701</v>
      </c>
      <c r="C55">
        <v>4.1792435486058803</v>
      </c>
      <c r="D55">
        <v>2.9922022006862501</v>
      </c>
      <c r="E55">
        <v>-0.90981745228701505</v>
      </c>
      <c r="F55">
        <v>-1.6754330743837E-3</v>
      </c>
      <c r="G55">
        <v>3.6034118912404302E-2</v>
      </c>
      <c r="H55">
        <v>0.52895784706571802</v>
      </c>
      <c r="I55">
        <v>-9.3971988163028403E-3</v>
      </c>
      <c r="J55">
        <f t="shared" si="0"/>
        <v>-3.6034118912404302E-2</v>
      </c>
    </row>
    <row r="56" spans="1:17" x14ac:dyDescent="0.25">
      <c r="A56">
        <v>73.160848617553697</v>
      </c>
      <c r="B56">
        <v>16.1253857045403</v>
      </c>
      <c r="C56">
        <v>3.8827035875328799</v>
      </c>
      <c r="D56">
        <v>2.7247517344360901</v>
      </c>
      <c r="E56">
        <v>-0.90980132590503604</v>
      </c>
      <c r="F56" s="1">
        <v>-1.33105386380919E-3</v>
      </c>
      <c r="G56">
        <v>3.1556411422827502E-2</v>
      </c>
      <c r="H56">
        <v>0.51673625440784299</v>
      </c>
      <c r="I56">
        <v>-8.2167803643578407E-3</v>
      </c>
      <c r="J56">
        <f t="shared" si="0"/>
        <v>-3.1556411422827502E-2</v>
      </c>
    </row>
    <row r="57" spans="1:17" x14ac:dyDescent="0.25">
      <c r="A57">
        <v>80.745424032211304</v>
      </c>
      <c r="B57">
        <v>16.327873039149299</v>
      </c>
      <c r="C57">
        <v>3.6214209381796501</v>
      </c>
      <c r="D57">
        <v>2.4940824913040101</v>
      </c>
      <c r="E57">
        <v>-0.90841886599767097</v>
      </c>
      <c r="F57">
        <v>-9.3886182569996503E-4</v>
      </c>
      <c r="G57">
        <v>2.7678319386418401E-2</v>
      </c>
      <c r="H57">
        <v>0.50542696444052704</v>
      </c>
      <c r="I57">
        <v>-7.1895261182548303E-3</v>
      </c>
      <c r="J57">
        <f t="shared" si="0"/>
        <v>-2.7678319386418401E-2</v>
      </c>
    </row>
    <row r="58" spans="1:17" x14ac:dyDescent="0.25">
      <c r="A58">
        <v>89.012442827224703</v>
      </c>
      <c r="B58">
        <v>16.524841169916701</v>
      </c>
      <c r="C58">
        <v>3.3909821086126599</v>
      </c>
      <c r="D58">
        <v>2.2951508752148002</v>
      </c>
      <c r="E58">
        <v>-0.90581097871027605</v>
      </c>
      <c r="F58">
        <v>-4.97420809772888E-4</v>
      </c>
      <c r="G58">
        <v>2.4333126207043199E-2</v>
      </c>
      <c r="H58">
        <v>0.49477248771426202</v>
      </c>
      <c r="I58">
        <v>-6.3053575630848402E-3</v>
      </c>
      <c r="J58">
        <f t="shared" si="0"/>
        <v>-2.4333126207043199E-2</v>
      </c>
    </row>
    <row r="59" spans="1:17" x14ac:dyDescent="0.25">
      <c r="A59">
        <v>98.0235528945922</v>
      </c>
      <c r="B59">
        <v>16.717798615895799</v>
      </c>
      <c r="C59">
        <v>3.1870923598035001</v>
      </c>
      <c r="D59">
        <v>2.12318050880662</v>
      </c>
      <c r="E59">
        <v>-0.90205514308846202</v>
      </c>
      <c r="F59">
        <v>-1.42001008742343E-4</v>
      </c>
      <c r="G59">
        <v>2.1461905336986001E-2</v>
      </c>
      <c r="H59">
        <v>0.484702266317519</v>
      </c>
      <c r="I59">
        <v>-5.5534225541357804E-3</v>
      </c>
      <c r="J59">
        <f t="shared" si="0"/>
        <v>-2.1461905336986001E-2</v>
      </c>
    </row>
    <row r="60" spans="1:17" x14ac:dyDescent="0.25">
      <c r="A60">
        <v>107.845630645751</v>
      </c>
      <c r="B60">
        <v>16.908136102460901</v>
      </c>
      <c r="C60">
        <v>3.0058879642638199</v>
      </c>
      <c r="D60">
        <v>1.9739764028756801</v>
      </c>
      <c r="E60">
        <v>-0.89715686077295598</v>
      </c>
      <c r="F60" s="1">
        <v>6.9981374618130902E-5</v>
      </c>
      <c r="G60">
        <v>1.89993357551928E-2</v>
      </c>
      <c r="H60">
        <v>0.47505308478470798</v>
      </c>
      <c r="I60">
        <v>-4.9156791529676603E-3</v>
      </c>
      <c r="J60">
        <f t="shared" si="0"/>
        <v>-1.89993357551928E-2</v>
      </c>
    </row>
    <row r="61" spans="1:17" x14ac:dyDescent="0.25">
      <c r="A61">
        <v>118.551753759384</v>
      </c>
      <c r="B61">
        <v>17.097122761510899</v>
      </c>
      <c r="C61">
        <v>2.8439451953090602</v>
      </c>
      <c r="D61">
        <v>1.8438024745849699</v>
      </c>
      <c r="E61">
        <v>-0.89114922514896699</v>
      </c>
      <c r="F61" s="1">
        <v>3.7324535679202497E-5</v>
      </c>
      <c r="G61">
        <v>1.6884547339830101E-2</v>
      </c>
      <c r="H61">
        <v>0.46569803401580501</v>
      </c>
      <c r="I61">
        <v>-4.3736831460442901E-3</v>
      </c>
      <c r="J61">
        <f t="shared" si="0"/>
        <v>-1.6884547339830101E-2</v>
      </c>
    </row>
    <row r="62" spans="1:17" x14ac:dyDescent="0.25">
      <c r="A62">
        <v>130.22150516510001</v>
      </c>
      <c r="B62">
        <v>17.285883332692698</v>
      </c>
      <c r="C62">
        <v>2.6980120685038802</v>
      </c>
      <c r="D62">
        <v>1.729489410469</v>
      </c>
      <c r="E62">
        <v>-0.88403438026074599</v>
      </c>
      <c r="F62" s="1">
        <v>-2.5906032304259103E-4</v>
      </c>
      <c r="G62">
        <v>1.50698809843896E-2</v>
      </c>
      <c r="H62">
        <v>0.45674969077190403</v>
      </c>
      <c r="I62">
        <v>-3.9116155040854498E-3</v>
      </c>
      <c r="J62">
        <f t="shared" si="0"/>
        <v>-1.50698809843896E-2</v>
      </c>
    </row>
    <row r="63" spans="1:17" x14ac:dyDescent="0.25">
      <c r="A63">
        <v>142.941337823867</v>
      </c>
      <c r="B63">
        <v>17.475533056162899</v>
      </c>
      <c r="C63">
        <v>2.5660943866569101</v>
      </c>
      <c r="D63">
        <v>1.6285248098982399</v>
      </c>
      <c r="E63">
        <v>-0.87566382315287805</v>
      </c>
      <c r="F63" s="1">
        <v>-5.4173500688881699E-4</v>
      </c>
      <c r="G63">
        <v>1.3509634081425701E-2</v>
      </c>
      <c r="H63">
        <v>0.44792199089689499</v>
      </c>
      <c r="I63">
        <v>-3.5148158641634202E-3</v>
      </c>
      <c r="J63">
        <f t="shared" si="0"/>
        <v>-1.3509634081425701E-2</v>
      </c>
    </row>
    <row r="64" spans="1:17" x14ac:dyDescent="0.25">
      <c r="A64">
        <v>156.806094646453</v>
      </c>
      <c r="B64">
        <v>17.667246068917802</v>
      </c>
      <c r="C64">
        <v>2.4459651779579801</v>
      </c>
      <c r="D64">
        <v>1.5386183277755101</v>
      </c>
      <c r="E64">
        <v>-0.86621497471097397</v>
      </c>
      <c r="F64">
        <v>-7.2175035196572605E-4</v>
      </c>
      <c r="G64">
        <v>1.2166942364190299E-2</v>
      </c>
      <c r="H64">
        <v>0.439099906684564</v>
      </c>
      <c r="I64">
        <v>-3.1753437239274299E-3</v>
      </c>
      <c r="J64">
        <f t="shared" si="0"/>
        <v>-1.2166942364190299E-2</v>
      </c>
    </row>
    <row r="65" spans="1:10" x14ac:dyDescent="0.25">
      <c r="A65">
        <v>171.91864371299701</v>
      </c>
      <c r="B65">
        <v>17.861826027833501</v>
      </c>
      <c r="C65">
        <v>2.3380124001050699</v>
      </c>
      <c r="D65">
        <v>1.4588848526481799</v>
      </c>
      <c r="E65">
        <v>-0.85536033361490904</v>
      </c>
      <c r="F65" s="1">
        <v>-8.8332836075237303E-4</v>
      </c>
      <c r="G65">
        <v>1.10041685671383E-2</v>
      </c>
      <c r="H65">
        <v>0.428000799582268</v>
      </c>
      <c r="I65">
        <v>-2.8908960573846699E-3</v>
      </c>
      <c r="J65">
        <f t="shared" si="0"/>
        <v>-1.10041685671383E-2</v>
      </c>
    </row>
    <row r="66" spans="1:10" x14ac:dyDescent="0.25">
      <c r="A66">
        <v>187.726768255233</v>
      </c>
      <c r="B66">
        <v>18.051717038356401</v>
      </c>
      <c r="C66">
        <v>2.24411315330144</v>
      </c>
      <c r="D66">
        <v>1.39054175720039</v>
      </c>
      <c r="E66">
        <v>-0.84350039558745904</v>
      </c>
      <c r="F66">
        <v>-1.04069668070849E-3</v>
      </c>
      <c r="G66">
        <v>9.91193351234523E-3</v>
      </c>
      <c r="H66">
        <v>0.43060226163812998</v>
      </c>
      <c r="I66">
        <v>-2.54910010274857E-3</v>
      </c>
      <c r="J66">
        <f t="shared" si="0"/>
        <v>-9.91193351234523E-3</v>
      </c>
    </row>
    <row r="67" spans="1:10" x14ac:dyDescent="0.25">
      <c r="A67">
        <v>203.579578399658</v>
      </c>
      <c r="B67">
        <v>18.230216260158102</v>
      </c>
      <c r="C67">
        <v>2.1627617358717499</v>
      </c>
      <c r="D67">
        <v>1.3325776685563699</v>
      </c>
      <c r="E67">
        <v>-0.83115455561432905</v>
      </c>
      <c r="F67">
        <v>-8.1996658620622298E-4</v>
      </c>
      <c r="G67">
        <v>9.0212604056721293E-3</v>
      </c>
      <c r="H67">
        <v>0.43161863555993502</v>
      </c>
      <c r="I67">
        <v>-2.2763260415019802E-3</v>
      </c>
      <c r="J67">
        <f t="shared" ref="J67:J118" si="1">-G67</f>
        <v>-9.0212604056721293E-3</v>
      </c>
    </row>
    <row r="68" spans="1:10" x14ac:dyDescent="0.25">
      <c r="A68">
        <v>219.43238854408199</v>
      </c>
      <c r="B68">
        <v>18.398431333803199</v>
      </c>
      <c r="C68">
        <v>2.09012091499971</v>
      </c>
      <c r="D68">
        <v>1.2818947368265501</v>
      </c>
      <c r="E68">
        <v>-0.81859584986724299</v>
      </c>
      <c r="F68">
        <v>-2.1339373167581001E-4</v>
      </c>
      <c r="G68">
        <v>8.2928503776381092E-3</v>
      </c>
      <c r="H68">
        <v>0.43236489235146602</v>
      </c>
      <c r="I68">
        <v>-2.0576356006350299E-3</v>
      </c>
      <c r="J68">
        <f t="shared" si="1"/>
        <v>-8.2928503776381092E-3</v>
      </c>
    </row>
    <row r="69" spans="1:10" x14ac:dyDescent="0.25">
      <c r="A69">
        <v>235.28525948524401</v>
      </c>
      <c r="B69">
        <v>18.557709287010699</v>
      </c>
      <c r="C69">
        <v>2.0240588158230799</v>
      </c>
      <c r="D69">
        <v>1.23665649296457</v>
      </c>
      <c r="E69">
        <v>-0.80553807706153102</v>
      </c>
      <c r="F69">
        <v>3.3670503980029302E-4</v>
      </c>
      <c r="G69">
        <v>7.6767872433852998E-3</v>
      </c>
      <c r="H69">
        <v>0.43289552504890599</v>
      </c>
      <c r="I69">
        <v>-1.8739496411751501E-3</v>
      </c>
      <c r="J69">
        <f t="shared" si="1"/>
        <v>-7.6767872433852998E-3</v>
      </c>
    </row>
    <row r="70" spans="1:10" x14ac:dyDescent="0.25">
      <c r="A70">
        <v>251.13806962966899</v>
      </c>
      <c r="B70">
        <v>18.709144461058699</v>
      </c>
      <c r="C70">
        <v>1.9629644676569999</v>
      </c>
      <c r="D70">
        <v>1.19556236363909</v>
      </c>
      <c r="E70">
        <v>-0.79221557063880499</v>
      </c>
      <c r="F70">
        <v>6.2822985464898202E-4</v>
      </c>
      <c r="G70">
        <v>7.1457074301838697E-3</v>
      </c>
      <c r="H70">
        <v>0.43338824118343899</v>
      </c>
      <c r="I70">
        <v>-1.7177881897512801E-3</v>
      </c>
      <c r="J70">
        <f t="shared" si="1"/>
        <v>-7.1457074301838697E-3</v>
      </c>
    </row>
    <row r="71" spans="1:10" x14ac:dyDescent="0.25">
      <c r="A71">
        <v>266.99081897735499</v>
      </c>
      <c r="B71">
        <v>18.8537780000797</v>
      </c>
      <c r="C71">
        <v>1.9058096643220701</v>
      </c>
      <c r="D71">
        <v>1.15764899753128</v>
      </c>
      <c r="E71">
        <v>-0.77853212731692001</v>
      </c>
      <c r="F71">
        <v>1.0951977972283001E-3</v>
      </c>
      <c r="G71">
        <v>6.6781664582028898E-3</v>
      </c>
      <c r="H71">
        <v>0.43373354934240599</v>
      </c>
      <c r="I71">
        <v>-1.5822492304057799E-3</v>
      </c>
      <c r="J71">
        <f t="shared" si="1"/>
        <v>-6.6781664582028898E-3</v>
      </c>
    </row>
    <row r="72" spans="1:10" x14ac:dyDescent="0.25">
      <c r="A72">
        <v>282.84362912178</v>
      </c>
      <c r="B72">
        <v>18.992508555852499</v>
      </c>
      <c r="C72">
        <v>1.85147867259729</v>
      </c>
      <c r="D72">
        <v>1.1220929019661601</v>
      </c>
      <c r="E72">
        <v>-0.76464329233614303</v>
      </c>
      <c r="F72" s="1">
        <v>1.4218269248516199E-3</v>
      </c>
      <c r="G72">
        <v>6.2626151971878E-3</v>
      </c>
      <c r="H72">
        <v>0.43425740432246601</v>
      </c>
      <c r="I72">
        <v>-1.46231512718245E-3</v>
      </c>
      <c r="J72">
        <f t="shared" si="1"/>
        <v>-6.2626151971878E-3</v>
      </c>
    </row>
    <row r="73" spans="1:10" x14ac:dyDescent="0.25">
      <c r="A73">
        <v>298.69643926620398</v>
      </c>
      <c r="B73">
        <v>19.125811102890101</v>
      </c>
      <c r="C73">
        <v>1.7996878575559001</v>
      </c>
      <c r="D73">
        <v>1.0887302097434</v>
      </c>
      <c r="E73">
        <v>-0.75053284399587405</v>
      </c>
      <c r="F73">
        <v>1.28409026472108E-3</v>
      </c>
      <c r="G73">
        <v>5.8878360217111403E-3</v>
      </c>
      <c r="H73">
        <v>0.43470070696641799</v>
      </c>
      <c r="I73">
        <v>-1.3548977530455501E-3</v>
      </c>
      <c r="J73">
        <f t="shared" si="1"/>
        <v>-5.8878360217111403E-3</v>
      </c>
    </row>
    <row r="74" spans="1:10" x14ac:dyDescent="0.25">
      <c r="A74">
        <v>314.54931020736598</v>
      </c>
      <c r="B74">
        <v>19.2541321172348</v>
      </c>
      <c r="C74">
        <v>1.7502896060250299</v>
      </c>
      <c r="D74">
        <v>1.0573339912456099</v>
      </c>
      <c r="E74">
        <v>-0.73621272319542397</v>
      </c>
      <c r="F74">
        <v>1.04173492490352E-3</v>
      </c>
      <c r="G74">
        <v>5.54421592071511E-3</v>
      </c>
      <c r="H74">
        <v>0.43498903918351201</v>
      </c>
      <c r="I74">
        <v>-1.2571842781766199E-3</v>
      </c>
      <c r="J74">
        <f t="shared" si="1"/>
        <v>-5.54421592071511E-3</v>
      </c>
    </row>
    <row r="75" spans="1:10" x14ac:dyDescent="0.25">
      <c r="A75">
        <v>330.40212035179098</v>
      </c>
      <c r="B75">
        <v>19.3777736826768</v>
      </c>
      <c r="C75">
        <v>1.7026084221470199</v>
      </c>
      <c r="D75">
        <v>1.0274237255263701</v>
      </c>
      <c r="E75">
        <v>-0.72173292055437899</v>
      </c>
      <c r="F75" s="1">
        <v>8.3129841356518997E-4</v>
      </c>
      <c r="G75">
        <v>5.22527818270839E-3</v>
      </c>
      <c r="H75">
        <v>0.43510371708814299</v>
      </c>
      <c r="I75">
        <v>-1.1674980757109901E-3</v>
      </c>
      <c r="J75">
        <f t="shared" si="1"/>
        <v>-5.22527818270839E-3</v>
      </c>
    </row>
    <row r="76" spans="1:10" x14ac:dyDescent="0.25">
      <c r="A76">
        <v>346.25493049621502</v>
      </c>
      <c r="B76">
        <v>19.4971347778073</v>
      </c>
      <c r="C76">
        <v>1.65583905713901</v>
      </c>
      <c r="D76">
        <v>0.99842955913515996</v>
      </c>
      <c r="E76">
        <v>-0.707058795452016</v>
      </c>
      <c r="F76">
        <v>5.1115708853728399E-4</v>
      </c>
      <c r="G76">
        <v>4.9331648595568297E-3</v>
      </c>
      <c r="H76">
        <v>0.43553324215981598</v>
      </c>
      <c r="I76">
        <v>-1.0869888863251E-3</v>
      </c>
      <c r="J76">
        <f t="shared" si="1"/>
        <v>-4.9331648595568297E-3</v>
      </c>
    </row>
    <row r="77" spans="1:10" x14ac:dyDescent="0.25">
      <c r="A77">
        <v>362.10780143737702</v>
      </c>
      <c r="B77">
        <v>19.612705576323599</v>
      </c>
      <c r="C77">
        <v>1.6102598233373999</v>
      </c>
      <c r="D77">
        <v>0.97022298016693498</v>
      </c>
      <c r="E77">
        <v>-0.69221778168978798</v>
      </c>
      <c r="F77" s="1">
        <v>2.55368238736139E-4</v>
      </c>
      <c r="G77">
        <v>4.6597529424514299E-3</v>
      </c>
      <c r="H77">
        <v>0.43585502678029098</v>
      </c>
      <c r="I77">
        <v>-1.01085077088026E-3</v>
      </c>
      <c r="J77">
        <f t="shared" si="1"/>
        <v>-4.6597529424514299E-3</v>
      </c>
    </row>
    <row r="78" spans="1:10" x14ac:dyDescent="0.25">
      <c r="A78">
        <v>377.96061158180203</v>
      </c>
      <c r="B78">
        <v>19.724657069050402</v>
      </c>
      <c r="C78">
        <v>1.5655207308554899</v>
      </c>
      <c r="D78">
        <v>0.94275149857276797</v>
      </c>
      <c r="E78">
        <v>-0.67722847945916398</v>
      </c>
      <c r="F78">
        <v>2.2280018561428801E-4</v>
      </c>
      <c r="G78">
        <v>4.4027893649774804E-3</v>
      </c>
      <c r="H78">
        <v>0.43604042748595401</v>
      </c>
      <c r="I78">
        <v>-9.3976405008567004E-4</v>
      </c>
      <c r="J78">
        <f t="shared" si="1"/>
        <v>-4.4027893649774804E-3</v>
      </c>
    </row>
    <row r="79" spans="1:10" x14ac:dyDescent="0.25">
      <c r="A79">
        <v>393.81348252296402</v>
      </c>
      <c r="B79">
        <v>19.8331013499728</v>
      </c>
      <c r="C79">
        <v>1.5213808437692899</v>
      </c>
      <c r="D79">
        <v>0.91584435792580299</v>
      </c>
      <c r="E79">
        <v>-0.66214395112540403</v>
      </c>
      <c r="F79" s="1">
        <v>4.5680904563285001E-4</v>
      </c>
      <c r="G79">
        <v>4.1594345839809201E-3</v>
      </c>
      <c r="H79">
        <v>0.43623847744905703</v>
      </c>
      <c r="I79">
        <v>-8.7276009006449697E-4</v>
      </c>
      <c r="J79">
        <f t="shared" si="1"/>
        <v>-4.1594345839809201E-3</v>
      </c>
    </row>
    <row r="80" spans="1:10" x14ac:dyDescent="0.25">
      <c r="A80">
        <v>409.66629266738801</v>
      </c>
      <c r="B80">
        <v>19.938199910425201</v>
      </c>
      <c r="C80">
        <v>1.47775760278818</v>
      </c>
      <c r="D80">
        <v>0.88950534270316695</v>
      </c>
      <c r="E80">
        <v>-0.64691110868159496</v>
      </c>
      <c r="F80" s="1">
        <v>7.4462632620642902E-4</v>
      </c>
      <c r="G80">
        <v>3.9293722041987902E-3</v>
      </c>
      <c r="H80">
        <v>0.43645922702930701</v>
      </c>
      <c r="I80">
        <v>-8.1010028764588304E-4</v>
      </c>
      <c r="J80">
        <f t="shared" si="1"/>
        <v>-3.9293722041987902E-3</v>
      </c>
    </row>
    <row r="81" spans="1:10" x14ac:dyDescent="0.25">
      <c r="A81">
        <v>425.519042015075</v>
      </c>
      <c r="B81">
        <v>20.040049645208398</v>
      </c>
      <c r="C81">
        <v>1.4348862664064601</v>
      </c>
      <c r="D81">
        <v>0.86386276014108798</v>
      </c>
      <c r="E81">
        <v>-0.63154443763143198</v>
      </c>
      <c r="F81" s="1">
        <v>7.6370638550285995E-4</v>
      </c>
      <c r="G81">
        <v>3.7124907590269998E-3</v>
      </c>
      <c r="H81">
        <v>0.436679384869533</v>
      </c>
      <c r="I81">
        <v>-7.5170526148896099E-4</v>
      </c>
      <c r="J81">
        <f t="shared" si="1"/>
        <v>-3.7124907590269998E-3</v>
      </c>
    </row>
    <row r="82" spans="1:10" x14ac:dyDescent="0.25">
      <c r="A82">
        <v>441.371912956237</v>
      </c>
      <c r="B82">
        <v>20.1389564379087</v>
      </c>
      <c r="C82">
        <v>1.3929473295774999</v>
      </c>
      <c r="D82">
        <v>0.83897715132982398</v>
      </c>
      <c r="E82">
        <v>-0.61604718102593803</v>
      </c>
      <c r="F82">
        <v>6.2515816879192695E-4</v>
      </c>
      <c r="G82">
        <v>3.5078838168027299E-3</v>
      </c>
      <c r="H82">
        <v>0.43702699267498202</v>
      </c>
      <c r="I82">
        <v>-6.9766035162734596E-4</v>
      </c>
      <c r="J82">
        <f t="shared" si="1"/>
        <v>-3.5078838168027299E-3</v>
      </c>
    </row>
    <row r="83" spans="1:10" x14ac:dyDescent="0.25">
      <c r="A83">
        <v>457.22478389739899</v>
      </c>
      <c r="B83">
        <v>20.235045681797601</v>
      </c>
      <c r="C83">
        <v>1.3518953728634999</v>
      </c>
      <c r="D83">
        <v>0.81466338988188902</v>
      </c>
      <c r="E83">
        <v>-0.60042672615412795</v>
      </c>
      <c r="F83">
        <v>4.34481283510931E-4</v>
      </c>
      <c r="G83">
        <v>3.3122972978474898E-3</v>
      </c>
      <c r="H83">
        <v>0.43706473296258003</v>
      </c>
      <c r="I83">
        <v>-6.4683115048190195E-4</v>
      </c>
      <c r="J83">
        <f t="shared" si="1"/>
        <v>-3.3122972978474898E-3</v>
      </c>
    </row>
    <row r="84" spans="1:10" x14ac:dyDescent="0.25">
      <c r="A84">
        <v>473.07753324508599</v>
      </c>
      <c r="B84">
        <v>20.328427570961999</v>
      </c>
      <c r="C84">
        <v>1.3113980300659001</v>
      </c>
      <c r="D84">
        <v>0.79072152088014203</v>
      </c>
      <c r="E84">
        <v>-0.584703741853842</v>
      </c>
      <c r="F84" s="1">
        <v>3.5258402420792898E-4</v>
      </c>
      <c r="G84">
        <v>3.12653833480467E-3</v>
      </c>
      <c r="H84">
        <v>0.437177242633767</v>
      </c>
      <c r="I84">
        <v>-5.98979955279489E-4</v>
      </c>
      <c r="J84">
        <f t="shared" si="1"/>
        <v>-3.12653833480467E-3</v>
      </c>
    </row>
    <row r="85" spans="1:10" x14ac:dyDescent="0.25">
      <c r="A85">
        <v>488.93034338951099</v>
      </c>
      <c r="B85">
        <v>20.419200900100801</v>
      </c>
      <c r="C85">
        <v>1.2713132471617401</v>
      </c>
      <c r="D85">
        <v>0.76721193443705804</v>
      </c>
      <c r="E85">
        <v>-0.56885836247349097</v>
      </c>
      <c r="F85" s="1">
        <v>5.4669828005149601E-5</v>
      </c>
      <c r="G85">
        <v>2.95076540143806E-3</v>
      </c>
      <c r="H85">
        <v>0.43757931725350202</v>
      </c>
      <c r="I85">
        <v>-5.5420262373044799E-4</v>
      </c>
      <c r="J85">
        <f t="shared" si="1"/>
        <v>-2.95076540143806E-3</v>
      </c>
    </row>
    <row r="86" spans="1:10" x14ac:dyDescent="0.25">
      <c r="A86">
        <v>504.78321433067299</v>
      </c>
      <c r="B86" s="1">
        <v>20.507475863300801</v>
      </c>
      <c r="C86" s="1">
        <v>1.23161299184175</v>
      </c>
      <c r="D86" s="1">
        <v>0.74393618029824504</v>
      </c>
      <c r="E86" s="1">
        <v>-0.55291283714806505</v>
      </c>
      <c r="F86" s="1">
        <v>-3.89527264673023E-4</v>
      </c>
      <c r="G86" s="1">
        <v>2.7832960298891699E-3</v>
      </c>
      <c r="H86">
        <v>0.437960221731032</v>
      </c>
      <c r="I86" s="1">
        <v>-5.12385224573386E-4</v>
      </c>
      <c r="J86">
        <f t="shared" si="1"/>
        <v>-2.7832960298891699E-3</v>
      </c>
    </row>
    <row r="87" spans="1:10" x14ac:dyDescent="0.25">
      <c r="A87">
        <v>520.63602447509697</v>
      </c>
      <c r="B87" s="1">
        <v>20.593326556586302</v>
      </c>
      <c r="C87" s="1">
        <v>1.1921210272248499</v>
      </c>
      <c r="D87" s="1">
        <v>0.72077064519669498</v>
      </c>
      <c r="E87" s="1">
        <v>-0.53688650455947795</v>
      </c>
      <c r="F87" s="1">
        <v>-8.1830257208089299E-4</v>
      </c>
      <c r="G87" s="1">
        <v>2.6228433923090998E-3</v>
      </c>
      <c r="H87">
        <v>0.43832653539983402</v>
      </c>
      <c r="I87" s="1">
        <v>-4.7222484726235602E-4</v>
      </c>
      <c r="J87">
        <f t="shared" si="1"/>
        <v>-2.6228433923090998E-3</v>
      </c>
    </row>
    <row r="88" spans="1:10" x14ac:dyDescent="0.25">
      <c r="A88">
        <v>536.48889541625897</v>
      </c>
      <c r="B88" s="1">
        <v>20.676604787909099</v>
      </c>
      <c r="C88" s="1">
        <v>1.1531892356742901</v>
      </c>
      <c r="D88" s="1">
        <v>0.69796091564396001</v>
      </c>
      <c r="E88" s="1">
        <v>-0.52079142614736695</v>
      </c>
      <c r="F88" s="1">
        <v>-1.10367869693185E-3</v>
      </c>
      <c r="G88" s="1">
        <v>2.4686287400049601E-3</v>
      </c>
      <c r="H88">
        <v>0.43845771764533498</v>
      </c>
      <c r="I88" s="1">
        <v>-4.3428257727123101E-4</v>
      </c>
      <c r="J88">
        <f t="shared" si="1"/>
        <v>-2.4686287400049601E-3</v>
      </c>
    </row>
    <row r="89" spans="1:10" x14ac:dyDescent="0.25">
      <c r="A89">
        <v>552.34173595905304</v>
      </c>
      <c r="B89" s="1">
        <v>20.757282058798399</v>
      </c>
      <c r="C89" s="1">
        <v>1.11458224041598</v>
      </c>
      <c r="D89" s="1">
        <v>0.67528454030575302</v>
      </c>
      <c r="E89" s="1">
        <v>-0.50461389474723595</v>
      </c>
      <c r="F89" s="1">
        <v>-1.19271824764454E-3</v>
      </c>
      <c r="G89" s="1">
        <v>2.32124130530754E-3</v>
      </c>
      <c r="H89">
        <v>0.4384870373084</v>
      </c>
      <c r="I89" s="1">
        <v>-3.9889049490969103E-4</v>
      </c>
      <c r="J89">
        <f t="shared" si="1"/>
        <v>-2.32124130530754E-3</v>
      </c>
    </row>
    <row r="90" spans="1:10" x14ac:dyDescent="0.25">
      <c r="A90">
        <v>568.19448530673901</v>
      </c>
      <c r="B90" s="1">
        <v>20.835316571497</v>
      </c>
      <c r="C90" s="1">
        <v>1.07610594432117</v>
      </c>
      <c r="D90" s="1">
        <v>0.65240707439114198</v>
      </c>
      <c r="E90" s="1">
        <v>-0.48834168254309401</v>
      </c>
      <c r="F90" s="1">
        <v>-1.1609229729774E-3</v>
      </c>
      <c r="G90" s="1">
        <v>2.1796959774395899E-3</v>
      </c>
      <c r="H90">
        <v>0.43831230163597701</v>
      </c>
      <c r="I90" s="1">
        <v>-3.6538280757903802E-4</v>
      </c>
      <c r="J90">
        <f t="shared" si="1"/>
        <v>-2.1796959774395899E-3</v>
      </c>
    </row>
    <row r="91" spans="1:10" x14ac:dyDescent="0.25">
      <c r="A91">
        <v>584.04732584953297</v>
      </c>
      <c r="B91" s="1">
        <v>20.910856518053102</v>
      </c>
      <c r="C91" s="1">
        <v>1.03772308925727</v>
      </c>
      <c r="D91" s="1">
        <v>0.62963093597271602</v>
      </c>
      <c r="E91" s="1">
        <v>-0.471969526435429</v>
      </c>
      <c r="F91" s="1">
        <v>-1.05694997692218E-3</v>
      </c>
      <c r="G91" s="1">
        <v>2.0460136177757101E-3</v>
      </c>
      <c r="H91">
        <v>0.43857494952687498</v>
      </c>
      <c r="I91" s="1">
        <v>-3.3452159593493801E-4</v>
      </c>
      <c r="J91">
        <f t="shared" si="1"/>
        <v>-2.0460136177757101E-3</v>
      </c>
    </row>
    <row r="92" spans="1:10" x14ac:dyDescent="0.25">
      <c r="A92">
        <v>599.90016639232601</v>
      </c>
      <c r="B92" s="1">
        <v>20.984093788169901</v>
      </c>
      <c r="C92" s="1">
        <v>0.99972180478289296</v>
      </c>
      <c r="D92" s="1">
        <v>0.60695987369072502</v>
      </c>
      <c r="E92" s="1">
        <v>-0.45550376135543802</v>
      </c>
      <c r="F92" s="1">
        <v>-8.0674427188230701E-4</v>
      </c>
      <c r="G92" s="1">
        <v>1.91849146752605E-3</v>
      </c>
      <c r="H92">
        <v>0.43884917084340302</v>
      </c>
      <c r="I92" s="1">
        <v>-3.0544605987903398E-4</v>
      </c>
      <c r="J92">
        <f t="shared" si="1"/>
        <v>-1.91849146752605E-3</v>
      </c>
    </row>
    <row r="93" spans="1:10" x14ac:dyDescent="0.25">
      <c r="A93">
        <v>615.75300693511895</v>
      </c>
      <c r="B93" s="1">
        <v>21.055013182663</v>
      </c>
      <c r="C93" s="1">
        <v>0.96214650495767196</v>
      </c>
      <c r="D93" s="1">
        <v>0.58454032163978098</v>
      </c>
      <c r="E93" s="1">
        <v>-0.43898270888017399</v>
      </c>
      <c r="F93" s="1">
        <v>-4.1233859633554501E-4</v>
      </c>
      <c r="G93" s="1">
        <v>1.79650726579332E-3</v>
      </c>
      <c r="H93">
        <v>0.43906342026505502</v>
      </c>
      <c r="I93" s="1">
        <v>-2.7828422979334902E-4</v>
      </c>
      <c r="J93">
        <f t="shared" si="1"/>
        <v>-1.79650726579332E-3</v>
      </c>
    </row>
    <row r="94" spans="1:10" x14ac:dyDescent="0.25">
      <c r="A94">
        <v>631.60581707954395</v>
      </c>
      <c r="B94" s="1">
        <v>21.123536805712298</v>
      </c>
      <c r="C94" s="1">
        <v>0.92478091519296801</v>
      </c>
      <c r="D94" s="1">
        <v>0.56227093805731598</v>
      </c>
      <c r="E94" s="1">
        <v>-0.42237629033260199</v>
      </c>
      <c r="F94" s="1">
        <v>-1.3826227637382701E-4</v>
      </c>
      <c r="G94" s="1">
        <v>1.68008241342982E-3</v>
      </c>
      <c r="H94">
        <v>0.43945469345441301</v>
      </c>
      <c r="I94" s="1">
        <v>-2.5290202602386199E-4</v>
      </c>
      <c r="J94">
        <f t="shared" si="1"/>
        <v>-1.68008241342982E-3</v>
      </c>
    </row>
    <row r="95" spans="1:10" x14ac:dyDescent="0.25">
      <c r="A95">
        <v>647.45859682559899</v>
      </c>
      <c r="B95" s="1">
        <v>21.1896741568079</v>
      </c>
      <c r="C95" s="1">
        <v>0.88767749257385697</v>
      </c>
      <c r="D95" s="1">
        <v>0.54029711827028204</v>
      </c>
      <c r="E95" s="1">
        <v>-0.405713259292033</v>
      </c>
      <c r="F95" s="1">
        <v>3.0297010972046E-5</v>
      </c>
      <c r="G95" s="1">
        <v>1.5695788153458599E-3</v>
      </c>
      <c r="H95">
        <v>0.440059006965688</v>
      </c>
      <c r="I95" s="1">
        <v>-2.2930685333320399E-4</v>
      </c>
      <c r="J95">
        <f t="shared" si="1"/>
        <v>-1.5695788153458599E-3</v>
      </c>
    </row>
    <row r="96" spans="1:10" x14ac:dyDescent="0.25">
      <c r="A96">
        <v>663.31143736839203</v>
      </c>
      <c r="B96" s="1">
        <v>21.253474633299401</v>
      </c>
      <c r="C96" s="1">
        <v>0.85103530198011801</v>
      </c>
      <c r="D96" s="1">
        <v>0.51847476819699501</v>
      </c>
      <c r="E96" s="1">
        <v>-0.38898538994773402</v>
      </c>
      <c r="F96" s="1">
        <v>1.8779527955441099E-4</v>
      </c>
      <c r="G96" s="1">
        <v>1.46442258552207E-3</v>
      </c>
      <c r="H96">
        <v>0.44057133540941101</v>
      </c>
      <c r="I96" s="1">
        <v>-2.0743205367899201E-4</v>
      </c>
      <c r="J96">
        <f t="shared" si="1"/>
        <v>-1.46442258552207E-3</v>
      </c>
    </row>
    <row r="97" spans="1:10" x14ac:dyDescent="0.25">
      <c r="A97">
        <v>679.16427791118599</v>
      </c>
      <c r="B97" s="1">
        <v>21.3149420349827</v>
      </c>
      <c r="C97" s="1">
        <v>0.81471749369938995</v>
      </c>
      <c r="D97" s="1">
        <v>0.49661251664434702</v>
      </c>
      <c r="E97" s="1">
        <v>-0.37216653799849603</v>
      </c>
      <c r="F97" s="1">
        <v>3.77536199470603E-4</v>
      </c>
      <c r="G97" s="1">
        <v>1.3641480471232E-3</v>
      </c>
      <c r="H97">
        <v>0.44095760986987498</v>
      </c>
      <c r="I97" s="1">
        <v>-1.87219059953724E-4</v>
      </c>
      <c r="J97">
        <f t="shared" si="1"/>
        <v>-1.3641480471232E-3</v>
      </c>
    </row>
    <row r="98" spans="1:10" x14ac:dyDescent="0.25">
      <c r="A98">
        <v>695.01711845397904</v>
      </c>
      <c r="B98" s="1">
        <v>21.3741599573722</v>
      </c>
      <c r="C98" s="1">
        <v>0.77873938496395501</v>
      </c>
      <c r="D98" s="1">
        <v>0.47463778667840101</v>
      </c>
      <c r="E98" s="1">
        <v>-0.355272789240348</v>
      </c>
      <c r="F98" s="1">
        <v>5.9639373789251496E-4</v>
      </c>
      <c r="G98" s="1">
        <v>1.26864246545193E-3</v>
      </c>
      <c r="H98">
        <v>0.44128315981928801</v>
      </c>
      <c r="I98" s="1">
        <v>-1.68421853513684E-4</v>
      </c>
      <c r="J98">
        <f t="shared" si="1"/>
        <v>-1.26864246545193E-3</v>
      </c>
    </row>
    <row r="99" spans="1:10" x14ac:dyDescent="0.25">
      <c r="A99">
        <v>710.86992859840302</v>
      </c>
      <c r="B99" s="1">
        <v>21.431082802914698</v>
      </c>
      <c r="C99" s="1">
        <v>0.74337698165436406</v>
      </c>
      <c r="D99" s="1">
        <v>0.452864780664193</v>
      </c>
      <c r="E99" s="1">
        <v>-0.33833539431006898</v>
      </c>
      <c r="F99" s="1">
        <v>6.9451299921975999E-4</v>
      </c>
      <c r="G99" s="1">
        <v>1.1780232694231E-3</v>
      </c>
      <c r="H99">
        <v>0.44147226278403701</v>
      </c>
      <c r="I99" s="1">
        <v>-1.50922044178321E-4</v>
      </c>
      <c r="J99">
        <f t="shared" si="1"/>
        <v>-1.1780232694231E-3</v>
      </c>
    </row>
    <row r="100" spans="1:10" x14ac:dyDescent="0.25">
      <c r="A100">
        <v>726.72273874282803</v>
      </c>
      <c r="B100" s="1">
        <v>21.485676373445099</v>
      </c>
      <c r="C100" s="1">
        <v>0.70881042388464199</v>
      </c>
      <c r="D100" s="1">
        <v>0.43127170820900801</v>
      </c>
      <c r="E100" s="1">
        <v>-0.32133431802611101</v>
      </c>
      <c r="F100" s="1">
        <v>7.9531356443046197E-4</v>
      </c>
      <c r="G100" s="1">
        <v>1.09304969063387E-3</v>
      </c>
      <c r="H100">
        <v>0.44178500800565002</v>
      </c>
      <c r="I100" s="1">
        <v>-1.3511188369150399E-4</v>
      </c>
      <c r="J100">
        <f t="shared" si="1"/>
        <v>-1.09304969063387E-3</v>
      </c>
    </row>
    <row r="101" spans="1:10" x14ac:dyDescent="0.25">
      <c r="A101">
        <v>742.57554888725201</v>
      </c>
      <c r="B101" s="1">
        <v>21.5379463686576</v>
      </c>
      <c r="C101" s="1">
        <v>0.67506691600556201</v>
      </c>
      <c r="D101" s="1">
        <v>0.40996969011157097</v>
      </c>
      <c r="E101" s="1">
        <v>-0.30427807135808799</v>
      </c>
      <c r="F101" s="1">
        <v>9.4312168282300701E-4</v>
      </c>
      <c r="G101" s="1">
        <v>1.0132595232078101E-3</v>
      </c>
      <c r="H101">
        <v>0.44211966348020498</v>
      </c>
      <c r="I101" s="1">
        <v>-1.20588357892402E-4</v>
      </c>
      <c r="J101">
        <f t="shared" si="1"/>
        <v>-1.0132595232078101E-3</v>
      </c>
    </row>
    <row r="102" spans="1:10" x14ac:dyDescent="0.25">
      <c r="A102">
        <v>758.42838943004597</v>
      </c>
      <c r="B102" s="1">
        <v>21.587803493343898</v>
      </c>
      <c r="C102" s="1">
        <v>0.64205354924524705</v>
      </c>
      <c r="D102" s="1">
        <v>0.38903551098865202</v>
      </c>
      <c r="E102" s="1">
        <v>-0.28717668836592602</v>
      </c>
      <c r="F102" s="1">
        <v>1.0744606466767E-3</v>
      </c>
      <c r="G102" s="1">
        <v>9.3848458833287705E-4</v>
      </c>
      <c r="H102">
        <v>0.44264595901355902</v>
      </c>
      <c r="I102" s="1">
        <v>-1.0747042273620901E-4</v>
      </c>
      <c r="J102">
        <f t="shared" si="1"/>
        <v>-9.3848458833287705E-4</v>
      </c>
    </row>
    <row r="103" spans="1:10" x14ac:dyDescent="0.25">
      <c r="A103">
        <v>774.28122997283901</v>
      </c>
      <c r="B103" s="1">
        <v>21.6351888506642</v>
      </c>
      <c r="C103" s="1">
        <v>0.60995070027729503</v>
      </c>
      <c r="D103" s="1">
        <v>0.36855115369535402</v>
      </c>
      <c r="E103" s="1">
        <v>-0.27001822735101</v>
      </c>
      <c r="F103" s="1">
        <v>1.1400140517883401E-3</v>
      </c>
      <c r="G103" s="1">
        <v>8.6809835699554097E-4</v>
      </c>
      <c r="H103">
        <v>0.44299268169746903</v>
      </c>
      <c r="I103" s="1">
        <v>-9.5780529474169594E-5</v>
      </c>
      <c r="J103">
        <f t="shared" si="1"/>
        <v>-8.6809835699554097E-4</v>
      </c>
    </row>
    <row r="104" spans="1:10" x14ac:dyDescent="0.25">
      <c r="A104">
        <v>790.13402491807904</v>
      </c>
      <c r="B104" s="1">
        <v>21.6800739421478</v>
      </c>
      <c r="C104" s="1">
        <v>0.57880378853951697</v>
      </c>
      <c r="D104" s="1">
        <v>0.34861405618003599</v>
      </c>
      <c r="E104" s="1">
        <v>-0.252807192963656</v>
      </c>
      <c r="F104" s="1">
        <v>1.09744478370231E-3</v>
      </c>
      <c r="G104" s="1">
        <v>8.0280147858702896E-4</v>
      </c>
      <c r="H104">
        <v>0.44362011208986202</v>
      </c>
      <c r="I104" s="1">
        <v>-8.5592401136730498E-5</v>
      </c>
      <c r="J104">
        <f t="shared" si="1"/>
        <v>-8.0280147858702896E-4</v>
      </c>
    </row>
    <row r="105" spans="1:10" x14ac:dyDescent="0.25">
      <c r="A105">
        <v>805.98686546087197</v>
      </c>
      <c r="B105" s="1">
        <v>21.7224264695278</v>
      </c>
      <c r="C105" s="1">
        <v>0.54868112060830698</v>
      </c>
      <c r="D105" s="1">
        <v>0.329044201872708</v>
      </c>
      <c r="E105" s="1">
        <v>-0.23555581150646199</v>
      </c>
      <c r="F105" s="1">
        <v>9.4422876105884699E-4</v>
      </c>
      <c r="G105" s="1">
        <v>7.4228998585908104E-4</v>
      </c>
      <c r="H105">
        <v>0.44440291981593599</v>
      </c>
      <c r="I105" s="1">
        <v>-7.6408513507340305E-5</v>
      </c>
      <c r="J105">
        <f t="shared" si="1"/>
        <v>-7.4228998585908104E-4</v>
      </c>
    </row>
    <row r="106" spans="1:10" x14ac:dyDescent="0.25">
      <c r="A106">
        <v>821.83970600366501</v>
      </c>
      <c r="B106" s="1">
        <v>21.762151437901501</v>
      </c>
      <c r="C106" s="1">
        <v>0.519863078716298</v>
      </c>
      <c r="D106" s="1">
        <v>0.31007599154077697</v>
      </c>
      <c r="E106" s="1">
        <v>-0.21826143474700699</v>
      </c>
      <c r="F106" s="1">
        <v>8.0994962344500398E-4</v>
      </c>
      <c r="G106" s="1">
        <v>6.8600078660960003E-4</v>
      </c>
      <c r="H106">
        <v>0.44490425169458497</v>
      </c>
      <c r="I106" s="1">
        <v>-6.8185620561086701E-5</v>
      </c>
      <c r="J106">
        <f t="shared" si="1"/>
        <v>-6.8600078660960003E-4</v>
      </c>
    </row>
    <row r="107" spans="1:10" x14ac:dyDescent="0.25">
      <c r="A107">
        <v>837.69251614809002</v>
      </c>
      <c r="B107" s="1">
        <v>21.799214649104201</v>
      </c>
      <c r="C107" s="1">
        <v>0.49239484574172798</v>
      </c>
      <c r="D107" s="1">
        <v>0.29192477405837403</v>
      </c>
      <c r="E107" s="1">
        <v>-0.20093537735487099</v>
      </c>
      <c r="F107" s="1">
        <v>7.6428859696730795E-4</v>
      </c>
      <c r="G107" s="1">
        <v>6.3448987443082995E-4</v>
      </c>
      <c r="H107">
        <v>0.44565657298957101</v>
      </c>
      <c r="I107" s="1">
        <v>-6.1074114635742798E-5</v>
      </c>
      <c r="J107">
        <f t="shared" si="1"/>
        <v>-6.3448987443082995E-4</v>
      </c>
    </row>
    <row r="108" spans="1:10" x14ac:dyDescent="0.25">
      <c r="A108">
        <v>853.54535669088295</v>
      </c>
      <c r="B108" s="1">
        <v>21.833561006092101</v>
      </c>
      <c r="C108" s="1">
        <v>0.46641726333973499</v>
      </c>
      <c r="D108" s="1">
        <v>0.27457478818990999</v>
      </c>
      <c r="E108" s="1">
        <v>-0.18356984821128899</v>
      </c>
      <c r="F108" s="1">
        <v>7.5941566968612301E-4</v>
      </c>
      <c r="G108" s="1">
        <v>5.8742556468119799E-4</v>
      </c>
      <c r="H108">
        <v>0.44649734922589701</v>
      </c>
      <c r="I108" s="1">
        <v>-5.47926281942853E-5</v>
      </c>
      <c r="J108">
        <f t="shared" si="1"/>
        <v>-5.8742556468119799E-4</v>
      </c>
    </row>
    <row r="109" spans="1:10" x14ac:dyDescent="0.25">
      <c r="A109">
        <v>869.39818203449204</v>
      </c>
      <c r="B109" s="1">
        <v>21.865108813249201</v>
      </c>
      <c r="C109" s="1">
        <v>0.44210795817889398</v>
      </c>
      <c r="D109" s="1">
        <v>0.25815779799863098</v>
      </c>
      <c r="E109" s="1">
        <v>-0.16617159318264799</v>
      </c>
      <c r="F109" s="1">
        <v>7.3838641203694596E-4</v>
      </c>
      <c r="G109" s="1">
        <v>5.4516432693076404E-4</v>
      </c>
      <c r="H109">
        <v>0.44762236928263799</v>
      </c>
      <c r="I109" s="1">
        <v>-4.95559947079494E-5</v>
      </c>
      <c r="J109">
        <f t="shared" si="1"/>
        <v>-5.4516432693076404E-4</v>
      </c>
    </row>
    <row r="110" spans="1:10" x14ac:dyDescent="0.25">
      <c r="A110">
        <v>885.25099217891602</v>
      </c>
      <c r="B110" s="1">
        <v>21.893780174755101</v>
      </c>
      <c r="C110" s="1">
        <v>0.41967782311758101</v>
      </c>
      <c r="D110" s="1">
        <v>0.242932654577066</v>
      </c>
      <c r="E110" s="1">
        <v>-0.14874877608099801</v>
      </c>
      <c r="F110" s="1">
        <v>6.8932436258141395E-4</v>
      </c>
      <c r="G110" s="1">
        <v>5.0746700109259796E-4</v>
      </c>
      <c r="H110">
        <v>0.44871931123710501</v>
      </c>
      <c r="I110" s="1">
        <v>-4.52369940823139E-5</v>
      </c>
      <c r="J110">
        <f t="shared" si="1"/>
        <v>-5.0746700109259796E-4</v>
      </c>
    </row>
    <row r="111" spans="1:10" x14ac:dyDescent="0.25">
      <c r="A111">
        <v>901.10380992293301</v>
      </c>
      <c r="B111" s="1">
        <v>21.919472496115301</v>
      </c>
      <c r="C111" s="1">
        <v>0.39923064866798003</v>
      </c>
      <c r="D111" s="1">
        <v>0.22888795573912499</v>
      </c>
      <c r="E111" s="1">
        <v>-0.13130423004602301</v>
      </c>
      <c r="F111" s="1">
        <v>6.2986140567598305E-4</v>
      </c>
      <c r="G111" s="1">
        <v>4.7416048450613497E-4</v>
      </c>
      <c r="H111">
        <v>0.44970766901961001</v>
      </c>
      <c r="I111" s="1">
        <v>-4.1611801108102502E-5</v>
      </c>
      <c r="J111">
        <f t="shared" si="1"/>
        <v>-4.7416048450613497E-4</v>
      </c>
    </row>
    <row r="112" spans="1:10" x14ac:dyDescent="0.25">
      <c r="A112">
        <v>916.95665046572606</v>
      </c>
      <c r="B112" s="1">
        <v>21.9421135812035</v>
      </c>
      <c r="C112" s="1">
        <v>0.38087350760633798</v>
      </c>
      <c r="D112" s="1">
        <v>0.21625637642133</v>
      </c>
      <c r="E112" s="1">
        <v>-0.11383001238999101</v>
      </c>
      <c r="F112" s="1">
        <v>6.0732069205870402E-4</v>
      </c>
      <c r="G112" s="1">
        <v>4.4522231638942502E-4</v>
      </c>
      <c r="H112">
        <v>0.45077179301764297</v>
      </c>
      <c r="I112" s="1">
        <v>-3.8610465026451297E-5</v>
      </c>
      <c r="J112">
        <f t="shared" si="1"/>
        <v>-4.4522231638942502E-4</v>
      </c>
    </row>
    <row r="113" spans="1:10" x14ac:dyDescent="0.25">
      <c r="A113">
        <v>932.80946820974305</v>
      </c>
      <c r="B113" s="1">
        <v>21.961633133791999</v>
      </c>
      <c r="C113" s="1">
        <v>0.36483065840684498</v>
      </c>
      <c r="D113" s="1">
        <v>0.20519785064597301</v>
      </c>
      <c r="E113" s="1">
        <v>-9.6341576142462595E-2</v>
      </c>
      <c r="F113" s="1">
        <v>6.3004009955016499E-4</v>
      </c>
      <c r="G113" s="1">
        <v>4.2063516676174101E-4</v>
      </c>
      <c r="H113">
        <v>0.45184161659070399</v>
      </c>
      <c r="I113" s="1">
        <v>-3.6293322346397302E-5</v>
      </c>
      <c r="J113">
        <f t="shared" si="1"/>
        <v>-4.2063516676174101E-4</v>
      </c>
    </row>
    <row r="114" spans="1:10" x14ac:dyDescent="0.25">
      <c r="A114">
        <v>948.66229355335201</v>
      </c>
      <c r="B114" s="1">
        <v>21.977898161016999</v>
      </c>
      <c r="C114" s="1">
        <v>0.35130036756072502</v>
      </c>
      <c r="D114" s="1">
        <v>0.19569433148906501</v>
      </c>
      <c r="E114" s="1">
        <v>-7.8837317809168903E-2</v>
      </c>
      <c r="F114" s="1">
        <v>6.3548219401563996E-4</v>
      </c>
      <c r="G114" s="1">
        <v>4.0020373183726003E-4</v>
      </c>
      <c r="H114">
        <v>0.45261786916438501</v>
      </c>
      <c r="I114" s="1">
        <v>-3.4514185230260697E-5</v>
      </c>
      <c r="J114">
        <f t="shared" si="1"/>
        <v>-4.0020373183726003E-4</v>
      </c>
    </row>
    <row r="115" spans="1:10" x14ac:dyDescent="0.25">
      <c r="A115">
        <v>964.51511889696098</v>
      </c>
      <c r="B115" s="1">
        <v>21.990908662878599</v>
      </c>
      <c r="C115" s="1">
        <v>0.34034000076417198</v>
      </c>
      <c r="D115" s="1">
        <v>0.187792726663388</v>
      </c>
      <c r="E115" s="1">
        <v>-6.1311305965833798E-2</v>
      </c>
      <c r="F115" s="1">
        <v>5.9857973125189705E-4</v>
      </c>
      <c r="G115" s="1">
        <v>3.8398761106514198E-4</v>
      </c>
      <c r="H115">
        <v>0.45328950880131602</v>
      </c>
      <c r="I115" s="1">
        <v>-3.3180562983635999E-5</v>
      </c>
      <c r="J115">
        <f t="shared" si="1"/>
        <v>-3.8398761106514198E-4</v>
      </c>
    </row>
    <row r="116" spans="1:10" x14ac:dyDescent="0.25">
      <c r="A116">
        <v>980.36794044077305</v>
      </c>
      <c r="B116" s="1">
        <v>22.0006817384592</v>
      </c>
      <c r="C116" s="1">
        <v>0.331998052729432</v>
      </c>
      <c r="D116" s="1">
        <v>0.181789480324695</v>
      </c>
      <c r="E116" s="1">
        <v>-4.37753277295529E-2</v>
      </c>
      <c r="F116" s="1">
        <v>5.1231122965678198E-4</v>
      </c>
      <c r="G116" s="1">
        <v>3.7207175347404398E-4</v>
      </c>
      <c r="H116">
        <v>0.45396819782128101</v>
      </c>
      <c r="I116" s="1">
        <v>-3.2274246906040097E-5</v>
      </c>
      <c r="J116">
        <f t="shared" si="1"/>
        <v>-3.7207175347404398E-4</v>
      </c>
    </row>
    <row r="117" spans="1:10" x14ac:dyDescent="0.25">
      <c r="A117">
        <v>996.22076388448397</v>
      </c>
      <c r="B117" s="1">
        <v>22.007215487860702</v>
      </c>
      <c r="C117" s="1">
        <v>0.32634022787760802</v>
      </c>
      <c r="D117" s="1">
        <v>0.17757947789666201</v>
      </c>
      <c r="E117" s="1">
        <v>-2.6226242715677001E-2</v>
      </c>
      <c r="F117" s="1">
        <v>3.5354700734965898E-4</v>
      </c>
      <c r="G117" s="1">
        <v>3.6421931121228499E-4</v>
      </c>
      <c r="H117">
        <v>0.454540479403373</v>
      </c>
      <c r="I117" s="1">
        <v>-3.1697196420808402E-5</v>
      </c>
      <c r="J117">
        <f t="shared" si="1"/>
        <v>-3.6421931121228499E-4</v>
      </c>
    </row>
    <row r="118" spans="1:10" x14ac:dyDescent="0.25">
      <c r="A118">
        <v>1012.07358780317</v>
      </c>
      <c r="B118" s="1">
        <v>22.010479512714401</v>
      </c>
      <c r="C118" s="1">
        <v>0.32346109089758102</v>
      </c>
      <c r="D118" s="1">
        <v>0.17546978245939801</v>
      </c>
      <c r="E118" s="1">
        <v>-8.6785361982956808E-3</v>
      </c>
      <c r="F118" s="1">
        <v>1.7021887452819799E-4</v>
      </c>
      <c r="G118" s="1">
        <v>3.6020438152173302E-4</v>
      </c>
      <c r="H118">
        <v>0.45473248454161702</v>
      </c>
      <c r="I118" s="1">
        <v>-3.1353752013651298E-5</v>
      </c>
      <c r="J118">
        <f t="shared" si="1"/>
        <v>-3.6020438152173302E-4</v>
      </c>
    </row>
    <row r="119" spans="1:10" x14ac:dyDescent="0.25">
      <c r="A119" t="s">
        <v>491</v>
      </c>
      <c r="B119" t="s">
        <v>528</v>
      </c>
      <c r="C119" t="s">
        <v>529</v>
      </c>
      <c r="D119" t="s">
        <v>530</v>
      </c>
      <c r="E119" t="s">
        <v>531</v>
      </c>
      <c r="F119" t="s">
        <v>532</v>
      </c>
      <c r="G119" t="s">
        <v>370</v>
      </c>
      <c r="H119" t="s">
        <v>533</v>
      </c>
      <c r="I119" t="s">
        <v>527</v>
      </c>
    </row>
    <row r="120" spans="1:10" x14ac:dyDescent="0.25">
      <c r="A120">
        <v>-143.34727764129599</v>
      </c>
      <c r="B120">
        <v>19.580737878013601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>
        <v>0</v>
      </c>
      <c r="I120" s="1">
        <v>0</v>
      </c>
    </row>
    <row r="121" spans="1:10" x14ac:dyDescent="0.25">
      <c r="A121">
        <v>-130.59127092361399</v>
      </c>
      <c r="B121">
        <v>19.580737878013601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>
        <v>0</v>
      </c>
      <c r="I121" s="1">
        <v>0</v>
      </c>
    </row>
    <row r="122" spans="1:10" x14ac:dyDescent="0.25">
      <c r="A122">
        <v>-118.88850688934301</v>
      </c>
      <c r="B122">
        <v>19.580737878013601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>
        <v>0</v>
      </c>
      <c r="I122" s="1">
        <v>0</v>
      </c>
    </row>
    <row r="123" spans="1:10" x14ac:dyDescent="0.25">
      <c r="A123">
        <v>-108.151924610137</v>
      </c>
      <c r="B123">
        <v>19.580737878013601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>
        <v>0</v>
      </c>
      <c r="I123" s="1">
        <v>0</v>
      </c>
    </row>
    <row r="124" spans="1:10" x14ac:dyDescent="0.25">
      <c r="A124">
        <v>-98.302001953125</v>
      </c>
      <c r="B124">
        <v>19.580737878013601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>
        <v>0</v>
      </c>
      <c r="I124" s="1">
        <v>0</v>
      </c>
    </row>
    <row r="125" spans="1:10" x14ac:dyDescent="0.25">
      <c r="A125">
        <v>-89.265174865722599</v>
      </c>
      <c r="B125">
        <v>19.580737878013601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>
        <v>0</v>
      </c>
      <c r="I125" s="1">
        <v>0</v>
      </c>
    </row>
    <row r="126" spans="1:10" x14ac:dyDescent="0.25">
      <c r="A126">
        <v>-80.974688529968205</v>
      </c>
      <c r="B126">
        <v>19.580737878013601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>
        <v>0</v>
      </c>
      <c r="I126" s="1">
        <v>0</v>
      </c>
    </row>
    <row r="127" spans="1:10" x14ac:dyDescent="0.25">
      <c r="A127">
        <v>-73.368651866912799</v>
      </c>
      <c r="B127">
        <v>19.580737878013601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>
        <v>0</v>
      </c>
      <c r="I127" s="1">
        <v>0</v>
      </c>
    </row>
    <row r="128" spans="1:10" x14ac:dyDescent="0.25">
      <c r="A128">
        <v>-66.390645503997803</v>
      </c>
      <c r="B128">
        <v>19.580737878013601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>
        <v>0</v>
      </c>
      <c r="I128" s="1">
        <v>0</v>
      </c>
    </row>
    <row r="129" spans="1:9" x14ac:dyDescent="0.25">
      <c r="A129">
        <v>-59.988870620727504</v>
      </c>
      <c r="B129">
        <v>19.580737878013601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>
        <v>0</v>
      </c>
      <c r="I129" s="1">
        <v>0</v>
      </c>
    </row>
    <row r="130" spans="1:9" x14ac:dyDescent="0.25">
      <c r="A130">
        <v>-54.115540981292703</v>
      </c>
      <c r="B130">
        <v>19.580737878013601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>
        <v>0</v>
      </c>
      <c r="I130" s="1">
        <v>0</v>
      </c>
    </row>
    <row r="131" spans="1:9" x14ac:dyDescent="0.25">
      <c r="A131">
        <v>-48.727247714996302</v>
      </c>
      <c r="B131">
        <v>19.580737878013601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>
        <v>0</v>
      </c>
      <c r="I131" s="1">
        <v>0</v>
      </c>
    </row>
    <row r="132" spans="1:9" x14ac:dyDescent="0.25">
      <c r="A132">
        <v>-43.783864974975501</v>
      </c>
      <c r="B132">
        <v>19.580737878013601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>
        <v>0</v>
      </c>
      <c r="I132" s="1">
        <v>0</v>
      </c>
    </row>
    <row r="133" spans="1:9" x14ac:dyDescent="0.25">
      <c r="A133">
        <v>-39.248671531677203</v>
      </c>
      <c r="B133">
        <v>19.580737878013601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>
        <v>0</v>
      </c>
      <c r="I133" s="1">
        <v>0</v>
      </c>
    </row>
    <row r="134" spans="1:9" x14ac:dyDescent="0.25">
      <c r="A134">
        <v>-35.087985992431598</v>
      </c>
      <c r="B134">
        <v>19.580737878013601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>
        <v>0</v>
      </c>
      <c r="I134" s="1">
        <v>0</v>
      </c>
    </row>
    <row r="135" spans="1:9" x14ac:dyDescent="0.25">
      <c r="A135">
        <v>-31.270802021026601</v>
      </c>
      <c r="B135">
        <v>19.580737878013601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>
        <v>0</v>
      </c>
      <c r="I135" s="1">
        <v>0</v>
      </c>
    </row>
    <row r="136" spans="1:9" x14ac:dyDescent="0.25">
      <c r="A136">
        <v>-27.7686667442321</v>
      </c>
      <c r="B136">
        <v>19.580737878013601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>
        <v>0</v>
      </c>
      <c r="I136" s="1">
        <v>0</v>
      </c>
    </row>
    <row r="137" spans="1:9" x14ac:dyDescent="0.25">
      <c r="A137">
        <v>-24.555802345275801</v>
      </c>
      <c r="B137">
        <v>19.580737878013601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>
        <v>0</v>
      </c>
      <c r="I137" s="1">
        <v>0</v>
      </c>
    </row>
    <row r="138" spans="1:9" x14ac:dyDescent="0.25">
      <c r="A138">
        <v>-21.608254909515299</v>
      </c>
      <c r="B138">
        <v>19.580737878013601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>
        <v>0</v>
      </c>
      <c r="I138" s="1">
        <v>0</v>
      </c>
    </row>
    <row r="139" spans="1:9" x14ac:dyDescent="0.25">
      <c r="A139">
        <v>-18.904016017913801</v>
      </c>
      <c r="B139">
        <v>19.580737878013601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>
        <v>0</v>
      </c>
      <c r="I139" s="1">
        <v>0</v>
      </c>
    </row>
    <row r="140" spans="1:9" x14ac:dyDescent="0.25">
      <c r="A140">
        <v>-16.423144340515101</v>
      </c>
      <c r="B140">
        <v>19.580737878013601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>
        <v>0</v>
      </c>
      <c r="I140" s="1">
        <v>0</v>
      </c>
    </row>
    <row r="141" spans="1:9" x14ac:dyDescent="0.25">
      <c r="A141">
        <v>-14.147036075592</v>
      </c>
      <c r="B141">
        <v>19.580737878013601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>
        <v>0</v>
      </c>
      <c r="I141" s="1">
        <v>0</v>
      </c>
    </row>
    <row r="142" spans="1:9" x14ac:dyDescent="0.25">
      <c r="A142">
        <v>-12.058911323547299</v>
      </c>
      <c r="B142">
        <v>19.580737878013601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>
        <v>0</v>
      </c>
      <c r="I142" s="1">
        <v>0</v>
      </c>
    </row>
    <row r="143" spans="1:9" x14ac:dyDescent="0.25">
      <c r="A143">
        <v>-10.143084526061999</v>
      </c>
      <c r="B143">
        <v>19.580737878013601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>
        <v>0</v>
      </c>
      <c r="I143" s="1">
        <v>0</v>
      </c>
    </row>
    <row r="144" spans="1:9" x14ac:dyDescent="0.25">
      <c r="A144">
        <v>-8.3855724334716708</v>
      </c>
      <c r="B144">
        <v>19.580737878013601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>
        <v>0</v>
      </c>
      <c r="I144" s="1">
        <v>0</v>
      </c>
    </row>
    <row r="145" spans="1:9" x14ac:dyDescent="0.25">
      <c r="A145">
        <v>-6.7732429504394496</v>
      </c>
      <c r="B145">
        <v>19.580737878013601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>
        <v>0</v>
      </c>
      <c r="I145" s="1">
        <v>0</v>
      </c>
    </row>
    <row r="146" spans="1:9" x14ac:dyDescent="0.25">
      <c r="A146">
        <v>-5.2939367294311497</v>
      </c>
      <c r="B146">
        <v>19.580737878013601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>
        <v>0</v>
      </c>
      <c r="I146" s="1">
        <v>0</v>
      </c>
    </row>
    <row r="147" spans="1:9" x14ac:dyDescent="0.25">
      <c r="A147">
        <v>-3.9367103576660099</v>
      </c>
      <c r="B147">
        <v>19.580737878013601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>
        <v>0</v>
      </c>
      <c r="I147" s="1">
        <v>0</v>
      </c>
    </row>
    <row r="148" spans="1:9" x14ac:dyDescent="0.25">
      <c r="A148">
        <v>-2.6915931701660099</v>
      </c>
      <c r="B148">
        <v>19.580737878013601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>
        <v>0</v>
      </c>
      <c r="I148" s="1">
        <v>0</v>
      </c>
    </row>
    <row r="149" spans="1:9" x14ac:dyDescent="0.25">
      <c r="A149">
        <v>-1.54934406280517</v>
      </c>
      <c r="B149">
        <v>19.580737878013601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>
        <v>0</v>
      </c>
      <c r="I149" s="1">
        <v>0</v>
      </c>
    </row>
    <row r="150" spans="1:9" x14ac:dyDescent="0.25">
      <c r="A150">
        <v>-0.50145149230956998</v>
      </c>
      <c r="B150">
        <v>19.580737878013601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>
        <v>0</v>
      </c>
      <c r="I150" s="1">
        <v>0</v>
      </c>
    </row>
    <row r="151" spans="1:9" x14ac:dyDescent="0.25">
      <c r="A151">
        <v>0.49999237060546797</v>
      </c>
      <c r="B151">
        <v>0.499235283959933</v>
      </c>
      <c r="C151" s="1">
        <v>9.8685717483022</v>
      </c>
      <c r="D151" s="1">
        <v>0.479704006012944</v>
      </c>
      <c r="E151" s="1">
        <v>-7.8731503917763197E-4</v>
      </c>
      <c r="F151" s="1">
        <v>-1.06209996786231E-4</v>
      </c>
      <c r="G151" s="1">
        <v>1.77611051807238E-2</v>
      </c>
      <c r="H151">
        <v>0.274752872900628</v>
      </c>
      <c r="I151" s="1">
        <v>8.2432207365128397E-7</v>
      </c>
    </row>
    <row r="152" spans="1:9" x14ac:dyDescent="0.25">
      <c r="A152">
        <v>1.54496669769287</v>
      </c>
      <c r="B152">
        <v>1.5408220928202301</v>
      </c>
      <c r="C152" s="1">
        <v>9.9217153292556706</v>
      </c>
      <c r="D152" s="1">
        <v>1.51831298120361</v>
      </c>
      <c r="E152" s="1">
        <v>-6.2851170362966599E-3</v>
      </c>
      <c r="F152" s="1">
        <v>-3.0562437268165198E-4</v>
      </c>
      <c r="G152" s="1">
        <v>5.1620638213815802E-2</v>
      </c>
      <c r="H152">
        <v>0.74745250601591895</v>
      </c>
      <c r="I152" s="1">
        <v>4.5082690898135401E-5</v>
      </c>
    </row>
    <row r="153" spans="1:9" x14ac:dyDescent="0.25">
      <c r="A153">
        <v>2.6840543746948198</v>
      </c>
      <c r="B153">
        <v>2.6616764482150699</v>
      </c>
      <c r="C153" s="1">
        <v>10.084182550781399</v>
      </c>
      <c r="D153" s="1">
        <v>2.7490980216121499</v>
      </c>
      <c r="E153" s="1">
        <v>-2.3642463785306399E-2</v>
      </c>
      <c r="F153" s="1">
        <v>-4.9550804613753604E-4</v>
      </c>
      <c r="G153" s="1">
        <v>9.9078366193177003E-2</v>
      </c>
      <c r="H153">
        <v>0.86362893685275899</v>
      </c>
      <c r="I153" s="1">
        <v>2.87534253873572E-4</v>
      </c>
    </row>
    <row r="154" spans="1:9" x14ac:dyDescent="0.25">
      <c r="A154">
        <v>3.9255237579345699</v>
      </c>
      <c r="B154">
        <v>3.8487033028195499</v>
      </c>
      <c r="C154" s="1">
        <v>10.4324275740509</v>
      </c>
      <c r="D154" s="1">
        <v>4.2088408506750703</v>
      </c>
      <c r="E154" s="1">
        <v>-5.8865847618545498E-2</v>
      </c>
      <c r="F154" s="1">
        <v>-6.6549400004200599E-4</v>
      </c>
      <c r="G154" s="1">
        <v>0.13874368995539699</v>
      </c>
      <c r="H154">
        <v>0.89535525649967296</v>
      </c>
      <c r="I154" s="1">
        <v>7.6711796259536105E-4</v>
      </c>
    </row>
    <row r="155" spans="1:9" x14ac:dyDescent="0.25">
      <c r="A155">
        <v>5.2789807319641104</v>
      </c>
      <c r="B155">
        <v>5.0761162903199804</v>
      </c>
      <c r="C155" s="1">
        <v>10.985817058099199</v>
      </c>
      <c r="D155" s="1">
        <v>5.8370236526566801</v>
      </c>
      <c r="E155" s="1">
        <v>-0.117168333000803</v>
      </c>
      <c r="F155" s="1">
        <v>-7.9776848208729404E-4</v>
      </c>
      <c r="G155" s="1">
        <v>0.159125025179673</v>
      </c>
      <c r="H155">
        <v>0.89838912430334605</v>
      </c>
      <c r="I155" s="1">
        <v>1.6914675703796299E-3</v>
      </c>
    </row>
    <row r="156" spans="1:9" x14ac:dyDescent="0.25">
      <c r="A156">
        <v>6.7539703845977703</v>
      </c>
      <c r="B156">
        <v>6.3055802177677798</v>
      </c>
      <c r="C156" s="1">
        <v>11.6489607211406</v>
      </c>
      <c r="D156" s="1">
        <v>7.4505491651328803</v>
      </c>
      <c r="E156" s="1">
        <v>-0.19867358418132799</v>
      </c>
      <c r="F156" s="1">
        <v>-8.7769642056467702E-4</v>
      </c>
      <c r="G156" s="1">
        <v>0.16252277658779801</v>
      </c>
      <c r="H156">
        <v>0.88707494270327802</v>
      </c>
      <c r="I156" s="1">
        <v>3.9609640105914001E-3</v>
      </c>
    </row>
    <row r="157" spans="1:9" x14ac:dyDescent="0.25">
      <c r="A157">
        <v>8.3618009090423495</v>
      </c>
      <c r="B157">
        <v>7.4926944676826599</v>
      </c>
      <c r="C157" s="1">
        <v>12.2381738405238</v>
      </c>
      <c r="D157" s="1">
        <v>8.8063725629946497</v>
      </c>
      <c r="E157" s="1">
        <v>-0.29661486423491901</v>
      </c>
      <c r="F157" s="1">
        <v>-9.0399820833632599E-4</v>
      </c>
      <c r="G157" s="1">
        <v>0.15852111048047199</v>
      </c>
      <c r="H157">
        <v>0.86832010163880602</v>
      </c>
      <c r="I157" s="1">
        <v>8.4940551592367006E-3</v>
      </c>
    </row>
    <row r="158" spans="1:9" x14ac:dyDescent="0.25">
      <c r="A158">
        <v>10.114449262619001</v>
      </c>
      <c r="B158">
        <v>8.5978138674090498</v>
      </c>
      <c r="C158" s="1">
        <v>12.580974208685801</v>
      </c>
      <c r="D158" s="1">
        <v>9.7189052107717693</v>
      </c>
      <c r="E158" s="1">
        <v>-0.39978218303278401</v>
      </c>
      <c r="F158" s="1">
        <v>-8.8856128019906095E-4</v>
      </c>
      <c r="G158" s="1">
        <v>0.15435546280600901</v>
      </c>
      <c r="H158">
        <v>0.84699205230372998</v>
      </c>
      <c r="I158" s="1">
        <v>1.32079103879534E-2</v>
      </c>
    </row>
    <row r="159" spans="1:9" x14ac:dyDescent="0.25">
      <c r="A159">
        <v>12.0248043537139</v>
      </c>
      <c r="B159">
        <v>9.5952802937517792</v>
      </c>
      <c r="C159">
        <v>12.597856045977</v>
      </c>
      <c r="D159" s="1">
        <v>10.133532010714699</v>
      </c>
      <c r="E159" s="1">
        <v>-0.49760608187132799</v>
      </c>
      <c r="F159" s="1">
        <v>-8.6366007505924E-4</v>
      </c>
      <c r="G159" s="1">
        <v>0.15114746749181801</v>
      </c>
      <c r="H159">
        <v>0.82529317594296103</v>
      </c>
      <c r="I159" s="1">
        <v>1.36964725963452E-2</v>
      </c>
    </row>
    <row r="160" spans="1:9" x14ac:dyDescent="0.25">
      <c r="A160">
        <v>14.106971025466899</v>
      </c>
      <c r="B160">
        <v>10.4761043790767</v>
      </c>
      <c r="C160">
        <v>12.3078245484066</v>
      </c>
      <c r="D160" s="1">
        <v>10.1108766702436</v>
      </c>
      <c r="E160" s="1">
        <v>-0.58360299593031895</v>
      </c>
      <c r="F160" s="1">
        <v>-8.64958937054735E-4</v>
      </c>
      <c r="G160" s="1">
        <v>0.14687016705091599</v>
      </c>
      <c r="H160">
        <v>0.80322770661883602</v>
      </c>
      <c r="I160" s="1">
        <v>8.8372139231453501E-3</v>
      </c>
    </row>
    <row r="161" spans="1:9" x14ac:dyDescent="0.25">
      <c r="A161">
        <v>16.3765740394592</v>
      </c>
      <c r="B161">
        <v>11.244405102361201</v>
      </c>
      <c r="C161">
        <v>11.784010688279499</v>
      </c>
      <c r="D161" s="1">
        <v>9.7651670020544792</v>
      </c>
      <c r="E161" s="1">
        <v>-0.65556598426101698</v>
      </c>
      <c r="F161" s="1">
        <v>-9.1621006595892201E-4</v>
      </c>
      <c r="G161" s="1">
        <v>0.140069623018415</v>
      </c>
      <c r="H161">
        <v>0.78027093259355096</v>
      </c>
      <c r="I161" s="1">
        <v>1.33332573128279E-3</v>
      </c>
    </row>
    <row r="162" spans="1:9" x14ac:dyDescent="0.25">
      <c r="A162">
        <v>18.850514888763399</v>
      </c>
      <c r="B162">
        <v>11.9115281797985</v>
      </c>
      <c r="C162">
        <v>11.1095244668831</v>
      </c>
      <c r="D162">
        <v>9.2123015543849096</v>
      </c>
      <c r="E162">
        <v>-0.71404673843799205</v>
      </c>
      <c r="F162" s="1">
        <v>-1.02615460544488E-3</v>
      </c>
      <c r="G162">
        <v>0.130892332223494</v>
      </c>
      <c r="H162">
        <v>0.75625369200819703</v>
      </c>
      <c r="I162" s="1">
        <v>-5.8581370731184404E-3</v>
      </c>
    </row>
    <row r="163" spans="1:9" x14ac:dyDescent="0.25">
      <c r="A163">
        <v>21.5470933914184</v>
      </c>
      <c r="B163">
        <v>12.491257371757399</v>
      </c>
      <c r="C163">
        <v>10.3548199484066</v>
      </c>
      <c r="D163">
        <v>8.5456190709689697</v>
      </c>
      <c r="E163">
        <v>-0.76079758255138197</v>
      </c>
      <c r="F163">
        <v>-1.1698125680008301E-3</v>
      </c>
      <c r="G163">
        <v>0.12033106758680701</v>
      </c>
      <c r="H163">
        <v>0.73139866287211097</v>
      </c>
      <c r="I163" s="1">
        <v>-1.13253621214139E-2</v>
      </c>
    </row>
    <row r="164" spans="1:9" x14ac:dyDescent="0.25">
      <c r="A164">
        <v>24.4862508773803</v>
      </c>
      <c r="B164">
        <v>12.9971023783127</v>
      </c>
      <c r="C164">
        <v>9.57218815310625</v>
      </c>
      <c r="D164">
        <v>7.8320400831674597</v>
      </c>
      <c r="E164">
        <v>-0.79782434039551398</v>
      </c>
      <c r="F164">
        <v>-1.3009222803361E-3</v>
      </c>
      <c r="G164">
        <v>0.10938581391525</v>
      </c>
      <c r="H164">
        <v>0.706166563869153</v>
      </c>
      <c r="I164">
        <v>-1.48892309468999E-2</v>
      </c>
    </row>
    <row r="165" spans="1:9" x14ac:dyDescent="0.25">
      <c r="A165">
        <v>27.690056562423699</v>
      </c>
      <c r="B165">
        <v>13.441203073043599</v>
      </c>
      <c r="C165">
        <v>8.7978151255811099</v>
      </c>
      <c r="D165">
        <v>7.1163457168952</v>
      </c>
      <c r="E165">
        <v>-0.826974252619738</v>
      </c>
      <c r="F165">
        <v>-1.41411819384814E-3</v>
      </c>
      <c r="G165">
        <v>9.8709280029033494E-2</v>
      </c>
      <c r="H165">
        <v>0.68111681090689302</v>
      </c>
      <c r="I165">
        <v>-1.6861097793924199E-2</v>
      </c>
    </row>
    <row r="166" spans="1:9" x14ac:dyDescent="0.25">
      <c r="A166">
        <v>31.182160377502399</v>
      </c>
      <c r="B166">
        <v>13.834073491771001</v>
      </c>
      <c r="C166">
        <v>8.0555772965453798</v>
      </c>
      <c r="D166">
        <v>6.4271680412904697</v>
      </c>
      <c r="E166">
        <v>-0.84981584748221795</v>
      </c>
      <c r="F166">
        <v>-1.5199343394406001E-3</v>
      </c>
      <c r="G166">
        <v>8.8610272554968103E-2</v>
      </c>
      <c r="H166">
        <v>0.65679239911444798</v>
      </c>
      <c r="I166" s="1">
        <v>-1.7620038508898699E-2</v>
      </c>
    </row>
    <row r="167" spans="1:9" x14ac:dyDescent="0.25">
      <c r="A167">
        <v>34.988522529602001</v>
      </c>
      <c r="B167">
        <v>14.1846602544228</v>
      </c>
      <c r="C167">
        <v>7.3602771446530797</v>
      </c>
      <c r="D167">
        <v>5.7817824890954803</v>
      </c>
      <c r="E167">
        <v>-0.86761815821079702</v>
      </c>
      <c r="F167">
        <v>-1.62643822675202E-3</v>
      </c>
      <c r="G167">
        <v>7.9175877244921603E-2</v>
      </c>
      <c r="H167">
        <v>0.63363822708274997</v>
      </c>
      <c r="I167">
        <v>-1.7481450371540301E-2</v>
      </c>
    </row>
    <row r="168" spans="1:9" x14ac:dyDescent="0.25">
      <c r="A168">
        <v>39.137535095214801</v>
      </c>
      <c r="B168">
        <v>14.500509756062399</v>
      </c>
      <c r="C168">
        <v>6.7201157171439201</v>
      </c>
      <c r="D168">
        <v>5.1896658327663401</v>
      </c>
      <c r="E168">
        <v>-0.881364231141055</v>
      </c>
      <c r="F168">
        <v>-1.74810269438862E-3</v>
      </c>
      <c r="G168">
        <v>7.0410907693313804E-2</v>
      </c>
      <c r="H168">
        <v>0.61202522565754103</v>
      </c>
      <c r="I168">
        <v>-1.6700372503187899E-2</v>
      </c>
    </row>
    <row r="169" spans="1:9" x14ac:dyDescent="0.25">
      <c r="A169">
        <v>43.659839630126903</v>
      </c>
      <c r="B169">
        <v>14.787961956490101</v>
      </c>
      <c r="C169">
        <v>6.1385874720144704</v>
      </c>
      <c r="D169">
        <v>4.6550132919799596</v>
      </c>
      <c r="E169">
        <v>-0.89180192302965899</v>
      </c>
      <c r="F169" s="1">
        <v>-1.80482607091067E-3</v>
      </c>
      <c r="G169">
        <v>6.2310543787698201E-2</v>
      </c>
      <c r="H169">
        <v>0.59218949071382299</v>
      </c>
      <c r="I169">
        <v>-1.5493547226145399E-2</v>
      </c>
    </row>
    <row r="170" spans="1:9" x14ac:dyDescent="0.25">
      <c r="A170">
        <v>48.589299917220998</v>
      </c>
      <c r="B170">
        <v>15.0523066468576</v>
      </c>
      <c r="C170">
        <v>5.61597864634677</v>
      </c>
      <c r="D170">
        <v>4.1785292954958404</v>
      </c>
      <c r="E170">
        <v>-0.89948564989017399</v>
      </c>
      <c r="F170">
        <v>-1.7595038463221601E-3</v>
      </c>
      <c r="G170">
        <v>5.4879373932040697E-2</v>
      </c>
      <c r="H170">
        <v>0.57416253152818097</v>
      </c>
      <c r="I170">
        <v>-1.4044237391099199E-2</v>
      </c>
    </row>
    <row r="171" spans="1:9" x14ac:dyDescent="0.25">
      <c r="A171">
        <v>53.962393999099703</v>
      </c>
      <c r="B171">
        <v>15.297939241308899</v>
      </c>
      <c r="C171">
        <v>5.1502794300176902</v>
      </c>
      <c r="D171">
        <v>3.75845107990328</v>
      </c>
      <c r="E171">
        <v>-0.90482619905374395</v>
      </c>
      <c r="F171">
        <v>-1.62966891252641E-3</v>
      </c>
      <c r="G171">
        <v>4.81422645852475E-2</v>
      </c>
      <c r="H171">
        <v>0.55786368081484095</v>
      </c>
      <c r="I171">
        <v>-1.25093962663245E-2</v>
      </c>
    </row>
    <row r="172" spans="1:9" x14ac:dyDescent="0.25">
      <c r="A172">
        <v>59.819004535674999</v>
      </c>
      <c r="B172">
        <v>15.5285160936455</v>
      </c>
      <c r="C172">
        <v>4.7380843114297004</v>
      </c>
      <c r="D172">
        <v>3.3914639126016799</v>
      </c>
      <c r="E172">
        <v>-0.90812574329182805</v>
      </c>
      <c r="F172">
        <v>-1.4178914227381599E-3</v>
      </c>
      <c r="G172">
        <v>4.2111493382628901E-2</v>
      </c>
      <c r="H172">
        <v>0.54304453840906197</v>
      </c>
      <c r="I172">
        <v>-1.10055383628559E-2</v>
      </c>
    </row>
    <row r="173" spans="1:9" x14ac:dyDescent="0.25">
      <c r="A173">
        <v>66.2026619911193</v>
      </c>
      <c r="B173">
        <v>15.7471043517853</v>
      </c>
      <c r="C173">
        <v>4.3748276908445396</v>
      </c>
      <c r="D173">
        <v>3.07300998475566</v>
      </c>
      <c r="E173">
        <v>-0.90964296165619096</v>
      </c>
      <c r="F173" s="1">
        <v>-1.12753321783793E-3</v>
      </c>
      <c r="G173">
        <v>3.6792222695050197E-2</v>
      </c>
      <c r="H173">
        <v>0.52955935366031703</v>
      </c>
      <c r="I173">
        <v>-9.6164013057801999E-3</v>
      </c>
    </row>
    <row r="174" spans="1:9" x14ac:dyDescent="0.25">
      <c r="A174">
        <v>73.160848617553697</v>
      </c>
      <c r="B174">
        <v>15.956295951646</v>
      </c>
      <c r="C174">
        <v>4.05536392445355</v>
      </c>
      <c r="D174">
        <v>2.7978093914934798</v>
      </c>
      <c r="E174">
        <v>-0.909609039392277</v>
      </c>
      <c r="F174">
        <v>-7.33669474916941E-4</v>
      </c>
      <c r="G174">
        <v>3.2157801474580701E-2</v>
      </c>
      <c r="H174">
        <v>0.51719476400702502</v>
      </c>
      <c r="I174">
        <v>-8.3838254872068505E-3</v>
      </c>
    </row>
    <row r="175" spans="1:9" x14ac:dyDescent="0.25">
      <c r="A175">
        <v>80.745424032211304</v>
      </c>
      <c r="B175">
        <v>16.1582634266505</v>
      </c>
      <c r="C175">
        <v>3.7743074970421699</v>
      </c>
      <c r="D175">
        <v>2.56037117210189</v>
      </c>
      <c r="E175">
        <v>-0.90821506782233297</v>
      </c>
      <c r="F175">
        <v>-2.8434183535206299E-4</v>
      </c>
      <c r="G175">
        <v>2.81544836928001E-2</v>
      </c>
      <c r="H175">
        <v>0.50576105554975503</v>
      </c>
      <c r="I175">
        <v>-7.3166984712659299E-3</v>
      </c>
    </row>
    <row r="176" spans="1:9" x14ac:dyDescent="0.25">
      <c r="A176">
        <v>89.012442827224703</v>
      </c>
      <c r="B176">
        <v>16.354771782089301</v>
      </c>
      <c r="C176">
        <v>3.5267199909867402</v>
      </c>
      <c r="D176">
        <v>2.35551719719769</v>
      </c>
      <c r="E176">
        <v>-0.90560021163465798</v>
      </c>
      <c r="F176">
        <v>2.0760705682715399E-4</v>
      </c>
      <c r="G176">
        <v>2.4709823891092199E-2</v>
      </c>
      <c r="H176">
        <v>0.49500361145907801</v>
      </c>
      <c r="I176">
        <v>-6.4024136010763996E-3</v>
      </c>
    </row>
    <row r="177" spans="1:9" x14ac:dyDescent="0.25">
      <c r="A177">
        <v>98.0235528945922</v>
      </c>
      <c r="B177">
        <v>16.547314575318499</v>
      </c>
      <c r="C177">
        <v>3.3079153977268998</v>
      </c>
      <c r="D177">
        <v>2.17832710434039</v>
      </c>
      <c r="E177">
        <v>-0.90184282689265804</v>
      </c>
      <c r="F177">
        <v>6.0421414115147999E-4</v>
      </c>
      <c r="G177">
        <v>2.1759540859833799E-2</v>
      </c>
      <c r="H177">
        <v>0.48483911659649698</v>
      </c>
      <c r="I177">
        <v>-5.6279776676320999E-3</v>
      </c>
    </row>
    <row r="178" spans="1:9" x14ac:dyDescent="0.25">
      <c r="A178">
        <v>107.845630645751</v>
      </c>
      <c r="B178">
        <v>16.7372697074006</v>
      </c>
      <c r="C178">
        <v>3.1136652149143602</v>
      </c>
      <c r="D178">
        <v>2.02441966172599</v>
      </c>
      <c r="E178">
        <v>-0.89694510136411199</v>
      </c>
      <c r="F178">
        <v>8.4220681682113099E-4</v>
      </c>
      <c r="G178">
        <v>1.92339742124829E-2</v>
      </c>
      <c r="H178">
        <v>0.47510631670836101</v>
      </c>
      <c r="I178">
        <v>-4.9730497693512704E-3</v>
      </c>
    </row>
    <row r="179" spans="1:9" x14ac:dyDescent="0.25">
      <c r="A179">
        <v>118.551753759384</v>
      </c>
      <c r="B179">
        <v>16.925885648843099</v>
      </c>
      <c r="C179">
        <v>2.9402384249806301</v>
      </c>
      <c r="D179">
        <v>1.89010665069493</v>
      </c>
      <c r="E179">
        <v>-0.89094446953480899</v>
      </c>
      <c r="F179">
        <v>7.9580785894658697E-4</v>
      </c>
      <c r="G179">
        <v>1.70694943502053E-2</v>
      </c>
      <c r="H179">
        <v>0.465684075525504</v>
      </c>
      <c r="I179">
        <v>-4.4180195832355896E-3</v>
      </c>
    </row>
    <row r="180" spans="1:9" x14ac:dyDescent="0.25">
      <c r="A180">
        <v>130.22150516510001</v>
      </c>
      <c r="B180">
        <v>17.114282389547899</v>
      </c>
      <c r="C180">
        <v>2.7840790644404398</v>
      </c>
      <c r="D180">
        <v>1.77206119292728</v>
      </c>
      <c r="E180">
        <v>-0.88383588570133798</v>
      </c>
      <c r="F180">
        <v>4.3046074220476501E-4</v>
      </c>
      <c r="G180">
        <v>1.5215894216852301E-2</v>
      </c>
      <c r="H180">
        <v>0.456697783069061</v>
      </c>
      <c r="I180">
        <v>-3.9462924587220904E-3</v>
      </c>
    </row>
    <row r="181" spans="1:9" x14ac:dyDescent="0.25">
      <c r="A181">
        <v>142.941337823867</v>
      </c>
      <c r="B181">
        <v>17.303567332592099</v>
      </c>
      <c r="C181">
        <v>2.64306543049315</v>
      </c>
      <c r="D181">
        <v>1.66770032336431</v>
      </c>
      <c r="E181">
        <v>-0.87547408898145596</v>
      </c>
      <c r="F181" s="1">
        <v>4.1950770847901999E-5</v>
      </c>
      <c r="G181">
        <v>1.36246001643317E-2</v>
      </c>
      <c r="H181">
        <v>0.44783305547445201</v>
      </c>
      <c r="I181">
        <v>-3.5419318630139098E-3</v>
      </c>
    </row>
    <row r="182" spans="1:9" x14ac:dyDescent="0.25">
      <c r="A182">
        <v>156.806094646453</v>
      </c>
      <c r="B182">
        <v>17.494913190048401</v>
      </c>
      <c r="C182">
        <v>2.5147734972051601</v>
      </c>
      <c r="D182">
        <v>1.57469493789653</v>
      </c>
      <c r="E182">
        <v>-0.86603097142638397</v>
      </c>
      <c r="F182">
        <v>-2.5404811563988102E-4</v>
      </c>
      <c r="G182">
        <v>1.22567901697822E-2</v>
      </c>
      <c r="H182">
        <v>0.43897118760506298</v>
      </c>
      <c r="I182">
        <v>-3.1963822130379898E-3</v>
      </c>
    </row>
    <row r="183" spans="1:9" x14ac:dyDescent="0.25">
      <c r="A183">
        <v>171.91864371299701</v>
      </c>
      <c r="B183">
        <v>17.6891187503042</v>
      </c>
      <c r="C183">
        <v>2.3994916306946799</v>
      </c>
      <c r="D183">
        <v>1.4921559406325799</v>
      </c>
      <c r="E183">
        <v>-0.85518496481166295</v>
      </c>
      <c r="F183">
        <v>-5.3526204250044099E-4</v>
      </c>
      <c r="G183">
        <v>1.10739164091122E-2</v>
      </c>
      <c r="H183">
        <v>0.42782595560610798</v>
      </c>
      <c r="I183">
        <v>-2.9072697780613498E-3</v>
      </c>
    </row>
    <row r="184" spans="1:9" x14ac:dyDescent="0.25">
      <c r="A184">
        <v>187.726768255233</v>
      </c>
      <c r="B184">
        <v>17.878646524068198</v>
      </c>
      <c r="C184">
        <v>2.2992171034275</v>
      </c>
      <c r="D184">
        <v>1.4212961901952199</v>
      </c>
      <c r="E184">
        <v>-0.84333693895505801</v>
      </c>
      <c r="F184" s="1">
        <v>-7.7549597163041096E-4</v>
      </c>
      <c r="G184">
        <v>9.9661914479746601E-3</v>
      </c>
      <c r="H184">
        <v>0.43042996180939103</v>
      </c>
      <c r="I184">
        <v>-2.5615994538695798E-3</v>
      </c>
    </row>
    <row r="185" spans="1:9" x14ac:dyDescent="0.25">
      <c r="A185">
        <v>203.579578399658</v>
      </c>
      <c r="B185">
        <v>18.056802339297001</v>
      </c>
      <c r="C185">
        <v>2.21252890205505</v>
      </c>
      <c r="D185">
        <v>1.36122148633839</v>
      </c>
      <c r="E185">
        <v>-0.831003432422042</v>
      </c>
      <c r="F185">
        <v>-5.79610219557305E-4</v>
      </c>
      <c r="G185">
        <v>9.0639424890212299E-3</v>
      </c>
      <c r="H185">
        <v>0.43144571578080498</v>
      </c>
      <c r="I185">
        <v>-2.2858675591136799E-3</v>
      </c>
    </row>
    <row r="186" spans="1:9" x14ac:dyDescent="0.25">
      <c r="A186">
        <v>219.43238854408199</v>
      </c>
      <c r="B186">
        <v>18.2246915804262</v>
      </c>
      <c r="C186">
        <v>2.1353761804675702</v>
      </c>
      <c r="D186">
        <v>1.3086245366198299</v>
      </c>
      <c r="E186">
        <v>-0.818455875300927</v>
      </c>
      <c r="F186" s="1">
        <v>2.90603465615406E-5</v>
      </c>
      <c r="G186">
        <v>8.3271345820656595E-3</v>
      </c>
      <c r="H186">
        <v>0.432188380687895</v>
      </c>
      <c r="I186">
        <v>-2.0651061250423499E-3</v>
      </c>
    </row>
    <row r="187" spans="1:9" x14ac:dyDescent="0.25">
      <c r="A187">
        <v>235.28525948524401</v>
      </c>
      <c r="B187">
        <v>18.383657950353101</v>
      </c>
      <c r="C187">
        <v>2.06548583773837</v>
      </c>
      <c r="D187">
        <v>1.26171448553194</v>
      </c>
      <c r="E187">
        <v>-0.80540682144251496</v>
      </c>
      <c r="F187">
        <v>5.7742919793508202E-4</v>
      </c>
      <c r="G187">
        <v>7.7046970300705996E-3</v>
      </c>
      <c r="H187">
        <v>0.43271002560980398</v>
      </c>
      <c r="I187">
        <v>-1.8798835690907801E-3</v>
      </c>
    </row>
    <row r="188" spans="1:9" x14ac:dyDescent="0.25">
      <c r="A188">
        <v>251.13806962966899</v>
      </c>
      <c r="B188">
        <v>18.5347835597622</v>
      </c>
      <c r="C188">
        <v>2.0010796555652601</v>
      </c>
      <c r="D188">
        <v>1.21914899894377</v>
      </c>
      <c r="E188">
        <v>-0.79209462106416195</v>
      </c>
      <c r="F188">
        <v>8.4523018531382601E-4</v>
      </c>
      <c r="G188">
        <v>7.1686763505762301E-3</v>
      </c>
      <c r="H188">
        <v>0.43320061123208098</v>
      </c>
      <c r="I188">
        <v>-1.7225276030952E-3</v>
      </c>
    </row>
    <row r="189" spans="1:9" x14ac:dyDescent="0.25">
      <c r="A189">
        <v>266.99081897735499</v>
      </c>
      <c r="B189">
        <v>18.679123089559599</v>
      </c>
      <c r="C189">
        <v>1.9409989651649</v>
      </c>
      <c r="D189">
        <v>1.1798610831262299</v>
      </c>
      <c r="E189">
        <v>-0.77841691391548096</v>
      </c>
      <c r="F189">
        <v>1.26529616031626E-3</v>
      </c>
      <c r="G189">
        <v>6.6974000621651203E-3</v>
      </c>
      <c r="H189">
        <v>0.43355585517955703</v>
      </c>
      <c r="I189">
        <v>-1.58611938664145E-3</v>
      </c>
    </row>
    <row r="190" spans="1:9" x14ac:dyDescent="0.25">
      <c r="A190">
        <v>282.84362912178</v>
      </c>
      <c r="B190">
        <v>18.817575488383198</v>
      </c>
      <c r="C190">
        <v>1.8840192159132101</v>
      </c>
      <c r="D190">
        <v>1.14311796967168</v>
      </c>
      <c r="E190">
        <v>-0.76453485340406402</v>
      </c>
      <c r="F190">
        <v>1.5330143269143E-3</v>
      </c>
      <c r="G190">
        <v>6.2789579491153002E-3</v>
      </c>
      <c r="H190">
        <v>0.43409794170969002</v>
      </c>
      <c r="I190">
        <v>-1.46546241612095E-3</v>
      </c>
    </row>
    <row r="191" spans="1:9" x14ac:dyDescent="0.25">
      <c r="A191">
        <v>298.69643926620398</v>
      </c>
      <c r="B191">
        <v>18.950613949591499</v>
      </c>
      <c r="C191">
        <v>1.8298412782314699</v>
      </c>
      <c r="D191">
        <v>1.1085822292401999</v>
      </c>
      <c r="E191">
        <v>-0.75043148948778104</v>
      </c>
      <c r="F191">
        <v>1.33692839538043E-3</v>
      </c>
      <c r="G191">
        <v>5.9017704130096002E-3</v>
      </c>
      <c r="H191">
        <v>0.43455161179095497</v>
      </c>
      <c r="I191">
        <v>-1.35738296573658E-3</v>
      </c>
    </row>
    <row r="192" spans="1:9" x14ac:dyDescent="0.25">
      <c r="A192">
        <v>314.54931020736598</v>
      </c>
      <c r="B192">
        <v>19.078678596442799</v>
      </c>
      <c r="C192">
        <v>1.7783177755063599</v>
      </c>
      <c r="D192">
        <v>1.0760896333969201</v>
      </c>
      <c r="E192">
        <v>-0.73611844781535296</v>
      </c>
      <c r="F192">
        <v>1.04944097546776E-3</v>
      </c>
      <c r="G192">
        <v>5.5561242486896504E-3</v>
      </c>
      <c r="H192">
        <v>0.43484701957843103</v>
      </c>
      <c r="I192">
        <v>-1.2591216723175701E-3</v>
      </c>
    </row>
    <row r="193" spans="1:9" x14ac:dyDescent="0.25">
      <c r="A193">
        <v>330.40212035179098</v>
      </c>
      <c r="B193">
        <v>19.202069969060101</v>
      </c>
      <c r="C193">
        <v>1.7287283838413701</v>
      </c>
      <c r="D193">
        <v>1.04523074128405</v>
      </c>
      <c r="E193">
        <v>-0.72164404293506401</v>
      </c>
      <c r="F193">
        <v>8.1945021949508302E-4</v>
      </c>
      <c r="G193">
        <v>5.2355347744462502E-3</v>
      </c>
      <c r="H193">
        <v>0.43497066865246498</v>
      </c>
      <c r="I193">
        <v>-1.16900127052672E-3</v>
      </c>
    </row>
    <row r="194" spans="1:9" x14ac:dyDescent="0.25">
      <c r="A194">
        <v>346.25493049621502</v>
      </c>
      <c r="B194">
        <v>19.321195981492501</v>
      </c>
      <c r="C194">
        <v>1.68021995114031</v>
      </c>
      <c r="D194">
        <v>1.01527485314528</v>
      </c>
      <c r="E194">
        <v>-0.70697595349002296</v>
      </c>
      <c r="F194">
        <v>4.9762037243098801E-4</v>
      </c>
      <c r="G194">
        <v>4.94211849701449E-3</v>
      </c>
      <c r="H194">
        <v>0.43541318763017101</v>
      </c>
      <c r="I194">
        <v>-1.08817201909911E-3</v>
      </c>
    </row>
    <row r="195" spans="1:9" x14ac:dyDescent="0.25">
      <c r="A195">
        <v>362.10780143737702</v>
      </c>
      <c r="B195">
        <v>19.436539757034499</v>
      </c>
      <c r="C195">
        <v>1.6330420477515799</v>
      </c>
      <c r="D195">
        <v>0.986235387303387</v>
      </c>
      <c r="E195">
        <v>-0.69214001178120199</v>
      </c>
      <c r="F195">
        <v>2.3087431441272399E-4</v>
      </c>
      <c r="G195">
        <v>4.6676135374602102E-3</v>
      </c>
      <c r="H195">
        <v>0.43574432106526201</v>
      </c>
      <c r="I195">
        <v>-1.0117509307059501E-3</v>
      </c>
    </row>
    <row r="196" spans="1:9" x14ac:dyDescent="0.25">
      <c r="A196">
        <v>377.96061158180203</v>
      </c>
      <c r="B196">
        <v>19.5482787097989</v>
      </c>
      <c r="C196">
        <v>1.5868203181525999</v>
      </c>
      <c r="D196">
        <v>0.95791813967414396</v>
      </c>
      <c r="E196">
        <v>-0.67715582898695903</v>
      </c>
      <c r="F196" s="1">
        <v>1.84644648923413E-4</v>
      </c>
      <c r="G196">
        <v>4.4098255256006299E-3</v>
      </c>
      <c r="H196">
        <v>0.43594214779219398</v>
      </c>
      <c r="I196">
        <v>-9.4044761282074398E-4</v>
      </c>
    </row>
    <row r="197" spans="1:9" x14ac:dyDescent="0.25">
      <c r="A197">
        <v>393.81348252296402</v>
      </c>
      <c r="B197">
        <v>19.656520907619701</v>
      </c>
      <c r="C197">
        <v>1.5413027081194699</v>
      </c>
      <c r="D197">
        <v>0.93018504556182502</v>
      </c>
      <c r="E197">
        <v>-0.66207569673600797</v>
      </c>
      <c r="F197" s="1">
        <v>4.1591200112141503E-4</v>
      </c>
      <c r="G197">
        <v>4.1657433194898204E-3</v>
      </c>
      <c r="H197">
        <v>0.43614914460684601</v>
      </c>
      <c r="I197">
        <v>-8.7324914229526898E-4</v>
      </c>
    </row>
    <row r="198" spans="1:9" x14ac:dyDescent="0.25">
      <c r="A198">
        <v>409.66629266738801</v>
      </c>
      <c r="B198">
        <v>19.7614268955931</v>
      </c>
      <c r="C198">
        <v>1.49642037881676</v>
      </c>
      <c r="D198">
        <v>0.90310569791486806</v>
      </c>
      <c r="E198">
        <v>-0.64684782789274098</v>
      </c>
      <c r="F198">
        <v>7.22144418846061E-4</v>
      </c>
      <c r="G198">
        <v>3.9350484068981697E-3</v>
      </c>
      <c r="H198">
        <v>0.436376006286117</v>
      </c>
      <c r="I198">
        <v>-8.1042982133211396E-4</v>
      </c>
    </row>
    <row r="199" spans="1:9" x14ac:dyDescent="0.25">
      <c r="A199">
        <v>425.519042015075</v>
      </c>
      <c r="B199">
        <v>19.863090930184601</v>
      </c>
      <c r="C199">
        <v>1.4523887177347199</v>
      </c>
      <c r="D199">
        <v>0.876799152535366</v>
      </c>
      <c r="E199">
        <v>-0.63148560631848805</v>
      </c>
      <c r="F199" s="1">
        <v>7.6529709020976995E-4</v>
      </c>
      <c r="G199">
        <v>3.7176341472440599E-3</v>
      </c>
      <c r="H199">
        <v>0.43660679936693497</v>
      </c>
      <c r="I199">
        <v>-7.5189693964263296E-4</v>
      </c>
    </row>
    <row r="200" spans="1:9" x14ac:dyDescent="0.25">
      <c r="A200">
        <v>441.371912956237</v>
      </c>
      <c r="B200">
        <v>19.9618199339874</v>
      </c>
      <c r="C200">
        <v>1.4093788757236301</v>
      </c>
      <c r="D200">
        <v>0.85123201640030599</v>
      </c>
      <c r="E200">
        <v>-0.61599379916800301</v>
      </c>
      <c r="F200">
        <v>6.4077372202203198E-4</v>
      </c>
      <c r="G200">
        <v>3.5125230661751999E-3</v>
      </c>
      <c r="H200">
        <v>0.43695934063847103</v>
      </c>
      <c r="I200">
        <v>-6.9772895024918901E-4</v>
      </c>
    </row>
    <row r="201" spans="1:9" x14ac:dyDescent="0.25">
      <c r="A201">
        <v>457.22478389739899</v>
      </c>
      <c r="B201">
        <v>20.057739552603302</v>
      </c>
      <c r="C201">
        <v>1.3673269816990701</v>
      </c>
      <c r="D201">
        <v>0.82624149473667396</v>
      </c>
      <c r="E201">
        <v>-0.60037763898995899</v>
      </c>
      <c r="F201">
        <v>4.5328443183857502E-4</v>
      </c>
      <c r="G201">
        <v>3.3165259402201199E-3</v>
      </c>
      <c r="H201">
        <v>0.43700850140896502</v>
      </c>
      <c r="I201">
        <v>-6.46784946973402E-4</v>
      </c>
    </row>
    <row r="202" spans="1:9" x14ac:dyDescent="0.25">
      <c r="A202">
        <v>473.07753324508599</v>
      </c>
      <c r="B202">
        <v>20.150958198964801</v>
      </c>
      <c r="C202">
        <v>1.32591569099531</v>
      </c>
      <c r="D202">
        <v>0.80168378635995097</v>
      </c>
      <c r="E202">
        <v>-0.58465901243717899</v>
      </c>
      <c r="F202" s="1">
        <v>3.7690168333307498E-4</v>
      </c>
      <c r="G202">
        <v>3.1304120801564999E-3</v>
      </c>
      <c r="H202">
        <v>0.437127488467415</v>
      </c>
      <c r="I202">
        <v>-5.9885125256995298E-4</v>
      </c>
    </row>
    <row r="203" spans="1:9" x14ac:dyDescent="0.25">
      <c r="A203">
        <v>488.93034338951099</v>
      </c>
      <c r="B203">
        <v>20.241573420962499</v>
      </c>
      <c r="C203">
        <v>1.28500425066704</v>
      </c>
      <c r="D203">
        <v>0.77759756098482802</v>
      </c>
      <c r="E203">
        <v>-0.56881776587362498</v>
      </c>
      <c r="F203" s="1">
        <v>8.8708806800527298E-5</v>
      </c>
      <c r="G203">
        <v>2.95429508751347E-3</v>
      </c>
      <c r="H203">
        <v>0.43752966283220301</v>
      </c>
      <c r="I203">
        <v>-5.5400157327032697E-4</v>
      </c>
    </row>
    <row r="204" spans="1:9" x14ac:dyDescent="0.25">
      <c r="A204">
        <v>504.78321433067299</v>
      </c>
      <c r="B204">
        <v>20.3296978766138</v>
      </c>
      <c r="C204" s="1">
        <v>1.2445551660221099</v>
      </c>
      <c r="D204" s="1">
        <v>0.75377676403449301</v>
      </c>
      <c r="E204" s="1">
        <v>-0.55287632826801003</v>
      </c>
      <c r="F204" s="1">
        <v>-3.5464341184945198E-4</v>
      </c>
      <c r="G204" s="1">
        <v>2.7865291508769002E-3</v>
      </c>
      <c r="H204">
        <v>0.43790843956340603</v>
      </c>
      <c r="I204" s="1">
        <v>-5.1213321802421599E-4</v>
      </c>
    </row>
    <row r="205" spans="1:9" x14ac:dyDescent="0.25">
      <c r="A205">
        <v>520.63602447509697</v>
      </c>
      <c r="B205">
        <v>20.4154027527238</v>
      </c>
      <c r="C205" s="1">
        <v>1.20437646896789</v>
      </c>
      <c r="D205" s="1">
        <v>0.73010235923118705</v>
      </c>
      <c r="E205" s="1">
        <v>-0.53685412376656005</v>
      </c>
      <c r="F205" s="1">
        <v>-7.8577745393784996E-4</v>
      </c>
      <c r="G205" s="1">
        <v>2.6258394148048099E-3</v>
      </c>
      <c r="H205">
        <v>0.438275169074893</v>
      </c>
      <c r="I205" s="1">
        <v>-4.7193265659805901E-4</v>
      </c>
    </row>
    <row r="206" spans="1:9" x14ac:dyDescent="0.25">
      <c r="A206">
        <v>536.48889541625897</v>
      </c>
      <c r="B206">
        <v>20.498540629077901</v>
      </c>
      <c r="C206" s="1">
        <v>1.1648079773294699</v>
      </c>
      <c r="D206" s="1">
        <v>0.70686573596636004</v>
      </c>
      <c r="E206" s="1">
        <v>-0.52076266084676104</v>
      </c>
      <c r="F206" s="1">
        <v>-1.07682946956373E-3</v>
      </c>
      <c r="G206" s="1">
        <v>2.4714579984381302E-3</v>
      </c>
      <c r="H206">
        <v>0.43840975217866401</v>
      </c>
      <c r="I206" s="1">
        <v>-4.3397465299422402E-4</v>
      </c>
    </row>
    <row r="207" spans="1:9" x14ac:dyDescent="0.25">
      <c r="A207">
        <v>552.34173595905304</v>
      </c>
      <c r="B207">
        <v>20.579087044488901</v>
      </c>
      <c r="C207" s="1">
        <v>1.1256149057317</v>
      </c>
      <c r="D207" s="1">
        <v>0.68370758391114395</v>
      </c>
      <c r="E207" s="1">
        <v>-0.50458837489170005</v>
      </c>
      <c r="F207" s="1">
        <v>-1.17845056760829E-3</v>
      </c>
      <c r="G207" s="1">
        <v>2.32396030865409E-3</v>
      </c>
      <c r="H207">
        <v>0.43844193895952999</v>
      </c>
      <c r="I207" s="1">
        <v>-3.9855539995001601E-4</v>
      </c>
    </row>
    <row r="208" spans="1:9" x14ac:dyDescent="0.25">
      <c r="A208">
        <v>568.19448530673901</v>
      </c>
      <c r="B208">
        <v>20.656998776275898</v>
      </c>
      <c r="C208" s="1">
        <v>1.08660741511812</v>
      </c>
      <c r="D208" s="1">
        <v>0.66046605306788897</v>
      </c>
      <c r="E208" s="1">
        <v>-0.48831933925489301</v>
      </c>
      <c r="F208" s="1">
        <v>-1.16217242874789E-3</v>
      </c>
      <c r="G208" s="1">
        <v>2.1823105657345901E-3</v>
      </c>
      <c r="H208">
        <v>0.43826412737244402</v>
      </c>
      <c r="I208" s="1">
        <v>-3.6503071184948899E-4</v>
      </c>
    </row>
    <row r="209" spans="1:9" x14ac:dyDescent="0.25">
      <c r="A209">
        <v>584.04732584953297</v>
      </c>
      <c r="B209">
        <v>20.732425203923398</v>
      </c>
      <c r="C209" s="1">
        <v>1.0477306236680299</v>
      </c>
      <c r="D209" s="1">
        <v>0.63723623121204498</v>
      </c>
      <c r="E209" s="1">
        <v>-0.47195008126155802</v>
      </c>
      <c r="F209" s="1">
        <v>-1.0694784868982401E-3</v>
      </c>
      <c r="G209" s="1">
        <v>2.04855383352559E-3</v>
      </c>
      <c r="H209">
        <v>0.438527184764963</v>
      </c>
      <c r="I209" s="1">
        <v>-3.3417049629768698E-4</v>
      </c>
    </row>
    <row r="210" spans="1:9" x14ac:dyDescent="0.25">
      <c r="A210">
        <v>599.90016639232601</v>
      </c>
      <c r="B210">
        <v>20.805555129800201</v>
      </c>
      <c r="C210" s="1">
        <v>1.0092692308262401</v>
      </c>
      <c r="D210" s="1">
        <v>0.61418650469471903</v>
      </c>
      <c r="E210" s="1">
        <v>-0.45548717519814802</v>
      </c>
      <c r="F210" s="1">
        <v>-8.2457112358078196E-4</v>
      </c>
      <c r="G210" s="1">
        <v>1.9209668547173801E-3</v>
      </c>
      <c r="H210">
        <v>0.43880071178108299</v>
      </c>
      <c r="I210" s="1">
        <v>-3.0510073616598298E-4</v>
      </c>
    </row>
    <row r="211" spans="1:9" x14ac:dyDescent="0.25">
      <c r="A211">
        <v>615.75300693511895</v>
      </c>
      <c r="B211">
        <v>20.876376560800001</v>
      </c>
      <c r="C211" s="1">
        <v>0.971272795823097</v>
      </c>
      <c r="D211" s="1">
        <v>0.59140047842486299</v>
      </c>
      <c r="E211" s="1">
        <v>-0.43896903462472597</v>
      </c>
      <c r="F211" s="1">
        <v>-4.2935675345142803E-4</v>
      </c>
      <c r="G211" s="1">
        <v>1.7989269135285E-3</v>
      </c>
      <c r="H211">
        <v>0.43901208063770703</v>
      </c>
      <c r="I211" s="1">
        <v>-2.7794179831663798E-4</v>
      </c>
    </row>
    <row r="212" spans="1:9" x14ac:dyDescent="0.25">
      <c r="A212">
        <v>631.60581707954395</v>
      </c>
      <c r="B212">
        <v>20.944807801306499</v>
      </c>
      <c r="C212" s="1">
        <v>0.93351924836042599</v>
      </c>
      <c r="D212" s="1">
        <v>0.56881077568049798</v>
      </c>
      <c r="E212" s="1">
        <v>-0.42236529299058001</v>
      </c>
      <c r="F212" s="1">
        <v>-1.4604582184069199E-4</v>
      </c>
      <c r="G212" s="1">
        <v>1.6824907807444899E-3</v>
      </c>
      <c r="H212">
        <v>0.43940982638691001</v>
      </c>
      <c r="I212" s="1">
        <v>-2.52573571079758E-4</v>
      </c>
    </row>
    <row r="213" spans="1:9" x14ac:dyDescent="0.25">
      <c r="A213">
        <v>647.45859682559899</v>
      </c>
      <c r="B213">
        <v>21.010860606938799</v>
      </c>
      <c r="C213" s="1">
        <v>0.89604253473680695</v>
      </c>
      <c r="D213" s="1">
        <v>0.546488844377505</v>
      </c>
      <c r="E213" s="1">
        <v>-0.405704854179253</v>
      </c>
      <c r="F213" s="1">
        <v>3.45887180521627E-5</v>
      </c>
      <c r="G213" s="1">
        <v>1.5719761633820101E-3</v>
      </c>
      <c r="H213">
        <v>0.440023057619086</v>
      </c>
      <c r="I213" s="1">
        <v>-2.28995135492505E-4</v>
      </c>
    </row>
    <row r="214" spans="1:9" x14ac:dyDescent="0.25">
      <c r="A214">
        <v>663.31143736839203</v>
      </c>
      <c r="B214">
        <v>21.074582593892</v>
      </c>
      <c r="C214" s="1">
        <v>0.85904266607030799</v>
      </c>
      <c r="D214" s="1">
        <v>0.524384555354933</v>
      </c>
      <c r="E214" s="1">
        <v>-0.38897980352477202</v>
      </c>
      <c r="F214" s="1">
        <v>1.9876557169279399E-4</v>
      </c>
      <c r="G214" s="1">
        <v>1.4667981083563101E-3</v>
      </c>
      <c r="H214">
        <v>0.44054415202670599</v>
      </c>
      <c r="I214" s="1">
        <v>-2.0713556172230401E-4</v>
      </c>
    </row>
    <row r="215" spans="1:9" x14ac:dyDescent="0.25">
      <c r="A215">
        <v>679.16427791118599</v>
      </c>
      <c r="B215">
        <v>21.1359764932694</v>
      </c>
      <c r="C215" s="1">
        <v>0.82239462062716395</v>
      </c>
      <c r="D215" s="1">
        <v>0.50222863663055095</v>
      </c>
      <c r="E215" s="1">
        <v>-0.372163492424602</v>
      </c>
      <c r="F215" s="1">
        <v>3.9071693943878598E-4</v>
      </c>
      <c r="G215" s="1">
        <v>1.3664936669059401E-3</v>
      </c>
      <c r="H215">
        <v>0.44093147343512001</v>
      </c>
      <c r="I215" s="1">
        <v>-1.8694460255149999E-4</v>
      </c>
    </row>
    <row r="216" spans="1:9" x14ac:dyDescent="0.25">
      <c r="A216">
        <v>695.01711845397904</v>
      </c>
      <c r="B216">
        <v>21.195126138072698</v>
      </c>
      <c r="C216" s="1">
        <v>0.78610549519453299</v>
      </c>
      <c r="D216" s="1">
        <v>0.48000390372087898</v>
      </c>
      <c r="E216" s="1">
        <v>-0.35527259230097002</v>
      </c>
      <c r="F216" s="1">
        <v>6.1393815440458999E-4</v>
      </c>
      <c r="G216" s="1">
        <v>1.2709674111781399E-3</v>
      </c>
      <c r="H216">
        <v>0.44126170926889302</v>
      </c>
      <c r="I216" s="1">
        <v>-1.6817260930716599E-4</v>
      </c>
    </row>
    <row r="217" spans="1:9" x14ac:dyDescent="0.25">
      <c r="A217">
        <v>710.86992859840302</v>
      </c>
      <c r="B217">
        <v>21.251982605926901</v>
      </c>
      <c r="C217" s="1">
        <v>0.75045336554921904</v>
      </c>
      <c r="D217" s="1">
        <v>0.45795344424775802</v>
      </c>
      <c r="E217" s="1">
        <v>-0.33833768523535901</v>
      </c>
      <c r="F217" s="1">
        <v>7.2082337081795901E-4</v>
      </c>
      <c r="G217" s="1">
        <v>1.18032122309959E-3</v>
      </c>
      <c r="H217">
        <v>0.44145195582199198</v>
      </c>
      <c r="I217" s="1">
        <v>-1.50687469527459E-4</v>
      </c>
    </row>
    <row r="218" spans="1:9" x14ac:dyDescent="0.25">
      <c r="A218">
        <v>726.72273874282803</v>
      </c>
      <c r="B218">
        <v>21.3065121736417</v>
      </c>
      <c r="C218" s="1">
        <v>0.71562570515197799</v>
      </c>
      <c r="D218" s="1">
        <v>0.43612284514847199</v>
      </c>
      <c r="E218" s="1">
        <v>-0.32133944522116697</v>
      </c>
      <c r="F218" s="1">
        <v>8.2768659307178797E-4</v>
      </c>
      <c r="G218" s="1">
        <v>1.09531368837891E-3</v>
      </c>
      <c r="H218">
        <v>0.44175739747269699</v>
      </c>
      <c r="I218" s="1">
        <v>-1.3488307440052001E-4</v>
      </c>
    </row>
    <row r="219" spans="1:9" x14ac:dyDescent="0.25">
      <c r="A219">
        <v>742.57554888725201</v>
      </c>
      <c r="B219">
        <v>21.358720065936701</v>
      </c>
      <c r="C219" s="1">
        <v>0.68164965921369003</v>
      </c>
      <c r="D219" s="1">
        <v>0.41461526396932602</v>
      </c>
      <c r="E219" s="1">
        <v>-0.30428544738687202</v>
      </c>
      <c r="F219" s="1">
        <v>9.7802872882778689E-4</v>
      </c>
      <c r="G219" s="1">
        <v>1.01550230182142E-3</v>
      </c>
      <c r="H219">
        <v>0.44207788248249802</v>
      </c>
      <c r="I219" s="1">
        <v>-1.20371352063546E-4</v>
      </c>
    </row>
    <row r="220" spans="1:9" x14ac:dyDescent="0.25">
      <c r="A220">
        <v>758.42838943004597</v>
      </c>
      <c r="B220">
        <v>21.408516987603399</v>
      </c>
      <c r="C220" s="1">
        <v>0.64842492647585404</v>
      </c>
      <c r="D220" s="1">
        <v>0.39348438893704202</v>
      </c>
      <c r="E220" s="1">
        <v>-0.28718631236921499</v>
      </c>
      <c r="F220" s="1">
        <v>1.1097358325556799E-3</v>
      </c>
      <c r="G220" s="1">
        <v>9.4074621365445395E-4</v>
      </c>
      <c r="H220">
        <v>0.44260355668363799</v>
      </c>
      <c r="I220" s="1">
        <v>-1.07279288115561E-4</v>
      </c>
    </row>
    <row r="221" spans="1:9" x14ac:dyDescent="0.25">
      <c r="A221">
        <v>774.28122997283901</v>
      </c>
      <c r="B221">
        <v>21.455846654161999</v>
      </c>
      <c r="C221" s="1">
        <v>0.61612904489720599</v>
      </c>
      <c r="D221" s="1">
        <v>0.37284280150495802</v>
      </c>
      <c r="E221" s="1">
        <v>-0.27003024134333298</v>
      </c>
      <c r="F221" s="1">
        <v>1.17795929997835E-3</v>
      </c>
      <c r="G221" s="1">
        <v>8.70388413553839E-4</v>
      </c>
      <c r="H221">
        <v>0.44295686476673402</v>
      </c>
      <c r="I221" s="1">
        <v>-9.5621862812756095E-5</v>
      </c>
    </row>
    <row r="222" spans="1:9" x14ac:dyDescent="0.25">
      <c r="A222">
        <v>790.13402491807904</v>
      </c>
      <c r="B222">
        <v>21.500679498449198</v>
      </c>
      <c r="C222" s="1">
        <v>0.58481115972881503</v>
      </c>
      <c r="D222" s="1">
        <v>0.352656508671086</v>
      </c>
      <c r="E222" s="1">
        <v>-0.252821716380151</v>
      </c>
      <c r="F222" s="1">
        <v>1.1409136698031801E-3</v>
      </c>
      <c r="G222" s="1">
        <v>8.05111668981882E-4</v>
      </c>
      <c r="H222">
        <v>0.443584770807053</v>
      </c>
      <c r="I222" s="1">
        <v>-8.5466466539938204E-5</v>
      </c>
    </row>
    <row r="223" spans="1:9" x14ac:dyDescent="0.25">
      <c r="A223">
        <v>805.98686546087197</v>
      </c>
      <c r="B223">
        <v>21.542978828683701</v>
      </c>
      <c r="C223" s="1">
        <v>0.55453644313274697</v>
      </c>
      <c r="D223" s="1">
        <v>0.33294000389619699</v>
      </c>
      <c r="E223" s="1">
        <v>-0.235572169009965</v>
      </c>
      <c r="F223" s="1">
        <v>9.945121553459951E-4</v>
      </c>
      <c r="G223" s="1">
        <v>7.4461663329277404E-4</v>
      </c>
      <c r="H223">
        <v>0.444362298368841</v>
      </c>
      <c r="I223" s="1">
        <v>-7.6309613068034602E-5</v>
      </c>
    </row>
    <row r="224" spans="1:9" x14ac:dyDescent="0.25">
      <c r="A224">
        <v>821.83970600366501</v>
      </c>
      <c r="B224">
        <v>21.582656893324302</v>
      </c>
      <c r="C224" s="1">
        <v>0.52558113754912394</v>
      </c>
      <c r="D224" s="1">
        <v>0.31385592716222499</v>
      </c>
      <c r="E224" s="1">
        <v>-0.218279611810302</v>
      </c>
      <c r="F224" s="1">
        <v>8.6815811936733498E-4</v>
      </c>
      <c r="G224" s="1">
        <v>6.8834275877013298E-4</v>
      </c>
      <c r="H224">
        <v>0.444857770116802</v>
      </c>
      <c r="I224" s="1">
        <v>-6.8107752461978797E-5</v>
      </c>
    </row>
    <row r="225" spans="1:9" x14ac:dyDescent="0.25">
      <c r="A225">
        <v>837.69251614809002</v>
      </c>
      <c r="B225">
        <v>21.619680206667901</v>
      </c>
      <c r="C225" s="1">
        <v>0.49799568930666199</v>
      </c>
      <c r="D225" s="1">
        <v>0.29550423468811099</v>
      </c>
      <c r="E225" s="1">
        <v>-0.20095528633691001</v>
      </c>
      <c r="F225" s="1">
        <v>8.31793909347071E-4</v>
      </c>
      <c r="G225" s="1">
        <v>6.3683536621438996E-4</v>
      </c>
      <c r="H225">
        <v>0.44559032666913001</v>
      </c>
      <c r="I225" s="1">
        <v>-6.1015854588466003E-5</v>
      </c>
    </row>
    <row r="226" spans="1:9" x14ac:dyDescent="0.25">
      <c r="A226">
        <v>853.54535669088295</v>
      </c>
      <c r="B226">
        <v>21.653990940567301</v>
      </c>
      <c r="C226" s="1">
        <v>0.47192212285835899</v>
      </c>
      <c r="D226" s="1">
        <v>0.278034084314635</v>
      </c>
      <c r="E226" s="1">
        <v>-0.183591180668076</v>
      </c>
      <c r="F226" s="1">
        <v>8.3576196674157402E-4</v>
      </c>
      <c r="G226" s="1">
        <v>5.8977495642839996E-4</v>
      </c>
      <c r="H226">
        <v>0.44640895817725301</v>
      </c>
      <c r="I226" s="1">
        <v>-5.4753900873317299E-5</v>
      </c>
    </row>
    <row r="227" spans="1:9" x14ac:dyDescent="0.25">
      <c r="A227">
        <v>869.39818203449204</v>
      </c>
      <c r="B227">
        <v>21.685509536791798</v>
      </c>
      <c r="C227" s="1">
        <v>0.44753442776936903</v>
      </c>
      <c r="D227" s="1">
        <v>0.26154089045594298</v>
      </c>
      <c r="E227" s="1">
        <v>-0.16619448776358201</v>
      </c>
      <c r="F227" s="1">
        <v>8.1959171423313503E-4</v>
      </c>
      <c r="G227" s="1">
        <v>5.4754424909967802E-4</v>
      </c>
      <c r="H227">
        <v>0.447534978049969</v>
      </c>
      <c r="I227" s="1">
        <v>-4.9543010968724901E-5</v>
      </c>
    </row>
    <row r="228" spans="1:9" x14ac:dyDescent="0.25">
      <c r="A228">
        <v>885.25099217891602</v>
      </c>
      <c r="B228">
        <v>21.714158574495698</v>
      </c>
      <c r="C228" s="1">
        <v>0.42504515281507299</v>
      </c>
      <c r="D228" s="1">
        <v>0.24618915835706801</v>
      </c>
      <c r="E228" s="1">
        <v>-0.14877348468672499</v>
      </c>
      <c r="F228" s="1">
        <v>7.7212657519545598E-4</v>
      </c>
      <c r="G228" s="1">
        <v>5.0987865070728196E-4</v>
      </c>
      <c r="H228">
        <v>0.44863261057864401</v>
      </c>
      <c r="I228" s="1">
        <v>-4.5245780397380301E-5</v>
      </c>
    </row>
    <row r="229" spans="1:9" x14ac:dyDescent="0.25">
      <c r="A229">
        <v>901.10380992293301</v>
      </c>
      <c r="B229">
        <v>21.739829522002701</v>
      </c>
      <c r="C229" s="1">
        <v>0.40455802936776297</v>
      </c>
      <c r="D229" s="1">
        <v>0.23213206042602699</v>
      </c>
      <c r="E229" s="1">
        <v>-0.13133086877863001</v>
      </c>
      <c r="F229" s="1">
        <v>7.1251030210271401E-4</v>
      </c>
      <c r="G229" s="1">
        <v>4.7659979224783501E-4</v>
      </c>
      <c r="H229">
        <v>0.44961387070978198</v>
      </c>
      <c r="I229" s="1">
        <v>-4.1639325441445201E-5</v>
      </c>
    </row>
    <row r="230" spans="1:9" x14ac:dyDescent="0.25">
      <c r="A230">
        <v>916.95665046572606</v>
      </c>
      <c r="B230">
        <v>21.762450420674199</v>
      </c>
      <c r="C230" s="1">
        <v>0.38617528073245899</v>
      </c>
      <c r="D230" s="1">
        <v>0.21945327073385601</v>
      </c>
      <c r="E230" s="1">
        <v>-0.113858522833074</v>
      </c>
      <c r="F230" s="1">
        <v>6.9037405089332905E-4</v>
      </c>
      <c r="G230" s="1">
        <v>4.4769634266115897E-4</v>
      </c>
      <c r="H230">
        <v>0.450676658137875</v>
      </c>
      <c r="I230" s="1">
        <v>-3.8660922566755398E-5</v>
      </c>
    </row>
    <row r="231" spans="1:9" x14ac:dyDescent="0.25">
      <c r="A231">
        <v>932.80946820974305</v>
      </c>
      <c r="B231">
        <v>21.781951449256599</v>
      </c>
      <c r="C231" s="1">
        <v>0.370119036347205</v>
      </c>
      <c r="D231" s="1">
        <v>0.20830133706137599</v>
      </c>
      <c r="E231" s="1">
        <v>-9.6371691464363599E-2</v>
      </c>
      <c r="F231" s="1">
        <v>7.1604175213891999E-4</v>
      </c>
      <c r="G231" s="1">
        <v>4.2314178530690098E-4</v>
      </c>
      <c r="H231">
        <v>0.45174416597417699</v>
      </c>
      <c r="I231" s="1">
        <v>-3.63657539900626E-5</v>
      </c>
    </row>
    <row r="232" spans="1:9" x14ac:dyDescent="0.25">
      <c r="A232">
        <v>948.66229355335201</v>
      </c>
      <c r="B232">
        <v>21.798200327348201</v>
      </c>
      <c r="C232" s="1">
        <v>0.35658422129927198</v>
      </c>
      <c r="D232" s="1">
        <v>0.19876099777129799</v>
      </c>
      <c r="E232" s="1">
        <v>-7.88689591518629E-2</v>
      </c>
      <c r="F232" s="1">
        <v>7.2598010246282402E-4</v>
      </c>
      <c r="G232" s="1">
        <v>4.0273870430762099E-4</v>
      </c>
      <c r="H232">
        <v>0.45252110695074399</v>
      </c>
      <c r="I232" s="1">
        <v>-3.4603260845462899E-5</v>
      </c>
    </row>
    <row r="233" spans="1:9" x14ac:dyDescent="0.25">
      <c r="A233">
        <v>964.51511889696098</v>
      </c>
      <c r="B233">
        <v>21.811196342487101</v>
      </c>
      <c r="C233" s="1">
        <v>0.34562684106731401</v>
      </c>
      <c r="D233" s="1">
        <v>0.190936288709006</v>
      </c>
      <c r="E233" s="1">
        <v>-6.1344419577213601E-2</v>
      </c>
      <c r="F233" s="1">
        <v>6.9277527619697899E-4</v>
      </c>
      <c r="G233" s="1">
        <v>3.8654871220734801E-4</v>
      </c>
      <c r="H233">
        <v>0.45319284724326903</v>
      </c>
      <c r="I233" s="1">
        <v>-3.3283100583206802E-5</v>
      </c>
    </row>
    <row r="234" spans="1:9" x14ac:dyDescent="0.25">
      <c r="A234">
        <v>980.36794044077305</v>
      </c>
      <c r="B234">
        <v>21.820961106013701</v>
      </c>
      <c r="C234" s="1">
        <v>0.33729394143620001</v>
      </c>
      <c r="D234" s="1">
        <v>0.18488376260325701</v>
      </c>
      <c r="E234" s="1">
        <v>-4.3809786424497302E-2</v>
      </c>
      <c r="F234" s="1">
        <v>6.078713736405E-4</v>
      </c>
      <c r="G234" s="1">
        <v>3.7465320089893097E-4</v>
      </c>
      <c r="H234">
        <v>0.45386210513611203</v>
      </c>
      <c r="I234" s="1">
        <v>-3.2384387352490198E-5</v>
      </c>
    </row>
    <row r="235" spans="1:9" x14ac:dyDescent="0.25">
      <c r="A235">
        <v>996.22076388448397</v>
      </c>
      <c r="B235">
        <v>21.8274877307976</v>
      </c>
      <c r="C235" s="1">
        <v>0.33164788542307999</v>
      </c>
      <c r="D235" s="1">
        <v>0.18070894633753801</v>
      </c>
      <c r="E235" s="1">
        <v>-2.6261910090931598E-2</v>
      </c>
      <c r="F235" s="1">
        <v>4.48035160271411E-4</v>
      </c>
      <c r="G235" s="1">
        <v>3.6681848144177299E-4</v>
      </c>
      <c r="H235">
        <v>0.45443114813229701</v>
      </c>
      <c r="I235" s="1">
        <v>-3.1810907984039303E-5</v>
      </c>
    </row>
    <row r="236" spans="1:9" x14ac:dyDescent="0.25">
      <c r="A236">
        <v>1012.07358780317</v>
      </c>
      <c r="B236">
        <v>21.830752230625802</v>
      </c>
      <c r="C236" s="1">
        <v>0.32878575116228598</v>
      </c>
      <c r="D236" s="1">
        <v>0.17856530032540899</v>
      </c>
      <c r="E236" s="1">
        <v>-8.7153952600787302E-3</v>
      </c>
      <c r="F236" s="1">
        <v>2.6247271370134599E-4</v>
      </c>
      <c r="G236" s="1">
        <v>3.6281559567409501E-4</v>
      </c>
      <c r="H236">
        <v>0.45462006888939699</v>
      </c>
      <c r="I236" s="1">
        <v>-3.14709278680009E-5</v>
      </c>
    </row>
    <row r="237" spans="1:9" x14ac:dyDescent="0.25">
      <c r="A237" t="s">
        <v>492</v>
      </c>
      <c r="B237" t="s">
        <v>528</v>
      </c>
      <c r="C237" t="s">
        <v>529</v>
      </c>
      <c r="D237" t="s">
        <v>530</v>
      </c>
      <c r="E237" t="s">
        <v>531</v>
      </c>
      <c r="F237" t="s">
        <v>532</v>
      </c>
      <c r="G237" t="s">
        <v>370</v>
      </c>
      <c r="H237" t="s">
        <v>533</v>
      </c>
      <c r="I237" t="s">
        <v>527</v>
      </c>
    </row>
    <row r="238" spans="1:9" x14ac:dyDescent="0.25">
      <c r="A238">
        <v>-143.34727764129599</v>
      </c>
      <c r="B238">
        <v>-143.39637089471501</v>
      </c>
      <c r="C238">
        <v>8.9016805088704104E-2</v>
      </c>
      <c r="D238" s="1">
        <v>0</v>
      </c>
      <c r="E238" s="1">
        <v>0</v>
      </c>
      <c r="F238" s="1">
        <v>0</v>
      </c>
      <c r="G238" s="1">
        <v>1.5395713703902901E-6</v>
      </c>
      <c r="H238">
        <v>7.9524022471949105E-2</v>
      </c>
      <c r="I238" s="1">
        <v>0</v>
      </c>
    </row>
    <row r="239" spans="1:9" x14ac:dyDescent="0.25">
      <c r="A239">
        <v>-130.59127092361399</v>
      </c>
      <c r="B239">
        <v>-130.639604217813</v>
      </c>
      <c r="C239">
        <v>8.9573939843034994E-2</v>
      </c>
      <c r="D239" s="1">
        <v>0</v>
      </c>
      <c r="E239" s="1">
        <v>0</v>
      </c>
      <c r="F239" s="1">
        <v>0</v>
      </c>
      <c r="G239" s="1">
        <v>2.50677983393288E-6</v>
      </c>
      <c r="H239">
        <v>0.41852625814337802</v>
      </c>
      <c r="I239" s="1">
        <v>0</v>
      </c>
    </row>
    <row r="240" spans="1:9" x14ac:dyDescent="0.25">
      <c r="A240">
        <v>-118.88850688934301</v>
      </c>
      <c r="B240">
        <v>-118.935510254905</v>
      </c>
      <c r="C240">
        <v>9.0821370213234304E-2</v>
      </c>
      <c r="D240" s="1">
        <v>0</v>
      </c>
      <c r="E240" s="1">
        <v>0</v>
      </c>
      <c r="F240" s="1">
        <v>0</v>
      </c>
      <c r="G240" s="1">
        <v>4.28282785458478E-6</v>
      </c>
      <c r="H240">
        <v>0.639261061264909</v>
      </c>
      <c r="I240" s="1">
        <v>0</v>
      </c>
    </row>
    <row r="241" spans="1:9" x14ac:dyDescent="0.25">
      <c r="A241">
        <v>-108.151924610137</v>
      </c>
      <c r="B241">
        <v>-108.19730166296701</v>
      </c>
      <c r="C241">
        <v>9.3008533482930006E-2</v>
      </c>
      <c r="D241" s="1">
        <v>0</v>
      </c>
      <c r="E241" s="1">
        <v>0</v>
      </c>
      <c r="F241" s="1">
        <v>0</v>
      </c>
      <c r="G241" s="1">
        <v>6.78377603824387E-6</v>
      </c>
      <c r="H241">
        <v>0.75004303943571504</v>
      </c>
      <c r="I241" s="1">
        <v>0</v>
      </c>
    </row>
    <row r="242" spans="1:9" x14ac:dyDescent="0.25">
      <c r="A242">
        <v>-98.302001953125</v>
      </c>
      <c r="B242">
        <v>-98.345289118096801</v>
      </c>
      <c r="C242">
        <v>9.6398491288596205E-2</v>
      </c>
      <c r="D242" s="1">
        <v>0</v>
      </c>
      <c r="E242" s="1">
        <v>0</v>
      </c>
      <c r="F242" s="1">
        <v>0</v>
      </c>
      <c r="G242" s="1">
        <v>1.0022998754521899E-5</v>
      </c>
      <c r="H242">
        <v>0.80713223051418104</v>
      </c>
      <c r="I242" s="1">
        <v>0</v>
      </c>
    </row>
    <row r="243" spans="1:9" x14ac:dyDescent="0.25">
      <c r="A243">
        <v>-89.265174865722599</v>
      </c>
      <c r="B243">
        <v>-89.306379742429201</v>
      </c>
      <c r="C243">
        <v>0.101226930888742</v>
      </c>
      <c r="D243" s="1">
        <v>0</v>
      </c>
      <c r="E243" s="1">
        <v>0</v>
      </c>
      <c r="F243" s="1">
        <v>0</v>
      </c>
      <c r="G243" s="1">
        <v>1.4114001971599E-5</v>
      </c>
      <c r="H243">
        <v>0.83785966574068005</v>
      </c>
      <c r="I243" s="1">
        <v>0</v>
      </c>
    </row>
    <row r="244" spans="1:9" x14ac:dyDescent="0.25">
      <c r="A244">
        <v>-80.974688529968205</v>
      </c>
      <c r="B244">
        <v>-81.013491935536805</v>
      </c>
      <c r="C244">
        <v>0.10769381165403</v>
      </c>
      <c r="D244" s="1">
        <v>0</v>
      </c>
      <c r="E244" s="1">
        <v>0</v>
      </c>
      <c r="F244" s="1">
        <v>0</v>
      </c>
      <c r="G244" s="1">
        <v>1.9278083546403402E-5</v>
      </c>
      <c r="H244">
        <v>0.85459088236569702</v>
      </c>
      <c r="I244" s="1">
        <v>0</v>
      </c>
    </row>
    <row r="245" spans="1:9" x14ac:dyDescent="0.25">
      <c r="A245">
        <v>-73.368651866912799</v>
      </c>
      <c r="B245">
        <v>-73.405069000527803</v>
      </c>
      <c r="C245">
        <v>0.11597048403189</v>
      </c>
      <c r="D245" s="1">
        <v>0</v>
      </c>
      <c r="E245" s="1">
        <v>0</v>
      </c>
      <c r="F245" s="1">
        <v>0</v>
      </c>
      <c r="G245" s="1">
        <v>2.5862737794923799E-5</v>
      </c>
      <c r="H245">
        <v>0.86335086236951597</v>
      </c>
      <c r="I245" s="1">
        <v>0</v>
      </c>
    </row>
    <row r="246" spans="1:9" x14ac:dyDescent="0.25">
      <c r="A246">
        <v>-66.390645503997803</v>
      </c>
      <c r="B246">
        <v>-66.424645967290402</v>
      </c>
      <c r="C246">
        <v>0.12621306255482501</v>
      </c>
      <c r="D246" s="1">
        <v>0</v>
      </c>
      <c r="E246" s="1">
        <v>0</v>
      </c>
      <c r="F246" s="1">
        <v>0</v>
      </c>
      <c r="G246" s="1">
        <v>3.43771262851788E-5</v>
      </c>
      <c r="H246">
        <v>0.86736146257659597</v>
      </c>
      <c r="I246" s="1">
        <v>0</v>
      </c>
    </row>
    <row r="247" spans="1:9" x14ac:dyDescent="0.25">
      <c r="A247">
        <v>-59.988870620727504</v>
      </c>
      <c r="B247">
        <v>-60.020401216552202</v>
      </c>
      <c r="C247">
        <v>0.13857766175533401</v>
      </c>
      <c r="D247" s="1">
        <v>0</v>
      </c>
      <c r="E247" s="1">
        <v>0</v>
      </c>
      <c r="F247" s="1">
        <v>0</v>
      </c>
      <c r="G247" s="1">
        <v>4.55521219340227E-5</v>
      </c>
      <c r="H247">
        <v>0.86851464110441101</v>
      </c>
      <c r="I247" s="1">
        <v>0</v>
      </c>
    </row>
    <row r="248" spans="1:9" x14ac:dyDescent="0.25">
      <c r="A248">
        <v>-54.115540981292703</v>
      </c>
      <c r="B248">
        <v>-54.1447916994548</v>
      </c>
      <c r="C248">
        <v>0.15323613476994</v>
      </c>
      <c r="D248" s="1">
        <v>0</v>
      </c>
      <c r="E248" s="1">
        <v>0</v>
      </c>
      <c r="F248" s="1">
        <v>0</v>
      </c>
      <c r="G248" s="1">
        <v>6.0435187098306601E-5</v>
      </c>
      <c r="H248">
        <v>0.86803043322019002</v>
      </c>
      <c r="I248" s="1">
        <v>0</v>
      </c>
    </row>
    <row r="249" spans="1:9" x14ac:dyDescent="0.25">
      <c r="A249">
        <v>-48.727247714996302</v>
      </c>
      <c r="B249">
        <v>-48.754188157126897</v>
      </c>
      <c r="C249">
        <v>0.17039217417504901</v>
      </c>
      <c r="D249" s="1">
        <v>0</v>
      </c>
      <c r="E249" s="1">
        <v>0</v>
      </c>
      <c r="F249" s="1">
        <v>0</v>
      </c>
      <c r="G249" s="1">
        <v>8.0535154900473999E-5</v>
      </c>
      <c r="H249">
        <v>0.86676947161103002</v>
      </c>
      <c r="I249" s="1">
        <v>0</v>
      </c>
    </row>
    <row r="250" spans="1:9" x14ac:dyDescent="0.25">
      <c r="A250">
        <v>-43.783864974975501</v>
      </c>
      <c r="B250">
        <v>-43.808571136996697</v>
      </c>
      <c r="C250">
        <v>0.190298647368081</v>
      </c>
      <c r="D250" s="1">
        <v>0</v>
      </c>
      <c r="E250" s="1">
        <v>0</v>
      </c>
      <c r="F250" s="1">
        <v>0</v>
      </c>
      <c r="G250" s="1">
        <v>1.08038028365342E-4</v>
      </c>
      <c r="H250">
        <v>0.86538299659153595</v>
      </c>
      <c r="I250" s="1">
        <v>0</v>
      </c>
    </row>
    <row r="251" spans="1:9" x14ac:dyDescent="0.25">
      <c r="A251">
        <v>-39.248671531677203</v>
      </c>
      <c r="B251">
        <v>-39.271215609715</v>
      </c>
      <c r="C251">
        <v>0.21327686138761201</v>
      </c>
      <c r="D251" s="1">
        <v>0</v>
      </c>
      <c r="E251" s="1">
        <v>0</v>
      </c>
      <c r="F251" s="1">
        <v>0</v>
      </c>
      <c r="G251" s="1">
        <v>1.46123010836163E-4</v>
      </c>
      <c r="H251">
        <v>0.86437760575529698</v>
      </c>
      <c r="I251" s="1">
        <v>0</v>
      </c>
    </row>
    <row r="252" spans="1:9" x14ac:dyDescent="0.25">
      <c r="A252">
        <v>-35.087985992431598</v>
      </c>
      <c r="B252">
        <v>-35.108424983427497</v>
      </c>
      <c r="C252">
        <v>0.23973896214783899</v>
      </c>
      <c r="D252" s="1">
        <v>0</v>
      </c>
      <c r="E252" s="1">
        <v>0</v>
      </c>
      <c r="F252" s="1">
        <v>0</v>
      </c>
      <c r="G252" s="1">
        <v>1.9941726469596601E-4</v>
      </c>
      <c r="H252">
        <v>0.86413335880895203</v>
      </c>
      <c r="I252" s="1">
        <v>0</v>
      </c>
    </row>
    <row r="253" spans="1:9" x14ac:dyDescent="0.25">
      <c r="A253">
        <v>-31.270802021026601</v>
      </c>
      <c r="B253">
        <v>-31.289287916824801</v>
      </c>
      <c r="C253">
        <v>0.27021374900186801</v>
      </c>
      <c r="D253" s="1">
        <v>0</v>
      </c>
      <c r="E253" s="1">
        <v>0</v>
      </c>
      <c r="F253" s="1">
        <v>0</v>
      </c>
      <c r="G253" s="1">
        <v>2.7463990710430099E-4</v>
      </c>
      <c r="H253">
        <v>0.86490124777992505</v>
      </c>
      <c r="I253" s="1">
        <v>0</v>
      </c>
    </row>
    <row r="254" spans="1:9" x14ac:dyDescent="0.25">
      <c r="A254">
        <v>-27.7686667442321</v>
      </c>
      <c r="B254">
        <v>-27.785438931987301</v>
      </c>
      <c r="C254">
        <v>0.305376584742589</v>
      </c>
      <c r="D254" s="1">
        <v>0</v>
      </c>
      <c r="E254" s="1">
        <v>0</v>
      </c>
      <c r="F254" s="1">
        <v>0</v>
      </c>
      <c r="G254" s="1">
        <v>3.8150129574887598E-4</v>
      </c>
      <c r="H254">
        <v>0.86679983325448695</v>
      </c>
      <c r="I254" s="1">
        <v>0</v>
      </c>
    </row>
    <row r="255" spans="1:9" x14ac:dyDescent="0.25">
      <c r="A255">
        <v>-24.555802345275801</v>
      </c>
      <c r="B255">
        <v>-24.570849425599501</v>
      </c>
      <c r="C255">
        <v>0.34608343061108798</v>
      </c>
      <c r="D255" s="1">
        <v>0</v>
      </c>
      <c r="E255" s="1">
        <v>0</v>
      </c>
      <c r="F255" s="1">
        <v>0</v>
      </c>
      <c r="G255" s="1">
        <v>5.3394704042375397E-4</v>
      </c>
      <c r="H255">
        <v>0.86982458941277196</v>
      </c>
      <c r="I255" s="1">
        <v>0</v>
      </c>
    </row>
    <row r="256" spans="1:9" x14ac:dyDescent="0.25">
      <c r="A256">
        <v>-21.608254909515299</v>
      </c>
      <c r="B256">
        <v>-21.621647178635602</v>
      </c>
      <c r="C256">
        <v>0.39340853319345098</v>
      </c>
      <c r="D256" s="1">
        <v>0</v>
      </c>
      <c r="E256" s="1">
        <v>0</v>
      </c>
      <c r="F256" s="1">
        <v>0</v>
      </c>
      <c r="G256" s="1">
        <v>7.5186939548643696E-4</v>
      </c>
      <c r="H256">
        <v>0.87387306607209803</v>
      </c>
      <c r="I256" s="1">
        <v>0</v>
      </c>
    </row>
    <row r="257" spans="1:9" x14ac:dyDescent="0.25">
      <c r="A257">
        <v>-18.904016017913801</v>
      </c>
      <c r="B257">
        <v>-18.9159263665533</v>
      </c>
      <c r="C257">
        <v>0.44868585191579702</v>
      </c>
      <c r="D257" s="1">
        <v>0</v>
      </c>
      <c r="E257" s="1">
        <v>0</v>
      </c>
      <c r="F257" s="1">
        <v>0</v>
      </c>
      <c r="G257" s="1">
        <v>1.06346125858181E-3</v>
      </c>
      <c r="H257">
        <v>0.87878078186364195</v>
      </c>
      <c r="I257" s="1">
        <v>0</v>
      </c>
    </row>
    <row r="258" spans="1:9" x14ac:dyDescent="0.25">
      <c r="A258">
        <v>-16.423144340515101</v>
      </c>
      <c r="B258">
        <v>-16.433587967858301</v>
      </c>
      <c r="C258">
        <v>0.51355344353396504</v>
      </c>
      <c r="D258" s="1">
        <v>0</v>
      </c>
      <c r="E258" s="1">
        <v>0</v>
      </c>
      <c r="F258" s="1">
        <v>0</v>
      </c>
      <c r="G258" s="1">
        <v>1.50846734430842E-3</v>
      </c>
      <c r="H258">
        <v>0.88435777618792399</v>
      </c>
      <c r="I258" s="1">
        <v>0</v>
      </c>
    </row>
    <row r="259" spans="1:9" x14ac:dyDescent="0.25">
      <c r="A259">
        <v>-14.147036075592</v>
      </c>
      <c r="B259">
        <v>-14.1561915720558</v>
      </c>
      <c r="C259">
        <v>0.59000157243644902</v>
      </c>
      <c r="D259" s="1">
        <v>0</v>
      </c>
      <c r="E259" s="1">
        <v>0</v>
      </c>
      <c r="F259" s="1">
        <v>0</v>
      </c>
      <c r="G259" s="1">
        <v>2.14270837705044E-3</v>
      </c>
      <c r="H259">
        <v>0.89041796345601998</v>
      </c>
      <c r="I259" s="1">
        <v>0</v>
      </c>
    </row>
    <row r="260" spans="1:9" x14ac:dyDescent="0.25">
      <c r="A260">
        <v>-12.058911323547299</v>
      </c>
      <c r="B260">
        <v>-12.0668185869908</v>
      </c>
      <c r="C260">
        <v>0.680424872030016</v>
      </c>
      <c r="D260" s="1">
        <v>0</v>
      </c>
      <c r="E260" s="1">
        <v>0</v>
      </c>
      <c r="F260" s="1">
        <v>0</v>
      </c>
      <c r="G260" s="1">
        <v>3.0444346564308901E-3</v>
      </c>
      <c r="H260">
        <v>0.89679715775691105</v>
      </c>
      <c r="I260" s="1">
        <v>0</v>
      </c>
    </row>
    <row r="261" spans="1:9" x14ac:dyDescent="0.25">
      <c r="A261">
        <v>-10.143084526061999</v>
      </c>
      <c r="B261">
        <v>-10.1499487454748</v>
      </c>
      <c r="C261">
        <v>0.78768110022338</v>
      </c>
      <c r="D261" s="1">
        <v>0</v>
      </c>
      <c r="E261" s="1">
        <v>0</v>
      </c>
      <c r="F261" s="1">
        <v>0</v>
      </c>
      <c r="G261">
        <v>4.3233357823737597E-3</v>
      </c>
      <c r="H261">
        <v>0.90336039509198196</v>
      </c>
      <c r="I261" s="1">
        <v>0</v>
      </c>
    </row>
    <row r="262" spans="1:9" x14ac:dyDescent="0.25">
      <c r="A262">
        <v>-8.3855724334716708</v>
      </c>
      <c r="B262">
        <v>-8.3913394617593404</v>
      </c>
      <c r="C262">
        <v>0.91515838148552497</v>
      </c>
      <c r="D262" s="1">
        <v>0</v>
      </c>
      <c r="E262" s="1">
        <v>0</v>
      </c>
      <c r="F262" s="1">
        <v>0</v>
      </c>
      <c r="G262">
        <v>6.1334331317084399E-3</v>
      </c>
      <c r="H262">
        <v>0.91000135942803195</v>
      </c>
      <c r="I262" s="1">
        <v>0</v>
      </c>
    </row>
    <row r="263" spans="1:9" x14ac:dyDescent="0.25">
      <c r="A263">
        <v>-6.7732429504394496</v>
      </c>
      <c r="B263">
        <v>-6.7779270368373501</v>
      </c>
      <c r="C263">
        <v>1.0668568198980199</v>
      </c>
      <c r="D263" s="1">
        <v>0</v>
      </c>
      <c r="E263" s="1">
        <v>0</v>
      </c>
      <c r="F263" s="1">
        <v>0</v>
      </c>
      <c r="G263">
        <v>8.6916537884462707E-3</v>
      </c>
      <c r="H263">
        <v>0.91663739544755796</v>
      </c>
      <c r="I263" s="1">
        <v>0</v>
      </c>
    </row>
    <row r="264" spans="1:9" x14ac:dyDescent="0.25">
      <c r="A264">
        <v>-5.2939367294311497</v>
      </c>
      <c r="B264">
        <v>-5.2977231139993801</v>
      </c>
      <c r="C264">
        <v>1.2474890961129801</v>
      </c>
      <c r="D264" s="1">
        <v>0</v>
      </c>
      <c r="E264" s="1">
        <v>0</v>
      </c>
      <c r="F264" s="1">
        <v>0</v>
      </c>
      <c r="G264">
        <v>1.23046930193595E-2</v>
      </c>
      <c r="H264">
        <v>0.92320264549574205</v>
      </c>
      <c r="I264" s="1">
        <v>0</v>
      </c>
    </row>
    <row r="265" spans="1:9" x14ac:dyDescent="0.25">
      <c r="A265">
        <v>-3.9367103576660099</v>
      </c>
      <c r="B265">
        <v>-3.93973013337017</v>
      </c>
      <c r="C265">
        <v>1.4626074998432099</v>
      </c>
      <c r="D265" s="1">
        <v>0</v>
      </c>
      <c r="E265" s="1">
        <v>0</v>
      </c>
      <c r="F265" s="1">
        <v>0</v>
      </c>
      <c r="G265">
        <v>1.7407822727363902E-2</v>
      </c>
      <c r="H265">
        <v>0.92964123737424198</v>
      </c>
      <c r="I265" s="1">
        <v>0</v>
      </c>
    </row>
    <row r="266" spans="1:9" x14ac:dyDescent="0.25">
      <c r="A266">
        <v>-2.6915931701660099</v>
      </c>
      <c r="B266">
        <v>-2.6938605862414899</v>
      </c>
      <c r="C266">
        <v>1.7187650860705601</v>
      </c>
      <c r="D266" s="1">
        <v>0</v>
      </c>
      <c r="E266" s="1">
        <v>0</v>
      </c>
      <c r="F266" s="1">
        <v>0</v>
      </c>
      <c r="G266">
        <v>2.4620524714919101E-2</v>
      </c>
      <c r="H266">
        <v>0.93590136437937899</v>
      </c>
      <c r="I266" s="1">
        <v>0</v>
      </c>
    </row>
    <row r="267" spans="1:9" x14ac:dyDescent="0.25">
      <c r="A267">
        <v>-1.54934406280517</v>
      </c>
      <c r="B267">
        <v>-1.5508553194558701</v>
      </c>
      <c r="C267">
        <v>2.0237198259564999</v>
      </c>
      <c r="D267" s="1">
        <v>0</v>
      </c>
      <c r="E267" s="1">
        <v>0</v>
      </c>
      <c r="F267" s="1">
        <v>0</v>
      </c>
      <c r="G267">
        <v>3.4824498241505297E-2</v>
      </c>
      <c r="H267">
        <v>0.94193030460314398</v>
      </c>
      <c r="I267" s="1">
        <v>0</v>
      </c>
    </row>
    <row r="268" spans="1:9" x14ac:dyDescent="0.25">
      <c r="A268">
        <v>-0.50145149230956998</v>
      </c>
      <c r="B268">
        <v>-0.50222226369442002</v>
      </c>
      <c r="C268">
        <v>2.3866831126724701</v>
      </c>
      <c r="D268" s="1">
        <v>0</v>
      </c>
      <c r="E268" s="1">
        <v>0</v>
      </c>
      <c r="F268" s="1">
        <v>0</v>
      </c>
      <c r="G268">
        <v>5.0429199414793402E-2</v>
      </c>
      <c r="H268">
        <v>0.94887523821326603</v>
      </c>
      <c r="I268" s="1">
        <v>0</v>
      </c>
    </row>
    <row r="269" spans="1:9" x14ac:dyDescent="0.25">
      <c r="A269">
        <v>0.49999237060546797</v>
      </c>
      <c r="B269">
        <v>0.49983811613856199</v>
      </c>
      <c r="C269">
        <v>2.84167540621638</v>
      </c>
      <c r="D269" s="1">
        <v>0.250132397828771</v>
      </c>
      <c r="E269" s="1">
        <v>-4.3582154725424499E-4</v>
      </c>
      <c r="F269" s="1">
        <v>1.7767517451164E-5</v>
      </c>
      <c r="G269">
        <v>7.4277808722920793E-2</v>
      </c>
      <c r="H269">
        <v>0.95543004622152605</v>
      </c>
      <c r="I269" s="1">
        <v>1.2618569651524299E-6</v>
      </c>
    </row>
    <row r="270" spans="1:9" x14ac:dyDescent="0.25">
      <c r="A270">
        <v>1.54496669769287</v>
      </c>
      <c r="B270">
        <v>1.5432450273328799</v>
      </c>
      <c r="C270">
        <v>3.4780140310431298</v>
      </c>
      <c r="D270" s="1">
        <v>0.947127809746658</v>
      </c>
      <c r="E270" s="1">
        <v>-4.3459589848777102E-3</v>
      </c>
      <c r="F270" s="1">
        <v>2.7607153114685398E-5</v>
      </c>
      <c r="G270">
        <v>0.10213241940319499</v>
      </c>
      <c r="H270">
        <v>0.95700727384328999</v>
      </c>
      <c r="I270" s="1">
        <v>4.5995547756926198E-5</v>
      </c>
    </row>
    <row r="271" spans="1:9" x14ac:dyDescent="0.25">
      <c r="A271">
        <v>2.6840543746948198</v>
      </c>
      <c r="B271">
        <v>2.6689920951866899</v>
      </c>
      <c r="C271">
        <v>4.39881151960435</v>
      </c>
      <c r="D271" s="1">
        <v>1.9859987063775899</v>
      </c>
      <c r="E271" s="1">
        <v>-1.9000838844392801E-2</v>
      </c>
      <c r="F271" s="1">
        <v>-2.04946514600608E-6</v>
      </c>
      <c r="G271">
        <v>0.125500869060201</v>
      </c>
      <c r="H271">
        <v>0.95181992670148596</v>
      </c>
      <c r="I271" s="1">
        <v>2.4755242685742398E-4</v>
      </c>
    </row>
    <row r="272" spans="1:9" x14ac:dyDescent="0.25">
      <c r="A272">
        <v>3.9255237579345699</v>
      </c>
      <c r="B272">
        <v>3.86458843995569</v>
      </c>
      <c r="C272">
        <v>5.6469920793460897</v>
      </c>
      <c r="D272" s="1">
        <v>3.3961675236683999</v>
      </c>
      <c r="E272" s="1">
        <v>-5.2035652332653497E-2</v>
      </c>
      <c r="F272" s="1">
        <v>-6.6748267261106602E-5</v>
      </c>
      <c r="G272">
        <v>0.13955711919728001</v>
      </c>
      <c r="H272">
        <v>0.93965354601845197</v>
      </c>
      <c r="I272" s="1">
        <v>6.1439045283666999E-4</v>
      </c>
    </row>
    <row r="273" spans="1:9" x14ac:dyDescent="0.25">
      <c r="A273">
        <v>5.2789807319641104</v>
      </c>
      <c r="B273">
        <v>5.10316166610209</v>
      </c>
      <c r="C273">
        <v>7.1539328537255598</v>
      </c>
      <c r="D273" s="1">
        <v>5.08444643921937</v>
      </c>
      <c r="E273" s="1">
        <v>-0.109714734199203</v>
      </c>
      <c r="F273" s="1">
        <v>-1.4583430814559201E-4</v>
      </c>
      <c r="G273">
        <v>0.142662058910627</v>
      </c>
      <c r="H273">
        <v>0.91958769645350202</v>
      </c>
      <c r="I273" s="1">
        <v>1.3660300193743401E-3</v>
      </c>
    </row>
    <row r="274" spans="1:9" x14ac:dyDescent="0.25">
      <c r="A274">
        <v>6.7539703845977703</v>
      </c>
      <c r="B274">
        <v>6.3438507849605204</v>
      </c>
      <c r="C274">
        <v>8.7128221101011096</v>
      </c>
      <c r="D274" s="1">
        <v>6.81546203975231</v>
      </c>
      <c r="E274" s="1">
        <v>-0.19242124584362699</v>
      </c>
      <c r="F274" s="1">
        <v>-2.17130145978083E-4</v>
      </c>
      <c r="G274">
        <v>0.13970480760165699</v>
      </c>
      <c r="H274">
        <v>0.89325793709455503</v>
      </c>
      <c r="I274" s="1">
        <v>3.5406058137698701E-3</v>
      </c>
    </row>
    <row r="275" spans="1:9" x14ac:dyDescent="0.25">
      <c r="A275">
        <v>8.3618009090423495</v>
      </c>
      <c r="B275">
        <v>7.5393197475022999</v>
      </c>
      <c r="C275">
        <v>10.0504955215001</v>
      </c>
      <c r="D275" s="1">
        <v>8.2945576023055807</v>
      </c>
      <c r="E275" s="1">
        <v>-0.29286006094266198</v>
      </c>
      <c r="F275" s="1">
        <v>-2.7232712760247101E-4</v>
      </c>
      <c r="G275">
        <v>0.13714137298937701</v>
      </c>
      <c r="H275">
        <v>0.86567540154160405</v>
      </c>
      <c r="I275" s="1">
        <v>8.3030124721964905E-3</v>
      </c>
    </row>
    <row r="276" spans="1:9" x14ac:dyDescent="0.25">
      <c r="A276">
        <v>10.114449262619001</v>
      </c>
      <c r="B276">
        <v>8.6478496720337699</v>
      </c>
      <c r="C276">
        <v>10.956777951287201</v>
      </c>
      <c r="D276" s="1">
        <v>9.3037710559392206</v>
      </c>
      <c r="E276" s="1">
        <v>-0.39897324432731401</v>
      </c>
      <c r="F276" s="1">
        <v>-3.1405591668062799E-4</v>
      </c>
      <c r="G276">
        <v>0.13745731720295601</v>
      </c>
      <c r="H276">
        <v>0.84104371393102495</v>
      </c>
      <c r="I276" s="1">
        <v>1.35504722874957E-2</v>
      </c>
    </row>
    <row r="277" spans="1:9" x14ac:dyDescent="0.25">
      <c r="A277">
        <v>12.0248043537139</v>
      </c>
      <c r="B277">
        <v>9.6431509270587394</v>
      </c>
      <c r="C277">
        <v>11.363157962478001</v>
      </c>
      <c r="D277" s="1">
        <v>9.7788050531442003</v>
      </c>
      <c r="E277" s="1">
        <v>-0.49950890146893701</v>
      </c>
      <c r="F277" s="1">
        <v>-3.6253522146655401E-4</v>
      </c>
      <c r="G277">
        <v>0.138633908724827</v>
      </c>
      <c r="H277">
        <v>0.81927809244413397</v>
      </c>
      <c r="I277" s="1">
        <v>1.44696122281014E-2</v>
      </c>
    </row>
    <row r="278" spans="1:9" x14ac:dyDescent="0.25">
      <c r="A278">
        <v>14.106971025466899</v>
      </c>
      <c r="B278">
        <v>10.5167209641331</v>
      </c>
      <c r="C278">
        <v>11.325429549469799</v>
      </c>
      <c r="D278" s="1">
        <v>9.7852830495983092</v>
      </c>
      <c r="E278" s="1">
        <v>-0.58761908491369796</v>
      </c>
      <c r="F278" s="1">
        <v>-4.4151136734693099E-4</v>
      </c>
      <c r="G278">
        <v>0.13750378526507101</v>
      </c>
      <c r="H278">
        <v>0.79820924948103</v>
      </c>
      <c r="I278" s="1">
        <v>9.7411063693870099E-3</v>
      </c>
    </row>
    <row r="279" spans="1:9" x14ac:dyDescent="0.25">
      <c r="A279">
        <v>16.3765740394592</v>
      </c>
      <c r="B279">
        <v>11.2736861831763</v>
      </c>
      <c r="C279">
        <v>10.958387502614601</v>
      </c>
      <c r="D279" s="1">
        <v>9.4479028408913805</v>
      </c>
      <c r="E279" s="1">
        <v>-0.66099345991580605</v>
      </c>
      <c r="F279" s="1">
        <v>-5.6830464832009504E-4</v>
      </c>
      <c r="G279">
        <v>0.132569036386502</v>
      </c>
      <c r="H279">
        <v>0.77627273785790196</v>
      </c>
      <c r="I279" s="1">
        <v>2.2195766397357201E-3</v>
      </c>
    </row>
    <row r="280" spans="1:9" x14ac:dyDescent="0.25">
      <c r="A280">
        <v>18.850514888763399</v>
      </c>
      <c r="B280">
        <v>11.926516565053999</v>
      </c>
      <c r="C280">
        <v>10.380696726861</v>
      </c>
      <c r="D280">
        <v>8.8927784511989305</v>
      </c>
      <c r="E280">
        <v>-0.72024987505146998</v>
      </c>
      <c r="F280" s="1">
        <v>-7.5411987307833904E-4</v>
      </c>
      <c r="G280">
        <v>0.124329717033029</v>
      </c>
      <c r="H280">
        <v>0.75300028555645104</v>
      </c>
      <c r="I280" s="1">
        <v>-4.9557852390655502E-3</v>
      </c>
    </row>
    <row r="281" spans="1:9" x14ac:dyDescent="0.25">
      <c r="A281">
        <v>21.5470933914184</v>
      </c>
      <c r="B281">
        <v>12.4900310770863</v>
      </c>
      <c r="C281">
        <v>9.6889709901006391</v>
      </c>
      <c r="D281">
        <v>8.2211214062289706</v>
      </c>
      <c r="E281">
        <v>-0.76728386650770997</v>
      </c>
      <c r="F281" s="1">
        <v>-9.7727011133624093E-4</v>
      </c>
      <c r="G281">
        <v>0.114177847218877</v>
      </c>
      <c r="H281">
        <v>0.72860568706729001</v>
      </c>
      <c r="I281" s="1">
        <v>-1.03158683511714E-2</v>
      </c>
    </row>
    <row r="282" spans="1:9" x14ac:dyDescent="0.25">
      <c r="A282">
        <v>24.4862508773803</v>
      </c>
      <c r="B282">
        <v>12.978622634454901</v>
      </c>
      <c r="C282">
        <v>8.9528704625990905</v>
      </c>
      <c r="D282">
        <v>7.5048218373353901</v>
      </c>
      <c r="E282">
        <v>-0.80425045069680701</v>
      </c>
      <c r="F282" s="1">
        <v>-1.1837786178829099E-3</v>
      </c>
      <c r="G282">
        <v>0.103417316981517</v>
      </c>
      <c r="H282">
        <v>0.70363083940125004</v>
      </c>
      <c r="I282" s="1">
        <v>-1.3710491516553999E-2</v>
      </c>
    </row>
    <row r="283" spans="1:9" x14ac:dyDescent="0.25">
      <c r="A283">
        <v>27.690056562423699</v>
      </c>
      <c r="B283">
        <v>13.4051502221518</v>
      </c>
      <c r="C283">
        <v>8.2191497243911709</v>
      </c>
      <c r="D283">
        <v>6.7913520692296903</v>
      </c>
      <c r="E283">
        <v>-0.83311342610816297</v>
      </c>
      <c r="F283">
        <v>-1.3529126180027401E-3</v>
      </c>
      <c r="G283">
        <v>9.2888780426985104E-2</v>
      </c>
      <c r="H283">
        <v>0.67873618037602901</v>
      </c>
      <c r="I283" s="1">
        <v>-1.5505742713560301E-2</v>
      </c>
    </row>
    <row r="284" spans="1:9" x14ac:dyDescent="0.25">
      <c r="A284">
        <v>31.182160377502399</v>
      </c>
      <c r="B284">
        <v>13.7807025951588</v>
      </c>
      <c r="C284">
        <v>7.5174761845119003</v>
      </c>
      <c r="D284">
        <v>6.1103405399281998</v>
      </c>
      <c r="E284">
        <v>-0.85551109932434499</v>
      </c>
      <c r="F284">
        <v>-1.4953299098661599E-3</v>
      </c>
      <c r="G284">
        <v>8.2996660718434201E-2</v>
      </c>
      <c r="H284">
        <v>0.65454560340636803</v>
      </c>
      <c r="I284">
        <v>-1.6127459654441501E-2</v>
      </c>
    </row>
    <row r="285" spans="1:9" x14ac:dyDescent="0.25">
      <c r="A285">
        <v>34.988522529602001</v>
      </c>
      <c r="B285">
        <v>14.1146780741655</v>
      </c>
      <c r="C285">
        <v>6.8653211867058399</v>
      </c>
      <c r="D285">
        <v>5.4789949514398497</v>
      </c>
      <c r="E285">
        <v>-0.87274547166552996</v>
      </c>
      <c r="F285">
        <v>-1.62438692591587E-3</v>
      </c>
      <c r="G285">
        <v>7.3866647528691806E-2</v>
      </c>
      <c r="H285">
        <v>0.63156127336630297</v>
      </c>
      <c r="I285">
        <v>-1.5920415103678798E-2</v>
      </c>
    </row>
    <row r="286" spans="1:9" x14ac:dyDescent="0.25">
      <c r="A286">
        <v>39.137535095214801</v>
      </c>
      <c r="B286">
        <v>14.414974535375199</v>
      </c>
      <c r="C286">
        <v>6.2716489193917297</v>
      </c>
      <c r="D286">
        <v>4.90603170992987</v>
      </c>
      <c r="E286">
        <v>-0.88581472562856101</v>
      </c>
      <c r="F286" s="1">
        <v>-1.7504046511323599E-3</v>
      </c>
      <c r="G286">
        <v>6.5505726321764199E-2</v>
      </c>
      <c r="H286">
        <v>0.61018106570598896</v>
      </c>
      <c r="I286">
        <v>-1.5149728882911301E-2</v>
      </c>
    </row>
    <row r="287" spans="1:9" x14ac:dyDescent="0.25">
      <c r="A287">
        <v>43.659839630126903</v>
      </c>
      <c r="B287">
        <v>14.6881903247231</v>
      </c>
      <c r="C287">
        <v>5.7394996461880501</v>
      </c>
      <c r="D287">
        <v>4.3945535830940798</v>
      </c>
      <c r="E287">
        <v>-0.89547216700240695</v>
      </c>
      <c r="F287">
        <v>-1.78704781583354E-3</v>
      </c>
      <c r="G287">
        <v>5.7893068660581901E-2</v>
      </c>
      <c r="H287">
        <v>0.59066102057466296</v>
      </c>
      <c r="I287">
        <v>-1.4027779329878601E-2</v>
      </c>
    </row>
    <row r="288" spans="1:9" x14ac:dyDescent="0.25">
      <c r="A288">
        <v>48.589299917220998</v>
      </c>
      <c r="B288">
        <v>14.9398023733192</v>
      </c>
      <c r="C288">
        <v>5.2680832581245296</v>
      </c>
      <c r="D288">
        <v>3.9439813124420402</v>
      </c>
      <c r="E288">
        <v>-0.902285821953002</v>
      </c>
      <c r="F288">
        <v>-1.7079630452831399E-3</v>
      </c>
      <c r="G288">
        <v>5.1002026791573903E-2</v>
      </c>
      <c r="H288">
        <v>0.57301136701927502</v>
      </c>
      <c r="I288">
        <v>-1.27192266481789E-2</v>
      </c>
    </row>
    <row r="289" spans="1:9" x14ac:dyDescent="0.25">
      <c r="A289">
        <v>53.962393999099703</v>
      </c>
      <c r="B289">
        <v>15.174339563145599</v>
      </c>
      <c r="C289">
        <v>4.8539923511270899</v>
      </c>
      <c r="D289">
        <v>3.5513063606172199</v>
      </c>
      <c r="E289">
        <v>-0.90669719848118802</v>
      </c>
      <c r="F289">
        <v>-1.5315886751524101E-3</v>
      </c>
      <c r="G289">
        <v>4.4825000870522103E-2</v>
      </c>
      <c r="H289">
        <v>0.55713915811129799</v>
      </c>
      <c r="I289">
        <v>-1.1358929227704999E-2</v>
      </c>
    </row>
    <row r="290" spans="1:9" x14ac:dyDescent="0.25">
      <c r="A290">
        <v>59.819004535674999</v>
      </c>
      <c r="B290">
        <v>15.395536143823801</v>
      </c>
      <c r="C290">
        <v>4.4924224002897901</v>
      </c>
      <c r="D290">
        <v>3.2120020972027801</v>
      </c>
      <c r="E290">
        <v>-0.90905552007160595</v>
      </c>
      <c r="F290">
        <v>-1.2542908502601901E-3</v>
      </c>
      <c r="G290">
        <v>3.93433993931896E-2</v>
      </c>
      <c r="H290">
        <v>0.54279929925262405</v>
      </c>
      <c r="I290">
        <v>-1.0042305542705099E-2</v>
      </c>
    </row>
    <row r="291" spans="1:9" x14ac:dyDescent="0.25">
      <c r="A291">
        <v>66.2026619911193</v>
      </c>
      <c r="B291">
        <v>15.6064438266002</v>
      </c>
      <c r="C291">
        <v>4.1776808360736997</v>
      </c>
      <c r="D291">
        <v>2.92062969430012</v>
      </c>
      <c r="E291">
        <v>-0.90966888892067699</v>
      </c>
      <c r="F291">
        <v>-9.03843352282349E-4</v>
      </c>
      <c r="G291">
        <v>3.4532322828984899E-2</v>
      </c>
      <c r="H291">
        <v>0.52978880078220403</v>
      </c>
      <c r="I291">
        <v>-8.8327833754417492E-3</v>
      </c>
    </row>
    <row r="292" spans="1:9" x14ac:dyDescent="0.25">
      <c r="A292">
        <v>73.160848617553697</v>
      </c>
      <c r="B292">
        <v>15.8095913757824</v>
      </c>
      <c r="C292">
        <v>3.9037126796756598</v>
      </c>
      <c r="D292">
        <v>2.6712269219650602</v>
      </c>
      <c r="E292">
        <v>-0.90879335710428999</v>
      </c>
      <c r="F292" s="1">
        <v>-4.83598371570989E-4</v>
      </c>
      <c r="G292">
        <v>3.03491443042362E-2</v>
      </c>
      <c r="H292">
        <v>0.51788457904915597</v>
      </c>
      <c r="I292">
        <v>-7.7606014884337897E-3</v>
      </c>
    </row>
    <row r="293" spans="1:9" x14ac:dyDescent="0.25">
      <c r="A293">
        <v>80.745424032211304</v>
      </c>
      <c r="B293">
        <v>16.0070686792278</v>
      </c>
      <c r="C293">
        <v>3.6644534899096399</v>
      </c>
      <c r="D293">
        <v>2.4578171091678498</v>
      </c>
      <c r="E293">
        <v>-0.90664946945619995</v>
      </c>
      <c r="F293" s="1">
        <v>-5.88642368417517E-5</v>
      </c>
      <c r="G293">
        <v>2.6732105947200799E-2</v>
      </c>
      <c r="H293">
        <v>0.50685672769951595</v>
      </c>
      <c r="I293">
        <v>-6.8292824091664697E-3</v>
      </c>
    </row>
    <row r="294" spans="1:9" x14ac:dyDescent="0.25">
      <c r="A294">
        <v>89.012442827224703</v>
      </c>
      <c r="B294">
        <v>16.200493500127699</v>
      </c>
      <c r="C294">
        <v>3.4543398587629701</v>
      </c>
      <c r="D294">
        <v>2.2748765634583701</v>
      </c>
      <c r="E294">
        <v>-0.90338398988359203</v>
      </c>
      <c r="F294">
        <v>3.4852435699728201E-4</v>
      </c>
      <c r="G294">
        <v>2.3610608406329898E-2</v>
      </c>
      <c r="H294">
        <v>0.49647674441073603</v>
      </c>
      <c r="I294">
        <v>-6.02638811267472E-3</v>
      </c>
    </row>
    <row r="295" spans="1:9" x14ac:dyDescent="0.25">
      <c r="A295">
        <v>98.0235528945922</v>
      </c>
      <c r="B295">
        <v>16.391214766099399</v>
      </c>
      <c r="C295">
        <v>3.2684709815839601</v>
      </c>
      <c r="D295">
        <v>2.1173373574880201</v>
      </c>
      <c r="E295">
        <v>-0.89905825214642698</v>
      </c>
      <c r="F295">
        <v>6.4468234536064399E-4</v>
      </c>
      <c r="G295">
        <v>2.0926693619794899E-2</v>
      </c>
      <c r="H295">
        <v>0.48668601536163397</v>
      </c>
      <c r="I295">
        <v>-5.3413677812089002E-3</v>
      </c>
    </row>
    <row r="296" spans="1:9" x14ac:dyDescent="0.25">
      <c r="A296">
        <v>107.845630645751</v>
      </c>
      <c r="B296">
        <v>16.580498759194501</v>
      </c>
      <c r="C296">
        <v>3.10266519481956</v>
      </c>
      <c r="D296">
        <v>1.9807919617354</v>
      </c>
      <c r="E296">
        <v>-0.89366300197460102</v>
      </c>
      <c r="F296">
        <v>8.3394472344733403E-4</v>
      </c>
      <c r="G296">
        <v>1.86177463565497E-2</v>
      </c>
      <c r="H296">
        <v>0.477350413863739</v>
      </c>
      <c r="I296">
        <v>-4.7573846093720597E-3</v>
      </c>
    </row>
    <row r="297" spans="1:9" x14ac:dyDescent="0.25">
      <c r="A297">
        <v>118.551753759384</v>
      </c>
      <c r="B297">
        <v>16.769434120997101</v>
      </c>
      <c r="C297">
        <v>2.9535444277826102</v>
      </c>
      <c r="D297">
        <v>1.8616471828014001</v>
      </c>
      <c r="E297">
        <v>-0.88726151513102303</v>
      </c>
      <c r="F297">
        <v>8.2075068413036399E-4</v>
      </c>
      <c r="G297">
        <v>1.6626087695635099E-2</v>
      </c>
      <c r="H297">
        <v>0.46831597349736598</v>
      </c>
      <c r="I297">
        <v>-4.2571302245505097E-3</v>
      </c>
    </row>
    <row r="298" spans="1:9" x14ac:dyDescent="0.25">
      <c r="A298">
        <v>130.22150516510001</v>
      </c>
      <c r="B298">
        <v>16.9589147535407</v>
      </c>
      <c r="C298">
        <v>2.8177164162116202</v>
      </c>
      <c r="D298">
        <v>1.7566141527849</v>
      </c>
      <c r="E298">
        <v>-0.87984967186888197</v>
      </c>
      <c r="F298">
        <v>4.51900573028073E-4</v>
      </c>
      <c r="G298">
        <v>1.49106217411433E-2</v>
      </c>
      <c r="H298">
        <v>0.45976082858154499</v>
      </c>
      <c r="I298">
        <v>-3.8287555411920101E-3</v>
      </c>
    </row>
    <row r="299" spans="1:9" x14ac:dyDescent="0.25">
      <c r="A299">
        <v>142.941337823867</v>
      </c>
      <c r="B299">
        <v>17.149800360693899</v>
      </c>
      <c r="C299">
        <v>2.6932624254186499</v>
      </c>
      <c r="D299">
        <v>1.66321076010483</v>
      </c>
      <c r="E299">
        <v>-0.87124612896590603</v>
      </c>
      <c r="F299" s="1">
        <v>6.9434066552303896E-5</v>
      </c>
      <c r="G299">
        <v>1.3428332583631601E-2</v>
      </c>
      <c r="H299">
        <v>0.45137292737977103</v>
      </c>
      <c r="I299">
        <v>-3.4582438371599002E-3</v>
      </c>
    </row>
    <row r="300" spans="1:9" x14ac:dyDescent="0.25">
      <c r="A300">
        <v>156.806094646453</v>
      </c>
      <c r="B300">
        <v>17.343078889443799</v>
      </c>
      <c r="C300">
        <v>2.5784307317735502</v>
      </c>
      <c r="D300">
        <v>1.5792182589022401</v>
      </c>
      <c r="E300">
        <v>-0.86159741251083399</v>
      </c>
      <c r="F300">
        <v>-2.00585881914739E-4</v>
      </c>
      <c r="G300">
        <v>1.2146963704302601E-2</v>
      </c>
      <c r="H300">
        <v>0.44300520324306197</v>
      </c>
      <c r="I300">
        <v>-3.1399635905611E-3</v>
      </c>
    </row>
    <row r="301" spans="1:9" x14ac:dyDescent="0.25">
      <c r="A301">
        <v>171.91864371299701</v>
      </c>
      <c r="B301">
        <v>17.539337408288699</v>
      </c>
      <c r="C301">
        <v>2.47394875596</v>
      </c>
      <c r="D301">
        <v>1.50404306540065</v>
      </c>
      <c r="E301">
        <v>-0.85059148950935604</v>
      </c>
      <c r="F301">
        <v>-4.3429779878457098E-4</v>
      </c>
      <c r="G301">
        <v>1.1030265662269801E-2</v>
      </c>
      <c r="H301">
        <v>0.43225503745509603</v>
      </c>
      <c r="I301">
        <v>-2.8708945040947999E-3</v>
      </c>
    </row>
    <row r="302" spans="1:9" x14ac:dyDescent="0.25">
      <c r="A302">
        <v>187.726768255233</v>
      </c>
      <c r="B302">
        <v>17.731008623286399</v>
      </c>
      <c r="C302">
        <v>2.3816226303097201</v>
      </c>
      <c r="D302">
        <v>1.43873246238185</v>
      </c>
      <c r="E302">
        <v>-0.83867162063309197</v>
      </c>
      <c r="F302">
        <v>-5.9766736147229195E-4</v>
      </c>
      <c r="G302">
        <v>9.9702321305903795E-3</v>
      </c>
      <c r="H302">
        <v>0.435113396130414</v>
      </c>
      <c r="I302">
        <v>-2.5406764682424201E-3</v>
      </c>
    </row>
    <row r="303" spans="1:9" x14ac:dyDescent="0.25">
      <c r="A303">
        <v>203.579578399658</v>
      </c>
      <c r="B303">
        <v>17.911402993395299</v>
      </c>
      <c r="C303">
        <v>2.3008029987977299</v>
      </c>
      <c r="D303">
        <v>1.3825273370251401</v>
      </c>
      <c r="E303">
        <v>-0.82633529398014405</v>
      </c>
      <c r="F303">
        <v>-3.5436149989727199E-4</v>
      </c>
      <c r="G303">
        <v>9.0968065415770304E-3</v>
      </c>
      <c r="H303">
        <v>0.436173251188885</v>
      </c>
      <c r="I303">
        <v>-2.2750076187786198E-3</v>
      </c>
    </row>
    <row r="304" spans="1:9" x14ac:dyDescent="0.25">
      <c r="A304">
        <v>219.43238854408199</v>
      </c>
      <c r="B304">
        <v>18.0816177097403</v>
      </c>
      <c r="C304">
        <v>2.22790834950501</v>
      </c>
      <c r="D304">
        <v>1.3327062762067401</v>
      </c>
      <c r="E304">
        <v>-0.81372983347744299</v>
      </c>
      <c r="F304">
        <v>1.8529593294743801E-4</v>
      </c>
      <c r="G304">
        <v>8.3805139079511197E-3</v>
      </c>
      <c r="H304">
        <v>0.43696274886998199</v>
      </c>
      <c r="I304">
        <v>-2.0612668229637201E-3</v>
      </c>
    </row>
    <row r="305" spans="1:9" x14ac:dyDescent="0.25">
      <c r="A305">
        <v>235.28525948524401</v>
      </c>
      <c r="B305">
        <v>18.243072946115699</v>
      </c>
      <c r="C305">
        <v>2.1615396691231501</v>
      </c>
      <c r="D305">
        <v>1.2879006497008301</v>
      </c>
      <c r="E305">
        <v>-0.80069426782780595</v>
      </c>
      <c r="F305">
        <v>7.9057491264331601E-4</v>
      </c>
      <c r="G305">
        <v>7.7723893898339102E-3</v>
      </c>
      <c r="H305">
        <v>0.43739784886308303</v>
      </c>
      <c r="I305">
        <v>-1.88123939196295E-3</v>
      </c>
    </row>
    <row r="306" spans="1:9" x14ac:dyDescent="0.25">
      <c r="A306">
        <v>251.13806962966899</v>
      </c>
      <c r="B306">
        <v>18.3967832480811</v>
      </c>
      <c r="C306">
        <v>2.0998950833927599</v>
      </c>
      <c r="D306">
        <v>1.24693173543976</v>
      </c>
      <c r="E306">
        <v>-0.78738422001504405</v>
      </c>
      <c r="F306">
        <v>1.2648845243667401E-3</v>
      </c>
      <c r="G306">
        <v>7.2467102634270197E-3</v>
      </c>
      <c r="H306">
        <v>0.43786294410552601</v>
      </c>
      <c r="I306">
        <v>-1.72799383598377E-3</v>
      </c>
    </row>
    <row r="307" spans="1:9" x14ac:dyDescent="0.25">
      <c r="A307">
        <v>266.99081897735499</v>
      </c>
      <c r="B307">
        <v>18.543764111145698</v>
      </c>
      <c r="C307">
        <v>2.04190463336999</v>
      </c>
      <c r="D307">
        <v>1.2088129364264799</v>
      </c>
      <c r="E307">
        <v>-0.77375746994466799</v>
      </c>
      <c r="F307">
        <v>1.7973104274125299E-3</v>
      </c>
      <c r="G307">
        <v>6.78236011901123E-3</v>
      </c>
      <c r="H307">
        <v>0.43825530746992802</v>
      </c>
      <c r="I307">
        <v>-1.5943080279086301E-3</v>
      </c>
    </row>
    <row r="308" spans="1:9" x14ac:dyDescent="0.25">
      <c r="A308">
        <v>282.84362912178</v>
      </c>
      <c r="B308">
        <v>18.684962634488301</v>
      </c>
      <c r="C308">
        <v>1.9864266825607</v>
      </c>
      <c r="D308">
        <v>1.1728007888735501</v>
      </c>
      <c r="E308">
        <v>-0.75987601391455595</v>
      </c>
      <c r="F308" s="1">
        <v>2.0421050631812699E-3</v>
      </c>
      <c r="G308">
        <v>6.3679779091138601E-3</v>
      </c>
      <c r="H308">
        <v>0.43876356086146501</v>
      </c>
      <c r="I308">
        <v>-1.4762107895556599E-3</v>
      </c>
    </row>
    <row r="309" spans="1:9" x14ac:dyDescent="0.25">
      <c r="A309">
        <v>298.69643926620398</v>
      </c>
      <c r="B309">
        <v>18.8208110449158</v>
      </c>
      <c r="C309">
        <v>1.93333904794599</v>
      </c>
      <c r="D309">
        <v>1.1388433884440401</v>
      </c>
      <c r="E309">
        <v>-0.74583863019197505</v>
      </c>
      <c r="F309">
        <v>1.6365067862671001E-3</v>
      </c>
      <c r="G309">
        <v>5.99271282371798E-3</v>
      </c>
      <c r="H309">
        <v>0.43914340020834702</v>
      </c>
      <c r="I309">
        <v>-1.3700040062981399E-3</v>
      </c>
    </row>
    <row r="310" spans="1:9" x14ac:dyDescent="0.25">
      <c r="A310">
        <v>314.54931020736598</v>
      </c>
      <c r="B310">
        <v>18.9516532239758</v>
      </c>
      <c r="C310">
        <v>1.8823266321760399</v>
      </c>
      <c r="D310">
        <v>1.10664388719247</v>
      </c>
      <c r="E310">
        <v>-0.731579189419583</v>
      </c>
      <c r="F310">
        <v>1.1244070059731801E-3</v>
      </c>
      <c r="G310">
        <v>5.6493994174409102E-3</v>
      </c>
      <c r="H310">
        <v>0.43951224546591</v>
      </c>
      <c r="I310">
        <v>-1.2734129143170401E-3</v>
      </c>
    </row>
    <row r="311" spans="1:9" x14ac:dyDescent="0.25">
      <c r="A311">
        <v>330.40212035179098</v>
      </c>
      <c r="B311">
        <v>19.077851102247202</v>
      </c>
      <c r="C311">
        <v>1.83309988633482</v>
      </c>
      <c r="D311">
        <v>1.0758437325825501</v>
      </c>
      <c r="E311">
        <v>-0.71716806659038301</v>
      </c>
      <c r="F311">
        <v>8.72433318660014E-4</v>
      </c>
      <c r="G311">
        <v>5.3289126013636402E-3</v>
      </c>
      <c r="H311">
        <v>0.43953310385667299</v>
      </c>
      <c r="I311">
        <v>-1.18392814501847E-3</v>
      </c>
    </row>
    <row r="312" spans="1:9" x14ac:dyDescent="0.25">
      <c r="A312">
        <v>346.25493049621502</v>
      </c>
      <c r="B312">
        <v>19.199802708371799</v>
      </c>
      <c r="C312">
        <v>1.78479264754969</v>
      </c>
      <c r="D312">
        <v>1.04587648470553</v>
      </c>
      <c r="E312">
        <v>-0.70255326046644295</v>
      </c>
      <c r="F312">
        <v>5.2481101237565402E-4</v>
      </c>
      <c r="G312">
        <v>5.0343339073856399E-3</v>
      </c>
      <c r="H312">
        <v>0.43976333351192798</v>
      </c>
      <c r="I312">
        <v>-1.1034636297863299E-3</v>
      </c>
    </row>
    <row r="313" spans="1:9" x14ac:dyDescent="0.25">
      <c r="A313">
        <v>362.10780143737702</v>
      </c>
      <c r="B313">
        <v>19.317947868748799</v>
      </c>
      <c r="C313">
        <v>1.7374240771459799</v>
      </c>
      <c r="D313">
        <v>1.0167473431875</v>
      </c>
      <c r="E313">
        <v>-0.68779875721622596</v>
      </c>
      <c r="F313">
        <v>1.9694177100327499E-4</v>
      </c>
      <c r="G313">
        <v>4.75875057833624E-3</v>
      </c>
      <c r="H313">
        <v>0.44003389300297802</v>
      </c>
      <c r="I313">
        <v>-1.0275374335616499E-3</v>
      </c>
    </row>
    <row r="314" spans="1:9" x14ac:dyDescent="0.25">
      <c r="A314">
        <v>377.96061158180203</v>
      </c>
      <c r="B314">
        <v>19.432452824457801</v>
      </c>
      <c r="C314">
        <v>1.69066157236557</v>
      </c>
      <c r="D314">
        <v>0.98833173084918502</v>
      </c>
      <c r="E314">
        <v>-0.67290691937042901</v>
      </c>
      <c r="F314" s="1">
        <v>6.8185467569634295E-5</v>
      </c>
      <c r="G314">
        <v>4.49994186151788E-3</v>
      </c>
      <c r="H314">
        <v>0.44031968612982803</v>
      </c>
      <c r="I314">
        <v>-9.5647993070282404E-4</v>
      </c>
    </row>
    <row r="315" spans="1:9" x14ac:dyDescent="0.25">
      <c r="A315">
        <v>393.81348252296402</v>
      </c>
      <c r="B315">
        <v>19.543436319127</v>
      </c>
      <c r="C315">
        <v>1.6446275527869101</v>
      </c>
      <c r="D315">
        <v>0.96050012809562801</v>
      </c>
      <c r="E315">
        <v>-0.65790816179717804</v>
      </c>
      <c r="F315">
        <v>2.33297859917178E-4</v>
      </c>
      <c r="G315">
        <v>4.2544099817300902E-3</v>
      </c>
      <c r="H315">
        <v>0.440511547278163</v>
      </c>
      <c r="I315">
        <v>-8.8934168377444904E-4</v>
      </c>
    </row>
    <row r="316" spans="1:9" x14ac:dyDescent="0.25">
      <c r="A316">
        <v>409.66629266738801</v>
      </c>
      <c r="B316">
        <v>19.651123490675602</v>
      </c>
      <c r="C316">
        <v>1.5992691473456899</v>
      </c>
      <c r="D316">
        <v>0.93320387637388003</v>
      </c>
      <c r="E316">
        <v>-0.64275149241491802</v>
      </c>
      <c r="F316">
        <v>4.8976379543772203E-4</v>
      </c>
      <c r="G316">
        <v>4.0218042784430598E-3</v>
      </c>
      <c r="H316">
        <v>0.44062499740488198</v>
      </c>
      <c r="I316">
        <v>-8.2662798397839597E-4</v>
      </c>
    </row>
    <row r="317" spans="1:9" x14ac:dyDescent="0.25">
      <c r="A317">
        <v>425.519042015075</v>
      </c>
      <c r="B317">
        <v>19.755635932579001</v>
      </c>
      <c r="C317">
        <v>1.5544715063697301</v>
      </c>
      <c r="D317">
        <v>0.90653090627994004</v>
      </c>
      <c r="E317">
        <v>-0.62747038754165196</v>
      </c>
      <c r="F317">
        <v>5.3169656127742603E-4</v>
      </c>
      <c r="G317">
        <v>3.8027246785672002E-3</v>
      </c>
      <c r="H317">
        <v>0.440811898797691</v>
      </c>
      <c r="I317">
        <v>-7.6816967169770697E-4</v>
      </c>
    </row>
    <row r="318" spans="1:9" x14ac:dyDescent="0.25">
      <c r="A318">
        <v>441.371912956237</v>
      </c>
      <c r="B318">
        <v>19.857175983979602</v>
      </c>
      <c r="C318">
        <v>1.5105966842838801</v>
      </c>
      <c r="D318">
        <v>0.88048640067399198</v>
      </c>
      <c r="E318">
        <v>-0.61206085470969196</v>
      </c>
      <c r="F318">
        <v>4.9978296166921805E-4</v>
      </c>
      <c r="G318">
        <v>3.5957042977919598E-3</v>
      </c>
      <c r="H318">
        <v>0.44113129440441401</v>
      </c>
      <c r="I318">
        <v>-7.13982217470307E-4</v>
      </c>
    </row>
    <row r="319" spans="1:9" x14ac:dyDescent="0.25">
      <c r="A319">
        <v>457.22478389739899</v>
      </c>
      <c r="B319">
        <v>19.9559060861611</v>
      </c>
      <c r="C319">
        <v>1.4674162828214301</v>
      </c>
      <c r="D319">
        <v>0.85495783763011701</v>
      </c>
      <c r="E319">
        <v>-0.59653356057798101</v>
      </c>
      <c r="F319">
        <v>4.4549882831972402E-4</v>
      </c>
      <c r="G319">
        <v>3.39767074288596E-3</v>
      </c>
      <c r="H319">
        <v>0.441210963992553</v>
      </c>
      <c r="I319">
        <v>-6.6276816440157503E-4</v>
      </c>
    </row>
    <row r="320" spans="1:9" x14ac:dyDescent="0.25">
      <c r="A320">
        <v>473.07753324508599</v>
      </c>
      <c r="B320">
        <v>20.051922183974899</v>
      </c>
      <c r="C320">
        <v>1.42468084991378</v>
      </c>
      <c r="D320">
        <v>0.82971170299158903</v>
      </c>
      <c r="E320">
        <v>-0.58091314859369603</v>
      </c>
      <c r="F320" s="1">
        <v>4.4668227181379202E-4</v>
      </c>
      <c r="G320">
        <v>3.2083309713255999E-3</v>
      </c>
      <c r="H320">
        <v>0.44126345790171001</v>
      </c>
      <c r="I320">
        <v>-6.1441348957294302E-4</v>
      </c>
    </row>
    <row r="321" spans="1:9" x14ac:dyDescent="0.25">
      <c r="A321">
        <v>488.93034338951099</v>
      </c>
      <c r="B321">
        <v>20.145229027166302</v>
      </c>
      <c r="C321">
        <v>1.3824031597778199</v>
      </c>
      <c r="D321">
        <v>0.80481288495881098</v>
      </c>
      <c r="E321">
        <v>-0.56517878806024202</v>
      </c>
      <c r="F321">
        <v>1.49959536026114E-4</v>
      </c>
      <c r="G321">
        <v>3.02841406702288E-3</v>
      </c>
      <c r="H321">
        <v>0.441574717943096</v>
      </c>
      <c r="I321">
        <v>-5.6910538359311396E-4</v>
      </c>
    </row>
    <row r="322" spans="1:9" x14ac:dyDescent="0.25">
      <c r="A322">
        <v>504.78321433067299</v>
      </c>
      <c r="B322">
        <v>20.236006156101201</v>
      </c>
      <c r="C322">
        <v>1.3404429325873899</v>
      </c>
      <c r="D322" s="1">
        <v>0.78003798626951804</v>
      </c>
      <c r="E322" s="1">
        <v>-0.54932578160566903</v>
      </c>
      <c r="F322" s="1">
        <v>-3.6537241725098901E-4</v>
      </c>
      <c r="G322" s="1">
        <v>2.8579172341741E-3</v>
      </c>
      <c r="H322">
        <v>0.44200450562028198</v>
      </c>
      <c r="I322" s="1">
        <v>-5.26674001857971E-4</v>
      </c>
    </row>
    <row r="323" spans="1:9" x14ac:dyDescent="0.25">
      <c r="A323">
        <v>520.63602447509697</v>
      </c>
      <c r="B323">
        <v>20.324450210227901</v>
      </c>
      <c r="C323">
        <v>1.29876764140135</v>
      </c>
      <c r="D323" s="1">
        <v>0.75542116920570601</v>
      </c>
      <c r="E323" s="1">
        <v>-0.53337489245839598</v>
      </c>
      <c r="F323" s="1">
        <v>-8.4786371637723002E-4</v>
      </c>
      <c r="G323" s="1">
        <v>2.69548250387303E-3</v>
      </c>
      <c r="H323">
        <v>0.442432737548835</v>
      </c>
      <c r="I323" s="1">
        <v>-4.86290303682097E-4</v>
      </c>
    </row>
    <row r="324" spans="1:9" x14ac:dyDescent="0.25">
      <c r="A324">
        <v>536.48889541625897</v>
      </c>
      <c r="B324">
        <v>20.410435796275099</v>
      </c>
      <c r="C324">
        <v>1.25770988897784</v>
      </c>
      <c r="D324" s="1">
        <v>0.73136060680676496</v>
      </c>
      <c r="E324" s="1">
        <v>-0.51738269036206797</v>
      </c>
      <c r="F324" s="1">
        <v>-1.11444034634867E-3</v>
      </c>
      <c r="G324" s="1">
        <v>2.5384922245031199E-3</v>
      </c>
      <c r="H324">
        <v>0.44245591443104898</v>
      </c>
      <c r="I324" s="1">
        <v>-4.4787740930501898E-4</v>
      </c>
    </row>
    <row r="325" spans="1:9" x14ac:dyDescent="0.25">
      <c r="A325">
        <v>552.34173595905304</v>
      </c>
      <c r="B325">
        <v>20.493782423927701</v>
      </c>
      <c r="C325">
        <v>1.21700614795372</v>
      </c>
      <c r="D325" s="1">
        <v>0.70747230985668697</v>
      </c>
      <c r="E325" s="1">
        <v>-0.50131503160355495</v>
      </c>
      <c r="F325" s="1">
        <v>-1.1203976897772199E-3</v>
      </c>
      <c r="G325" s="1">
        <v>2.3879943411170101E-3</v>
      </c>
      <c r="H325">
        <v>0.44233324857116602</v>
      </c>
      <c r="I325" s="1">
        <v>-4.1181311807592103E-4</v>
      </c>
    </row>
    <row r="326" spans="1:9" x14ac:dyDescent="0.25">
      <c r="A326">
        <v>568.19448530673901</v>
      </c>
      <c r="B326">
        <v>20.5744368960404</v>
      </c>
      <c r="C326">
        <v>1.17637242856289</v>
      </c>
      <c r="D326" s="1">
        <v>0.68351582157288204</v>
      </c>
      <c r="E326" s="1">
        <v>-0.48514133419001598</v>
      </c>
      <c r="F326" s="1">
        <v>-1.0918097758630301E-3</v>
      </c>
      <c r="G326" s="1">
        <v>2.2436882668663599E-3</v>
      </c>
      <c r="H326">
        <v>0.44209793562990601</v>
      </c>
      <c r="I326" s="1">
        <v>-3.7781238394285E-4</v>
      </c>
    </row>
    <row r="327" spans="1:9" x14ac:dyDescent="0.25">
      <c r="A327">
        <v>584.04732584953297</v>
      </c>
      <c r="B327">
        <v>20.652607251449801</v>
      </c>
      <c r="C327">
        <v>1.1358579351963201</v>
      </c>
      <c r="D327" s="1">
        <v>0.65959913016188798</v>
      </c>
      <c r="E327" s="1">
        <v>-0.46886973087106099</v>
      </c>
      <c r="F327" s="1">
        <v>-9.9384800762438406E-4</v>
      </c>
      <c r="G327" s="1">
        <v>2.10750394325992E-3</v>
      </c>
      <c r="H327">
        <v>0.442377490455856</v>
      </c>
      <c r="I327" s="1">
        <v>-3.4662682661855897E-4</v>
      </c>
    </row>
    <row r="328" spans="1:9" x14ac:dyDescent="0.25">
      <c r="A328">
        <v>599.90016639232601</v>
      </c>
      <c r="B328">
        <v>20.728513878329899</v>
      </c>
      <c r="C328">
        <v>1.09570336721844</v>
      </c>
      <c r="D328" s="1">
        <v>0.63577150754958101</v>
      </c>
      <c r="E328" s="1">
        <v>-0.45250346447155199</v>
      </c>
      <c r="F328" s="1">
        <v>-7.34300508259363E-4</v>
      </c>
      <c r="G328" s="1">
        <v>1.9772513103223002E-3</v>
      </c>
      <c r="H328">
        <v>0.44252597538385602</v>
      </c>
      <c r="I328" s="1">
        <v>-3.1715260735074399E-4</v>
      </c>
    </row>
    <row r="329" spans="1:9" x14ac:dyDescent="0.25">
      <c r="A329">
        <v>615.75300693511895</v>
      </c>
      <c r="B329">
        <v>20.802045632644798</v>
      </c>
      <c r="C329">
        <v>1.05574455228634</v>
      </c>
      <c r="D329" s="1">
        <v>0.61221616610269902</v>
      </c>
      <c r="E329" s="1">
        <v>-0.436101765424664</v>
      </c>
      <c r="F329" s="1">
        <v>-2.9947210459977601E-4</v>
      </c>
      <c r="G329" s="1">
        <v>1.85277038421286E-3</v>
      </c>
      <c r="H329">
        <v>0.44267657998766302</v>
      </c>
      <c r="I329" s="1">
        <v>-2.8961188309230903E-4</v>
      </c>
    </row>
    <row r="330" spans="1:9" x14ac:dyDescent="0.25">
      <c r="A330">
        <v>631.60581707954395</v>
      </c>
      <c r="B330">
        <v>20.873099919899602</v>
      </c>
      <c r="C330">
        <v>1.0158701891214099</v>
      </c>
      <c r="D330" s="1">
        <v>0.58882281569354999</v>
      </c>
      <c r="E330" s="1">
        <v>-0.41961005181126598</v>
      </c>
      <c r="F330" s="1">
        <v>3.8000893285273397E-5</v>
      </c>
      <c r="G330" s="1">
        <v>1.7335869592635001E-3</v>
      </c>
      <c r="H330">
        <v>0.44299111672886698</v>
      </c>
      <c r="I330" s="1">
        <v>-2.6356020395150302E-4</v>
      </c>
    </row>
    <row r="331" spans="1:9" x14ac:dyDescent="0.25">
      <c r="A331">
        <v>647.45859682559899</v>
      </c>
      <c r="B331">
        <v>20.941757485761599</v>
      </c>
      <c r="C331">
        <v>0.97622416508329402</v>
      </c>
      <c r="D331" s="1">
        <v>0.565711548633966</v>
      </c>
      <c r="E331" s="1">
        <v>-0.40304641439239203</v>
      </c>
      <c r="F331" s="1">
        <v>2.5391854945411302E-4</v>
      </c>
      <c r="G331" s="1">
        <v>1.6203090001177701E-3</v>
      </c>
      <c r="H331">
        <v>0.44346394678739098</v>
      </c>
      <c r="I331" s="1">
        <v>-2.3936681782973999E-4</v>
      </c>
    </row>
    <row r="332" spans="1:9" x14ac:dyDescent="0.25">
      <c r="A332">
        <v>663.31143736839203</v>
      </c>
      <c r="B332">
        <v>21.008005980893302</v>
      </c>
      <c r="C332">
        <v>0.93704262576466102</v>
      </c>
      <c r="D332" s="1">
        <v>0.54273544407252095</v>
      </c>
      <c r="E332" s="1">
        <v>-0.38643347326313698</v>
      </c>
      <c r="F332" s="1">
        <v>4.65188283147311E-4</v>
      </c>
      <c r="G332" s="1">
        <v>1.5128707140933601E-3</v>
      </c>
      <c r="H332">
        <v>0.44394051620584501</v>
      </c>
      <c r="I332" s="1">
        <v>-2.17015431229856E-4</v>
      </c>
    </row>
    <row r="333" spans="1:9" x14ac:dyDescent="0.25">
      <c r="A333">
        <v>679.16427791118599</v>
      </c>
      <c r="B333">
        <v>21.071903352185402</v>
      </c>
      <c r="C333">
        <v>0.89814087727972902</v>
      </c>
      <c r="D333" s="1">
        <v>0.51968554888085805</v>
      </c>
      <c r="E333" s="1">
        <v>-0.369717543592124</v>
      </c>
      <c r="F333" s="1">
        <v>6.7425408613356599E-4</v>
      </c>
      <c r="G333" s="1">
        <v>1.4106991528917499E-3</v>
      </c>
      <c r="H333">
        <v>0.44442128758934502</v>
      </c>
      <c r="I333" s="1">
        <v>-1.9632771729390799E-4</v>
      </c>
    </row>
    <row r="334" spans="1:9" x14ac:dyDescent="0.25">
      <c r="A334">
        <v>695.01711845397904</v>
      </c>
      <c r="B334">
        <v>21.1335730930113</v>
      </c>
      <c r="C334">
        <v>0.85963382844056402</v>
      </c>
      <c r="D334" s="1">
        <v>0.49667348716244802</v>
      </c>
      <c r="E334" s="1">
        <v>-0.35293940098967203</v>
      </c>
      <c r="F334" s="1">
        <v>8.6537105736265996E-4</v>
      </c>
      <c r="G334" s="1">
        <v>1.3132756615511999E-3</v>
      </c>
      <c r="H334">
        <v>0.44478256287629198</v>
      </c>
      <c r="I334" s="1">
        <v>-1.7712401258858501E-4</v>
      </c>
    </row>
    <row r="335" spans="1:9" x14ac:dyDescent="0.25">
      <c r="A335">
        <v>710.86992859840302</v>
      </c>
      <c r="B335">
        <v>21.192884110405402</v>
      </c>
      <c r="C335">
        <v>0.821834506700725</v>
      </c>
      <c r="D335" s="1">
        <v>0.47396638268813601</v>
      </c>
      <c r="E335" s="1">
        <v>-0.33610996503476698</v>
      </c>
      <c r="F335" s="1">
        <v>8.6810901266794096E-4</v>
      </c>
      <c r="G335" s="1">
        <v>1.22074263692407E-3</v>
      </c>
      <c r="H335">
        <v>0.44497882419696999</v>
      </c>
      <c r="I335" s="1">
        <v>-1.5926602148990499E-4</v>
      </c>
    </row>
    <row r="336" spans="1:9" x14ac:dyDescent="0.25">
      <c r="A336">
        <v>726.72273874282803</v>
      </c>
      <c r="B336">
        <v>21.249768957986799</v>
      </c>
      <c r="C336">
        <v>0.78486166496531895</v>
      </c>
      <c r="D336" s="1">
        <v>0.451474259433015</v>
      </c>
      <c r="E336" s="1">
        <v>-0.31922150457311799</v>
      </c>
      <c r="F336" s="1">
        <v>8.6244968772258704E-4</v>
      </c>
      <c r="G336" s="1">
        <v>1.1334691107683301E-3</v>
      </c>
      <c r="H336">
        <v>0.44518428369825602</v>
      </c>
      <c r="I336" s="1">
        <v>-1.4294606481557299E-4</v>
      </c>
    </row>
    <row r="337" spans="1:9" x14ac:dyDescent="0.25">
      <c r="A337">
        <v>742.57554888725201</v>
      </c>
      <c r="B337">
        <v>21.304241884990901</v>
      </c>
      <c r="C337">
        <v>0.74859660946913198</v>
      </c>
      <c r="D337" s="1">
        <v>0.429238117881863</v>
      </c>
      <c r="E337" s="1">
        <v>-0.30228119768023298</v>
      </c>
      <c r="F337" s="1">
        <v>1.0166164857733999E-3</v>
      </c>
      <c r="G337" s="1">
        <v>1.0512936744672299E-3</v>
      </c>
      <c r="H337">
        <v>0.44545910559185098</v>
      </c>
      <c r="I337" s="1">
        <v>-1.2801554975306399E-4</v>
      </c>
    </row>
    <row r="338" spans="1:9" x14ac:dyDescent="0.25">
      <c r="A338">
        <v>758.42838943004597</v>
      </c>
      <c r="B338">
        <v>21.356235445036798</v>
      </c>
      <c r="C338">
        <v>0.71296257663107099</v>
      </c>
      <c r="D338" s="1">
        <v>0.40738448213457701</v>
      </c>
      <c r="E338" s="1">
        <v>-0.28529127975901603</v>
      </c>
      <c r="F338" s="1">
        <v>1.2025514771414601E-3</v>
      </c>
      <c r="G338" s="1">
        <v>9.7433934565373096E-4</v>
      </c>
      <c r="H338">
        <v>0.44602686259336199</v>
      </c>
      <c r="I338" s="1">
        <v>-1.1448383555697101E-4</v>
      </c>
    </row>
    <row r="339" spans="1:9" x14ac:dyDescent="0.25">
      <c r="A339">
        <v>774.28122997283901</v>
      </c>
      <c r="B339">
        <v>21.405685991539901</v>
      </c>
      <c r="C339">
        <v>0.67826236270320805</v>
      </c>
      <c r="D339" s="1">
        <v>0.38612453967371502</v>
      </c>
      <c r="E339" s="1">
        <v>-0.26825534958231301</v>
      </c>
      <c r="F339" s="1">
        <v>1.3184768815553501E-3</v>
      </c>
      <c r="G339" s="1">
        <v>9.0225313718366601E-4</v>
      </c>
      <c r="H339">
        <v>0.44654858788933299</v>
      </c>
      <c r="I339" s="1">
        <v>-1.02493547902265E-4</v>
      </c>
    </row>
    <row r="340" spans="1:9" x14ac:dyDescent="0.25">
      <c r="A340">
        <v>790.13402491807904</v>
      </c>
      <c r="B340">
        <v>21.452573575570501</v>
      </c>
      <c r="C340">
        <v>0.64468137125004399</v>
      </c>
      <c r="D340" s="1">
        <v>0.36539694047312898</v>
      </c>
      <c r="E340" s="1">
        <v>-0.25115911855655398</v>
      </c>
      <c r="F340" s="1">
        <v>1.3152123738238001E-3</v>
      </c>
      <c r="G340" s="1">
        <v>8.3511869600393898E-4</v>
      </c>
      <c r="H340">
        <v>0.44711584036457402</v>
      </c>
      <c r="I340" s="1">
        <v>-9.1963765477590901E-5</v>
      </c>
    </row>
    <row r="341" spans="1:9" x14ac:dyDescent="0.25">
      <c r="A341">
        <v>805.98686546087197</v>
      </c>
      <c r="B341">
        <v>21.496840250238101</v>
      </c>
      <c r="C341">
        <v>0.61223066143156701</v>
      </c>
      <c r="D341" s="1">
        <v>0.34522858647418903</v>
      </c>
      <c r="E341" s="1">
        <v>-0.23402300793104899</v>
      </c>
      <c r="F341" s="1">
        <v>1.2322729452807601E-3</v>
      </c>
      <c r="G341" s="1">
        <v>7.7307845183435299E-4</v>
      </c>
      <c r="H341">
        <v>0.44793831793784</v>
      </c>
      <c r="I341" s="1">
        <v>-8.2449030075989397E-5</v>
      </c>
    </row>
    <row r="342" spans="1:9" x14ac:dyDescent="0.25">
      <c r="A342">
        <v>821.83970600366501</v>
      </c>
      <c r="B342">
        <v>21.538390070691001</v>
      </c>
      <c r="C342">
        <v>0.58119339505537904</v>
      </c>
      <c r="D342" s="1">
        <v>0.325729164483057</v>
      </c>
      <c r="E342" s="1">
        <v>-0.216849025443655</v>
      </c>
      <c r="F342" s="1">
        <v>1.1808164929336101E-3</v>
      </c>
      <c r="G342" s="1">
        <v>7.1561057358259298E-4</v>
      </c>
      <c r="H342">
        <v>0.44861614059738297</v>
      </c>
      <c r="I342" s="1">
        <v>-7.3900256155924997E-5</v>
      </c>
    </row>
    <row r="343" spans="1:9" x14ac:dyDescent="0.25">
      <c r="A343">
        <v>837.69251614809002</v>
      </c>
      <c r="B343">
        <v>21.5771489409053</v>
      </c>
      <c r="C343">
        <v>0.55167827124478197</v>
      </c>
      <c r="D343" s="1">
        <v>0.30694449107101501</v>
      </c>
      <c r="E343" s="1">
        <v>-0.19964644121042599</v>
      </c>
      <c r="F343" s="1">
        <v>1.13847161447499E-3</v>
      </c>
      <c r="G343" s="1">
        <v>6.6315680974106395E-4</v>
      </c>
      <c r="H343">
        <v>0.44947771205332498</v>
      </c>
      <c r="I343" s="1">
        <v>-6.6559173746696796E-5</v>
      </c>
    </row>
    <row r="344" spans="1:9" x14ac:dyDescent="0.25">
      <c r="A344">
        <v>853.54535669088295</v>
      </c>
      <c r="B344">
        <v>21.612971518679799</v>
      </c>
      <c r="C344">
        <v>0.52380475258360104</v>
      </c>
      <c r="D344" s="1">
        <v>0.289072964427529</v>
      </c>
      <c r="E344" s="1">
        <v>-0.18240713120034099</v>
      </c>
      <c r="F344" s="1">
        <v>1.10069705554785E-3</v>
      </c>
      <c r="G344" s="1">
        <v>6.1516319158287495E-4</v>
      </c>
      <c r="H344">
        <v>0.45014785338996399</v>
      </c>
      <c r="I344" s="1">
        <v>-6.0097914951088598E-5</v>
      </c>
    </row>
    <row r="345" spans="1:9" x14ac:dyDescent="0.25">
      <c r="A345">
        <v>869.39818203449204</v>
      </c>
      <c r="B345">
        <v>21.645783707990599</v>
      </c>
      <c r="C345">
        <v>0.49763257036374797</v>
      </c>
      <c r="D345" s="1">
        <v>0.27220218934568902</v>
      </c>
      <c r="E345" s="1">
        <v>-0.16513333222243001</v>
      </c>
      <c r="F345" s="1">
        <v>1.02808397243206E-3</v>
      </c>
      <c r="G345" s="1">
        <v>5.7221451392490299E-4</v>
      </c>
      <c r="H345">
        <v>0.45116261777594002</v>
      </c>
      <c r="I345" s="1">
        <v>-5.4644585987455398E-5</v>
      </c>
    </row>
    <row r="346" spans="1:9" x14ac:dyDescent="0.25">
      <c r="A346">
        <v>885.25099217891602</v>
      </c>
      <c r="B346">
        <v>21.675583608939601</v>
      </c>
      <c r="C346">
        <v>0.47339077339074698</v>
      </c>
      <c r="D346" s="1">
        <v>0.25653903881709</v>
      </c>
      <c r="E346" s="1">
        <v>-0.14782275749413501</v>
      </c>
      <c r="F346" s="1">
        <v>9.1562302185559704E-4</v>
      </c>
      <c r="G346" s="1">
        <v>5.3420399612154801E-4</v>
      </c>
      <c r="H346">
        <v>0.45247833681875499</v>
      </c>
      <c r="I346" s="1">
        <v>-5.01471646357101E-5</v>
      </c>
    </row>
    <row r="347" spans="1:9" x14ac:dyDescent="0.25">
      <c r="A347">
        <v>901.10380992293301</v>
      </c>
      <c r="B347">
        <v>21.702332273616701</v>
      </c>
      <c r="C347">
        <v>0.45134398311574803</v>
      </c>
      <c r="D347" s="1">
        <v>0.24221696964782599</v>
      </c>
      <c r="E347" s="1">
        <v>-0.130484132041531</v>
      </c>
      <c r="F347" s="1">
        <v>8.2024280791873105E-4</v>
      </c>
      <c r="G347" s="1">
        <v>5.0057180536622803E-4</v>
      </c>
      <c r="H347">
        <v>0.45362312236123198</v>
      </c>
      <c r="I347" s="1">
        <v>-4.6383980902492098E-5</v>
      </c>
    </row>
    <row r="348" spans="1:9" x14ac:dyDescent="0.25">
      <c r="A348">
        <v>916.95665046572606</v>
      </c>
      <c r="B348">
        <v>21.7259679553353</v>
      </c>
      <c r="C348">
        <v>0.431628103012826</v>
      </c>
      <c r="D348" s="1">
        <v>0.229338474895046</v>
      </c>
      <c r="E348" s="1">
        <v>-0.113124104934038</v>
      </c>
      <c r="F348" s="1">
        <v>7.8743726776852804E-4</v>
      </c>
      <c r="G348" s="1">
        <v>4.7135691711509299E-4</v>
      </c>
      <c r="H348">
        <v>0.45479016894735902</v>
      </c>
      <c r="I348" s="1">
        <v>-4.3233823983303298E-5</v>
      </c>
    </row>
    <row r="349" spans="1:9" x14ac:dyDescent="0.25">
      <c r="A349">
        <v>932.80946820974305</v>
      </c>
      <c r="B349">
        <v>21.746364310874899</v>
      </c>
      <c r="C349">
        <v>0.414444356567855</v>
      </c>
      <c r="D349" s="1">
        <v>0.21806836679483799</v>
      </c>
      <c r="E349" s="1">
        <v>-9.5751936057856396E-2</v>
      </c>
      <c r="F349" s="1">
        <v>8.4774831094945396E-4</v>
      </c>
      <c r="G349" s="1">
        <v>4.4650474086141E-4</v>
      </c>
      <c r="H349">
        <v>0.45589899645319998</v>
      </c>
      <c r="I349" s="1">
        <v>-4.0785609638273901E-5</v>
      </c>
    </row>
    <row r="350" spans="1:9" x14ac:dyDescent="0.25">
      <c r="A350">
        <v>948.66229355335201</v>
      </c>
      <c r="B350">
        <v>21.763369348391201</v>
      </c>
      <c r="C350">
        <v>0.39994715804141301</v>
      </c>
      <c r="D350" s="1">
        <v>0.208460351397495</v>
      </c>
      <c r="E350" s="1">
        <v>-7.8365390381296501E-2</v>
      </c>
      <c r="F350" s="1">
        <v>9.5215841634522201E-4</v>
      </c>
      <c r="G350" s="1">
        <v>4.2578946613722603E-4</v>
      </c>
      <c r="H350">
        <v>0.456692612308438</v>
      </c>
      <c r="I350" s="1">
        <v>-3.88974696101814E-5</v>
      </c>
    </row>
    <row r="351" spans="1:9" x14ac:dyDescent="0.25">
      <c r="A351">
        <v>964.51511889696098</v>
      </c>
      <c r="B351">
        <v>21.776937470331099</v>
      </c>
      <c r="C351">
        <v>0.38815986769122901</v>
      </c>
      <c r="D351" s="1">
        <v>0.20061109744276501</v>
      </c>
      <c r="E351" s="1">
        <v>-6.0955178601171403E-2</v>
      </c>
      <c r="F351" s="1">
        <v>9.9931511378288998E-4</v>
      </c>
      <c r="G351" s="1">
        <v>4.09311042971184E-4</v>
      </c>
      <c r="H351">
        <v>0.45735406333267298</v>
      </c>
      <c r="I351" s="1">
        <v>-3.7426180968416898E-5</v>
      </c>
    </row>
    <row r="352" spans="1:9" x14ac:dyDescent="0.25">
      <c r="A352">
        <v>980.36794044077305</v>
      </c>
      <c r="B352">
        <v>21.787085775777001</v>
      </c>
      <c r="C352">
        <v>0.37916560663688798</v>
      </c>
      <c r="D352" s="1">
        <v>0.194574921843364</v>
      </c>
      <c r="E352" s="1">
        <v>-4.3530224482568401E-2</v>
      </c>
      <c r="F352" s="1">
        <v>9.3880403110820998E-4</v>
      </c>
      <c r="G352" s="1">
        <v>3.9729482208202601E-4</v>
      </c>
      <c r="H352">
        <v>0.45813463544288002</v>
      </c>
      <c r="I352" s="1">
        <v>-3.6469806473315801E-5</v>
      </c>
    </row>
    <row r="353" spans="1:9" x14ac:dyDescent="0.25">
      <c r="A353">
        <v>996.22076388448397</v>
      </c>
      <c r="B353">
        <v>21.793819014474099</v>
      </c>
      <c r="C353">
        <v>0.37313883756269201</v>
      </c>
      <c r="D353" s="1">
        <v>0.190359220765352</v>
      </c>
      <c r="E353" s="1">
        <v>-2.6090568571689999E-2</v>
      </c>
      <c r="F353" s="1">
        <v>7.5775433890972702E-4</v>
      </c>
      <c r="G353" s="1">
        <v>3.89321936176727E-4</v>
      </c>
      <c r="H353">
        <v>0.45871545481277298</v>
      </c>
      <c r="I353" s="1">
        <v>-3.5849380522223E-5</v>
      </c>
    </row>
    <row r="354" spans="1:9" x14ac:dyDescent="0.25">
      <c r="A354">
        <v>1012.07358780317</v>
      </c>
      <c r="B354">
        <v>21.797161885097001</v>
      </c>
      <c r="C354">
        <v>0.37017841279975899</v>
      </c>
      <c r="D354" s="1">
        <v>0.188237217272167</v>
      </c>
      <c r="E354" s="1">
        <v>-8.6541148822487507E-3</v>
      </c>
      <c r="F354" s="1">
        <v>5.4596528415798602E-4</v>
      </c>
      <c r="G354" s="1">
        <v>3.85227170477401E-4</v>
      </c>
      <c r="H354">
        <v>0.45901722706563303</v>
      </c>
      <c r="I354" s="1">
        <v>-3.5472566887916399E-5</v>
      </c>
    </row>
    <row r="355" spans="1:9" x14ac:dyDescent="0.25">
      <c r="A355" t="s">
        <v>493</v>
      </c>
      <c r="B355" t="s">
        <v>528</v>
      </c>
      <c r="C355" t="s">
        <v>529</v>
      </c>
      <c r="D355" t="s">
        <v>530</v>
      </c>
      <c r="E355" t="s">
        <v>531</v>
      </c>
      <c r="F355" t="s">
        <v>532</v>
      </c>
      <c r="G355" t="s">
        <v>370</v>
      </c>
      <c r="H355" t="s">
        <v>533</v>
      </c>
      <c r="I355" t="s">
        <v>527</v>
      </c>
    </row>
    <row r="356" spans="1:9" x14ac:dyDescent="0.25">
      <c r="A356">
        <v>-143.34727764129599</v>
      </c>
      <c r="B356">
        <v>-457.70355063340497</v>
      </c>
      <c r="C356">
        <v>8.2591987572300199E-2</v>
      </c>
      <c r="D356">
        <v>0</v>
      </c>
      <c r="E356">
        <v>0</v>
      </c>
      <c r="F356">
        <v>0</v>
      </c>
      <c r="G356" s="1">
        <v>1.1574012374145799E-6</v>
      </c>
      <c r="H356">
        <v>0.105210732713598</v>
      </c>
      <c r="I356">
        <v>0</v>
      </c>
    </row>
    <row r="357" spans="1:9" x14ac:dyDescent="0.25">
      <c r="A357">
        <v>-130.59127092361399</v>
      </c>
      <c r="B357">
        <v>-416.97894709965999</v>
      </c>
      <c r="C357">
        <v>8.3142971777760893E-2</v>
      </c>
      <c r="D357">
        <v>0</v>
      </c>
      <c r="E357">
        <v>0</v>
      </c>
      <c r="F357">
        <v>0</v>
      </c>
      <c r="G357" s="1">
        <v>2.1113159774334698E-6</v>
      </c>
      <c r="H357">
        <v>0.49421885504933899</v>
      </c>
      <c r="I357">
        <v>0</v>
      </c>
    </row>
    <row r="358" spans="1:9" x14ac:dyDescent="0.25">
      <c r="A358">
        <v>-118.88850688934301</v>
      </c>
      <c r="B358">
        <v>-379.61606877705799</v>
      </c>
      <c r="C358">
        <v>8.44547463515255E-2</v>
      </c>
      <c r="D358">
        <v>0</v>
      </c>
      <c r="E358">
        <v>0</v>
      </c>
      <c r="F358">
        <v>0</v>
      </c>
      <c r="G358" s="1">
        <v>3.8638304627597698E-6</v>
      </c>
      <c r="H358">
        <v>0.70515164215231696</v>
      </c>
      <c r="I358">
        <v>0</v>
      </c>
    </row>
    <row r="359" spans="1:9" x14ac:dyDescent="0.25">
      <c r="A359">
        <v>-108.151924610137</v>
      </c>
      <c r="B359">
        <v>-345.33746975323902</v>
      </c>
      <c r="C359">
        <v>8.6879393253980197E-2</v>
      </c>
      <c r="D359">
        <v>0</v>
      </c>
      <c r="E359">
        <v>0</v>
      </c>
      <c r="F359">
        <v>0</v>
      </c>
      <c r="G359" s="1">
        <v>6.3396032956575204E-6</v>
      </c>
      <c r="H359">
        <v>0.80033937237658104</v>
      </c>
      <c r="I359">
        <v>0</v>
      </c>
    </row>
    <row r="360" spans="1:9" x14ac:dyDescent="0.25">
      <c r="A360">
        <v>-98.302001953125</v>
      </c>
      <c r="B360">
        <v>-313.88862448594398</v>
      </c>
      <c r="C360">
        <v>9.0782788825549701E-2</v>
      </c>
      <c r="D360">
        <v>0</v>
      </c>
      <c r="E360">
        <v>0</v>
      </c>
      <c r="F360">
        <v>0</v>
      </c>
      <c r="G360" s="1">
        <v>9.5713767298213705E-6</v>
      </c>
      <c r="H360">
        <v>0.84640945560875303</v>
      </c>
      <c r="I360">
        <v>0</v>
      </c>
    </row>
    <row r="361" spans="1:9" x14ac:dyDescent="0.25">
      <c r="A361">
        <v>-89.265174865722599</v>
      </c>
      <c r="B361">
        <v>-285.03592151066999</v>
      </c>
      <c r="C361">
        <v>9.6496094289477696E-2</v>
      </c>
      <c r="D361">
        <v>0</v>
      </c>
      <c r="E361">
        <v>0</v>
      </c>
      <c r="F361">
        <v>0</v>
      </c>
      <c r="G361" s="1">
        <v>1.3706707707984099E-5</v>
      </c>
      <c r="H361">
        <v>0.86995711626522698</v>
      </c>
      <c r="I361">
        <v>0</v>
      </c>
    </row>
    <row r="362" spans="1:9" x14ac:dyDescent="0.25">
      <c r="A362">
        <v>-80.974688529968205</v>
      </c>
      <c r="B362">
        <v>-258.56514352223701</v>
      </c>
      <c r="C362">
        <v>0.104309331680951</v>
      </c>
      <c r="D362">
        <v>0</v>
      </c>
      <c r="E362">
        <v>0</v>
      </c>
      <c r="F362">
        <v>0</v>
      </c>
      <c r="G362" s="1">
        <v>1.9020457475021401E-5</v>
      </c>
      <c r="H362">
        <v>0.88200568815284297</v>
      </c>
      <c r="I362">
        <v>0</v>
      </c>
    </row>
    <row r="363" spans="1:9" x14ac:dyDescent="0.25">
      <c r="A363">
        <v>-73.368651866912799</v>
      </c>
      <c r="B363">
        <v>-234.279643472646</v>
      </c>
      <c r="C363">
        <v>0.114484350268639</v>
      </c>
      <c r="D363">
        <v>0</v>
      </c>
      <c r="E363">
        <v>0</v>
      </c>
      <c r="F363">
        <v>0</v>
      </c>
      <c r="G363" s="1">
        <v>2.5941742632331099E-5</v>
      </c>
      <c r="H363">
        <v>0.887688591154426</v>
      </c>
      <c r="I363">
        <v>0</v>
      </c>
    </row>
    <row r="364" spans="1:9" x14ac:dyDescent="0.25">
      <c r="A364">
        <v>-66.390645503997803</v>
      </c>
      <c r="B364">
        <v>-211.999052640412</v>
      </c>
      <c r="C364">
        <v>0.127275466377341</v>
      </c>
      <c r="D364">
        <v>0</v>
      </c>
      <c r="E364">
        <v>0</v>
      </c>
      <c r="F364">
        <v>0</v>
      </c>
      <c r="G364" s="1">
        <v>3.5104786614025498E-5</v>
      </c>
      <c r="H364">
        <v>0.88968404039662197</v>
      </c>
      <c r="I364">
        <v>0</v>
      </c>
    </row>
    <row r="365" spans="1:9" x14ac:dyDescent="0.25">
      <c r="A365">
        <v>-59.988870620727504</v>
      </c>
      <c r="B365">
        <v>-191.557882305596</v>
      </c>
      <c r="C365">
        <v>0.142952742328361</v>
      </c>
      <c r="D365">
        <v>0</v>
      </c>
      <c r="E365">
        <v>0</v>
      </c>
      <c r="F365">
        <v>0</v>
      </c>
      <c r="G365" s="1">
        <v>4.7435633490249003E-5</v>
      </c>
      <c r="H365">
        <v>0.88954545566638499</v>
      </c>
      <c r="I365">
        <v>0</v>
      </c>
    </row>
    <row r="366" spans="1:9" x14ac:dyDescent="0.25">
      <c r="A366">
        <v>-54.115540981292703</v>
      </c>
      <c r="B366">
        <v>-172.80430781504899</v>
      </c>
      <c r="C366">
        <v>0.16182661820494099</v>
      </c>
      <c r="D366">
        <v>0</v>
      </c>
      <c r="E366">
        <v>0</v>
      </c>
      <c r="F366">
        <v>0</v>
      </c>
      <c r="G366" s="1">
        <v>6.4292442948280594E-5</v>
      </c>
      <c r="H366">
        <v>0.88827346635731796</v>
      </c>
      <c r="I366">
        <v>0</v>
      </c>
    </row>
    <row r="367" spans="1:9" x14ac:dyDescent="0.25">
      <c r="A367">
        <v>-48.727247714996302</v>
      </c>
      <c r="B367">
        <v>-155.59899824521301</v>
      </c>
      <c r="C367">
        <v>0.18427498313826601</v>
      </c>
      <c r="D367">
        <v>0</v>
      </c>
      <c r="E367">
        <v>0</v>
      </c>
      <c r="F367">
        <v>0</v>
      </c>
      <c r="G367" s="1">
        <v>8.7687110583199406E-5</v>
      </c>
      <c r="H367">
        <v>0.88658253602688097</v>
      </c>
      <c r="I367">
        <v>0</v>
      </c>
    </row>
    <row r="368" spans="1:9" x14ac:dyDescent="0.25">
      <c r="A368">
        <v>-43.783864974975501</v>
      </c>
      <c r="B368">
        <v>-139.81414365432099</v>
      </c>
      <c r="C368">
        <v>0.210774578590644</v>
      </c>
      <c r="D368">
        <v>0</v>
      </c>
      <c r="E368">
        <v>0</v>
      </c>
      <c r="F368">
        <v>0</v>
      </c>
      <c r="G368" s="1">
        <v>1.20630994648361E-4</v>
      </c>
      <c r="H368">
        <v>0.88502649216123497</v>
      </c>
      <c r="I368">
        <v>0</v>
      </c>
    </row>
    <row r="369" spans="1:9" x14ac:dyDescent="0.25">
      <c r="A369">
        <v>-39.248671531677203</v>
      </c>
      <c r="B369">
        <v>-125.33250513336399</v>
      </c>
      <c r="C369">
        <v>0.24193945407091599</v>
      </c>
      <c r="D369">
        <v>0</v>
      </c>
      <c r="E369">
        <v>0</v>
      </c>
      <c r="F369">
        <v>0</v>
      </c>
      <c r="G369" s="1">
        <v>1.6766823102570399E-4</v>
      </c>
      <c r="H369">
        <v>0.88404784074592802</v>
      </c>
      <c r="I369">
        <v>0</v>
      </c>
    </row>
    <row r="370" spans="1:9" x14ac:dyDescent="0.25">
      <c r="A370">
        <v>-35.087985992431598</v>
      </c>
      <c r="B370">
        <v>-112.046495255444</v>
      </c>
      <c r="C370">
        <v>0.27856950620162002</v>
      </c>
      <c r="D370">
        <v>0</v>
      </c>
      <c r="E370">
        <v>0</v>
      </c>
      <c r="F370">
        <v>0</v>
      </c>
      <c r="G370" s="1">
        <v>2.3568839567316799E-4</v>
      </c>
      <c r="H370">
        <v>0.883983016135102</v>
      </c>
      <c r="I370">
        <v>0</v>
      </c>
    </row>
    <row r="371" spans="1:9" x14ac:dyDescent="0.25">
      <c r="A371">
        <v>-31.270802021026601</v>
      </c>
      <c r="B371">
        <v>-99.857402917359593</v>
      </c>
      <c r="C371">
        <v>0.32171202856261499</v>
      </c>
      <c r="D371">
        <v>0</v>
      </c>
      <c r="E371">
        <v>0</v>
      </c>
      <c r="F371">
        <v>0</v>
      </c>
      <c r="G371" s="1">
        <v>3.3514727148870402E-4</v>
      </c>
      <c r="H371">
        <v>0.88504667700385098</v>
      </c>
      <c r="I371">
        <v>0</v>
      </c>
    </row>
    <row r="372" spans="1:9" x14ac:dyDescent="0.25">
      <c r="A372">
        <v>-27.7686667442321</v>
      </c>
      <c r="B372">
        <v>-88.674663778756397</v>
      </c>
      <c r="C372">
        <v>0.372739406725486</v>
      </c>
      <c r="D372">
        <v>0</v>
      </c>
      <c r="E372">
        <v>0</v>
      </c>
      <c r="F372">
        <v>0</v>
      </c>
      <c r="G372" s="1">
        <v>4.8187481544695901E-4</v>
      </c>
      <c r="H372">
        <v>0.88731687746426902</v>
      </c>
      <c r="I372">
        <v>0</v>
      </c>
    </row>
    <row r="373" spans="1:9" x14ac:dyDescent="0.25">
      <c r="A373">
        <v>-24.555802345275801</v>
      </c>
      <c r="B373">
        <v>-78.4152142967923</v>
      </c>
      <c r="C373">
        <v>0.433445590203973</v>
      </c>
      <c r="D373">
        <v>0</v>
      </c>
      <c r="E373">
        <v>0</v>
      </c>
      <c r="F373">
        <v>0</v>
      </c>
      <c r="G373" s="1">
        <v>6.9972175017832901E-4</v>
      </c>
      <c r="H373">
        <v>0.89073829943966698</v>
      </c>
      <c r="I373">
        <v>0</v>
      </c>
    </row>
    <row r="374" spans="1:9" x14ac:dyDescent="0.25">
      <c r="A374">
        <v>-21.608254909515299</v>
      </c>
      <c r="B374">
        <v>-69.002815362427995</v>
      </c>
      <c r="C374">
        <v>0.50616344078662201</v>
      </c>
      <c r="D374">
        <v>0</v>
      </c>
      <c r="E374">
        <v>0</v>
      </c>
      <c r="F374">
        <v>0</v>
      </c>
      <c r="G374">
        <v>1.0244014441258701E-3</v>
      </c>
      <c r="H374">
        <v>0.89514909692611</v>
      </c>
      <c r="I374">
        <v>0</v>
      </c>
    </row>
    <row r="375" spans="1:9" x14ac:dyDescent="0.25">
      <c r="A375">
        <v>-18.904016017913801</v>
      </c>
      <c r="B375">
        <v>-60.367543127749698</v>
      </c>
      <c r="C375">
        <v>0.59390551505202904</v>
      </c>
      <c r="D375">
        <v>0</v>
      </c>
      <c r="E375">
        <v>0</v>
      </c>
      <c r="F375">
        <v>0</v>
      </c>
      <c r="G375">
        <v>1.5090464499350599E-3</v>
      </c>
      <c r="H375">
        <v>0.90032459912551299</v>
      </c>
      <c r="I375">
        <v>0</v>
      </c>
    </row>
    <row r="376" spans="1:9" x14ac:dyDescent="0.25">
      <c r="A376">
        <v>-16.423144340515101</v>
      </c>
      <c r="B376">
        <v>-52.4452418353303</v>
      </c>
      <c r="C376">
        <v>0.70052995176865795</v>
      </c>
      <c r="D376">
        <v>0</v>
      </c>
      <c r="E376">
        <v>0</v>
      </c>
      <c r="F376">
        <v>0</v>
      </c>
      <c r="G376">
        <v>2.2322557178820401E-3</v>
      </c>
      <c r="H376">
        <v>0.90602369794776105</v>
      </c>
      <c r="I376">
        <v>0</v>
      </c>
    </row>
    <row r="377" spans="1:9" x14ac:dyDescent="0.25">
      <c r="A377">
        <v>-14.147036075592</v>
      </c>
      <c r="B377">
        <v>-45.177045043919797</v>
      </c>
      <c r="C377">
        <v>0.83093584053130998</v>
      </c>
      <c r="D377">
        <v>0</v>
      </c>
      <c r="E377">
        <v>0</v>
      </c>
      <c r="F377">
        <v>0</v>
      </c>
      <c r="G377">
        <v>3.3098109060329698E-3</v>
      </c>
      <c r="H377">
        <v>0.91202522211153803</v>
      </c>
      <c r="I377">
        <v>0</v>
      </c>
    </row>
    <row r="378" spans="1:9" x14ac:dyDescent="0.25">
      <c r="A378">
        <v>-12.058911323547299</v>
      </c>
      <c r="B378">
        <v>-38.508950051282199</v>
      </c>
      <c r="C378">
        <v>0.99129383777380997</v>
      </c>
      <c r="D378">
        <v>0</v>
      </c>
      <c r="E378">
        <v>0</v>
      </c>
      <c r="F378">
        <v>0</v>
      </c>
      <c r="G378">
        <v>4.9118796926869903E-3</v>
      </c>
      <c r="H378">
        <v>0.91814865205889296</v>
      </c>
      <c r="I378">
        <v>0</v>
      </c>
    </row>
    <row r="379" spans="1:9" x14ac:dyDescent="0.25">
      <c r="A379">
        <v>-10.143084526061999</v>
      </c>
      <c r="B379">
        <v>-32.391409416113603</v>
      </c>
      <c r="C379">
        <v>1.1893211081314801</v>
      </c>
      <c r="D379">
        <v>0</v>
      </c>
      <c r="E379">
        <v>0</v>
      </c>
      <c r="F379">
        <v>0</v>
      </c>
      <c r="G379">
        <v>7.2885499419219103E-3</v>
      </c>
      <c r="H379">
        <v>0.92426014636545395</v>
      </c>
      <c r="I379">
        <v>0</v>
      </c>
    </row>
    <row r="380" spans="1:9" x14ac:dyDescent="0.25">
      <c r="A380">
        <v>-8.3855724334716708</v>
      </c>
      <c r="B380">
        <v>-26.778969977412899</v>
      </c>
      <c r="C380">
        <v>1.4346181261316799</v>
      </c>
      <c r="D380">
        <v>0</v>
      </c>
      <c r="E380">
        <v>0</v>
      </c>
      <c r="F380">
        <v>0</v>
      </c>
      <c r="G380">
        <v>1.08081707765869E-2</v>
      </c>
      <c r="H380">
        <v>0.930268469551635</v>
      </c>
      <c r="I380">
        <v>0</v>
      </c>
    </row>
    <row r="381" spans="1:9" x14ac:dyDescent="0.25">
      <c r="A381">
        <v>-6.7732429504394496</v>
      </c>
      <c r="B381">
        <v>-21.629929922883001</v>
      </c>
      <c r="C381">
        <v>1.7390885102940901</v>
      </c>
      <c r="D381">
        <v>0</v>
      </c>
      <c r="E381">
        <v>0</v>
      </c>
      <c r="F381">
        <v>0</v>
      </c>
      <c r="G381">
        <v>1.6015605497159399E-2</v>
      </c>
      <c r="H381">
        <v>0.93611586090243204</v>
      </c>
      <c r="I381">
        <v>0</v>
      </c>
    </row>
    <row r="382" spans="1:9" x14ac:dyDescent="0.25">
      <c r="A382">
        <v>-5.2939367294311497</v>
      </c>
      <c r="B382">
        <v>-16.906029105548399</v>
      </c>
      <c r="C382">
        <v>2.11747950261269</v>
      </c>
      <c r="D382">
        <v>0</v>
      </c>
      <c r="E382">
        <v>0</v>
      </c>
      <c r="F382">
        <v>0</v>
      </c>
      <c r="G382">
        <v>2.3721664585117101E-2</v>
      </c>
      <c r="H382">
        <v>0.94176741861242597</v>
      </c>
      <c r="I382">
        <v>0</v>
      </c>
    </row>
    <row r="383" spans="1:9" x14ac:dyDescent="0.25">
      <c r="A383">
        <v>-3.9367103576660099</v>
      </c>
      <c r="B383">
        <v>-12.572165008996301</v>
      </c>
      <c r="C383">
        <v>2.5880882762976398</v>
      </c>
      <c r="D383">
        <v>0</v>
      </c>
      <c r="E383">
        <v>0</v>
      </c>
      <c r="F383">
        <v>0</v>
      </c>
      <c r="G383">
        <v>3.5141570197783203E-2</v>
      </c>
      <c r="H383">
        <v>0.94720133583326704</v>
      </c>
      <c r="I383">
        <v>0</v>
      </c>
    </row>
    <row r="384" spans="1:9" x14ac:dyDescent="0.25">
      <c r="A384">
        <v>-2.6915931701660099</v>
      </c>
      <c r="B384">
        <v>-8.5961353111906593</v>
      </c>
      <c r="C384">
        <v>3.1737042708300498</v>
      </c>
      <c r="D384">
        <v>0</v>
      </c>
      <c r="E384">
        <v>0</v>
      </c>
      <c r="F384">
        <v>0</v>
      </c>
      <c r="G384">
        <v>5.2110218519094101E-2</v>
      </c>
      <c r="H384">
        <v>0.95240067845894105</v>
      </c>
      <c r="I384">
        <v>0</v>
      </c>
    </row>
    <row r="385" spans="1:9" x14ac:dyDescent="0.25">
      <c r="A385">
        <v>-1.54934406280517</v>
      </c>
      <c r="B385">
        <v>-4.9483946975214996</v>
      </c>
      <c r="C385">
        <v>3.90287525879102</v>
      </c>
      <c r="D385">
        <v>0</v>
      </c>
      <c r="E385">
        <v>0</v>
      </c>
      <c r="F385">
        <v>0</v>
      </c>
      <c r="G385">
        <v>7.7416362574485198E-2</v>
      </c>
      <c r="H385">
        <v>0.95734716546156695</v>
      </c>
      <c r="I385">
        <v>0</v>
      </c>
    </row>
    <row r="386" spans="1:9" x14ac:dyDescent="0.25">
      <c r="A386">
        <v>-0.50145149230956998</v>
      </c>
      <c r="B386">
        <v>-1.6018382724269</v>
      </c>
      <c r="C386">
        <v>4.8115999295987404</v>
      </c>
      <c r="D386">
        <v>0</v>
      </c>
      <c r="E386">
        <v>0</v>
      </c>
      <c r="F386">
        <v>0</v>
      </c>
      <c r="G386">
        <v>0.119107039432632</v>
      </c>
      <c r="H386">
        <v>0.963226193935935</v>
      </c>
      <c r="I386">
        <v>0</v>
      </c>
    </row>
    <row r="387" spans="1:9" x14ac:dyDescent="0.25">
      <c r="A387">
        <v>0.49999237060546797</v>
      </c>
      <c r="B387">
        <v>0.49952781909269101</v>
      </c>
      <c r="C387">
        <v>5.5577480883584904</v>
      </c>
      <c r="D387">
        <v>0.35481301630713902</v>
      </c>
      <c r="E387">
        <v>-5.99294294798525E-4</v>
      </c>
      <c r="F387" s="1">
        <v>-3.5391733239548303E-5</v>
      </c>
      <c r="G387">
        <v>3.7370342739939402E-2</v>
      </c>
      <c r="H387">
        <v>0.81541219120245401</v>
      </c>
      <c r="I387" s="1">
        <v>1.0759906099732901E-6</v>
      </c>
    </row>
    <row r="388" spans="1:9" x14ac:dyDescent="0.25">
      <c r="A388">
        <v>1.54496669769287</v>
      </c>
      <c r="B388">
        <v>1.5420303788141601</v>
      </c>
      <c r="C388">
        <v>6.0372628568074997</v>
      </c>
      <c r="D388">
        <v>1.20899729454453</v>
      </c>
      <c r="E388">
        <v>-5.2452053656930203E-3</v>
      </c>
      <c r="F388">
        <v>-1.13300453432129E-4</v>
      </c>
      <c r="G388">
        <v>7.2341348051100096E-2</v>
      </c>
      <c r="H388">
        <v>0.89312698231339904</v>
      </c>
      <c r="I388" s="1">
        <v>4.6190910033409703E-5</v>
      </c>
    </row>
    <row r="389" spans="1:9" x14ac:dyDescent="0.25">
      <c r="A389">
        <v>2.6840543746948198</v>
      </c>
      <c r="B389">
        <v>2.6654429469363001</v>
      </c>
      <c r="C389">
        <v>6.7122486920197799</v>
      </c>
      <c r="D389">
        <v>2.33938514650211</v>
      </c>
      <c r="E389">
        <v>-2.1177329043843E-2</v>
      </c>
      <c r="F389">
        <v>-2.0773480655528399E-4</v>
      </c>
      <c r="G389">
        <v>0.109075575113201</v>
      </c>
      <c r="H389">
        <v>0.91744019832667201</v>
      </c>
      <c r="I389">
        <v>2.6637253064400998E-4</v>
      </c>
    </row>
    <row r="390" spans="1:9" x14ac:dyDescent="0.25">
      <c r="A390">
        <v>3.9255237579345699</v>
      </c>
      <c r="B390">
        <v>3.8569317121164199</v>
      </c>
      <c r="C390">
        <v>7.6411925825595901</v>
      </c>
      <c r="D390">
        <v>3.77854545665648</v>
      </c>
      <c r="E390">
        <v>-5.53338573212779E-2</v>
      </c>
      <c r="F390">
        <v>-3.1262516868541402E-4</v>
      </c>
      <c r="G390">
        <v>0.136333994955052</v>
      </c>
      <c r="H390">
        <v>0.92005117681497195</v>
      </c>
      <c r="I390">
        <v>6.8534265153423599E-4</v>
      </c>
    </row>
    <row r="391" spans="1:9" x14ac:dyDescent="0.25">
      <c r="A391">
        <v>5.2789807319641104</v>
      </c>
      <c r="B391">
        <v>5.0899579484121196</v>
      </c>
      <c r="C391">
        <v>8.7922673305001808</v>
      </c>
      <c r="D391">
        <v>5.4461053813521003</v>
      </c>
      <c r="E391">
        <v>-0.113552036748059</v>
      </c>
      <c r="F391">
        <v>-4.0898265765294302E-4</v>
      </c>
      <c r="G391">
        <v>0.14846441695907001</v>
      </c>
      <c r="H391">
        <v>0.90947949393562899</v>
      </c>
      <c r="I391">
        <v>1.53216133441902E-3</v>
      </c>
    </row>
    <row r="392" spans="1:9" x14ac:dyDescent="0.25">
      <c r="A392">
        <v>6.7539703845977703</v>
      </c>
      <c r="B392">
        <v>6.3245535004989497</v>
      </c>
      <c r="C392">
        <v>10.004078748534001</v>
      </c>
      <c r="D392">
        <v>7.1269901182565896</v>
      </c>
      <c r="E392">
        <v>-0.19612382266706599</v>
      </c>
      <c r="F392">
        <v>-4.7811101309579699E-4</v>
      </c>
      <c r="G392">
        <v>0.14931782332662699</v>
      </c>
      <c r="H392">
        <v>0.89007072475596105</v>
      </c>
      <c r="I392">
        <v>3.80966655227798E-3</v>
      </c>
    </row>
    <row r="393" spans="1:9" x14ac:dyDescent="0.25">
      <c r="A393">
        <v>8.3618009090423495</v>
      </c>
      <c r="B393">
        <v>7.5144140530483101</v>
      </c>
      <c r="C393">
        <v>11.039582317607699</v>
      </c>
      <c r="D393">
        <v>8.5469739900374506</v>
      </c>
      <c r="E393">
        <v>-0.295976559508976</v>
      </c>
      <c r="F393">
        <v>-5.1567948688901902E-4</v>
      </c>
      <c r="G393">
        <v>0.14677621199785601</v>
      </c>
      <c r="H393">
        <v>0.86675965421008505</v>
      </c>
      <c r="I393">
        <v>8.5607562596334008E-3</v>
      </c>
    </row>
    <row r="394" spans="1:9" x14ac:dyDescent="0.25">
      <c r="A394">
        <v>10.114449262619001</v>
      </c>
      <c r="B394">
        <v>8.6184809092537709</v>
      </c>
      <c r="C394">
        <v>11.704580607693</v>
      </c>
      <c r="D394">
        <v>9.5017000804327001</v>
      </c>
      <c r="E394">
        <v>-0.40137169771185999</v>
      </c>
      <c r="F394">
        <v>-5.2941754382662405E-4</v>
      </c>
      <c r="G394">
        <v>0.14545940683785599</v>
      </c>
      <c r="H394">
        <v>0.84375709536925403</v>
      </c>
      <c r="I394">
        <v>1.3602227588328001E-2</v>
      </c>
    </row>
    <row r="395" spans="1:9" x14ac:dyDescent="0.25">
      <c r="A395">
        <v>12.0248043537139</v>
      </c>
      <c r="B395">
        <v>9.6105468753830703</v>
      </c>
      <c r="C395">
        <v>11.9285779201163</v>
      </c>
      <c r="D395">
        <v>9.93229065157254</v>
      </c>
      <c r="E395">
        <v>-0.501266459300302</v>
      </c>
      <c r="F395">
        <v>-5.45628558378547E-4</v>
      </c>
      <c r="G395">
        <v>0.14476395274638901</v>
      </c>
      <c r="H395">
        <v>0.822063516742367</v>
      </c>
      <c r="I395">
        <v>1.42432683273665E-2</v>
      </c>
    </row>
    <row r="396" spans="1:9" x14ac:dyDescent="0.25">
      <c r="A396">
        <v>14.106971025466899</v>
      </c>
      <c r="B396">
        <v>10.4818306226388</v>
      </c>
      <c r="C396">
        <v>11.756640745806999</v>
      </c>
      <c r="D396">
        <v>9.9046145214683499</v>
      </c>
      <c r="E396">
        <v>-0.58887419630370996</v>
      </c>
      <c r="F396">
        <v>-5.9277278875519504E-4</v>
      </c>
      <c r="G396">
        <v>0.142055084426153</v>
      </c>
      <c r="H396">
        <v>0.80055378522218801</v>
      </c>
      <c r="I396">
        <v>9.3164817144563098E-3</v>
      </c>
    </row>
    <row r="397" spans="1:9" x14ac:dyDescent="0.25">
      <c r="A397">
        <v>16.3765740394592</v>
      </c>
      <c r="B397">
        <v>11.237116094316599</v>
      </c>
      <c r="C397">
        <v>11.291583552156199</v>
      </c>
      <c r="D397">
        <v>9.5416187532071994</v>
      </c>
      <c r="E397">
        <v>-0.66186840554576498</v>
      </c>
      <c r="F397">
        <v>-6.8976037613005796E-4</v>
      </c>
      <c r="G397">
        <v>0.13592229827278701</v>
      </c>
      <c r="H397">
        <v>0.77813384386835205</v>
      </c>
      <c r="I397">
        <v>1.71530216023665E-3</v>
      </c>
    </row>
    <row r="398" spans="1:9" x14ac:dyDescent="0.25">
      <c r="A398">
        <v>18.850514888763399</v>
      </c>
      <c r="B398">
        <v>11.8886348340765</v>
      </c>
      <c r="C398">
        <v>10.6420354408328</v>
      </c>
      <c r="D398">
        <v>8.9674106131942501</v>
      </c>
      <c r="E398">
        <v>-0.72083503222201395</v>
      </c>
      <c r="F398">
        <v>-8.4724708543211405E-4</v>
      </c>
      <c r="G398">
        <v>0.126812735917157</v>
      </c>
      <c r="H398">
        <v>0.75446047671865502</v>
      </c>
      <c r="I398">
        <v>-5.4535043953219302E-3</v>
      </c>
    </row>
    <row r="399" spans="1:9" x14ac:dyDescent="0.25">
      <c r="A399">
        <v>21.5470933914184</v>
      </c>
      <c r="B399">
        <v>12.4510711539642</v>
      </c>
      <c r="C399">
        <v>9.8970838003879091</v>
      </c>
      <c r="D399">
        <v>8.2814907624745207</v>
      </c>
      <c r="E399">
        <v>-0.76764556502431203</v>
      </c>
      <c r="F399">
        <v>-1.0431938457511501E-3</v>
      </c>
      <c r="G399">
        <v>0.116040002752969</v>
      </c>
      <c r="H399">
        <v>0.72975737265907004</v>
      </c>
      <c r="I399">
        <v>-1.0763677810139099E-2</v>
      </c>
    </row>
    <row r="400" spans="1:9" x14ac:dyDescent="0.25">
      <c r="A400">
        <v>24.4862508773803</v>
      </c>
      <c r="B400">
        <v>12.938755984987401</v>
      </c>
      <c r="C400">
        <v>9.1209905116556893</v>
      </c>
      <c r="D400">
        <v>7.5543741830658098</v>
      </c>
      <c r="E400">
        <v>-0.80443986550554303</v>
      </c>
      <c r="F400">
        <v>-1.2248649352279799E-3</v>
      </c>
      <c r="G400">
        <v>0.10483728291548999</v>
      </c>
      <c r="H400">
        <v>0.70455013241296105</v>
      </c>
      <c r="I400">
        <v>-1.40945645852254E-2</v>
      </c>
    </row>
    <row r="401" spans="1:9" x14ac:dyDescent="0.25">
      <c r="A401">
        <v>27.690056562423699</v>
      </c>
      <c r="B401">
        <v>13.364515538896701</v>
      </c>
      <c r="C401">
        <v>8.3567233090434403</v>
      </c>
      <c r="D401">
        <v>6.83260821153464</v>
      </c>
      <c r="E401">
        <v>-0.83317135106541595</v>
      </c>
      <c r="F401">
        <v>-1.37371344309904E-3</v>
      </c>
      <c r="G401">
        <v>9.3990117176574101E-2</v>
      </c>
      <c r="H401">
        <v>0.67948167624148204</v>
      </c>
      <c r="I401">
        <v>-1.5827147861735402E-2</v>
      </c>
    </row>
    <row r="402" spans="1:9" x14ac:dyDescent="0.25">
      <c r="A402">
        <v>31.182160377502399</v>
      </c>
      <c r="B402">
        <v>13.739418621744299</v>
      </c>
      <c r="C402">
        <v>7.6313162204314704</v>
      </c>
      <c r="D402">
        <v>6.1450969244706597</v>
      </c>
      <c r="E402">
        <v>-0.85546971953070206</v>
      </c>
      <c r="F402">
        <v>-1.5007707995108399E-3</v>
      </c>
      <c r="G402">
        <v>8.3863175325864001E-2</v>
      </c>
      <c r="H402">
        <v>0.65516063946443903</v>
      </c>
      <c r="I402">
        <v>-1.6392701991090101E-2</v>
      </c>
    </row>
    <row r="403" spans="1:9" x14ac:dyDescent="0.25">
      <c r="A403">
        <v>34.988522529602001</v>
      </c>
      <c r="B403">
        <v>14.072845030213999</v>
      </c>
      <c r="C403">
        <v>6.9604148227881497</v>
      </c>
      <c r="D403">
        <v>5.5085409600721604</v>
      </c>
      <c r="E403">
        <v>-0.87262977371251005</v>
      </c>
      <c r="F403">
        <v>-1.61828352462151E-3</v>
      </c>
      <c r="G403">
        <v>7.4555203095352199E-2</v>
      </c>
      <c r="H403">
        <v>0.63207768674967801</v>
      </c>
      <c r="I403">
        <v>-1.6136977656373799E-2</v>
      </c>
    </row>
    <row r="404" spans="1:9" x14ac:dyDescent="0.25">
      <c r="A404">
        <v>39.137535095214801</v>
      </c>
      <c r="B404">
        <v>14.3726755414263</v>
      </c>
      <c r="C404">
        <v>6.3517158183458298</v>
      </c>
      <c r="D404">
        <v>4.9313749303920797</v>
      </c>
      <c r="E404">
        <v>-0.885643890718954</v>
      </c>
      <c r="F404">
        <v>-1.7373080496789501E-3</v>
      </c>
      <c r="G404">
        <v>6.6055600945638199E-2</v>
      </c>
      <c r="H404">
        <v>0.61062132325444096</v>
      </c>
      <c r="I404">
        <v>-1.53245101581413E-2</v>
      </c>
    </row>
    <row r="405" spans="1:9" x14ac:dyDescent="0.25">
      <c r="A405">
        <v>43.659839630126903</v>
      </c>
      <c r="B405">
        <v>14.6454952020303</v>
      </c>
      <c r="C405">
        <v>5.8073766304005403</v>
      </c>
      <c r="D405">
        <v>4.4164209597624096</v>
      </c>
      <c r="E405">
        <v>-0.89526065529015397</v>
      </c>
      <c r="F405">
        <v>-1.7714905119901501E-3</v>
      </c>
      <c r="G405">
        <v>5.8332286900650898E-2</v>
      </c>
      <c r="H405">
        <v>0.59103921017699201</v>
      </c>
      <c r="I405">
        <v>-1.41668982052512E-2</v>
      </c>
    </row>
    <row r="406" spans="1:9" x14ac:dyDescent="0.25">
      <c r="A406">
        <v>48.589299917220998</v>
      </c>
      <c r="B406">
        <v>14.896768118824101</v>
      </c>
      <c r="C406">
        <v>5.3259741165675196</v>
      </c>
      <c r="D406">
        <v>3.9629378973498799</v>
      </c>
      <c r="E406">
        <v>-0.90204434748022599</v>
      </c>
      <c r="F406">
        <v>-1.69143664970443E-3</v>
      </c>
      <c r="G406">
        <v>5.1351733174198E-2</v>
      </c>
      <c r="H406">
        <v>0.57333572964899104</v>
      </c>
      <c r="I406">
        <v>-1.28282732166936E-2</v>
      </c>
    </row>
    <row r="407" spans="1:9" x14ac:dyDescent="0.25">
      <c r="A407">
        <v>53.962393999099703</v>
      </c>
      <c r="B407">
        <v>15.131014149274</v>
      </c>
      <c r="C407">
        <v>4.9036253880330998</v>
      </c>
      <c r="D407">
        <v>3.5678926571542999</v>
      </c>
      <c r="E407">
        <v>-0.90643376234592898</v>
      </c>
      <c r="F407">
        <v>-1.5136253492823301E-3</v>
      </c>
      <c r="G407">
        <v>4.5102339225505897E-2</v>
      </c>
      <c r="H407">
        <v>0.557417351156693</v>
      </c>
      <c r="I407">
        <v>-1.1443278679673E-2</v>
      </c>
    </row>
    <row r="408" spans="1:9" x14ac:dyDescent="0.25">
      <c r="A408">
        <v>59.819004535674999</v>
      </c>
      <c r="B408">
        <v>15.3519589934603</v>
      </c>
      <c r="C408">
        <v>4.5351687149377504</v>
      </c>
      <c r="D408">
        <v>3.2265487969409801</v>
      </c>
      <c r="E408">
        <v>-0.90877601568033595</v>
      </c>
      <c r="F408">
        <v>-1.23227623365804E-3</v>
      </c>
      <c r="G408">
        <v>3.9562066474404502E-2</v>
      </c>
      <c r="H408">
        <v>0.54303523656967501</v>
      </c>
      <c r="I408">
        <v>-1.0106619982124299E-2</v>
      </c>
    </row>
    <row r="409" spans="1:9" x14ac:dyDescent="0.25">
      <c r="A409">
        <v>66.2026619911193</v>
      </c>
      <c r="B409">
        <v>15.562650087858801</v>
      </c>
      <c r="C409">
        <v>4.2146484734985199</v>
      </c>
      <c r="D409">
        <v>2.9334400343149998</v>
      </c>
      <c r="E409">
        <v>-0.90937812421362096</v>
      </c>
      <c r="F409" s="1">
        <v>-8.7356042737927304E-4</v>
      </c>
      <c r="G409">
        <v>3.4703552458530101E-2</v>
      </c>
      <c r="H409">
        <v>0.52998336052142403</v>
      </c>
      <c r="I409">
        <v>-8.8811719603641599E-3</v>
      </c>
    </row>
    <row r="410" spans="1:9" x14ac:dyDescent="0.25">
      <c r="A410">
        <v>73.160848617553697</v>
      </c>
      <c r="B410">
        <v>15.7656066972867</v>
      </c>
      <c r="C410">
        <v>3.9357965447379599</v>
      </c>
      <c r="D410">
        <v>2.68257503984881</v>
      </c>
      <c r="E410">
        <v>-0.908494652119475</v>
      </c>
      <c r="F410">
        <v>-4.4179911857659802E-4</v>
      </c>
      <c r="G410">
        <v>3.0482528756200201E-2</v>
      </c>
      <c r="H410">
        <v>0.51804091663035701</v>
      </c>
      <c r="I410">
        <v>-7.7967130830368901E-3</v>
      </c>
    </row>
    <row r="411" spans="1:9" x14ac:dyDescent="0.25">
      <c r="A411">
        <v>80.745424032211304</v>
      </c>
      <c r="B411">
        <v>15.962916809703501</v>
      </c>
      <c r="C411">
        <v>3.6923762721016802</v>
      </c>
      <c r="D411">
        <v>2.4678519815469899</v>
      </c>
      <c r="E411">
        <v>-0.90634554065202599</v>
      </c>
      <c r="F411" s="1">
        <v>-4.7831678853549802E-6</v>
      </c>
      <c r="G411">
        <v>2.68356038117783E-2</v>
      </c>
      <c r="H411">
        <v>0.50698084521016795</v>
      </c>
      <c r="I411">
        <v>-6.8561504060161704E-3</v>
      </c>
    </row>
    <row r="412" spans="1:9" x14ac:dyDescent="0.25">
      <c r="A412">
        <v>89.012442827224703</v>
      </c>
      <c r="B412">
        <v>16.1561915386573</v>
      </c>
      <c r="C412">
        <v>3.4786991075634401</v>
      </c>
      <c r="D412">
        <v>2.2838594315698502</v>
      </c>
      <c r="E412">
        <v>-0.90307699153307097</v>
      </c>
      <c r="F412">
        <v>4.1315218488657102E-4</v>
      </c>
      <c r="G412">
        <v>2.3690474238695702E-2</v>
      </c>
      <c r="H412">
        <v>0.49657246781239001</v>
      </c>
      <c r="I412">
        <v>-6.0463042531328798E-3</v>
      </c>
    </row>
    <row r="413" spans="1:9" x14ac:dyDescent="0.25">
      <c r="A413">
        <v>98.0235528945922</v>
      </c>
      <c r="B413">
        <v>16.346777911867299</v>
      </c>
      <c r="C413">
        <v>3.2897696226427802</v>
      </c>
      <c r="D413">
        <v>2.1253512100029899</v>
      </c>
      <c r="E413">
        <v>-0.89874987266763495</v>
      </c>
      <c r="F413">
        <v>7.1930037252536003E-4</v>
      </c>
      <c r="G413">
        <v>2.0987977622278199E-2</v>
      </c>
      <c r="H413">
        <v>0.48675639990564701</v>
      </c>
      <c r="I413">
        <v>-5.35614426174757E-3</v>
      </c>
    </row>
    <row r="414" spans="1:9" x14ac:dyDescent="0.25">
      <c r="A414">
        <v>107.845630645751</v>
      </c>
      <c r="B414">
        <v>16.53593746164</v>
      </c>
      <c r="C414">
        <v>3.1213172073876101</v>
      </c>
      <c r="D414">
        <v>1.9880227593048501</v>
      </c>
      <c r="E414">
        <v>-0.89335471229787999</v>
      </c>
      <c r="F414" s="1">
        <v>9.1757945324205301E-4</v>
      </c>
      <c r="G414">
        <v>1.8664426654357798E-2</v>
      </c>
      <c r="H414">
        <v>0.47739891122689898</v>
      </c>
      <c r="I414">
        <v>-4.7682913748666299E-3</v>
      </c>
    </row>
    <row r="415" spans="1:9" x14ac:dyDescent="0.25">
      <c r="A415">
        <v>118.551753759384</v>
      </c>
      <c r="B415">
        <v>16.724755029763401</v>
      </c>
      <c r="C415">
        <v>2.9698932963583502</v>
      </c>
      <c r="D415">
        <v>1.8681902364658201</v>
      </c>
      <c r="E415">
        <v>-0.88695546356098598</v>
      </c>
      <c r="F415">
        <v>9.07193490476256E-4</v>
      </c>
      <c r="G415">
        <v>1.6661399710820399E-2</v>
      </c>
      <c r="H415">
        <v>0.46834598723765197</v>
      </c>
      <c r="I415">
        <v>-4.2651396120543901E-3</v>
      </c>
    </row>
    <row r="416" spans="1:9" x14ac:dyDescent="0.25">
      <c r="A416">
        <v>130.22150516510001</v>
      </c>
      <c r="B416">
        <v>16.914123568321799</v>
      </c>
      <c r="C416">
        <v>2.8320417542090501</v>
      </c>
      <c r="D416">
        <v>1.7625080849416099</v>
      </c>
      <c r="E416">
        <v>-0.87954635003499004</v>
      </c>
      <c r="F416">
        <v>5.3210045908668705E-4</v>
      </c>
      <c r="G416">
        <v>1.4937184348476001E-2</v>
      </c>
      <c r="H416">
        <v>0.45977983247638199</v>
      </c>
      <c r="I416">
        <v>-3.8346598235166601E-3</v>
      </c>
    </row>
    <row r="417" spans="1:9" x14ac:dyDescent="0.25">
      <c r="A417">
        <v>142.941337823867</v>
      </c>
      <c r="B417">
        <v>17.104899931336998</v>
      </c>
      <c r="C417">
        <v>2.70581167415002</v>
      </c>
      <c r="D417">
        <v>1.6685515740196799</v>
      </c>
      <c r="E417">
        <v>-0.87094658616401799</v>
      </c>
      <c r="F417">
        <v>1.3663248270762401E-4</v>
      </c>
      <c r="G417">
        <v>1.34479973822943E-2</v>
      </c>
      <c r="H417">
        <v>0.45138032973887998</v>
      </c>
      <c r="I417">
        <v>-3.46250898005303E-3</v>
      </c>
    </row>
    <row r="418" spans="1:9" x14ac:dyDescent="0.25">
      <c r="A418">
        <v>156.806094646453</v>
      </c>
      <c r="B418">
        <v>17.298070165898</v>
      </c>
      <c r="C418">
        <v>2.58941821421103</v>
      </c>
      <c r="D418">
        <v>1.5840536234225799</v>
      </c>
      <c r="E418">
        <v>-0.86130220552794201</v>
      </c>
      <c r="F418">
        <v>-1.48183336479831E-4</v>
      </c>
      <c r="G418">
        <v>1.2161173967557301E-2</v>
      </c>
      <c r="H418">
        <v>0.44300016633345102</v>
      </c>
      <c r="I418">
        <v>-3.1429463384036E-3</v>
      </c>
    </row>
    <row r="419" spans="1:9" x14ac:dyDescent="0.25">
      <c r="A419">
        <v>171.91864371299701</v>
      </c>
      <c r="B419">
        <v>17.494219440604802</v>
      </c>
      <c r="C419">
        <v>2.4835649025590101</v>
      </c>
      <c r="D419">
        <v>1.5084438343030999</v>
      </c>
      <c r="E419">
        <v>-0.85030185735575603</v>
      </c>
      <c r="F419">
        <v>-3.9805992312412801E-4</v>
      </c>
      <c r="G419">
        <v>1.1040216472493199E-2</v>
      </c>
      <c r="H419">
        <v>0.43223752095106099</v>
      </c>
      <c r="I419">
        <v>-2.8729162320330899E-3</v>
      </c>
    </row>
    <row r="420" spans="1:9" x14ac:dyDescent="0.25">
      <c r="A420">
        <v>187.726768255233</v>
      </c>
      <c r="B420">
        <v>17.685784261311699</v>
      </c>
      <c r="C420">
        <v>2.3900732478978099</v>
      </c>
      <c r="D420">
        <v>1.44275162366354</v>
      </c>
      <c r="E420">
        <v>-0.83838799877275505</v>
      </c>
      <c r="F420">
        <v>-5.7329399577031798E-4</v>
      </c>
      <c r="G420">
        <v>9.9770627867236204E-3</v>
      </c>
      <c r="H420">
        <v>0.43509370703212003</v>
      </c>
      <c r="I420">
        <v>-2.5419929024418299E-3</v>
      </c>
    </row>
    <row r="421" spans="1:9" x14ac:dyDescent="0.25">
      <c r="A421">
        <v>203.579578399658</v>
      </c>
      <c r="B421">
        <v>17.866076986874699</v>
      </c>
      <c r="C421">
        <v>2.3082983888343702</v>
      </c>
      <c r="D421">
        <v>1.3862363678274201</v>
      </c>
      <c r="E421">
        <v>-0.82605753870329202</v>
      </c>
      <c r="F421">
        <v>-3.34731908668034E-4</v>
      </c>
      <c r="G421">
        <v>9.1013946921266395E-3</v>
      </c>
      <c r="H421">
        <v>0.436150887519834</v>
      </c>
      <c r="I421">
        <v>-2.2758114523430801E-3</v>
      </c>
    </row>
    <row r="422" spans="1:9" x14ac:dyDescent="0.25">
      <c r="A422">
        <v>219.43238854408199</v>
      </c>
      <c r="B422">
        <v>18.036195758368098</v>
      </c>
      <c r="C422">
        <v>2.2346065337842398</v>
      </c>
      <c r="D422">
        <v>1.33619069319814</v>
      </c>
      <c r="E422">
        <v>-0.81345789242932598</v>
      </c>
      <c r="F422">
        <v>2.0531554091223801E-4</v>
      </c>
      <c r="G422">
        <v>8.3835615867358503E-3</v>
      </c>
      <c r="H422">
        <v>0.43693975506546401</v>
      </c>
      <c r="I422">
        <v>-2.0617404926981599E-3</v>
      </c>
    </row>
    <row r="423" spans="1:9" x14ac:dyDescent="0.25">
      <c r="A423">
        <v>235.28525948524401</v>
      </c>
      <c r="B423">
        <v>18.197561699535001</v>
      </c>
      <c r="C423">
        <v>2.1675643683010999</v>
      </c>
      <c r="D423">
        <v>1.2911402611718299</v>
      </c>
      <c r="E423">
        <v>-0.800428277921437</v>
      </c>
      <c r="F423">
        <v>8.0919683481408102E-4</v>
      </c>
      <c r="G423">
        <v>7.7743369857161196E-3</v>
      </c>
      <c r="H423">
        <v>0.437372818025413</v>
      </c>
      <c r="I423">
        <v>-1.8814895299231499E-3</v>
      </c>
    </row>
    <row r="424" spans="1:9" x14ac:dyDescent="0.25">
      <c r="A424">
        <v>251.13806962966899</v>
      </c>
      <c r="B424">
        <v>18.351183656241101</v>
      </c>
      <c r="C424">
        <v>2.1053430503343402</v>
      </c>
      <c r="D424">
        <v>1.2499761218044201</v>
      </c>
      <c r="E424">
        <v>-0.78712430718679305</v>
      </c>
      <c r="F424">
        <v>1.2782917113249501E-3</v>
      </c>
      <c r="G424">
        <v>7.2478290129408696E-3</v>
      </c>
      <c r="H424">
        <v>0.437836060761577</v>
      </c>
      <c r="I424">
        <v>-1.72808009163176E-3</v>
      </c>
    </row>
    <row r="425" spans="1:9" x14ac:dyDescent="0.25">
      <c r="A425">
        <v>266.99081897735499</v>
      </c>
      <c r="B425">
        <v>18.498079973842302</v>
      </c>
      <c r="C425">
        <v>2.0468534596147898</v>
      </c>
      <c r="D425">
        <v>1.2115974886432199</v>
      </c>
      <c r="E425">
        <v>-0.77350311433280605</v>
      </c>
      <c r="F425">
        <v>1.8035628015957001E-3</v>
      </c>
      <c r="G425">
        <v>6.7828698600226802E-3</v>
      </c>
      <c r="H425">
        <v>0.438228316729048</v>
      </c>
      <c r="I425">
        <v>-1.5942734730704101E-3</v>
      </c>
    </row>
    <row r="426" spans="1:9" x14ac:dyDescent="0.25">
      <c r="A426">
        <v>282.84362912178</v>
      </c>
      <c r="B426">
        <v>18.639193001772501</v>
      </c>
      <c r="C426">
        <v>1.9909324327272699</v>
      </c>
      <c r="D426">
        <v>1.1754874170860601</v>
      </c>
      <c r="E426">
        <v>-0.75962722802468496</v>
      </c>
      <c r="F426">
        <v>2.0412247049059998E-3</v>
      </c>
      <c r="G426">
        <v>6.3680603360456497E-3</v>
      </c>
      <c r="H426">
        <v>0.43873849000271098</v>
      </c>
      <c r="I426">
        <v>-1.47608711150711E-3</v>
      </c>
    </row>
    <row r="427" spans="1:9" x14ac:dyDescent="0.25">
      <c r="A427">
        <v>298.69643926620398</v>
      </c>
      <c r="B427">
        <v>18.774963516380001</v>
      </c>
      <c r="C427">
        <v>1.93745151782422</v>
      </c>
      <c r="D427">
        <v>1.1413201130794499</v>
      </c>
      <c r="E427">
        <v>-0.74559529964059401</v>
      </c>
      <c r="F427">
        <v>1.6297705086523199E-3</v>
      </c>
      <c r="G427">
        <v>5.9924772412294301E-3</v>
      </c>
      <c r="H427">
        <v>0.43911895943541202</v>
      </c>
      <c r="I427">
        <v>-1.36981381662317E-3</v>
      </c>
    </row>
    <row r="428" spans="1:9" x14ac:dyDescent="0.25">
      <c r="A428">
        <v>314.54931020736598</v>
      </c>
      <c r="B428">
        <v>18.905729699517899</v>
      </c>
      <c r="C428">
        <v>1.88608970356654</v>
      </c>
      <c r="D428">
        <v>1.10897473003106</v>
      </c>
      <c r="E428">
        <v>-0.73134143435686505</v>
      </c>
      <c r="F428">
        <v>1.1153262042903299E-3</v>
      </c>
      <c r="G428">
        <v>5.6489191674885001E-3</v>
      </c>
      <c r="H428">
        <v>0.43948791887483202</v>
      </c>
      <c r="I428">
        <v>-1.2731657557357699E-3</v>
      </c>
    </row>
    <row r="429" spans="1:9" x14ac:dyDescent="0.25">
      <c r="A429">
        <v>330.40212035179098</v>
      </c>
      <c r="B429">
        <v>19.031852531816099</v>
      </c>
      <c r="C429">
        <v>1.8365492797329299</v>
      </c>
      <c r="D429">
        <v>1.0780535943754499</v>
      </c>
      <c r="E429">
        <v>-0.71693572560780305</v>
      </c>
      <c r="F429">
        <v>8.6536741059893595E-4</v>
      </c>
      <c r="G429">
        <v>5.3282522088949598E-3</v>
      </c>
      <c r="H429">
        <v>0.43951034237974301</v>
      </c>
      <c r="I429">
        <v>-1.1836413484919001E-3</v>
      </c>
    </row>
    <row r="430" spans="1:9" x14ac:dyDescent="0.25">
      <c r="A430">
        <v>346.25493049621502</v>
      </c>
      <c r="B430">
        <v>19.1537309918658</v>
      </c>
      <c r="C430">
        <v>1.78795994365827</v>
      </c>
      <c r="D430">
        <v>1.0479870554272399</v>
      </c>
      <c r="E430">
        <v>-0.70232650119037199</v>
      </c>
      <c r="F430">
        <v>5.2273992387351104E-4</v>
      </c>
      <c r="G430">
        <v>5.0335543245192196E-3</v>
      </c>
      <c r="H430">
        <v>0.43974365023614498</v>
      </c>
      <c r="I430">
        <v>-1.10315785678548E-3</v>
      </c>
    </row>
    <row r="431" spans="1:9" x14ac:dyDescent="0.25">
      <c r="A431">
        <v>362.10780143737702</v>
      </c>
      <c r="B431">
        <v>19.2718058560149</v>
      </c>
      <c r="C431">
        <v>1.74033671687539</v>
      </c>
      <c r="D431">
        <v>1.01873608075842</v>
      </c>
      <c r="E431">
        <v>-0.68757757222791804</v>
      </c>
      <c r="F431">
        <v>1.97265733910372E-4</v>
      </c>
      <c r="G431">
        <v>4.7578779742641396E-3</v>
      </c>
      <c r="H431">
        <v>0.44001585892712403</v>
      </c>
      <c r="I431">
        <v>-1.02721107164499E-3</v>
      </c>
    </row>
    <row r="432" spans="1:9" x14ac:dyDescent="0.25">
      <c r="A432">
        <v>377.96061158180203</v>
      </c>
      <c r="B432">
        <v>19.386244315292</v>
      </c>
      <c r="C432">
        <v>1.6933423837144801</v>
      </c>
      <c r="D432">
        <v>0.99017442713241199</v>
      </c>
      <c r="E432">
        <v>-0.67269128600918804</v>
      </c>
      <c r="F432" s="1">
        <v>6.86055057498415E-5</v>
      </c>
      <c r="G432">
        <v>4.4990179630658902E-3</v>
      </c>
      <c r="H432">
        <v>0.440303413709144</v>
      </c>
      <c r="I432">
        <v>-9.5614332220096004E-4</v>
      </c>
    </row>
    <row r="433" spans="1:9" x14ac:dyDescent="0.25">
      <c r="A433">
        <v>393.81348252296402</v>
      </c>
      <c r="B433">
        <v>19.497160363580399</v>
      </c>
      <c r="C433">
        <v>1.64709735299766</v>
      </c>
      <c r="D433">
        <v>0.96224361999891295</v>
      </c>
      <c r="E433">
        <v>-0.65769802116897402</v>
      </c>
      <c r="F433">
        <v>2.34105447372064E-4</v>
      </c>
      <c r="G433">
        <v>4.25346138832012E-3</v>
      </c>
      <c r="H433">
        <v>0.44049759303958802</v>
      </c>
      <c r="I433">
        <v>-8.8900426272614096E-4</v>
      </c>
    </row>
    <row r="434" spans="1:9" x14ac:dyDescent="0.25">
      <c r="A434">
        <v>409.66629266738801</v>
      </c>
      <c r="B434">
        <v>19.604781988646199</v>
      </c>
      <c r="C434">
        <v>1.60154839882125</v>
      </c>
      <c r="D434">
        <v>0.93489386353528603</v>
      </c>
      <c r="E434">
        <v>-0.64254677807062299</v>
      </c>
      <c r="F434">
        <v>4.9373405182308295E-4</v>
      </c>
      <c r="G434">
        <v>4.0208524647232799E-3</v>
      </c>
      <c r="H434">
        <v>0.44061310411560001</v>
      </c>
      <c r="I434">
        <v>-8.2629492073468E-4</v>
      </c>
    </row>
    <row r="435" spans="1:9" x14ac:dyDescent="0.25">
      <c r="A435">
        <v>425.519042015075</v>
      </c>
      <c r="B435">
        <v>19.7092345837609</v>
      </c>
      <c r="C435">
        <v>1.5565812629119999</v>
      </c>
      <c r="D435">
        <v>0.90806034244425804</v>
      </c>
      <c r="E435">
        <v>-0.62727113972709803</v>
      </c>
      <c r="F435">
        <v>5.4113677016022195E-4</v>
      </c>
      <c r="G435">
        <v>3.80177949133499E-3</v>
      </c>
      <c r="H435">
        <v>0.440800286148682</v>
      </c>
      <c r="I435">
        <v>-7.6784084215688795E-4</v>
      </c>
    </row>
    <row r="436" spans="1:9" x14ac:dyDescent="0.25">
      <c r="A436">
        <v>441.371912956237</v>
      </c>
      <c r="B436">
        <v>19.810711938525799</v>
      </c>
      <c r="C436">
        <v>1.5125552792596799</v>
      </c>
      <c r="D436">
        <v>0.88197632095898504</v>
      </c>
      <c r="E436">
        <v>-0.611867191585592</v>
      </c>
      <c r="F436">
        <v>5.1368249773764299E-4</v>
      </c>
      <c r="G436">
        <v>3.5947725523034499E-3</v>
      </c>
      <c r="H436">
        <v>0.441119994635988</v>
      </c>
      <c r="I436">
        <v>-7.1366024369997098E-4</v>
      </c>
    </row>
    <row r="437" spans="1:9" x14ac:dyDescent="0.25">
      <c r="A437">
        <v>457.22478389739899</v>
      </c>
      <c r="B437">
        <v>19.909385043765699</v>
      </c>
      <c r="C437">
        <v>1.4692369635667999</v>
      </c>
      <c r="D437">
        <v>0.85631044000143397</v>
      </c>
      <c r="E437">
        <v>-0.59634533071773299</v>
      </c>
      <c r="F437">
        <v>4.6106407870440998E-4</v>
      </c>
      <c r="G437">
        <v>3.3967557616899598E-3</v>
      </c>
      <c r="H437">
        <v>0.44119986491014701</v>
      </c>
      <c r="I437">
        <v>-6.6245096029277203E-4</v>
      </c>
    </row>
    <row r="438" spans="1:9" x14ac:dyDescent="0.25">
      <c r="A438">
        <v>473.07753324508599</v>
      </c>
      <c r="B438">
        <v>20.005341294790899</v>
      </c>
      <c r="C438">
        <v>1.42637627236581</v>
      </c>
      <c r="D438">
        <v>0.83105107678188905</v>
      </c>
      <c r="E438">
        <v>-0.58073036624905605</v>
      </c>
      <c r="F438">
        <v>4.6272329043020198E-4</v>
      </c>
      <c r="G438">
        <v>3.2074453364079598E-3</v>
      </c>
      <c r="H438">
        <v>0.441252466724396</v>
      </c>
      <c r="I438">
        <v>-6.1410856109224605E-4</v>
      </c>
    </row>
    <row r="439" spans="1:9" x14ac:dyDescent="0.25">
      <c r="A439">
        <v>488.93034338951099</v>
      </c>
      <c r="B439">
        <v>20.098592090989701</v>
      </c>
      <c r="C439">
        <v>1.38398621643318</v>
      </c>
      <c r="D439">
        <v>0.80614657377905397</v>
      </c>
      <c r="E439">
        <v>-0.56500143388260204</v>
      </c>
      <c r="F439">
        <v>1.65990940795014E-4</v>
      </c>
      <c r="G439">
        <v>3.0275634935762199E-3</v>
      </c>
      <c r="H439">
        <v>0.44156444240132298</v>
      </c>
      <c r="I439">
        <v>-5.6881389323645197E-4</v>
      </c>
    </row>
    <row r="440" spans="1:9" x14ac:dyDescent="0.25">
      <c r="A440">
        <v>504.78321433067299</v>
      </c>
      <c r="B440">
        <v>20.189316022779099</v>
      </c>
      <c r="C440">
        <v>1.34192663422254</v>
      </c>
      <c r="D440">
        <v>0.78125874213426805</v>
      </c>
      <c r="E440">
        <v>-0.54915386967270396</v>
      </c>
      <c r="F440">
        <v>-3.50724674989559E-4</v>
      </c>
      <c r="G440">
        <v>2.85710289208751E-3</v>
      </c>
      <c r="H440">
        <v>0.44199437725672802</v>
      </c>
      <c r="I440">
        <v>-5.2639366959644101E-4</v>
      </c>
    </row>
    <row r="441" spans="1:9" x14ac:dyDescent="0.25">
      <c r="A441">
        <v>520.63602447509697</v>
      </c>
      <c r="B441">
        <v>20.277706879760402</v>
      </c>
      <c r="C441">
        <v>1.30016239663746</v>
      </c>
      <c r="D441">
        <v>0.75657640759367795</v>
      </c>
      <c r="E441">
        <v>-0.533208460283215</v>
      </c>
      <c r="F441">
        <v>-8.3482805217713904E-4</v>
      </c>
      <c r="G441">
        <v>2.6947138775728998E-3</v>
      </c>
      <c r="H441">
        <v>0.44242387842952802</v>
      </c>
      <c r="I441">
        <v>-4.8602451309084698E-4</v>
      </c>
    </row>
    <row r="442" spans="1:9" x14ac:dyDescent="0.25">
      <c r="A442">
        <v>536.48889541625897</v>
      </c>
      <c r="B442">
        <v>20.363643068458199</v>
      </c>
      <c r="C442">
        <v>1.2590257515967</v>
      </c>
      <c r="D442">
        <v>0.73240337834445401</v>
      </c>
      <c r="E442">
        <v>-0.51722168124395895</v>
      </c>
      <c r="F442">
        <v>-1.10366869654808E-3</v>
      </c>
      <c r="G442">
        <v>2.5377732465010402E-3</v>
      </c>
      <c r="H442">
        <v>0.44244783289947198</v>
      </c>
      <c r="I442">
        <v>-4.4762782903307703E-4</v>
      </c>
    </row>
    <row r="443" spans="1:9" x14ac:dyDescent="0.25">
      <c r="A443">
        <v>552.34173595905304</v>
      </c>
      <c r="B443">
        <v>20.446942198659499</v>
      </c>
      <c r="C443">
        <v>1.2182509244212201</v>
      </c>
      <c r="D443">
        <v>0.70841808523345895</v>
      </c>
      <c r="E443">
        <v>-0.50115932310491196</v>
      </c>
      <c r="F443">
        <v>-1.1131701106649901E-3</v>
      </c>
      <c r="G443">
        <v>2.3873311705470599E-3</v>
      </c>
      <c r="H443">
        <v>0.44232602212762601</v>
      </c>
      <c r="I443">
        <v>-4.1157812381467602E-4</v>
      </c>
    </row>
    <row r="444" spans="1:9" x14ac:dyDescent="0.25">
      <c r="A444">
        <v>568.19448530673901</v>
      </c>
      <c r="B444">
        <v>20.527547273422801</v>
      </c>
      <c r="C444">
        <v>1.17755357050555</v>
      </c>
      <c r="D444">
        <v>0.68450083681571505</v>
      </c>
      <c r="E444">
        <v>-0.48499096218112703</v>
      </c>
      <c r="F444">
        <v>-1.0881748995142701E-3</v>
      </c>
      <c r="G444">
        <v>2.24307849641027E-3</v>
      </c>
      <c r="H444">
        <v>0.44209061116063503</v>
      </c>
      <c r="I444">
        <v>-3.7759159542164698E-4</v>
      </c>
    </row>
    <row r="445" spans="1:9" x14ac:dyDescent="0.25">
      <c r="A445">
        <v>584.04732584953297</v>
      </c>
      <c r="B445">
        <v>20.605674881126099</v>
      </c>
      <c r="C445">
        <v>1.13698253940128</v>
      </c>
      <c r="D445">
        <v>0.66044129584775302</v>
      </c>
      <c r="E445">
        <v>-0.46872471478675198</v>
      </c>
      <c r="F445">
        <v>-9.9294744108014495E-4</v>
      </c>
      <c r="G445">
        <v>2.10694604940647E-3</v>
      </c>
      <c r="H445">
        <v>0.44237003144949399</v>
      </c>
      <c r="I445">
        <v>-3.4642044499648699E-4</v>
      </c>
    </row>
    <row r="446" spans="1:9" x14ac:dyDescent="0.25">
      <c r="A446">
        <v>599.90016639232601</v>
      </c>
      <c r="B446">
        <v>20.681537810350999</v>
      </c>
      <c r="C446">
        <v>1.09677876703244</v>
      </c>
      <c r="D446">
        <v>0.63668097832385195</v>
      </c>
      <c r="E446">
        <v>-0.45236381193599401</v>
      </c>
      <c r="F446">
        <v>-7.3520029791128395E-4</v>
      </c>
      <c r="G446">
        <v>1.9767478780837199E-3</v>
      </c>
      <c r="H446">
        <v>0.44251842749808101</v>
      </c>
      <c r="I446">
        <v>-3.1696293287672498E-4</v>
      </c>
    </row>
    <row r="447" spans="1:9" x14ac:dyDescent="0.25">
      <c r="A447">
        <v>615.75300693511895</v>
      </c>
      <c r="B447">
        <v>20.755029666806799</v>
      </c>
      <c r="C447">
        <v>1.05677595201996</v>
      </c>
      <c r="D447">
        <v>0.61295701785312595</v>
      </c>
      <c r="E447">
        <v>-0.43596753267381799</v>
      </c>
      <c r="F447">
        <v>-3.0158640402210002E-4</v>
      </c>
      <c r="G447">
        <v>1.8523196531380899E-3</v>
      </c>
      <c r="H447">
        <v>0.44266859838405098</v>
      </c>
      <c r="I447">
        <v>-2.89438618300864E-4</v>
      </c>
    </row>
    <row r="448" spans="1:9" x14ac:dyDescent="0.25">
      <c r="A448">
        <v>631.60581707954395</v>
      </c>
      <c r="B448">
        <v>20.826044056202502</v>
      </c>
      <c r="C448">
        <v>1.0168625565256599</v>
      </c>
      <c r="D448">
        <v>0.58961438176732195</v>
      </c>
      <c r="E448">
        <v>-0.41948117327839202</v>
      </c>
      <c r="F448" s="1">
        <v>3.60827864212555E-5</v>
      </c>
      <c r="G448">
        <v>1.7331883806581199E-3</v>
      </c>
      <c r="H448">
        <v>0.44298277364094601</v>
      </c>
      <c r="I448">
        <v>-2.6340086239316502E-4</v>
      </c>
    </row>
    <row r="449" spans="1:9" x14ac:dyDescent="0.25">
      <c r="A449">
        <v>647.45859682559899</v>
      </c>
      <c r="B449">
        <v>20.894664574052499</v>
      </c>
      <c r="C449">
        <v>0.97718033887304001</v>
      </c>
      <c r="D449">
        <v>0.56644987886004605</v>
      </c>
      <c r="E449">
        <v>-0.40292288567318402</v>
      </c>
      <c r="F449">
        <v>2.5301459969262501E-4</v>
      </c>
      <c r="G449">
        <v>1.6199655206418401E-3</v>
      </c>
      <c r="H449">
        <v>0.44345689408356298</v>
      </c>
      <c r="I449">
        <v>-2.3922248639693901E-4</v>
      </c>
    </row>
    <row r="450" spans="1:9" x14ac:dyDescent="0.25">
      <c r="A450">
        <v>663.31143736839203</v>
      </c>
      <c r="B450">
        <v>20.960876021172201</v>
      </c>
      <c r="C450">
        <v>0.93796467583615595</v>
      </c>
      <c r="D450">
        <v>0.543470989250739</v>
      </c>
      <c r="E450">
        <v>-0.38631525332490102</v>
      </c>
      <c r="F450">
        <v>4.6506863270264501E-4</v>
      </c>
      <c r="G450">
        <v>1.51258042887693E-3</v>
      </c>
      <c r="H450">
        <v>0.443935111636589</v>
      </c>
      <c r="I450">
        <v>-2.16885534312124E-4</v>
      </c>
    </row>
    <row r="451" spans="1:9" x14ac:dyDescent="0.25">
      <c r="A451">
        <v>679.16427791118599</v>
      </c>
      <c r="B451">
        <v>21.0247391942994</v>
      </c>
      <c r="C451">
        <v>0.89903365310419703</v>
      </c>
      <c r="D451">
        <v>0.52039852203699799</v>
      </c>
      <c r="E451">
        <v>-0.36960469057651502</v>
      </c>
      <c r="F451">
        <v>6.7447534546239904E-4</v>
      </c>
      <c r="G451">
        <v>1.41045739797152E-3</v>
      </c>
      <c r="H451">
        <v>0.44441675832579502</v>
      </c>
      <c r="I451">
        <v>-1.9621110291290499E-4</v>
      </c>
    </row>
    <row r="452" spans="1:9" x14ac:dyDescent="0.25">
      <c r="A452">
        <v>695.01711845397904</v>
      </c>
      <c r="B452">
        <v>21.0863756869093</v>
      </c>
      <c r="C452">
        <v>0.86050212034933804</v>
      </c>
      <c r="D452">
        <v>0.49734196247038198</v>
      </c>
      <c r="E452">
        <v>-0.352831946681671</v>
      </c>
      <c r="F452">
        <v>8.6607120972934603E-4</v>
      </c>
      <c r="G452">
        <v>1.3130778370846899E-3</v>
      </c>
      <c r="H452">
        <v>0.44477848513748403</v>
      </c>
      <c r="I452">
        <v>-1.7701873962091099E-4</v>
      </c>
    </row>
    <row r="453" spans="1:9" x14ac:dyDescent="0.25">
      <c r="A453">
        <v>710.86992859840302</v>
      </c>
      <c r="B453">
        <v>21.1456525061385</v>
      </c>
      <c r="C453">
        <v>0.82268257276609802</v>
      </c>
      <c r="D453">
        <v>0.47462274678737798</v>
      </c>
      <c r="E453">
        <v>-0.33600795438035103</v>
      </c>
      <c r="F453" s="1">
        <v>8.6969925117231996E-4</v>
      </c>
      <c r="G453">
        <v>1.2205825248383199E-3</v>
      </c>
      <c r="H453">
        <v>0.444973707093059</v>
      </c>
      <c r="I453">
        <v>-1.59170165759642E-4</v>
      </c>
    </row>
    <row r="454" spans="1:9" x14ac:dyDescent="0.25">
      <c r="A454">
        <v>726.72273874282803</v>
      </c>
      <c r="B454">
        <v>21.2025088552491</v>
      </c>
      <c r="C454">
        <v>0.78569394067926601</v>
      </c>
      <c r="D454">
        <v>0.45210676331916999</v>
      </c>
      <c r="E454">
        <v>-0.31912486452651201</v>
      </c>
      <c r="F454" s="1">
        <v>8.6460235871488702E-4</v>
      </c>
      <c r="G454">
        <v>1.1333445661751199E-3</v>
      </c>
      <c r="H454">
        <v>0.44517745136450199</v>
      </c>
      <c r="I454">
        <v>-1.4285807180779901E-4</v>
      </c>
    </row>
    <row r="455" spans="1:9" x14ac:dyDescent="0.25">
      <c r="A455">
        <v>742.57554888725201</v>
      </c>
      <c r="B455">
        <v>21.256952333833301</v>
      </c>
      <c r="C455">
        <v>0.74941735290394695</v>
      </c>
      <c r="D455">
        <v>0.42983482134682099</v>
      </c>
      <c r="E455">
        <v>-0.30218988001565</v>
      </c>
      <c r="F455" s="1">
        <v>1.0188342660901999E-3</v>
      </c>
      <c r="G455">
        <v>1.0512056182437101E-3</v>
      </c>
      <c r="H455">
        <v>0.44545002828293001</v>
      </c>
      <c r="I455" s="1">
        <v>-1.2793642591407001E-4</v>
      </c>
    </row>
    <row r="456" spans="1:9" x14ac:dyDescent="0.25">
      <c r="A456">
        <v>758.42838943004597</v>
      </c>
      <c r="B456">
        <v>21.308918345357501</v>
      </c>
      <c r="C456">
        <v>0.71377397596279402</v>
      </c>
      <c r="D456">
        <v>0.40789173902239101</v>
      </c>
      <c r="E456">
        <v>-0.28520527265491202</v>
      </c>
      <c r="F456" s="1">
        <v>1.2042444613937901E-3</v>
      </c>
      <c r="G456">
        <v>9.7429165950793401E-4</v>
      </c>
      <c r="H456">
        <v>0.44601802350915998</v>
      </c>
      <c r="I456" s="1">
        <v>-1.14415326131565E-4</v>
      </c>
    </row>
    <row r="457" spans="1:9" x14ac:dyDescent="0.25">
      <c r="A457">
        <v>774.28122997283901</v>
      </c>
      <c r="B457">
        <v>21.358342293287901</v>
      </c>
      <c r="C457">
        <v>0.679066014708951</v>
      </c>
      <c r="D457">
        <v>0.38666288661924098</v>
      </c>
      <c r="E457">
        <v>-0.26817464125541302</v>
      </c>
      <c r="F457" s="1">
        <v>1.31935863694871E-3</v>
      </c>
      <c r="G457">
        <v>9.0224394473582196E-4</v>
      </c>
      <c r="H457">
        <v>0.44654145809971502</v>
      </c>
      <c r="I457" s="1">
        <v>-1.02435668737958E-4</v>
      </c>
    </row>
    <row r="458" spans="1:9" x14ac:dyDescent="0.25">
      <c r="A458">
        <v>790.13402491807904</v>
      </c>
      <c r="B458">
        <v>21.405205178643801</v>
      </c>
      <c r="C458">
        <v>0.64548029206434798</v>
      </c>
      <c r="D458">
        <v>0.36593472969999702</v>
      </c>
      <c r="E458">
        <v>-0.25108380424468701</v>
      </c>
      <c r="F458" s="1">
        <v>1.31536960172396E-3</v>
      </c>
      <c r="G458">
        <v>8.3514226052916897E-4</v>
      </c>
      <c r="H458">
        <v>0.44710941503657198</v>
      </c>
      <c r="I458" s="1">
        <v>-9.1915666858818305E-5</v>
      </c>
    </row>
    <row r="459" spans="1:9" x14ac:dyDescent="0.25">
      <c r="A459">
        <v>805.98686546087197</v>
      </c>
      <c r="B459">
        <v>21.449450004483801</v>
      </c>
      <c r="C459">
        <v>0.61302698009057999</v>
      </c>
      <c r="D459">
        <v>0.34577024771776199</v>
      </c>
      <c r="E459">
        <v>-0.23395304494368899</v>
      </c>
      <c r="F459">
        <v>1.2318804502412699E-3</v>
      </c>
      <c r="G459">
        <v>7.7312937806241395E-4</v>
      </c>
      <c r="H459">
        <v>0.44793076887846001</v>
      </c>
      <c r="I459" s="1">
        <v>-8.2408503829832605E-5</v>
      </c>
    </row>
    <row r="460" spans="1:9" x14ac:dyDescent="0.25">
      <c r="A460">
        <v>821.83970600366501</v>
      </c>
      <c r="B460">
        <v>21.4909779761092</v>
      </c>
      <c r="C460">
        <v>0.58198835349685396</v>
      </c>
      <c r="D460">
        <v>0.32618777317193798</v>
      </c>
      <c r="E460">
        <v>-0.216784422828395</v>
      </c>
      <c r="F460">
        <v>1.18035203846398E-3</v>
      </c>
      <c r="G460">
        <v>7.1568463972416705E-4</v>
      </c>
      <c r="H460">
        <v>0.44860647655571301</v>
      </c>
      <c r="I460" s="1">
        <v>-7.3865332548272202E-5</v>
      </c>
    </row>
    <row r="461" spans="1:9" x14ac:dyDescent="0.25">
      <c r="A461">
        <v>837.69251614809002</v>
      </c>
      <c r="B461">
        <v>21.5297130975977</v>
      </c>
      <c r="C461">
        <v>0.55247388022507904</v>
      </c>
      <c r="D461">
        <v>0.30749799351889301</v>
      </c>
      <c r="E461">
        <v>-0.19958714731657301</v>
      </c>
      <c r="F461">
        <v>1.13841053055533E-3</v>
      </c>
      <c r="G461">
        <v>6.6325282472883104E-4</v>
      </c>
      <c r="H461">
        <v>0.44946629632012602</v>
      </c>
      <c r="I461" s="1">
        <v>-6.6529979894985804E-5</v>
      </c>
    </row>
    <row r="462" spans="1:9" x14ac:dyDescent="0.25">
      <c r="A462">
        <v>853.54535669088295</v>
      </c>
      <c r="B462">
        <v>21.565518576289801</v>
      </c>
      <c r="C462">
        <v>0.52460320027876095</v>
      </c>
      <c r="D462">
        <v>0.28947719460955101</v>
      </c>
      <c r="E462">
        <v>-0.18235310639444399</v>
      </c>
      <c r="F462">
        <v>1.1010603904174001E-3</v>
      </c>
      <c r="G462">
        <v>6.1527934028668798E-4</v>
      </c>
      <c r="H462">
        <v>0.45013422825591198</v>
      </c>
      <c r="I462" s="1">
        <v>-6.0074428127440002E-5</v>
      </c>
    </row>
    <row r="463" spans="1:9" x14ac:dyDescent="0.25">
      <c r="A463">
        <v>869.39818203449204</v>
      </c>
      <c r="B463">
        <v>21.598310816670999</v>
      </c>
      <c r="C463">
        <v>0.49843527613120298</v>
      </c>
      <c r="D463">
        <v>0.27274968042159298</v>
      </c>
      <c r="E463">
        <v>-0.16508454822324101</v>
      </c>
      <c r="F463">
        <v>1.0285551996446699E-3</v>
      </c>
      <c r="G463">
        <v>5.7235027136886196E-4</v>
      </c>
      <c r="H463">
        <v>0.45114711473109997</v>
      </c>
      <c r="I463" s="1">
        <v>-5.4626921592686302E-5</v>
      </c>
    </row>
    <row r="464" spans="1:9" x14ac:dyDescent="0.25">
      <c r="A464">
        <v>885.25099217891602</v>
      </c>
      <c r="B464">
        <v>21.628097418333699</v>
      </c>
      <c r="C464">
        <v>0.47419803292996199</v>
      </c>
      <c r="D464">
        <v>0.257012290760819</v>
      </c>
      <c r="E464">
        <v>-0.147779255498691</v>
      </c>
      <c r="F464">
        <v>9.1631622806223297E-4</v>
      </c>
      <c r="G464">
        <v>5.3435981038956501E-4</v>
      </c>
      <c r="H464">
        <v>0.45246203848156002</v>
      </c>
      <c r="I464" s="1">
        <v>-5.0134612082138403E-5</v>
      </c>
    </row>
    <row r="465" spans="1:9" x14ac:dyDescent="0.25">
      <c r="A465">
        <v>901.10380992293301</v>
      </c>
      <c r="B465">
        <v>21.654832783724402</v>
      </c>
      <c r="C465">
        <v>0.45215626954586702</v>
      </c>
      <c r="D465">
        <v>0.24264714179795899</v>
      </c>
      <c r="E465">
        <v>-0.13044593395495399</v>
      </c>
      <c r="F465">
        <v>8.2137635589965899E-4</v>
      </c>
      <c r="G465">
        <v>5.0074674782078104E-4</v>
      </c>
      <c r="H465">
        <v>0.45360643274725998</v>
      </c>
      <c r="I465" s="1">
        <v>-4.6375786112841803E-5</v>
      </c>
    </row>
    <row r="466" spans="1:9" x14ac:dyDescent="0.25">
      <c r="A466">
        <v>916.95665046572606</v>
      </c>
      <c r="B466">
        <v>21.6784561161057</v>
      </c>
      <c r="C466">
        <v>0.43244600773277803</v>
      </c>
      <c r="D466">
        <v>0.22980978124318799</v>
      </c>
      <c r="E466">
        <v>-0.113091220659907</v>
      </c>
      <c r="F466">
        <v>7.8946415748718305E-4</v>
      </c>
      <c r="G466">
        <v>4.7154708047806698E-4</v>
      </c>
      <c r="H466">
        <v>0.45477103120039902</v>
      </c>
      <c r="I466" s="1">
        <v>-4.3229352162499197E-5</v>
      </c>
    </row>
    <row r="467" spans="1:9" x14ac:dyDescent="0.25">
      <c r="A467">
        <v>932.80946820974305</v>
      </c>
      <c r="B467">
        <v>21.698842022206001</v>
      </c>
      <c r="C467">
        <v>0.41526755430822898</v>
      </c>
      <c r="D467">
        <v>0.21853524884414799</v>
      </c>
      <c r="E467">
        <v>-9.5724345120411697E-2</v>
      </c>
      <c r="F467">
        <v>8.5106705102660205E-4</v>
      </c>
      <c r="G467">
        <v>4.46708226001363E-4</v>
      </c>
      <c r="H467">
        <v>0.45587901043920598</v>
      </c>
      <c r="I467" s="1">
        <v>-4.0784987931744503E-5</v>
      </c>
    </row>
    <row r="468" spans="1:9" x14ac:dyDescent="0.25">
      <c r="A468">
        <v>948.66229355335201</v>
      </c>
      <c r="B468">
        <v>21.715838510181101</v>
      </c>
      <c r="C468">
        <v>0.40077514611311899</v>
      </c>
      <c r="D468">
        <v>0.20891908096801701</v>
      </c>
      <c r="E468">
        <v>-7.8343099520359102E-2</v>
      </c>
      <c r="F468">
        <v>9.5665346329851795E-4</v>
      </c>
      <c r="G468">
        <v>4.2600236139166999E-4</v>
      </c>
      <c r="H468">
        <v>0.456671231742247</v>
      </c>
      <c r="I468" s="1">
        <v>-3.8899459513400002E-5</v>
      </c>
    </row>
    <row r="469" spans="1:9" x14ac:dyDescent="0.25">
      <c r="A469">
        <v>964.51511889696098</v>
      </c>
      <c r="B469">
        <v>21.729399982477801</v>
      </c>
      <c r="C469">
        <v>0.38899193641555002</v>
      </c>
      <c r="D469">
        <v>0.20102277086144199</v>
      </c>
      <c r="E469">
        <v>-6.0938174530255899E-2</v>
      </c>
      <c r="F469">
        <v>1.0045028753594501E-3</v>
      </c>
      <c r="G469">
        <v>4.0953162721596101E-4</v>
      </c>
      <c r="H469">
        <v>0.45733220569039701</v>
      </c>
      <c r="I469" s="1">
        <v>-3.7430169598471103E-5</v>
      </c>
    </row>
    <row r="470" spans="1:9" x14ac:dyDescent="0.25">
      <c r="A470">
        <v>980.36794044077305</v>
      </c>
      <c r="B470">
        <v>21.7395416382805</v>
      </c>
      <c r="C470">
        <v>0.38000190386355798</v>
      </c>
      <c r="D470">
        <v>0.19501597816782701</v>
      </c>
      <c r="E470">
        <v>-4.3518467491225898E-2</v>
      </c>
      <c r="F470">
        <v>9.44119259476243E-4</v>
      </c>
      <c r="G470">
        <v>3.97521270749757E-4</v>
      </c>
      <c r="H470">
        <v>0.45811112269680399</v>
      </c>
      <c r="I470" s="1">
        <v>-3.6475220457876298E-5</v>
      </c>
    </row>
    <row r="471" spans="1:9" x14ac:dyDescent="0.25">
      <c r="A471">
        <v>996.22076388448397</v>
      </c>
      <c r="B471">
        <v>21.7462710771815</v>
      </c>
      <c r="C471">
        <v>0.373978978882405</v>
      </c>
      <c r="D471">
        <v>0.19083683466266099</v>
      </c>
      <c r="E471">
        <v>-2.60840099943755E-2</v>
      </c>
      <c r="F471">
        <v>7.6280284904676099E-4</v>
      </c>
      <c r="G471">
        <v>3.8955313227420499E-4</v>
      </c>
      <c r="H471">
        <v>0.45869124425649899</v>
      </c>
      <c r="I471" s="1">
        <v>-3.5855951481938202E-5</v>
      </c>
    </row>
    <row r="472" spans="1:9" x14ac:dyDescent="0.25">
      <c r="A472">
        <v>1012.07358780317</v>
      </c>
      <c r="B472">
        <v>21.749611097957299</v>
      </c>
      <c r="C472">
        <v>0.37102219122289098</v>
      </c>
      <c r="D472">
        <v>0.18871385197000001</v>
      </c>
      <c r="E472">
        <v>-8.6527963517874906E-3</v>
      </c>
      <c r="F472">
        <v>5.5035831458727705E-4</v>
      </c>
      <c r="G472">
        <v>3.85460991600454E-4</v>
      </c>
      <c r="H472">
        <v>0.45899299396542498</v>
      </c>
      <c r="I472" s="1">
        <v>-3.5479988074274401E-5</v>
      </c>
    </row>
    <row r="473" spans="1:9" x14ac:dyDescent="0.25">
      <c r="A473" t="s">
        <v>535</v>
      </c>
      <c r="B473" t="s">
        <v>528</v>
      </c>
      <c r="C473" t="s">
        <v>529</v>
      </c>
      <c r="D473" t="s">
        <v>530</v>
      </c>
      <c r="E473" t="s">
        <v>531</v>
      </c>
      <c r="F473" t="s">
        <v>532</v>
      </c>
      <c r="G473" t="s">
        <v>370</v>
      </c>
      <c r="H473" t="s">
        <v>533</v>
      </c>
      <c r="I473" t="s">
        <v>527</v>
      </c>
    </row>
    <row r="474" spans="1:9" x14ac:dyDescent="0.25">
      <c r="A474">
        <v>-143.34727764129599</v>
      </c>
      <c r="B474">
        <v>-10.4271075689075</v>
      </c>
      <c r="C474">
        <v>0.121703763994673</v>
      </c>
      <c r="D474">
        <v>0</v>
      </c>
      <c r="E474">
        <v>0</v>
      </c>
      <c r="F474">
        <v>0</v>
      </c>
      <c r="G474" s="1">
        <v>1.6269215104003301E-5</v>
      </c>
      <c r="H474">
        <v>1.2277121037629001E-2</v>
      </c>
      <c r="I474">
        <v>0</v>
      </c>
    </row>
    <row r="475" spans="1:9" x14ac:dyDescent="0.25">
      <c r="A475">
        <v>-130.59127092361399</v>
      </c>
      <c r="B475">
        <v>-9.4993170537827591</v>
      </c>
      <c r="C475">
        <v>0.12226513464383899</v>
      </c>
      <c r="D475">
        <v>0</v>
      </c>
      <c r="E475">
        <v>0</v>
      </c>
      <c r="F475">
        <v>0</v>
      </c>
      <c r="G475" s="1">
        <v>1.81014087541342E-5</v>
      </c>
      <c r="H475">
        <v>9.5075379829515694E-2</v>
      </c>
      <c r="I475">
        <v>0</v>
      </c>
    </row>
    <row r="476" spans="1:9" x14ac:dyDescent="0.25">
      <c r="A476">
        <v>-118.88850688934301</v>
      </c>
      <c r="B476">
        <v>-8.6481209286330305</v>
      </c>
      <c r="C476">
        <v>0.123303727266943</v>
      </c>
      <c r="D476">
        <v>0</v>
      </c>
      <c r="E476">
        <v>0</v>
      </c>
      <c r="F476">
        <v>0</v>
      </c>
      <c r="G476" s="1">
        <v>2.1525326951987698E-5</v>
      </c>
      <c r="H476">
        <v>0.21070221524933</v>
      </c>
      <c r="I476">
        <v>0</v>
      </c>
    </row>
    <row r="477" spans="1:9" x14ac:dyDescent="0.25">
      <c r="A477">
        <v>-108.151924610137</v>
      </c>
      <c r="B477">
        <v>-7.8671982326386498</v>
      </c>
      <c r="C477">
        <v>0.124779186279511</v>
      </c>
      <c r="D477">
        <v>0</v>
      </c>
      <c r="E477">
        <v>0</v>
      </c>
      <c r="F477">
        <v>0</v>
      </c>
      <c r="G477" s="1">
        <v>2.64676563244137E-5</v>
      </c>
      <c r="H477">
        <v>0.32252725636188401</v>
      </c>
      <c r="I477">
        <v>0</v>
      </c>
    </row>
    <row r="478" spans="1:9" x14ac:dyDescent="0.25">
      <c r="A478">
        <v>-98.302001953125</v>
      </c>
      <c r="B478">
        <v>-7.15074857704621</v>
      </c>
      <c r="C478">
        <v>0.126672949147632</v>
      </c>
      <c r="D478">
        <v>0</v>
      </c>
      <c r="E478">
        <v>0</v>
      </c>
      <c r="F478">
        <v>0</v>
      </c>
      <c r="G478" s="1">
        <v>3.3035296063132999E-5</v>
      </c>
      <c r="H478">
        <v>0.41673153488021702</v>
      </c>
      <c r="I478">
        <v>0</v>
      </c>
    </row>
    <row r="479" spans="1:9" x14ac:dyDescent="0.25">
      <c r="A479">
        <v>-89.265174865722599</v>
      </c>
      <c r="B479">
        <v>-6.4934484475133996</v>
      </c>
      <c r="C479">
        <v>0.12897749771241199</v>
      </c>
      <c r="D479">
        <v>0</v>
      </c>
      <c r="E479">
        <v>0</v>
      </c>
      <c r="F479">
        <v>0</v>
      </c>
      <c r="G479" s="1">
        <v>4.1509690422714102E-5</v>
      </c>
      <c r="H479">
        <v>0.49181353041016701</v>
      </c>
      <c r="I479">
        <v>0</v>
      </c>
    </row>
    <row r="480" spans="1:9" x14ac:dyDescent="0.25">
      <c r="A480">
        <v>-80.974688529968205</v>
      </c>
      <c r="B480">
        <v>-5.8904170059440704</v>
      </c>
      <c r="C480">
        <v>0.13169164917599099</v>
      </c>
      <c r="D480">
        <v>0</v>
      </c>
      <c r="E480">
        <v>0</v>
      </c>
      <c r="F480">
        <v>0</v>
      </c>
      <c r="G480" s="1">
        <v>5.2351561468100197E-5</v>
      </c>
      <c r="H480">
        <v>0.550454554646998</v>
      </c>
      <c r="I480">
        <v>0</v>
      </c>
    </row>
    <row r="481" spans="1:9" x14ac:dyDescent="0.25">
      <c r="A481">
        <v>-73.368651866912799</v>
      </c>
      <c r="B481">
        <v>-5.3371704929349999</v>
      </c>
      <c r="C481">
        <v>0.13481877451226801</v>
      </c>
      <c r="D481">
        <v>0</v>
      </c>
      <c r="E481">
        <v>0</v>
      </c>
      <c r="F481">
        <v>0</v>
      </c>
      <c r="G481" s="1">
        <v>6.6216302769816994E-5</v>
      </c>
      <c r="H481">
        <v>0.59599849562557305</v>
      </c>
      <c r="I481">
        <v>0</v>
      </c>
    </row>
    <row r="482" spans="1:9" x14ac:dyDescent="0.25">
      <c r="A482">
        <v>-66.390645503997803</v>
      </c>
      <c r="B482">
        <v>-4.8296032287953397</v>
      </c>
      <c r="C482">
        <v>0.1383664140576</v>
      </c>
      <c r="D482">
        <v>0</v>
      </c>
      <c r="E482">
        <v>0</v>
      </c>
      <c r="F482">
        <v>0</v>
      </c>
      <c r="G482" s="1">
        <v>8.39807016284055E-5</v>
      </c>
      <c r="H482">
        <v>0.63135689337465895</v>
      </c>
      <c r="I482">
        <v>0</v>
      </c>
    </row>
    <row r="483" spans="1:9" x14ac:dyDescent="0.25">
      <c r="A483">
        <v>-59.988870620727504</v>
      </c>
      <c r="B483">
        <v>-4.3639420159934099</v>
      </c>
      <c r="C483">
        <v>0.14234629229576901</v>
      </c>
      <c r="D483">
        <v>0</v>
      </c>
      <c r="E483">
        <v>0</v>
      </c>
      <c r="F483">
        <v>0</v>
      </c>
      <c r="G483">
        <v>1.0678106797001799E-4</v>
      </c>
      <c r="H483">
        <v>0.65882271042830798</v>
      </c>
      <c r="I483">
        <v>0</v>
      </c>
    </row>
    <row r="484" spans="1:9" x14ac:dyDescent="0.25">
      <c r="A484">
        <v>-54.115540981292703</v>
      </c>
      <c r="B484">
        <v>-3.9367271401761101</v>
      </c>
      <c r="C484">
        <v>0.14677445092274799</v>
      </c>
      <c r="D484">
        <v>0</v>
      </c>
      <c r="E484">
        <v>0</v>
      </c>
      <c r="F484">
        <v>0</v>
      </c>
      <c r="G484">
        <v>1.36062276077098E-4</v>
      </c>
      <c r="H484">
        <v>0.68015135379735003</v>
      </c>
      <c r="I484">
        <v>0</v>
      </c>
    </row>
    <row r="485" spans="1:9" x14ac:dyDescent="0.25">
      <c r="A485">
        <v>-48.727247714996302</v>
      </c>
      <c r="B485">
        <v>-3.5447857715962501</v>
      </c>
      <c r="C485">
        <v>0.15167129320161599</v>
      </c>
      <c r="D485">
        <v>0</v>
      </c>
      <c r="E485">
        <v>0</v>
      </c>
      <c r="F485">
        <v>0</v>
      </c>
      <c r="G485">
        <v>1.7363710092865799E-4</v>
      </c>
      <c r="H485">
        <v>0.69668698275149998</v>
      </c>
      <c r="I485">
        <v>0</v>
      </c>
    </row>
    <row r="486" spans="1:9" x14ac:dyDescent="0.25">
      <c r="A486">
        <v>-43.783864974975501</v>
      </c>
      <c r="B486">
        <v>-3.1852034666417199</v>
      </c>
      <c r="C486">
        <v>0.15706136218795999</v>
      </c>
      <c r="D486">
        <v>0</v>
      </c>
      <c r="E486">
        <v>0</v>
      </c>
      <c r="F486">
        <v>0</v>
      </c>
      <c r="G486">
        <v>2.2175475713481701E-4</v>
      </c>
      <c r="H486">
        <v>0.70947160976536805</v>
      </c>
      <c r="I486">
        <v>0</v>
      </c>
    </row>
    <row r="487" spans="1:9" x14ac:dyDescent="0.25">
      <c r="A487">
        <v>-39.248671531677203</v>
      </c>
      <c r="B487">
        <v>-2.8553108685491599</v>
      </c>
      <c r="C487">
        <v>0.162973000675492</v>
      </c>
      <c r="D487">
        <v>0</v>
      </c>
      <c r="E487">
        <v>0</v>
      </c>
      <c r="F487">
        <v>0</v>
      </c>
      <c r="G487">
        <v>2.8317671201705198E-4</v>
      </c>
      <c r="H487">
        <v>0.71932622786378797</v>
      </c>
      <c r="I487">
        <v>0</v>
      </c>
    </row>
    <row r="488" spans="1:9" x14ac:dyDescent="0.25">
      <c r="A488">
        <v>-35.087985992431598</v>
      </c>
      <c r="B488">
        <v>-2.55265710883122</v>
      </c>
      <c r="C488">
        <v>0.16943774501214601</v>
      </c>
      <c r="D488">
        <v>0</v>
      </c>
      <c r="E488">
        <v>0</v>
      </c>
      <c r="F488">
        <v>0</v>
      </c>
      <c r="G488">
        <v>3.6125621527105501E-4</v>
      </c>
      <c r="H488">
        <v>0.72690787497357301</v>
      </c>
      <c r="I488">
        <v>0</v>
      </c>
    </row>
    <row r="489" spans="1:9" x14ac:dyDescent="0.25">
      <c r="A489">
        <v>-31.270802021026601</v>
      </c>
      <c r="B489">
        <v>-2.2749908082960202</v>
      </c>
      <c r="C489">
        <v>0.17648964499130601</v>
      </c>
      <c r="D489">
        <v>0</v>
      </c>
      <c r="E489">
        <v>0</v>
      </c>
      <c r="F489">
        <v>0</v>
      </c>
      <c r="G489">
        <v>4.6001551012864102E-4</v>
      </c>
      <c r="H489">
        <v>0.73274900588189795</v>
      </c>
      <c r="I489">
        <v>0</v>
      </c>
    </row>
    <row r="490" spans="1:9" x14ac:dyDescent="0.25">
      <c r="A490">
        <v>-27.7686667442321</v>
      </c>
      <c r="B490">
        <v>-2.0202505775569</v>
      </c>
      <c r="C490">
        <v>0.18416430282854801</v>
      </c>
      <c r="D490">
        <v>0</v>
      </c>
      <c r="E490">
        <v>0</v>
      </c>
      <c r="F490">
        <v>0</v>
      </c>
      <c r="G490">
        <v>5.8421189962132303E-4</v>
      </c>
      <c r="H490">
        <v>0.73728403392195596</v>
      </c>
      <c r="I490">
        <v>0</v>
      </c>
    </row>
    <row r="491" spans="1:9" x14ac:dyDescent="0.25">
      <c r="A491">
        <v>-24.555802345275801</v>
      </c>
      <c r="B491">
        <v>-1.7865441181538599</v>
      </c>
      <c r="C491">
        <v>0.192497793858592</v>
      </c>
      <c r="D491">
        <v>0</v>
      </c>
      <c r="E491">
        <v>0</v>
      </c>
      <c r="F491">
        <v>0</v>
      </c>
      <c r="G491">
        <v>7.3938171667009501E-4</v>
      </c>
      <c r="H491">
        <v>0.74086736476694404</v>
      </c>
      <c r="I491">
        <v>0</v>
      </c>
    </row>
    <row r="492" spans="1:9" x14ac:dyDescent="0.25">
      <c r="A492">
        <v>-21.608254909515299</v>
      </c>
      <c r="B492">
        <v>-1.57213302336913</v>
      </c>
      <c r="C492">
        <v>0.20152536545765501</v>
      </c>
      <c r="D492">
        <v>0</v>
      </c>
      <c r="E492">
        <v>0</v>
      </c>
      <c r="F492">
        <v>0</v>
      </c>
      <c r="G492">
        <v>9.3184902056009302E-4</v>
      </c>
      <c r="H492">
        <v>0.74378596856547896</v>
      </c>
      <c r="I492">
        <v>0</v>
      </c>
    </row>
    <row r="493" spans="1:9" x14ac:dyDescent="0.25">
      <c r="A493">
        <v>-18.904016017913801</v>
      </c>
      <c r="B493">
        <v>-1.3754270785329901</v>
      </c>
      <c r="C493">
        <v>0.21127998811607501</v>
      </c>
      <c r="D493">
        <v>0</v>
      </c>
      <c r="E493">
        <v>0</v>
      </c>
      <c r="F493">
        <v>0</v>
      </c>
      <c r="G493">
        <v>1.1686861856219301E-3</v>
      </c>
      <c r="H493">
        <v>0.74626837567889703</v>
      </c>
      <c r="I493">
        <v>0</v>
      </c>
    </row>
    <row r="494" spans="1:9" x14ac:dyDescent="0.25">
      <c r="A494">
        <v>-16.423144340515101</v>
      </c>
      <c r="B494">
        <v>-1.19496146224719</v>
      </c>
      <c r="C494">
        <v>0.221790729091253</v>
      </c>
      <c r="D494">
        <v>0</v>
      </c>
      <c r="E494">
        <v>0</v>
      </c>
      <c r="F494">
        <v>0</v>
      </c>
      <c r="G494">
        <v>1.45761636474617E-3</v>
      </c>
      <c r="H494">
        <v>0.74849220848739995</v>
      </c>
      <c r="I494">
        <v>0</v>
      </c>
    </row>
    <row r="495" spans="1:9" x14ac:dyDescent="0.25">
      <c r="A495">
        <v>-14.147036075592</v>
      </c>
      <c r="B495">
        <v>-1.0293967463849101</v>
      </c>
      <c r="C495">
        <v>0.23308097821086399</v>
      </c>
      <c r="D495">
        <v>0</v>
      </c>
      <c r="E495">
        <v>0</v>
      </c>
      <c r="F495">
        <v>0</v>
      </c>
      <c r="G495">
        <v>1.80685437214833E-3</v>
      </c>
      <c r="H495">
        <v>0.75059126253905295</v>
      </c>
      <c r="I495">
        <v>0</v>
      </c>
    </row>
    <row r="496" spans="1:9" x14ac:dyDescent="0.25">
      <c r="A496">
        <v>-12.058911323547299</v>
      </c>
      <c r="B496">
        <v>-0.87750179700833497</v>
      </c>
      <c r="C496">
        <v>0.24516667367606701</v>
      </c>
      <c r="D496">
        <v>0</v>
      </c>
      <c r="E496">
        <v>0</v>
      </c>
      <c r="F496">
        <v>0</v>
      </c>
      <c r="G496">
        <v>2.2248932822321798E-3</v>
      </c>
      <c r="H496">
        <v>0.75266305227462504</v>
      </c>
      <c r="I496">
        <v>0</v>
      </c>
    </row>
    <row r="497" spans="1:9" x14ac:dyDescent="0.25">
      <c r="A497">
        <v>-10.143084526061999</v>
      </c>
      <c r="B497">
        <v>-0.738148074674427</v>
      </c>
      <c r="C497">
        <v>0.258054527864715</v>
      </c>
      <c r="D497">
        <v>0</v>
      </c>
      <c r="E497">
        <v>0</v>
      </c>
      <c r="F497">
        <v>0</v>
      </c>
      <c r="G497">
        <v>2.7202529190617501E-3</v>
      </c>
      <c r="H497">
        <v>0.75477639382512896</v>
      </c>
      <c r="I497">
        <v>0</v>
      </c>
    </row>
    <row r="498" spans="1:9" x14ac:dyDescent="0.25">
      <c r="A498">
        <v>-8.3855724334716708</v>
      </c>
      <c r="B498">
        <v>-0.610302034842789</v>
      </c>
      <c r="C498">
        <v>0.27174053404905801</v>
      </c>
      <c r="D498">
        <v>0</v>
      </c>
      <c r="E498">
        <v>0</v>
      </c>
      <c r="F498">
        <v>0</v>
      </c>
      <c r="G498">
        <v>3.3012386995778802E-3</v>
      </c>
      <c r="H498">
        <v>0.75698050429514496</v>
      </c>
      <c r="I498">
        <v>0</v>
      </c>
    </row>
    <row r="499" spans="1:9" x14ac:dyDescent="0.25">
      <c r="A499">
        <v>-6.7732429504394496</v>
      </c>
      <c r="B499">
        <v>-0.49300992869120802</v>
      </c>
      <c r="C499">
        <v>0.28620875402793899</v>
      </c>
      <c r="D499">
        <v>0</v>
      </c>
      <c r="E499">
        <v>0</v>
      </c>
      <c r="F499">
        <v>0</v>
      </c>
      <c r="G499">
        <v>3.9756768114784704E-3</v>
      </c>
      <c r="H499">
        <v>0.75930914174076303</v>
      </c>
      <c r="I499">
        <v>0</v>
      </c>
    </row>
    <row r="500" spans="1:9" x14ac:dyDescent="0.25">
      <c r="A500">
        <v>-5.2939367294311497</v>
      </c>
      <c r="B500">
        <v>-0.385403502809822</v>
      </c>
      <c r="C500">
        <v>0.301430741512831</v>
      </c>
      <c r="D500">
        <v>0</v>
      </c>
      <c r="E500">
        <v>0</v>
      </c>
      <c r="F500">
        <v>0</v>
      </c>
      <c r="G500">
        <v>4.7508090528936E-3</v>
      </c>
      <c r="H500">
        <v>0.76179039166068896</v>
      </c>
      <c r="I500">
        <v>0</v>
      </c>
    </row>
    <row r="501" spans="1:9" x14ac:dyDescent="0.25">
      <c r="A501">
        <v>-3.9367103576660099</v>
      </c>
      <c r="B501">
        <v>-0.286682900118648</v>
      </c>
      <c r="C501">
        <v>0.31736545341800498</v>
      </c>
      <c r="D501">
        <v>0</v>
      </c>
      <c r="E501">
        <v>0</v>
      </c>
      <c r="F501">
        <v>0</v>
      </c>
      <c r="G501">
        <v>5.6339859952458902E-3</v>
      </c>
      <c r="H501">
        <v>0.76448152360209598</v>
      </c>
      <c r="I501">
        <v>0</v>
      </c>
    </row>
    <row r="502" spans="1:9" x14ac:dyDescent="0.25">
      <c r="A502">
        <v>-2.6915931701660099</v>
      </c>
      <c r="B502">
        <v>-0.196110960173427</v>
      </c>
      <c r="C502">
        <v>0.333958865451222</v>
      </c>
      <c r="D502">
        <v>0</v>
      </c>
      <c r="E502">
        <v>0</v>
      </c>
      <c r="F502">
        <v>0</v>
      </c>
      <c r="G502">
        <v>6.6297181751906404E-3</v>
      </c>
      <c r="H502">
        <v>0.76734303611110599</v>
      </c>
      <c r="I502">
        <v>0</v>
      </c>
    </row>
    <row r="503" spans="1:9" x14ac:dyDescent="0.25">
      <c r="A503">
        <v>-1.54934406280517</v>
      </c>
      <c r="B503">
        <v>-0.11301891885977899</v>
      </c>
      <c r="C503">
        <v>0.35114672211875497</v>
      </c>
      <c r="D503">
        <v>0</v>
      </c>
      <c r="E503">
        <v>0</v>
      </c>
      <c r="F503">
        <v>0</v>
      </c>
      <c r="G503">
        <v>7.74295662267832E-3</v>
      </c>
      <c r="H503">
        <v>0.77039755503526197</v>
      </c>
      <c r="I503">
        <v>0</v>
      </c>
    </row>
    <row r="504" spans="1:9" x14ac:dyDescent="0.25">
      <c r="A504">
        <v>-0.50145149230956998</v>
      </c>
      <c r="B504">
        <v>-3.6787409412681799E-2</v>
      </c>
      <c r="C504">
        <v>0.36885764156977502</v>
      </c>
      <c r="D504">
        <v>0</v>
      </c>
      <c r="E504">
        <v>0</v>
      </c>
      <c r="F504">
        <v>0</v>
      </c>
      <c r="G504">
        <v>8.9733543882175495E-3</v>
      </c>
      <c r="H504">
        <v>0.77353998623450504</v>
      </c>
      <c r="I504">
        <v>0</v>
      </c>
    </row>
    <row r="505" spans="1:9" x14ac:dyDescent="0.25">
      <c r="A505">
        <v>0.49999237060546797</v>
      </c>
      <c r="B505">
        <v>0.49975330002325702</v>
      </c>
      <c r="C505">
        <v>0.54344144436981801</v>
      </c>
      <c r="D505">
        <v>0.115140580759305</v>
      </c>
      <c r="E505">
        <v>-2.2845246754403899E-4</v>
      </c>
      <c r="F505" s="1">
        <v>4.8433196780749602E-5</v>
      </c>
      <c r="G505">
        <v>0.14577337265769999</v>
      </c>
      <c r="H505">
        <v>0.99672137384106196</v>
      </c>
      <c r="I505" s="1">
        <v>1.3930795377887601E-6</v>
      </c>
    </row>
    <row r="506" spans="1:9" x14ac:dyDescent="0.25">
      <c r="A506">
        <v>1.54496669769287</v>
      </c>
      <c r="B506">
        <v>1.54330935321468</v>
      </c>
      <c r="C506">
        <v>1.1258978309797301</v>
      </c>
      <c r="D506">
        <v>0.60547154891308097</v>
      </c>
      <c r="E506">
        <v>-3.1811671169636301E-3</v>
      </c>
      <c r="F506" s="1">
        <v>9.9532773911886502E-5</v>
      </c>
      <c r="G506">
        <v>0.15310901636532301</v>
      </c>
      <c r="H506">
        <v>0.99040058595228897</v>
      </c>
      <c r="I506" s="1">
        <v>4.1287737610406103E-5</v>
      </c>
    </row>
    <row r="507" spans="1:9" x14ac:dyDescent="0.25">
      <c r="A507">
        <v>2.6840543746948198</v>
      </c>
      <c r="B507">
        <v>2.6710080913426202</v>
      </c>
      <c r="C507">
        <v>2.1193577856138202</v>
      </c>
      <c r="D507">
        <v>1.5154768309957301</v>
      </c>
      <c r="E507">
        <v>-1.6088800633408201E-2</v>
      </c>
      <c r="F507" s="1">
        <v>8.8025513171301797E-5</v>
      </c>
      <c r="G507">
        <v>0.155327585594142</v>
      </c>
      <c r="H507">
        <v>0.97911146874856103</v>
      </c>
      <c r="I507">
        <v>2.12000495074131E-4</v>
      </c>
    </row>
    <row r="508" spans="1:9" x14ac:dyDescent="0.25">
      <c r="A508">
        <v>3.9255237579345699</v>
      </c>
      <c r="B508">
        <v>3.8709998502554201</v>
      </c>
      <c r="C508">
        <v>3.5487723108417399</v>
      </c>
      <c r="D508">
        <v>2.8712313312249198</v>
      </c>
      <c r="E508">
        <v>-4.7355907067270199E-2</v>
      </c>
      <c r="F508" s="1">
        <v>2.0333733630542902E-5</v>
      </c>
      <c r="G508">
        <v>0.150311355006158</v>
      </c>
      <c r="H508">
        <v>0.96078196588048803</v>
      </c>
      <c r="I508">
        <v>5.1401900167095602E-4</v>
      </c>
    </row>
    <row r="509" spans="1:9" x14ac:dyDescent="0.25">
      <c r="A509">
        <v>5.2789807319641104</v>
      </c>
      <c r="B509">
        <v>5.11640012256521</v>
      </c>
      <c r="C509">
        <v>5.3108229491044696</v>
      </c>
      <c r="D509">
        <v>4.5681714654744701</v>
      </c>
      <c r="E509">
        <v>-0.103689825345056</v>
      </c>
      <c r="F509" s="1">
        <v>-7.9916094095806205E-5</v>
      </c>
      <c r="G509">
        <v>0.13996583331701101</v>
      </c>
      <c r="H509">
        <v>0.93356642583218197</v>
      </c>
      <c r="I509">
        <v>1.1296542342832999E-3</v>
      </c>
    </row>
    <row r="510" spans="1:9" x14ac:dyDescent="0.25">
      <c r="A510">
        <v>6.7539703845977703</v>
      </c>
      <c r="B510">
        <v>6.3658158294083398</v>
      </c>
      <c r="C510">
        <v>7.1571765585758804</v>
      </c>
      <c r="D510">
        <v>6.3529471186350603</v>
      </c>
      <c r="E510">
        <v>-0.18555580959933701</v>
      </c>
      <c r="F510">
        <v>-1.86727178054585E-4</v>
      </c>
      <c r="G510">
        <v>0.13013120851400201</v>
      </c>
      <c r="H510">
        <v>0.89941591530591902</v>
      </c>
      <c r="I510">
        <v>3.0586563030932999E-3</v>
      </c>
    </row>
    <row r="511" spans="1:9" x14ac:dyDescent="0.25">
      <c r="A511">
        <v>8.3618009090423495</v>
      </c>
      <c r="B511">
        <v>7.5712849944056799</v>
      </c>
      <c r="C511">
        <v>8.7805670940724596</v>
      </c>
      <c r="D511">
        <v>7.9118310834175603</v>
      </c>
      <c r="E511">
        <v>-0.28543048019922002</v>
      </c>
      <c r="F511">
        <v>-2.8554848817398799E-4</v>
      </c>
      <c r="G511">
        <v>0.12578405363237399</v>
      </c>
      <c r="H511">
        <v>0.86576234357510695</v>
      </c>
      <c r="I511">
        <v>7.6167896670516697E-3</v>
      </c>
    </row>
    <row r="512" spans="1:9" x14ac:dyDescent="0.25">
      <c r="A512">
        <v>10.114449262619001</v>
      </c>
      <c r="B512">
        <v>8.6908654681565096</v>
      </c>
      <c r="C512">
        <v>9.9522220516519102</v>
      </c>
      <c r="D512">
        <v>9.0121366963149594</v>
      </c>
      <c r="E512">
        <v>-0.39099719462571397</v>
      </c>
      <c r="F512">
        <v>-3.7079046065431099E-4</v>
      </c>
      <c r="G512">
        <v>0.127020505117938</v>
      </c>
      <c r="H512">
        <v>0.83838911908614999</v>
      </c>
      <c r="I512">
        <v>1.30054226943483E-2</v>
      </c>
    </row>
    <row r="513" spans="1:9" x14ac:dyDescent="0.25">
      <c r="A513">
        <v>12.0248043537139</v>
      </c>
      <c r="B513">
        <v>9.6985927689047404</v>
      </c>
      <c r="C513">
        <v>10.5977628438267</v>
      </c>
      <c r="D513">
        <v>9.5803978073713392</v>
      </c>
      <c r="E513">
        <v>-0.49095757443647903</v>
      </c>
      <c r="F513">
        <v>-4.5428676222275999E-4</v>
      </c>
      <c r="G513">
        <v>0.13011268867651099</v>
      </c>
      <c r="H513">
        <v>0.81616026046398804</v>
      </c>
      <c r="I513">
        <v>1.4423586091111201E-2</v>
      </c>
    </row>
    <row r="514" spans="1:9" x14ac:dyDescent="0.25">
      <c r="A514">
        <v>14.106971025466899</v>
      </c>
      <c r="B514">
        <v>10.586452176717099</v>
      </c>
      <c r="C514">
        <v>10.7719284093036</v>
      </c>
      <c r="D514">
        <v>9.6763215757880392</v>
      </c>
      <c r="E514">
        <v>-0.57861304003678204</v>
      </c>
      <c r="F514">
        <v>-5.5681939640801704E-4</v>
      </c>
      <c r="G514">
        <v>0.131169343214146</v>
      </c>
      <c r="H514">
        <v>0.79547085866746703</v>
      </c>
      <c r="I514">
        <v>1.02430320770092E-2</v>
      </c>
    </row>
    <row r="515" spans="1:9" x14ac:dyDescent="0.25">
      <c r="A515">
        <v>16.3765740394592</v>
      </c>
      <c r="B515">
        <v>11.359742507261201</v>
      </c>
      <c r="C515">
        <v>10.5884310418332</v>
      </c>
      <c r="D515">
        <v>9.4200413623869697</v>
      </c>
      <c r="E515">
        <v>-0.65181378354477304</v>
      </c>
      <c r="F515">
        <v>-6.9854291102016504E-4</v>
      </c>
      <c r="G515">
        <v>0.12841931268971199</v>
      </c>
      <c r="H515">
        <v>0.77410879185343195</v>
      </c>
      <c r="I515">
        <v>3.0310266456162302E-3</v>
      </c>
    </row>
    <row r="516" spans="1:9" x14ac:dyDescent="0.25">
      <c r="A516">
        <v>18.850514888763399</v>
      </c>
      <c r="B516">
        <v>12.030651606541999</v>
      </c>
      <c r="C516">
        <v>10.164552245987499</v>
      </c>
      <c r="D516">
        <v>8.9342648917536298</v>
      </c>
      <c r="E516">
        <v>-0.71122365077723504</v>
      </c>
      <c r="F516">
        <v>-8.9177833119972799E-4</v>
      </c>
      <c r="G516">
        <v>0.12218665126964</v>
      </c>
      <c r="H516">
        <v>0.75143442483894196</v>
      </c>
      <c r="I516">
        <v>-4.1559437773430003E-3</v>
      </c>
    </row>
    <row r="517" spans="1:9" x14ac:dyDescent="0.25">
      <c r="A517">
        <v>21.5470933914184</v>
      </c>
      <c r="B517">
        <v>12.6134168355883</v>
      </c>
      <c r="C517">
        <v>9.5964506490418007</v>
      </c>
      <c r="D517">
        <v>8.3182211671848698</v>
      </c>
      <c r="E517">
        <v>-0.75868005097695601</v>
      </c>
      <c r="F517">
        <v>-1.1139330805058801E-3</v>
      </c>
      <c r="G517">
        <v>0.113731237348987</v>
      </c>
      <c r="H517">
        <v>0.72761783003406699</v>
      </c>
      <c r="I517">
        <v>-9.7691967482114207E-3</v>
      </c>
    </row>
    <row r="518" spans="1:9" x14ac:dyDescent="0.25">
      <c r="A518">
        <v>24.4862508773803</v>
      </c>
      <c r="B518">
        <v>13.1217642453657</v>
      </c>
      <c r="C518">
        <v>8.9548547242884506</v>
      </c>
      <c r="D518">
        <v>7.6433261490487396</v>
      </c>
      <c r="E518">
        <v>-0.796241829735297</v>
      </c>
      <c r="F518">
        <v>-1.3145867161640601E-3</v>
      </c>
      <c r="G518">
        <v>0.104292465127397</v>
      </c>
      <c r="H518">
        <v>0.703167398614853</v>
      </c>
      <c r="I518">
        <v>-1.3532883008554699E-2</v>
      </c>
    </row>
    <row r="519" spans="1:9" x14ac:dyDescent="0.25">
      <c r="A519">
        <v>27.690056562423699</v>
      </c>
      <c r="B519">
        <v>13.5679384413333</v>
      </c>
      <c r="C519">
        <v>8.2889120883919496</v>
      </c>
      <c r="D519">
        <v>6.9576881812045697</v>
      </c>
      <c r="E519">
        <v>-0.82579215801564299</v>
      </c>
      <c r="F519">
        <v>-1.4808488903381299E-3</v>
      </c>
      <c r="G519">
        <v>9.4708719863092303E-2</v>
      </c>
      <c r="H519">
        <v>0.67870049099473295</v>
      </c>
      <c r="I519">
        <v>-1.5707949000386301E-2</v>
      </c>
    </row>
    <row r="520" spans="1:9" x14ac:dyDescent="0.25">
      <c r="A520">
        <v>31.182160377502399</v>
      </c>
      <c r="B520">
        <v>13.962518293333201</v>
      </c>
      <c r="C520">
        <v>7.6315158767101803</v>
      </c>
      <c r="D520">
        <v>6.2923068806373799</v>
      </c>
      <c r="E520">
        <v>-0.84892828216435201</v>
      </c>
      <c r="F520">
        <v>-1.6235131498156699E-3</v>
      </c>
      <c r="G520">
        <v>8.5421584082846294E-2</v>
      </c>
      <c r="H520">
        <v>0.65480990212063594</v>
      </c>
      <c r="I520">
        <v>-1.66535594088431E-2</v>
      </c>
    </row>
    <row r="521" spans="1:9" x14ac:dyDescent="0.25">
      <c r="A521">
        <v>34.988522529602001</v>
      </c>
      <c r="B521">
        <v>14.3145040934132</v>
      </c>
      <c r="C521">
        <v>7.0037340847193201</v>
      </c>
      <c r="D521">
        <v>5.6661204088362203</v>
      </c>
      <c r="E521">
        <v>-0.86694302722732297</v>
      </c>
      <c r="F521">
        <v>-1.7561609306161699E-3</v>
      </c>
      <c r="G521">
        <v>7.6608389382254893E-2</v>
      </c>
      <c r="H521">
        <v>0.63197862109919101</v>
      </c>
      <c r="I521">
        <v>-1.6680276091415799E-2</v>
      </c>
    </row>
    <row r="522" spans="1:9" x14ac:dyDescent="0.25">
      <c r="A522">
        <v>39.137535095214801</v>
      </c>
      <c r="B522">
        <v>14.6314937713714</v>
      </c>
      <c r="C522">
        <v>6.4181124127571803</v>
      </c>
      <c r="D522">
        <v>5.0897387778497096</v>
      </c>
      <c r="E522">
        <v>-0.88083896954534202</v>
      </c>
      <c r="F522">
        <v>-1.89137287927396E-3</v>
      </c>
      <c r="G522">
        <v>6.83333421479594E-2</v>
      </c>
      <c r="H522">
        <v>0.61061302330359801</v>
      </c>
      <c r="I522">
        <v>-1.6044195758521802E-2</v>
      </c>
    </row>
    <row r="523" spans="1:9" x14ac:dyDescent="0.25">
      <c r="A523">
        <v>43.659839630126903</v>
      </c>
      <c r="B523">
        <v>14.9198744282284</v>
      </c>
      <c r="C523">
        <v>5.8811728082218897</v>
      </c>
      <c r="D523">
        <v>4.56815304298458</v>
      </c>
      <c r="E523">
        <v>-0.89137997582752404</v>
      </c>
      <c r="F523">
        <v>-1.94865157814679E-3</v>
      </c>
      <c r="G523">
        <v>6.0629199536784598E-2</v>
      </c>
      <c r="H523">
        <v>0.590979295883306</v>
      </c>
      <c r="I523">
        <v>-1.49636467580805E-2</v>
      </c>
    </row>
    <row r="524" spans="1:9" x14ac:dyDescent="0.25">
      <c r="A524">
        <v>48.589299917220998</v>
      </c>
      <c r="B524">
        <v>15.1849756342517</v>
      </c>
      <c r="C524">
        <v>5.3953717057083797</v>
      </c>
      <c r="D524">
        <v>4.1026113392557404</v>
      </c>
      <c r="E524">
        <v>-0.89913331668317198</v>
      </c>
      <c r="F524">
        <v>-1.90102929125737E-3</v>
      </c>
      <c r="G524">
        <v>5.3522569029257797E-2</v>
      </c>
      <c r="H524">
        <v>0.57312579182688295</v>
      </c>
      <c r="I524">
        <v>-1.3622602066760499E-2</v>
      </c>
    </row>
    <row r="525" spans="1:9" x14ac:dyDescent="0.25">
      <c r="A525">
        <v>53.962393999099703</v>
      </c>
      <c r="B525">
        <v>15.4312249831082</v>
      </c>
      <c r="C525">
        <v>4.9603287174249999</v>
      </c>
      <c r="D525">
        <v>3.69178468688296</v>
      </c>
      <c r="E525">
        <v>-0.90452016779791</v>
      </c>
      <c r="F525">
        <v>-1.77216661386267E-3</v>
      </c>
      <c r="G525">
        <v>4.7051315769302902E-2</v>
      </c>
      <c r="H525">
        <v>0.55697248827970103</v>
      </c>
      <c r="I525">
        <v>-1.2178212507096499E-2</v>
      </c>
    </row>
    <row r="526" spans="1:9" x14ac:dyDescent="0.25">
      <c r="A526">
        <v>59.819004535674999</v>
      </c>
      <c r="B526">
        <v>15.6623046553386</v>
      </c>
      <c r="C526">
        <v>4.5738433662336302</v>
      </c>
      <c r="D526">
        <v>3.3326550511213302</v>
      </c>
      <c r="E526">
        <v>-0.90785035587519103</v>
      </c>
      <c r="F526">
        <v>-1.5729026271070999E-3</v>
      </c>
      <c r="G526">
        <v>4.12392821181497E-2</v>
      </c>
      <c r="H526">
        <v>0.54229009750342105</v>
      </c>
      <c r="I526">
        <v>-1.0749034383008799E-2</v>
      </c>
    </row>
    <row r="527" spans="1:9" x14ac:dyDescent="0.25">
      <c r="A527">
        <v>66.2026619911193</v>
      </c>
      <c r="B527">
        <v>15.881304775753</v>
      </c>
      <c r="C527">
        <v>4.2322475594119098</v>
      </c>
      <c r="D527">
        <v>3.0209034156026702</v>
      </c>
      <c r="E527">
        <v>-0.90938718184685996</v>
      </c>
      <c r="F527">
        <v>-1.31153066626884E-3</v>
      </c>
      <c r="G527">
        <v>3.6099022702262201E-2</v>
      </c>
      <c r="H527">
        <v>0.52894250952101796</v>
      </c>
      <c r="I527">
        <v>-9.4200958710411002E-3</v>
      </c>
    </row>
    <row r="528" spans="1:9" x14ac:dyDescent="0.25">
      <c r="A528">
        <v>73.160848617553697</v>
      </c>
      <c r="B528">
        <v>16.0908350918134</v>
      </c>
      <c r="C528">
        <v>3.93114956850695</v>
      </c>
      <c r="D528">
        <v>2.7514584153547301</v>
      </c>
      <c r="E528">
        <v>-0.90936630131945095</v>
      </c>
      <c r="F528">
        <v>-9.5724362970328798E-4</v>
      </c>
      <c r="G528">
        <v>3.1608539280426597E-2</v>
      </c>
      <c r="H528">
        <v>0.51670040756596802</v>
      </c>
      <c r="I528">
        <v>-8.23425501847448E-3</v>
      </c>
    </row>
    <row r="529" spans="1:9" x14ac:dyDescent="0.25">
      <c r="A529">
        <v>80.745424032211304</v>
      </c>
      <c r="B529">
        <v>16.293080560494602</v>
      </c>
      <c r="C529">
        <v>3.6657642664977099</v>
      </c>
      <c r="D529">
        <v>2.5189898225532699</v>
      </c>
      <c r="E529">
        <v>-0.90798093653514</v>
      </c>
      <c r="F529">
        <v>-5.4887404993445303E-4</v>
      </c>
      <c r="G529">
        <v>2.7720106075126E-2</v>
      </c>
      <c r="H529">
        <v>0.50537331558798204</v>
      </c>
      <c r="I529">
        <v>-7.2028076042587701E-3</v>
      </c>
    </row>
    <row r="530" spans="1:9" x14ac:dyDescent="0.25">
      <c r="A530">
        <v>89.012442827224703</v>
      </c>
      <c r="B530">
        <v>16.489816597549201</v>
      </c>
      <c r="C530">
        <v>3.4316022258281</v>
      </c>
      <c r="D530">
        <v>2.3184337985747798</v>
      </c>
      <c r="E530">
        <v>-0.90537174119137298</v>
      </c>
      <c r="F530" s="1">
        <v>-9.2013482062498197E-5</v>
      </c>
      <c r="G530">
        <v>2.4366816614199802E-2</v>
      </c>
      <c r="H530">
        <v>0.494708357687898</v>
      </c>
      <c r="I530">
        <v>-6.3155687504107896E-3</v>
      </c>
    </row>
    <row r="531" spans="1:9" x14ac:dyDescent="0.25">
      <c r="A531">
        <v>98.0235528945922</v>
      </c>
      <c r="B531">
        <v>16.682548974272301</v>
      </c>
      <c r="C531">
        <v>3.2243183202808701</v>
      </c>
      <c r="D531">
        <v>2.1449684961324098</v>
      </c>
      <c r="E531">
        <v>-0.90161691336139904</v>
      </c>
      <c r="F531">
        <v>2.7372175534012702E-4</v>
      </c>
      <c r="G531">
        <v>2.1489024330433999E-2</v>
      </c>
      <c r="H531">
        <v>0.48462900063500802</v>
      </c>
      <c r="I531">
        <v>-5.56137532030273E-3</v>
      </c>
    </row>
    <row r="532" spans="1:9" x14ac:dyDescent="0.25">
      <c r="A532">
        <v>107.845630645751</v>
      </c>
      <c r="B532">
        <v>16.872665464102202</v>
      </c>
      <c r="C532">
        <v>3.0400102631574502</v>
      </c>
      <c r="D532">
        <v>1.99430739259462</v>
      </c>
      <c r="E532">
        <v>-0.89672080544642396</v>
      </c>
      <c r="F532">
        <v>4.8824907881759498E-4</v>
      </c>
      <c r="G532">
        <v>1.9020937835976699E-2</v>
      </c>
      <c r="H532">
        <v>0.474969667306471</v>
      </c>
      <c r="I532">
        <v>-4.9218322042417304E-3</v>
      </c>
    </row>
    <row r="533" spans="1:9" x14ac:dyDescent="0.25">
      <c r="A533">
        <v>118.551753759384</v>
      </c>
      <c r="B533">
        <v>17.061425797796801</v>
      </c>
      <c r="C533">
        <v>2.87522239223108</v>
      </c>
      <c r="D533">
        <v>1.86283971385688</v>
      </c>
      <c r="E533">
        <v>-0.890717603225471</v>
      </c>
      <c r="F533">
        <v>4.41097005636511E-4</v>
      </c>
      <c r="G533">
        <v>1.6901647209489602E-2</v>
      </c>
      <c r="H533">
        <v>0.46560525217034099</v>
      </c>
      <c r="I533">
        <v>-4.3784411096813702E-3</v>
      </c>
    </row>
    <row r="534" spans="1:9" x14ac:dyDescent="0.25">
      <c r="A534">
        <v>130.22150516510001</v>
      </c>
      <c r="B534">
        <v>17.2499566594296</v>
      </c>
      <c r="C534">
        <v>2.7266407444585599</v>
      </c>
      <c r="D534">
        <v>1.7473120530091999</v>
      </c>
      <c r="E534">
        <v>-0.88360730598725601</v>
      </c>
      <c r="F534">
        <v>1.04343871981245E-4</v>
      </c>
      <c r="G534">
        <v>1.50834571261141E-2</v>
      </c>
      <c r="H534">
        <v>0.45665630902147503</v>
      </c>
      <c r="I534">
        <v>-3.9153702614941098E-3</v>
      </c>
    </row>
    <row r="535" spans="1:9" x14ac:dyDescent="0.25">
      <c r="A535">
        <v>142.941337823867</v>
      </c>
      <c r="B535">
        <v>17.439370914285</v>
      </c>
      <c r="C535">
        <v>2.5922564559550598</v>
      </c>
      <c r="D535">
        <v>1.6451810355310501</v>
      </c>
      <c r="E535">
        <v>-0.87524264909803295</v>
      </c>
      <c r="F535">
        <v>-2.3411077066710901E-4</v>
      </c>
      <c r="G535">
        <v>1.35203263008446E-2</v>
      </c>
      <c r="H535">
        <v>0.447829637535897</v>
      </c>
      <c r="I535">
        <v>-3.51779121465827E-3</v>
      </c>
    </row>
    <row r="536" spans="1:9" x14ac:dyDescent="0.25">
      <c r="A536">
        <v>156.806094646453</v>
      </c>
      <c r="B536">
        <v>17.630842877474599</v>
      </c>
      <c r="C536">
        <v>2.46980636129592</v>
      </c>
      <c r="D536">
        <v>1.55415629510933</v>
      </c>
      <c r="E536">
        <v>-0.86579940365985597</v>
      </c>
      <c r="F536">
        <v>-4.7364486774512798E-4</v>
      </c>
      <c r="G536">
        <v>1.21750672572068E-2</v>
      </c>
      <c r="H536">
        <v>0.43900600418961699</v>
      </c>
      <c r="I536">
        <v>-3.1776053303332898E-3</v>
      </c>
    </row>
    <row r="537" spans="1:9" x14ac:dyDescent="0.25">
      <c r="A537">
        <v>171.91864371299701</v>
      </c>
      <c r="B537">
        <v>17.825174305976301</v>
      </c>
      <c r="C537">
        <v>2.3596746332259499</v>
      </c>
      <c r="D537">
        <v>1.4733640667950301</v>
      </c>
      <c r="E537">
        <v>-0.85495207120060002</v>
      </c>
      <c r="F537">
        <v>-6.92768443937581E-4</v>
      </c>
      <c r="G537">
        <v>1.1010093095598699E-2</v>
      </c>
      <c r="H537">
        <v>0.42790043415903301</v>
      </c>
      <c r="I537">
        <v>-2.8925778832430702E-3</v>
      </c>
    </row>
    <row r="538" spans="1:9" x14ac:dyDescent="0.25">
      <c r="A538">
        <v>187.726768255233</v>
      </c>
      <c r="B538">
        <v>18.014819635932302</v>
      </c>
      <c r="C538">
        <v>2.2637899419351002</v>
      </c>
      <c r="D538">
        <v>1.4040262491122699</v>
      </c>
      <c r="E538">
        <v>-0.84310177774209105</v>
      </c>
      <c r="F538">
        <v>-8.8995541016441198E-4</v>
      </c>
      <c r="G538">
        <v>9.9161996359002393E-3</v>
      </c>
      <c r="H538">
        <v>0.43050904636607101</v>
      </c>
      <c r="I538">
        <v>-2.5503260538450399E-3</v>
      </c>
    </row>
    <row r="539" spans="1:9" x14ac:dyDescent="0.25">
      <c r="A539">
        <v>203.579578399658</v>
      </c>
      <c r="B539">
        <v>18.193085051530002</v>
      </c>
      <c r="C539">
        <v>2.1807057256410101</v>
      </c>
      <c r="D539">
        <v>1.3452233797712001</v>
      </c>
      <c r="E539">
        <v>-0.83076501196330998</v>
      </c>
      <c r="F539">
        <v>-6.80813621264812E-4</v>
      </c>
      <c r="G539">
        <v>9.02419015239256E-3</v>
      </c>
      <c r="H539">
        <v>0.43153137761125898</v>
      </c>
      <c r="I539">
        <v>-2.27712826554646E-3</v>
      </c>
    </row>
    <row r="540" spans="1:9" x14ac:dyDescent="0.25">
      <c r="A540">
        <v>219.43238854408199</v>
      </c>
      <c r="B540">
        <v>18.361079024539301</v>
      </c>
      <c r="C540">
        <v>2.10656156868935</v>
      </c>
      <c r="D540">
        <v>1.29372098799086</v>
      </c>
      <c r="E540">
        <v>-0.81821642107849202</v>
      </c>
      <c r="F540" s="1">
        <v>-7.2541666074644098E-5</v>
      </c>
      <c r="G540">
        <v>8.2947839779667406E-3</v>
      </c>
      <c r="H540">
        <v>0.4322781502004</v>
      </c>
      <c r="I540">
        <v>-2.0581266885753499E-3</v>
      </c>
    </row>
    <row r="541" spans="1:9" x14ac:dyDescent="0.25">
      <c r="A541">
        <v>235.28525948524401</v>
      </c>
      <c r="B541">
        <v>18.520143357959501</v>
      </c>
      <c r="C541">
        <v>2.03922417686044</v>
      </c>
      <c r="D541">
        <v>1.2477692073281099</v>
      </c>
      <c r="E541">
        <v>-0.80516771679024002</v>
      </c>
      <c r="F541">
        <v>4.8055272811827799E-4</v>
      </c>
      <c r="G541">
        <v>7.6779422479461403E-3</v>
      </c>
      <c r="H541">
        <v>0.43280389824890902</v>
      </c>
      <c r="I541">
        <v>-1.87420566368768E-3</v>
      </c>
    </row>
    <row r="542" spans="1:9" x14ac:dyDescent="0.25">
      <c r="A542">
        <v>251.13806962966899</v>
      </c>
      <c r="B542">
        <v>18.671367880810902</v>
      </c>
      <c r="C542">
        <v>1.9770203643019999</v>
      </c>
      <c r="D542">
        <v>1.2060654930125201</v>
      </c>
      <c r="E542">
        <v>-0.79185520458298297</v>
      </c>
      <c r="F542">
        <v>7.6149507252090698E-4</v>
      </c>
      <c r="G542">
        <v>7.1463638237258603E-3</v>
      </c>
      <c r="H542">
        <v>0.43329808750014298</v>
      </c>
      <c r="I542">
        <v>-1.71788772934318E-3</v>
      </c>
    </row>
    <row r="543" spans="1:9" x14ac:dyDescent="0.25">
      <c r="A543">
        <v>266.99081897735499</v>
      </c>
      <c r="B543">
        <v>18.815803117972699</v>
      </c>
      <c r="C543">
        <v>1.9188621935427299</v>
      </c>
      <c r="D543">
        <v>1.1675525784740299</v>
      </c>
      <c r="E543">
        <v>-0.77817976140785505</v>
      </c>
      <c r="F543">
        <v>1.20483436499622E-3</v>
      </c>
      <c r="G543">
        <v>6.6785214582630497E-3</v>
      </c>
      <c r="H543">
        <v>0.433649558167577</v>
      </c>
      <c r="I543">
        <v>-1.5822633179738599E-3</v>
      </c>
    </row>
    <row r="544" spans="1:9" x14ac:dyDescent="0.25">
      <c r="A544">
        <v>282.84362912178</v>
      </c>
      <c r="B544">
        <v>18.9543441589148</v>
      </c>
      <c r="C544">
        <v>1.86360223237898</v>
      </c>
      <c r="D544">
        <v>1.13151588979166</v>
      </c>
      <c r="E544">
        <v>-0.76429990409772697</v>
      </c>
      <c r="F544">
        <v>1.4987842128390699E-3</v>
      </c>
      <c r="G544">
        <v>6.2627556813498004E-3</v>
      </c>
      <c r="H544">
        <v>0.43418327837570497</v>
      </c>
      <c r="I544">
        <v>-1.46222481806907E-3</v>
      </c>
    </row>
    <row r="545" spans="1:9" x14ac:dyDescent="0.25">
      <c r="A545">
        <v>298.69643926620398</v>
      </c>
      <c r="B545">
        <v>19.0874657406629</v>
      </c>
      <c r="C545">
        <v>1.8109615770754299</v>
      </c>
      <c r="D545">
        <v>1.09763729969237</v>
      </c>
      <c r="E545">
        <v>-0.75019880187755095</v>
      </c>
      <c r="F545">
        <v>1.3239049628026699E-3</v>
      </c>
      <c r="G545">
        <v>5.8877995841454299E-3</v>
      </c>
      <c r="H545">
        <v>0.43463324765044897</v>
      </c>
      <c r="I545">
        <v>-1.3547004079951699E-3</v>
      </c>
    </row>
    <row r="546" spans="1:9" x14ac:dyDescent="0.25">
      <c r="A546">
        <v>314.54931020736598</v>
      </c>
      <c r="B546">
        <v>19.215611014437801</v>
      </c>
      <c r="C546">
        <v>1.7608071628728701</v>
      </c>
      <c r="D546">
        <v>1.0657514820382501</v>
      </c>
      <c r="E546">
        <v>-0.73588810916699698</v>
      </c>
      <c r="F546">
        <v>1.04490937675171E-3</v>
      </c>
      <c r="G546">
        <v>5.54401798926974E-3</v>
      </c>
      <c r="H546">
        <v>0.43492415475664098</v>
      </c>
      <c r="I546">
        <v>-1.2569192332492699E-3</v>
      </c>
    </row>
    <row r="547" spans="1:9" x14ac:dyDescent="0.25">
      <c r="A547">
        <v>330.40212035179098</v>
      </c>
      <c r="B547">
        <v>19.339080164131701</v>
      </c>
      <c r="C547">
        <v>1.7124471713032099</v>
      </c>
      <c r="D547">
        <v>1.03546355559308</v>
      </c>
      <c r="E547">
        <v>-0.721417133517122</v>
      </c>
      <c r="F547">
        <v>8.0666632394851595E-4</v>
      </c>
      <c r="G547">
        <v>5.2249623129674199E-3</v>
      </c>
      <c r="H547">
        <v>0.43504175315100102</v>
      </c>
      <c r="I547">
        <v>-1.1671793551165999E-3</v>
      </c>
    </row>
    <row r="548" spans="1:9" x14ac:dyDescent="0.25">
      <c r="A548">
        <v>346.25493049621502</v>
      </c>
      <c r="B548">
        <v>19.458278817978599</v>
      </c>
      <c r="C548">
        <v>1.6650583750561001</v>
      </c>
      <c r="D548">
        <v>1.0060382503655301</v>
      </c>
      <c r="E548">
        <v>-0.70675213369244005</v>
      </c>
      <c r="F548">
        <v>4.65953480251898E-4</v>
      </c>
      <c r="G548">
        <v>4.9327908920589001E-3</v>
      </c>
      <c r="H548">
        <v>0.435475694079767</v>
      </c>
      <c r="I548">
        <v>-1.08663306692854E-3</v>
      </c>
    </row>
    <row r="549" spans="1:9" x14ac:dyDescent="0.25">
      <c r="A549">
        <v>362.10780143737702</v>
      </c>
      <c r="B549">
        <v>19.573691924956599</v>
      </c>
      <c r="C549">
        <v>1.6189053660127599</v>
      </c>
      <c r="D549">
        <v>0.97748538661184403</v>
      </c>
      <c r="E549">
        <v>-0.69191971502478899</v>
      </c>
      <c r="F549">
        <v>1.8884752645487399E-4</v>
      </c>
      <c r="G549">
        <v>4.65937999190052E-3</v>
      </c>
      <c r="H549">
        <v>0.43580105239639499</v>
      </c>
      <c r="I549">
        <v>-1.0104799552400599E-3</v>
      </c>
    </row>
    <row r="550" spans="1:9" x14ac:dyDescent="0.25">
      <c r="A550">
        <v>377.96061158180203</v>
      </c>
      <c r="B550">
        <v>19.685496888046099</v>
      </c>
      <c r="C550">
        <v>1.57362467039092</v>
      </c>
      <c r="D550">
        <v>0.949636871863619</v>
      </c>
      <c r="E550">
        <v>-0.67693870795073197</v>
      </c>
      <c r="F550">
        <v>1.3986097394640999E-4</v>
      </c>
      <c r="G550">
        <v>4.4024897285958701E-3</v>
      </c>
      <c r="H550">
        <v>0.43599335337946299</v>
      </c>
      <c r="I550">
        <v>-9.3940298673538599E-4</v>
      </c>
    </row>
    <row r="551" spans="1:9" x14ac:dyDescent="0.25">
      <c r="A551">
        <v>393.81348252296402</v>
      </c>
      <c r="B551">
        <v>19.793802238923401</v>
      </c>
      <c r="C551">
        <v>1.5289721587123399</v>
      </c>
      <c r="D551">
        <v>0.92234177913493298</v>
      </c>
      <c r="E551">
        <v>-0.66186247147367805</v>
      </c>
      <c r="F551">
        <v>3.6684991794062199E-4</v>
      </c>
      <c r="G551">
        <v>4.1591807533404501E-3</v>
      </c>
      <c r="H551">
        <v>0.43619458816476298</v>
      </c>
      <c r="I551">
        <v>-8.7239272822272598E-4</v>
      </c>
    </row>
    <row r="552" spans="1:9" x14ac:dyDescent="0.25">
      <c r="A552">
        <v>409.66629266738801</v>
      </c>
      <c r="B552">
        <v>19.8987680439995</v>
      </c>
      <c r="C552">
        <v>1.48487497062888</v>
      </c>
      <c r="D552">
        <v>0.89567365389351705</v>
      </c>
      <c r="E552">
        <v>-0.64663843209468297</v>
      </c>
      <c r="F552">
        <v>6.58740145619655E-4</v>
      </c>
      <c r="G552">
        <v>3.9291626166843502E-3</v>
      </c>
      <c r="H552">
        <v>0.43641711528582799</v>
      </c>
      <c r="I552">
        <v>-8.0972847462543499E-4</v>
      </c>
    </row>
    <row r="553" spans="1:9" x14ac:dyDescent="0.25">
      <c r="A553">
        <v>425.519042015075</v>
      </c>
      <c r="B553">
        <v>20.000489298176898</v>
      </c>
      <c r="C553">
        <v>1.4415613861274299</v>
      </c>
      <c r="D553">
        <v>0.86975104973016903</v>
      </c>
      <c r="E553">
        <v>-0.63128038053208002</v>
      </c>
      <c r="F553">
        <v>6.8270360745080396E-4</v>
      </c>
      <c r="G553">
        <v>3.7123361822365098E-3</v>
      </c>
      <c r="H553">
        <v>0.43664454421771098</v>
      </c>
      <c r="I553">
        <v>-7.5133470612249098E-4</v>
      </c>
    </row>
    <row r="554" spans="1:9" x14ac:dyDescent="0.25">
      <c r="A554">
        <v>441.371912956237</v>
      </c>
      <c r="B554">
        <v>20.0992735474528</v>
      </c>
      <c r="C554">
        <v>1.3992111904826701</v>
      </c>
      <c r="D554">
        <v>0.84455473387879598</v>
      </c>
      <c r="E554">
        <v>-0.61579233786906995</v>
      </c>
      <c r="F554">
        <v>5.45242379969944E-4</v>
      </c>
      <c r="G554">
        <v>3.5077381759820499E-3</v>
      </c>
      <c r="H554">
        <v>0.43699234752729099</v>
      </c>
      <c r="I554">
        <v>-6.9728182262786102E-4</v>
      </c>
    </row>
    <row r="555" spans="1:9" x14ac:dyDescent="0.25">
      <c r="A555">
        <v>457.22478389739899</v>
      </c>
      <c r="B555">
        <v>20.195245472636898</v>
      </c>
      <c r="C555">
        <v>1.35776808251648</v>
      </c>
      <c r="D555">
        <v>0.81992063983895203</v>
      </c>
      <c r="E555">
        <v>-0.60018038096040005</v>
      </c>
      <c r="F555">
        <v>3.5543907887707797E-4</v>
      </c>
      <c r="G555">
        <v>3.31219913575368E-3</v>
      </c>
      <c r="H555">
        <v>0.437036997033381</v>
      </c>
      <c r="I555">
        <v>-6.4644867861938203E-4</v>
      </c>
    </row>
    <row r="556" spans="1:9" x14ac:dyDescent="0.25">
      <c r="A556">
        <v>473.07753324508599</v>
      </c>
      <c r="B556">
        <v>20.2885143178673</v>
      </c>
      <c r="C556">
        <v>1.3169150724024801</v>
      </c>
      <c r="D556">
        <v>0.79569694005890901</v>
      </c>
      <c r="E556">
        <v>-0.58446632201481696</v>
      </c>
      <c r="F556">
        <v>2.7959940583618497E-4</v>
      </c>
      <c r="G556">
        <v>3.1264795258115498E-3</v>
      </c>
      <c r="H556">
        <v>0.43715318077114401</v>
      </c>
      <c r="I556">
        <v>-5.9859636012598205E-4</v>
      </c>
    </row>
    <row r="557" spans="1:9" x14ac:dyDescent="0.25">
      <c r="A557">
        <v>488.93034338951099</v>
      </c>
      <c r="B557">
        <v>20.379177215431799</v>
      </c>
      <c r="C557">
        <v>1.2765127082729999</v>
      </c>
      <c r="D557">
        <v>0.77192459088241205</v>
      </c>
      <c r="E557">
        <v>-0.56862965367385099</v>
      </c>
      <c r="F557" s="1">
        <v>-7.0588780729736902E-6</v>
      </c>
      <c r="G557">
        <v>2.9507119665041102E-3</v>
      </c>
      <c r="H557">
        <v>0.43755304326344702</v>
      </c>
      <c r="I557">
        <v>-5.53813733061136E-4</v>
      </c>
    </row>
    <row r="558" spans="1:9" x14ac:dyDescent="0.25">
      <c r="A558">
        <v>504.78321433067299</v>
      </c>
      <c r="B558">
        <v>20.4673469717772</v>
      </c>
      <c r="C558">
        <v>1.2365257427518299</v>
      </c>
      <c r="D558">
        <v>0.74839814642930702</v>
      </c>
      <c r="E558">
        <v>-0.55269280798401799</v>
      </c>
      <c r="F558">
        <v>-4.41042404101262E-4</v>
      </c>
      <c r="G558">
        <v>2.7832595329998601E-3</v>
      </c>
      <c r="H558">
        <v>0.43793316712577401</v>
      </c>
      <c r="I558">
        <v>-5.1200536861676195E-4</v>
      </c>
    </row>
    <row r="559" spans="1:9" x14ac:dyDescent="0.25">
      <c r="A559">
        <v>520.63602447509697</v>
      </c>
      <c r="B559">
        <v>20.553095070567899</v>
      </c>
      <c r="C559">
        <v>1.1967740357249499</v>
      </c>
      <c r="D559">
        <v>0.72500285023640199</v>
      </c>
      <c r="E559">
        <v>-0.53667509530303803</v>
      </c>
      <c r="F559">
        <v>-8.6059247109069497E-4</v>
      </c>
      <c r="G559">
        <v>2.6228306218215899E-3</v>
      </c>
      <c r="H559">
        <v>0.438297722479497</v>
      </c>
      <c r="I559">
        <v>-4.7184921711025701E-4</v>
      </c>
    </row>
    <row r="560" spans="1:9" x14ac:dyDescent="0.25">
      <c r="A560">
        <v>536.48889541625897</v>
      </c>
      <c r="B560">
        <v>20.636274982166402</v>
      </c>
      <c r="C560">
        <v>1.15760059857166</v>
      </c>
      <c r="D560">
        <v>0.70202788713846498</v>
      </c>
      <c r="E560">
        <v>-0.52058859694257698</v>
      </c>
      <c r="F560">
        <v>-1.13842294873778E-3</v>
      </c>
      <c r="G560">
        <v>2.4686710376180198E-3</v>
      </c>
      <c r="H560">
        <v>0.438429427030464</v>
      </c>
      <c r="I560">
        <v>-4.3392607971881099E-4</v>
      </c>
    </row>
    <row r="561" spans="1:9" x14ac:dyDescent="0.25">
      <c r="A561">
        <v>552.34173595905304</v>
      </c>
      <c r="B561">
        <v>20.716859158051101</v>
      </c>
      <c r="C561">
        <v>1.11877336635188</v>
      </c>
      <c r="D561">
        <v>0.67912148643427594</v>
      </c>
      <c r="E561">
        <v>-0.50441983330335605</v>
      </c>
      <c r="F561">
        <v>-1.22371744384571E-3</v>
      </c>
      <c r="G561">
        <v>2.3213593519946399E-3</v>
      </c>
      <c r="H561">
        <v>0.43845945358235799</v>
      </c>
      <c r="I561">
        <v>-3.9854595597686103E-4</v>
      </c>
    </row>
    <row r="562" spans="1:9" x14ac:dyDescent="0.25">
      <c r="A562">
        <v>568.19448530673901</v>
      </c>
      <c r="B562">
        <v>20.7948043755413</v>
      </c>
      <c r="C562">
        <v>1.08010391936659</v>
      </c>
      <c r="D562">
        <v>0.65610975025533902</v>
      </c>
      <c r="E562">
        <v>-0.48815600636233297</v>
      </c>
      <c r="F562">
        <v>-1.1931436270840299E-3</v>
      </c>
      <c r="G562">
        <v>2.1798883868736599E-3</v>
      </c>
      <c r="H562">
        <v>0.43828350553061202</v>
      </c>
      <c r="I562">
        <v>-3.6505430935837802E-4</v>
      </c>
    </row>
    <row r="563" spans="1:9" x14ac:dyDescent="0.25">
      <c r="A563">
        <v>584.04732584953297</v>
      </c>
      <c r="B563">
        <v>20.870261676532198</v>
      </c>
      <c r="C563">
        <v>1.04154068762909</v>
      </c>
      <c r="D563">
        <v>0.63310321683080495</v>
      </c>
      <c r="E563">
        <v>-0.47179215271185898</v>
      </c>
      <c r="F563">
        <v>-1.0897877982446299E-3</v>
      </c>
      <c r="G563">
        <v>2.0462865560164599E-3</v>
      </c>
      <c r="H563">
        <v>0.43854800094017499</v>
      </c>
      <c r="I563">
        <v>-3.3421767976089101E-4</v>
      </c>
    </row>
    <row r="564" spans="1:9" x14ac:dyDescent="0.25">
      <c r="A564">
        <v>599.90016639232601</v>
      </c>
      <c r="B564">
        <v>20.943419150930801</v>
      </c>
      <c r="C564">
        <v>1.0033703813405701</v>
      </c>
      <c r="D564">
        <v>0.61026481080598804</v>
      </c>
      <c r="E564">
        <v>-0.45533473947724201</v>
      </c>
      <c r="F564">
        <v>-8.3722112343048596E-4</v>
      </c>
      <c r="G564">
        <v>1.91882604243483E-3</v>
      </c>
      <c r="H564">
        <v>0.43882229853396398</v>
      </c>
      <c r="I564">
        <v>-3.0515941078286101E-4</v>
      </c>
    </row>
    <row r="565" spans="1:9" x14ac:dyDescent="0.25">
      <c r="A565">
        <v>615.75300693511895</v>
      </c>
      <c r="B565">
        <v>21.014264924374402</v>
      </c>
      <c r="C565">
        <v>0.96564693608343</v>
      </c>
      <c r="D565">
        <v>0.58766897273437602</v>
      </c>
      <c r="E565">
        <v>-0.43882216091472398</v>
      </c>
      <c r="F565">
        <v>-4.3684551607964798E-4</v>
      </c>
      <c r="G565">
        <v>1.79689399708844E-3</v>
      </c>
      <c r="H565">
        <v>0.43903428467772199</v>
      </c>
      <c r="I565">
        <v>-2.7800774254179903E-4</v>
      </c>
    </row>
    <row r="566" spans="1:9" x14ac:dyDescent="0.25">
      <c r="A566">
        <v>631.60581707954395</v>
      </c>
      <c r="B566">
        <v>21.082717776221202</v>
      </c>
      <c r="C566">
        <v>0.92814910951801699</v>
      </c>
      <c r="D566">
        <v>0.56526995469518604</v>
      </c>
      <c r="E566">
        <v>-0.422223912222501</v>
      </c>
      <c r="F566">
        <v>-1.5273212297036399E-4</v>
      </c>
      <c r="G566">
        <v>1.6805401547429E-3</v>
      </c>
      <c r="H566">
        <v>0.43942738859257302</v>
      </c>
      <c r="I566">
        <v>-2.52641283443937E-4</v>
      </c>
    </row>
    <row r="567" spans="1:9" x14ac:dyDescent="0.25">
      <c r="A567">
        <v>647.45859682559899</v>
      </c>
      <c r="B567">
        <v>21.1487900558086</v>
      </c>
      <c r="C567">
        <v>0.89091386407744699</v>
      </c>
      <c r="D567">
        <v>0.54312465239093999</v>
      </c>
      <c r="E567">
        <v>-0.40556919638150402</v>
      </c>
      <c r="F567" s="1">
        <v>2.6978704078959701E-5</v>
      </c>
      <c r="G567">
        <v>1.5700979402243601E-3</v>
      </c>
      <c r="H567">
        <v>0.44003491003245898</v>
      </c>
      <c r="I567">
        <v>-2.29062333184915E-4</v>
      </c>
    </row>
    <row r="568" spans="1:9" x14ac:dyDescent="0.25">
      <c r="A568">
        <v>663.31143736839203</v>
      </c>
      <c r="B568">
        <v>21.2125292605878</v>
      </c>
      <c r="C568">
        <v>0.85414404959465096</v>
      </c>
      <c r="D568">
        <v>0.52117995583816101</v>
      </c>
      <c r="E568">
        <v>-0.388849997366841</v>
      </c>
      <c r="F568">
        <v>1.9187758038547299E-4</v>
      </c>
      <c r="G568">
        <v>1.4649895089943799E-3</v>
      </c>
      <c r="H568">
        <v>0.44054993796189901</v>
      </c>
      <c r="I568">
        <v>-2.0720491195499999E-4</v>
      </c>
    </row>
    <row r="569" spans="1:9" x14ac:dyDescent="0.25">
      <c r="A569">
        <v>679.16427791118599</v>
      </c>
      <c r="B569">
        <v>21.273938240406</v>
      </c>
      <c r="C569">
        <v>0.81770435399448604</v>
      </c>
      <c r="D569">
        <v>0.49917794261166598</v>
      </c>
      <c r="E569">
        <v>-0.37203940485145798</v>
      </c>
      <c r="F569">
        <v>3.8492832674634898E-4</v>
      </c>
      <c r="G569">
        <v>1.3647559673029099E-3</v>
      </c>
      <c r="H569">
        <v>0.44093638866310397</v>
      </c>
      <c r="I569">
        <v>-1.8701274877669101E-4</v>
      </c>
    </row>
    <row r="570" spans="1:9" x14ac:dyDescent="0.25">
      <c r="A570">
        <v>695.01711845397904</v>
      </c>
      <c r="B570">
        <v>21.3331024906756</v>
      </c>
      <c r="C570">
        <v>0.78160630955608201</v>
      </c>
      <c r="D570">
        <v>0.47708812502423398</v>
      </c>
      <c r="E570">
        <v>-0.35515411849140799</v>
      </c>
      <c r="F570">
        <v>6.0746300342543402E-4</v>
      </c>
      <c r="G570">
        <v>1.2692865721844E-3</v>
      </c>
      <c r="H570">
        <v>0.441261969508631</v>
      </c>
      <c r="I570">
        <v>-1.6823527264575599E-4</v>
      </c>
    </row>
    <row r="571" spans="1:9" x14ac:dyDescent="0.25">
      <c r="A571">
        <v>710.86992859840302</v>
      </c>
      <c r="B571">
        <v>21.3899726140471</v>
      </c>
      <c r="C571">
        <v>0.74613053507164295</v>
      </c>
      <c r="D571">
        <v>0.45516840034435702</v>
      </c>
      <c r="E571">
        <v>-0.33822514226563899</v>
      </c>
      <c r="F571">
        <v>7.1122605613059098E-4</v>
      </c>
      <c r="G571">
        <v>1.17870073770395E-3</v>
      </c>
      <c r="H571">
        <v>0.44145278790503201</v>
      </c>
      <c r="I571">
        <v>-1.5074955742622201E-4</v>
      </c>
    </row>
    <row r="572" spans="1:9" x14ac:dyDescent="0.25">
      <c r="A572">
        <v>726.72273874282803</v>
      </c>
      <c r="B572">
        <v>21.444514887330101</v>
      </c>
      <c r="C572">
        <v>0.71146296636470596</v>
      </c>
      <c r="D572">
        <v>0.43347790350156101</v>
      </c>
      <c r="E572">
        <v>-0.32123274922305201</v>
      </c>
      <c r="F572">
        <v>8.16527273513974E-4</v>
      </c>
      <c r="G572">
        <v>1.0937523494708699E-3</v>
      </c>
      <c r="H572">
        <v>0.44176213650957002</v>
      </c>
      <c r="I572">
        <v>-1.34948106006814E-4</v>
      </c>
    </row>
    <row r="573" spans="1:9" x14ac:dyDescent="0.25">
      <c r="A573">
        <v>742.57554888725201</v>
      </c>
      <c r="B573">
        <v>21.496735960167801</v>
      </c>
      <c r="C573">
        <v>0.67762927014882701</v>
      </c>
      <c r="D573">
        <v>0.41209222484012797</v>
      </c>
      <c r="E573">
        <v>-0.30418490441434998</v>
      </c>
      <c r="F573">
        <v>9.67333795786284E-4</v>
      </c>
      <c r="G573">
        <v>1.0139897463561701E-3</v>
      </c>
      <c r="H573">
        <v>0.44208984007767499</v>
      </c>
      <c r="I573">
        <v>-1.20435530206338E-4</v>
      </c>
    </row>
    <row r="574" spans="1:9" x14ac:dyDescent="0.25">
      <c r="A574">
        <v>758.42838943004597</v>
      </c>
      <c r="B574">
        <v>21.546545112428198</v>
      </c>
      <c r="C574">
        <v>0.644535532273948</v>
      </c>
      <c r="D574">
        <v>0.39105918100277798</v>
      </c>
      <c r="E574">
        <v>-0.28709197432234901</v>
      </c>
      <c r="F574">
        <v>1.1009448091689399E-3</v>
      </c>
      <c r="G574">
        <v>9.3925474400019895E-4</v>
      </c>
      <c r="H574">
        <v>0.442614137547996</v>
      </c>
      <c r="I574">
        <v>-1.07333191028526E-4</v>
      </c>
    </row>
    <row r="575" spans="1:9" x14ac:dyDescent="0.25">
      <c r="A575">
        <v>774.28122997283901</v>
      </c>
      <c r="B575">
        <v>21.5938848721953</v>
      </c>
      <c r="C575">
        <v>0.61236289823227696</v>
      </c>
      <c r="D575">
        <v>0.37051900125118697</v>
      </c>
      <c r="E575">
        <v>-0.26994209797996599</v>
      </c>
      <c r="F575">
        <v>1.1710266707239199E-3</v>
      </c>
      <c r="G575">
        <v>8.6891145623243301E-4</v>
      </c>
      <c r="H575">
        <v>0.44296146687496302</v>
      </c>
      <c r="I575" s="1">
        <v>-9.5662128765752204E-5</v>
      </c>
    </row>
    <row r="576" spans="1:9" x14ac:dyDescent="0.25">
      <c r="A576">
        <v>790.13402491807904</v>
      </c>
      <c r="B576">
        <v>21.638727690947199</v>
      </c>
      <c r="C576">
        <v>0.58115767456001699</v>
      </c>
      <c r="D576">
        <v>0.35042984214835099</v>
      </c>
      <c r="E576">
        <v>-0.25273974378154102</v>
      </c>
      <c r="F576">
        <v>1.1354427288794301E-3</v>
      </c>
      <c r="G576">
        <v>8.0365049503316804E-4</v>
      </c>
      <c r="H576">
        <v>0.44358447174055399</v>
      </c>
      <c r="I576" s="1">
        <v>-8.5491890165095903E-5</v>
      </c>
    </row>
    <row r="577" spans="1:9" x14ac:dyDescent="0.25">
      <c r="A577">
        <v>805.98686546087197</v>
      </c>
      <c r="B577">
        <v>21.681036520671999</v>
      </c>
      <c r="C577">
        <v>0.55098550653838096</v>
      </c>
      <c r="D577">
        <v>0.33081519595918701</v>
      </c>
      <c r="E577">
        <v>-0.235496585348489</v>
      </c>
      <c r="F577">
        <v>9.9049512870890495E-4</v>
      </c>
      <c r="G577">
        <v>7.4317505794486104E-4</v>
      </c>
      <c r="H577">
        <v>0.44436261228545898</v>
      </c>
      <c r="I577" s="1">
        <v>-7.6325093001388707E-5</v>
      </c>
    </row>
    <row r="578" spans="1:9" x14ac:dyDescent="0.25">
      <c r="A578">
        <v>821.83970600366501</v>
      </c>
      <c r="B578">
        <v>21.7207239660592</v>
      </c>
      <c r="C578">
        <v>0.52212399682502997</v>
      </c>
      <c r="D578">
        <v>0.31180180446667299</v>
      </c>
      <c r="E578">
        <v>-0.21821038697886999</v>
      </c>
      <c r="F578">
        <v>8.6427072730598604E-4</v>
      </c>
      <c r="G578">
        <v>6.8692518858965096E-4</v>
      </c>
      <c r="H578">
        <v>0.44486232529063302</v>
      </c>
      <c r="I578" s="1">
        <v>-6.8117880293827102E-5</v>
      </c>
    </row>
    <row r="579" spans="1:9" x14ac:dyDescent="0.25">
      <c r="A579">
        <v>837.69251614809002</v>
      </c>
      <c r="B579">
        <v>21.7577553539695</v>
      </c>
      <c r="C579">
        <v>0.49462279336012199</v>
      </c>
      <c r="D579">
        <v>0.29353533673731103</v>
      </c>
      <c r="E579">
        <v>-0.20089264771121301</v>
      </c>
      <c r="F579">
        <v>8.2704112089332198E-4</v>
      </c>
      <c r="G579">
        <v>6.3543977327664997E-4</v>
      </c>
      <c r="H579">
        <v>0.44560093442541598</v>
      </c>
      <c r="I579" s="1">
        <v>-6.1019133737935399E-5</v>
      </c>
    </row>
    <row r="580" spans="1:9" x14ac:dyDescent="0.25">
      <c r="A580">
        <v>853.54535669088295</v>
      </c>
      <c r="B580">
        <v>21.7920727375121</v>
      </c>
      <c r="C580">
        <v>0.46862270822884899</v>
      </c>
      <c r="D580">
        <v>0.27613198701965003</v>
      </c>
      <c r="E580">
        <v>-0.183535246711172</v>
      </c>
      <c r="F580">
        <v>8.3037775711974199E-4</v>
      </c>
      <c r="G580">
        <v>5.8839639182621203E-4</v>
      </c>
      <c r="H580">
        <v>0.44642538786858899</v>
      </c>
      <c r="I580" s="1">
        <v>-5.4748527463971099E-5</v>
      </c>
    </row>
    <row r="581" spans="1:9" x14ac:dyDescent="0.25">
      <c r="A581">
        <v>869.39818203449204</v>
      </c>
      <c r="B581">
        <v>21.8235958459945</v>
      </c>
      <c r="C581">
        <v>0.4442978788461</v>
      </c>
      <c r="D581">
        <v>0.25969542955378599</v>
      </c>
      <c r="E581">
        <v>-0.166145329673105</v>
      </c>
      <c r="F581">
        <v>8.1369776986174298E-4</v>
      </c>
      <c r="G581">
        <v>5.4617053433177101E-4</v>
      </c>
      <c r="H581">
        <v>0.447551234245324</v>
      </c>
      <c r="I581" s="1">
        <v>-4.9525461334088801E-5</v>
      </c>
    </row>
    <row r="582" spans="1:9" x14ac:dyDescent="0.25">
      <c r="A582">
        <v>885.25099217891602</v>
      </c>
      <c r="B582">
        <v>21.852247733545401</v>
      </c>
      <c r="C582">
        <v>0.42186049914789597</v>
      </c>
      <c r="D582">
        <v>0.244413997783545</v>
      </c>
      <c r="E582">
        <v>-0.148730866071621</v>
      </c>
      <c r="F582">
        <v>7.6431469422300004E-4</v>
      </c>
      <c r="G582">
        <v>5.0850366066929997E-4</v>
      </c>
      <c r="H582">
        <v>0.44864814531332198</v>
      </c>
      <c r="I582" s="1">
        <v>-4.5218707776703097E-5</v>
      </c>
    </row>
    <row r="583" spans="1:9" x14ac:dyDescent="0.25">
      <c r="A583">
        <v>901.10380992293301</v>
      </c>
      <c r="B583">
        <v>21.877922005874002</v>
      </c>
      <c r="C583">
        <v>0.40141362039776102</v>
      </c>
      <c r="D583">
        <v>0.230385175979122</v>
      </c>
      <c r="E583">
        <v>-0.13129477912267601</v>
      </c>
      <c r="F583">
        <v>7.01245473333351E-4</v>
      </c>
      <c r="G583">
        <v>4.7522192740391599E-4</v>
      </c>
      <c r="H583">
        <v>0.44963066415226899</v>
      </c>
      <c r="I583" s="1">
        <v>-4.1604691460769898E-5</v>
      </c>
    </row>
    <row r="584" spans="1:9" x14ac:dyDescent="0.25">
      <c r="A584">
        <v>916.95665046572606</v>
      </c>
      <c r="B584">
        <v>21.900545991879799</v>
      </c>
      <c r="C584">
        <v>0.38306053041878801</v>
      </c>
      <c r="D584">
        <v>0.21775755479692999</v>
      </c>
      <c r="E584">
        <v>-0.113828957213615</v>
      </c>
      <c r="F584">
        <v>6.7431668878984298E-4</v>
      </c>
      <c r="G584">
        <v>4.4631630562801599E-4</v>
      </c>
      <c r="H584">
        <v>0.45069790760988598</v>
      </c>
      <c r="I584" s="1">
        <v>-3.8617380214219402E-5</v>
      </c>
    </row>
    <row r="585" spans="1:9" x14ac:dyDescent="0.25">
      <c r="A585">
        <v>932.80946820974305</v>
      </c>
      <c r="B585">
        <v>21.920053195131</v>
      </c>
      <c r="C585">
        <v>0.367024984996078</v>
      </c>
      <c r="D585">
        <v>0.20661039723395899</v>
      </c>
      <c r="E585">
        <v>-9.6348797362846003E-2</v>
      </c>
      <c r="F585">
        <v>6.9458927098981903E-4</v>
      </c>
      <c r="G585">
        <v>4.2175816062498298E-4</v>
      </c>
      <c r="H585">
        <v>0.45176981910494501</v>
      </c>
      <c r="I585" s="1">
        <v>-3.6312873993829702E-5</v>
      </c>
    </row>
    <row r="586" spans="1:9" x14ac:dyDescent="0.25">
      <c r="A586">
        <v>948.66229355335201</v>
      </c>
      <c r="B586">
        <v>21.936308247891201</v>
      </c>
      <c r="C586">
        <v>0.35350386083336999</v>
      </c>
      <c r="D586">
        <v>0.19711213774880099</v>
      </c>
      <c r="E586">
        <v>-7.8852815926509306E-2</v>
      </c>
      <c r="F586">
        <v>7.0006483973751804E-4</v>
      </c>
      <c r="G586">
        <v>4.0134916044378598E-4</v>
      </c>
      <c r="H586">
        <v>0.45254959329935102</v>
      </c>
      <c r="I586" s="1">
        <v>-3.45426260535195E-5</v>
      </c>
    </row>
    <row r="587" spans="1:9" x14ac:dyDescent="0.25">
      <c r="A587">
        <v>964.51511889696098</v>
      </c>
      <c r="B587">
        <v>21.949311625135099</v>
      </c>
      <c r="C587">
        <v>0.34255425749733998</v>
      </c>
      <c r="D587">
        <v>0.189295203347246</v>
      </c>
      <c r="E587">
        <v>-6.1335160351187398E-2</v>
      </c>
      <c r="F587">
        <v>6.6377386027601101E-4</v>
      </c>
      <c r="G587">
        <v>3.8515150365053997E-4</v>
      </c>
      <c r="H587">
        <v>0.45322428077552801</v>
      </c>
      <c r="I587" s="1">
        <v>-3.32168091913527E-5</v>
      </c>
    </row>
    <row r="588" spans="1:9" x14ac:dyDescent="0.25">
      <c r="A588">
        <v>980.36794044077305</v>
      </c>
      <c r="B588">
        <v>21.959082800817601</v>
      </c>
      <c r="C588">
        <v>0.33422327991274797</v>
      </c>
      <c r="D588">
        <v>0.18325546710145099</v>
      </c>
      <c r="E588">
        <v>-4.3807499969522497E-2</v>
      </c>
      <c r="F588">
        <v>5.7699877654933201E-4</v>
      </c>
      <c r="G588">
        <v>3.73245522486952E-4</v>
      </c>
      <c r="H588">
        <v>0.453895392199481</v>
      </c>
      <c r="I588" s="1">
        <v>-3.23136477823662E-5</v>
      </c>
    </row>
    <row r="589" spans="1:9" x14ac:dyDescent="0.25">
      <c r="A589">
        <v>996.22076388448397</v>
      </c>
      <c r="B589">
        <v>21.965615600270201</v>
      </c>
      <c r="C589">
        <v>0.32857329109674499</v>
      </c>
      <c r="D589">
        <v>0.17907071515161899</v>
      </c>
      <c r="E589">
        <v>-2.6266629294309E-2</v>
      </c>
      <c r="F589">
        <v>4.1714405632435202E-4</v>
      </c>
      <c r="G589">
        <v>3.6539821318443101E-4</v>
      </c>
      <c r="H589">
        <v>0.454461260018789</v>
      </c>
      <c r="I589" s="1">
        <v>-3.1736924771522701E-5</v>
      </c>
    </row>
    <row r="590" spans="1:9" x14ac:dyDescent="0.25">
      <c r="A590">
        <v>1012.07358780317</v>
      </c>
      <c r="B590">
        <v>21.968886274767101</v>
      </c>
      <c r="C590">
        <v>0.32569980197649701</v>
      </c>
      <c r="D590">
        <v>0.17694437565029</v>
      </c>
      <c r="E590">
        <v>-8.7270706939020695E-3</v>
      </c>
      <c r="F590">
        <v>2.3333063761090899E-4</v>
      </c>
      <c r="G590">
        <v>3.6138457193446899E-4</v>
      </c>
      <c r="H590">
        <v>0.45464804756599098</v>
      </c>
      <c r="I590" s="1">
        <v>-3.1393949039588103E-5</v>
      </c>
    </row>
  </sheetData>
  <mergeCells count="10">
    <mergeCell ref="P40:P42"/>
    <mergeCell ref="P43:P45"/>
    <mergeCell ref="P46:P48"/>
    <mergeCell ref="P49:P51"/>
    <mergeCell ref="P22:P24"/>
    <mergeCell ref="P25:P27"/>
    <mergeCell ref="P28:P30"/>
    <mergeCell ref="P31:P33"/>
    <mergeCell ref="P34:P36"/>
    <mergeCell ref="P37:P3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workbookViewId="0"/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9</v>
      </c>
    </row>
    <row r="2" spans="1:6" x14ac:dyDescent="0.25">
      <c r="A2" t="s">
        <v>9</v>
      </c>
    </row>
    <row r="3" spans="1:6" x14ac:dyDescent="0.25">
      <c r="A3" t="s">
        <v>10</v>
      </c>
      <c r="B3" t="s">
        <v>11</v>
      </c>
    </row>
    <row r="4" spans="1:6" x14ac:dyDescent="0.25">
      <c r="A4" t="s">
        <v>10</v>
      </c>
      <c r="B4" t="s">
        <v>12</v>
      </c>
      <c r="C4" t="s">
        <v>13</v>
      </c>
      <c r="D4" t="s">
        <v>14</v>
      </c>
      <c r="E4" t="s">
        <v>11</v>
      </c>
    </row>
    <row r="5" spans="1:6" x14ac:dyDescent="0.25">
      <c r="A5" t="s">
        <v>10</v>
      </c>
      <c r="B5" t="s">
        <v>15</v>
      </c>
      <c r="C5" t="s">
        <v>16</v>
      </c>
      <c r="D5" t="s">
        <v>11</v>
      </c>
    </row>
    <row r="6" spans="1:6" x14ac:dyDescent="0.25">
      <c r="A6" t="s">
        <v>10</v>
      </c>
      <c r="B6" t="s">
        <v>17</v>
      </c>
      <c r="C6" t="s">
        <v>18</v>
      </c>
      <c r="D6" t="s">
        <v>19</v>
      </c>
      <c r="E6" t="s">
        <v>20</v>
      </c>
      <c r="F6" t="s">
        <v>11</v>
      </c>
    </row>
    <row r="7" spans="1:6" x14ac:dyDescent="0.25">
      <c r="A7" t="s">
        <v>10</v>
      </c>
      <c r="B7" t="s">
        <v>21</v>
      </c>
      <c r="C7" t="s">
        <v>22</v>
      </c>
      <c r="D7" t="s">
        <v>23</v>
      </c>
      <c r="E7" t="s">
        <v>11</v>
      </c>
    </row>
    <row r="8" spans="1:6" x14ac:dyDescent="0.25">
      <c r="A8" t="s">
        <v>10</v>
      </c>
      <c r="B8" t="s">
        <v>11</v>
      </c>
    </row>
    <row r="9" spans="1:6" x14ac:dyDescent="0.25">
      <c r="A9" t="s">
        <v>10</v>
      </c>
      <c r="B9" t="s">
        <v>11</v>
      </c>
    </row>
    <row r="10" spans="1:6" x14ac:dyDescent="0.25">
      <c r="A10" t="s">
        <v>10</v>
      </c>
      <c r="B10" t="s">
        <v>24</v>
      </c>
      <c r="C10" t="s">
        <v>11</v>
      </c>
    </row>
    <row r="11" spans="1:6" x14ac:dyDescent="0.25">
      <c r="A11" t="s">
        <v>10</v>
      </c>
      <c r="B11" t="s">
        <v>11</v>
      </c>
    </row>
    <row r="12" spans="1:6" x14ac:dyDescent="0.25">
      <c r="A12" t="s">
        <v>10</v>
      </c>
      <c r="B12" t="s">
        <v>25</v>
      </c>
      <c r="C12" t="s">
        <v>26</v>
      </c>
      <c r="D12" t="s">
        <v>11</v>
      </c>
    </row>
    <row r="13" spans="1:6" x14ac:dyDescent="0.25">
      <c r="A13" t="s">
        <v>10</v>
      </c>
      <c r="B13" t="s">
        <v>11</v>
      </c>
    </row>
    <row r="14" spans="1:6" x14ac:dyDescent="0.25">
      <c r="A14" t="s">
        <v>10</v>
      </c>
      <c r="B14" t="s">
        <v>27</v>
      </c>
      <c r="C14" t="s">
        <v>28</v>
      </c>
      <c r="D14" t="s">
        <v>29</v>
      </c>
      <c r="E14" t="s">
        <v>30</v>
      </c>
      <c r="F14" t="s">
        <v>11</v>
      </c>
    </row>
    <row r="15" spans="1:6" x14ac:dyDescent="0.25">
      <c r="A15" t="s">
        <v>10</v>
      </c>
      <c r="B15" t="s">
        <v>11</v>
      </c>
    </row>
    <row r="16" spans="1:6" x14ac:dyDescent="0.25">
      <c r="A16" t="s">
        <v>10</v>
      </c>
      <c r="B16" t="s">
        <v>31</v>
      </c>
      <c r="C16" t="s">
        <v>28</v>
      </c>
      <c r="D16" t="s">
        <v>32</v>
      </c>
      <c r="E16" t="s">
        <v>33</v>
      </c>
      <c r="F16" t="s">
        <v>11</v>
      </c>
    </row>
    <row r="17" spans="1:10" x14ac:dyDescent="0.25">
      <c r="A17" t="s">
        <v>10</v>
      </c>
      <c r="B17" t="s">
        <v>34</v>
      </c>
      <c r="C17" t="s">
        <v>28</v>
      </c>
      <c r="D17" t="s">
        <v>35</v>
      </c>
      <c r="E17" t="s">
        <v>36</v>
      </c>
      <c r="F17" t="s">
        <v>37</v>
      </c>
      <c r="G17" t="s">
        <v>11</v>
      </c>
    </row>
    <row r="18" spans="1:10" x14ac:dyDescent="0.25">
      <c r="A18" t="s">
        <v>10</v>
      </c>
      <c r="B18" t="s">
        <v>38</v>
      </c>
      <c r="C18" t="s">
        <v>39</v>
      </c>
      <c r="D18" t="s">
        <v>28</v>
      </c>
      <c r="E18" t="s">
        <v>35</v>
      </c>
      <c r="F18" t="s">
        <v>11</v>
      </c>
    </row>
    <row r="19" spans="1:10" x14ac:dyDescent="0.25">
      <c r="A19" t="s">
        <v>10</v>
      </c>
      <c r="B19" t="s">
        <v>40</v>
      </c>
      <c r="C19" t="s">
        <v>41</v>
      </c>
      <c r="D19" t="s">
        <v>42</v>
      </c>
      <c r="E19" t="s">
        <v>11</v>
      </c>
    </row>
    <row r="20" spans="1:10" x14ac:dyDescent="0.25">
      <c r="A20" t="s">
        <v>10</v>
      </c>
      <c r="B20" t="s">
        <v>43</v>
      </c>
      <c r="C20" t="s">
        <v>11</v>
      </c>
    </row>
    <row r="21" spans="1:10" x14ac:dyDescent="0.25">
      <c r="A21" t="s">
        <v>10</v>
      </c>
      <c r="B21" t="s">
        <v>11</v>
      </c>
    </row>
    <row r="22" spans="1:10" x14ac:dyDescent="0.25">
      <c r="A22" t="s">
        <v>10</v>
      </c>
      <c r="B22" t="s">
        <v>11</v>
      </c>
    </row>
    <row r="23" spans="1:10" x14ac:dyDescent="0.25">
      <c r="A23" t="s">
        <v>10</v>
      </c>
      <c r="B23" t="s">
        <v>11</v>
      </c>
    </row>
    <row r="24" spans="1:10" x14ac:dyDescent="0.25">
      <c r="A24" t="s">
        <v>9</v>
      </c>
    </row>
    <row r="26" spans="1:10" x14ac:dyDescent="0.25">
      <c r="A26" t="s">
        <v>44</v>
      </c>
    </row>
    <row r="27" spans="1:10" x14ac:dyDescent="0.25">
      <c r="A27" t="s">
        <v>44</v>
      </c>
    </row>
    <row r="28" spans="1:10" x14ac:dyDescent="0.25">
      <c r="A28" t="s">
        <v>44</v>
      </c>
    </row>
    <row r="29" spans="1:10" x14ac:dyDescent="0.25">
      <c r="A29" t="s">
        <v>45</v>
      </c>
      <c r="B29" t="s">
        <v>46</v>
      </c>
      <c r="C29" t="s">
        <v>47</v>
      </c>
      <c r="D29" t="s">
        <v>46</v>
      </c>
      <c r="E29" t="s">
        <v>48</v>
      </c>
    </row>
    <row r="30" spans="1:10" x14ac:dyDescent="0.25">
      <c r="A30" t="s">
        <v>45</v>
      </c>
      <c r="B30" t="s">
        <v>48</v>
      </c>
    </row>
    <row r="31" spans="1:10" x14ac:dyDescent="0.25">
      <c r="A31" t="s">
        <v>45</v>
      </c>
      <c r="B31" t="s">
        <v>49</v>
      </c>
      <c r="C31" t="s">
        <v>50</v>
      </c>
      <c r="D31" t="s">
        <v>51</v>
      </c>
      <c r="E31" t="s">
        <v>52</v>
      </c>
      <c r="F31" t="s">
        <v>53</v>
      </c>
      <c r="G31" t="s">
        <v>54</v>
      </c>
      <c r="H31" t="s">
        <v>55</v>
      </c>
      <c r="I31" t="s">
        <v>56</v>
      </c>
      <c r="J31" t="s">
        <v>48</v>
      </c>
    </row>
    <row r="32" spans="1:10" x14ac:dyDescent="0.25">
      <c r="A32" t="s">
        <v>45</v>
      </c>
      <c r="B32" t="s">
        <v>48</v>
      </c>
    </row>
    <row r="33" spans="1:12" x14ac:dyDescent="0.25">
      <c r="A33" t="s">
        <v>45</v>
      </c>
      <c r="B33" t="s">
        <v>49</v>
      </c>
      <c r="C33" t="s">
        <v>54</v>
      </c>
      <c r="D33" t="s">
        <v>57</v>
      </c>
      <c r="E33" t="s">
        <v>58</v>
      </c>
      <c r="F33" t="s">
        <v>51</v>
      </c>
      <c r="G33" t="s">
        <v>59</v>
      </c>
      <c r="H33" t="s">
        <v>21</v>
      </c>
      <c r="I33" t="s">
        <v>60</v>
      </c>
      <c r="J33" t="s">
        <v>61</v>
      </c>
      <c r="K33" t="s">
        <v>48</v>
      </c>
    </row>
    <row r="34" spans="1:12" x14ac:dyDescent="0.25">
      <c r="A34" t="s">
        <v>45</v>
      </c>
      <c r="B34" t="s">
        <v>62</v>
      </c>
      <c r="C34" t="s">
        <v>54</v>
      </c>
      <c r="D34" t="s">
        <v>63</v>
      </c>
      <c r="E34" t="s">
        <v>36</v>
      </c>
      <c r="F34" t="s">
        <v>64</v>
      </c>
      <c r="G34" t="s">
        <v>65</v>
      </c>
      <c r="H34" t="s">
        <v>66</v>
      </c>
      <c r="I34" t="s">
        <v>67</v>
      </c>
      <c r="J34" t="s">
        <v>48</v>
      </c>
    </row>
    <row r="35" spans="1:12" x14ac:dyDescent="0.25">
      <c r="A35" t="s">
        <v>45</v>
      </c>
      <c r="B35" t="s">
        <v>68</v>
      </c>
      <c r="C35" t="s">
        <v>69</v>
      </c>
      <c r="D35" t="s">
        <v>70</v>
      </c>
      <c r="E35" t="s">
        <v>63</v>
      </c>
      <c r="F35" t="s">
        <v>71</v>
      </c>
      <c r="G35" t="s">
        <v>72</v>
      </c>
      <c r="H35" t="s">
        <v>73</v>
      </c>
      <c r="I35" t="s">
        <v>74</v>
      </c>
      <c r="J35" t="s">
        <v>75</v>
      </c>
      <c r="K35" t="s">
        <v>48</v>
      </c>
    </row>
    <row r="36" spans="1:12" x14ac:dyDescent="0.25">
      <c r="A36" t="s">
        <v>45</v>
      </c>
      <c r="B36" t="s">
        <v>76</v>
      </c>
      <c r="C36" t="s">
        <v>77</v>
      </c>
      <c r="D36" t="s">
        <v>78</v>
      </c>
      <c r="E36" t="s">
        <v>53</v>
      </c>
      <c r="F36" t="s">
        <v>54</v>
      </c>
      <c r="G36" t="s">
        <v>79</v>
      </c>
      <c r="H36" t="s">
        <v>80</v>
      </c>
      <c r="I36" t="s">
        <v>81</v>
      </c>
      <c r="J36" t="s">
        <v>48</v>
      </c>
    </row>
    <row r="37" spans="1:12" x14ac:dyDescent="0.25">
      <c r="A37" t="s">
        <v>45</v>
      </c>
      <c r="B37" t="s">
        <v>82</v>
      </c>
      <c r="C37" t="s">
        <v>36</v>
      </c>
      <c r="D37" t="s">
        <v>83</v>
      </c>
      <c r="E37" t="s">
        <v>84</v>
      </c>
      <c r="F37" t="s">
        <v>85</v>
      </c>
      <c r="G37" t="s">
        <v>48</v>
      </c>
    </row>
    <row r="38" spans="1:12" x14ac:dyDescent="0.25">
      <c r="A38" t="s">
        <v>45</v>
      </c>
      <c r="B38" t="s">
        <v>48</v>
      </c>
    </row>
    <row r="39" spans="1:12" x14ac:dyDescent="0.25">
      <c r="A39" t="s">
        <v>45</v>
      </c>
      <c r="B39" t="s">
        <v>86</v>
      </c>
      <c r="C39" t="s">
        <v>57</v>
      </c>
      <c r="D39" t="s">
        <v>58</v>
      </c>
      <c r="E39" t="s">
        <v>87</v>
      </c>
      <c r="F39" t="s">
        <v>72</v>
      </c>
      <c r="G39" t="s">
        <v>88</v>
      </c>
      <c r="H39" t="s">
        <v>89</v>
      </c>
      <c r="I39" t="s">
        <v>90</v>
      </c>
      <c r="J39" t="s">
        <v>48</v>
      </c>
    </row>
    <row r="40" spans="1:12" x14ac:dyDescent="0.25">
      <c r="A40" t="s">
        <v>45</v>
      </c>
      <c r="B40" t="s">
        <v>48</v>
      </c>
    </row>
    <row r="41" spans="1:12" x14ac:dyDescent="0.25">
      <c r="A41" t="s">
        <v>45</v>
      </c>
      <c r="B41" t="s">
        <v>86</v>
      </c>
      <c r="C41" t="s">
        <v>57</v>
      </c>
      <c r="D41" t="s">
        <v>58</v>
      </c>
      <c r="E41" t="s">
        <v>87</v>
      </c>
      <c r="F41" t="s">
        <v>72</v>
      </c>
      <c r="G41" t="s">
        <v>91</v>
      </c>
      <c r="H41" t="s">
        <v>89</v>
      </c>
      <c r="I41" t="s">
        <v>92</v>
      </c>
      <c r="J41" t="s">
        <v>93</v>
      </c>
      <c r="K41" t="s">
        <v>54</v>
      </c>
      <c r="L41" t="s">
        <v>48</v>
      </c>
    </row>
    <row r="42" spans="1:12" x14ac:dyDescent="0.25">
      <c r="A42" t="s">
        <v>45</v>
      </c>
      <c r="B42" t="s">
        <v>55</v>
      </c>
      <c r="C42" t="s">
        <v>94</v>
      </c>
      <c r="D42" t="s">
        <v>21</v>
      </c>
      <c r="E42" t="s">
        <v>95</v>
      </c>
      <c r="F42" t="s">
        <v>96</v>
      </c>
      <c r="G42" t="s">
        <v>97</v>
      </c>
      <c r="H42" t="s">
        <v>98</v>
      </c>
      <c r="I42" t="s">
        <v>99</v>
      </c>
      <c r="J42" t="s">
        <v>48</v>
      </c>
    </row>
    <row r="43" spans="1:12" x14ac:dyDescent="0.25">
      <c r="A43" t="s">
        <v>45</v>
      </c>
      <c r="B43" t="s">
        <v>100</v>
      </c>
      <c r="C43" t="s">
        <v>101</v>
      </c>
      <c r="D43" t="s">
        <v>69</v>
      </c>
      <c r="E43" t="s">
        <v>54</v>
      </c>
      <c r="F43" t="s">
        <v>102</v>
      </c>
      <c r="G43" t="s">
        <v>103</v>
      </c>
      <c r="H43" t="s">
        <v>99</v>
      </c>
      <c r="I43" t="s">
        <v>104</v>
      </c>
      <c r="J43" t="s">
        <v>93</v>
      </c>
      <c r="K43" t="s">
        <v>48</v>
      </c>
    </row>
    <row r="44" spans="1:12" x14ac:dyDescent="0.25">
      <c r="A44" t="s">
        <v>45</v>
      </c>
      <c r="B44" t="s">
        <v>105</v>
      </c>
      <c r="C44" t="s">
        <v>106</v>
      </c>
      <c r="D44" t="s">
        <v>48</v>
      </c>
    </row>
    <row r="45" spans="1:12" x14ac:dyDescent="0.25">
      <c r="A45" t="s">
        <v>45</v>
      </c>
      <c r="B45" t="s">
        <v>48</v>
      </c>
    </row>
    <row r="46" spans="1:12" x14ac:dyDescent="0.25">
      <c r="A46" t="s">
        <v>45</v>
      </c>
      <c r="B46" t="s">
        <v>107</v>
      </c>
      <c r="C46" t="s">
        <v>108</v>
      </c>
      <c r="D46" t="s">
        <v>109</v>
      </c>
      <c r="E46" t="s">
        <v>110</v>
      </c>
      <c r="F46" t="s">
        <v>48</v>
      </c>
    </row>
    <row r="47" spans="1:12" x14ac:dyDescent="0.25">
      <c r="A47" t="s">
        <v>45</v>
      </c>
      <c r="B47" t="s">
        <v>48</v>
      </c>
    </row>
    <row r="48" spans="1:12" x14ac:dyDescent="0.25">
      <c r="A48" t="s">
        <v>45</v>
      </c>
      <c r="B48" t="s">
        <v>111</v>
      </c>
      <c r="C48" t="s">
        <v>112</v>
      </c>
      <c r="D48">
        <v>2008</v>
      </c>
      <c r="E48" t="s">
        <v>48</v>
      </c>
    </row>
    <row r="49" spans="1:12" x14ac:dyDescent="0.25">
      <c r="A49" t="s">
        <v>44</v>
      </c>
    </row>
    <row r="50" spans="1:12" x14ac:dyDescent="0.25">
      <c r="A50" t="s">
        <v>44</v>
      </c>
    </row>
    <row r="51" spans="1:12" x14ac:dyDescent="0.25">
      <c r="A51" t="s">
        <v>113</v>
      </c>
      <c r="B51" t="s">
        <v>376</v>
      </c>
    </row>
    <row r="53" spans="1:12" x14ac:dyDescent="0.25">
      <c r="A53" t="s">
        <v>114</v>
      </c>
      <c r="B53" t="s">
        <v>28</v>
      </c>
      <c r="C53" t="s">
        <v>115</v>
      </c>
      <c r="D53" t="s">
        <v>111</v>
      </c>
      <c r="E53" t="s">
        <v>112</v>
      </c>
      <c r="F53">
        <v>2008</v>
      </c>
    </row>
    <row r="55" spans="1:12" x14ac:dyDescent="0.25">
      <c r="A55" t="s">
        <v>116</v>
      </c>
      <c r="B55" t="s">
        <v>117</v>
      </c>
      <c r="C55" t="s">
        <v>118</v>
      </c>
      <c r="D55" t="s">
        <v>119</v>
      </c>
      <c r="E55" t="s">
        <v>120</v>
      </c>
      <c r="F55" t="s">
        <v>121</v>
      </c>
      <c r="G55" t="s">
        <v>122</v>
      </c>
      <c r="H55" t="s">
        <v>123</v>
      </c>
      <c r="I55" t="s">
        <v>36</v>
      </c>
      <c r="J55" t="s">
        <v>124</v>
      </c>
      <c r="K55" t="s">
        <v>26</v>
      </c>
      <c r="L55" t="s">
        <v>123</v>
      </c>
    </row>
    <row r="57" spans="1:12" x14ac:dyDescent="0.25">
      <c r="B57" t="s">
        <v>123</v>
      </c>
      <c r="C57" t="s">
        <v>31</v>
      </c>
      <c r="D57" t="s">
        <v>28</v>
      </c>
      <c r="E57" t="s">
        <v>32</v>
      </c>
      <c r="F57" t="s">
        <v>33</v>
      </c>
    </row>
    <row r="58" spans="1:12" x14ac:dyDescent="0.25">
      <c r="B58" t="s">
        <v>34</v>
      </c>
      <c r="C58" t="s">
        <v>28</v>
      </c>
      <c r="D58" t="s">
        <v>35</v>
      </c>
      <c r="E58" t="s">
        <v>36</v>
      </c>
      <c r="F58" t="s">
        <v>37</v>
      </c>
    </row>
    <row r="59" spans="1:12" x14ac:dyDescent="0.25">
      <c r="B59" t="s">
        <v>38</v>
      </c>
      <c r="C59" t="s">
        <v>39</v>
      </c>
      <c r="D59" t="s">
        <v>28</v>
      </c>
      <c r="E59" t="s">
        <v>35</v>
      </c>
    </row>
    <row r="60" spans="1:12" x14ac:dyDescent="0.25">
      <c r="B60" t="s">
        <v>40</v>
      </c>
      <c r="C60" t="s">
        <v>41</v>
      </c>
      <c r="D60" t="s">
        <v>125</v>
      </c>
      <c r="E60" t="s">
        <v>43</v>
      </c>
    </row>
    <row r="61" spans="1:12" x14ac:dyDescent="0.25">
      <c r="B61" t="s">
        <v>126</v>
      </c>
      <c r="C61" t="s">
        <v>127</v>
      </c>
      <c r="D61" t="s">
        <v>128</v>
      </c>
    </row>
    <row r="63" spans="1:12" x14ac:dyDescent="0.25">
      <c r="A63" t="s">
        <v>129</v>
      </c>
    </row>
    <row r="64" spans="1:12" x14ac:dyDescent="0.25">
      <c r="B64" t="s">
        <v>377</v>
      </c>
      <c r="C64" t="s">
        <v>131</v>
      </c>
      <c r="D64" t="s">
        <v>378</v>
      </c>
    </row>
    <row r="65" spans="2:11" x14ac:dyDescent="0.25">
      <c r="B65" t="s">
        <v>379</v>
      </c>
      <c r="C65" t="s">
        <v>131</v>
      </c>
      <c r="D65" t="s">
        <v>380</v>
      </c>
      <c r="E65" t="s">
        <v>319</v>
      </c>
      <c r="F65" t="s">
        <v>381</v>
      </c>
    </row>
    <row r="66" spans="2:11" x14ac:dyDescent="0.25">
      <c r="B66" t="s">
        <v>130</v>
      </c>
      <c r="C66" t="s">
        <v>131</v>
      </c>
      <c r="D66" t="s">
        <v>132</v>
      </c>
      <c r="E66" t="s">
        <v>133</v>
      </c>
      <c r="F66" t="s">
        <v>134</v>
      </c>
    </row>
    <row r="67" spans="2:11" x14ac:dyDescent="0.25">
      <c r="B67" t="s">
        <v>382</v>
      </c>
      <c r="C67" t="s">
        <v>131</v>
      </c>
      <c r="D67" t="s">
        <v>383</v>
      </c>
      <c r="E67" t="s">
        <v>109</v>
      </c>
      <c r="F67" t="s">
        <v>384</v>
      </c>
      <c r="G67" t="s">
        <v>144</v>
      </c>
    </row>
    <row r="68" spans="2:11" x14ac:dyDescent="0.25">
      <c r="B68" t="s">
        <v>138</v>
      </c>
      <c r="C68" t="s">
        <v>131</v>
      </c>
      <c r="D68" t="s">
        <v>139</v>
      </c>
      <c r="E68" t="s">
        <v>140</v>
      </c>
    </row>
    <row r="69" spans="2:11" x14ac:dyDescent="0.25">
      <c r="B69" t="s">
        <v>385</v>
      </c>
      <c r="C69" t="s">
        <v>131</v>
      </c>
      <c r="D69" t="s">
        <v>386</v>
      </c>
      <c r="E69" t="s">
        <v>387</v>
      </c>
      <c r="F69" t="s">
        <v>144</v>
      </c>
    </row>
    <row r="70" spans="2:11" x14ac:dyDescent="0.25">
      <c r="B70" t="s">
        <v>388</v>
      </c>
      <c r="C70" t="s">
        <v>131</v>
      </c>
      <c r="D70" t="s">
        <v>389</v>
      </c>
      <c r="E70" t="s">
        <v>319</v>
      </c>
      <c r="F70" t="s">
        <v>320</v>
      </c>
    </row>
    <row r="71" spans="2:11" x14ac:dyDescent="0.25">
      <c r="B71" t="s">
        <v>141</v>
      </c>
      <c r="C71" t="s">
        <v>131</v>
      </c>
      <c r="D71" t="s">
        <v>142</v>
      </c>
      <c r="E71" t="s">
        <v>109</v>
      </c>
      <c r="F71" t="s">
        <v>143</v>
      </c>
      <c r="G71" t="s">
        <v>144</v>
      </c>
    </row>
    <row r="72" spans="2:11" x14ac:dyDescent="0.25">
      <c r="B72" t="s">
        <v>145</v>
      </c>
      <c r="C72" t="s">
        <v>131</v>
      </c>
      <c r="D72" t="s">
        <v>146</v>
      </c>
      <c r="E72" t="s">
        <v>109</v>
      </c>
      <c r="F72" t="s">
        <v>143</v>
      </c>
      <c r="G72" t="s">
        <v>144</v>
      </c>
    </row>
    <row r="73" spans="2:11" x14ac:dyDescent="0.25">
      <c r="B73" t="s">
        <v>390</v>
      </c>
      <c r="C73" t="s">
        <v>131</v>
      </c>
      <c r="D73" t="s">
        <v>263</v>
      </c>
      <c r="E73" t="s">
        <v>391</v>
      </c>
    </row>
    <row r="74" spans="2:11" x14ac:dyDescent="0.25">
      <c r="B74" t="s">
        <v>147</v>
      </c>
      <c r="C74" t="s">
        <v>131</v>
      </c>
      <c r="D74" t="s">
        <v>148</v>
      </c>
    </row>
    <row r="75" spans="2:11" x14ac:dyDescent="0.25">
      <c r="B75" t="s">
        <v>149</v>
      </c>
      <c r="C75" t="s">
        <v>131</v>
      </c>
      <c r="D75" t="s">
        <v>150</v>
      </c>
      <c r="E75" t="s">
        <v>151</v>
      </c>
      <c r="F75" t="s">
        <v>152</v>
      </c>
    </row>
    <row r="76" spans="2:11" x14ac:dyDescent="0.25">
      <c r="B76" t="s">
        <v>155</v>
      </c>
      <c r="C76" t="s">
        <v>156</v>
      </c>
      <c r="D76" t="s">
        <v>157</v>
      </c>
      <c r="E76" t="s">
        <v>131</v>
      </c>
      <c r="F76" t="s">
        <v>158</v>
      </c>
      <c r="G76" t="s">
        <v>159</v>
      </c>
      <c r="H76" t="s">
        <v>36</v>
      </c>
      <c r="I76" t="s">
        <v>160</v>
      </c>
      <c r="J76" t="s">
        <v>152</v>
      </c>
      <c r="K76" t="s">
        <v>161</v>
      </c>
    </row>
    <row r="77" spans="2:11" x14ac:dyDescent="0.25">
      <c r="B77" t="s">
        <v>165</v>
      </c>
      <c r="C77" t="s">
        <v>131</v>
      </c>
      <c r="D77" t="s">
        <v>166</v>
      </c>
      <c r="E77" t="s">
        <v>152</v>
      </c>
    </row>
    <row r="78" spans="2:11" x14ac:dyDescent="0.25">
      <c r="B78" t="s">
        <v>392</v>
      </c>
      <c r="C78" t="s">
        <v>131</v>
      </c>
      <c r="D78" t="s">
        <v>321</v>
      </c>
      <c r="E78" t="s">
        <v>393</v>
      </c>
    </row>
    <row r="79" spans="2:11" x14ac:dyDescent="0.25">
      <c r="B79" t="s">
        <v>394</v>
      </c>
      <c r="C79" t="s">
        <v>131</v>
      </c>
      <c r="D79" t="s">
        <v>150</v>
      </c>
      <c r="E79" t="s">
        <v>151</v>
      </c>
      <c r="F79" t="s">
        <v>321</v>
      </c>
    </row>
    <row r="80" spans="2:11" x14ac:dyDescent="0.25">
      <c r="B80" t="s">
        <v>395</v>
      </c>
      <c r="C80" t="s">
        <v>131</v>
      </c>
      <c r="D80" t="s">
        <v>151</v>
      </c>
      <c r="E80" t="s">
        <v>321</v>
      </c>
    </row>
    <row r="81" spans="1:14" x14ac:dyDescent="0.25">
      <c r="B81" t="s">
        <v>396</v>
      </c>
      <c r="C81" t="s">
        <v>131</v>
      </c>
      <c r="D81" t="s">
        <v>397</v>
      </c>
      <c r="E81" t="s">
        <v>109</v>
      </c>
      <c r="F81" t="s">
        <v>166</v>
      </c>
      <c r="G81" t="s">
        <v>321</v>
      </c>
    </row>
    <row r="82" spans="1:14" x14ac:dyDescent="0.25">
      <c r="B82" t="s">
        <v>398</v>
      </c>
      <c r="C82" t="s">
        <v>131</v>
      </c>
      <c r="D82" t="s">
        <v>5</v>
      </c>
      <c r="E82" t="s">
        <v>321</v>
      </c>
    </row>
    <row r="83" spans="1:14" x14ac:dyDescent="0.25">
      <c r="B83" t="s">
        <v>167</v>
      </c>
      <c r="C83" t="s">
        <v>168</v>
      </c>
      <c r="D83" t="s">
        <v>169</v>
      </c>
      <c r="E83" t="s">
        <v>131</v>
      </c>
      <c r="F83" t="s">
        <v>158</v>
      </c>
      <c r="G83" t="s">
        <v>159</v>
      </c>
      <c r="H83" t="s">
        <v>36</v>
      </c>
      <c r="I83" t="s">
        <v>160</v>
      </c>
      <c r="J83" t="s">
        <v>170</v>
      </c>
    </row>
    <row r="85" spans="1:14" x14ac:dyDescent="0.25">
      <c r="B85" t="s">
        <v>171</v>
      </c>
      <c r="C85" t="s">
        <v>131</v>
      </c>
      <c r="D85" t="s">
        <v>172</v>
      </c>
      <c r="E85" t="s">
        <v>53</v>
      </c>
      <c r="F85" t="s">
        <v>5</v>
      </c>
      <c r="G85" t="s">
        <v>173</v>
      </c>
      <c r="H85" t="s">
        <v>174</v>
      </c>
      <c r="I85" t="s">
        <v>399</v>
      </c>
      <c r="J85" t="s">
        <v>138</v>
      </c>
      <c r="K85" t="s">
        <v>36</v>
      </c>
      <c r="L85" t="s">
        <v>175</v>
      </c>
    </row>
    <row r="86" spans="1:14" x14ac:dyDescent="0.25">
      <c r="B86" t="s">
        <v>400</v>
      </c>
      <c r="C86" t="s">
        <v>131</v>
      </c>
      <c r="D86" t="s">
        <v>401</v>
      </c>
      <c r="E86" t="s">
        <v>402</v>
      </c>
    </row>
    <row r="89" spans="1:14" x14ac:dyDescent="0.25">
      <c r="A89">
        <v>1</v>
      </c>
      <c r="B89" t="s">
        <v>176</v>
      </c>
    </row>
    <row r="90" spans="1:14" x14ac:dyDescent="0.25">
      <c r="B90" t="s">
        <v>12</v>
      </c>
      <c r="C90" t="s">
        <v>83</v>
      </c>
      <c r="D90" t="s">
        <v>177</v>
      </c>
      <c r="E90" t="s">
        <v>178</v>
      </c>
      <c r="F90" t="s">
        <v>28</v>
      </c>
      <c r="G90" t="s">
        <v>135</v>
      </c>
      <c r="H90" t="s">
        <v>319</v>
      </c>
      <c r="I90" t="s">
        <v>403</v>
      </c>
      <c r="J90" t="s">
        <v>180</v>
      </c>
      <c r="K90" t="s">
        <v>181</v>
      </c>
      <c r="L90" t="s">
        <v>182</v>
      </c>
      <c r="M90" t="s">
        <v>183</v>
      </c>
    </row>
    <row r="91" spans="1:14" x14ac:dyDescent="0.25">
      <c r="B91" t="s">
        <v>86</v>
      </c>
      <c r="C91" t="s">
        <v>184</v>
      </c>
      <c r="D91" t="s">
        <v>185</v>
      </c>
      <c r="E91" t="s">
        <v>99</v>
      </c>
      <c r="F91" t="s">
        <v>75</v>
      </c>
      <c r="G91" t="s">
        <v>186</v>
      </c>
      <c r="H91" t="s">
        <v>187</v>
      </c>
      <c r="I91" t="s">
        <v>135</v>
      </c>
      <c r="J91" t="s">
        <v>132</v>
      </c>
      <c r="K91" t="s">
        <v>185</v>
      </c>
      <c r="L91" t="s">
        <v>188</v>
      </c>
      <c r="M91" t="s">
        <v>53</v>
      </c>
    </row>
    <row r="92" spans="1:14" x14ac:dyDescent="0.25">
      <c r="B92" t="s">
        <v>75</v>
      </c>
      <c r="C92" t="s">
        <v>154</v>
      </c>
      <c r="D92" t="s">
        <v>151</v>
      </c>
      <c r="E92" t="s">
        <v>189</v>
      </c>
      <c r="F92" t="s">
        <v>190</v>
      </c>
    </row>
    <row r="93" spans="1:14" x14ac:dyDescent="0.25">
      <c r="B93" t="s">
        <v>86</v>
      </c>
      <c r="C93" t="s">
        <v>404</v>
      </c>
      <c r="D93" t="s">
        <v>79</v>
      </c>
      <c r="E93" t="s">
        <v>191</v>
      </c>
      <c r="F93" t="s">
        <v>99</v>
      </c>
      <c r="G93" t="s">
        <v>78</v>
      </c>
      <c r="H93" t="s">
        <v>198</v>
      </c>
      <c r="I93" t="s">
        <v>54</v>
      </c>
      <c r="J93" t="s">
        <v>154</v>
      </c>
      <c r="K93" t="s">
        <v>36</v>
      </c>
      <c r="L93" t="s">
        <v>160</v>
      </c>
    </row>
    <row r="94" spans="1:14" x14ac:dyDescent="0.25">
      <c r="B94" t="s">
        <v>275</v>
      </c>
      <c r="C94" t="s">
        <v>405</v>
      </c>
      <c r="D94" t="s">
        <v>54</v>
      </c>
      <c r="E94" t="s">
        <v>406</v>
      </c>
      <c r="F94" t="s">
        <v>79</v>
      </c>
      <c r="G94" t="s">
        <v>191</v>
      </c>
      <c r="H94" t="s">
        <v>99</v>
      </c>
      <c r="I94" t="s">
        <v>192</v>
      </c>
      <c r="J94" t="s">
        <v>198</v>
      </c>
      <c r="K94" t="s">
        <v>54</v>
      </c>
      <c r="L94" t="s">
        <v>5</v>
      </c>
    </row>
    <row r="95" spans="1:14" x14ac:dyDescent="0.25">
      <c r="B95" t="e">
        <f>-normal</f>
        <v>#NAME?</v>
      </c>
      <c r="C95" t="s">
        <v>407</v>
      </c>
      <c r="D95" t="s">
        <v>408</v>
      </c>
      <c r="E95" t="s">
        <v>346</v>
      </c>
      <c r="F95" t="s">
        <v>54</v>
      </c>
      <c r="G95" t="s">
        <v>193</v>
      </c>
      <c r="H95" t="s">
        <v>36</v>
      </c>
      <c r="I95" t="s">
        <v>194</v>
      </c>
      <c r="J95" t="s">
        <v>195</v>
      </c>
    </row>
    <row r="96" spans="1:14" x14ac:dyDescent="0.25">
      <c r="B96" t="s">
        <v>86</v>
      </c>
      <c r="C96" t="s">
        <v>263</v>
      </c>
      <c r="D96" t="s">
        <v>79</v>
      </c>
      <c r="E96" t="s">
        <v>191</v>
      </c>
      <c r="F96" t="s">
        <v>99</v>
      </c>
      <c r="G96" t="s">
        <v>409</v>
      </c>
      <c r="H96" t="s">
        <v>410</v>
      </c>
      <c r="I96" t="s">
        <v>411</v>
      </c>
      <c r="J96" t="s">
        <v>62</v>
      </c>
      <c r="K96" t="s">
        <v>412</v>
      </c>
      <c r="L96" t="s">
        <v>28</v>
      </c>
      <c r="M96" t="s">
        <v>54</v>
      </c>
      <c r="N96" t="s">
        <v>195</v>
      </c>
    </row>
    <row r="97" spans="1:13" x14ac:dyDescent="0.25">
      <c r="B97" t="s">
        <v>196</v>
      </c>
      <c r="C97" t="s">
        <v>197</v>
      </c>
      <c r="D97" t="s">
        <v>51</v>
      </c>
      <c r="E97" t="s">
        <v>96</v>
      </c>
      <c r="F97" t="s">
        <v>198</v>
      </c>
      <c r="G97" t="s">
        <v>54</v>
      </c>
      <c r="H97" t="s">
        <v>199</v>
      </c>
      <c r="I97" t="s">
        <v>200</v>
      </c>
    </row>
    <row r="100" spans="1:13" x14ac:dyDescent="0.25">
      <c r="A100">
        <v>2</v>
      </c>
      <c r="B100" t="s">
        <v>413</v>
      </c>
    </row>
    <row r="102" spans="1:13" x14ac:dyDescent="0.25">
      <c r="A102" t="s">
        <v>201</v>
      </c>
      <c r="B102" t="s">
        <v>202</v>
      </c>
      <c r="C102" t="s">
        <v>203</v>
      </c>
      <c r="D102" t="s">
        <v>204</v>
      </c>
      <c r="E102" t="s">
        <v>205</v>
      </c>
      <c r="F102" t="s">
        <v>36</v>
      </c>
      <c r="G102" t="s">
        <v>206</v>
      </c>
      <c r="H102" t="s">
        <v>207</v>
      </c>
    </row>
    <row r="103" spans="1:13" x14ac:dyDescent="0.25">
      <c r="B103" t="s">
        <v>208</v>
      </c>
    </row>
    <row r="104" spans="1:13" x14ac:dyDescent="0.25">
      <c r="B104" t="s">
        <v>21</v>
      </c>
      <c r="C104" t="s">
        <v>75</v>
      </c>
      <c r="D104" t="s">
        <v>209</v>
      </c>
      <c r="E104" t="s">
        <v>210</v>
      </c>
      <c r="F104" t="s">
        <v>211</v>
      </c>
      <c r="G104" t="s">
        <v>212</v>
      </c>
      <c r="H104" t="s">
        <v>28</v>
      </c>
      <c r="I104" t="s">
        <v>54</v>
      </c>
      <c r="J104" t="s">
        <v>213</v>
      </c>
      <c r="K104" t="s">
        <v>214</v>
      </c>
      <c r="L104" t="s">
        <v>215</v>
      </c>
    </row>
    <row r="105" spans="1:13" x14ac:dyDescent="0.25">
      <c r="B105" t="s">
        <v>62</v>
      </c>
      <c r="C105" t="s">
        <v>33</v>
      </c>
      <c r="D105" t="s">
        <v>216</v>
      </c>
      <c r="E105" t="s">
        <v>217</v>
      </c>
      <c r="F105" t="s">
        <v>36</v>
      </c>
      <c r="G105" t="s">
        <v>218</v>
      </c>
      <c r="H105" t="s">
        <v>219</v>
      </c>
      <c r="I105" t="s">
        <v>220</v>
      </c>
      <c r="J105" t="s">
        <v>221</v>
      </c>
      <c r="K105" t="s">
        <v>222</v>
      </c>
      <c r="L105" t="s">
        <v>223</v>
      </c>
      <c r="M105">
        <v>2008</v>
      </c>
    </row>
    <row r="107" spans="1:13" x14ac:dyDescent="0.25">
      <c r="A107" t="s">
        <v>224</v>
      </c>
      <c r="B107" t="s">
        <v>204</v>
      </c>
      <c r="C107" t="s">
        <v>227</v>
      </c>
      <c r="D107" t="s">
        <v>238</v>
      </c>
      <c r="E107" t="s">
        <v>239</v>
      </c>
      <c r="F107" t="s">
        <v>36</v>
      </c>
      <c r="G107" t="s">
        <v>206</v>
      </c>
      <c r="H107" t="s">
        <v>207</v>
      </c>
    </row>
    <row r="108" spans="1:13" x14ac:dyDescent="0.25">
      <c r="B108" t="s">
        <v>240</v>
      </c>
    </row>
    <row r="109" spans="1:13" x14ac:dyDescent="0.25">
      <c r="B109" t="s">
        <v>241</v>
      </c>
      <c r="C109" t="s">
        <v>242</v>
      </c>
      <c r="D109" t="s">
        <v>243</v>
      </c>
      <c r="E109" t="s">
        <v>1</v>
      </c>
      <c r="F109" t="s">
        <v>28</v>
      </c>
      <c r="G109" t="s">
        <v>18</v>
      </c>
      <c r="H109" t="s">
        <v>22</v>
      </c>
      <c r="I109" t="s">
        <v>23</v>
      </c>
    </row>
    <row r="110" spans="1:13" x14ac:dyDescent="0.25">
      <c r="B110" t="s">
        <v>198</v>
      </c>
      <c r="C110" t="s">
        <v>75</v>
      </c>
      <c r="D110" t="s">
        <v>19</v>
      </c>
      <c r="E110" t="s">
        <v>414</v>
      </c>
      <c r="F110" t="s">
        <v>244</v>
      </c>
      <c r="G110" t="s">
        <v>22</v>
      </c>
      <c r="H110" t="s">
        <v>36</v>
      </c>
      <c r="I110" t="s">
        <v>245</v>
      </c>
      <c r="J110" t="s">
        <v>23</v>
      </c>
      <c r="K110">
        <v>5</v>
      </c>
    </row>
    <row r="111" spans="1:13" x14ac:dyDescent="0.25">
      <c r="B111" t="s">
        <v>246</v>
      </c>
      <c r="C111" t="s">
        <v>28</v>
      </c>
      <c r="D111" t="s">
        <v>54</v>
      </c>
      <c r="E111" t="s">
        <v>247</v>
      </c>
      <c r="F111" t="s">
        <v>214</v>
      </c>
      <c r="G111" t="s">
        <v>215</v>
      </c>
      <c r="H111" t="s">
        <v>62</v>
      </c>
      <c r="I111" t="s">
        <v>244</v>
      </c>
    </row>
    <row r="112" spans="1:13" x14ac:dyDescent="0.25">
      <c r="B112" t="s">
        <v>22</v>
      </c>
      <c r="C112" t="s">
        <v>36</v>
      </c>
      <c r="D112" t="s">
        <v>245</v>
      </c>
      <c r="E112" t="s">
        <v>248</v>
      </c>
      <c r="F112" t="s">
        <v>239</v>
      </c>
      <c r="G112" t="s">
        <v>249</v>
      </c>
      <c r="H112" t="s">
        <v>205</v>
      </c>
      <c r="I112" t="s">
        <v>250</v>
      </c>
      <c r="J112" t="s">
        <v>251</v>
      </c>
      <c r="K112" t="s">
        <v>252</v>
      </c>
      <c r="L112" t="s">
        <v>253</v>
      </c>
    </row>
    <row r="113" spans="1:14" x14ac:dyDescent="0.25">
      <c r="B113" t="s">
        <v>222</v>
      </c>
      <c r="C113" t="s">
        <v>254</v>
      </c>
      <c r="D113">
        <v>2006</v>
      </c>
    </row>
    <row r="115" spans="1:14" x14ac:dyDescent="0.25">
      <c r="A115" t="s">
        <v>237</v>
      </c>
      <c r="B115" t="s">
        <v>206</v>
      </c>
      <c r="C115" t="s">
        <v>207</v>
      </c>
      <c r="D115" t="s">
        <v>225</v>
      </c>
      <c r="E115" t="s">
        <v>25</v>
      </c>
      <c r="F115" t="s">
        <v>36</v>
      </c>
      <c r="G115" t="s">
        <v>415</v>
      </c>
      <c r="H115" t="s">
        <v>416</v>
      </c>
    </row>
    <row r="116" spans="1:14" x14ac:dyDescent="0.25">
      <c r="B116" t="s">
        <v>417</v>
      </c>
    </row>
    <row r="117" spans="1:14" x14ac:dyDescent="0.25">
      <c r="B117" t="s">
        <v>21</v>
      </c>
      <c r="C117" t="s">
        <v>418</v>
      </c>
      <c r="D117" t="s">
        <v>143</v>
      </c>
      <c r="E117" t="s">
        <v>36</v>
      </c>
      <c r="F117" t="s">
        <v>387</v>
      </c>
      <c r="G117" t="s">
        <v>419</v>
      </c>
    </row>
    <row r="118" spans="1:14" x14ac:dyDescent="0.25">
      <c r="B118" t="s">
        <v>36</v>
      </c>
      <c r="C118" t="s">
        <v>79</v>
      </c>
      <c r="D118" t="s">
        <v>420</v>
      </c>
    </row>
    <row r="119" spans="1:14" x14ac:dyDescent="0.25">
      <c r="B119" t="s">
        <v>244</v>
      </c>
      <c r="C119" t="s">
        <v>22</v>
      </c>
      <c r="D119" t="s">
        <v>36</v>
      </c>
      <c r="E119" t="s">
        <v>245</v>
      </c>
      <c r="F119" t="s">
        <v>23</v>
      </c>
      <c r="G119">
        <v>3</v>
      </c>
      <c r="H119" t="s">
        <v>246</v>
      </c>
      <c r="I119" t="s">
        <v>28</v>
      </c>
      <c r="J119" t="s">
        <v>54</v>
      </c>
      <c r="K119" t="s">
        <v>421</v>
      </c>
      <c r="L119" t="s">
        <v>214</v>
      </c>
    </row>
    <row r="120" spans="1:14" x14ac:dyDescent="0.25">
      <c r="B120" t="s">
        <v>215</v>
      </c>
      <c r="C120" t="s">
        <v>62</v>
      </c>
      <c r="D120" t="s">
        <v>244</v>
      </c>
      <c r="E120" t="s">
        <v>22</v>
      </c>
      <c r="F120" t="s">
        <v>36</v>
      </c>
      <c r="G120" t="s">
        <v>245</v>
      </c>
      <c r="H120" t="s">
        <v>422</v>
      </c>
    </row>
    <row r="121" spans="1:14" x14ac:dyDescent="0.25">
      <c r="B121" t="s">
        <v>250</v>
      </c>
      <c r="C121" t="s">
        <v>227</v>
      </c>
      <c r="D121" t="s">
        <v>249</v>
      </c>
      <c r="E121" t="s">
        <v>239</v>
      </c>
      <c r="F121" t="s">
        <v>36</v>
      </c>
      <c r="G121" t="s">
        <v>423</v>
      </c>
      <c r="H121" t="s">
        <v>424</v>
      </c>
      <c r="I121" t="s">
        <v>253</v>
      </c>
    </row>
    <row r="122" spans="1:14" x14ac:dyDescent="0.25">
      <c r="B122" t="s">
        <v>425</v>
      </c>
      <c r="C122" t="s">
        <v>426</v>
      </c>
      <c r="D122" t="s">
        <v>222</v>
      </c>
      <c r="E122" t="s">
        <v>427</v>
      </c>
      <c r="F122">
        <v>2000</v>
      </c>
    </row>
    <row r="124" spans="1:14" x14ac:dyDescent="0.25">
      <c r="A124" t="s">
        <v>428</v>
      </c>
      <c r="B124" t="s">
        <v>225</v>
      </c>
      <c r="C124" t="s">
        <v>25</v>
      </c>
      <c r="D124" t="s">
        <v>36</v>
      </c>
      <c r="E124" t="s">
        <v>206</v>
      </c>
      <c r="F124" t="s">
        <v>207</v>
      </c>
    </row>
    <row r="125" spans="1:14" x14ac:dyDescent="0.25">
      <c r="B125" t="s">
        <v>429</v>
      </c>
    </row>
    <row r="126" spans="1:14" x14ac:dyDescent="0.25">
      <c r="B126" t="s">
        <v>339</v>
      </c>
      <c r="C126" t="s">
        <v>1</v>
      </c>
      <c r="D126" t="s">
        <v>430</v>
      </c>
      <c r="E126" t="s">
        <v>93</v>
      </c>
      <c r="F126" t="s">
        <v>145</v>
      </c>
      <c r="G126" t="s">
        <v>131</v>
      </c>
      <c r="H126">
        <v>640</v>
      </c>
      <c r="I126" t="s">
        <v>21</v>
      </c>
      <c r="J126" t="s">
        <v>385</v>
      </c>
      <c r="K126" t="s">
        <v>131</v>
      </c>
      <c r="L126">
        <v>2.5000000000000001E-2</v>
      </c>
      <c r="M126" t="s">
        <v>36</v>
      </c>
      <c r="N126" t="s">
        <v>431</v>
      </c>
    </row>
    <row r="127" spans="1:14" x14ac:dyDescent="0.25">
      <c r="B127" t="s">
        <v>212</v>
      </c>
      <c r="C127" t="s">
        <v>28</v>
      </c>
      <c r="D127" t="s">
        <v>432</v>
      </c>
      <c r="E127" t="s">
        <v>433</v>
      </c>
      <c r="F127" t="s">
        <v>216</v>
      </c>
      <c r="G127" t="s">
        <v>434</v>
      </c>
      <c r="H127" t="s">
        <v>222</v>
      </c>
      <c r="I127" t="s">
        <v>435</v>
      </c>
      <c r="J127">
        <v>2002</v>
      </c>
    </row>
    <row r="129" spans="1:12" x14ac:dyDescent="0.25">
      <c r="A129" t="s">
        <v>436</v>
      </c>
      <c r="B129" t="s">
        <v>225</v>
      </c>
      <c r="C129" t="s">
        <v>207</v>
      </c>
      <c r="D129" t="s">
        <v>206</v>
      </c>
      <c r="E129" t="s">
        <v>25</v>
      </c>
      <c r="F129" t="s">
        <v>36</v>
      </c>
      <c r="G129" t="s">
        <v>226</v>
      </c>
      <c r="H129" t="s">
        <v>227</v>
      </c>
    </row>
    <row r="130" spans="1:12" x14ac:dyDescent="0.25">
      <c r="B130" t="s">
        <v>228</v>
      </c>
    </row>
    <row r="131" spans="1:12" x14ac:dyDescent="0.25">
      <c r="B131" t="s">
        <v>21</v>
      </c>
      <c r="C131" t="s">
        <v>229</v>
      </c>
      <c r="D131" t="s">
        <v>93</v>
      </c>
      <c r="E131" t="s">
        <v>143</v>
      </c>
      <c r="F131" t="s">
        <v>144</v>
      </c>
      <c r="G131" t="s">
        <v>230</v>
      </c>
    </row>
    <row r="132" spans="1:12" x14ac:dyDescent="0.25">
      <c r="B132" t="s">
        <v>231</v>
      </c>
      <c r="C132" t="s">
        <v>232</v>
      </c>
      <c r="D132" t="s">
        <v>233</v>
      </c>
      <c r="E132" t="s">
        <v>234</v>
      </c>
      <c r="F132" t="s">
        <v>220</v>
      </c>
      <c r="G132" t="s">
        <v>235</v>
      </c>
      <c r="H132" t="s">
        <v>222</v>
      </c>
      <c r="I132" t="s">
        <v>236</v>
      </c>
      <c r="J132">
        <v>2001</v>
      </c>
    </row>
    <row r="135" spans="1:12" x14ac:dyDescent="0.25">
      <c r="A135">
        <v>3</v>
      </c>
      <c r="B135" t="s">
        <v>13</v>
      </c>
      <c r="C135" t="s">
        <v>437</v>
      </c>
    </row>
    <row r="137" spans="1:12" x14ac:dyDescent="0.25">
      <c r="A137" t="s">
        <v>256</v>
      </c>
      <c r="B137" t="s">
        <v>257</v>
      </c>
      <c r="C137" t="s">
        <v>258</v>
      </c>
    </row>
    <row r="138" spans="1:12" x14ac:dyDescent="0.25">
      <c r="B138" t="s">
        <v>259</v>
      </c>
      <c r="C138" t="s">
        <v>260</v>
      </c>
      <c r="D138" t="s">
        <v>36</v>
      </c>
      <c r="E138" t="s">
        <v>54</v>
      </c>
      <c r="F138" t="s">
        <v>261</v>
      </c>
      <c r="G138" t="s">
        <v>260</v>
      </c>
      <c r="H138" t="s">
        <v>17</v>
      </c>
      <c r="I138" t="s">
        <v>185</v>
      </c>
      <c r="J138" t="s">
        <v>262</v>
      </c>
    </row>
    <row r="139" spans="1:12" x14ac:dyDescent="0.25">
      <c r="B139" t="s">
        <v>36</v>
      </c>
      <c r="C139" t="s">
        <v>54</v>
      </c>
      <c r="D139" t="s">
        <v>137</v>
      </c>
      <c r="E139" t="s">
        <v>260</v>
      </c>
      <c r="F139" t="s">
        <v>17</v>
      </c>
      <c r="G139" t="s">
        <v>263</v>
      </c>
      <c r="H139" t="s">
        <v>264</v>
      </c>
    </row>
    <row r="141" spans="1:12" x14ac:dyDescent="0.25">
      <c r="A141" t="s">
        <v>265</v>
      </c>
      <c r="B141" t="s">
        <v>266</v>
      </c>
      <c r="C141" t="s">
        <v>267</v>
      </c>
    </row>
    <row r="142" spans="1:12" x14ac:dyDescent="0.25">
      <c r="B142" t="s">
        <v>268</v>
      </c>
      <c r="C142" t="s">
        <v>269</v>
      </c>
      <c r="D142" t="s">
        <v>255</v>
      </c>
      <c r="E142" t="s">
        <v>270</v>
      </c>
      <c r="F142" t="s">
        <v>271</v>
      </c>
    </row>
    <row r="143" spans="1:12" x14ac:dyDescent="0.25">
      <c r="B143" t="s">
        <v>86</v>
      </c>
      <c r="C143" t="s">
        <v>272</v>
      </c>
      <c r="D143" t="s">
        <v>273</v>
      </c>
      <c r="E143" t="s">
        <v>274</v>
      </c>
      <c r="F143" t="s">
        <v>84</v>
      </c>
      <c r="G143" t="s">
        <v>270</v>
      </c>
      <c r="H143" t="s">
        <v>192</v>
      </c>
      <c r="I143" t="s">
        <v>198</v>
      </c>
      <c r="J143" t="s">
        <v>54</v>
      </c>
      <c r="K143" t="s">
        <v>154</v>
      </c>
      <c r="L143" t="s">
        <v>36</v>
      </c>
    </row>
    <row r="144" spans="1:12" x14ac:dyDescent="0.25">
      <c r="B144" t="s">
        <v>160</v>
      </c>
      <c r="C144" t="s">
        <v>275</v>
      </c>
      <c r="D144" t="s">
        <v>36</v>
      </c>
      <c r="E144" t="s">
        <v>54</v>
      </c>
      <c r="F144" t="s">
        <v>276</v>
      </c>
      <c r="G144" t="s">
        <v>273</v>
      </c>
      <c r="H144" t="s">
        <v>274</v>
      </c>
      <c r="I144" t="s">
        <v>84</v>
      </c>
      <c r="J144" t="s">
        <v>270</v>
      </c>
      <c r="K144" t="s">
        <v>91</v>
      </c>
    </row>
    <row r="145" spans="1:12" x14ac:dyDescent="0.25">
      <c r="B145" t="s">
        <v>198</v>
      </c>
      <c r="C145" t="s">
        <v>54</v>
      </c>
      <c r="D145" t="s">
        <v>159</v>
      </c>
      <c r="E145" t="s">
        <v>277</v>
      </c>
    </row>
    <row r="147" spans="1:12" x14ac:dyDescent="0.25">
      <c r="A147" t="s">
        <v>280</v>
      </c>
      <c r="B147" t="s">
        <v>242</v>
      </c>
      <c r="C147" t="s">
        <v>82</v>
      </c>
    </row>
    <row r="148" spans="1:12" x14ac:dyDescent="0.25">
      <c r="B148">
        <v>1.2</v>
      </c>
      <c r="C148" t="s">
        <v>36</v>
      </c>
      <c r="D148">
        <v>2.5</v>
      </c>
      <c r="E148" t="s">
        <v>5</v>
      </c>
      <c r="F148" t="s">
        <v>173</v>
      </c>
      <c r="G148" t="s">
        <v>198</v>
      </c>
      <c r="H148" t="s">
        <v>54</v>
      </c>
      <c r="I148" t="s">
        <v>281</v>
      </c>
      <c r="J148" t="s">
        <v>36</v>
      </c>
      <c r="K148" t="s">
        <v>282</v>
      </c>
      <c r="L148" t="s">
        <v>283</v>
      </c>
    </row>
    <row r="149" spans="1:12" x14ac:dyDescent="0.25">
      <c r="B149" t="s">
        <v>36</v>
      </c>
      <c r="C149">
        <v>0.11</v>
      </c>
      <c r="D149" t="s">
        <v>93</v>
      </c>
      <c r="E149">
        <v>2.1</v>
      </c>
      <c r="F149" t="s">
        <v>5</v>
      </c>
      <c r="G149" t="s">
        <v>173</v>
      </c>
      <c r="H149" t="s">
        <v>198</v>
      </c>
      <c r="I149" t="s">
        <v>54</v>
      </c>
      <c r="J149" t="s">
        <v>284</v>
      </c>
    </row>
    <row r="151" spans="1:12" x14ac:dyDescent="0.25">
      <c r="A151" t="s">
        <v>285</v>
      </c>
      <c r="B151" t="s">
        <v>286</v>
      </c>
      <c r="C151" t="s">
        <v>287</v>
      </c>
    </row>
    <row r="152" spans="1:12" x14ac:dyDescent="0.25">
      <c r="B152" t="s">
        <v>86</v>
      </c>
      <c r="C152" t="s">
        <v>288</v>
      </c>
      <c r="D152" t="s">
        <v>267</v>
      </c>
      <c r="E152" t="s">
        <v>17</v>
      </c>
      <c r="F152" t="s">
        <v>54</v>
      </c>
      <c r="G152" t="s">
        <v>289</v>
      </c>
      <c r="H152" t="s">
        <v>290</v>
      </c>
      <c r="I152" t="s">
        <v>21</v>
      </c>
      <c r="J152" t="s">
        <v>159</v>
      </c>
      <c r="K152" t="s">
        <v>291</v>
      </c>
    </row>
    <row r="153" spans="1:12" x14ac:dyDescent="0.25">
      <c r="B153" t="s">
        <v>36</v>
      </c>
      <c r="C153" t="s">
        <v>54</v>
      </c>
      <c r="D153" t="s">
        <v>276</v>
      </c>
      <c r="E153" t="s">
        <v>292</v>
      </c>
      <c r="F153" t="s">
        <v>267</v>
      </c>
      <c r="G153" t="s">
        <v>17</v>
      </c>
      <c r="H153" t="s">
        <v>54</v>
      </c>
      <c r="I153" t="s">
        <v>293</v>
      </c>
      <c r="J153" t="s">
        <v>294</v>
      </c>
    </row>
    <row r="155" spans="1:12" x14ac:dyDescent="0.25">
      <c r="A155" t="s">
        <v>295</v>
      </c>
      <c r="B155" t="s">
        <v>296</v>
      </c>
      <c r="C155" t="s">
        <v>297</v>
      </c>
    </row>
    <row r="156" spans="1:12" x14ac:dyDescent="0.25">
      <c r="B156" t="s">
        <v>298</v>
      </c>
      <c r="C156" t="s">
        <v>299</v>
      </c>
      <c r="D156" t="s">
        <v>300</v>
      </c>
      <c r="E156" t="s">
        <v>299</v>
      </c>
      <c r="F156" t="s">
        <v>301</v>
      </c>
    </row>
    <row r="158" spans="1:12" x14ac:dyDescent="0.25">
      <c r="A158" t="s">
        <v>302</v>
      </c>
      <c r="B158" t="s">
        <v>303</v>
      </c>
    </row>
    <row r="159" spans="1:12" x14ac:dyDescent="0.25">
      <c r="B159" t="s">
        <v>304</v>
      </c>
      <c r="C159" t="s">
        <v>305</v>
      </c>
    </row>
    <row r="161" spans="1:12" x14ac:dyDescent="0.25">
      <c r="A161" t="s">
        <v>306</v>
      </c>
      <c r="B161" t="s">
        <v>307</v>
      </c>
      <c r="C161" t="s">
        <v>144</v>
      </c>
    </row>
    <row r="162" spans="1:12" x14ac:dyDescent="0.25">
      <c r="B162">
        <v>2048</v>
      </c>
      <c r="C162" t="s">
        <v>299</v>
      </c>
      <c r="D162">
        <v>480</v>
      </c>
      <c r="E162" t="s">
        <v>299</v>
      </c>
      <c r="F162">
        <v>512</v>
      </c>
    </row>
    <row r="164" spans="1:12" x14ac:dyDescent="0.25">
      <c r="A164" t="s">
        <v>308</v>
      </c>
      <c r="B164" t="s">
        <v>309</v>
      </c>
      <c r="C164" t="s">
        <v>17</v>
      </c>
      <c r="D164" t="s">
        <v>310</v>
      </c>
      <c r="E164" t="s">
        <v>311</v>
      </c>
    </row>
    <row r="165" spans="1:12" x14ac:dyDescent="0.25">
      <c r="B165" t="s">
        <v>86</v>
      </c>
      <c r="C165" t="s">
        <v>312</v>
      </c>
      <c r="D165" t="s">
        <v>311</v>
      </c>
      <c r="E165" t="s">
        <v>99</v>
      </c>
      <c r="F165" t="s">
        <v>313</v>
      </c>
      <c r="G165" t="s">
        <v>53</v>
      </c>
    </row>
    <row r="166" spans="1:12" x14ac:dyDescent="0.25">
      <c r="B166" t="s">
        <v>314</v>
      </c>
      <c r="C166" t="s">
        <v>315</v>
      </c>
      <c r="D166" t="s">
        <v>316</v>
      </c>
      <c r="E166" t="s">
        <v>317</v>
      </c>
      <c r="F166" t="s">
        <v>135</v>
      </c>
      <c r="G166" t="s">
        <v>136</v>
      </c>
      <c r="H166" t="s">
        <v>137</v>
      </c>
      <c r="I166" t="s">
        <v>17</v>
      </c>
      <c r="J166" t="s">
        <v>152</v>
      </c>
      <c r="K166" t="s">
        <v>318</v>
      </c>
    </row>
    <row r="167" spans="1:12" x14ac:dyDescent="0.25">
      <c r="B167" t="s">
        <v>36</v>
      </c>
      <c r="C167" t="s">
        <v>314</v>
      </c>
      <c r="D167" t="s">
        <v>319</v>
      </c>
      <c r="E167" t="s">
        <v>320</v>
      </c>
      <c r="F167" t="s">
        <v>317</v>
      </c>
      <c r="G167" t="s">
        <v>321</v>
      </c>
      <c r="H167" t="s">
        <v>322</v>
      </c>
      <c r="I167" t="s">
        <v>17</v>
      </c>
      <c r="J167" t="s">
        <v>321</v>
      </c>
      <c r="K167" t="s">
        <v>264</v>
      </c>
    </row>
    <row r="169" spans="1:12" x14ac:dyDescent="0.25">
      <c r="A169" t="s">
        <v>323</v>
      </c>
      <c r="B169" t="s">
        <v>324</v>
      </c>
      <c r="C169" t="s">
        <v>28</v>
      </c>
      <c r="D169" t="s">
        <v>325</v>
      </c>
      <c r="E169" t="s">
        <v>326</v>
      </c>
      <c r="F169" t="s">
        <v>17</v>
      </c>
      <c r="G169" t="s">
        <v>327</v>
      </c>
      <c r="H169" t="s">
        <v>328</v>
      </c>
    </row>
    <row r="170" spans="1:12" x14ac:dyDescent="0.25">
      <c r="B170" t="s">
        <v>329</v>
      </c>
      <c r="C170">
        <v>948</v>
      </c>
      <c r="D170" t="s">
        <v>438</v>
      </c>
      <c r="E170" t="s">
        <v>330</v>
      </c>
      <c r="F170" t="s">
        <v>54</v>
      </c>
      <c r="G170" t="s">
        <v>185</v>
      </c>
      <c r="H170" t="s">
        <v>331</v>
      </c>
      <c r="I170" t="s">
        <v>54</v>
      </c>
      <c r="J170" t="s">
        <v>186</v>
      </c>
      <c r="K170" t="s">
        <v>187</v>
      </c>
      <c r="L170" t="s">
        <v>332</v>
      </c>
    </row>
    <row r="171" spans="1:12" x14ac:dyDescent="0.25">
      <c r="B171" t="s">
        <v>333</v>
      </c>
      <c r="C171" t="s">
        <v>326</v>
      </c>
      <c r="D171" t="s">
        <v>325</v>
      </c>
      <c r="E171" t="s">
        <v>334</v>
      </c>
      <c r="F171" t="s">
        <v>93</v>
      </c>
      <c r="G171" t="s">
        <v>335</v>
      </c>
      <c r="H171">
        <v>7</v>
      </c>
      <c r="I171" t="s">
        <v>336</v>
      </c>
      <c r="J171" t="s">
        <v>337</v>
      </c>
      <c r="K171" t="s">
        <v>338</v>
      </c>
      <c r="L171" t="s">
        <v>339</v>
      </c>
    </row>
    <row r="172" spans="1:12" x14ac:dyDescent="0.25">
      <c r="B172" t="s">
        <v>54</v>
      </c>
      <c r="C172" t="s">
        <v>340</v>
      </c>
      <c r="D172" t="s">
        <v>341</v>
      </c>
    </row>
    <row r="174" spans="1:12" x14ac:dyDescent="0.25">
      <c r="A174" t="s">
        <v>342</v>
      </c>
      <c r="B174" t="s">
        <v>343</v>
      </c>
    </row>
    <row r="175" spans="1:12" x14ac:dyDescent="0.25">
      <c r="B175" t="s">
        <v>344</v>
      </c>
      <c r="C175" t="s">
        <v>345</v>
      </c>
      <c r="D175" t="s">
        <v>346</v>
      </c>
      <c r="E175" t="s">
        <v>347</v>
      </c>
      <c r="F175" t="s">
        <v>348</v>
      </c>
      <c r="G175" t="s">
        <v>349</v>
      </c>
      <c r="H175" t="s">
        <v>350</v>
      </c>
      <c r="I175" t="s">
        <v>39</v>
      </c>
    </row>
    <row r="176" spans="1:12" x14ac:dyDescent="0.25">
      <c r="B176" t="s">
        <v>351</v>
      </c>
      <c r="C176" t="s">
        <v>344</v>
      </c>
      <c r="D176" t="s">
        <v>345</v>
      </c>
      <c r="E176" t="s">
        <v>346</v>
      </c>
      <c r="F176" t="s">
        <v>347</v>
      </c>
      <c r="G176" t="s">
        <v>348</v>
      </c>
      <c r="H176" t="s">
        <v>349</v>
      </c>
      <c r="I176" t="s">
        <v>350</v>
      </c>
      <c r="J176" t="s">
        <v>352</v>
      </c>
    </row>
    <row r="179" spans="1:4" x14ac:dyDescent="0.25">
      <c r="A179">
        <v>4</v>
      </c>
      <c r="B179" t="s">
        <v>353</v>
      </c>
    </row>
    <row r="181" spans="1:4" x14ac:dyDescent="0.25">
      <c r="A181" t="s">
        <v>354</v>
      </c>
      <c r="B181" t="s">
        <v>355</v>
      </c>
      <c r="C181" t="s">
        <v>356</v>
      </c>
    </row>
    <row r="183" spans="1:4" x14ac:dyDescent="0.25">
      <c r="B183" t="s">
        <v>145</v>
      </c>
      <c r="C183" t="s">
        <v>131</v>
      </c>
      <c r="D183">
        <v>395</v>
      </c>
    </row>
    <row r="184" spans="1:4" x14ac:dyDescent="0.25">
      <c r="B184" t="s">
        <v>385</v>
      </c>
      <c r="C184" t="s">
        <v>131</v>
      </c>
      <c r="D184">
        <v>0.71</v>
      </c>
    </row>
    <row r="186" spans="1:4" x14ac:dyDescent="0.25">
      <c r="A186" t="s">
        <v>357</v>
      </c>
      <c r="B186" t="s">
        <v>358</v>
      </c>
      <c r="C186" t="s">
        <v>151</v>
      </c>
      <c r="D186" t="s">
        <v>359</v>
      </c>
    </row>
    <row r="188" spans="1:4" x14ac:dyDescent="0.25">
      <c r="B188" t="s">
        <v>141</v>
      </c>
      <c r="C188" t="s">
        <v>131</v>
      </c>
      <c r="D188">
        <v>14062</v>
      </c>
    </row>
    <row r="189" spans="1:4" x14ac:dyDescent="0.25">
      <c r="B189" t="s">
        <v>382</v>
      </c>
      <c r="C189" t="s">
        <v>131</v>
      </c>
      <c r="D189">
        <v>36.65</v>
      </c>
    </row>
    <row r="192" spans="1:4" x14ac:dyDescent="0.25">
      <c r="A192">
        <v>5</v>
      </c>
      <c r="B192" t="s">
        <v>216</v>
      </c>
      <c r="C192" t="s">
        <v>360</v>
      </c>
    </row>
    <row r="194" spans="2:15" x14ac:dyDescent="0.25">
      <c r="B194" t="s">
        <v>361</v>
      </c>
      <c r="C194" t="s">
        <v>362</v>
      </c>
      <c r="D194" t="s">
        <v>439</v>
      </c>
      <c r="E194" t="s">
        <v>440</v>
      </c>
      <c r="F194" t="s">
        <v>441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361</v>
      </c>
      <c r="C436" t="s">
        <v>362</v>
      </c>
      <c r="D436" t="s">
        <v>442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367</v>
      </c>
      <c r="C679" t="s">
        <v>28</v>
      </c>
      <c r="D679" t="s">
        <v>278</v>
      </c>
      <c r="E679" t="s">
        <v>258</v>
      </c>
    </row>
    <row r="681" spans="1:7" x14ac:dyDescent="0.25">
      <c r="A681" t="s">
        <v>368</v>
      </c>
      <c r="B681" t="s">
        <v>28</v>
      </c>
      <c r="C681" t="s">
        <v>443</v>
      </c>
      <c r="D681" t="s">
        <v>109</v>
      </c>
    </row>
    <row r="682" spans="1:7" x14ac:dyDescent="0.25">
      <c r="B682" t="s">
        <v>362</v>
      </c>
      <c r="C682" t="s">
        <v>369</v>
      </c>
      <c r="D682" t="s">
        <v>370</v>
      </c>
      <c r="E682" t="s">
        <v>372</v>
      </c>
      <c r="F682" t="s">
        <v>373</v>
      </c>
      <c r="G682" t="s">
        <v>374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368</v>
      </c>
      <c r="B925" t="s">
        <v>28</v>
      </c>
      <c r="C925" t="s">
        <v>441</v>
      </c>
      <c r="D925" t="s">
        <v>109</v>
      </c>
    </row>
    <row r="926" spans="1:8" x14ac:dyDescent="0.25">
      <c r="B926" t="s">
        <v>362</v>
      </c>
      <c r="C926" t="s">
        <v>369</v>
      </c>
      <c r="D926" t="s">
        <v>370</v>
      </c>
      <c r="E926" t="s">
        <v>444</v>
      </c>
      <c r="F926" t="s">
        <v>372</v>
      </c>
      <c r="G926" t="s">
        <v>373</v>
      </c>
      <c r="H926" t="s">
        <v>374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368</v>
      </c>
      <c r="B1169" t="s">
        <v>28</v>
      </c>
      <c r="C1169" t="s">
        <v>442</v>
      </c>
      <c r="D1169" t="s">
        <v>109</v>
      </c>
    </row>
    <row r="1170" spans="1:8" x14ac:dyDescent="0.25">
      <c r="B1170" t="s">
        <v>362</v>
      </c>
      <c r="C1170" t="s">
        <v>369</v>
      </c>
      <c r="D1170" t="s">
        <v>370</v>
      </c>
      <c r="E1170" t="s">
        <v>444</v>
      </c>
      <c r="F1170" t="s">
        <v>372</v>
      </c>
      <c r="G1170" t="s">
        <v>373</v>
      </c>
      <c r="H1170" t="s">
        <v>374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375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</vt:lpstr>
      <vt:lpstr>scalar!_12m</vt:lpstr>
      <vt:lpstr>scalar!_13m</vt:lpstr>
      <vt:lpstr>DNS!_395_1</vt:lpstr>
      <vt:lpstr>Kawamura_scalar!_395_diric</vt:lpstr>
      <vt:lpstr>scalar!diricm</vt:lpstr>
      <vt:lpstr>Diss.!diss1</vt:lpstr>
      <vt:lpstr>Rij!fluct1</vt:lpstr>
      <vt:lpstr>scalar!interfacem</vt:lpstr>
      <vt:lpstr>'&lt;U&gt;'!moy1_</vt:lpstr>
      <vt:lpstr>scalar!neumam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2018-04-09T14:33:45Z</dcterms:modified>
</cp:coreProperties>
</file>