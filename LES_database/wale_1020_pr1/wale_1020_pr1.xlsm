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lageul\Documents\stats\5.0_1020_cht_wale\"/>
    </mc:Choice>
  </mc:AlternateContent>
  <bookViews>
    <workbookView xWindow="480" yWindow="180" windowWidth="27795" windowHeight="14310"/>
  </bookViews>
  <sheets>
    <sheet name="Introduction" sheetId="8" r:id="rId1"/>
    <sheet name="&lt;U&gt;" sheetId="2" r:id="rId2"/>
    <sheet name="Rij" sheetId="3" r:id="rId3"/>
    <sheet name="Diss." sheetId="4" r:id="rId4"/>
    <sheet name="DNS" sheetId="1" r:id="rId5"/>
    <sheet name="scalar" sheetId="5" r:id="rId6"/>
    <sheet name="Kawamura_scalar" sheetId="7" r:id="rId7"/>
  </sheets>
  <definedNames>
    <definedName name="_11m" localSheetId="5">scalar!$A$238:$I$354</definedName>
    <definedName name="_12m_1" localSheetId="5">scalar!$A$356:$I$472</definedName>
    <definedName name="_395_1" localSheetId="4">DNS!$A$1:$M$837</definedName>
    <definedName name="_395_diric" localSheetId="6">Kawamura_scalar!$A$1:$N$1412</definedName>
    <definedName name="diricm" localSheetId="5">scalar!$A$2:$I$118</definedName>
    <definedName name="diss1_1" localSheetId="3">Diss.!$A$2:$C$87</definedName>
    <definedName name="fluct1_1" localSheetId="2">Rij!$A$2:$E$87</definedName>
    <definedName name="moy1_" localSheetId="1">'&lt;U&gt;'!$A$2:$C$87</definedName>
    <definedName name="neumam_1" localSheetId="5">scalar!$A$120:$I$236</definedName>
    <definedName name="robinm" localSheetId="5">scalar!#REF!</definedName>
  </definedNames>
  <calcPr calcId="162913"/>
</workbook>
</file>

<file path=xl/calcChain.xml><?xml version="1.0" encoding="utf-8"?>
<calcChain xmlns="http://schemas.openxmlformats.org/spreadsheetml/2006/main">
  <c r="E17" i="8" l="1"/>
  <c r="C15" i="8"/>
  <c r="E18" i="8"/>
  <c r="D16" i="8"/>
  <c r="D17" i="8" s="1"/>
  <c r="E14" i="8"/>
  <c r="H2" i="4" l="1"/>
  <c r="B95" i="7" l="1"/>
  <c r="B86" i="1"/>
  <c r="C145" i="1"/>
  <c r="C149" i="1"/>
  <c r="J84" i="5" l="1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M10" i="5" l="1"/>
  <c r="M9" i="5"/>
  <c r="M8" i="5"/>
  <c r="L2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2" i="5"/>
  <c r="M2" i="5" l="1"/>
  <c r="D30" i="4" l="1"/>
  <c r="D31" i="4"/>
  <c r="D32" i="4"/>
  <c r="D33" i="4"/>
  <c r="D34" i="4"/>
  <c r="D35" i="4"/>
  <c r="D36" i="4"/>
  <c r="D37" i="4"/>
  <c r="D38" i="4"/>
  <c r="D39" i="4"/>
  <c r="D40" i="4"/>
  <c r="G4" i="3" l="1"/>
  <c r="G3" i="3"/>
  <c r="G2" i="3"/>
  <c r="N9" i="5" l="1"/>
  <c r="N10" i="5"/>
  <c r="N8" i="5"/>
  <c r="L11" i="5" l="1" a="1"/>
  <c r="L12" i="5" s="1"/>
  <c r="L11" i="5" l="1"/>
  <c r="N13" i="5"/>
  <c r="M11" i="5"/>
  <c r="N11" i="5"/>
  <c r="M12" i="5"/>
  <c r="N12" i="5"/>
  <c r="L13" i="5"/>
  <c r="M13" i="5"/>
  <c r="P12" i="5" l="1"/>
  <c r="P11" i="5"/>
  <c r="P13" i="5"/>
  <c r="P2" i="5" s="1"/>
  <c r="H2" i="3"/>
  <c r="N2" i="5"/>
  <c r="P3" i="5" l="1"/>
  <c r="P5" i="5" s="1"/>
  <c r="P6" i="5" s="1"/>
  <c r="P4" i="5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020" type="6" refreshedVersion="6" background="1" saveData="1">
    <textPr prompt="0" codePage="852" sourceFile="D:\Users\Flageul\Documents\stats\dns\1020.txt" thousands="'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2" name="11m" type="6" refreshedVersion="6" background="1" refreshOnLoad="1" saveData="1">
    <textPr prompt="0" codePage="852" sourceFile="D:\Users\Flageul\Documents\stats\5.0_1020_cht_wale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2m" type="6" refreshedVersion="6" background="1" refreshOnLoad="1" saveData="1">
    <textPr prompt="0" codePage="852" sourceFile="D:\Users\Flageul\Documents\stats\5.0_1020_cht_wale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395_diric" type="6" refreshedVersion="6" backgroun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  <extLst>
      <ext xmlns:x15="http://schemas.microsoft.com/office/spreadsheetml/2010/11/main" uri="{DE250136-89BD-433C-8126-D09CA5730AF9}">
        <x15:connection id="" excludeFromRefreshAll="1"/>
      </ext>
    </extLst>
  </connection>
  <connection id="5" name="diricm" type="6" refreshedVersion="6" background="1" refreshOnLoad="1" saveData="1">
    <textPr prompt="0" codePage="852" sourceFile="D:\Users\Flageul\Documents\stats\5.0_1020_cht_wale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name="diss1" type="6" refreshedVersion="6" background="1" refreshOnLoad="1" saveData="1">
    <textPr prompt="0" codePage="852" sourceFile="D:\Users\Flageul\Documents\stats\5.0_1020_cht_wale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fluct1" type="6" refreshedVersion="6" background="1" refreshOnLoad="1" saveData="1">
    <textPr prompt="0" codePage="852" sourceFile="D:\Users\Flageul\Documents\stats\5.0_1020_cht_wale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moy1" type="6" refreshedVersion="6" background="1" refreshOnLoad="1" saveData="1">
    <textPr prompt="0" codePage="852" sourceFile="D:\Users\Flageul\Documents\stats\5.0_1020_cht_wale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neumam" type="6" refreshedVersion="6" background="1" refreshOnLoad="1" saveData="1">
    <textPr prompt="0" codePage="852" sourceFile="D:\Users\Flageul\Documents\stats\5.0_1020_cht_wale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<sst xmlns="http://schemas.openxmlformats.org/spreadsheetml/2006/main" count="1631" uniqueCount="545">
  <si>
    <t>diss_tot_sat</t>
  </si>
  <si>
    <t>DNS</t>
  </si>
  <si>
    <t>diss(wall)</t>
  </si>
  <si>
    <t>dns</t>
  </si>
  <si>
    <t>error in %</t>
  </si>
  <si>
    <t>wall</t>
  </si>
  <si>
    <t>erreur en %</t>
  </si>
  <si>
    <t>matrix</t>
  </si>
  <si>
    <t>inverse</t>
  </si>
  <si>
    <t>df</t>
  </si>
  <si>
    <t>f</t>
  </si>
  <si>
    <t>d2f</t>
  </si>
  <si>
    <t>diss</t>
  </si>
  <si>
    <t>error</t>
  </si>
  <si>
    <t>average</t>
  </si>
  <si>
    <t>k</t>
  </si>
  <si>
    <t>d2k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</si>
  <si>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</si>
  <si>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</si>
  <si>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</si>
  <si>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</si>
  <si>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</si>
  <si>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</si>
  <si>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</si>
  <si>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</si>
  <si>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</si>
  <si>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</si>
  <si>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</si>
  <si>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</si>
  <si>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</si>
  <si>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</si>
  <si>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</si>
  <si>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</si>
  <si>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</si>
  <si>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</si>
  <si>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</si>
  <si>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</si>
  <si>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</si>
  <si>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</si>
  <si>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</si>
  <si>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</si>
  <si>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</si>
  <si>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</si>
  <si>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</si>
  <si>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</si>
  <si>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</si>
  <si>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</si>
  <si>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</si>
  <si>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</si>
  <si>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</si>
  <si>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</si>
  <si>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</si>
  <si>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</si>
  <si>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</si>
  <si>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</si>
  <si>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</si>
  <si>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</si>
  <si>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</si>
  <si>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</si>
  <si>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</si>
  <si>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</si>
  <si>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</si>
  <si>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</si>
  <si>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</si>
  <si>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</si>
  <si>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</si>
  <si>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</si>
  <si>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</si>
  <si>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</si>
  <si>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</si>
  <si>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</si>
  <si>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</si>
  <si>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</si>
  <si>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</si>
  <si>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</si>
  <si>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</si>
  <si>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</si>
  <si>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</si>
  <si>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</si>
  <si>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</si>
  <si>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</si>
  <si>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</si>
  <si>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</si>
  <si>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</si>
  <si>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</si>
  <si>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</si>
  <si>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</si>
  <si>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</si>
  <si>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</si>
  <si>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</si>
  <si>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</si>
  <si>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</si>
  <si>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</si>
  <si>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</si>
  <si>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</si>
  <si>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</si>
  <si>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</si>
  <si>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</si>
  <si>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</si>
  <si>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</si>
  <si>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</si>
  <si>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</si>
  <si>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</si>
  <si>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</si>
  <si>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</si>
  <si>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</si>
  <si>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</si>
  <si>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</si>
  <si>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</si>
  <si>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</si>
  <si>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</si>
  <si>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</si>
  <si>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</si>
  <si>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</si>
  <si>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</si>
  <si>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</si>
  <si>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</si>
  <si>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</si>
  <si>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</si>
  <si>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</si>
  <si>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</si>
  <si>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</si>
  <si>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</si>
  <si>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</si>
  <si>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</si>
  <si>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</si>
  <si>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</si>
  <si>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</si>
  <si>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</si>
  <si>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</si>
  <si>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</si>
  <si>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</si>
  <si>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</si>
  <si>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</si>
  <si>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</si>
  <si>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</si>
  <si>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</si>
  <si>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</si>
  <si>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</si>
  <si>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</si>
  <si>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</si>
  <si>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</si>
  <si>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</si>
  <si>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</si>
  <si>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</si>
  <si>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</si>
  <si>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</si>
  <si>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</si>
  <si>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</si>
  <si>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</si>
  <si>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</si>
  <si>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</si>
  <si>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</si>
  <si>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</si>
  <si>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</si>
  <si>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</si>
  <si>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</si>
  <si>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</si>
  <si>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</si>
  <si>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</si>
  <si>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</si>
  <si>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</si>
  <si>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</si>
  <si>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</si>
  <si>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</si>
  <si>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</si>
  <si>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</si>
  <si>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</si>
  <si>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</si>
  <si>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</si>
  <si>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</si>
  <si>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</si>
  <si>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</si>
  <si>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</si>
  <si>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</si>
  <si>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</si>
  <si>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</si>
  <si>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</si>
  <si>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</si>
  <si>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</si>
  <si>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</si>
  <si>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</si>
  <si>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</si>
  <si>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</si>
  <si>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</si>
  <si>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</si>
  <si>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</si>
  <si>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</si>
  <si>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</si>
  <si>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</si>
  <si>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</si>
  <si>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</si>
  <si>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</si>
  <si>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</si>
  <si>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</si>
  <si>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</si>
  <si>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</si>
  <si>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</si>
  <si>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</si>
  <si>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condition</t>
  </si>
  <si>
    <t>adopted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</si>
  <si>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</si>
  <si>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</si>
  <si>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</si>
  <si>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</si>
  <si>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</si>
  <si>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</si>
  <si>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</si>
  <si>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</si>
  <si>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</si>
  <si>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</si>
  <si>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</si>
  <si>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</si>
  <si>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</si>
  <si>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</si>
  <si>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</si>
  <si>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</si>
  <si>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</si>
  <si>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</si>
  <si>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</si>
  <si>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</si>
  <si>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</si>
  <si>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</si>
  <si>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</si>
  <si>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</si>
  <si>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</si>
  <si>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</si>
  <si>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</si>
  <si>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</si>
  <si>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</si>
  <si>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</si>
  <si>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</si>
  <si>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</si>
  <si>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</si>
  <si>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</si>
  <si>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</si>
  <si>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</si>
  <si>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</si>
  <si>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</si>
  <si>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</si>
  <si>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</si>
  <si>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</si>
  <si>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</si>
  <si>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</si>
  <si>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</si>
  <si>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</si>
  <si>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</si>
  <si>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</si>
  <si>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</si>
  <si>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</si>
  <si>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</si>
  <si>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</si>
  <si>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</si>
  <si>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</si>
  <si>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</si>
  <si>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</si>
  <si>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</si>
  <si>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</si>
  <si>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</si>
  <si>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</si>
  <si>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</si>
  <si>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</si>
  <si>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</si>
  <si>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</si>
  <si>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</si>
  <si>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</si>
  <si>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</si>
  <si>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</si>
  <si>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</si>
  <si>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</si>
  <si>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</si>
  <si>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</si>
  <si>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</si>
  <si>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</si>
  <si>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</si>
  <si>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</si>
  <si>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</si>
  <si>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</si>
  <si>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</si>
  <si>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</si>
  <si>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</si>
  <si>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</si>
  <si>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</si>
  <si>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</si>
  <si>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</si>
  <si>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</si>
  <si>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transport</t>
  </si>
  <si>
    <t>Abe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</si>
  <si>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</si>
  <si>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</si>
  <si>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</si>
  <si>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</si>
  <si>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</si>
  <si>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</si>
  <si>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</si>
  <si>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</si>
  <si>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</si>
  <si>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</si>
  <si>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</si>
  <si>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</si>
  <si>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</si>
  <si>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</si>
  <si>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</si>
  <si>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</si>
  <si>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</si>
  <si>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</si>
  <si>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</si>
  <si>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</si>
  <si>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</si>
  <si>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</si>
  <si>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</si>
  <si>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</si>
  <si>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</si>
  <si>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</si>
  <si>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</si>
  <si>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</si>
  <si>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</si>
  <si>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</si>
  <si>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</si>
  <si>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</si>
  <si>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</si>
  <si>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</si>
  <si>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</si>
  <si>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</si>
  <si>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</si>
  <si>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</si>
  <si>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</si>
  <si>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</si>
  <si>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</si>
  <si>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</si>
  <si>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</si>
  <si>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</si>
  <si>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</si>
  <si>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</si>
  <si>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</si>
  <si>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</si>
  <si>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</si>
  <si>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</si>
  <si>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</si>
  <si>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</si>
  <si>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</si>
  <si>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</si>
  <si>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</si>
  <si>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</si>
  <si>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</si>
  <si>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</si>
  <si>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</si>
  <si>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</si>
  <si>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</si>
  <si>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</si>
  <si>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</si>
  <si>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</si>
  <si>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</si>
  <si>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</si>
  <si>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</si>
  <si>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</si>
  <si>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</si>
  <si>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</si>
  <si>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</si>
  <si>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</si>
  <si>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</si>
  <si>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</si>
  <si>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</si>
  <si>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</si>
  <si>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</si>
  <si>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</si>
  <si>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</si>
  <si>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</si>
  <si>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</si>
  <si>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</si>
  <si>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</si>
  <si>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</si>
  <si>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</si>
  <si>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</si>
  <si>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</si>
  <si>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</si>
  <si>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</si>
  <si>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</si>
  <si>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</si>
  <si>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</si>
  <si>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</si>
  <si>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</si>
  <si>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</si>
  <si>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</si>
  <si>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</si>
  <si>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</si>
  <si>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</si>
  <si>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</si>
  <si>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</si>
  <si>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</si>
  <si>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</si>
  <si>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</si>
  <si>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</si>
  <si>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</si>
  <si>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</si>
  <si>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</si>
  <si>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</si>
  <si>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</si>
  <si>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</si>
  <si>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</si>
  <si>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</si>
  <si>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</si>
  <si>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</si>
  <si>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</si>
  <si>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</si>
  <si>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</si>
  <si>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</si>
  <si>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</si>
  <si>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</si>
  <si>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</si>
  <si>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</si>
  <si>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</si>
  <si>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</si>
  <si>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</si>
  <si>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</si>
  <si>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</si>
  <si>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</si>
  <si>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</si>
  <si>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</si>
  <si>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</si>
  <si>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</si>
  <si>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</si>
  <si>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</si>
  <si>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</si>
  <si>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</si>
  <si>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</si>
  <si>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</si>
  <si>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</si>
  <si>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</si>
  <si>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</si>
  <si>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</si>
  <si>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</si>
  <si>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</si>
  <si>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</si>
  <si>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</si>
  <si>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</si>
  <si>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</si>
  <si>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</si>
  <si>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</si>
  <si>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</si>
  <si>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</si>
  <si>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</si>
  <si>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</si>
  <si>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</si>
  <si>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</si>
  <si>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</si>
  <si>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</si>
  <si>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</si>
  <si>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</si>
  <si>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</si>
  <si>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</si>
  <si>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</si>
  <si>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</si>
  <si>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1998-2006</t>
  </si>
  <si>
    <t>Chiba-ken278-8510</t>
  </si>
  <si>
    <t>November24,2006</t>
  </si>
  <si>
    <t>ch1020_4th</t>
  </si>
  <si>
    <t>Hiroyuki</t>
  </si>
  <si>
    <t>Research</t>
  </si>
  <si>
    <t>Group</t>
  </si>
  <si>
    <t>Aerospace</t>
  </si>
  <si>
    <t>Exploration</t>
  </si>
  <si>
    <t>Agency</t>
  </si>
  <si>
    <t>Jindaiji-higashi,</t>
  </si>
  <si>
    <t>Chofu,</t>
  </si>
  <si>
    <t>Tokyo182-8522,</t>
  </si>
  <si>
    <t>habe@chofu.jaxa.jp</t>
  </si>
  <si>
    <t>p</t>
  </si>
  <si>
    <t>Um*2delta/nu</t>
  </si>
  <si>
    <t>H,</t>
  </si>
  <si>
    <t>H</t>
  </si>
  <si>
    <t>Surface heat-flux fluctuations in a turbulent channel flow</t>
  </si>
  <si>
    <t>Re_tau=1020</t>
  </si>
  <si>
    <t>Pr=0.025</t>
  </si>
  <si>
    <t>0.71,"</t>
  </si>
  <si>
    <t>Int.</t>
  </si>
  <si>
    <t>Fluid</t>
  </si>
  <si>
    <t>Flow,</t>
  </si>
  <si>
    <t>vol.25,</t>
  </si>
  <si>
    <t>pp.404-419,2004.</t>
  </si>
  <si>
    <t>and4.25</t>
  </si>
  <si>
    <t>z-directions</t>
  </si>
  <si>
    <t>to7.32</t>
  </si>
  <si>
    <t>third-order</t>
  </si>
  <si>
    <t>Runge-Kutta</t>
  </si>
  <si>
    <t>12.8*delta</t>
  </si>
  <si>
    <t>x2*delta</t>
  </si>
  <si>
    <t>x6.4*delta.</t>
  </si>
  <si>
    <t>x448</t>
  </si>
  <si>
    <t>x1536</t>
  </si>
  <si>
    <t>About13,950</t>
  </si>
  <si>
    <t>about20</t>
  </si>
  <si>
    <t>Computation</t>
  </si>
  <si>
    <t>made</t>
  </si>
  <si>
    <t>Simulator</t>
  </si>
  <si>
    <t>III</t>
  </si>
  <si>
    <t>Center</t>
  </si>
  <si>
    <t>Agency.</t>
  </si>
  <si>
    <t>diricm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</si>
  <si>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</si>
  <si>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</si>
  <si>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</si>
  <si>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</si>
  <si>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</si>
  <si>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</si>
  <si>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</si>
  <si>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</si>
  <si>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</si>
  <si>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</si>
  <si>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</si>
  <si>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</si>
  <si>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</si>
  <si>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</si>
  <si>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</si>
  <si>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</si>
  <si>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</si>
  <si>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</si>
  <si>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</si>
  <si>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</si>
  <si>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</si>
  <si>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</si>
  <si>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diric</t>
  </si>
  <si>
    <t>No fluid-solid coupling, imposed temperature at the fluid boundary.</t>
  </si>
  <si>
    <t>neuma</t>
  </si>
  <si>
    <t>No fluid-solid coupling, imposed heat flux at the fluid boundary.</t>
  </si>
  <si>
    <t>Fluid-solid coupling, imposed heat flux at the outer wall, fluid-solid thermal properties ratios are equal to one.</t>
  </si>
  <si>
    <t>"11"</t>
  </si>
  <si>
    <t>"12"</t>
  </si>
  <si>
    <t>Fluid-solid coupling, imposed heat flux at the outer wall.</t>
  </si>
  <si>
    <t>Fluid-to-solid thermal diffusivity ratio G=5</t>
  </si>
  <si>
    <t>Thermal activity ratio K = 5</t>
  </si>
  <si>
    <t>U</t>
  </si>
  <si>
    <t>mu_t / mu</t>
  </si>
  <si>
    <t>Rxx</t>
  </si>
  <si>
    <t>Ryy</t>
  </si>
  <si>
    <t>Rzz</t>
  </si>
  <si>
    <t>-Rxy</t>
  </si>
  <si>
    <t>SGS Diss.</t>
  </si>
  <si>
    <t>T</t>
  </si>
  <si>
    <t>T'**2</t>
  </si>
  <si>
    <t>u'T'</t>
  </si>
  <si>
    <t>v'T'</t>
  </si>
  <si>
    <t>w'T'</t>
  </si>
  <si>
    <t>Relative y-Diss</t>
  </si>
  <si>
    <t>4 passive scalars transported with a Prandtl number of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</si>
</sst>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E+00"/>
    <numFmt numFmtId="165" formatCode="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'&lt;U&gt;'!$B$2:$B$87</c:f>
              <c:numCache>
                <c:formatCode>General</c:formatCode>
                <c:ptCount val="86"/>
                <c:pt idx="0">
                  <c:v>0.50012813249931598</c:v>
                </c:pt>
                <c:pt idx="1">
                  <c:v>1.5432641163468299</c:v>
                </c:pt>
                <c:pt idx="2">
                  <c:v>2.67065590672633</c:v>
                </c:pt>
                <c:pt idx="3">
                  <c:v>3.8710742690983899</c:v>
                </c:pt>
                <c:pt idx="4">
                  <c:v>5.1180375705746997</c:v>
                </c:pt>
                <c:pt idx="5">
                  <c:v>6.3705302978263099</c:v>
                </c:pt>
                <c:pt idx="6">
                  <c:v>7.5809661276200204</c:v>
                </c:pt>
                <c:pt idx="7">
                  <c:v>8.7075667177929503</c:v>
                </c:pt>
                <c:pt idx="8">
                  <c:v>9.7241086665321692</c:v>
                </c:pt>
                <c:pt idx="9">
                  <c:v>10.621950569573499</c:v>
                </c:pt>
                <c:pt idx="10">
                  <c:v>11.405643401426399</c:v>
                </c:pt>
                <c:pt idx="11">
                  <c:v>12.0867461751489</c:v>
                </c:pt>
                <c:pt idx="12">
                  <c:v>12.6790678052341</c:v>
                </c:pt>
                <c:pt idx="13">
                  <c:v>13.1960573540014</c:v>
                </c:pt>
                <c:pt idx="14">
                  <c:v>13.6497657425263</c:v>
                </c:pt>
                <c:pt idx="15">
                  <c:v>14.0506014473298</c:v>
                </c:pt>
                <c:pt idx="16">
                  <c:v>14.407431192959001</c:v>
                </c:pt>
                <c:pt idx="17">
                  <c:v>14.727782162498</c:v>
                </c:pt>
                <c:pt idx="18">
                  <c:v>15.0180607150582</c:v>
                </c:pt>
                <c:pt idx="19">
                  <c:v>15.2837603737326</c:v>
                </c:pt>
                <c:pt idx="20">
                  <c:v>15.529645053078101</c:v>
                </c:pt>
                <c:pt idx="21">
                  <c:v>15.759874512167499</c:v>
                </c:pt>
                <c:pt idx="22">
                  <c:v>15.978096793679599</c:v>
                </c:pt>
                <c:pt idx="23">
                  <c:v>16.187487840652398</c:v>
                </c:pt>
                <c:pt idx="24">
                  <c:v>16.390766352765599</c:v>
                </c:pt>
                <c:pt idx="25">
                  <c:v>16.5902383551878</c:v>
                </c:pt>
                <c:pt idx="26">
                  <c:v>16.787907795344999</c:v>
                </c:pt>
                <c:pt idx="27">
                  <c:v>16.9856102494632</c:v>
                </c:pt>
                <c:pt idx="28">
                  <c:v>17.185045936528301</c:v>
                </c:pt>
                <c:pt idx="29">
                  <c:v>17.387740101533701</c:v>
                </c:pt>
                <c:pt idx="30">
                  <c:v>17.595011652217099</c:v>
                </c:pt>
                <c:pt idx="31">
                  <c:v>17.807961604174402</c:v>
                </c:pt>
                <c:pt idx="32">
                  <c:v>18.027677767417</c:v>
                </c:pt>
                <c:pt idx="33">
                  <c:v>18.246098132694399</c:v>
                </c:pt>
                <c:pt idx="34">
                  <c:v>18.454947750708602</c:v>
                </c:pt>
                <c:pt idx="35">
                  <c:v>18.654910010449999</c:v>
                </c:pt>
                <c:pt idx="36">
                  <c:v>18.8468729874667</c:v>
                </c:pt>
                <c:pt idx="37">
                  <c:v>19.0315464819178</c:v>
                </c:pt>
                <c:pt idx="38">
                  <c:v>19.2097261302611</c:v>
                </c:pt>
                <c:pt idx="39">
                  <c:v>19.3820854172987</c:v>
                </c:pt>
                <c:pt idx="40">
                  <c:v>19.549249957589499</c:v>
                </c:pt>
                <c:pt idx="41">
                  <c:v>19.711568048421</c:v>
                </c:pt>
                <c:pt idx="42">
                  <c:v>19.869059498169801</c:v>
                </c:pt>
                <c:pt idx="43">
                  <c:v>20.022044542256499</c:v>
                </c:pt>
                <c:pt idx="44">
                  <c:v>20.170742723520998</c:v>
                </c:pt>
                <c:pt idx="45">
                  <c:v>20.315355427124899</c:v>
                </c:pt>
                <c:pt idx="46">
                  <c:v>20.4560708326451</c:v>
                </c:pt>
                <c:pt idx="47">
                  <c:v>20.593034201509798</c:v>
                </c:pt>
                <c:pt idx="48">
                  <c:v>20.726460124464499</c:v>
                </c:pt>
                <c:pt idx="49">
                  <c:v>20.856403074545</c:v>
                </c:pt>
                <c:pt idx="50">
                  <c:v>20.9829290796728</c:v>
                </c:pt>
                <c:pt idx="51">
                  <c:v>21.106145435220999</c:v>
                </c:pt>
                <c:pt idx="52">
                  <c:v>21.226175943542898</c:v>
                </c:pt>
                <c:pt idx="53">
                  <c:v>21.343066824183701</c:v>
                </c:pt>
                <c:pt idx="54">
                  <c:v>21.4568808036692</c:v>
                </c:pt>
                <c:pt idx="55">
                  <c:v>21.5676211833953</c:v>
                </c:pt>
                <c:pt idx="56">
                  <c:v>21.675304470342699</c:v>
                </c:pt>
                <c:pt idx="57">
                  <c:v>21.779948822189699</c:v>
                </c:pt>
                <c:pt idx="58">
                  <c:v>21.881527827767702</c:v>
                </c:pt>
                <c:pt idx="59">
                  <c:v>21.980028281492299</c:v>
                </c:pt>
                <c:pt idx="60">
                  <c:v>22.075549225246199</c:v>
                </c:pt>
                <c:pt idx="61">
                  <c:v>22.168199605100199</c:v>
                </c:pt>
                <c:pt idx="62">
                  <c:v>22.257799494967699</c:v>
                </c:pt>
                <c:pt idx="63">
                  <c:v>22.344231695287299</c:v>
                </c:pt>
                <c:pt idx="64">
                  <c:v>22.427509411643499</c:v>
                </c:pt>
                <c:pt idx="65">
                  <c:v>22.507753144993501</c:v>
                </c:pt>
                <c:pt idx="66">
                  <c:v>22.585004162788302</c:v>
                </c:pt>
                <c:pt idx="67">
                  <c:v>22.659229451067301</c:v>
                </c:pt>
                <c:pt idx="68">
                  <c:v>22.7303712353986</c:v>
                </c:pt>
                <c:pt idx="69">
                  <c:v>22.798370090652899</c:v>
                </c:pt>
                <c:pt idx="70">
                  <c:v>22.863189701473001</c:v>
                </c:pt>
                <c:pt idx="71">
                  <c:v>22.9247689920313</c:v>
                </c:pt>
                <c:pt idx="72">
                  <c:v>22.9829940641627</c:v>
                </c:pt>
                <c:pt idx="73">
                  <c:v>23.037724608533502</c:v>
                </c:pt>
                <c:pt idx="74">
                  <c:v>23.088765842774301</c:v>
                </c:pt>
                <c:pt idx="75">
                  <c:v>23.135960950570901</c:v>
                </c:pt>
                <c:pt idx="76">
                  <c:v>23.179225746322999</c:v>
                </c:pt>
                <c:pt idx="77">
                  <c:v>23.218563531426799</c:v>
                </c:pt>
                <c:pt idx="78">
                  <c:v>23.253931387733001</c:v>
                </c:pt>
                <c:pt idx="79">
                  <c:v>23.285190656605799</c:v>
                </c:pt>
                <c:pt idx="80">
                  <c:v>23.312238994766599</c:v>
                </c:pt>
                <c:pt idx="81">
                  <c:v>23.334988915219</c:v>
                </c:pt>
                <c:pt idx="82">
                  <c:v>23.353334773288001</c:v>
                </c:pt>
                <c:pt idx="83">
                  <c:v>23.3671923833734</c:v>
                </c:pt>
                <c:pt idx="84">
                  <c:v>23.376487464063299</c:v>
                </c:pt>
                <c:pt idx="85">
                  <c:v>23.381182049302399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78-4033-904A-D8F7AB5BEDB8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1F78-4033-904A-D8F7AB5BEDB8}"/>
              </c:ext>
            </c:extLst>
          </c:dPt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DNS!$C$155:$C$378</c:f>
              <c:numCache>
                <c:formatCode>0.00E+00</c:formatCode>
                <c:ptCount val="224"/>
                <c:pt idx="0">
                  <c:v>0.153892</c:v>
                </c:pt>
                <c:pt idx="1">
                  <c:v>0.46556199999999998</c:v>
                </c:pt>
                <c:pt idx="2">
                  <c:v>0.78567699999999996</c:v>
                </c:pt>
                <c:pt idx="3">
                  <c:v>1.11537</c:v>
                </c:pt>
                <c:pt idx="4">
                  <c:v>1.4556800000000001</c:v>
                </c:pt>
                <c:pt idx="5">
                  <c:v>1.80749</c:v>
                </c:pt>
                <c:pt idx="6">
                  <c:v>2.1715100000000001</c:v>
                </c:pt>
                <c:pt idx="7">
                  <c:v>2.5482200000000002</c:v>
                </c:pt>
                <c:pt idx="8">
                  <c:v>2.9378000000000002</c:v>
                </c:pt>
                <c:pt idx="9">
                  <c:v>3.3401299999999998</c:v>
                </c:pt>
                <c:pt idx="10">
                  <c:v>3.75468</c:v>
                </c:pt>
                <c:pt idx="11">
                  <c:v>4.1805599999999998</c:v>
                </c:pt>
                <c:pt idx="12">
                  <c:v>4.6164699999999996</c:v>
                </c:pt>
                <c:pt idx="13">
                  <c:v>5.0607100000000003</c:v>
                </c:pt>
                <c:pt idx="14">
                  <c:v>5.5112399999999999</c:v>
                </c:pt>
                <c:pt idx="15">
                  <c:v>5.9656900000000004</c:v>
                </c:pt>
                <c:pt idx="16">
                  <c:v>6.4215099999999996</c:v>
                </c:pt>
                <c:pt idx="17">
                  <c:v>6.87601</c:v>
                </c:pt>
                <c:pt idx="18">
                  <c:v>7.3264500000000004</c:v>
                </c:pt>
                <c:pt idx="19">
                  <c:v>7.7701900000000004</c:v>
                </c:pt>
                <c:pt idx="20">
                  <c:v>8.2047699999999999</c:v>
                </c:pt>
                <c:pt idx="21">
                  <c:v>8.6279500000000002</c:v>
                </c:pt>
                <c:pt idx="22">
                  <c:v>9.0378399999999992</c:v>
                </c:pt>
                <c:pt idx="23">
                  <c:v>9.4328800000000008</c:v>
                </c:pt>
                <c:pt idx="24">
                  <c:v>9.8118800000000004</c:v>
                </c:pt>
                <c:pt idx="25">
                  <c:v>10.173999999999999</c:v>
                </c:pt>
                <c:pt idx="26">
                  <c:v>10.5189</c:v>
                </c:pt>
                <c:pt idx="27">
                  <c:v>10.846299999999999</c:v>
                </c:pt>
                <c:pt idx="28">
                  <c:v>11.1563</c:v>
                </c:pt>
                <c:pt idx="29">
                  <c:v>11.449299999999999</c:v>
                </c:pt>
                <c:pt idx="30">
                  <c:v>11.7258</c:v>
                </c:pt>
                <c:pt idx="31">
                  <c:v>11.9864</c:v>
                </c:pt>
                <c:pt idx="32">
                  <c:v>12.2319</c:v>
                </c:pt>
                <c:pt idx="33">
                  <c:v>12.463200000000001</c:v>
                </c:pt>
                <c:pt idx="34">
                  <c:v>12.681100000000001</c:v>
                </c:pt>
                <c:pt idx="35">
                  <c:v>12.8864</c:v>
                </c:pt>
                <c:pt idx="36">
                  <c:v>13.0801</c:v>
                </c:pt>
                <c:pt idx="37">
                  <c:v>13.263</c:v>
                </c:pt>
                <c:pt idx="38">
                  <c:v>13.4359</c:v>
                </c:pt>
                <c:pt idx="39">
                  <c:v>13.5997</c:v>
                </c:pt>
                <c:pt idx="40">
                  <c:v>13.7552</c:v>
                </c:pt>
                <c:pt idx="41">
                  <c:v>13.903</c:v>
                </c:pt>
                <c:pt idx="42">
                  <c:v>14.043799999999999</c:v>
                </c:pt>
                <c:pt idx="43">
                  <c:v>14.1784</c:v>
                </c:pt>
                <c:pt idx="44">
                  <c:v>14.3073</c:v>
                </c:pt>
                <c:pt idx="45">
                  <c:v>14.430999999999999</c:v>
                </c:pt>
                <c:pt idx="46">
                  <c:v>14.5502</c:v>
                </c:pt>
                <c:pt idx="47">
                  <c:v>14.6652</c:v>
                </c:pt>
                <c:pt idx="48">
                  <c:v>14.776400000000001</c:v>
                </c:pt>
                <c:pt idx="49">
                  <c:v>14.884399999999999</c:v>
                </c:pt>
                <c:pt idx="50">
                  <c:v>14.9894</c:v>
                </c:pt>
                <c:pt idx="51">
                  <c:v>15.091699999999999</c:v>
                </c:pt>
                <c:pt idx="52">
                  <c:v>15.191599999999999</c:v>
                </c:pt>
                <c:pt idx="53">
                  <c:v>15.289300000000001</c:v>
                </c:pt>
                <c:pt idx="54">
                  <c:v>15.3851</c:v>
                </c:pt>
                <c:pt idx="55">
                  <c:v>15.479100000000001</c:v>
                </c:pt>
                <c:pt idx="56">
                  <c:v>15.5715</c:v>
                </c:pt>
                <c:pt idx="57">
                  <c:v>15.6625</c:v>
                </c:pt>
                <c:pt idx="58">
                  <c:v>15.7521</c:v>
                </c:pt>
                <c:pt idx="59">
                  <c:v>15.8405</c:v>
                </c:pt>
                <c:pt idx="60">
                  <c:v>15.9277</c:v>
                </c:pt>
                <c:pt idx="61">
                  <c:v>16.0139</c:v>
                </c:pt>
                <c:pt idx="62">
                  <c:v>16.0991</c:v>
                </c:pt>
                <c:pt idx="63">
                  <c:v>16.183399999999999</c:v>
                </c:pt>
                <c:pt idx="64">
                  <c:v>16.2668</c:v>
                </c:pt>
                <c:pt idx="65">
                  <c:v>16.349399999999999</c:v>
                </c:pt>
                <c:pt idx="66">
                  <c:v>16.4313</c:v>
                </c:pt>
                <c:pt idx="67">
                  <c:v>16.5123</c:v>
                </c:pt>
                <c:pt idx="68">
                  <c:v>16.592700000000001</c:v>
                </c:pt>
                <c:pt idx="69">
                  <c:v>16.6723</c:v>
                </c:pt>
                <c:pt idx="70">
                  <c:v>16.751200000000001</c:v>
                </c:pt>
                <c:pt idx="71">
                  <c:v>16.8294</c:v>
                </c:pt>
                <c:pt idx="72">
                  <c:v>16.9069</c:v>
                </c:pt>
                <c:pt idx="73">
                  <c:v>16.983799999999999</c:v>
                </c:pt>
                <c:pt idx="74">
                  <c:v>17.059999999999999</c:v>
                </c:pt>
                <c:pt idx="75">
                  <c:v>17.1356</c:v>
                </c:pt>
                <c:pt idx="76">
                  <c:v>17.2105</c:v>
                </c:pt>
                <c:pt idx="77">
                  <c:v>17.2849</c:v>
                </c:pt>
                <c:pt idx="78">
                  <c:v>17.358599999999999</c:v>
                </c:pt>
                <c:pt idx="79">
                  <c:v>17.431699999999999</c:v>
                </c:pt>
                <c:pt idx="80">
                  <c:v>17.504300000000001</c:v>
                </c:pt>
                <c:pt idx="81">
                  <c:v>17.5762</c:v>
                </c:pt>
                <c:pt idx="82">
                  <c:v>17.647500000000001</c:v>
                </c:pt>
                <c:pt idx="83">
                  <c:v>17.7182</c:v>
                </c:pt>
                <c:pt idx="84">
                  <c:v>17.7883</c:v>
                </c:pt>
                <c:pt idx="85">
                  <c:v>17.857700000000001</c:v>
                </c:pt>
                <c:pt idx="86">
                  <c:v>17.926600000000001</c:v>
                </c:pt>
                <c:pt idx="87">
                  <c:v>17.994900000000001</c:v>
                </c:pt>
                <c:pt idx="88">
                  <c:v>18.0625</c:v>
                </c:pt>
                <c:pt idx="89">
                  <c:v>18.1296</c:v>
                </c:pt>
                <c:pt idx="90">
                  <c:v>18.196100000000001</c:v>
                </c:pt>
                <c:pt idx="91">
                  <c:v>18.261900000000001</c:v>
                </c:pt>
                <c:pt idx="92">
                  <c:v>18.327200000000001</c:v>
                </c:pt>
                <c:pt idx="93">
                  <c:v>18.3919</c:v>
                </c:pt>
                <c:pt idx="94">
                  <c:v>18.456</c:v>
                </c:pt>
                <c:pt idx="95">
                  <c:v>18.519500000000001</c:v>
                </c:pt>
                <c:pt idx="96">
                  <c:v>18.5825</c:v>
                </c:pt>
                <c:pt idx="97">
                  <c:v>18.6449</c:v>
                </c:pt>
                <c:pt idx="98">
                  <c:v>18.706700000000001</c:v>
                </c:pt>
                <c:pt idx="99">
                  <c:v>18.768000000000001</c:v>
                </c:pt>
                <c:pt idx="100">
                  <c:v>18.828800000000001</c:v>
                </c:pt>
                <c:pt idx="101">
                  <c:v>18.889099999999999</c:v>
                </c:pt>
                <c:pt idx="102">
                  <c:v>18.948899999999998</c:v>
                </c:pt>
                <c:pt idx="103">
                  <c:v>19.008099999999999</c:v>
                </c:pt>
                <c:pt idx="104">
                  <c:v>19.0669</c:v>
                </c:pt>
                <c:pt idx="105">
                  <c:v>19.1252</c:v>
                </c:pt>
                <c:pt idx="106">
                  <c:v>19.183</c:v>
                </c:pt>
                <c:pt idx="107">
                  <c:v>19.240400000000001</c:v>
                </c:pt>
                <c:pt idx="108">
                  <c:v>19.2972</c:v>
                </c:pt>
                <c:pt idx="109">
                  <c:v>19.3536</c:v>
                </c:pt>
                <c:pt idx="110">
                  <c:v>19.409500000000001</c:v>
                </c:pt>
                <c:pt idx="111">
                  <c:v>19.4649</c:v>
                </c:pt>
                <c:pt idx="112">
                  <c:v>19.5199</c:v>
                </c:pt>
                <c:pt idx="113">
                  <c:v>19.5745</c:v>
                </c:pt>
                <c:pt idx="114">
                  <c:v>19.628599999999999</c:v>
                </c:pt>
                <c:pt idx="115">
                  <c:v>19.682300000000001</c:v>
                </c:pt>
                <c:pt idx="116">
                  <c:v>19.735600000000002</c:v>
                </c:pt>
                <c:pt idx="117">
                  <c:v>19.788399999999999</c:v>
                </c:pt>
                <c:pt idx="118">
                  <c:v>19.840699999999998</c:v>
                </c:pt>
                <c:pt idx="119">
                  <c:v>19.892600000000002</c:v>
                </c:pt>
                <c:pt idx="120">
                  <c:v>19.943999999999999</c:v>
                </c:pt>
                <c:pt idx="121">
                  <c:v>19.995000000000001</c:v>
                </c:pt>
                <c:pt idx="122">
                  <c:v>20.0456</c:v>
                </c:pt>
                <c:pt idx="123">
                  <c:v>20.095700000000001</c:v>
                </c:pt>
                <c:pt idx="124">
                  <c:v>20.145399999999999</c:v>
                </c:pt>
                <c:pt idx="125">
                  <c:v>20.194800000000001</c:v>
                </c:pt>
                <c:pt idx="126">
                  <c:v>20.2437</c:v>
                </c:pt>
                <c:pt idx="127">
                  <c:v>20.292300000000001</c:v>
                </c:pt>
                <c:pt idx="128">
                  <c:v>20.340499999999999</c:v>
                </c:pt>
                <c:pt idx="129">
                  <c:v>20.388300000000001</c:v>
                </c:pt>
                <c:pt idx="130">
                  <c:v>20.4358</c:v>
                </c:pt>
                <c:pt idx="131">
                  <c:v>20.482900000000001</c:v>
                </c:pt>
                <c:pt idx="132">
                  <c:v>20.529499999999999</c:v>
                </c:pt>
                <c:pt idx="133">
                  <c:v>20.575800000000001</c:v>
                </c:pt>
                <c:pt idx="134">
                  <c:v>20.621700000000001</c:v>
                </c:pt>
                <c:pt idx="135">
                  <c:v>20.667100000000001</c:v>
                </c:pt>
                <c:pt idx="136">
                  <c:v>20.7121</c:v>
                </c:pt>
                <c:pt idx="137">
                  <c:v>20.756799999999998</c:v>
                </c:pt>
                <c:pt idx="138">
                  <c:v>20.800999999999998</c:v>
                </c:pt>
                <c:pt idx="139">
                  <c:v>20.844899999999999</c:v>
                </c:pt>
                <c:pt idx="140">
                  <c:v>20.888400000000001</c:v>
                </c:pt>
                <c:pt idx="141">
                  <c:v>20.9316</c:v>
                </c:pt>
                <c:pt idx="142">
                  <c:v>20.974399999999999</c:v>
                </c:pt>
                <c:pt idx="143">
                  <c:v>21.0168</c:v>
                </c:pt>
                <c:pt idx="144">
                  <c:v>21.058800000000002</c:v>
                </c:pt>
                <c:pt idx="145">
                  <c:v>21.1005</c:v>
                </c:pt>
                <c:pt idx="146">
                  <c:v>21.1418</c:v>
                </c:pt>
                <c:pt idx="147">
                  <c:v>21.1828</c:v>
                </c:pt>
                <c:pt idx="148">
                  <c:v>21.223400000000002</c:v>
                </c:pt>
                <c:pt idx="149">
                  <c:v>21.2637</c:v>
                </c:pt>
                <c:pt idx="150">
                  <c:v>21.303699999999999</c:v>
                </c:pt>
                <c:pt idx="151">
                  <c:v>21.343399999999999</c:v>
                </c:pt>
                <c:pt idx="152">
                  <c:v>21.3827</c:v>
                </c:pt>
                <c:pt idx="153">
                  <c:v>21.421600000000002</c:v>
                </c:pt>
                <c:pt idx="154">
                  <c:v>21.4602</c:v>
                </c:pt>
                <c:pt idx="155">
                  <c:v>21.4984</c:v>
                </c:pt>
                <c:pt idx="156">
                  <c:v>21.536200000000001</c:v>
                </c:pt>
                <c:pt idx="157">
                  <c:v>21.573599999999999</c:v>
                </c:pt>
                <c:pt idx="158">
                  <c:v>21.610700000000001</c:v>
                </c:pt>
                <c:pt idx="159">
                  <c:v>21.647400000000001</c:v>
                </c:pt>
                <c:pt idx="160">
                  <c:v>21.683800000000002</c:v>
                </c:pt>
                <c:pt idx="161">
                  <c:v>21.719799999999999</c:v>
                </c:pt>
                <c:pt idx="162">
                  <c:v>21.755600000000001</c:v>
                </c:pt>
                <c:pt idx="163">
                  <c:v>21.790900000000001</c:v>
                </c:pt>
                <c:pt idx="164">
                  <c:v>21.826000000000001</c:v>
                </c:pt>
                <c:pt idx="165">
                  <c:v>21.860800000000001</c:v>
                </c:pt>
                <c:pt idx="166">
                  <c:v>21.895199999999999</c:v>
                </c:pt>
                <c:pt idx="167">
                  <c:v>21.929300000000001</c:v>
                </c:pt>
                <c:pt idx="168">
                  <c:v>21.963000000000001</c:v>
                </c:pt>
                <c:pt idx="169">
                  <c:v>21.996400000000001</c:v>
                </c:pt>
                <c:pt idx="170">
                  <c:v>22.029399999999999</c:v>
                </c:pt>
                <c:pt idx="171">
                  <c:v>22.062100000000001</c:v>
                </c:pt>
                <c:pt idx="172">
                  <c:v>22.0944</c:v>
                </c:pt>
                <c:pt idx="173">
                  <c:v>22.126300000000001</c:v>
                </c:pt>
                <c:pt idx="174">
                  <c:v>22.157800000000002</c:v>
                </c:pt>
                <c:pt idx="175">
                  <c:v>22.189</c:v>
                </c:pt>
                <c:pt idx="176">
                  <c:v>22.2197</c:v>
                </c:pt>
                <c:pt idx="177">
                  <c:v>22.25</c:v>
                </c:pt>
                <c:pt idx="178">
                  <c:v>22.279900000000001</c:v>
                </c:pt>
                <c:pt idx="179">
                  <c:v>22.3094</c:v>
                </c:pt>
                <c:pt idx="180">
                  <c:v>22.3384</c:v>
                </c:pt>
                <c:pt idx="181">
                  <c:v>22.367000000000001</c:v>
                </c:pt>
                <c:pt idx="182">
                  <c:v>22.395299999999999</c:v>
                </c:pt>
                <c:pt idx="183">
                  <c:v>22.422999999999998</c:v>
                </c:pt>
                <c:pt idx="184">
                  <c:v>22.450399999999998</c:v>
                </c:pt>
                <c:pt idx="185">
                  <c:v>22.4773</c:v>
                </c:pt>
                <c:pt idx="186">
                  <c:v>22.503799999999998</c:v>
                </c:pt>
                <c:pt idx="187">
                  <c:v>22.529800000000002</c:v>
                </c:pt>
                <c:pt idx="188">
                  <c:v>22.555299999999999</c:v>
                </c:pt>
                <c:pt idx="189">
                  <c:v>22.580400000000001</c:v>
                </c:pt>
                <c:pt idx="190">
                  <c:v>22.605</c:v>
                </c:pt>
                <c:pt idx="191">
                  <c:v>22.629100000000001</c:v>
                </c:pt>
                <c:pt idx="192">
                  <c:v>22.652699999999999</c:v>
                </c:pt>
                <c:pt idx="193">
                  <c:v>22.675799999999999</c:v>
                </c:pt>
                <c:pt idx="194">
                  <c:v>22.6983</c:v>
                </c:pt>
                <c:pt idx="195">
                  <c:v>22.720300000000002</c:v>
                </c:pt>
                <c:pt idx="196">
                  <c:v>22.741599999999998</c:v>
                </c:pt>
                <c:pt idx="197">
                  <c:v>22.762499999999999</c:v>
                </c:pt>
                <c:pt idx="198">
                  <c:v>22.782699999999998</c:v>
                </c:pt>
                <c:pt idx="199">
                  <c:v>22.802199999999999</c:v>
                </c:pt>
                <c:pt idx="200">
                  <c:v>22.821200000000001</c:v>
                </c:pt>
                <c:pt idx="201">
                  <c:v>22.839500000000001</c:v>
                </c:pt>
                <c:pt idx="202">
                  <c:v>22.857199999999999</c:v>
                </c:pt>
                <c:pt idx="203">
                  <c:v>22.874199999999998</c:v>
                </c:pt>
                <c:pt idx="204">
                  <c:v>22.890499999999999</c:v>
                </c:pt>
                <c:pt idx="205">
                  <c:v>22.906199999999998</c:v>
                </c:pt>
                <c:pt idx="206">
                  <c:v>22.921199999999999</c:v>
                </c:pt>
                <c:pt idx="207">
                  <c:v>22.935400000000001</c:v>
                </c:pt>
                <c:pt idx="208">
                  <c:v>22.949000000000002</c:v>
                </c:pt>
                <c:pt idx="209">
                  <c:v>22.9619</c:v>
                </c:pt>
                <c:pt idx="210">
                  <c:v>22.9741</c:v>
                </c:pt>
                <c:pt idx="211">
                  <c:v>22.985499999999998</c:v>
                </c:pt>
                <c:pt idx="212">
                  <c:v>22.996099999999998</c:v>
                </c:pt>
                <c:pt idx="213">
                  <c:v>23.0059</c:v>
                </c:pt>
                <c:pt idx="214">
                  <c:v>23.014900000000001</c:v>
                </c:pt>
                <c:pt idx="215">
                  <c:v>23.023</c:v>
                </c:pt>
                <c:pt idx="216">
                  <c:v>23.0303</c:v>
                </c:pt>
                <c:pt idx="217">
                  <c:v>23.0367</c:v>
                </c:pt>
                <c:pt idx="218">
                  <c:v>23.042300000000001</c:v>
                </c:pt>
                <c:pt idx="219">
                  <c:v>23.047000000000001</c:v>
                </c:pt>
                <c:pt idx="220">
                  <c:v>23.050799999999999</c:v>
                </c:pt>
                <c:pt idx="221">
                  <c:v>23.053699999999999</c:v>
                </c:pt>
                <c:pt idx="222">
                  <c:v>23.055700000000002</c:v>
                </c:pt>
                <c:pt idx="223">
                  <c:v>23.056699999999999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78-4033-904A-D8F7AB5BE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24256"/>
        <c:axId val="77042432"/>
      </c:scatterChart>
      <c:valAx>
        <c:axId val="7702425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7042432"/>
        <c:crosses val="autoZero"/>
        <c:crossBetween val="midCat"/>
      </c:valAx>
      <c:valAx>
        <c:axId val="7704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024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'&lt;U&gt;'!$C$2:$C$87</c:f>
              <c:numCache>
                <c:formatCode>General</c:formatCode>
                <c:ptCount val="86"/>
                <c:pt idx="0" formatCode="0.00E+00">
                  <c:v>4.3457675546143501E-5</c:v>
                </c:pt>
                <c:pt idx="1">
                  <c:v>3.5305519470085701E-4</c:v>
                </c:pt>
                <c:pt idx="2">
                  <c:v>1.3840537646103699E-3</c:v>
                </c:pt>
                <c:pt idx="3">
                  <c:v>3.0794189304970102E-3</c:v>
                </c:pt>
                <c:pt idx="4">
                  <c:v>5.9958816863172597E-3</c:v>
                </c:pt>
                <c:pt idx="5">
                  <c:v>1.2284512933547299E-2</c:v>
                </c:pt>
                <c:pt idx="6">
                  <c:v>2.7133060333653699E-2</c:v>
                </c:pt>
                <c:pt idx="7">
                  <c:v>5.6898327280577997E-2</c:v>
                </c:pt>
                <c:pt idx="8">
                  <c:v>0.10343397443284599</c:v>
                </c:pt>
                <c:pt idx="9">
                  <c:v>0.16290326001399</c:v>
                </c:pt>
                <c:pt idx="10">
                  <c:v>0.22994730991922499</c:v>
                </c:pt>
                <c:pt idx="11">
                  <c:v>0.30103967033210199</c:v>
                </c:pt>
                <c:pt idx="12">
                  <c:v>0.37502714394213299</c:v>
                </c:pt>
                <c:pt idx="13">
                  <c:v>0.452098716734326</c:v>
                </c:pt>
                <c:pt idx="14">
                  <c:v>0.53254179847135596</c:v>
                </c:pt>
                <c:pt idx="15">
                  <c:v>0.61591210766346105</c:v>
                </c:pt>
                <c:pt idx="16">
                  <c:v>0.70069868132122703</c:v>
                </c:pt>
                <c:pt idx="17">
                  <c:v>0.78452619478048202</c:v>
                </c:pt>
                <c:pt idx="18">
                  <c:v>0.86471005022758596</c:v>
                </c:pt>
                <c:pt idx="19">
                  <c:v>0.93889696622500096</c:v>
                </c:pt>
                <c:pt idx="20">
                  <c:v>1.0056749944633301</c:v>
                </c:pt>
                <c:pt idx="21">
                  <c:v>1.06467140401946</c:v>
                </c:pt>
                <c:pt idx="22">
                  <c:v>1.1164985752548</c:v>
                </c:pt>
                <c:pt idx="23">
                  <c:v>1.1625218522676699</c:v>
                </c:pt>
                <c:pt idx="24">
                  <c:v>1.2041675191721799</c:v>
                </c:pt>
                <c:pt idx="25">
                  <c:v>1.2427496400196101</c:v>
                </c:pt>
                <c:pt idx="26">
                  <c:v>1.2792979263758699</c:v>
                </c:pt>
                <c:pt idx="27">
                  <c:v>1.3147971812286401</c:v>
                </c:pt>
                <c:pt idx="28">
                  <c:v>1.3496405858604701</c:v>
                </c:pt>
                <c:pt idx="29">
                  <c:v>1.38417199405375</c:v>
                </c:pt>
                <c:pt idx="30">
                  <c:v>1.4187393702159099</c:v>
                </c:pt>
                <c:pt idx="31">
                  <c:v>1.45431343844393</c:v>
                </c:pt>
                <c:pt idx="32">
                  <c:v>1.4931395248859101</c:v>
                </c:pt>
                <c:pt idx="33">
                  <c:v>1.4517442978103601</c:v>
                </c:pt>
                <c:pt idx="34">
                  <c:v>1.41133757328498</c:v>
                </c:pt>
                <c:pt idx="35">
                  <c:v>1.37634639168391</c:v>
                </c:pt>
                <c:pt idx="36">
                  <c:v>1.3445714658591801</c:v>
                </c:pt>
                <c:pt idx="37">
                  <c:v>1.31469194922829</c:v>
                </c:pt>
                <c:pt idx="38">
                  <c:v>1.2865012828842699</c:v>
                </c:pt>
                <c:pt idx="39">
                  <c:v>1.26003625692101</c:v>
                </c:pt>
                <c:pt idx="40">
                  <c:v>1.2344845090701699</c:v>
                </c:pt>
                <c:pt idx="41">
                  <c:v>1.20987429987872</c:v>
                </c:pt>
                <c:pt idx="42">
                  <c:v>1.1859843749552901</c:v>
                </c:pt>
                <c:pt idx="43">
                  <c:v>1.1625048959394899</c:v>
                </c:pt>
                <c:pt idx="44">
                  <c:v>1.1395690470817399</c:v>
                </c:pt>
                <c:pt idx="45">
                  <c:v>1.11689042058424</c:v>
                </c:pt>
                <c:pt idx="46">
                  <c:v>1.0944618228531899</c:v>
                </c:pt>
                <c:pt idx="47">
                  <c:v>1.0723179886699601</c:v>
                </c:pt>
                <c:pt idx="48">
                  <c:v>1.05051924145664</c:v>
                </c:pt>
                <c:pt idx="49">
                  <c:v>1.02882408199366</c:v>
                </c:pt>
                <c:pt idx="50">
                  <c:v>1.0071725979214501</c:v>
                </c:pt>
                <c:pt idx="51">
                  <c:v>0.98572921424056403</c:v>
                </c:pt>
                <c:pt idx="52">
                  <c:v>0.96456411987310198</c:v>
                </c:pt>
                <c:pt idx="53">
                  <c:v>0.94336778475553695</c:v>
                </c:pt>
                <c:pt idx="54">
                  <c:v>0.922205053997458</c:v>
                </c:pt>
                <c:pt idx="55">
                  <c:v>0.90092866445775099</c:v>
                </c:pt>
                <c:pt idx="56">
                  <c:v>0.87964456749614295</c:v>
                </c:pt>
                <c:pt idx="57">
                  <c:v>0.85837388144864202</c:v>
                </c:pt>
                <c:pt idx="58">
                  <c:v>0.83742665020690699</c:v>
                </c:pt>
                <c:pt idx="59">
                  <c:v>0.81679028498183404</c:v>
                </c:pt>
                <c:pt idx="60">
                  <c:v>0.79630966106196799</c:v>
                </c:pt>
                <c:pt idx="61">
                  <c:v>0.77580344850139205</c:v>
                </c:pt>
                <c:pt idx="62">
                  <c:v>0.75535175310505998</c:v>
                </c:pt>
                <c:pt idx="63">
                  <c:v>0.73513030409230795</c:v>
                </c:pt>
                <c:pt idx="64">
                  <c:v>0.71523503317439396</c:v>
                </c:pt>
                <c:pt idx="65">
                  <c:v>0.69556579524942197</c:v>
                </c:pt>
                <c:pt idx="66">
                  <c:v>0.67612911593460001</c:v>
                </c:pt>
                <c:pt idx="67">
                  <c:v>0.65692597150336896</c:v>
                </c:pt>
                <c:pt idx="68">
                  <c:v>0.63803210022160695</c:v>
                </c:pt>
                <c:pt idx="69">
                  <c:v>0.61939385843288597</c:v>
                </c:pt>
                <c:pt idx="70">
                  <c:v>0.60109998425468802</c:v>
                </c:pt>
                <c:pt idx="71">
                  <c:v>0.58337676759401802</c:v>
                </c:pt>
                <c:pt idx="72">
                  <c:v>0.56625288006034602</c:v>
                </c:pt>
                <c:pt idx="73">
                  <c:v>0.54994993572472495</c:v>
                </c:pt>
                <c:pt idx="74">
                  <c:v>0.53443047651671804</c:v>
                </c:pt>
                <c:pt idx="75">
                  <c:v>0.51967744334251598</c:v>
                </c:pt>
                <c:pt idx="76">
                  <c:v>0.50602261502353896</c:v>
                </c:pt>
                <c:pt idx="77">
                  <c:v>0.49342185372370201</c:v>
                </c:pt>
                <c:pt idx="78">
                  <c:v>0.481907170935301</c:v>
                </c:pt>
                <c:pt idx="79">
                  <c:v>0.47164026836980999</c:v>
                </c:pt>
                <c:pt idx="80">
                  <c:v>0.462512008933117</c:v>
                </c:pt>
                <c:pt idx="81">
                  <c:v>0.45462151007086499</c:v>
                </c:pt>
                <c:pt idx="82">
                  <c:v>0.44816890783840702</c:v>
                </c:pt>
                <c:pt idx="83">
                  <c:v>0.44342108456476098</c:v>
                </c:pt>
                <c:pt idx="84">
                  <c:v>0.44030733749968898</c:v>
                </c:pt>
                <c:pt idx="85">
                  <c:v>0.43875141454918698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6-4386-990C-FB5A2E558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44512"/>
        <c:axId val="76946048"/>
      </c:scatterChart>
      <c:valAx>
        <c:axId val="76944512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76946048"/>
        <c:crosses val="autoZero"/>
        <c:crossBetween val="midCat"/>
      </c:valAx>
      <c:valAx>
        <c:axId val="7694604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6944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Rij!$B$2:$B$87</c:f>
              <c:numCache>
                <c:formatCode>General</c:formatCode>
                <c:ptCount val="86"/>
                <c:pt idx="0">
                  <c:v>4.4295265401238598E-2</c:v>
                </c:pt>
                <c:pt idx="1">
                  <c:v>0.421577734929383</c:v>
                </c:pt>
                <c:pt idx="2">
                  <c:v>1.2537267389668501</c:v>
                </c:pt>
                <c:pt idx="3">
                  <c:v>2.56960286892267</c:v>
                </c:pt>
                <c:pt idx="4">
                  <c:v>4.2650478051723999</c:v>
                </c:pt>
                <c:pt idx="5">
                  <c:v>6.0812109610448601</c:v>
                </c:pt>
                <c:pt idx="6">
                  <c:v>7.6937043872434296</c:v>
                </c:pt>
                <c:pt idx="7">
                  <c:v>8.8579444782492605</c:v>
                </c:pt>
                <c:pt idx="8">
                  <c:v>9.4913084764572293</c:v>
                </c:pt>
                <c:pt idx="9">
                  <c:v>9.6489539351198204</c:v>
                </c:pt>
                <c:pt idx="10">
                  <c:v>9.45029031412205</c:v>
                </c:pt>
                <c:pt idx="11">
                  <c:v>9.0191792493321206</c:v>
                </c:pt>
                <c:pt idx="12">
                  <c:v>8.4562214892617895</c:v>
                </c:pt>
                <c:pt idx="13">
                  <c:v>7.8336161425312598</c:v>
                </c:pt>
                <c:pt idx="14">
                  <c:v>7.1995914251215503</c:v>
                </c:pt>
                <c:pt idx="15">
                  <c:v>6.5848089937396503</c:v>
                </c:pt>
                <c:pt idx="16">
                  <c:v>6.0078468437565</c:v>
                </c:pt>
                <c:pt idx="17">
                  <c:v>5.4791954103681899</c:v>
                </c:pt>
                <c:pt idx="18">
                  <c:v>5.0039425885736604</c:v>
                </c:pt>
                <c:pt idx="19">
                  <c:v>4.5835219604679196</c:v>
                </c:pt>
                <c:pt idx="20">
                  <c:v>4.2166463736168804</c:v>
                </c:pt>
                <c:pt idx="21">
                  <c:v>3.9001175899385898</c:v>
                </c:pt>
                <c:pt idx="22">
                  <c:v>3.6294191472572601</c:v>
                </c:pt>
                <c:pt idx="23">
                  <c:v>3.39922422022478</c:v>
                </c:pt>
                <c:pt idx="24">
                  <c:v>3.20414491161007</c:v>
                </c:pt>
                <c:pt idx="25">
                  <c:v>3.0390283259305901</c:v>
                </c:pt>
                <c:pt idx="26">
                  <c:v>2.8989515694150798</c:v>
                </c:pt>
                <c:pt idx="27">
                  <c:v>2.7795181807806002</c:v>
                </c:pt>
                <c:pt idx="28">
                  <c:v>2.6764359852344199</c:v>
                </c:pt>
                <c:pt idx="29">
                  <c:v>2.5863621007612401</c:v>
                </c:pt>
                <c:pt idx="30">
                  <c:v>2.5071209754597601</c:v>
                </c:pt>
                <c:pt idx="31">
                  <c:v>2.4357631230988499</c:v>
                </c:pt>
                <c:pt idx="32">
                  <c:v>2.37040495823527</c:v>
                </c:pt>
                <c:pt idx="33">
                  <c:v>2.3120318453434101</c:v>
                </c:pt>
                <c:pt idx="34">
                  <c:v>2.2595993123662401</c:v>
                </c:pt>
                <c:pt idx="35">
                  <c:v>2.2101493015802798</c:v>
                </c:pt>
                <c:pt idx="36">
                  <c:v>2.1629709148390202</c:v>
                </c:pt>
                <c:pt idx="37">
                  <c:v>2.1171816455762298</c:v>
                </c:pt>
                <c:pt idx="38">
                  <c:v>2.0725193489842999</c:v>
                </c:pt>
                <c:pt idx="39">
                  <c:v>2.02862241522985</c:v>
                </c:pt>
                <c:pt idx="40">
                  <c:v>1.98493280444655</c:v>
                </c:pt>
                <c:pt idx="41">
                  <c:v>1.94111122839565</c:v>
                </c:pt>
                <c:pt idx="42">
                  <c:v>1.89713215117287</c:v>
                </c:pt>
                <c:pt idx="43">
                  <c:v>1.8531678954889499</c:v>
                </c:pt>
                <c:pt idx="44">
                  <c:v>1.80924310438438</c:v>
                </c:pt>
                <c:pt idx="45">
                  <c:v>1.7651695621730299</c:v>
                </c:pt>
                <c:pt idx="46">
                  <c:v>1.72077387470764</c:v>
                </c:pt>
                <c:pt idx="47">
                  <c:v>1.67648050943215</c:v>
                </c:pt>
                <c:pt idx="48">
                  <c:v>1.63233750241824</c:v>
                </c:pt>
                <c:pt idx="49">
                  <c:v>1.58823038852854</c:v>
                </c:pt>
                <c:pt idx="50">
                  <c:v>1.54412113176574</c:v>
                </c:pt>
                <c:pt idx="51">
                  <c:v>1.50010348282741</c:v>
                </c:pt>
                <c:pt idx="52">
                  <c:v>1.4562811031991001</c:v>
                </c:pt>
                <c:pt idx="53">
                  <c:v>1.41267292159309</c:v>
                </c:pt>
                <c:pt idx="54">
                  <c:v>1.3693385813102901</c:v>
                </c:pt>
                <c:pt idx="55">
                  <c:v>1.3263936189246199</c:v>
                </c:pt>
                <c:pt idx="56">
                  <c:v>1.2838204450195001</c:v>
                </c:pt>
                <c:pt idx="57">
                  <c:v>1.2413903971793001</c:v>
                </c:pt>
                <c:pt idx="58">
                  <c:v>1.1991483864524599</c:v>
                </c:pt>
                <c:pt idx="59">
                  <c:v>1.15732566455959</c:v>
                </c:pt>
                <c:pt idx="60">
                  <c:v>1.11586794538249</c:v>
                </c:pt>
                <c:pt idx="61">
                  <c:v>1.0748263007297301</c:v>
                </c:pt>
                <c:pt idx="62">
                  <c:v>1.0342109092484799</c:v>
                </c:pt>
                <c:pt idx="63">
                  <c:v>0.99393248456011396</c:v>
                </c:pt>
                <c:pt idx="64">
                  <c:v>0.95411700974486002</c:v>
                </c:pt>
                <c:pt idx="65">
                  <c:v>0.91486412840125098</c:v>
                </c:pt>
                <c:pt idx="66">
                  <c:v>0.87627785916037304</c:v>
                </c:pt>
                <c:pt idx="67">
                  <c:v>0.83823221894200195</c:v>
                </c:pt>
                <c:pt idx="68">
                  <c:v>0.80070774331559902</c:v>
                </c:pt>
                <c:pt idx="69">
                  <c:v>0.76390130874600903</c:v>
                </c:pt>
                <c:pt idx="70">
                  <c:v>0.72800912205023505</c:v>
                </c:pt>
                <c:pt idx="71">
                  <c:v>0.69306412990198496</c:v>
                </c:pt>
                <c:pt idx="72">
                  <c:v>0.65910936833575196</c:v>
                </c:pt>
                <c:pt idx="73">
                  <c:v>0.62620291814082296</c:v>
                </c:pt>
                <c:pt idx="74">
                  <c:v>0.59463701363440202</c:v>
                </c:pt>
                <c:pt idx="75">
                  <c:v>0.56478545224055499</c:v>
                </c:pt>
                <c:pt idx="76">
                  <c:v>0.53685162832976496</c:v>
                </c:pt>
                <c:pt idx="77">
                  <c:v>0.51102585581804705</c:v>
                </c:pt>
                <c:pt idx="78">
                  <c:v>0.487477778824768</c:v>
                </c:pt>
                <c:pt idx="79">
                  <c:v>0.46633489829858599</c:v>
                </c:pt>
                <c:pt idx="80">
                  <c:v>0.44778989424455301</c:v>
                </c:pt>
                <c:pt idx="81">
                  <c:v>0.43204776818796298</c:v>
                </c:pt>
                <c:pt idx="82">
                  <c:v>0.41929517330331101</c:v>
                </c:pt>
                <c:pt idx="83">
                  <c:v>0.40961434234529798</c:v>
                </c:pt>
                <c:pt idx="84">
                  <c:v>0.40302442724213799</c:v>
                </c:pt>
                <c:pt idx="85">
                  <c:v>0.39954480313799001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F1-4828-996A-737A374F0CD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DNS!$D$155:$D$378</c:f>
              <c:numCache>
                <c:formatCode>0.00E+00</c:formatCode>
                <c:ptCount val="224"/>
                <c:pt idx="0">
                  <c:v>4.1021299999999998E-3</c:v>
                </c:pt>
                <c:pt idx="1">
                  <c:v>3.7274700000000001E-2</c:v>
                </c:pt>
                <c:pt idx="2">
                  <c:v>0.105683</c:v>
                </c:pt>
                <c:pt idx="3">
                  <c:v>0.212148</c:v>
                </c:pt>
                <c:pt idx="4">
                  <c:v>0.35984899999999997</c:v>
                </c:pt>
                <c:pt idx="5">
                  <c:v>0.55200400000000005</c:v>
                </c:pt>
                <c:pt idx="6">
                  <c:v>0.79148399999999997</c:v>
                </c:pt>
                <c:pt idx="7">
                  <c:v>1.0803499999999999</c:v>
                </c:pt>
                <c:pt idx="8">
                  <c:v>1.4193499999999999</c:v>
                </c:pt>
                <c:pt idx="9">
                  <c:v>1.8075000000000001</c:v>
                </c:pt>
                <c:pt idx="10">
                  <c:v>2.2416800000000001</c:v>
                </c:pt>
                <c:pt idx="11">
                  <c:v>2.71644</c:v>
                </c:pt>
                <c:pt idx="12">
                  <c:v>3.2240500000000001</c:v>
                </c:pt>
                <c:pt idx="13">
                  <c:v>3.7546900000000001</c:v>
                </c:pt>
                <c:pt idx="14">
                  <c:v>4.29697</c:v>
                </c:pt>
                <c:pt idx="15">
                  <c:v>4.8385699999999998</c:v>
                </c:pt>
                <c:pt idx="16">
                  <c:v>5.3669500000000001</c:v>
                </c:pt>
                <c:pt idx="17">
                  <c:v>5.87019</c:v>
                </c:pt>
                <c:pt idx="18">
                  <c:v>6.3376200000000003</c:v>
                </c:pt>
                <c:pt idx="19">
                  <c:v>6.7603799999999996</c:v>
                </c:pt>
                <c:pt idx="20">
                  <c:v>7.1317599999999999</c:v>
                </c:pt>
                <c:pt idx="21">
                  <c:v>7.4473799999999999</c:v>
                </c:pt>
                <c:pt idx="22">
                  <c:v>7.7050799999999997</c:v>
                </c:pt>
                <c:pt idx="23">
                  <c:v>7.9047900000000002</c:v>
                </c:pt>
                <c:pt idx="24">
                  <c:v>8.0481499999999997</c:v>
                </c:pt>
                <c:pt idx="25">
                  <c:v>8.1382200000000005</c:v>
                </c:pt>
                <c:pt idx="26">
                  <c:v>8.1790900000000004</c:v>
                </c:pt>
                <c:pt idx="27">
                  <c:v>8.1755499999999994</c:v>
                </c:pt>
                <c:pt idx="28">
                  <c:v>8.1327700000000007</c:v>
                </c:pt>
                <c:pt idx="29">
                  <c:v>8.0560700000000001</c:v>
                </c:pt>
                <c:pt idx="30">
                  <c:v>7.9507399999999997</c:v>
                </c:pt>
                <c:pt idx="31">
                  <c:v>7.82186</c:v>
                </c:pt>
                <c:pt idx="32">
                  <c:v>7.6742100000000004</c:v>
                </c:pt>
                <c:pt idx="33">
                  <c:v>7.5122200000000001</c:v>
                </c:pt>
                <c:pt idx="34">
                  <c:v>7.33988</c:v>
                </c:pt>
                <c:pt idx="35">
                  <c:v>7.1607500000000002</c:v>
                </c:pt>
                <c:pt idx="36">
                  <c:v>6.9779499999999999</c:v>
                </c:pt>
                <c:pt idx="37">
                  <c:v>6.7941700000000003</c:v>
                </c:pt>
                <c:pt idx="38">
                  <c:v>6.6116799999999998</c:v>
                </c:pt>
                <c:pt idx="39">
                  <c:v>6.4323399999999999</c:v>
                </c:pt>
                <c:pt idx="40">
                  <c:v>6.2576799999999997</c:v>
                </c:pt>
                <c:pt idx="41">
                  <c:v>6.0888499999999999</c:v>
                </c:pt>
                <c:pt idx="42">
                  <c:v>5.9267700000000003</c:v>
                </c:pt>
                <c:pt idx="43">
                  <c:v>5.7720599999999997</c:v>
                </c:pt>
                <c:pt idx="44">
                  <c:v>5.6251199999999999</c:v>
                </c:pt>
                <c:pt idx="45">
                  <c:v>5.4861399999999998</c:v>
                </c:pt>
                <c:pt idx="46">
                  <c:v>5.3551900000000003</c:v>
                </c:pt>
                <c:pt idx="47">
                  <c:v>5.2321999999999997</c:v>
                </c:pt>
                <c:pt idx="48">
                  <c:v>5.1170099999999996</c:v>
                </c:pt>
                <c:pt idx="49">
                  <c:v>5.0093899999999998</c:v>
                </c:pt>
                <c:pt idx="50">
                  <c:v>4.9090600000000002</c:v>
                </c:pt>
                <c:pt idx="51">
                  <c:v>4.8157300000000003</c:v>
                </c:pt>
                <c:pt idx="52">
                  <c:v>4.7290400000000004</c:v>
                </c:pt>
                <c:pt idx="53">
                  <c:v>4.6486400000000003</c:v>
                </c:pt>
                <c:pt idx="54">
                  <c:v>4.5741300000000003</c:v>
                </c:pt>
                <c:pt idx="55">
                  <c:v>4.5050699999999999</c:v>
                </c:pt>
                <c:pt idx="56">
                  <c:v>4.4410499999999997</c:v>
                </c:pt>
                <c:pt idx="57">
                  <c:v>4.3816600000000001</c:v>
                </c:pt>
                <c:pt idx="58">
                  <c:v>4.3265200000000004</c:v>
                </c:pt>
                <c:pt idx="59">
                  <c:v>4.2752400000000002</c:v>
                </c:pt>
                <c:pt idx="60">
                  <c:v>4.2274500000000002</c:v>
                </c:pt>
                <c:pt idx="61">
                  <c:v>4.1828099999999999</c:v>
                </c:pt>
                <c:pt idx="62">
                  <c:v>4.141</c:v>
                </c:pt>
                <c:pt idx="63">
                  <c:v>4.1017400000000004</c:v>
                </c:pt>
                <c:pt idx="64">
                  <c:v>4.0647599999999997</c:v>
                </c:pt>
                <c:pt idx="65">
                  <c:v>4.0297900000000002</c:v>
                </c:pt>
                <c:pt idx="66">
                  <c:v>3.9965999999999999</c:v>
                </c:pt>
                <c:pt idx="67">
                  <c:v>3.9649800000000002</c:v>
                </c:pt>
                <c:pt idx="68">
                  <c:v>3.9347099999999999</c:v>
                </c:pt>
                <c:pt idx="69">
                  <c:v>3.9056199999999999</c:v>
                </c:pt>
                <c:pt idx="70">
                  <c:v>3.8775599999999999</c:v>
                </c:pt>
                <c:pt idx="71">
                  <c:v>3.8504</c:v>
                </c:pt>
                <c:pt idx="72">
                  <c:v>3.8240500000000002</c:v>
                </c:pt>
                <c:pt idx="73">
                  <c:v>3.7984300000000002</c:v>
                </c:pt>
                <c:pt idx="74">
                  <c:v>3.77346</c:v>
                </c:pt>
                <c:pt idx="75">
                  <c:v>3.7490600000000001</c:v>
                </c:pt>
                <c:pt idx="76">
                  <c:v>3.7251099999999999</c:v>
                </c:pt>
                <c:pt idx="77">
                  <c:v>3.70153</c:v>
                </c:pt>
                <c:pt idx="78">
                  <c:v>3.6782699999999999</c:v>
                </c:pt>
                <c:pt idx="79">
                  <c:v>3.65523</c:v>
                </c:pt>
                <c:pt idx="80">
                  <c:v>3.6323599999999998</c:v>
                </c:pt>
                <c:pt idx="81">
                  <c:v>3.6095600000000001</c:v>
                </c:pt>
                <c:pt idx="82">
                  <c:v>3.5868000000000002</c:v>
                </c:pt>
                <c:pt idx="83">
                  <c:v>3.5640700000000001</c:v>
                </c:pt>
                <c:pt idx="84">
                  <c:v>3.5413999999999999</c:v>
                </c:pt>
                <c:pt idx="85">
                  <c:v>3.5188299999999999</c:v>
                </c:pt>
                <c:pt idx="86">
                  <c:v>3.4963299999999999</c:v>
                </c:pt>
                <c:pt idx="87">
                  <c:v>3.4738699999999998</c:v>
                </c:pt>
                <c:pt idx="88">
                  <c:v>3.4514</c:v>
                </c:pt>
                <c:pt idx="89">
                  <c:v>3.4288500000000002</c:v>
                </c:pt>
                <c:pt idx="90">
                  <c:v>3.4061900000000001</c:v>
                </c:pt>
                <c:pt idx="91">
                  <c:v>3.3833899999999999</c:v>
                </c:pt>
                <c:pt idx="92">
                  <c:v>3.3604400000000001</c:v>
                </c:pt>
                <c:pt idx="93">
                  <c:v>3.3374000000000001</c:v>
                </c:pt>
                <c:pt idx="94">
                  <c:v>3.3143199999999999</c:v>
                </c:pt>
                <c:pt idx="95">
                  <c:v>3.2912699999999999</c:v>
                </c:pt>
                <c:pt idx="96">
                  <c:v>3.2682699999999998</c:v>
                </c:pt>
                <c:pt idx="97">
                  <c:v>3.2453099999999999</c:v>
                </c:pt>
                <c:pt idx="98">
                  <c:v>3.2223799999999998</c:v>
                </c:pt>
                <c:pt idx="99">
                  <c:v>3.1994099999999999</c:v>
                </c:pt>
                <c:pt idx="100">
                  <c:v>3.1763599999999999</c:v>
                </c:pt>
                <c:pt idx="101">
                  <c:v>3.1532100000000001</c:v>
                </c:pt>
                <c:pt idx="102">
                  <c:v>3.1299800000000002</c:v>
                </c:pt>
                <c:pt idx="103">
                  <c:v>3.1066799999999999</c:v>
                </c:pt>
                <c:pt idx="104">
                  <c:v>3.08331</c:v>
                </c:pt>
                <c:pt idx="105">
                  <c:v>3.05992</c:v>
                </c:pt>
                <c:pt idx="106">
                  <c:v>3.0365000000000002</c:v>
                </c:pt>
                <c:pt idx="107">
                  <c:v>3.0130699999999999</c:v>
                </c:pt>
                <c:pt idx="108">
                  <c:v>2.9895900000000002</c:v>
                </c:pt>
                <c:pt idx="109">
                  <c:v>2.96604</c:v>
                </c:pt>
                <c:pt idx="110">
                  <c:v>2.9423499999999998</c:v>
                </c:pt>
                <c:pt idx="111">
                  <c:v>2.91852</c:v>
                </c:pt>
                <c:pt idx="112">
                  <c:v>2.8946000000000001</c:v>
                </c:pt>
                <c:pt idx="113">
                  <c:v>2.8706</c:v>
                </c:pt>
                <c:pt idx="114">
                  <c:v>2.8465500000000001</c:v>
                </c:pt>
                <c:pt idx="115">
                  <c:v>2.8224499999999999</c:v>
                </c:pt>
                <c:pt idx="116">
                  <c:v>2.7982999999999998</c:v>
                </c:pt>
                <c:pt idx="117">
                  <c:v>2.7740900000000002</c:v>
                </c:pt>
                <c:pt idx="118">
                  <c:v>2.7498300000000002</c:v>
                </c:pt>
                <c:pt idx="119">
                  <c:v>2.7255199999999999</c:v>
                </c:pt>
                <c:pt idx="120">
                  <c:v>2.70112</c:v>
                </c:pt>
                <c:pt idx="121">
                  <c:v>2.6766299999999998</c:v>
                </c:pt>
                <c:pt idx="122">
                  <c:v>2.65205</c:v>
                </c:pt>
                <c:pt idx="123">
                  <c:v>2.6274199999999999</c:v>
                </c:pt>
                <c:pt idx="124">
                  <c:v>2.60276</c:v>
                </c:pt>
                <c:pt idx="125">
                  <c:v>2.5781000000000001</c:v>
                </c:pt>
                <c:pt idx="126">
                  <c:v>2.5534500000000002</c:v>
                </c:pt>
                <c:pt idx="127">
                  <c:v>2.5287999999999999</c:v>
                </c:pt>
                <c:pt idx="128">
                  <c:v>2.50414</c:v>
                </c:pt>
                <c:pt idx="129">
                  <c:v>2.4794700000000001</c:v>
                </c:pt>
                <c:pt idx="130">
                  <c:v>2.4548299999999998</c:v>
                </c:pt>
                <c:pt idx="131">
                  <c:v>2.4302600000000001</c:v>
                </c:pt>
                <c:pt idx="132">
                  <c:v>2.4057599999999999</c:v>
                </c:pt>
                <c:pt idx="133">
                  <c:v>2.3812899999999999</c:v>
                </c:pt>
                <c:pt idx="134">
                  <c:v>2.3568500000000001</c:v>
                </c:pt>
                <c:pt idx="135">
                  <c:v>2.3325300000000002</c:v>
                </c:pt>
                <c:pt idx="136">
                  <c:v>2.3083499999999999</c:v>
                </c:pt>
                <c:pt idx="137">
                  <c:v>2.2842899999999999</c:v>
                </c:pt>
                <c:pt idx="138">
                  <c:v>2.2603</c:v>
                </c:pt>
                <c:pt idx="139">
                  <c:v>2.2363400000000002</c:v>
                </c:pt>
                <c:pt idx="140">
                  <c:v>2.2124000000000001</c:v>
                </c:pt>
                <c:pt idx="141">
                  <c:v>2.18851</c:v>
                </c:pt>
                <c:pt idx="142">
                  <c:v>2.1647099999999999</c:v>
                </c:pt>
                <c:pt idx="143">
                  <c:v>2.1410300000000002</c:v>
                </c:pt>
                <c:pt idx="144">
                  <c:v>2.1174400000000002</c:v>
                </c:pt>
                <c:pt idx="145">
                  <c:v>2.09395</c:v>
                </c:pt>
                <c:pt idx="146">
                  <c:v>2.0705399999999998</c:v>
                </c:pt>
                <c:pt idx="147">
                  <c:v>2.0471599999999999</c:v>
                </c:pt>
                <c:pt idx="148">
                  <c:v>2.0237699999999998</c:v>
                </c:pt>
                <c:pt idx="149">
                  <c:v>2.0003600000000001</c:v>
                </c:pt>
                <c:pt idx="150">
                  <c:v>1.9770000000000001</c:v>
                </c:pt>
                <c:pt idx="151">
                  <c:v>1.9537500000000001</c:v>
                </c:pt>
                <c:pt idx="152">
                  <c:v>1.93065</c:v>
                </c:pt>
                <c:pt idx="153">
                  <c:v>1.90771</c:v>
                </c:pt>
                <c:pt idx="154">
                  <c:v>1.8849400000000001</c:v>
                </c:pt>
                <c:pt idx="155">
                  <c:v>1.86236</c:v>
                </c:pt>
                <c:pt idx="156">
                  <c:v>1.8399700000000001</c:v>
                </c:pt>
                <c:pt idx="157">
                  <c:v>1.81776</c:v>
                </c:pt>
                <c:pt idx="158">
                  <c:v>1.79573</c:v>
                </c:pt>
                <c:pt idx="159">
                  <c:v>1.77386</c:v>
                </c:pt>
                <c:pt idx="160">
                  <c:v>1.7521500000000001</c:v>
                </c:pt>
                <c:pt idx="161">
                  <c:v>1.7305699999999999</c:v>
                </c:pt>
                <c:pt idx="162">
                  <c:v>1.7090700000000001</c:v>
                </c:pt>
                <c:pt idx="163">
                  <c:v>1.6876500000000001</c:v>
                </c:pt>
                <c:pt idx="164">
                  <c:v>1.6662999999999999</c:v>
                </c:pt>
                <c:pt idx="165">
                  <c:v>1.64506</c:v>
                </c:pt>
                <c:pt idx="166">
                  <c:v>1.6239300000000001</c:v>
                </c:pt>
                <c:pt idx="167">
                  <c:v>1.60293</c:v>
                </c:pt>
                <c:pt idx="168">
                  <c:v>1.5820000000000001</c:v>
                </c:pt>
                <c:pt idx="169">
                  <c:v>1.56114</c:v>
                </c:pt>
                <c:pt idx="170">
                  <c:v>1.5403500000000001</c:v>
                </c:pt>
                <c:pt idx="171">
                  <c:v>1.51966</c:v>
                </c:pt>
                <c:pt idx="172">
                  <c:v>1.4990699999999999</c:v>
                </c:pt>
                <c:pt idx="173">
                  <c:v>1.47855</c:v>
                </c:pt>
                <c:pt idx="174">
                  <c:v>1.4580900000000001</c:v>
                </c:pt>
                <c:pt idx="175">
                  <c:v>1.4376800000000001</c:v>
                </c:pt>
                <c:pt idx="176">
                  <c:v>1.41734</c:v>
                </c:pt>
                <c:pt idx="177">
                  <c:v>1.39706</c:v>
                </c:pt>
                <c:pt idx="178">
                  <c:v>1.3768400000000001</c:v>
                </c:pt>
                <c:pt idx="179">
                  <c:v>1.35666</c:v>
                </c:pt>
                <c:pt idx="180">
                  <c:v>1.3364799999999999</c:v>
                </c:pt>
                <c:pt idx="181">
                  <c:v>1.3163199999999999</c:v>
                </c:pt>
                <c:pt idx="182">
                  <c:v>1.2962</c:v>
                </c:pt>
                <c:pt idx="183">
                  <c:v>1.27613</c:v>
                </c:pt>
                <c:pt idx="184">
                  <c:v>1.2561</c:v>
                </c:pt>
                <c:pt idx="185">
                  <c:v>1.2360899999999999</c:v>
                </c:pt>
                <c:pt idx="186">
                  <c:v>1.2161200000000001</c:v>
                </c:pt>
                <c:pt idx="187">
                  <c:v>1.1962200000000001</c:v>
                </c:pt>
                <c:pt idx="188">
                  <c:v>1.17645</c:v>
                </c:pt>
                <c:pt idx="189">
                  <c:v>1.1568499999999999</c:v>
                </c:pt>
                <c:pt idx="190">
                  <c:v>1.1374299999999999</c:v>
                </c:pt>
                <c:pt idx="191">
                  <c:v>1.11819</c:v>
                </c:pt>
                <c:pt idx="192">
                  <c:v>1.0991200000000001</c:v>
                </c:pt>
                <c:pt idx="193">
                  <c:v>1.08023</c:v>
                </c:pt>
                <c:pt idx="194">
                  <c:v>1.06155</c:v>
                </c:pt>
                <c:pt idx="195">
                  <c:v>1.0431299999999999</c:v>
                </c:pt>
                <c:pt idx="196">
                  <c:v>1.02505</c:v>
                </c:pt>
                <c:pt idx="197">
                  <c:v>1.00732</c:v>
                </c:pt>
                <c:pt idx="198">
                  <c:v>0.989923</c:v>
                </c:pt>
                <c:pt idx="199">
                  <c:v>0.97286399999999995</c:v>
                </c:pt>
                <c:pt idx="200">
                  <c:v>0.95613700000000001</c:v>
                </c:pt>
                <c:pt idx="201">
                  <c:v>0.93973899999999999</c:v>
                </c:pt>
                <c:pt idx="202">
                  <c:v>0.92369699999999999</c:v>
                </c:pt>
                <c:pt idx="203">
                  <c:v>0.90807700000000002</c:v>
                </c:pt>
                <c:pt idx="204">
                  <c:v>0.89295400000000003</c:v>
                </c:pt>
                <c:pt idx="205">
                  <c:v>0.87837399999999999</c:v>
                </c:pt>
                <c:pt idx="206">
                  <c:v>0.86435099999999998</c:v>
                </c:pt>
                <c:pt idx="207">
                  <c:v>0.85089599999999999</c:v>
                </c:pt>
                <c:pt idx="208">
                  <c:v>0.83802900000000002</c:v>
                </c:pt>
                <c:pt idx="209">
                  <c:v>0.82578700000000005</c:v>
                </c:pt>
                <c:pt idx="210">
                  <c:v>0.81420599999999999</c:v>
                </c:pt>
                <c:pt idx="211">
                  <c:v>0.80330199999999996</c:v>
                </c:pt>
                <c:pt idx="212">
                  <c:v>0.79309200000000002</c:v>
                </c:pt>
                <c:pt idx="213">
                  <c:v>0.78359299999999998</c:v>
                </c:pt>
                <c:pt idx="214">
                  <c:v>0.77483199999999997</c:v>
                </c:pt>
                <c:pt idx="215">
                  <c:v>0.76683900000000005</c:v>
                </c:pt>
                <c:pt idx="216">
                  <c:v>0.75965199999999999</c:v>
                </c:pt>
                <c:pt idx="217">
                  <c:v>0.753305</c:v>
                </c:pt>
                <c:pt idx="218">
                  <c:v>0.74782400000000004</c:v>
                </c:pt>
                <c:pt idx="219">
                  <c:v>0.74322900000000003</c:v>
                </c:pt>
                <c:pt idx="220">
                  <c:v>0.739541</c:v>
                </c:pt>
                <c:pt idx="221">
                  <c:v>0.73677599999999999</c:v>
                </c:pt>
                <c:pt idx="222">
                  <c:v>0.73493299999999995</c:v>
                </c:pt>
                <c:pt idx="223">
                  <c:v>0.73401099999999997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F1-4828-996A-737A374F0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99296"/>
        <c:axId val="78600832"/>
      </c:scatterChart>
      <c:valAx>
        <c:axId val="7859929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8600832"/>
        <c:crosses val="autoZero"/>
        <c:crossBetween val="midCat"/>
      </c:valAx>
      <c:valAx>
        <c:axId val="7860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599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Rij!$C$2:$C$87</c:f>
              <c:numCache>
                <c:formatCode>General</c:formatCode>
                <c:ptCount val="86"/>
                <c:pt idx="0" formatCode="0.00E+00">
                  <c:v>8.04397573538735E-6</c:v>
                </c:pt>
                <c:pt idx="1">
                  <c:v>1.4413385003904101E-4</c:v>
                </c:pt>
                <c:pt idx="2">
                  <c:v>1.01641477167592E-3</c:v>
                </c:pt>
                <c:pt idx="3">
                  <c:v>3.6828604795929999E-3</c:v>
                </c:pt>
                <c:pt idx="4">
                  <c:v>9.5167344524675103E-3</c:v>
                </c:pt>
                <c:pt idx="5">
                  <c:v>2.0008978395277401E-2</c:v>
                </c:pt>
                <c:pt idx="6">
                  <c:v>3.6548143027257202E-2</c:v>
                </c:pt>
                <c:pt idx="7">
                  <c:v>6.02595722404103E-2</c:v>
                </c:pt>
                <c:pt idx="8">
                  <c:v>9.2024780685093302E-2</c:v>
                </c:pt>
                <c:pt idx="9">
                  <c:v>0.132487425494135</c:v>
                </c:pt>
                <c:pt idx="10">
                  <c:v>0.18193713493856201</c:v>
                </c:pt>
                <c:pt idx="11">
                  <c:v>0.240217568569423</c:v>
                </c:pt>
                <c:pt idx="12">
                  <c:v>0.306703844505191</c:v>
                </c:pt>
                <c:pt idx="13">
                  <c:v>0.380313633264309</c:v>
                </c:pt>
                <c:pt idx="14">
                  <c:v>0.45954181204089101</c:v>
                </c:pt>
                <c:pt idx="15">
                  <c:v>0.54251850085081599</c:v>
                </c:pt>
                <c:pt idx="16">
                  <c:v>0.627089219378133</c:v>
                </c:pt>
                <c:pt idx="17">
                  <c:v>0.71093122712639401</c:v>
                </c:pt>
                <c:pt idx="18">
                  <c:v>0.79170151559120305</c:v>
                </c:pt>
                <c:pt idx="19">
                  <c:v>0.86722877397424303</c:v>
                </c:pt>
                <c:pt idx="20">
                  <c:v>0.93571008707535197</c:v>
                </c:pt>
                <c:pt idx="21">
                  <c:v>0.99587160613084802</c:v>
                </c:pt>
                <c:pt idx="22">
                  <c:v>1.04707957642533</c:v>
                </c:pt>
                <c:pt idx="23">
                  <c:v>1.0893406051508101</c:v>
                </c:pt>
                <c:pt idx="24">
                  <c:v>1.1231382673338799</c:v>
                </c:pt>
                <c:pt idx="25">
                  <c:v>1.14925855096545</c:v>
                </c:pt>
                <c:pt idx="26">
                  <c:v>1.1686607488973699</c:v>
                </c:pt>
                <c:pt idx="27">
                  <c:v>1.1822874574286499</c:v>
                </c:pt>
                <c:pt idx="28">
                  <c:v>1.1909893971747301</c:v>
                </c:pt>
                <c:pt idx="29">
                  <c:v>1.1953840727300999</c:v>
                </c:pt>
                <c:pt idx="30">
                  <c:v>1.19619273946121</c:v>
                </c:pt>
                <c:pt idx="31">
                  <c:v>1.19427549305323</c:v>
                </c:pt>
                <c:pt idx="32">
                  <c:v>1.18918483017657</c:v>
                </c:pt>
                <c:pt idx="33">
                  <c:v>1.17892770028779</c:v>
                </c:pt>
                <c:pt idx="34">
                  <c:v>1.1668534140214699</c:v>
                </c:pt>
                <c:pt idx="35">
                  <c:v>1.15446251825658</c:v>
                </c:pt>
                <c:pt idx="36">
                  <c:v>1.14129367027483</c:v>
                </c:pt>
                <c:pt idx="37">
                  <c:v>1.1271384756685301</c:v>
                </c:pt>
                <c:pt idx="38">
                  <c:v>1.1120575598887701</c:v>
                </c:pt>
                <c:pt idx="39">
                  <c:v>1.09605235151759</c:v>
                </c:pt>
                <c:pt idx="40">
                  <c:v>1.07924722648042</c:v>
                </c:pt>
                <c:pt idx="41">
                  <c:v>1.06170379237848</c:v>
                </c:pt>
                <c:pt idx="42">
                  <c:v>1.04346642454196</c:v>
                </c:pt>
                <c:pt idx="43">
                  <c:v>1.0246169092936701</c:v>
                </c:pt>
                <c:pt idx="44">
                  <c:v>1.00529337266131</c:v>
                </c:pt>
                <c:pt idx="45">
                  <c:v>0.98560358330388198</c:v>
                </c:pt>
                <c:pt idx="46">
                  <c:v>0.965560041314384</c:v>
                </c:pt>
                <c:pt idx="47">
                  <c:v>0.94524872947542204</c:v>
                </c:pt>
                <c:pt idx="48">
                  <c:v>0.92468009429329601</c:v>
                </c:pt>
                <c:pt idx="49">
                  <c:v>0.90387226090286299</c:v>
                </c:pt>
                <c:pt idx="50">
                  <c:v>0.882868176052237</c:v>
                </c:pt>
                <c:pt idx="51">
                  <c:v>0.86174989392336399</c:v>
                </c:pt>
                <c:pt idx="52">
                  <c:v>0.84054848617600098</c:v>
                </c:pt>
                <c:pt idx="53">
                  <c:v>0.81922404179890895</c:v>
                </c:pt>
                <c:pt idx="54">
                  <c:v>0.79780343599204895</c:v>
                </c:pt>
                <c:pt idx="55">
                  <c:v>0.77629586525242</c:v>
                </c:pt>
                <c:pt idx="56">
                  <c:v>0.75473043693944897</c:v>
                </c:pt>
                <c:pt idx="57">
                  <c:v>0.73322460728420302</c:v>
                </c:pt>
                <c:pt idx="58">
                  <c:v>0.71184922502811099</c:v>
                </c:pt>
                <c:pt idx="59">
                  <c:v>0.69063308502827803</c:v>
                </c:pt>
                <c:pt idx="60">
                  <c:v>0.66960623215110504</c:v>
                </c:pt>
                <c:pt idx="61">
                  <c:v>0.64874888946373099</c:v>
                </c:pt>
                <c:pt idx="62">
                  <c:v>0.62810730731027697</c:v>
                </c:pt>
                <c:pt idx="63">
                  <c:v>0.60773269142887798</c:v>
                </c:pt>
                <c:pt idx="64">
                  <c:v>0.58765562240420999</c:v>
                </c:pt>
                <c:pt idx="65">
                  <c:v>0.56787043055122999</c:v>
                </c:pt>
                <c:pt idx="66">
                  <c:v>0.54841211613035601</c:v>
                </c:pt>
                <c:pt idx="67">
                  <c:v>0.52932831342457698</c:v>
                </c:pt>
                <c:pt idx="68">
                  <c:v>0.51066000488167695</c:v>
                </c:pt>
                <c:pt idx="69">
                  <c:v>0.49244870866771301</c:v>
                </c:pt>
                <c:pt idx="70">
                  <c:v>0.47476130028026398</c:v>
                </c:pt>
                <c:pt idx="71">
                  <c:v>0.45769496794245401</c:v>
                </c:pt>
                <c:pt idx="72">
                  <c:v>0.44134332842225699</c:v>
                </c:pt>
                <c:pt idx="73">
                  <c:v>0.425813793233147</c:v>
                </c:pt>
                <c:pt idx="74">
                  <c:v>0.41113265721362602</c:v>
                </c:pt>
                <c:pt idx="75">
                  <c:v>0.397346572496519</c:v>
                </c:pt>
                <c:pt idx="76">
                  <c:v>0.38452388780465402</c:v>
                </c:pt>
                <c:pt idx="77">
                  <c:v>0.37273292953926701</c:v>
                </c:pt>
                <c:pt idx="78">
                  <c:v>0.36202945704380102</c:v>
                </c:pt>
                <c:pt idx="79">
                  <c:v>0.35248824766034598</c:v>
                </c:pt>
                <c:pt idx="80">
                  <c:v>0.34415619905926798</c:v>
                </c:pt>
                <c:pt idx="81">
                  <c:v>0.33709744118200702</c:v>
                </c:pt>
                <c:pt idx="82">
                  <c:v>0.33137119321917902</c:v>
                </c:pt>
                <c:pt idx="83">
                  <c:v>0.32705055839327302</c:v>
                </c:pt>
                <c:pt idx="84">
                  <c:v>0.32417122893414002</c:v>
                </c:pt>
                <c:pt idx="85">
                  <c:v>0.32275478982381101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A-4F42-B13A-46E0A1B79EFF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DNS!$C$381:$C$604</c:f>
              <c:numCache>
                <c:formatCode>0.00E+00</c:formatCode>
                <c:ptCount val="224"/>
                <c:pt idx="0">
                  <c:v>1.2763E-6</c:v>
                </c:pt>
                <c:pt idx="1">
                  <c:v>1.87046E-5</c:v>
                </c:pt>
                <c:pt idx="2">
                  <c:v>8.9758400000000004E-5</c:v>
                </c:pt>
                <c:pt idx="3">
                  <c:v>2.7177000000000001E-4</c:v>
                </c:pt>
                <c:pt idx="4">
                  <c:v>6.3922100000000004E-4</c:v>
                </c:pt>
                <c:pt idx="5">
                  <c:v>1.2817499999999999E-3</c:v>
                </c:pt>
                <c:pt idx="6">
                  <c:v>2.3025400000000001E-3</c:v>
                </c:pt>
                <c:pt idx="7">
                  <c:v>3.8168199999999998E-3</c:v>
                </c:pt>
                <c:pt idx="8">
                  <c:v>5.9504299999999996E-3</c:v>
                </c:pt>
                <c:pt idx="9">
                  <c:v>8.8381399999999995E-3</c:v>
                </c:pt>
                <c:pt idx="10">
                  <c:v>1.26219E-2</c:v>
                </c:pt>
                <c:pt idx="11">
                  <c:v>1.7448999999999999E-2</c:v>
                </c:pt>
                <c:pt idx="12">
                  <c:v>2.34696E-2</c:v>
                </c:pt>
                <c:pt idx="13">
                  <c:v>3.0834799999999999E-2</c:v>
                </c:pt>
                <c:pt idx="14">
                  <c:v>3.9694100000000003E-2</c:v>
                </c:pt>
                <c:pt idx="15">
                  <c:v>5.0192199999999999E-2</c:v>
                </c:pt>
                <c:pt idx="16">
                  <c:v>6.2466800000000003E-2</c:v>
                </c:pt>
                <c:pt idx="17">
                  <c:v>7.6644900000000002E-2</c:v>
                </c:pt>
                <c:pt idx="18">
                  <c:v>9.2838699999999996E-2</c:v>
                </c:pt>
                <c:pt idx="19">
                  <c:v>0.111142</c:v>
                </c:pt>
                <c:pt idx="20">
                  <c:v>0.13162599999999999</c:v>
                </c:pt>
                <c:pt idx="21">
                  <c:v>0.154332</c:v>
                </c:pt>
                <c:pt idx="22">
                  <c:v>0.17927199999999999</c:v>
                </c:pt>
                <c:pt idx="23">
                  <c:v>0.20641899999999999</c:v>
                </c:pt>
                <c:pt idx="24">
                  <c:v>0.23571</c:v>
                </c:pt>
                <c:pt idx="25">
                  <c:v>0.26704</c:v>
                </c:pt>
                <c:pt idx="26">
                  <c:v>0.300265</c:v>
                </c:pt>
                <c:pt idx="27">
                  <c:v>0.33520299999999997</c:v>
                </c:pt>
                <c:pt idx="28">
                  <c:v>0.37164000000000003</c:v>
                </c:pt>
                <c:pt idx="29">
                  <c:v>0.409333</c:v>
                </c:pt>
                <c:pt idx="30">
                  <c:v>0.448015</c:v>
                </c:pt>
                <c:pt idx="31">
                  <c:v>0.48740800000000001</c:v>
                </c:pt>
                <c:pt idx="32">
                  <c:v>0.52722500000000005</c:v>
                </c:pt>
                <c:pt idx="33">
                  <c:v>0.56717600000000001</c:v>
                </c:pt>
                <c:pt idx="34">
                  <c:v>0.60698200000000002</c:v>
                </c:pt>
                <c:pt idx="35">
                  <c:v>0.64637100000000003</c:v>
                </c:pt>
                <c:pt idx="36">
                  <c:v>0.68509399999999998</c:v>
                </c:pt>
                <c:pt idx="37">
                  <c:v>0.72291700000000003</c:v>
                </c:pt>
                <c:pt idx="38">
                  <c:v>0.75963499999999995</c:v>
                </c:pt>
                <c:pt idx="39">
                  <c:v>0.79506600000000005</c:v>
                </c:pt>
                <c:pt idx="40">
                  <c:v>0.82905499999999999</c:v>
                </c:pt>
                <c:pt idx="41">
                  <c:v>0.86147799999999997</c:v>
                </c:pt>
                <c:pt idx="42">
                  <c:v>0.892235</c:v>
                </c:pt>
                <c:pt idx="43">
                  <c:v>0.92125400000000002</c:v>
                </c:pt>
                <c:pt idx="44">
                  <c:v>0.948488</c:v>
                </c:pt>
                <c:pt idx="45">
                  <c:v>0.97391099999999997</c:v>
                </c:pt>
                <c:pt idx="46">
                  <c:v>0.99751599999999996</c:v>
                </c:pt>
                <c:pt idx="47">
                  <c:v>1.0193099999999999</c:v>
                </c:pt>
                <c:pt idx="48">
                  <c:v>1.0393300000000001</c:v>
                </c:pt>
                <c:pt idx="49">
                  <c:v>1.05762</c:v>
                </c:pt>
                <c:pt idx="50">
                  <c:v>1.0742100000000001</c:v>
                </c:pt>
                <c:pt idx="51">
                  <c:v>1.08918</c:v>
                </c:pt>
                <c:pt idx="52">
                  <c:v>1.1026100000000001</c:v>
                </c:pt>
                <c:pt idx="53">
                  <c:v>1.1145700000000001</c:v>
                </c:pt>
                <c:pt idx="54">
                  <c:v>1.12514</c:v>
                </c:pt>
                <c:pt idx="55">
                  <c:v>1.1344099999999999</c:v>
                </c:pt>
                <c:pt idx="56">
                  <c:v>1.14249</c:v>
                </c:pt>
                <c:pt idx="57">
                  <c:v>1.1494500000000001</c:v>
                </c:pt>
                <c:pt idx="58">
                  <c:v>1.1553899999999999</c:v>
                </c:pt>
                <c:pt idx="59">
                  <c:v>1.16039</c:v>
                </c:pt>
                <c:pt idx="60">
                  <c:v>1.16455</c:v>
                </c:pt>
                <c:pt idx="61">
                  <c:v>1.1679299999999999</c:v>
                </c:pt>
                <c:pt idx="62">
                  <c:v>1.1706000000000001</c:v>
                </c:pt>
                <c:pt idx="63">
                  <c:v>1.1726300000000001</c:v>
                </c:pt>
                <c:pt idx="64">
                  <c:v>1.17408</c:v>
                </c:pt>
                <c:pt idx="65">
                  <c:v>1.175</c:v>
                </c:pt>
                <c:pt idx="66">
                  <c:v>1.17544</c:v>
                </c:pt>
                <c:pt idx="67">
                  <c:v>1.1754500000000001</c:v>
                </c:pt>
                <c:pt idx="68">
                  <c:v>1.1750799999999999</c:v>
                </c:pt>
                <c:pt idx="69">
                  <c:v>1.17435</c:v>
                </c:pt>
                <c:pt idx="70">
                  <c:v>1.1733100000000001</c:v>
                </c:pt>
                <c:pt idx="71">
                  <c:v>1.1719900000000001</c:v>
                </c:pt>
                <c:pt idx="72">
                  <c:v>1.1704000000000001</c:v>
                </c:pt>
                <c:pt idx="73">
                  <c:v>1.16856</c:v>
                </c:pt>
                <c:pt idx="74">
                  <c:v>1.16649</c:v>
                </c:pt>
                <c:pt idx="75">
                  <c:v>1.16421</c:v>
                </c:pt>
                <c:pt idx="76">
                  <c:v>1.16174</c:v>
                </c:pt>
                <c:pt idx="77">
                  <c:v>1.15909</c:v>
                </c:pt>
                <c:pt idx="78">
                  <c:v>1.1562699999999999</c:v>
                </c:pt>
                <c:pt idx="79">
                  <c:v>1.1533100000000001</c:v>
                </c:pt>
                <c:pt idx="80">
                  <c:v>1.1501999999999999</c:v>
                </c:pt>
                <c:pt idx="81">
                  <c:v>1.14697</c:v>
                </c:pt>
                <c:pt idx="82">
                  <c:v>1.1436200000000001</c:v>
                </c:pt>
                <c:pt idx="83">
                  <c:v>1.1401699999999999</c:v>
                </c:pt>
                <c:pt idx="84">
                  <c:v>1.13662</c:v>
                </c:pt>
                <c:pt idx="85">
                  <c:v>1.13297</c:v>
                </c:pt>
                <c:pt idx="86">
                  <c:v>1.1292199999999999</c:v>
                </c:pt>
                <c:pt idx="87">
                  <c:v>1.12537</c:v>
                </c:pt>
                <c:pt idx="88">
                  <c:v>1.1214200000000001</c:v>
                </c:pt>
                <c:pt idx="89">
                  <c:v>1.1173900000000001</c:v>
                </c:pt>
                <c:pt idx="90">
                  <c:v>1.1132899999999999</c:v>
                </c:pt>
                <c:pt idx="91">
                  <c:v>1.1091200000000001</c:v>
                </c:pt>
                <c:pt idx="92">
                  <c:v>1.1048899999999999</c:v>
                </c:pt>
                <c:pt idx="93">
                  <c:v>1.1006100000000001</c:v>
                </c:pt>
                <c:pt idx="94">
                  <c:v>1.0962799999999999</c:v>
                </c:pt>
                <c:pt idx="95">
                  <c:v>1.09188</c:v>
                </c:pt>
                <c:pt idx="96">
                  <c:v>1.08741</c:v>
                </c:pt>
                <c:pt idx="97">
                  <c:v>1.0828599999999999</c:v>
                </c:pt>
                <c:pt idx="98">
                  <c:v>1.0782400000000001</c:v>
                </c:pt>
                <c:pt idx="99">
                  <c:v>1.0735300000000001</c:v>
                </c:pt>
                <c:pt idx="100">
                  <c:v>1.0687500000000001</c:v>
                </c:pt>
                <c:pt idx="101">
                  <c:v>1.0638799999999999</c:v>
                </c:pt>
                <c:pt idx="102">
                  <c:v>1.0589200000000001</c:v>
                </c:pt>
                <c:pt idx="103">
                  <c:v>1.0538799999999999</c:v>
                </c:pt>
                <c:pt idx="104">
                  <c:v>1.0487299999999999</c:v>
                </c:pt>
                <c:pt idx="105">
                  <c:v>1.04349</c:v>
                </c:pt>
                <c:pt idx="106">
                  <c:v>1.03816</c:v>
                </c:pt>
                <c:pt idx="107">
                  <c:v>1.0327299999999999</c:v>
                </c:pt>
                <c:pt idx="108">
                  <c:v>1.02722</c:v>
                </c:pt>
                <c:pt idx="109">
                  <c:v>1.0216499999999999</c:v>
                </c:pt>
                <c:pt idx="110">
                  <c:v>1.0160100000000001</c:v>
                </c:pt>
                <c:pt idx="111">
                  <c:v>1.0102899999999999</c:v>
                </c:pt>
                <c:pt idx="112">
                  <c:v>1.00451</c:v>
                </c:pt>
                <c:pt idx="113">
                  <c:v>0.99867600000000001</c:v>
                </c:pt>
                <c:pt idx="114">
                  <c:v>0.99278299999999997</c:v>
                </c:pt>
                <c:pt idx="115">
                  <c:v>0.98684300000000003</c:v>
                </c:pt>
                <c:pt idx="116">
                  <c:v>0.98086600000000002</c:v>
                </c:pt>
                <c:pt idx="117">
                  <c:v>0.97485999999999995</c:v>
                </c:pt>
                <c:pt idx="118">
                  <c:v>0.968831</c:v>
                </c:pt>
                <c:pt idx="119">
                  <c:v>0.962781</c:v>
                </c:pt>
                <c:pt idx="120">
                  <c:v>0.95670699999999997</c:v>
                </c:pt>
                <c:pt idx="121">
                  <c:v>0.9506</c:v>
                </c:pt>
                <c:pt idx="122">
                  <c:v>0.94444700000000004</c:v>
                </c:pt>
                <c:pt idx="123">
                  <c:v>0.93824099999999999</c:v>
                </c:pt>
                <c:pt idx="124">
                  <c:v>0.93198000000000003</c:v>
                </c:pt>
                <c:pt idx="125">
                  <c:v>0.92566599999999999</c:v>
                </c:pt>
                <c:pt idx="126">
                  <c:v>0.91930000000000001</c:v>
                </c:pt>
                <c:pt idx="127">
                  <c:v>0.91288599999999998</c:v>
                </c:pt>
                <c:pt idx="128">
                  <c:v>0.90642599999999995</c:v>
                </c:pt>
                <c:pt idx="129">
                  <c:v>0.89992000000000005</c:v>
                </c:pt>
                <c:pt idx="130">
                  <c:v>0.89337299999999997</c:v>
                </c:pt>
                <c:pt idx="131">
                  <c:v>0.88678699999999999</c:v>
                </c:pt>
                <c:pt idx="132">
                  <c:v>0.880166</c:v>
                </c:pt>
                <c:pt idx="133">
                  <c:v>0.87351800000000002</c:v>
                </c:pt>
                <c:pt idx="134">
                  <c:v>0.86685400000000001</c:v>
                </c:pt>
                <c:pt idx="135">
                  <c:v>0.86018099999999997</c:v>
                </c:pt>
                <c:pt idx="136">
                  <c:v>0.85350700000000002</c:v>
                </c:pt>
                <c:pt idx="137">
                  <c:v>0.84684400000000004</c:v>
                </c:pt>
                <c:pt idx="138">
                  <c:v>0.84020099999999998</c:v>
                </c:pt>
                <c:pt idx="139">
                  <c:v>0.83357199999999998</c:v>
                </c:pt>
                <c:pt idx="140">
                  <c:v>0.82694800000000002</c:v>
                </c:pt>
                <c:pt idx="141">
                  <c:v>0.82031900000000002</c:v>
                </c:pt>
                <c:pt idx="142">
                  <c:v>0.81368700000000005</c:v>
                </c:pt>
                <c:pt idx="143">
                  <c:v>0.80705800000000005</c:v>
                </c:pt>
                <c:pt idx="144">
                  <c:v>0.80043200000000003</c:v>
                </c:pt>
                <c:pt idx="145">
                  <c:v>0.79380399999999995</c:v>
                </c:pt>
                <c:pt idx="146">
                  <c:v>0.78716900000000001</c:v>
                </c:pt>
                <c:pt idx="147">
                  <c:v>0.78052999999999995</c:v>
                </c:pt>
                <c:pt idx="148">
                  <c:v>0.77388900000000005</c:v>
                </c:pt>
                <c:pt idx="149">
                  <c:v>0.76725299999999996</c:v>
                </c:pt>
                <c:pt idx="150">
                  <c:v>0.760633</c:v>
                </c:pt>
                <c:pt idx="151">
                  <c:v>0.75404099999999996</c:v>
                </c:pt>
                <c:pt idx="152">
                  <c:v>0.74748700000000001</c:v>
                </c:pt>
                <c:pt idx="153">
                  <c:v>0.740977</c:v>
                </c:pt>
                <c:pt idx="154">
                  <c:v>0.73451200000000005</c:v>
                </c:pt>
                <c:pt idx="155">
                  <c:v>0.72809500000000005</c:v>
                </c:pt>
                <c:pt idx="156">
                  <c:v>0.72172800000000004</c:v>
                </c:pt>
                <c:pt idx="157">
                  <c:v>0.71541100000000002</c:v>
                </c:pt>
                <c:pt idx="158">
                  <c:v>0.70914500000000003</c:v>
                </c:pt>
                <c:pt idx="159">
                  <c:v>0.70293099999999997</c:v>
                </c:pt>
                <c:pt idx="160">
                  <c:v>0.69676800000000005</c:v>
                </c:pt>
                <c:pt idx="161">
                  <c:v>0.69065500000000002</c:v>
                </c:pt>
                <c:pt idx="162">
                  <c:v>0.68458300000000005</c:v>
                </c:pt>
                <c:pt idx="163">
                  <c:v>0.67854400000000004</c:v>
                </c:pt>
                <c:pt idx="164">
                  <c:v>0.67252299999999998</c:v>
                </c:pt>
                <c:pt idx="165">
                  <c:v>0.66650699999999996</c:v>
                </c:pt>
                <c:pt idx="166">
                  <c:v>0.66049100000000005</c:v>
                </c:pt>
                <c:pt idx="167">
                  <c:v>0.65448200000000001</c:v>
                </c:pt>
                <c:pt idx="168">
                  <c:v>0.64849699999999999</c:v>
                </c:pt>
                <c:pt idx="169">
                  <c:v>0.64255399999999996</c:v>
                </c:pt>
                <c:pt idx="170">
                  <c:v>0.63666999999999996</c:v>
                </c:pt>
                <c:pt idx="171">
                  <c:v>0.63085500000000005</c:v>
                </c:pt>
                <c:pt idx="172">
                  <c:v>0.62511499999999998</c:v>
                </c:pt>
                <c:pt idx="173">
                  <c:v>0.61945899999999998</c:v>
                </c:pt>
                <c:pt idx="174">
                  <c:v>0.61389899999999997</c:v>
                </c:pt>
                <c:pt idx="175">
                  <c:v>0.60844799999999999</c:v>
                </c:pt>
                <c:pt idx="176">
                  <c:v>0.60310799999999998</c:v>
                </c:pt>
                <c:pt idx="177">
                  <c:v>0.597881</c:v>
                </c:pt>
                <c:pt idx="178">
                  <c:v>0.59276099999999998</c:v>
                </c:pt>
                <c:pt idx="179">
                  <c:v>0.58773900000000001</c:v>
                </c:pt>
                <c:pt idx="180">
                  <c:v>0.58281099999999997</c:v>
                </c:pt>
                <c:pt idx="181">
                  <c:v>0.57797299999999996</c:v>
                </c:pt>
                <c:pt idx="182">
                  <c:v>0.57322499999999998</c:v>
                </c:pt>
                <c:pt idx="183">
                  <c:v>0.56856899999999999</c:v>
                </c:pt>
                <c:pt idx="184">
                  <c:v>0.56401000000000001</c:v>
                </c:pt>
                <c:pt idx="185">
                  <c:v>0.55954700000000002</c:v>
                </c:pt>
                <c:pt idx="186">
                  <c:v>0.55517700000000003</c:v>
                </c:pt>
                <c:pt idx="187">
                  <c:v>0.55089600000000005</c:v>
                </c:pt>
                <c:pt idx="188">
                  <c:v>0.54670600000000003</c:v>
                </c:pt>
                <c:pt idx="189">
                  <c:v>0.54261099999999995</c:v>
                </c:pt>
                <c:pt idx="190">
                  <c:v>0.53861999999999999</c:v>
                </c:pt>
                <c:pt idx="191">
                  <c:v>0.53473999999999999</c:v>
                </c:pt>
                <c:pt idx="192">
                  <c:v>0.53097799999999995</c:v>
                </c:pt>
                <c:pt idx="193">
                  <c:v>0.527335</c:v>
                </c:pt>
                <c:pt idx="194">
                  <c:v>0.52380400000000005</c:v>
                </c:pt>
                <c:pt idx="195">
                  <c:v>0.52037800000000001</c:v>
                </c:pt>
                <c:pt idx="196">
                  <c:v>0.51705599999999996</c:v>
                </c:pt>
                <c:pt idx="197">
                  <c:v>0.51383999999999996</c:v>
                </c:pt>
                <c:pt idx="198">
                  <c:v>0.51073500000000005</c:v>
                </c:pt>
                <c:pt idx="199">
                  <c:v>0.50774200000000003</c:v>
                </c:pt>
                <c:pt idx="200">
                  <c:v>0.50485999999999998</c:v>
                </c:pt>
                <c:pt idx="201">
                  <c:v>0.50208299999999995</c:v>
                </c:pt>
                <c:pt idx="202">
                  <c:v>0.49940499999999999</c:v>
                </c:pt>
                <c:pt idx="203">
                  <c:v>0.49682500000000002</c:v>
                </c:pt>
                <c:pt idx="204">
                  <c:v>0.494342</c:v>
                </c:pt>
                <c:pt idx="205">
                  <c:v>0.49196400000000001</c:v>
                </c:pt>
                <c:pt idx="206">
                  <c:v>0.48970000000000002</c:v>
                </c:pt>
                <c:pt idx="207">
                  <c:v>0.48755500000000002</c:v>
                </c:pt>
                <c:pt idx="208">
                  <c:v>0.48553299999999999</c:v>
                </c:pt>
                <c:pt idx="209">
                  <c:v>0.48363600000000001</c:v>
                </c:pt>
                <c:pt idx="210">
                  <c:v>0.48186499999999999</c:v>
                </c:pt>
                <c:pt idx="211">
                  <c:v>0.48021900000000001</c:v>
                </c:pt>
                <c:pt idx="212">
                  <c:v>0.47869699999999998</c:v>
                </c:pt>
                <c:pt idx="213">
                  <c:v>0.4773</c:v>
                </c:pt>
                <c:pt idx="214">
                  <c:v>0.47602800000000001</c:v>
                </c:pt>
                <c:pt idx="215">
                  <c:v>0.474885</c:v>
                </c:pt>
                <c:pt idx="216">
                  <c:v>0.47387299999999999</c:v>
                </c:pt>
                <c:pt idx="217">
                  <c:v>0.47299400000000003</c:v>
                </c:pt>
                <c:pt idx="218">
                  <c:v>0.47224500000000003</c:v>
                </c:pt>
                <c:pt idx="219">
                  <c:v>0.47162999999999999</c:v>
                </c:pt>
                <c:pt idx="220">
                  <c:v>0.47114600000000001</c:v>
                </c:pt>
                <c:pt idx="221">
                  <c:v>0.47079599999999999</c:v>
                </c:pt>
                <c:pt idx="222">
                  <c:v>0.470582</c:v>
                </c:pt>
                <c:pt idx="223">
                  <c:v>0.47050900000000001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A-4F42-B13A-46E0A1B79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84992"/>
        <c:axId val="80086528"/>
      </c:scatterChart>
      <c:valAx>
        <c:axId val="800849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086528"/>
        <c:crosses val="autoZero"/>
        <c:crossBetween val="midCat"/>
      </c:valAx>
      <c:valAx>
        <c:axId val="8008652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80084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Rij!$D$2:$D$87</c:f>
              <c:numCache>
                <c:formatCode>General</c:formatCode>
                <c:ptCount val="86"/>
                <c:pt idx="0">
                  <c:v>1.3816994545303701E-2</c:v>
                </c:pt>
                <c:pt idx="1">
                  <c:v>0.102680339877635</c:v>
                </c:pt>
                <c:pt idx="2">
                  <c:v>0.24938779304973799</c:v>
                </c:pt>
                <c:pt idx="3">
                  <c:v>0.42652665567999998</c:v>
                </c:pt>
                <c:pt idx="4">
                  <c:v>0.61146343347287702</c:v>
                </c:pt>
                <c:pt idx="5">
                  <c:v>0.78953810663739099</c:v>
                </c:pt>
                <c:pt idx="6">
                  <c:v>0.95383691837514795</c:v>
                </c:pt>
                <c:pt idx="7">
                  <c:v>1.10195891332203</c:v>
                </c:pt>
                <c:pt idx="8">
                  <c:v>1.2331659609860499</c:v>
                </c:pt>
                <c:pt idx="9">
                  <c:v>1.3473626142284501</c:v>
                </c:pt>
                <c:pt idx="10">
                  <c:v>1.44499896568384</c:v>
                </c:pt>
                <c:pt idx="11">
                  <c:v>1.5270195759515699</c:v>
                </c:pt>
                <c:pt idx="12">
                  <c:v>1.5946781150737499</c:v>
                </c:pt>
                <c:pt idx="13">
                  <c:v>1.64936084336475</c:v>
                </c:pt>
                <c:pt idx="14">
                  <c:v>1.69249455715481</c:v>
                </c:pt>
                <c:pt idx="15">
                  <c:v>1.7255101599475899</c:v>
                </c:pt>
                <c:pt idx="16">
                  <c:v>1.7498698054792801</c:v>
                </c:pt>
                <c:pt idx="17">
                  <c:v>1.76705850479898</c:v>
                </c:pt>
                <c:pt idx="18">
                  <c:v>1.77850108993661</c:v>
                </c:pt>
                <c:pt idx="19">
                  <c:v>1.7853654267244401</c:v>
                </c:pt>
                <c:pt idx="20">
                  <c:v>1.7883591989993599</c:v>
                </c:pt>
                <c:pt idx="21">
                  <c:v>1.78788115972827</c:v>
                </c:pt>
                <c:pt idx="22">
                  <c:v>1.7840205952897601</c:v>
                </c:pt>
                <c:pt idx="23">
                  <c:v>1.7766991122434299</c:v>
                </c:pt>
                <c:pt idx="24">
                  <c:v>1.76586724593552</c:v>
                </c:pt>
                <c:pt idx="25">
                  <c:v>1.75162856856522</c:v>
                </c:pt>
                <c:pt idx="26">
                  <c:v>1.73420415320598</c:v>
                </c:pt>
                <c:pt idx="27">
                  <c:v>1.7139438238892</c:v>
                </c:pt>
                <c:pt idx="28">
                  <c:v>1.69156490738068</c:v>
                </c:pt>
                <c:pt idx="29">
                  <c:v>1.6675831218032799</c:v>
                </c:pt>
                <c:pt idx="30">
                  <c:v>1.6422747192124401</c:v>
                </c:pt>
                <c:pt idx="31">
                  <c:v>1.6155854134899601</c:v>
                </c:pt>
                <c:pt idx="32">
                  <c:v>1.5869328788745201</c:v>
                </c:pt>
                <c:pt idx="33">
                  <c:v>1.5575714104128899</c:v>
                </c:pt>
                <c:pt idx="34">
                  <c:v>1.52888512554633</c:v>
                </c:pt>
                <c:pt idx="35">
                  <c:v>1.50110331169513</c:v>
                </c:pt>
                <c:pt idx="36">
                  <c:v>1.4741489147145399</c:v>
                </c:pt>
                <c:pt idx="37">
                  <c:v>1.4472945184779999</c:v>
                </c:pt>
                <c:pt idx="38">
                  <c:v>1.42016395947241</c:v>
                </c:pt>
                <c:pt idx="39">
                  <c:v>1.3928400954571201</c:v>
                </c:pt>
                <c:pt idx="40">
                  <c:v>1.3652139970502299</c:v>
                </c:pt>
                <c:pt idx="41">
                  <c:v>1.3369017328236801</c:v>
                </c:pt>
                <c:pt idx="42">
                  <c:v>1.3079066063735001</c:v>
                </c:pt>
                <c:pt idx="43">
                  <c:v>1.2787618359527599</c:v>
                </c:pt>
                <c:pt idx="44">
                  <c:v>1.24954769001584</c:v>
                </c:pt>
                <c:pt idx="45">
                  <c:v>1.22024184696808</c:v>
                </c:pt>
                <c:pt idx="46">
                  <c:v>1.1906151086755801</c:v>
                </c:pt>
                <c:pt idx="47">
                  <c:v>1.1604098839360399</c:v>
                </c:pt>
                <c:pt idx="48">
                  <c:v>1.1296940303972201</c:v>
                </c:pt>
                <c:pt idx="49">
                  <c:v>1.09876156810387</c:v>
                </c:pt>
                <c:pt idx="50">
                  <c:v>1.06778642692155</c:v>
                </c:pt>
                <c:pt idx="51">
                  <c:v>1.0368010178056799</c:v>
                </c:pt>
                <c:pt idx="52">
                  <c:v>1.0056119464602</c:v>
                </c:pt>
                <c:pt idx="53">
                  <c:v>0.97432903513080305</c:v>
                </c:pt>
                <c:pt idx="54">
                  <c:v>0.94324460742105698</c:v>
                </c:pt>
                <c:pt idx="55">
                  <c:v>0.91215357251929297</c:v>
                </c:pt>
                <c:pt idx="56">
                  <c:v>0.88100878721760401</c:v>
                </c:pt>
                <c:pt idx="57">
                  <c:v>0.84990328792250502</c:v>
                </c:pt>
                <c:pt idx="58">
                  <c:v>0.81879368145399001</c:v>
                </c:pt>
                <c:pt idx="59">
                  <c:v>0.78776345057606301</c:v>
                </c:pt>
                <c:pt idx="60">
                  <c:v>0.75701750752764196</c:v>
                </c:pt>
                <c:pt idx="61">
                  <c:v>0.72677835396423296</c:v>
                </c:pt>
                <c:pt idx="62">
                  <c:v>0.69704228450112304</c:v>
                </c:pt>
                <c:pt idx="63">
                  <c:v>0.66792054996606598</c:v>
                </c:pt>
                <c:pt idx="64">
                  <c:v>0.63952917800806897</c:v>
                </c:pt>
                <c:pt idx="65">
                  <c:v>0.61181932897803204</c:v>
                </c:pt>
                <c:pt idx="66">
                  <c:v>0.58483841394299796</c:v>
                </c:pt>
                <c:pt idx="67">
                  <c:v>0.55853870933359795</c:v>
                </c:pt>
                <c:pt idx="68">
                  <c:v>0.53292101872723896</c:v>
                </c:pt>
                <c:pt idx="69">
                  <c:v>0.50808105712179596</c:v>
                </c:pt>
                <c:pt idx="70">
                  <c:v>0.484032574619575</c:v>
                </c:pt>
                <c:pt idx="71">
                  <c:v>0.46087838448555002</c:v>
                </c:pt>
                <c:pt idx="72">
                  <c:v>0.43875107699196297</c:v>
                </c:pt>
                <c:pt idx="73">
                  <c:v>0.41778118882434601</c:v>
                </c:pt>
                <c:pt idx="74">
                  <c:v>0.39813939089542</c:v>
                </c:pt>
                <c:pt idx="75">
                  <c:v>0.37993126434789598</c:v>
                </c:pt>
                <c:pt idx="76">
                  <c:v>0.36326926537563797</c:v>
                </c:pt>
                <c:pt idx="77">
                  <c:v>0.348231407951959</c:v>
                </c:pt>
                <c:pt idx="78">
                  <c:v>0.334831888611061</c:v>
                </c:pt>
                <c:pt idx="79">
                  <c:v>0.32305456884000699</c:v>
                </c:pt>
                <c:pt idx="80">
                  <c:v>0.31291089961685498</c:v>
                </c:pt>
                <c:pt idx="81">
                  <c:v>0.30440458632631801</c:v>
                </c:pt>
                <c:pt idx="82">
                  <c:v>0.2975427049139</c:v>
                </c:pt>
                <c:pt idx="83">
                  <c:v>0.29233588045865699</c:v>
                </c:pt>
                <c:pt idx="84">
                  <c:v>0.28884377858309801</c:v>
                </c:pt>
                <c:pt idx="85">
                  <c:v>0.287078006516442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C-4D20-A196-AF34A23F27E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DNS!$B$155:$B$378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DNS!$E$155:$E$378</c:f>
              <c:numCache>
                <c:formatCode>0.00E+00</c:formatCode>
                <c:ptCount val="224"/>
                <c:pt idx="0">
                  <c:v>1.7276500000000001E-3</c:v>
                </c:pt>
                <c:pt idx="1">
                  <c:v>1.4319800000000001E-2</c:v>
                </c:pt>
                <c:pt idx="2">
                  <c:v>3.7686699999999997E-2</c:v>
                </c:pt>
                <c:pt idx="3">
                  <c:v>7.0357000000000003E-2</c:v>
                </c:pt>
                <c:pt idx="4">
                  <c:v>0.111056</c:v>
                </c:pt>
                <c:pt idx="5">
                  <c:v>0.15865299999999999</c:v>
                </c:pt>
                <c:pt idx="6">
                  <c:v>0.212121</c:v>
                </c:pt>
                <c:pt idx="7">
                  <c:v>0.27052500000000002</c:v>
                </c:pt>
                <c:pt idx="8">
                  <c:v>0.333007</c:v>
                </c:pt>
                <c:pt idx="9">
                  <c:v>0.39878599999999997</c:v>
                </c:pt>
                <c:pt idx="10">
                  <c:v>0.46716200000000002</c:v>
                </c:pt>
                <c:pt idx="11">
                  <c:v>0.53752</c:v>
                </c:pt>
                <c:pt idx="12">
                  <c:v>0.60933400000000004</c:v>
                </c:pt>
                <c:pt idx="13">
                  <c:v>0.68216600000000005</c:v>
                </c:pt>
                <c:pt idx="14">
                  <c:v>0.75565800000000005</c:v>
                </c:pt>
                <c:pt idx="15">
                  <c:v>0.82952300000000001</c:v>
                </c:pt>
                <c:pt idx="16">
                  <c:v>0.90352699999999997</c:v>
                </c:pt>
                <c:pt idx="17">
                  <c:v>0.977464</c:v>
                </c:pt>
                <c:pt idx="18">
                  <c:v>1.05114</c:v>
                </c:pt>
                <c:pt idx="19">
                  <c:v>1.12435</c:v>
                </c:pt>
                <c:pt idx="20">
                  <c:v>1.19686</c:v>
                </c:pt>
                <c:pt idx="21">
                  <c:v>1.2683899999999999</c:v>
                </c:pt>
                <c:pt idx="22">
                  <c:v>1.3386499999999999</c:v>
                </c:pt>
                <c:pt idx="23">
                  <c:v>1.4072800000000001</c:v>
                </c:pt>
                <c:pt idx="24">
                  <c:v>1.47393</c:v>
                </c:pt>
                <c:pt idx="25">
                  <c:v>1.5382199999999999</c:v>
                </c:pt>
                <c:pt idx="26">
                  <c:v>1.59981</c:v>
                </c:pt>
                <c:pt idx="27">
                  <c:v>1.6583600000000001</c:v>
                </c:pt>
                <c:pt idx="28">
                  <c:v>1.7135800000000001</c:v>
                </c:pt>
                <c:pt idx="29">
                  <c:v>1.76525</c:v>
                </c:pt>
                <c:pt idx="30">
                  <c:v>1.8131999999999999</c:v>
                </c:pt>
                <c:pt idx="31">
                  <c:v>1.8573299999999999</c:v>
                </c:pt>
                <c:pt idx="32">
                  <c:v>1.8975900000000001</c:v>
                </c:pt>
                <c:pt idx="33">
                  <c:v>1.93401</c:v>
                </c:pt>
                <c:pt idx="34">
                  <c:v>1.9666600000000001</c:v>
                </c:pt>
                <c:pt idx="35">
                  <c:v>1.9956400000000001</c:v>
                </c:pt>
                <c:pt idx="36">
                  <c:v>2.0211000000000001</c:v>
                </c:pt>
                <c:pt idx="37">
                  <c:v>2.0431900000000001</c:v>
                </c:pt>
                <c:pt idx="38">
                  <c:v>2.0621</c:v>
                </c:pt>
                <c:pt idx="39">
                  <c:v>2.0779999999999998</c:v>
                </c:pt>
                <c:pt idx="40">
                  <c:v>2.0910799999999998</c:v>
                </c:pt>
                <c:pt idx="41">
                  <c:v>2.1014900000000001</c:v>
                </c:pt>
                <c:pt idx="42">
                  <c:v>2.10941</c:v>
                </c:pt>
                <c:pt idx="43">
                  <c:v>2.1150099999999998</c:v>
                </c:pt>
                <c:pt idx="44">
                  <c:v>2.11843</c:v>
                </c:pt>
                <c:pt idx="45">
                  <c:v>2.1198399999999999</c:v>
                </c:pt>
                <c:pt idx="46">
                  <c:v>2.1193499999999998</c:v>
                </c:pt>
                <c:pt idx="47">
                  <c:v>2.1171000000000002</c:v>
                </c:pt>
                <c:pt idx="48">
                  <c:v>2.1131899999999999</c:v>
                </c:pt>
                <c:pt idx="49">
                  <c:v>2.1077400000000002</c:v>
                </c:pt>
                <c:pt idx="50">
                  <c:v>2.1008599999999999</c:v>
                </c:pt>
                <c:pt idx="51">
                  <c:v>2.0926800000000001</c:v>
                </c:pt>
                <c:pt idx="52">
                  <c:v>2.0833200000000001</c:v>
                </c:pt>
                <c:pt idx="53">
                  <c:v>2.07294</c:v>
                </c:pt>
                <c:pt idx="54">
                  <c:v>2.0616300000000001</c:v>
                </c:pt>
                <c:pt idx="55">
                  <c:v>2.0495199999999998</c:v>
                </c:pt>
                <c:pt idx="56">
                  <c:v>2.0366900000000001</c:v>
                </c:pt>
                <c:pt idx="57">
                  <c:v>2.0232399999999999</c:v>
                </c:pt>
                <c:pt idx="58">
                  <c:v>2.0092599999999998</c:v>
                </c:pt>
                <c:pt idx="59">
                  <c:v>1.9948399999999999</c:v>
                </c:pt>
                <c:pt idx="60">
                  <c:v>1.98003</c:v>
                </c:pt>
                <c:pt idx="61">
                  <c:v>1.96489</c:v>
                </c:pt>
                <c:pt idx="62">
                  <c:v>1.9494899999999999</c:v>
                </c:pt>
                <c:pt idx="63">
                  <c:v>1.9339</c:v>
                </c:pt>
                <c:pt idx="64">
                  <c:v>1.91818</c:v>
                </c:pt>
                <c:pt idx="65">
                  <c:v>1.9024000000000001</c:v>
                </c:pt>
                <c:pt idx="66">
                  <c:v>1.8866400000000001</c:v>
                </c:pt>
                <c:pt idx="67">
                  <c:v>1.87093</c:v>
                </c:pt>
                <c:pt idx="68">
                  <c:v>1.8552999999999999</c:v>
                </c:pt>
                <c:pt idx="69">
                  <c:v>1.8397699999999999</c:v>
                </c:pt>
                <c:pt idx="70">
                  <c:v>1.8244</c:v>
                </c:pt>
                <c:pt idx="71">
                  <c:v>1.8092299999999999</c:v>
                </c:pt>
                <c:pt idx="72">
                  <c:v>1.79427</c:v>
                </c:pt>
                <c:pt idx="73">
                  <c:v>1.7795700000000001</c:v>
                </c:pt>
                <c:pt idx="74">
                  <c:v>1.7651399999999999</c:v>
                </c:pt>
                <c:pt idx="75">
                  <c:v>1.75101</c:v>
                </c:pt>
                <c:pt idx="76">
                  <c:v>1.73716</c:v>
                </c:pt>
                <c:pt idx="77">
                  <c:v>1.72357</c:v>
                </c:pt>
                <c:pt idx="78">
                  <c:v>1.7102299999999999</c:v>
                </c:pt>
                <c:pt idx="79">
                  <c:v>1.6970700000000001</c:v>
                </c:pt>
                <c:pt idx="80">
                  <c:v>1.68407</c:v>
                </c:pt>
                <c:pt idx="81">
                  <c:v>1.6711800000000001</c:v>
                </c:pt>
                <c:pt idx="82">
                  <c:v>1.6584099999999999</c:v>
                </c:pt>
                <c:pt idx="83">
                  <c:v>1.64578</c:v>
                </c:pt>
                <c:pt idx="84">
                  <c:v>1.63327</c:v>
                </c:pt>
                <c:pt idx="85">
                  <c:v>1.6208800000000001</c:v>
                </c:pt>
                <c:pt idx="86">
                  <c:v>1.6086100000000001</c:v>
                </c:pt>
                <c:pt idx="87">
                  <c:v>1.59646</c:v>
                </c:pt>
                <c:pt idx="88">
                  <c:v>1.58447</c:v>
                </c:pt>
                <c:pt idx="89">
                  <c:v>1.57264</c:v>
                </c:pt>
                <c:pt idx="90">
                  <c:v>1.5609599999999999</c:v>
                </c:pt>
                <c:pt idx="91">
                  <c:v>1.54942</c:v>
                </c:pt>
                <c:pt idx="92">
                  <c:v>1.5379799999999999</c:v>
                </c:pt>
                <c:pt idx="93">
                  <c:v>1.5266500000000001</c:v>
                </c:pt>
                <c:pt idx="94">
                  <c:v>1.51542</c:v>
                </c:pt>
                <c:pt idx="95">
                  <c:v>1.50431</c:v>
                </c:pt>
                <c:pt idx="96">
                  <c:v>1.49336</c:v>
                </c:pt>
                <c:pt idx="97">
                  <c:v>1.4825699999999999</c:v>
                </c:pt>
                <c:pt idx="98">
                  <c:v>1.4719</c:v>
                </c:pt>
                <c:pt idx="99">
                  <c:v>1.4613400000000001</c:v>
                </c:pt>
                <c:pt idx="100">
                  <c:v>1.45089</c:v>
                </c:pt>
                <c:pt idx="101">
                  <c:v>1.44052</c:v>
                </c:pt>
                <c:pt idx="102">
                  <c:v>1.4301600000000001</c:v>
                </c:pt>
                <c:pt idx="103">
                  <c:v>1.41978</c:v>
                </c:pt>
                <c:pt idx="104">
                  <c:v>1.4093800000000001</c:v>
                </c:pt>
                <c:pt idx="105">
                  <c:v>1.39896</c:v>
                </c:pt>
                <c:pt idx="106">
                  <c:v>1.38853</c:v>
                </c:pt>
                <c:pt idx="107">
                  <c:v>1.3780699999999999</c:v>
                </c:pt>
                <c:pt idx="108">
                  <c:v>1.3675600000000001</c:v>
                </c:pt>
                <c:pt idx="109">
                  <c:v>1.3569800000000001</c:v>
                </c:pt>
                <c:pt idx="110">
                  <c:v>1.34639</c:v>
                </c:pt>
                <c:pt idx="111">
                  <c:v>1.33582</c:v>
                </c:pt>
                <c:pt idx="112">
                  <c:v>1.32525</c:v>
                </c:pt>
                <c:pt idx="113">
                  <c:v>1.3146500000000001</c:v>
                </c:pt>
                <c:pt idx="114">
                  <c:v>1.304</c:v>
                </c:pt>
                <c:pt idx="115">
                  <c:v>1.2932699999999999</c:v>
                </c:pt>
                <c:pt idx="116">
                  <c:v>1.2824599999999999</c:v>
                </c:pt>
                <c:pt idx="117">
                  <c:v>1.2715700000000001</c:v>
                </c:pt>
                <c:pt idx="118">
                  <c:v>1.26064</c:v>
                </c:pt>
                <c:pt idx="119">
                  <c:v>1.2496799999999999</c:v>
                </c:pt>
                <c:pt idx="120">
                  <c:v>1.23874</c:v>
                </c:pt>
                <c:pt idx="121">
                  <c:v>1.22786</c:v>
                </c:pt>
                <c:pt idx="122">
                  <c:v>1.21705</c:v>
                </c:pt>
                <c:pt idx="123">
                  <c:v>1.20631</c:v>
                </c:pt>
                <c:pt idx="124">
                  <c:v>1.19563</c:v>
                </c:pt>
                <c:pt idx="125">
                  <c:v>1.1850000000000001</c:v>
                </c:pt>
                <c:pt idx="126">
                  <c:v>1.17442</c:v>
                </c:pt>
                <c:pt idx="127">
                  <c:v>1.16384</c:v>
                </c:pt>
                <c:pt idx="128">
                  <c:v>1.1531899999999999</c:v>
                </c:pt>
                <c:pt idx="129">
                  <c:v>1.14249</c:v>
                </c:pt>
                <c:pt idx="130">
                  <c:v>1.1317900000000001</c:v>
                </c:pt>
                <c:pt idx="131">
                  <c:v>1.12113</c:v>
                </c:pt>
                <c:pt idx="132">
                  <c:v>1.11052</c:v>
                </c:pt>
                <c:pt idx="133">
                  <c:v>1.0999000000000001</c:v>
                </c:pt>
                <c:pt idx="134">
                  <c:v>1.0892599999999999</c:v>
                </c:pt>
                <c:pt idx="135">
                  <c:v>1.0786</c:v>
                </c:pt>
                <c:pt idx="136">
                  <c:v>1.06795</c:v>
                </c:pt>
                <c:pt idx="137">
                  <c:v>1.05731</c:v>
                </c:pt>
                <c:pt idx="138">
                  <c:v>1.0466899999999999</c:v>
                </c:pt>
                <c:pt idx="139">
                  <c:v>1.03609</c:v>
                </c:pt>
                <c:pt idx="140">
                  <c:v>1.02556</c:v>
                </c:pt>
                <c:pt idx="141">
                  <c:v>1.01509</c:v>
                </c:pt>
                <c:pt idx="142">
                  <c:v>1.0046600000000001</c:v>
                </c:pt>
                <c:pt idx="143">
                  <c:v>0.99425399999999997</c:v>
                </c:pt>
                <c:pt idx="144">
                  <c:v>0.98384700000000003</c:v>
                </c:pt>
                <c:pt idx="145">
                  <c:v>0.97342200000000001</c:v>
                </c:pt>
                <c:pt idx="146">
                  <c:v>0.96294800000000003</c:v>
                </c:pt>
                <c:pt idx="147">
                  <c:v>0.95240800000000003</c:v>
                </c:pt>
                <c:pt idx="148">
                  <c:v>0.94181300000000001</c:v>
                </c:pt>
                <c:pt idx="149">
                  <c:v>0.93122700000000003</c:v>
                </c:pt>
                <c:pt idx="150">
                  <c:v>0.92070700000000005</c:v>
                </c:pt>
                <c:pt idx="151">
                  <c:v>0.91027800000000003</c:v>
                </c:pt>
                <c:pt idx="152">
                  <c:v>0.89990700000000001</c:v>
                </c:pt>
                <c:pt idx="153">
                  <c:v>0.88953800000000005</c:v>
                </c:pt>
                <c:pt idx="154">
                  <c:v>0.87914999999999999</c:v>
                </c:pt>
                <c:pt idx="155">
                  <c:v>0.86876799999999998</c:v>
                </c:pt>
                <c:pt idx="156">
                  <c:v>0.85841699999999999</c:v>
                </c:pt>
                <c:pt idx="157">
                  <c:v>0.84811000000000003</c:v>
                </c:pt>
                <c:pt idx="158">
                  <c:v>0.83785100000000001</c:v>
                </c:pt>
                <c:pt idx="159">
                  <c:v>0.82763299999999995</c:v>
                </c:pt>
                <c:pt idx="160">
                  <c:v>0.81743699999999997</c:v>
                </c:pt>
                <c:pt idx="161">
                  <c:v>0.80726399999999998</c:v>
                </c:pt>
                <c:pt idx="162">
                  <c:v>0.79715400000000003</c:v>
                </c:pt>
                <c:pt idx="163">
                  <c:v>0.78717099999999995</c:v>
                </c:pt>
                <c:pt idx="164">
                  <c:v>0.77734999999999999</c:v>
                </c:pt>
                <c:pt idx="165">
                  <c:v>0.76769100000000001</c:v>
                </c:pt>
                <c:pt idx="166">
                  <c:v>0.75817100000000004</c:v>
                </c:pt>
                <c:pt idx="167">
                  <c:v>0.74873900000000004</c:v>
                </c:pt>
                <c:pt idx="168">
                  <c:v>0.73933300000000002</c:v>
                </c:pt>
                <c:pt idx="169">
                  <c:v>0.72992100000000004</c:v>
                </c:pt>
                <c:pt idx="170">
                  <c:v>0.72050199999999998</c:v>
                </c:pt>
                <c:pt idx="171">
                  <c:v>0.71108300000000002</c:v>
                </c:pt>
                <c:pt idx="172">
                  <c:v>0.70168900000000001</c:v>
                </c:pt>
                <c:pt idx="173">
                  <c:v>0.69236200000000003</c:v>
                </c:pt>
                <c:pt idx="174">
                  <c:v>0.68314200000000003</c:v>
                </c:pt>
                <c:pt idx="175">
                  <c:v>0.67406100000000002</c:v>
                </c:pt>
                <c:pt idx="176">
                  <c:v>0.66513800000000001</c:v>
                </c:pt>
                <c:pt idx="177">
                  <c:v>0.65637999999999996</c:v>
                </c:pt>
                <c:pt idx="178">
                  <c:v>0.64777099999999999</c:v>
                </c:pt>
                <c:pt idx="179">
                  <c:v>0.63929100000000005</c:v>
                </c:pt>
                <c:pt idx="180">
                  <c:v>0.63092499999999996</c:v>
                </c:pt>
                <c:pt idx="181">
                  <c:v>0.622664</c:v>
                </c:pt>
                <c:pt idx="182">
                  <c:v>0.61449500000000001</c:v>
                </c:pt>
                <c:pt idx="183">
                  <c:v>0.606406</c:v>
                </c:pt>
                <c:pt idx="184">
                  <c:v>0.59840099999999996</c:v>
                </c:pt>
                <c:pt idx="185">
                  <c:v>0.59048699999999998</c:v>
                </c:pt>
                <c:pt idx="186">
                  <c:v>0.582673</c:v>
                </c:pt>
                <c:pt idx="187">
                  <c:v>0.57498899999999997</c:v>
                </c:pt>
                <c:pt idx="188">
                  <c:v>0.56746399999999997</c:v>
                </c:pt>
                <c:pt idx="189">
                  <c:v>0.56011900000000003</c:v>
                </c:pt>
                <c:pt idx="190">
                  <c:v>0.55295399999999995</c:v>
                </c:pt>
                <c:pt idx="191">
                  <c:v>0.54596</c:v>
                </c:pt>
                <c:pt idx="192">
                  <c:v>0.53912899999999997</c:v>
                </c:pt>
                <c:pt idx="193">
                  <c:v>0.532443</c:v>
                </c:pt>
                <c:pt idx="194">
                  <c:v>0.52589900000000001</c:v>
                </c:pt>
                <c:pt idx="195">
                  <c:v>0.51951000000000003</c:v>
                </c:pt>
                <c:pt idx="196">
                  <c:v>0.51328399999999996</c:v>
                </c:pt>
                <c:pt idx="197">
                  <c:v>0.50722999999999996</c:v>
                </c:pt>
                <c:pt idx="198">
                  <c:v>0.50134000000000001</c:v>
                </c:pt>
                <c:pt idx="199">
                  <c:v>0.49559900000000001</c:v>
                </c:pt>
                <c:pt idx="200">
                  <c:v>0.49000899999999997</c:v>
                </c:pt>
                <c:pt idx="201">
                  <c:v>0.48458200000000001</c:v>
                </c:pt>
                <c:pt idx="202">
                  <c:v>0.47933999999999999</c:v>
                </c:pt>
                <c:pt idx="203">
                  <c:v>0.47429900000000003</c:v>
                </c:pt>
                <c:pt idx="204">
                  <c:v>0.46946599999999999</c:v>
                </c:pt>
                <c:pt idx="205">
                  <c:v>0.46483400000000002</c:v>
                </c:pt>
                <c:pt idx="206">
                  <c:v>0.46038699999999999</c:v>
                </c:pt>
                <c:pt idx="207">
                  <c:v>0.45611200000000002</c:v>
                </c:pt>
                <c:pt idx="208">
                  <c:v>0.45200200000000001</c:v>
                </c:pt>
                <c:pt idx="209">
                  <c:v>0.448046</c:v>
                </c:pt>
                <c:pt idx="210">
                  <c:v>0.44424200000000003</c:v>
                </c:pt>
                <c:pt idx="211">
                  <c:v>0.44060199999999999</c:v>
                </c:pt>
                <c:pt idx="212">
                  <c:v>0.43713999999999997</c:v>
                </c:pt>
                <c:pt idx="213">
                  <c:v>0.43387900000000001</c:v>
                </c:pt>
                <c:pt idx="214">
                  <c:v>0.43083900000000003</c:v>
                </c:pt>
                <c:pt idx="215">
                  <c:v>0.42802400000000002</c:v>
                </c:pt>
                <c:pt idx="216">
                  <c:v>0.42542999999999997</c:v>
                </c:pt>
                <c:pt idx="217">
                  <c:v>0.42307400000000001</c:v>
                </c:pt>
                <c:pt idx="218">
                  <c:v>0.42097299999999999</c:v>
                </c:pt>
                <c:pt idx="219">
                  <c:v>0.419153</c:v>
                </c:pt>
                <c:pt idx="220">
                  <c:v>0.417657</c:v>
                </c:pt>
                <c:pt idx="221">
                  <c:v>0.416522</c:v>
                </c:pt>
                <c:pt idx="222">
                  <c:v>0.41576999999999997</c:v>
                </c:pt>
                <c:pt idx="223">
                  <c:v>0.41540300000000002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BC-4D20-A196-AF34A23F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18144"/>
        <c:axId val="80119680"/>
      </c:scatterChart>
      <c:valAx>
        <c:axId val="8011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19680"/>
        <c:crosses val="autoZero"/>
        <c:crossBetween val="midCat"/>
      </c:valAx>
      <c:valAx>
        <c:axId val="8011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18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Rij!$E$2:$E$87</c:f>
              <c:numCache>
                <c:formatCode>General</c:formatCode>
                <c:ptCount val="86"/>
                <c:pt idx="0">
                  <c:v>1.4742653593239599E-4</c:v>
                </c:pt>
                <c:pt idx="1">
                  <c:v>2.8030297145332302E-3</c:v>
                </c:pt>
                <c:pt idx="2">
                  <c:v>1.5229064203479701E-2</c:v>
                </c:pt>
                <c:pt idx="3">
                  <c:v>4.6098967437609398E-2</c:v>
                </c:pt>
                <c:pt idx="4">
                  <c:v>0.102210883259681</c:v>
                </c:pt>
                <c:pt idx="5">
                  <c:v>0.184071257960189</c:v>
                </c:pt>
                <c:pt idx="6">
                  <c:v>0.28418079745999197</c:v>
                </c:pt>
                <c:pt idx="7">
                  <c:v>0.39017897452372702</c:v>
                </c:pt>
                <c:pt idx="8">
                  <c:v>0.490622445079546</c:v>
                </c:pt>
                <c:pt idx="9">
                  <c:v>0.57861086760744196</c:v>
                </c:pt>
                <c:pt idx="10">
                  <c:v>0.65182078731993898</c:v>
                </c:pt>
                <c:pt idx="11">
                  <c:v>0.71084399433448797</c:v>
                </c:pt>
                <c:pt idx="12">
                  <c:v>0.75756010085047798</c:v>
                </c:pt>
                <c:pt idx="13">
                  <c:v>0.79412671220711095</c:v>
                </c:pt>
                <c:pt idx="14">
                  <c:v>0.82252111990198096</c:v>
                </c:pt>
                <c:pt idx="15">
                  <c:v>0.844392086202568</c:v>
                </c:pt>
                <c:pt idx="16">
                  <c:v>0.86103435288515295</c:v>
                </c:pt>
                <c:pt idx="17">
                  <c:v>0.87343426657428103</c:v>
                </c:pt>
                <c:pt idx="18">
                  <c:v>0.88232567201577905</c:v>
                </c:pt>
                <c:pt idx="19">
                  <c:v>0.88826357333911199</c:v>
                </c:pt>
                <c:pt idx="20">
                  <c:v>0.89168225948985602</c:v>
                </c:pt>
                <c:pt idx="21">
                  <c:v>0.89294807247946395</c:v>
                </c:pt>
                <c:pt idx="22">
                  <c:v>0.89236369313143604</c:v>
                </c:pt>
                <c:pt idx="23">
                  <c:v>0.89018733765272495</c:v>
                </c:pt>
                <c:pt idx="24">
                  <c:v>0.88661507893076497</c:v>
                </c:pt>
                <c:pt idx="25">
                  <c:v>0.88178557871154395</c:v>
                </c:pt>
                <c:pt idx="26">
                  <c:v>0.87575973030527698</c:v>
                </c:pt>
                <c:pt idx="27">
                  <c:v>0.868589230525181</c:v>
                </c:pt>
                <c:pt idx="28">
                  <c:v>0.86026023998257095</c:v>
                </c:pt>
                <c:pt idx="29">
                  <c:v>0.85082454477704295</c:v>
                </c:pt>
                <c:pt idx="30">
                  <c:v>0.84017991200508302</c:v>
                </c:pt>
                <c:pt idx="31">
                  <c:v>0.82852911103252502</c:v>
                </c:pt>
                <c:pt idx="32">
                  <c:v>0.81530561978706295</c:v>
                </c:pt>
                <c:pt idx="33">
                  <c:v>0.80051836690655898</c:v>
                </c:pt>
                <c:pt idx="34">
                  <c:v>0.78558968440233101</c:v>
                </c:pt>
                <c:pt idx="35">
                  <c:v>0.77075573474581205</c:v>
                </c:pt>
                <c:pt idx="36">
                  <c:v>0.75576651607688405</c:v>
                </c:pt>
                <c:pt idx="37">
                  <c:v>0.74074310072494598</c:v>
                </c:pt>
                <c:pt idx="38">
                  <c:v>0.725656559903329</c:v>
                </c:pt>
                <c:pt idx="39">
                  <c:v>0.71052332230569604</c:v>
                </c:pt>
                <c:pt idx="40">
                  <c:v>0.69533753967425005</c:v>
                </c:pt>
                <c:pt idx="41">
                  <c:v>0.68015086417901705</c:v>
                </c:pt>
                <c:pt idx="42">
                  <c:v>0.66497222445785897</c:v>
                </c:pt>
                <c:pt idx="43">
                  <c:v>0.64974340579192102</c:v>
                </c:pt>
                <c:pt idx="44">
                  <c:v>0.63450672992466395</c:v>
                </c:pt>
                <c:pt idx="45">
                  <c:v>0.61926067898765302</c:v>
                </c:pt>
                <c:pt idx="46">
                  <c:v>0.60399962793903506</c:v>
                </c:pt>
                <c:pt idx="47">
                  <c:v>0.58872415714027104</c:v>
                </c:pt>
                <c:pt idx="48">
                  <c:v>0.57343524874152496</c:v>
                </c:pt>
                <c:pt idx="49">
                  <c:v>0.55813812599594703</c:v>
                </c:pt>
                <c:pt idx="50">
                  <c:v>0.54284439613275604</c:v>
                </c:pt>
                <c:pt idx="51">
                  <c:v>0.52753713938320501</c:v>
                </c:pt>
                <c:pt idx="52">
                  <c:v>0.51223162371803799</c:v>
                </c:pt>
                <c:pt idx="53">
                  <c:v>0.49690789363163301</c:v>
                </c:pt>
                <c:pt idx="54">
                  <c:v>0.481600502952514</c:v>
                </c:pt>
                <c:pt idx="55">
                  <c:v>0.46627815680497697</c:v>
                </c:pt>
                <c:pt idx="56">
                  <c:v>0.45095326599565</c:v>
                </c:pt>
                <c:pt idx="57">
                  <c:v>0.43564100920889698</c:v>
                </c:pt>
                <c:pt idx="58">
                  <c:v>0.420343752533751</c:v>
                </c:pt>
                <c:pt idx="59">
                  <c:v>0.40503627256825397</c:v>
                </c:pt>
                <c:pt idx="60">
                  <c:v>0.389706738867239</c:v>
                </c:pt>
                <c:pt idx="61">
                  <c:v>0.37437939268249998</c:v>
                </c:pt>
                <c:pt idx="62">
                  <c:v>0.35907793954755901</c:v>
                </c:pt>
                <c:pt idx="63">
                  <c:v>0.343773316746178</c:v>
                </c:pt>
                <c:pt idx="64">
                  <c:v>0.32846367158599898</c:v>
                </c:pt>
                <c:pt idx="65">
                  <c:v>0.31314837906237297</c:v>
                </c:pt>
                <c:pt idx="66">
                  <c:v>0.29783199278060901</c:v>
                </c:pt>
                <c:pt idx="67">
                  <c:v>0.28251221361645701</c:v>
                </c:pt>
                <c:pt idx="68">
                  <c:v>0.26719870682040398</c:v>
                </c:pt>
                <c:pt idx="69">
                  <c:v>0.251883972336644</c:v>
                </c:pt>
                <c:pt idx="70">
                  <c:v>0.23656841195388201</c:v>
                </c:pt>
                <c:pt idx="71">
                  <c:v>0.22126015073257199</c:v>
                </c:pt>
                <c:pt idx="72">
                  <c:v>0.20595999225012099</c:v>
                </c:pt>
                <c:pt idx="73">
                  <c:v>0.19067246779024399</c:v>
                </c:pt>
                <c:pt idx="74">
                  <c:v>0.17539566885659799</c:v>
                </c:pt>
                <c:pt idx="75">
                  <c:v>0.16012380299536999</c:v>
                </c:pt>
                <c:pt idx="76">
                  <c:v>0.14485817601984799</c:v>
                </c:pt>
                <c:pt idx="77">
                  <c:v>0.12958732579117699</c:v>
                </c:pt>
                <c:pt idx="78">
                  <c:v>0.11432217872993999</c:v>
                </c:pt>
                <c:pt idx="79">
                  <c:v>9.9063047338462301E-2</c:v>
                </c:pt>
                <c:pt idx="80">
                  <c:v>8.3808173791164606E-2</c:v>
                </c:pt>
                <c:pt idx="81">
                  <c:v>6.8561174186380802E-2</c:v>
                </c:pt>
                <c:pt idx="82">
                  <c:v>5.3320352082917299E-2</c:v>
                </c:pt>
                <c:pt idx="83">
                  <c:v>3.8082967505030499E-2</c:v>
                </c:pt>
                <c:pt idx="84">
                  <c:v>2.2852019917001899E-2</c:v>
                </c:pt>
                <c:pt idx="85">
                  <c:v>7.6207926114903197E-3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9-4F02-A897-5356D8EC977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DNS!$B$381:$B$604</c:f>
              <c:numCache>
                <c:formatCode>0.00E+00</c:formatCode>
                <c:ptCount val="224"/>
                <c:pt idx="0">
                  <c:v>0.30789100000000003</c:v>
                </c:pt>
                <c:pt idx="1">
                  <c:v>0.62376399999999999</c:v>
                </c:pt>
                <c:pt idx="2">
                  <c:v>0.94890399999999997</c:v>
                </c:pt>
                <c:pt idx="3">
                  <c:v>1.2846200000000001</c:v>
                </c:pt>
                <c:pt idx="4">
                  <c:v>1.63222</c:v>
                </c:pt>
                <c:pt idx="5">
                  <c:v>1.99305</c:v>
                </c:pt>
                <c:pt idx="6">
                  <c:v>2.3684599999999998</c:v>
                </c:pt>
                <c:pt idx="7">
                  <c:v>2.7598099999999999</c:v>
                </c:pt>
                <c:pt idx="8">
                  <c:v>3.1684600000000001</c:v>
                </c:pt>
                <c:pt idx="9">
                  <c:v>3.59579</c:v>
                </c:pt>
                <c:pt idx="10">
                  <c:v>4.0431600000000003</c:v>
                </c:pt>
                <c:pt idx="11">
                  <c:v>4.5119699999999998</c:v>
                </c:pt>
                <c:pt idx="12">
                  <c:v>5.0035800000000004</c:v>
                </c:pt>
                <c:pt idx="13">
                  <c:v>5.51938</c:v>
                </c:pt>
                <c:pt idx="14">
                  <c:v>6.0607199999999999</c:v>
                </c:pt>
                <c:pt idx="15">
                  <c:v>6.6289600000000002</c:v>
                </c:pt>
                <c:pt idx="16">
                  <c:v>7.22546</c:v>
                </c:pt>
                <c:pt idx="17">
                  <c:v>7.8515600000000001</c:v>
                </c:pt>
                <c:pt idx="18">
                  <c:v>8.5085899999999999</c:v>
                </c:pt>
                <c:pt idx="19">
                  <c:v>9.1978399999999993</c:v>
                </c:pt>
                <c:pt idx="20">
                  <c:v>9.9206299999999992</c:v>
                </c:pt>
                <c:pt idx="21">
                  <c:v>10.6782</c:v>
                </c:pt>
                <c:pt idx="22">
                  <c:v>11.4719</c:v>
                </c:pt>
                <c:pt idx="23">
                  <c:v>12.3028</c:v>
                </c:pt>
                <c:pt idx="24">
                  <c:v>13.1723</c:v>
                </c:pt>
                <c:pt idx="25">
                  <c:v>14.0815</c:v>
                </c:pt>
                <c:pt idx="26">
                  <c:v>15.031499999999999</c:v>
                </c:pt>
                <c:pt idx="27">
                  <c:v>16.023599999999998</c:v>
                </c:pt>
                <c:pt idx="28">
                  <c:v>17.058800000000002</c:v>
                </c:pt>
                <c:pt idx="29">
                  <c:v>18.138200000000001</c:v>
                </c:pt>
                <c:pt idx="30">
                  <c:v>19.262899999999998</c:v>
                </c:pt>
                <c:pt idx="31">
                  <c:v>20.433900000000001</c:v>
                </c:pt>
                <c:pt idx="32">
                  <c:v>21.652200000000001</c:v>
                </c:pt>
                <c:pt idx="33">
                  <c:v>22.918700000000001</c:v>
                </c:pt>
                <c:pt idx="34">
                  <c:v>24.234500000000001</c:v>
                </c:pt>
                <c:pt idx="35">
                  <c:v>25.6004</c:v>
                </c:pt>
                <c:pt idx="36">
                  <c:v>27.017299999999999</c:v>
                </c:pt>
                <c:pt idx="37">
                  <c:v>28.4861</c:v>
                </c:pt>
                <c:pt idx="38">
                  <c:v>30.007400000000001</c:v>
                </c:pt>
                <c:pt idx="39">
                  <c:v>31.5822</c:v>
                </c:pt>
                <c:pt idx="40">
                  <c:v>33.211199999999998</c:v>
                </c:pt>
                <c:pt idx="41">
                  <c:v>34.895000000000003</c:v>
                </c:pt>
                <c:pt idx="42">
                  <c:v>36.634399999999999</c:v>
                </c:pt>
                <c:pt idx="43">
                  <c:v>38.43</c:v>
                </c:pt>
                <c:pt idx="44">
                  <c:v>40.282299999999999</c:v>
                </c:pt>
                <c:pt idx="45">
                  <c:v>42.192</c:v>
                </c:pt>
                <c:pt idx="46">
                  <c:v>44.159599999999998</c:v>
                </c:pt>
                <c:pt idx="47">
                  <c:v>46.185600000000001</c:v>
                </c:pt>
                <c:pt idx="48">
                  <c:v>48.270400000000002</c:v>
                </c:pt>
                <c:pt idx="49">
                  <c:v>50.414499999999997</c:v>
                </c:pt>
                <c:pt idx="50">
                  <c:v>52.618299999999998</c:v>
                </c:pt>
                <c:pt idx="51">
                  <c:v>54.882100000000001</c:v>
                </c:pt>
                <c:pt idx="52">
                  <c:v>57.206200000000003</c:v>
                </c:pt>
                <c:pt idx="53">
                  <c:v>59.591000000000001</c:v>
                </c:pt>
                <c:pt idx="54">
                  <c:v>62.036700000000003</c:v>
                </c:pt>
                <c:pt idx="55">
                  <c:v>64.543499999999995</c:v>
                </c:pt>
                <c:pt idx="56">
                  <c:v>67.111699999999999</c:v>
                </c:pt>
                <c:pt idx="57">
                  <c:v>69.741200000000006</c:v>
                </c:pt>
                <c:pt idx="58">
                  <c:v>72.432400000000001</c:v>
                </c:pt>
                <c:pt idx="59">
                  <c:v>75.185199999999995</c:v>
                </c:pt>
                <c:pt idx="60">
                  <c:v>77.999700000000004</c:v>
                </c:pt>
                <c:pt idx="61">
                  <c:v>80.876000000000005</c:v>
                </c:pt>
                <c:pt idx="62">
                  <c:v>83.813900000000004</c:v>
                </c:pt>
                <c:pt idx="63">
                  <c:v>86.813599999999994</c:v>
                </c:pt>
                <c:pt idx="64">
                  <c:v>89.874899999999997</c:v>
                </c:pt>
                <c:pt idx="65">
                  <c:v>92.997600000000006</c:v>
                </c:pt>
                <c:pt idx="66">
                  <c:v>96.181799999999996</c:v>
                </c:pt>
                <c:pt idx="67">
                  <c:v>99.427099999999996</c:v>
                </c:pt>
                <c:pt idx="68">
                  <c:v>102.733</c:v>
                </c:pt>
                <c:pt idx="69">
                  <c:v>106.101</c:v>
                </c:pt>
                <c:pt idx="70">
                  <c:v>109.52800000000001</c:v>
                </c:pt>
                <c:pt idx="71">
                  <c:v>113.01600000000001</c:v>
                </c:pt>
                <c:pt idx="72">
                  <c:v>116.56399999999999</c:v>
                </c:pt>
                <c:pt idx="73">
                  <c:v>120.172</c:v>
                </c:pt>
                <c:pt idx="74">
                  <c:v>123.839</c:v>
                </c:pt>
                <c:pt idx="75">
                  <c:v>127.56399999999999</c:v>
                </c:pt>
                <c:pt idx="76">
                  <c:v>131.34899999999999</c:v>
                </c:pt>
                <c:pt idx="77">
                  <c:v>135.191</c:v>
                </c:pt>
                <c:pt idx="78">
                  <c:v>139.09100000000001</c:v>
                </c:pt>
                <c:pt idx="79">
                  <c:v>143.048</c:v>
                </c:pt>
                <c:pt idx="80">
                  <c:v>147.06200000000001</c:v>
                </c:pt>
                <c:pt idx="81">
                  <c:v>151.13200000000001</c:v>
                </c:pt>
                <c:pt idx="82">
                  <c:v>155.25800000000001</c:v>
                </c:pt>
                <c:pt idx="83">
                  <c:v>159.43899999999999</c:v>
                </c:pt>
                <c:pt idx="84">
                  <c:v>163.67500000000001</c:v>
                </c:pt>
                <c:pt idx="85">
                  <c:v>167.964</c:v>
                </c:pt>
                <c:pt idx="86">
                  <c:v>172.30699999999999</c:v>
                </c:pt>
                <c:pt idx="87">
                  <c:v>176.703</c:v>
                </c:pt>
                <c:pt idx="88">
                  <c:v>181.15</c:v>
                </c:pt>
                <c:pt idx="89">
                  <c:v>185.65</c:v>
                </c:pt>
                <c:pt idx="90">
                  <c:v>190.2</c:v>
                </c:pt>
                <c:pt idx="91">
                  <c:v>194.8</c:v>
                </c:pt>
                <c:pt idx="92">
                  <c:v>199.45</c:v>
                </c:pt>
                <c:pt idx="93">
                  <c:v>204.149</c:v>
                </c:pt>
                <c:pt idx="94">
                  <c:v>208.89599999999999</c:v>
                </c:pt>
                <c:pt idx="95">
                  <c:v>213.691</c:v>
                </c:pt>
                <c:pt idx="96">
                  <c:v>218.53200000000001</c:v>
                </c:pt>
                <c:pt idx="97">
                  <c:v>223.41900000000001</c:v>
                </c:pt>
                <c:pt idx="98">
                  <c:v>228.352</c:v>
                </c:pt>
                <c:pt idx="99">
                  <c:v>233.32900000000001</c:v>
                </c:pt>
                <c:pt idx="100">
                  <c:v>238.35</c:v>
                </c:pt>
                <c:pt idx="101">
                  <c:v>243.41499999999999</c:v>
                </c:pt>
                <c:pt idx="102">
                  <c:v>248.52099999999999</c:v>
                </c:pt>
                <c:pt idx="103">
                  <c:v>253.67</c:v>
                </c:pt>
                <c:pt idx="104">
                  <c:v>258.85899999999998</c:v>
                </c:pt>
                <c:pt idx="105">
                  <c:v>264.08800000000002</c:v>
                </c:pt>
                <c:pt idx="106">
                  <c:v>269.35700000000003</c:v>
                </c:pt>
                <c:pt idx="107">
                  <c:v>274.66399999999999</c:v>
                </c:pt>
                <c:pt idx="108">
                  <c:v>280.00900000000001</c:v>
                </c:pt>
                <c:pt idx="109">
                  <c:v>285.392</c:v>
                </c:pt>
                <c:pt idx="110">
                  <c:v>290.81</c:v>
                </c:pt>
                <c:pt idx="111">
                  <c:v>296.26499999999999</c:v>
                </c:pt>
                <c:pt idx="112">
                  <c:v>301.75400000000002</c:v>
                </c:pt>
                <c:pt idx="113">
                  <c:v>307.27800000000002</c:v>
                </c:pt>
                <c:pt idx="114">
                  <c:v>312.83499999999998</c:v>
                </c:pt>
                <c:pt idx="115">
                  <c:v>318.42399999999998</c:v>
                </c:pt>
                <c:pt idx="116">
                  <c:v>324.04599999999999</c:v>
                </c:pt>
                <c:pt idx="117">
                  <c:v>329.69900000000001</c:v>
                </c:pt>
                <c:pt idx="118">
                  <c:v>335.38200000000001</c:v>
                </c:pt>
                <c:pt idx="119">
                  <c:v>341.096</c:v>
                </c:pt>
                <c:pt idx="120">
                  <c:v>346.83800000000002</c:v>
                </c:pt>
                <c:pt idx="121">
                  <c:v>352.60899999999998</c:v>
                </c:pt>
                <c:pt idx="122">
                  <c:v>358.40800000000002</c:v>
                </c:pt>
                <c:pt idx="123">
                  <c:v>364.233</c:v>
                </c:pt>
                <c:pt idx="124">
                  <c:v>370.08499999999998</c:v>
                </c:pt>
                <c:pt idx="125">
                  <c:v>375.96300000000002</c:v>
                </c:pt>
                <c:pt idx="126">
                  <c:v>381.86599999999999</c:v>
                </c:pt>
                <c:pt idx="127">
                  <c:v>387.79300000000001</c:v>
                </c:pt>
                <c:pt idx="128">
                  <c:v>393.74400000000003</c:v>
                </c:pt>
                <c:pt idx="129">
                  <c:v>399.71800000000002</c:v>
                </c:pt>
                <c:pt idx="130">
                  <c:v>405.71499999999997</c:v>
                </c:pt>
                <c:pt idx="131">
                  <c:v>411.73399999999998</c:v>
                </c:pt>
                <c:pt idx="132">
                  <c:v>417.774</c:v>
                </c:pt>
                <c:pt idx="133">
                  <c:v>423.83499999999998</c:v>
                </c:pt>
                <c:pt idx="134">
                  <c:v>429.916</c:v>
                </c:pt>
                <c:pt idx="135">
                  <c:v>436.01600000000002</c:v>
                </c:pt>
                <c:pt idx="136">
                  <c:v>442.13600000000002</c:v>
                </c:pt>
                <c:pt idx="137">
                  <c:v>448.274</c:v>
                </c:pt>
                <c:pt idx="138">
                  <c:v>454.43</c:v>
                </c:pt>
                <c:pt idx="139">
                  <c:v>460.60399999999998</c:v>
                </c:pt>
                <c:pt idx="140">
                  <c:v>466.79500000000002</c:v>
                </c:pt>
                <c:pt idx="141">
                  <c:v>473.00200000000001</c:v>
                </c:pt>
                <c:pt idx="142">
                  <c:v>479.22500000000002</c:v>
                </c:pt>
                <c:pt idx="143">
                  <c:v>485.464</c:v>
                </c:pt>
                <c:pt idx="144">
                  <c:v>491.71699999999998</c:v>
                </c:pt>
                <c:pt idx="145">
                  <c:v>497.98599999999999</c:v>
                </c:pt>
                <c:pt idx="146">
                  <c:v>504.26900000000001</c:v>
                </c:pt>
                <c:pt idx="147">
                  <c:v>510.565</c:v>
                </c:pt>
                <c:pt idx="148">
                  <c:v>516.875</c:v>
                </c:pt>
                <c:pt idx="149">
                  <c:v>523.19799999999998</c:v>
                </c:pt>
                <c:pt idx="150">
                  <c:v>529.53399999999999</c:v>
                </c:pt>
                <c:pt idx="151">
                  <c:v>535.88199999999995</c:v>
                </c:pt>
                <c:pt idx="152">
                  <c:v>542.24199999999996</c:v>
                </c:pt>
                <c:pt idx="153">
                  <c:v>548.61300000000006</c:v>
                </c:pt>
                <c:pt idx="154">
                  <c:v>554.99599999999998</c:v>
                </c:pt>
                <c:pt idx="155">
                  <c:v>561.39</c:v>
                </c:pt>
                <c:pt idx="156">
                  <c:v>567.79499999999996</c:v>
                </c:pt>
                <c:pt idx="157">
                  <c:v>574.21</c:v>
                </c:pt>
                <c:pt idx="158">
                  <c:v>580.63499999999999</c:v>
                </c:pt>
                <c:pt idx="159">
                  <c:v>587.07000000000005</c:v>
                </c:pt>
                <c:pt idx="160">
                  <c:v>593.51499999999999</c:v>
                </c:pt>
                <c:pt idx="161">
                  <c:v>599.97</c:v>
                </c:pt>
                <c:pt idx="162">
                  <c:v>606.43299999999999</c:v>
                </c:pt>
                <c:pt idx="163">
                  <c:v>612.90599999999995</c:v>
                </c:pt>
                <c:pt idx="164">
                  <c:v>619.38800000000003</c:v>
                </c:pt>
                <c:pt idx="165">
                  <c:v>625.87800000000004</c:v>
                </c:pt>
                <c:pt idx="166">
                  <c:v>632.37699999999995</c:v>
                </c:pt>
                <c:pt idx="167">
                  <c:v>638.88499999999999</c:v>
                </c:pt>
                <c:pt idx="168">
                  <c:v>645.40099999999995</c:v>
                </c:pt>
                <c:pt idx="169">
                  <c:v>651.92499999999995</c:v>
                </c:pt>
                <c:pt idx="170">
                  <c:v>658.45699999999999</c:v>
                </c:pt>
                <c:pt idx="171">
                  <c:v>664.99800000000005</c:v>
                </c:pt>
                <c:pt idx="172">
                  <c:v>671.54600000000005</c:v>
                </c:pt>
                <c:pt idx="173">
                  <c:v>678.10199999999998</c:v>
                </c:pt>
                <c:pt idx="174">
                  <c:v>684.66700000000003</c:v>
                </c:pt>
                <c:pt idx="175">
                  <c:v>691.23900000000003</c:v>
                </c:pt>
                <c:pt idx="176">
                  <c:v>697.81899999999996</c:v>
                </c:pt>
                <c:pt idx="177">
                  <c:v>704.40700000000004</c:v>
                </c:pt>
                <c:pt idx="178">
                  <c:v>711.00300000000004</c:v>
                </c:pt>
                <c:pt idx="179">
                  <c:v>717.60799999999995</c:v>
                </c:pt>
                <c:pt idx="180">
                  <c:v>724.22</c:v>
                </c:pt>
                <c:pt idx="181">
                  <c:v>730.84</c:v>
                </c:pt>
                <c:pt idx="182">
                  <c:v>737.46900000000005</c:v>
                </c:pt>
                <c:pt idx="183">
                  <c:v>744.10599999999999</c:v>
                </c:pt>
                <c:pt idx="184">
                  <c:v>750.75099999999998</c:v>
                </c:pt>
                <c:pt idx="185">
                  <c:v>757.40599999999995</c:v>
                </c:pt>
                <c:pt idx="186">
                  <c:v>764.06899999999996</c:v>
                </c:pt>
                <c:pt idx="187">
                  <c:v>770.74</c:v>
                </c:pt>
                <c:pt idx="188">
                  <c:v>777.42100000000005</c:v>
                </c:pt>
                <c:pt idx="189">
                  <c:v>784.11199999999997</c:v>
                </c:pt>
                <c:pt idx="190">
                  <c:v>790.81200000000001</c:v>
                </c:pt>
                <c:pt idx="191">
                  <c:v>797.52099999999996</c:v>
                </c:pt>
                <c:pt idx="192">
                  <c:v>804.24099999999999</c:v>
                </c:pt>
                <c:pt idx="193">
                  <c:v>810.97199999999998</c:v>
                </c:pt>
                <c:pt idx="194">
                  <c:v>817.71199999999999</c:v>
                </c:pt>
                <c:pt idx="195">
                  <c:v>824.46400000000006</c:v>
                </c:pt>
                <c:pt idx="196">
                  <c:v>831.22699999999998</c:v>
                </c:pt>
                <c:pt idx="197">
                  <c:v>838.00199999999995</c:v>
                </c:pt>
                <c:pt idx="198">
                  <c:v>844.78899999999999</c:v>
                </c:pt>
                <c:pt idx="199">
                  <c:v>851.58900000000006</c:v>
                </c:pt>
                <c:pt idx="200">
                  <c:v>858.40099999999995</c:v>
                </c:pt>
                <c:pt idx="201">
                  <c:v>865.226</c:v>
                </c:pt>
                <c:pt idx="202">
                  <c:v>872.06600000000003</c:v>
                </c:pt>
                <c:pt idx="203">
                  <c:v>878.91899999999998</c:v>
                </c:pt>
                <c:pt idx="204">
                  <c:v>885.78800000000001</c:v>
                </c:pt>
                <c:pt idx="205">
                  <c:v>892.67200000000003</c:v>
                </c:pt>
                <c:pt idx="206">
                  <c:v>899.57100000000003</c:v>
                </c:pt>
                <c:pt idx="207">
                  <c:v>906.48699999999997</c:v>
                </c:pt>
                <c:pt idx="208">
                  <c:v>913.42100000000005</c:v>
                </c:pt>
                <c:pt idx="209">
                  <c:v>920.37199999999996</c:v>
                </c:pt>
                <c:pt idx="210">
                  <c:v>927.34100000000001</c:v>
                </c:pt>
                <c:pt idx="211">
                  <c:v>934.33</c:v>
                </c:pt>
                <c:pt idx="212">
                  <c:v>941.33900000000006</c:v>
                </c:pt>
                <c:pt idx="213">
                  <c:v>948.36800000000005</c:v>
                </c:pt>
                <c:pt idx="214">
                  <c:v>955.41899999999998</c:v>
                </c:pt>
                <c:pt idx="215">
                  <c:v>962.49199999999996</c:v>
                </c:pt>
                <c:pt idx="216">
                  <c:v>969.58799999999997</c:v>
                </c:pt>
                <c:pt idx="217">
                  <c:v>976.70899999999995</c:v>
                </c:pt>
                <c:pt idx="218">
                  <c:v>983.85500000000002</c:v>
                </c:pt>
                <c:pt idx="219">
                  <c:v>991.02700000000004</c:v>
                </c:pt>
                <c:pt idx="220">
                  <c:v>998.226</c:v>
                </c:pt>
                <c:pt idx="221">
                  <c:v>1005.45</c:v>
                </c:pt>
                <c:pt idx="222">
                  <c:v>1012.71</c:v>
                </c:pt>
                <c:pt idx="223">
                  <c:v>1020</c:v>
                </c:pt>
              </c:numCache>
            </c:numRef>
          </c:xVal>
          <c:yVal>
            <c:numRef>
              <c:f>DNS!$D$381:$D$604</c:f>
              <c:numCache>
                <c:formatCode>0.00E+00</c:formatCode>
                <c:ptCount val="224"/>
                <c:pt idx="0">
                  <c:v>3.1108600000000002E-5</c:v>
                </c:pt>
                <c:pt idx="1">
                  <c:v>2.6180000000000002E-4</c:v>
                </c:pt>
                <c:pt idx="2">
                  <c:v>9.3496900000000001E-4</c:v>
                </c:pt>
                <c:pt idx="3">
                  <c:v>2.3458799999999998E-3</c:v>
                </c:pt>
                <c:pt idx="4">
                  <c:v>4.8421899999999997E-3</c:v>
                </c:pt>
                <c:pt idx="5">
                  <c:v>8.8182799999999995E-3</c:v>
                </c:pt>
                <c:pt idx="6">
                  <c:v>1.47029E-2</c:v>
                </c:pt>
                <c:pt idx="7">
                  <c:v>2.29404E-2</c:v>
                </c:pt>
                <c:pt idx="8">
                  <c:v>3.39654E-2</c:v>
                </c:pt>
                <c:pt idx="9">
                  <c:v>4.8173300000000002E-2</c:v>
                </c:pt>
                <c:pt idx="10">
                  <c:v>6.5888600000000005E-2</c:v>
                </c:pt>
                <c:pt idx="11">
                  <c:v>8.7334099999999998E-2</c:v>
                </c:pt>
                <c:pt idx="12">
                  <c:v>0.112605</c:v>
                </c:pt>
                <c:pt idx="13">
                  <c:v>0.14165</c:v>
                </c:pt>
                <c:pt idx="14">
                  <c:v>0.174266</c:v>
                </c:pt>
                <c:pt idx="15">
                  <c:v>0.21009800000000001</c:v>
                </c:pt>
                <c:pt idx="16">
                  <c:v>0.24865999999999999</c:v>
                </c:pt>
                <c:pt idx="17">
                  <c:v>0.28935699999999998</c:v>
                </c:pt>
                <c:pt idx="18">
                  <c:v>0.33152500000000001</c:v>
                </c:pt>
                <c:pt idx="19">
                  <c:v>0.37446299999999999</c:v>
                </c:pt>
                <c:pt idx="20">
                  <c:v>0.41747800000000002</c:v>
                </c:pt>
                <c:pt idx="21">
                  <c:v>0.45992</c:v>
                </c:pt>
                <c:pt idx="22">
                  <c:v>0.50120799999999999</c:v>
                </c:pt>
                <c:pt idx="23">
                  <c:v>0.54085300000000003</c:v>
                </c:pt>
                <c:pt idx="24">
                  <c:v>0.57846900000000001</c:v>
                </c:pt>
                <c:pt idx="25">
                  <c:v>0.61377599999999999</c:v>
                </c:pt>
                <c:pt idx="26">
                  <c:v>0.64659299999999997</c:v>
                </c:pt>
                <c:pt idx="27">
                  <c:v>0.67683000000000004</c:v>
                </c:pt>
                <c:pt idx="28">
                  <c:v>0.70447300000000002</c:v>
                </c:pt>
                <c:pt idx="29">
                  <c:v>0.72956799999999999</c:v>
                </c:pt>
                <c:pt idx="30">
                  <c:v>0.75220799999999999</c:v>
                </c:pt>
                <c:pt idx="31">
                  <c:v>0.77251999999999998</c:v>
                </c:pt>
                <c:pt idx="32">
                  <c:v>0.79064900000000005</c:v>
                </c:pt>
                <c:pt idx="33">
                  <c:v>0.80675200000000002</c:v>
                </c:pt>
                <c:pt idx="34">
                  <c:v>0.82099200000000006</c:v>
                </c:pt>
                <c:pt idx="35">
                  <c:v>0.83352800000000005</c:v>
                </c:pt>
                <c:pt idx="36">
                  <c:v>0.84451600000000004</c:v>
                </c:pt>
                <c:pt idx="37">
                  <c:v>0.85409900000000005</c:v>
                </c:pt>
                <c:pt idx="38">
                  <c:v>0.86241599999999996</c:v>
                </c:pt>
                <c:pt idx="39">
                  <c:v>0.869591</c:v>
                </c:pt>
                <c:pt idx="40">
                  <c:v>0.87573999999999996</c:v>
                </c:pt>
                <c:pt idx="41">
                  <c:v>0.88097000000000003</c:v>
                </c:pt>
                <c:pt idx="42">
                  <c:v>0.88537699999999997</c:v>
                </c:pt>
                <c:pt idx="43">
                  <c:v>0.88904499999999997</c:v>
                </c:pt>
                <c:pt idx="44">
                  <c:v>0.89205199999999996</c:v>
                </c:pt>
                <c:pt idx="45">
                  <c:v>0.89446899999999996</c:v>
                </c:pt>
                <c:pt idx="46">
                  <c:v>0.89635900000000002</c:v>
                </c:pt>
                <c:pt idx="47">
                  <c:v>0.89778199999999997</c:v>
                </c:pt>
                <c:pt idx="48">
                  <c:v>0.89878800000000003</c:v>
                </c:pt>
                <c:pt idx="49">
                  <c:v>0.89942299999999997</c:v>
                </c:pt>
                <c:pt idx="50">
                  <c:v>0.89972700000000005</c:v>
                </c:pt>
                <c:pt idx="51">
                  <c:v>0.899733</c:v>
                </c:pt>
                <c:pt idx="52">
                  <c:v>0.89947100000000002</c:v>
                </c:pt>
                <c:pt idx="53">
                  <c:v>0.89896500000000001</c:v>
                </c:pt>
                <c:pt idx="54">
                  <c:v>0.89823799999999998</c:v>
                </c:pt>
                <c:pt idx="55">
                  <c:v>0.89730900000000002</c:v>
                </c:pt>
                <c:pt idx="56">
                  <c:v>0.89619800000000005</c:v>
                </c:pt>
                <c:pt idx="57">
                  <c:v>0.89491900000000002</c:v>
                </c:pt>
                <c:pt idx="58">
                  <c:v>0.893486</c:v>
                </c:pt>
                <c:pt idx="59">
                  <c:v>0.89190800000000003</c:v>
                </c:pt>
                <c:pt idx="60">
                  <c:v>0.89019300000000001</c:v>
                </c:pt>
                <c:pt idx="61">
                  <c:v>0.888347</c:v>
                </c:pt>
                <c:pt idx="62">
                  <c:v>0.886378</c:v>
                </c:pt>
                <c:pt idx="63">
                  <c:v>0.884293</c:v>
                </c:pt>
                <c:pt idx="64">
                  <c:v>0.88209800000000005</c:v>
                </c:pt>
                <c:pt idx="65">
                  <c:v>0.87980000000000003</c:v>
                </c:pt>
                <c:pt idx="66">
                  <c:v>0.87740399999999996</c:v>
                </c:pt>
                <c:pt idx="67">
                  <c:v>0.87491399999999997</c:v>
                </c:pt>
                <c:pt idx="68">
                  <c:v>0.872332</c:v>
                </c:pt>
                <c:pt idx="69">
                  <c:v>0.86965999999999999</c:v>
                </c:pt>
                <c:pt idx="70">
                  <c:v>0.86690100000000003</c:v>
                </c:pt>
                <c:pt idx="71">
                  <c:v>0.86405500000000002</c:v>
                </c:pt>
                <c:pt idx="72">
                  <c:v>0.86112500000000003</c:v>
                </c:pt>
                <c:pt idx="73">
                  <c:v>0.85811400000000004</c:v>
                </c:pt>
                <c:pt idx="74">
                  <c:v>0.85502299999999998</c:v>
                </c:pt>
                <c:pt idx="75">
                  <c:v>0.85185200000000005</c:v>
                </c:pt>
                <c:pt idx="76">
                  <c:v>0.848603</c:v>
                </c:pt>
                <c:pt idx="77">
                  <c:v>0.845279</c:v>
                </c:pt>
                <c:pt idx="78">
                  <c:v>0.84188099999999999</c:v>
                </c:pt>
                <c:pt idx="79">
                  <c:v>0.83841399999999999</c:v>
                </c:pt>
                <c:pt idx="80">
                  <c:v>0.83487900000000004</c:v>
                </c:pt>
                <c:pt idx="81">
                  <c:v>0.83127300000000004</c:v>
                </c:pt>
                <c:pt idx="82">
                  <c:v>0.82759899999999997</c:v>
                </c:pt>
                <c:pt idx="83">
                  <c:v>0.82386000000000004</c:v>
                </c:pt>
                <c:pt idx="84">
                  <c:v>0.82005600000000001</c:v>
                </c:pt>
                <c:pt idx="85">
                  <c:v>0.81618500000000005</c:v>
                </c:pt>
                <c:pt idx="86">
                  <c:v>0.81225099999999995</c:v>
                </c:pt>
                <c:pt idx="87">
                  <c:v>0.80825400000000003</c:v>
                </c:pt>
                <c:pt idx="88">
                  <c:v>0.80419499999999999</c:v>
                </c:pt>
                <c:pt idx="89">
                  <c:v>0.80007600000000001</c:v>
                </c:pt>
                <c:pt idx="90">
                  <c:v>0.79589900000000002</c:v>
                </c:pt>
                <c:pt idx="91">
                  <c:v>0.79166499999999995</c:v>
                </c:pt>
                <c:pt idx="92">
                  <c:v>0.78737199999999996</c:v>
                </c:pt>
                <c:pt idx="93">
                  <c:v>0.78302099999999997</c:v>
                </c:pt>
                <c:pt idx="94">
                  <c:v>0.778613</c:v>
                </c:pt>
                <c:pt idx="95">
                  <c:v>0.77415100000000003</c:v>
                </c:pt>
                <c:pt idx="96">
                  <c:v>0.76963599999999999</c:v>
                </c:pt>
                <c:pt idx="97">
                  <c:v>0.76506799999999997</c:v>
                </c:pt>
                <c:pt idx="98">
                  <c:v>0.76044599999999996</c:v>
                </c:pt>
                <c:pt idx="99">
                  <c:v>0.75577099999999997</c:v>
                </c:pt>
                <c:pt idx="100">
                  <c:v>0.75104599999999999</c:v>
                </c:pt>
                <c:pt idx="101">
                  <c:v>0.74627399999999999</c:v>
                </c:pt>
                <c:pt idx="102">
                  <c:v>0.74145700000000003</c:v>
                </c:pt>
                <c:pt idx="103">
                  <c:v>0.736595</c:v>
                </c:pt>
                <c:pt idx="104">
                  <c:v>0.73168599999999995</c:v>
                </c:pt>
                <c:pt idx="105">
                  <c:v>0.72673500000000002</c:v>
                </c:pt>
                <c:pt idx="106">
                  <c:v>0.72174199999999999</c:v>
                </c:pt>
                <c:pt idx="107">
                  <c:v>0.71670900000000004</c:v>
                </c:pt>
                <c:pt idx="108">
                  <c:v>0.71163500000000002</c:v>
                </c:pt>
                <c:pt idx="109">
                  <c:v>0.70651900000000001</c:v>
                </c:pt>
                <c:pt idx="110">
                  <c:v>0.70136299999999996</c:v>
                </c:pt>
                <c:pt idx="111">
                  <c:v>0.69616599999999995</c:v>
                </c:pt>
                <c:pt idx="112">
                  <c:v>0.69093099999999996</c:v>
                </c:pt>
                <c:pt idx="113">
                  <c:v>0.68566099999999996</c:v>
                </c:pt>
                <c:pt idx="114">
                  <c:v>0.68035599999999996</c:v>
                </c:pt>
                <c:pt idx="115">
                  <c:v>0.67502099999999998</c:v>
                </c:pt>
                <c:pt idx="116">
                  <c:v>0.66965600000000003</c:v>
                </c:pt>
                <c:pt idx="117">
                  <c:v>0.66425800000000002</c:v>
                </c:pt>
                <c:pt idx="118">
                  <c:v>0.65882600000000002</c:v>
                </c:pt>
                <c:pt idx="119">
                  <c:v>0.65335799999999999</c:v>
                </c:pt>
                <c:pt idx="120">
                  <c:v>0.64785599999999999</c:v>
                </c:pt>
                <c:pt idx="121">
                  <c:v>0.64232400000000001</c:v>
                </c:pt>
                <c:pt idx="122">
                  <c:v>0.63675999999999999</c:v>
                </c:pt>
                <c:pt idx="123">
                  <c:v>0.63116499999999998</c:v>
                </c:pt>
                <c:pt idx="124">
                  <c:v>0.62553499999999995</c:v>
                </c:pt>
                <c:pt idx="125">
                  <c:v>0.61987599999999998</c:v>
                </c:pt>
                <c:pt idx="126">
                  <c:v>0.61418799999999996</c:v>
                </c:pt>
                <c:pt idx="127">
                  <c:v>0.60847300000000004</c:v>
                </c:pt>
                <c:pt idx="128">
                  <c:v>0.60273299999999996</c:v>
                </c:pt>
                <c:pt idx="129">
                  <c:v>0.59697</c:v>
                </c:pt>
                <c:pt idx="130">
                  <c:v>0.59118499999999996</c:v>
                </c:pt>
                <c:pt idx="131">
                  <c:v>0.58537899999999998</c:v>
                </c:pt>
                <c:pt idx="132">
                  <c:v>0.57955199999999996</c:v>
                </c:pt>
                <c:pt idx="133">
                  <c:v>0.57370500000000002</c:v>
                </c:pt>
                <c:pt idx="134">
                  <c:v>0.56783799999999995</c:v>
                </c:pt>
                <c:pt idx="135">
                  <c:v>0.56194999999999995</c:v>
                </c:pt>
                <c:pt idx="136">
                  <c:v>0.55604100000000001</c:v>
                </c:pt>
                <c:pt idx="137">
                  <c:v>0.55011100000000002</c:v>
                </c:pt>
                <c:pt idx="138">
                  <c:v>0.54415999999999998</c:v>
                </c:pt>
                <c:pt idx="139">
                  <c:v>0.53819099999999997</c:v>
                </c:pt>
                <c:pt idx="140">
                  <c:v>0.53220400000000001</c:v>
                </c:pt>
                <c:pt idx="141">
                  <c:v>0.52620100000000003</c:v>
                </c:pt>
                <c:pt idx="142">
                  <c:v>0.52018399999999998</c:v>
                </c:pt>
                <c:pt idx="143">
                  <c:v>0.51415100000000002</c:v>
                </c:pt>
                <c:pt idx="144">
                  <c:v>0.50810200000000005</c:v>
                </c:pt>
                <c:pt idx="145">
                  <c:v>0.50203699999999996</c:v>
                </c:pt>
                <c:pt idx="146">
                  <c:v>0.49595400000000001</c:v>
                </c:pt>
                <c:pt idx="147">
                  <c:v>0.48985299999999998</c:v>
                </c:pt>
                <c:pt idx="148">
                  <c:v>0.483736</c:v>
                </c:pt>
                <c:pt idx="149">
                  <c:v>0.477607</c:v>
                </c:pt>
                <c:pt idx="150">
                  <c:v>0.471466</c:v>
                </c:pt>
                <c:pt idx="151">
                  <c:v>0.46531600000000001</c:v>
                </c:pt>
                <c:pt idx="152">
                  <c:v>0.45915600000000001</c:v>
                </c:pt>
                <c:pt idx="153">
                  <c:v>0.452986</c:v>
                </c:pt>
                <c:pt idx="154">
                  <c:v>0.44680500000000001</c:v>
                </c:pt>
                <c:pt idx="155">
                  <c:v>0.440612</c:v>
                </c:pt>
                <c:pt idx="156">
                  <c:v>0.43440800000000002</c:v>
                </c:pt>
                <c:pt idx="157">
                  <c:v>0.42819200000000002</c:v>
                </c:pt>
                <c:pt idx="158">
                  <c:v>0.42196499999999998</c:v>
                </c:pt>
                <c:pt idx="159">
                  <c:v>0.41572700000000001</c:v>
                </c:pt>
                <c:pt idx="160">
                  <c:v>0.40948000000000001</c:v>
                </c:pt>
                <c:pt idx="161">
                  <c:v>0.40322400000000003</c:v>
                </c:pt>
                <c:pt idx="162">
                  <c:v>0.39695900000000001</c:v>
                </c:pt>
                <c:pt idx="163">
                  <c:v>0.39068599999999998</c:v>
                </c:pt>
                <c:pt idx="164">
                  <c:v>0.384405</c:v>
                </c:pt>
                <c:pt idx="165">
                  <c:v>0.37811899999999998</c:v>
                </c:pt>
                <c:pt idx="166">
                  <c:v>0.37182700000000002</c:v>
                </c:pt>
                <c:pt idx="167">
                  <c:v>0.36552800000000002</c:v>
                </c:pt>
                <c:pt idx="168">
                  <c:v>0.35922100000000001</c:v>
                </c:pt>
                <c:pt idx="169">
                  <c:v>0.35290700000000003</c:v>
                </c:pt>
                <c:pt idx="170">
                  <c:v>0.34658800000000001</c:v>
                </c:pt>
                <c:pt idx="171">
                  <c:v>0.34026299999999998</c:v>
                </c:pt>
                <c:pt idx="172">
                  <c:v>0.33393400000000001</c:v>
                </c:pt>
                <c:pt idx="173">
                  <c:v>0.32760099999999998</c:v>
                </c:pt>
                <c:pt idx="174">
                  <c:v>0.32126199999999999</c:v>
                </c:pt>
                <c:pt idx="175">
                  <c:v>0.314919</c:v>
                </c:pt>
                <c:pt idx="176">
                  <c:v>0.30857200000000001</c:v>
                </c:pt>
                <c:pt idx="177">
                  <c:v>0.30221900000000002</c:v>
                </c:pt>
                <c:pt idx="178">
                  <c:v>0.29586099999999999</c:v>
                </c:pt>
                <c:pt idx="179">
                  <c:v>0.28949799999999998</c:v>
                </c:pt>
                <c:pt idx="180">
                  <c:v>0.28312900000000002</c:v>
                </c:pt>
                <c:pt idx="181">
                  <c:v>0.27675499999999997</c:v>
                </c:pt>
                <c:pt idx="182">
                  <c:v>0.27037499999999998</c:v>
                </c:pt>
                <c:pt idx="183">
                  <c:v>0.263988</c:v>
                </c:pt>
                <c:pt idx="184">
                  <c:v>0.25759500000000002</c:v>
                </c:pt>
                <c:pt idx="185">
                  <c:v>0.251195</c:v>
                </c:pt>
                <c:pt idx="186">
                  <c:v>0.24478800000000001</c:v>
                </c:pt>
                <c:pt idx="187">
                  <c:v>0.238374</c:v>
                </c:pt>
                <c:pt idx="188">
                  <c:v>0.23195299999999999</c:v>
                </c:pt>
                <c:pt idx="189">
                  <c:v>0.225526</c:v>
                </c:pt>
                <c:pt idx="190">
                  <c:v>0.21909100000000001</c:v>
                </c:pt>
                <c:pt idx="191">
                  <c:v>0.212649</c:v>
                </c:pt>
                <c:pt idx="192">
                  <c:v>0.20619699999999999</c:v>
                </c:pt>
                <c:pt idx="193">
                  <c:v>0.199736</c:v>
                </c:pt>
                <c:pt idx="194">
                  <c:v>0.19326699999999999</c:v>
                </c:pt>
                <c:pt idx="195">
                  <c:v>0.18679000000000001</c:v>
                </c:pt>
                <c:pt idx="196">
                  <c:v>0.18030399999999999</c:v>
                </c:pt>
                <c:pt idx="197">
                  <c:v>0.17380899999999999</c:v>
                </c:pt>
                <c:pt idx="198">
                  <c:v>0.16730500000000001</c:v>
                </c:pt>
                <c:pt idx="199">
                  <c:v>0.16078999999999999</c:v>
                </c:pt>
                <c:pt idx="200">
                  <c:v>0.15426400000000001</c:v>
                </c:pt>
                <c:pt idx="201">
                  <c:v>0.147727</c:v>
                </c:pt>
                <c:pt idx="202">
                  <c:v>0.14118</c:v>
                </c:pt>
                <c:pt idx="203">
                  <c:v>0.13462199999999999</c:v>
                </c:pt>
                <c:pt idx="204">
                  <c:v>0.128052</c:v>
                </c:pt>
                <c:pt idx="205">
                  <c:v>0.12146800000000001</c:v>
                </c:pt>
                <c:pt idx="206">
                  <c:v>0.11487</c:v>
                </c:pt>
                <c:pt idx="207">
                  <c:v>0.10825600000000001</c:v>
                </c:pt>
                <c:pt idx="208">
                  <c:v>0.101628</c:v>
                </c:pt>
                <c:pt idx="209">
                  <c:v>9.4985399999999998E-2</c:v>
                </c:pt>
                <c:pt idx="210">
                  <c:v>8.8329299999999999E-2</c:v>
                </c:pt>
                <c:pt idx="211">
                  <c:v>8.1658900000000006E-2</c:v>
                </c:pt>
                <c:pt idx="212">
                  <c:v>7.4972200000000003E-2</c:v>
                </c:pt>
                <c:pt idx="213">
                  <c:v>6.8266900000000005E-2</c:v>
                </c:pt>
                <c:pt idx="214">
                  <c:v>6.1541999999999999E-2</c:v>
                </c:pt>
                <c:pt idx="215">
                  <c:v>5.4796900000000003E-2</c:v>
                </c:pt>
                <c:pt idx="216">
                  <c:v>4.80306E-2</c:v>
                </c:pt>
                <c:pt idx="217">
                  <c:v>4.1241800000000002E-2</c:v>
                </c:pt>
                <c:pt idx="218">
                  <c:v>3.4430299999999997E-2</c:v>
                </c:pt>
                <c:pt idx="219">
                  <c:v>2.75953E-2</c:v>
                </c:pt>
                <c:pt idx="220">
                  <c:v>2.0735300000000002E-2</c:v>
                </c:pt>
                <c:pt idx="221">
                  <c:v>1.38485E-2</c:v>
                </c:pt>
                <c:pt idx="222">
                  <c:v>6.9358199999999997E-3</c:v>
                </c:pt>
                <c:pt idx="22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9-4F02-A897-5356D8EC9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37600"/>
        <c:axId val="80168064"/>
      </c:scatterChart>
      <c:valAx>
        <c:axId val="80137600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80168064"/>
        <c:crosses val="autoZero"/>
        <c:crossBetween val="midCat"/>
      </c:valAx>
      <c:valAx>
        <c:axId val="8016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137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Diss.!$D$2:$D$87</c:f>
              <c:numCache>
                <c:formatCode>0.00E+00</c:formatCode>
                <c:ptCount val="86"/>
                <c:pt idx="0">
                  <c:v>-0.22273378844774314</c:v>
                </c:pt>
                <c:pt idx="1">
                  <c:v>-0.20684140953347266</c:v>
                </c:pt>
                <c:pt idx="2">
                  <c:v>-0.1902073449391877</c:v>
                </c:pt>
                <c:pt idx="3">
                  <c:v>-0.16931804738633746</c:v>
                </c:pt>
                <c:pt idx="4">
                  <c:v>-0.14640097685588244</c:v>
                </c:pt>
                <c:pt idx="5">
                  <c:v>-0.12819816662290817</c:v>
                </c:pt>
                <c:pt idx="6">
                  <c:v>-0.11986831598218928</c:v>
                </c:pt>
                <c:pt idx="7">
                  <c:v>-0.11975462774265914</c:v>
                </c:pt>
                <c:pt idx="8">
                  <c:v>-0.12123713280637569</c:v>
                </c:pt>
                <c:pt idx="9">
                  <c:v>-0.1193529108866348</c:v>
                </c:pt>
                <c:pt idx="10">
                  <c:v>-0.11340228366704949</c:v>
                </c:pt>
                <c:pt idx="11">
                  <c:v>-0.10496967431163626</c:v>
                </c:pt>
                <c:pt idx="12">
                  <c:v>-9.5797495531387875E-2</c:v>
                </c:pt>
                <c:pt idx="13">
                  <c:v>-8.7014556904620122E-2</c:v>
                </c:pt>
                <c:pt idx="14">
                  <c:v>-7.9144664146955868E-2</c:v>
                </c:pt>
                <c:pt idx="15">
                  <c:v>-7.2309594447307196E-2</c:v>
                </c:pt>
                <c:pt idx="16">
                  <c:v>-6.6408089100710707E-2</c:v>
                </c:pt>
                <c:pt idx="17">
                  <c:v>-6.1244422536157861E-2</c:v>
                </c:pt>
                <c:pt idx="18">
                  <c:v>-5.6611893464539216E-2</c:v>
                </c:pt>
                <c:pt idx="19">
                  <c:v>-5.234057464487063E-2</c:v>
                </c:pt>
                <c:pt idx="20">
                  <c:v>-4.8323044991602462E-2</c:v>
                </c:pt>
                <c:pt idx="21">
                  <c:v>-4.450691643379627E-2</c:v>
                </c:pt>
                <c:pt idx="22">
                  <c:v>-4.0881947837851956E-2</c:v>
                </c:pt>
                <c:pt idx="23">
                  <c:v>-3.7469027541085012E-2</c:v>
                </c:pt>
                <c:pt idx="24">
                  <c:v>-3.4291115663102112E-2</c:v>
                </c:pt>
                <c:pt idx="25">
                  <c:v>-3.1358039148394051E-2</c:v>
                </c:pt>
                <c:pt idx="26">
                  <c:v>-2.8676603516150069E-2</c:v>
                </c:pt>
                <c:pt idx="27">
                  <c:v>-2.625349035933084E-2</c:v>
                </c:pt>
                <c:pt idx="28">
                  <c:v>-2.4068143167728578E-2</c:v>
                </c:pt>
                <c:pt idx="29">
                  <c:v>-2.2099071070420549E-2</c:v>
                </c:pt>
                <c:pt idx="30">
                  <c:v>-2.033459102171737E-2</c:v>
                </c:pt>
                <c:pt idx="31">
                  <c:v>-1.875444468758675E-2</c:v>
                </c:pt>
                <c:pt idx="32">
                  <c:v>-1.7455692860754692E-2</c:v>
                </c:pt>
                <c:pt idx="33">
                  <c:v>-1.590319413171672E-2</c:v>
                </c:pt>
                <c:pt idx="34">
                  <c:v>-1.467680102495288E-2</c:v>
                </c:pt>
                <c:pt idx="35">
                  <c:v>-1.367388700527482E-2</c:v>
                </c:pt>
                <c:pt idx="36">
                  <c:v>-1.281394939497839E-2</c:v>
                </c:pt>
                <c:pt idx="37">
                  <c:v>-1.205257601868129E-2</c:v>
                </c:pt>
                <c:pt idx="38">
                  <c:v>-1.1371335231942491E-2</c:v>
                </c:pt>
                <c:pt idx="39">
                  <c:v>-1.075547861404925E-2</c:v>
                </c:pt>
                <c:pt idx="40">
                  <c:v>-1.0189400641733111E-2</c:v>
                </c:pt>
                <c:pt idx="41">
                  <c:v>-9.6652904672532101E-3</c:v>
                </c:pt>
                <c:pt idx="42">
                  <c:v>-9.17728549253948E-3</c:v>
                </c:pt>
                <c:pt idx="43">
                  <c:v>-8.7174381702501292E-3</c:v>
                </c:pt>
                <c:pt idx="44">
                  <c:v>-8.2807500046642498E-3</c:v>
                </c:pt>
                <c:pt idx="45">
                  <c:v>-7.8674412570771089E-3</c:v>
                </c:pt>
                <c:pt idx="46">
                  <c:v>-7.4735796870729803E-3</c:v>
                </c:pt>
                <c:pt idx="47">
                  <c:v>-7.0979158973544301E-3</c:v>
                </c:pt>
                <c:pt idx="48">
                  <c:v>-6.7418667286742E-3</c:v>
                </c:pt>
                <c:pt idx="49">
                  <c:v>-6.4003784757303102E-3</c:v>
                </c:pt>
                <c:pt idx="50">
                  <c:v>-6.0722055672550136E-3</c:v>
                </c:pt>
                <c:pt idx="51">
                  <c:v>-5.7576433602313246E-3</c:v>
                </c:pt>
                <c:pt idx="52">
                  <c:v>-5.4572117843633972E-3</c:v>
                </c:pt>
                <c:pt idx="53">
                  <c:v>-5.1678837836432023E-3</c:v>
                </c:pt>
                <c:pt idx="54">
                  <c:v>-4.8894916292574701E-3</c:v>
                </c:pt>
                <c:pt idx="55">
                  <c:v>-4.6216695844313871E-3</c:v>
                </c:pt>
                <c:pt idx="56">
                  <c:v>-4.3626121675153697E-3</c:v>
                </c:pt>
                <c:pt idx="57">
                  <c:v>-4.1143546595097443E-3</c:v>
                </c:pt>
                <c:pt idx="58">
                  <c:v>-3.8764783553641318E-3</c:v>
                </c:pt>
                <c:pt idx="59">
                  <c:v>-3.6488378774675772E-3</c:v>
                </c:pt>
                <c:pt idx="60">
                  <c:v>-3.4323389472216762E-3</c:v>
                </c:pt>
                <c:pt idx="61">
                  <c:v>-3.225002683819199E-3</c:v>
                </c:pt>
                <c:pt idx="62">
                  <c:v>-3.02751069288928E-3</c:v>
                </c:pt>
                <c:pt idx="63">
                  <c:v>-2.8395119412998014E-3</c:v>
                </c:pt>
                <c:pt idx="64">
                  <c:v>-2.6604690037668188E-3</c:v>
                </c:pt>
                <c:pt idx="65">
                  <c:v>-2.4891068311736482E-3</c:v>
                </c:pt>
                <c:pt idx="66">
                  <c:v>-2.325580997790708E-3</c:v>
                </c:pt>
                <c:pt idx="67">
                  <c:v>-2.1712549353426073E-3</c:v>
                </c:pt>
                <c:pt idx="68">
                  <c:v>-2.0266083827445562E-3</c:v>
                </c:pt>
                <c:pt idx="69">
                  <c:v>-1.8900622608396889E-3</c:v>
                </c:pt>
                <c:pt idx="70">
                  <c:v>-1.761460375748368E-3</c:v>
                </c:pt>
                <c:pt idx="71">
                  <c:v>-1.6411478615498611E-3</c:v>
                </c:pt>
                <c:pt idx="72">
                  <c:v>-1.5285266186052771E-3</c:v>
                </c:pt>
                <c:pt idx="73">
                  <c:v>-1.4242431930714221E-3</c:v>
                </c:pt>
                <c:pt idx="74">
                  <c:v>-1.328605724191222E-3</c:v>
                </c:pt>
                <c:pt idx="75">
                  <c:v>-1.2411726585459721E-3</c:v>
                </c:pt>
                <c:pt idx="76">
                  <c:v>-1.162516495632978E-3</c:v>
                </c:pt>
                <c:pt idx="77">
                  <c:v>-1.092313432721486E-3</c:v>
                </c:pt>
                <c:pt idx="78">
                  <c:v>-1.029706150356729E-3</c:v>
                </c:pt>
                <c:pt idx="79">
                  <c:v>-9.74964149265955E-4</c:v>
                </c:pt>
                <c:pt idx="80">
                  <c:v>-9.2785199040583302E-4</c:v>
                </c:pt>
                <c:pt idx="81">
                  <c:v>-8.8863143508452556E-4</c:v>
                </c:pt>
                <c:pt idx="82">
                  <c:v>-8.5736546945212975E-4</c:v>
                </c:pt>
                <c:pt idx="83">
                  <c:v>-8.340610823422928E-4</c:v>
                </c:pt>
                <c:pt idx="84">
                  <c:v>-8.1845737374174586E-4</c:v>
                </c:pt>
                <c:pt idx="85">
                  <c:v>-8.1056339631520183E-4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7A-410B-AF7A-EEC3ECD2EFD0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DNS!$B$612:$B$835</c:f>
              <c:numCache>
                <c:formatCode>0.00E+00</c:formatCode>
                <c:ptCount val="224"/>
                <c:pt idx="0">
                  <c:v>0.153945</c:v>
                </c:pt>
                <c:pt idx="1">
                  <c:v>0.46582699999999999</c:v>
                </c:pt>
                <c:pt idx="2">
                  <c:v>0.78633399999999998</c:v>
                </c:pt>
                <c:pt idx="3">
                  <c:v>1.11676</c:v>
                </c:pt>
                <c:pt idx="4">
                  <c:v>1.45842</c:v>
                </c:pt>
                <c:pt idx="5">
                  <c:v>1.81264</c:v>
                </c:pt>
                <c:pt idx="6">
                  <c:v>2.1807599999999998</c:v>
                </c:pt>
                <c:pt idx="7">
                  <c:v>2.5641400000000001</c:v>
                </c:pt>
                <c:pt idx="8">
                  <c:v>2.9641299999999999</c:v>
                </c:pt>
                <c:pt idx="9">
                  <c:v>3.38212</c:v>
                </c:pt>
                <c:pt idx="10">
                  <c:v>3.8194699999999999</c:v>
                </c:pt>
                <c:pt idx="11">
                  <c:v>4.2775699999999999</c:v>
                </c:pt>
                <c:pt idx="12">
                  <c:v>4.7577800000000003</c:v>
                </c:pt>
                <c:pt idx="13">
                  <c:v>5.2614799999999997</c:v>
                </c:pt>
                <c:pt idx="14">
                  <c:v>5.7900499999999999</c:v>
                </c:pt>
                <c:pt idx="15">
                  <c:v>6.3448399999999996</c:v>
                </c:pt>
                <c:pt idx="16">
                  <c:v>6.9272099999999996</c:v>
                </c:pt>
                <c:pt idx="17">
                  <c:v>7.5385099999999996</c:v>
                </c:pt>
                <c:pt idx="18">
                  <c:v>8.1800700000000006</c:v>
                </c:pt>
                <c:pt idx="19">
                  <c:v>8.8532100000000007</c:v>
                </c:pt>
                <c:pt idx="20">
                  <c:v>9.5592299999999994</c:v>
                </c:pt>
                <c:pt idx="21">
                  <c:v>10.2994</c:v>
                </c:pt>
                <c:pt idx="22">
                  <c:v>11.074999999999999</c:v>
                </c:pt>
                <c:pt idx="23">
                  <c:v>11.8874</c:v>
                </c:pt>
                <c:pt idx="24">
                  <c:v>12.7376</c:v>
                </c:pt>
                <c:pt idx="25">
                  <c:v>13.626899999999999</c:v>
                </c:pt>
                <c:pt idx="26">
                  <c:v>14.5565</c:v>
                </c:pt>
                <c:pt idx="27">
                  <c:v>15.5276</c:v>
                </c:pt>
                <c:pt idx="28">
                  <c:v>16.5412</c:v>
                </c:pt>
                <c:pt idx="29">
                  <c:v>17.598500000000001</c:v>
                </c:pt>
                <c:pt idx="30">
                  <c:v>18.700500000000002</c:v>
                </c:pt>
                <c:pt idx="31">
                  <c:v>19.848400000000002</c:v>
                </c:pt>
                <c:pt idx="32">
                  <c:v>21.042999999999999</c:v>
                </c:pt>
                <c:pt idx="33">
                  <c:v>22.285499999999999</c:v>
                </c:pt>
                <c:pt idx="34">
                  <c:v>23.576599999999999</c:v>
                </c:pt>
                <c:pt idx="35">
                  <c:v>24.9175</c:v>
                </c:pt>
                <c:pt idx="36">
                  <c:v>26.308900000000001</c:v>
                </c:pt>
                <c:pt idx="37">
                  <c:v>27.7517</c:v>
                </c:pt>
                <c:pt idx="38">
                  <c:v>29.246700000000001</c:v>
                </c:pt>
                <c:pt idx="39">
                  <c:v>30.794799999999999</c:v>
                </c:pt>
                <c:pt idx="40">
                  <c:v>32.396700000000003</c:v>
                </c:pt>
                <c:pt idx="41">
                  <c:v>34.053100000000001</c:v>
                </c:pt>
                <c:pt idx="42">
                  <c:v>35.764699999999998</c:v>
                </c:pt>
                <c:pt idx="43">
                  <c:v>37.532200000000003</c:v>
                </c:pt>
                <c:pt idx="44">
                  <c:v>39.356200000000001</c:v>
                </c:pt>
                <c:pt idx="45">
                  <c:v>41.237200000000001</c:v>
                </c:pt>
                <c:pt idx="46">
                  <c:v>43.175800000000002</c:v>
                </c:pt>
                <c:pt idx="47">
                  <c:v>45.172600000000003</c:v>
                </c:pt>
                <c:pt idx="48">
                  <c:v>47.228000000000002</c:v>
                </c:pt>
                <c:pt idx="49">
                  <c:v>49.342500000000001</c:v>
                </c:pt>
                <c:pt idx="50">
                  <c:v>51.516399999999997</c:v>
                </c:pt>
                <c:pt idx="51">
                  <c:v>53.7502</c:v>
                </c:pt>
                <c:pt idx="52">
                  <c:v>56.044199999999996</c:v>
                </c:pt>
                <c:pt idx="53">
                  <c:v>58.398600000000002</c:v>
                </c:pt>
                <c:pt idx="54">
                  <c:v>60.813899999999997</c:v>
                </c:pt>
                <c:pt idx="55">
                  <c:v>63.290100000000002</c:v>
                </c:pt>
                <c:pt idx="56">
                  <c:v>65.827600000000004</c:v>
                </c:pt>
                <c:pt idx="57">
                  <c:v>68.426400000000001</c:v>
                </c:pt>
                <c:pt idx="58">
                  <c:v>71.086799999999997</c:v>
                </c:pt>
                <c:pt idx="59">
                  <c:v>73.808800000000005</c:v>
                </c:pt>
                <c:pt idx="60">
                  <c:v>76.592399999999998</c:v>
                </c:pt>
                <c:pt idx="61">
                  <c:v>79.437799999999996</c:v>
                </c:pt>
                <c:pt idx="62">
                  <c:v>82.344899999999996</c:v>
                </c:pt>
                <c:pt idx="63">
                  <c:v>85.313800000000001</c:v>
                </c:pt>
                <c:pt idx="64">
                  <c:v>88.344200000000001</c:v>
                </c:pt>
                <c:pt idx="65">
                  <c:v>91.436199999999999</c:v>
                </c:pt>
                <c:pt idx="66">
                  <c:v>94.589699999999993</c:v>
                </c:pt>
                <c:pt idx="67">
                  <c:v>97.804400000000001</c:v>
                </c:pt>
                <c:pt idx="68">
                  <c:v>101.08</c:v>
                </c:pt>
                <c:pt idx="69">
                  <c:v>104.417</c:v>
                </c:pt>
                <c:pt idx="70">
                  <c:v>107.81399999999999</c:v>
                </c:pt>
                <c:pt idx="71">
                  <c:v>111.27200000000001</c:v>
                </c:pt>
                <c:pt idx="72">
                  <c:v>114.79</c:v>
                </c:pt>
                <c:pt idx="73">
                  <c:v>118.36799999999999</c:v>
                </c:pt>
                <c:pt idx="74">
                  <c:v>122.005</c:v>
                </c:pt>
                <c:pt idx="75">
                  <c:v>125.702</c:v>
                </c:pt>
                <c:pt idx="76">
                  <c:v>129.45699999999999</c:v>
                </c:pt>
                <c:pt idx="77">
                  <c:v>133.27000000000001</c:v>
                </c:pt>
                <c:pt idx="78">
                  <c:v>137.14099999999999</c:v>
                </c:pt>
                <c:pt idx="79">
                  <c:v>141.07</c:v>
                </c:pt>
                <c:pt idx="80">
                  <c:v>145.05500000000001</c:v>
                </c:pt>
                <c:pt idx="81">
                  <c:v>149.09700000000001</c:v>
                </c:pt>
                <c:pt idx="82">
                  <c:v>153.19499999999999</c:v>
                </c:pt>
                <c:pt idx="83">
                  <c:v>157.34899999999999</c:v>
                </c:pt>
                <c:pt idx="84">
                  <c:v>161.55699999999999</c:v>
                </c:pt>
                <c:pt idx="85">
                  <c:v>165.81899999999999</c:v>
                </c:pt>
                <c:pt idx="86">
                  <c:v>170.136</c:v>
                </c:pt>
                <c:pt idx="87">
                  <c:v>174.505</c:v>
                </c:pt>
                <c:pt idx="88">
                  <c:v>178.92699999999999</c:v>
                </c:pt>
                <c:pt idx="89">
                  <c:v>183.4</c:v>
                </c:pt>
                <c:pt idx="90">
                  <c:v>187.92500000000001</c:v>
                </c:pt>
                <c:pt idx="91">
                  <c:v>192.5</c:v>
                </c:pt>
                <c:pt idx="92">
                  <c:v>197.125</c:v>
                </c:pt>
                <c:pt idx="93">
                  <c:v>201.8</c:v>
                </c:pt>
                <c:pt idx="94">
                  <c:v>206.523</c:v>
                </c:pt>
                <c:pt idx="95">
                  <c:v>211.29400000000001</c:v>
                </c:pt>
                <c:pt idx="96">
                  <c:v>216.11099999999999</c:v>
                </c:pt>
                <c:pt idx="97">
                  <c:v>220.976</c:v>
                </c:pt>
                <c:pt idx="98">
                  <c:v>225.886</c:v>
                </c:pt>
                <c:pt idx="99">
                  <c:v>230.84100000000001</c:v>
                </c:pt>
                <c:pt idx="100">
                  <c:v>235.84</c:v>
                </c:pt>
                <c:pt idx="101">
                  <c:v>240.88300000000001</c:v>
                </c:pt>
                <c:pt idx="102">
                  <c:v>245.96799999999999</c:v>
                </c:pt>
                <c:pt idx="103">
                  <c:v>251.095</c:v>
                </c:pt>
                <c:pt idx="104">
                  <c:v>256.26400000000001</c:v>
                </c:pt>
                <c:pt idx="105">
                  <c:v>261.47300000000001</c:v>
                </c:pt>
                <c:pt idx="106">
                  <c:v>266.72199999999998</c:v>
                </c:pt>
                <c:pt idx="107">
                  <c:v>272.01</c:v>
                </c:pt>
                <c:pt idx="108">
                  <c:v>277.33699999999999</c:v>
                </c:pt>
                <c:pt idx="109">
                  <c:v>282.7</c:v>
                </c:pt>
                <c:pt idx="110">
                  <c:v>288.101</c:v>
                </c:pt>
                <c:pt idx="111">
                  <c:v>293.53800000000001</c:v>
                </c:pt>
                <c:pt idx="112">
                  <c:v>299.01</c:v>
                </c:pt>
                <c:pt idx="113">
                  <c:v>304.51600000000002</c:v>
                </c:pt>
                <c:pt idx="114">
                  <c:v>310.05599999999998</c:v>
                </c:pt>
                <c:pt idx="115">
                  <c:v>315.63</c:v>
                </c:pt>
                <c:pt idx="116">
                  <c:v>321.23500000000001</c:v>
                </c:pt>
                <c:pt idx="117">
                  <c:v>326.87299999999999</c:v>
                </c:pt>
                <c:pt idx="118">
                  <c:v>332.541</c:v>
                </c:pt>
                <c:pt idx="119">
                  <c:v>338.23899999999998</c:v>
                </c:pt>
                <c:pt idx="120">
                  <c:v>343.96699999999998</c:v>
                </c:pt>
                <c:pt idx="121">
                  <c:v>349.72399999999999</c:v>
                </c:pt>
                <c:pt idx="122">
                  <c:v>355.50799999999998</c:v>
                </c:pt>
                <c:pt idx="123">
                  <c:v>361.32</c:v>
                </c:pt>
                <c:pt idx="124">
                  <c:v>367.15899999999999</c:v>
                </c:pt>
                <c:pt idx="125">
                  <c:v>373.024</c:v>
                </c:pt>
                <c:pt idx="126">
                  <c:v>378.91500000000002</c:v>
                </c:pt>
                <c:pt idx="127">
                  <c:v>384.83</c:v>
                </c:pt>
                <c:pt idx="128">
                  <c:v>390.76900000000001</c:v>
                </c:pt>
                <c:pt idx="129">
                  <c:v>396.73099999999999</c:v>
                </c:pt>
                <c:pt idx="130">
                  <c:v>402.71699999999998</c:v>
                </c:pt>
                <c:pt idx="131">
                  <c:v>408.72500000000002</c:v>
                </c:pt>
                <c:pt idx="132">
                  <c:v>414.75400000000002</c:v>
                </c:pt>
                <c:pt idx="133">
                  <c:v>420.80399999999997</c:v>
                </c:pt>
                <c:pt idx="134">
                  <c:v>426.875</c:v>
                </c:pt>
                <c:pt idx="135">
                  <c:v>432.96600000000001</c:v>
                </c:pt>
                <c:pt idx="136">
                  <c:v>439.07600000000002</c:v>
                </c:pt>
                <c:pt idx="137">
                  <c:v>445.20499999999998</c:v>
                </c:pt>
                <c:pt idx="138">
                  <c:v>451.35199999999998</c:v>
                </c:pt>
                <c:pt idx="139">
                  <c:v>457.517</c:v>
                </c:pt>
                <c:pt idx="140">
                  <c:v>463.69900000000001</c:v>
                </c:pt>
                <c:pt idx="141">
                  <c:v>469.89800000000002</c:v>
                </c:pt>
                <c:pt idx="142">
                  <c:v>476.113</c:v>
                </c:pt>
                <c:pt idx="143">
                  <c:v>482.34399999999999</c:v>
                </c:pt>
                <c:pt idx="144">
                  <c:v>488.59</c:v>
                </c:pt>
                <c:pt idx="145">
                  <c:v>494.85199999999998</c:v>
                </c:pt>
                <c:pt idx="146">
                  <c:v>501.12700000000001</c:v>
                </c:pt>
                <c:pt idx="147">
                  <c:v>507.41699999999997</c:v>
                </c:pt>
                <c:pt idx="148">
                  <c:v>513.72</c:v>
                </c:pt>
                <c:pt idx="149">
                  <c:v>520.03700000000003</c:v>
                </c:pt>
                <c:pt idx="150">
                  <c:v>526.36599999999999</c:v>
                </c:pt>
                <c:pt idx="151">
                  <c:v>532.70799999999997</c:v>
                </c:pt>
                <c:pt idx="152">
                  <c:v>539.06200000000001</c:v>
                </c:pt>
                <c:pt idx="153">
                  <c:v>545.42700000000002</c:v>
                </c:pt>
                <c:pt idx="154">
                  <c:v>551.80499999999995</c:v>
                </c:pt>
                <c:pt idx="155">
                  <c:v>558.19299999999998</c:v>
                </c:pt>
                <c:pt idx="156">
                  <c:v>564.59199999999998</c:v>
                </c:pt>
                <c:pt idx="157">
                  <c:v>571.00199999999995</c:v>
                </c:pt>
                <c:pt idx="158">
                  <c:v>577.42200000000003</c:v>
                </c:pt>
                <c:pt idx="159">
                  <c:v>583.85299999999995</c:v>
                </c:pt>
                <c:pt idx="160">
                  <c:v>590.29300000000001</c:v>
                </c:pt>
                <c:pt idx="161">
                  <c:v>596.74199999999996</c:v>
                </c:pt>
                <c:pt idx="162">
                  <c:v>603.20100000000002</c:v>
                </c:pt>
                <c:pt idx="163">
                  <c:v>609.66999999999996</c:v>
                </c:pt>
                <c:pt idx="164">
                  <c:v>616.14700000000005</c:v>
                </c:pt>
                <c:pt idx="165">
                  <c:v>622.63300000000004</c:v>
                </c:pt>
                <c:pt idx="166">
                  <c:v>629.12800000000004</c:v>
                </c:pt>
                <c:pt idx="167">
                  <c:v>635.63099999999997</c:v>
                </c:pt>
                <c:pt idx="168">
                  <c:v>642.14300000000003</c:v>
                </c:pt>
                <c:pt idx="169">
                  <c:v>648.66300000000001</c:v>
                </c:pt>
                <c:pt idx="170">
                  <c:v>655.19100000000003</c:v>
                </c:pt>
                <c:pt idx="171">
                  <c:v>661.72699999999998</c:v>
                </c:pt>
                <c:pt idx="172">
                  <c:v>668.27200000000005</c:v>
                </c:pt>
                <c:pt idx="173">
                  <c:v>674.82399999999996</c:v>
                </c:pt>
                <c:pt idx="174">
                  <c:v>681.38499999999999</c:v>
                </c:pt>
                <c:pt idx="175">
                  <c:v>687.95299999999997</c:v>
                </c:pt>
                <c:pt idx="176">
                  <c:v>694.529</c:v>
                </c:pt>
                <c:pt idx="177">
                  <c:v>701.11300000000006</c:v>
                </c:pt>
                <c:pt idx="178">
                  <c:v>707.70500000000004</c:v>
                </c:pt>
                <c:pt idx="179">
                  <c:v>714.30600000000004</c:v>
                </c:pt>
                <c:pt idx="180">
                  <c:v>720.91399999999999</c:v>
                </c:pt>
                <c:pt idx="181">
                  <c:v>727.53</c:v>
                </c:pt>
                <c:pt idx="182">
                  <c:v>734.15499999999997</c:v>
                </c:pt>
                <c:pt idx="183">
                  <c:v>740.78700000000003</c:v>
                </c:pt>
                <c:pt idx="184">
                  <c:v>747.42899999999997</c:v>
                </c:pt>
                <c:pt idx="185">
                  <c:v>754.07899999999995</c:v>
                </c:pt>
                <c:pt idx="186">
                  <c:v>760.73699999999997</c:v>
                </c:pt>
                <c:pt idx="187">
                  <c:v>767.404</c:v>
                </c:pt>
                <c:pt idx="188">
                  <c:v>774.08100000000002</c:v>
                </c:pt>
                <c:pt idx="189">
                  <c:v>780.76700000000005</c:v>
                </c:pt>
                <c:pt idx="190">
                  <c:v>787.46199999999999</c:v>
                </c:pt>
                <c:pt idx="191">
                  <c:v>794.16700000000003</c:v>
                </c:pt>
                <c:pt idx="192">
                  <c:v>800.88099999999997</c:v>
                </c:pt>
                <c:pt idx="193">
                  <c:v>807.60599999999999</c:v>
                </c:pt>
                <c:pt idx="194">
                  <c:v>814.34199999999998</c:v>
                </c:pt>
                <c:pt idx="195">
                  <c:v>821.08799999999997</c:v>
                </c:pt>
                <c:pt idx="196">
                  <c:v>827.846</c:v>
                </c:pt>
                <c:pt idx="197">
                  <c:v>834.61500000000001</c:v>
                </c:pt>
                <c:pt idx="198">
                  <c:v>841.39599999999996</c:v>
                </c:pt>
                <c:pt idx="199">
                  <c:v>848.18899999999996</c:v>
                </c:pt>
                <c:pt idx="200">
                  <c:v>854.995</c:v>
                </c:pt>
                <c:pt idx="201">
                  <c:v>861.81399999999996</c:v>
                </c:pt>
                <c:pt idx="202">
                  <c:v>868.64599999999996</c:v>
                </c:pt>
                <c:pt idx="203">
                  <c:v>875.49300000000005</c:v>
                </c:pt>
                <c:pt idx="204">
                  <c:v>882.35400000000004</c:v>
                </c:pt>
                <c:pt idx="205">
                  <c:v>889.23</c:v>
                </c:pt>
                <c:pt idx="206">
                  <c:v>896.12099999999998</c:v>
                </c:pt>
                <c:pt idx="207">
                  <c:v>903.029</c:v>
                </c:pt>
                <c:pt idx="208">
                  <c:v>909.95399999999995</c:v>
                </c:pt>
                <c:pt idx="209">
                  <c:v>916.89599999999996</c:v>
                </c:pt>
                <c:pt idx="210">
                  <c:v>923.85699999999997</c:v>
                </c:pt>
                <c:pt idx="211">
                  <c:v>930.83600000000001</c:v>
                </c:pt>
                <c:pt idx="212">
                  <c:v>937.83399999999995</c:v>
                </c:pt>
                <c:pt idx="213">
                  <c:v>944.85299999999995</c:v>
                </c:pt>
                <c:pt idx="214">
                  <c:v>951.89300000000003</c:v>
                </c:pt>
                <c:pt idx="215">
                  <c:v>958.95500000000004</c:v>
                </c:pt>
                <c:pt idx="216">
                  <c:v>966.04</c:v>
                </c:pt>
                <c:pt idx="217">
                  <c:v>973.149</c:v>
                </c:pt>
                <c:pt idx="218">
                  <c:v>980.28200000000004</c:v>
                </c:pt>
                <c:pt idx="219">
                  <c:v>987.44100000000003</c:v>
                </c:pt>
                <c:pt idx="220">
                  <c:v>994.62699999999995</c:v>
                </c:pt>
                <c:pt idx="221">
                  <c:v>1001.84</c:v>
                </c:pt>
                <c:pt idx="222">
                  <c:v>1009.08</c:v>
                </c:pt>
                <c:pt idx="223">
                  <c:v>1016.36</c:v>
                </c:pt>
              </c:numCache>
            </c:numRef>
          </c:xVal>
          <c:yVal>
            <c:numRef>
              <c:f>DNS!$D$612:$D$835</c:f>
              <c:numCache>
                <c:formatCode>0.00E+00</c:formatCode>
                <c:ptCount val="224"/>
                <c:pt idx="0">
                  <c:v>-0.24029700000000001</c:v>
                </c:pt>
                <c:pt idx="1">
                  <c:v>-0.22986000000000001</c:v>
                </c:pt>
                <c:pt idx="2">
                  <c:v>-0.221469</c:v>
                </c:pt>
                <c:pt idx="3">
                  <c:v>-0.21437500000000001</c:v>
                </c:pt>
                <c:pt idx="4">
                  <c:v>-0.20802999999999999</c:v>
                </c:pt>
                <c:pt idx="5">
                  <c:v>-0.20197499999999999</c:v>
                </c:pt>
                <c:pt idx="6">
                  <c:v>-0.19586400000000001</c:v>
                </c:pt>
                <c:pt idx="7">
                  <c:v>-0.18948499999999999</c:v>
                </c:pt>
                <c:pt idx="8">
                  <c:v>-0.18277499999999999</c:v>
                </c:pt>
                <c:pt idx="9">
                  <c:v>-0.175815</c:v>
                </c:pt>
                <c:pt idx="10">
                  <c:v>-0.16881199999999999</c:v>
                </c:pt>
                <c:pt idx="11">
                  <c:v>-0.162049</c:v>
                </c:pt>
                <c:pt idx="12">
                  <c:v>-0.155829</c:v>
                </c:pt>
                <c:pt idx="13">
                  <c:v>-0.150421</c:v>
                </c:pt>
                <c:pt idx="14">
                  <c:v>-0.146005</c:v>
                </c:pt>
                <c:pt idx="15">
                  <c:v>-0.142651</c:v>
                </c:pt>
                <c:pt idx="16">
                  <c:v>-0.14030899999999999</c:v>
                </c:pt>
                <c:pt idx="17">
                  <c:v>-0.138824</c:v>
                </c:pt>
                <c:pt idx="18">
                  <c:v>-0.13797300000000001</c:v>
                </c:pt>
                <c:pt idx="19">
                  <c:v>-0.13749600000000001</c:v>
                </c:pt>
                <c:pt idx="20">
                  <c:v>-0.13714000000000001</c:v>
                </c:pt>
                <c:pt idx="21">
                  <c:v>-0.136685</c:v>
                </c:pt>
                <c:pt idx="22">
                  <c:v>-0.135961</c:v>
                </c:pt>
                <c:pt idx="23">
                  <c:v>-0.134856</c:v>
                </c:pt>
                <c:pt idx="24">
                  <c:v>-0.13331200000000001</c:v>
                </c:pt>
                <c:pt idx="25">
                  <c:v>-0.13131599999999999</c:v>
                </c:pt>
                <c:pt idx="26">
                  <c:v>-0.12889</c:v>
                </c:pt>
                <c:pt idx="27">
                  <c:v>-0.12607399999999999</c:v>
                </c:pt>
                <c:pt idx="28">
                  <c:v>-0.12292</c:v>
                </c:pt>
                <c:pt idx="29">
                  <c:v>-0.11948599999999999</c:v>
                </c:pt>
                <c:pt idx="30">
                  <c:v>-0.115825</c:v>
                </c:pt>
                <c:pt idx="31">
                  <c:v>-0.11199000000000001</c:v>
                </c:pt>
                <c:pt idx="32">
                  <c:v>-0.108027</c:v>
                </c:pt>
                <c:pt idx="33">
                  <c:v>-0.10398</c:v>
                </c:pt>
                <c:pt idx="34">
                  <c:v>-9.9885799999999997E-2</c:v>
                </c:pt>
                <c:pt idx="35">
                  <c:v>-9.5780599999999994E-2</c:v>
                </c:pt>
                <c:pt idx="36">
                  <c:v>-9.1695200000000004E-2</c:v>
                </c:pt>
                <c:pt idx="37">
                  <c:v>-8.7658100000000003E-2</c:v>
                </c:pt>
                <c:pt idx="38">
                  <c:v>-8.3694000000000005E-2</c:v>
                </c:pt>
                <c:pt idx="39">
                  <c:v>-7.9824900000000004E-2</c:v>
                </c:pt>
                <c:pt idx="40">
                  <c:v>-7.6069399999999995E-2</c:v>
                </c:pt>
                <c:pt idx="41">
                  <c:v>-7.2442300000000001E-2</c:v>
                </c:pt>
                <c:pt idx="42">
                  <c:v>-6.8955100000000005E-2</c:v>
                </c:pt>
                <c:pt idx="43">
                  <c:v>-6.56162E-2</c:v>
                </c:pt>
                <c:pt idx="44">
                  <c:v>-6.2431500000000001E-2</c:v>
                </c:pt>
                <c:pt idx="45">
                  <c:v>-5.9403900000000003E-2</c:v>
                </c:pt>
                <c:pt idx="46">
                  <c:v>-5.6533100000000003E-2</c:v>
                </c:pt>
                <c:pt idx="47">
                  <c:v>-5.3816200000000002E-2</c:v>
                </c:pt>
                <c:pt idx="48">
                  <c:v>-5.12489E-2</c:v>
                </c:pt>
                <c:pt idx="49">
                  <c:v>-4.8825899999999998E-2</c:v>
                </c:pt>
                <c:pt idx="50">
                  <c:v>-4.6541100000000002E-2</c:v>
                </c:pt>
                <c:pt idx="51">
                  <c:v>-4.4388200000000003E-2</c:v>
                </c:pt>
                <c:pt idx="52">
                  <c:v>-4.2360799999999997E-2</c:v>
                </c:pt>
                <c:pt idx="53">
                  <c:v>-4.0451899999999999E-2</c:v>
                </c:pt>
                <c:pt idx="54">
                  <c:v>-3.8654500000000001E-2</c:v>
                </c:pt>
                <c:pt idx="55">
                  <c:v>-3.6962000000000002E-2</c:v>
                </c:pt>
                <c:pt idx="56">
                  <c:v>-3.5367900000000001E-2</c:v>
                </c:pt>
                <c:pt idx="57">
                  <c:v>-3.3864999999999999E-2</c:v>
                </c:pt>
                <c:pt idx="58">
                  <c:v>-3.2446700000000002E-2</c:v>
                </c:pt>
                <c:pt idx="59">
                  <c:v>-3.1108500000000001E-2</c:v>
                </c:pt>
                <c:pt idx="60">
                  <c:v>-2.9846000000000001E-2</c:v>
                </c:pt>
                <c:pt idx="61">
                  <c:v>-2.8654200000000001E-2</c:v>
                </c:pt>
                <c:pt idx="62">
                  <c:v>-2.7528E-2</c:v>
                </c:pt>
                <c:pt idx="63">
                  <c:v>-2.6463299999999999E-2</c:v>
                </c:pt>
                <c:pt idx="64">
                  <c:v>-2.5456099999999999E-2</c:v>
                </c:pt>
                <c:pt idx="65">
                  <c:v>-2.4502400000000001E-2</c:v>
                </c:pt>
                <c:pt idx="66">
                  <c:v>-2.3597900000000002E-2</c:v>
                </c:pt>
                <c:pt idx="67">
                  <c:v>-2.2739100000000002E-2</c:v>
                </c:pt>
                <c:pt idx="68">
                  <c:v>-2.1923700000000001E-2</c:v>
                </c:pt>
                <c:pt idx="69">
                  <c:v>-2.1149500000000002E-2</c:v>
                </c:pt>
                <c:pt idx="70">
                  <c:v>-2.0413799999999999E-2</c:v>
                </c:pt>
                <c:pt idx="71">
                  <c:v>-1.9714300000000001E-2</c:v>
                </c:pt>
                <c:pt idx="72">
                  <c:v>-1.9049E-2</c:v>
                </c:pt>
                <c:pt idx="73">
                  <c:v>-1.8415600000000001E-2</c:v>
                </c:pt>
                <c:pt idx="74">
                  <c:v>-1.7812000000000001E-2</c:v>
                </c:pt>
                <c:pt idx="75">
                  <c:v>-1.7236399999999999E-2</c:v>
                </c:pt>
                <c:pt idx="76">
                  <c:v>-1.6687500000000001E-2</c:v>
                </c:pt>
                <c:pt idx="77">
                  <c:v>-1.6163E-2</c:v>
                </c:pt>
                <c:pt idx="78">
                  <c:v>-1.56607E-2</c:v>
                </c:pt>
                <c:pt idx="79">
                  <c:v>-1.51796E-2</c:v>
                </c:pt>
                <c:pt idx="80">
                  <c:v>-1.4719299999999999E-2</c:v>
                </c:pt>
                <c:pt idx="81">
                  <c:v>-1.4279200000000001E-2</c:v>
                </c:pt>
                <c:pt idx="82">
                  <c:v>-1.38583E-2</c:v>
                </c:pt>
                <c:pt idx="83">
                  <c:v>-1.34552E-2</c:v>
                </c:pt>
                <c:pt idx="84">
                  <c:v>-1.30688E-2</c:v>
                </c:pt>
                <c:pt idx="85">
                  <c:v>-1.26985E-2</c:v>
                </c:pt>
                <c:pt idx="86">
                  <c:v>-1.2343700000000001E-2</c:v>
                </c:pt>
                <c:pt idx="87">
                  <c:v>-1.20032E-2</c:v>
                </c:pt>
                <c:pt idx="88">
                  <c:v>-1.1676000000000001E-2</c:v>
                </c:pt>
                <c:pt idx="89">
                  <c:v>-1.1361599999999999E-2</c:v>
                </c:pt>
                <c:pt idx="90">
                  <c:v>-1.10597E-2</c:v>
                </c:pt>
                <c:pt idx="91">
                  <c:v>-1.07698E-2</c:v>
                </c:pt>
                <c:pt idx="92">
                  <c:v>-1.04911E-2</c:v>
                </c:pt>
                <c:pt idx="93">
                  <c:v>-1.0223400000000001E-2</c:v>
                </c:pt>
                <c:pt idx="94">
                  <c:v>-9.9659699999999993E-3</c:v>
                </c:pt>
                <c:pt idx="95">
                  <c:v>-9.7181000000000003E-3</c:v>
                </c:pt>
                <c:pt idx="96">
                  <c:v>-9.4788700000000004E-3</c:v>
                </c:pt>
                <c:pt idx="97">
                  <c:v>-9.2478899999999999E-3</c:v>
                </c:pt>
                <c:pt idx="98">
                  <c:v>-9.0249600000000003E-3</c:v>
                </c:pt>
                <c:pt idx="99">
                  <c:v>-8.8098099999999995E-3</c:v>
                </c:pt>
                <c:pt idx="100">
                  <c:v>-8.60204E-3</c:v>
                </c:pt>
                <c:pt idx="101">
                  <c:v>-8.4011599999999995E-3</c:v>
                </c:pt>
                <c:pt idx="102">
                  <c:v>-8.2066599999999993E-3</c:v>
                </c:pt>
                <c:pt idx="103">
                  <c:v>-8.01813E-3</c:v>
                </c:pt>
                <c:pt idx="104">
                  <c:v>-7.835E-3</c:v>
                </c:pt>
                <c:pt idx="105">
                  <c:v>-7.6569100000000003E-3</c:v>
                </c:pt>
                <c:pt idx="106">
                  <c:v>-7.4838500000000002E-3</c:v>
                </c:pt>
                <c:pt idx="107">
                  <c:v>-7.3159799999999997E-3</c:v>
                </c:pt>
                <c:pt idx="108">
                  <c:v>-7.1536200000000003E-3</c:v>
                </c:pt>
                <c:pt idx="109">
                  <c:v>-6.9968199999999999E-3</c:v>
                </c:pt>
                <c:pt idx="110">
                  <c:v>-6.8450999999999998E-3</c:v>
                </c:pt>
                <c:pt idx="111">
                  <c:v>-6.6978300000000001E-3</c:v>
                </c:pt>
                <c:pt idx="112">
                  <c:v>-6.5549099999999997E-3</c:v>
                </c:pt>
                <c:pt idx="113">
                  <c:v>-6.4163900000000001E-3</c:v>
                </c:pt>
                <c:pt idx="114">
                  <c:v>-6.28175E-3</c:v>
                </c:pt>
                <c:pt idx="115">
                  <c:v>-6.1505300000000004E-3</c:v>
                </c:pt>
                <c:pt idx="116">
                  <c:v>-6.0226899999999998E-3</c:v>
                </c:pt>
                <c:pt idx="117">
                  <c:v>-5.8981499999999996E-3</c:v>
                </c:pt>
                <c:pt idx="118">
                  <c:v>-5.7768000000000003E-3</c:v>
                </c:pt>
                <c:pt idx="119">
                  <c:v>-5.6587900000000003E-3</c:v>
                </c:pt>
                <c:pt idx="120">
                  <c:v>-5.5441300000000004E-3</c:v>
                </c:pt>
                <c:pt idx="121">
                  <c:v>-5.4325900000000002E-3</c:v>
                </c:pt>
                <c:pt idx="122">
                  <c:v>-5.3240199999999996E-3</c:v>
                </c:pt>
                <c:pt idx="123">
                  <c:v>-5.2183899999999998E-3</c:v>
                </c:pt>
                <c:pt idx="124">
                  <c:v>-5.1156500000000002E-3</c:v>
                </c:pt>
                <c:pt idx="125">
                  <c:v>-5.0156100000000002E-3</c:v>
                </c:pt>
                <c:pt idx="126">
                  <c:v>-4.9180500000000002E-3</c:v>
                </c:pt>
                <c:pt idx="127">
                  <c:v>-4.8227900000000004E-3</c:v>
                </c:pt>
                <c:pt idx="128">
                  <c:v>-4.7297099999999998E-3</c:v>
                </c:pt>
                <c:pt idx="129">
                  <c:v>-4.6386099999999996E-3</c:v>
                </c:pt>
                <c:pt idx="130">
                  <c:v>-4.5493799999999996E-3</c:v>
                </c:pt>
                <c:pt idx="131">
                  <c:v>-4.4619999999999998E-3</c:v>
                </c:pt>
                <c:pt idx="132">
                  <c:v>-4.3763200000000004E-3</c:v>
                </c:pt>
                <c:pt idx="133">
                  <c:v>-4.2923500000000003E-3</c:v>
                </c:pt>
                <c:pt idx="134">
                  <c:v>-4.2101400000000002E-3</c:v>
                </c:pt>
                <c:pt idx="135">
                  <c:v>-4.1295699999999999E-3</c:v>
                </c:pt>
                <c:pt idx="136">
                  <c:v>-4.0504499999999997E-3</c:v>
                </c:pt>
                <c:pt idx="137">
                  <c:v>-3.9729800000000001E-3</c:v>
                </c:pt>
                <c:pt idx="138">
                  <c:v>-3.89741E-3</c:v>
                </c:pt>
                <c:pt idx="139">
                  <c:v>-3.8237800000000001E-3</c:v>
                </c:pt>
                <c:pt idx="140">
                  <c:v>-3.7519300000000001E-3</c:v>
                </c:pt>
                <c:pt idx="141">
                  <c:v>-3.6814999999999999E-3</c:v>
                </c:pt>
                <c:pt idx="142">
                  <c:v>-3.6123499999999998E-3</c:v>
                </c:pt>
                <c:pt idx="143">
                  <c:v>-3.5446900000000001E-3</c:v>
                </c:pt>
                <c:pt idx="144">
                  <c:v>-3.4786800000000001E-3</c:v>
                </c:pt>
                <c:pt idx="145">
                  <c:v>-3.41407E-3</c:v>
                </c:pt>
                <c:pt idx="146">
                  <c:v>-3.35039E-3</c:v>
                </c:pt>
                <c:pt idx="147">
                  <c:v>-3.2877200000000001E-3</c:v>
                </c:pt>
                <c:pt idx="148">
                  <c:v>-3.22632E-3</c:v>
                </c:pt>
                <c:pt idx="149">
                  <c:v>-3.1660999999999998E-3</c:v>
                </c:pt>
                <c:pt idx="150">
                  <c:v>-3.10692E-3</c:v>
                </c:pt>
                <c:pt idx="151">
                  <c:v>-3.0486599999999999E-3</c:v>
                </c:pt>
                <c:pt idx="152">
                  <c:v>-2.9913700000000001E-3</c:v>
                </c:pt>
                <c:pt idx="153">
                  <c:v>-2.9352499999999999E-3</c:v>
                </c:pt>
                <c:pt idx="154">
                  <c:v>-2.8802599999999999E-3</c:v>
                </c:pt>
                <c:pt idx="155">
                  <c:v>-2.8263699999999999E-3</c:v>
                </c:pt>
                <c:pt idx="156">
                  <c:v>-2.7736800000000002E-3</c:v>
                </c:pt>
                <c:pt idx="157">
                  <c:v>-2.72222E-3</c:v>
                </c:pt>
                <c:pt idx="158">
                  <c:v>-2.67199E-3</c:v>
                </c:pt>
                <c:pt idx="159">
                  <c:v>-2.6230099999999998E-3</c:v>
                </c:pt>
                <c:pt idx="160">
                  <c:v>-2.5751400000000001E-3</c:v>
                </c:pt>
                <c:pt idx="161">
                  <c:v>-2.5283100000000002E-3</c:v>
                </c:pt>
                <c:pt idx="162">
                  <c:v>-2.4824399999999998E-3</c:v>
                </c:pt>
                <c:pt idx="163">
                  <c:v>-2.4373900000000002E-3</c:v>
                </c:pt>
                <c:pt idx="164">
                  <c:v>-2.3931199999999999E-3</c:v>
                </c:pt>
                <c:pt idx="165">
                  <c:v>-2.3494200000000001E-3</c:v>
                </c:pt>
                <c:pt idx="166">
                  <c:v>-2.30613E-3</c:v>
                </c:pt>
                <c:pt idx="167">
                  <c:v>-2.2635400000000001E-3</c:v>
                </c:pt>
                <c:pt idx="168">
                  <c:v>-2.222E-3</c:v>
                </c:pt>
                <c:pt idx="169">
                  <c:v>-2.1815599999999999E-3</c:v>
                </c:pt>
                <c:pt idx="170">
                  <c:v>-2.1420599999999999E-3</c:v>
                </c:pt>
                <c:pt idx="171">
                  <c:v>-2.10341E-3</c:v>
                </c:pt>
                <c:pt idx="172">
                  <c:v>-2.0655000000000001E-3</c:v>
                </c:pt>
                <c:pt idx="173">
                  <c:v>-2.0283800000000002E-3</c:v>
                </c:pt>
                <c:pt idx="174">
                  <c:v>-1.9920799999999998E-3</c:v>
                </c:pt>
                <c:pt idx="175">
                  <c:v>-1.95655E-3</c:v>
                </c:pt>
                <c:pt idx="176">
                  <c:v>-1.9217800000000001E-3</c:v>
                </c:pt>
                <c:pt idx="177">
                  <c:v>-1.8879000000000001E-3</c:v>
                </c:pt>
                <c:pt idx="178">
                  <c:v>-1.85502E-3</c:v>
                </c:pt>
                <c:pt idx="179">
                  <c:v>-1.8230399999999999E-3</c:v>
                </c:pt>
                <c:pt idx="180">
                  <c:v>-1.79178E-3</c:v>
                </c:pt>
                <c:pt idx="181">
                  <c:v>-1.7611199999999999E-3</c:v>
                </c:pt>
                <c:pt idx="182">
                  <c:v>-1.7309999999999999E-3</c:v>
                </c:pt>
                <c:pt idx="183">
                  <c:v>-1.7014700000000001E-3</c:v>
                </c:pt>
                <c:pt idx="184">
                  <c:v>-1.67263E-3</c:v>
                </c:pt>
                <c:pt idx="185">
                  <c:v>-1.64467E-3</c:v>
                </c:pt>
                <c:pt idx="186">
                  <c:v>-1.6176700000000001E-3</c:v>
                </c:pt>
                <c:pt idx="187">
                  <c:v>-1.5914E-3</c:v>
                </c:pt>
                <c:pt idx="188">
                  <c:v>-1.56569E-3</c:v>
                </c:pt>
                <c:pt idx="189">
                  <c:v>-1.54053E-3</c:v>
                </c:pt>
                <c:pt idx="190">
                  <c:v>-1.51592E-3</c:v>
                </c:pt>
                <c:pt idx="191">
                  <c:v>-1.49197E-3</c:v>
                </c:pt>
                <c:pt idx="192">
                  <c:v>-1.46883E-3</c:v>
                </c:pt>
                <c:pt idx="193">
                  <c:v>-1.4465999999999999E-3</c:v>
                </c:pt>
                <c:pt idx="194">
                  <c:v>-1.42519E-3</c:v>
                </c:pt>
                <c:pt idx="195">
                  <c:v>-1.4044000000000001E-3</c:v>
                </c:pt>
                <c:pt idx="196">
                  <c:v>-1.3842100000000001E-3</c:v>
                </c:pt>
                <c:pt idx="197">
                  <c:v>-1.3646299999999999E-3</c:v>
                </c:pt>
                <c:pt idx="198">
                  <c:v>-1.3457199999999999E-3</c:v>
                </c:pt>
                <c:pt idx="199">
                  <c:v>-1.3275299999999999E-3</c:v>
                </c:pt>
                <c:pt idx="200">
                  <c:v>-1.31007E-3</c:v>
                </c:pt>
                <c:pt idx="201">
                  <c:v>-1.2932600000000001E-3</c:v>
                </c:pt>
                <c:pt idx="202">
                  <c:v>-1.27706E-3</c:v>
                </c:pt>
                <c:pt idx="203">
                  <c:v>-1.26144E-3</c:v>
                </c:pt>
                <c:pt idx="204">
                  <c:v>-1.2463800000000001E-3</c:v>
                </c:pt>
                <c:pt idx="205">
                  <c:v>-1.23197E-3</c:v>
                </c:pt>
                <c:pt idx="206">
                  <c:v>-1.21839E-3</c:v>
                </c:pt>
                <c:pt idx="207">
                  <c:v>-1.2056600000000001E-3</c:v>
                </c:pt>
                <c:pt idx="208">
                  <c:v>-1.19378E-3</c:v>
                </c:pt>
                <c:pt idx="209">
                  <c:v>-1.18271E-3</c:v>
                </c:pt>
                <c:pt idx="210">
                  <c:v>-1.1723599999999999E-3</c:v>
                </c:pt>
                <c:pt idx="211">
                  <c:v>-1.1626500000000001E-3</c:v>
                </c:pt>
                <c:pt idx="212">
                  <c:v>-1.15365E-3</c:v>
                </c:pt>
                <c:pt idx="213">
                  <c:v>-1.1453699999999999E-3</c:v>
                </c:pt>
                <c:pt idx="214">
                  <c:v>-1.13776E-3</c:v>
                </c:pt>
                <c:pt idx="215">
                  <c:v>-1.13086E-3</c:v>
                </c:pt>
                <c:pt idx="216">
                  <c:v>-1.12469E-3</c:v>
                </c:pt>
                <c:pt idx="217">
                  <c:v>-1.11918E-3</c:v>
                </c:pt>
                <c:pt idx="218">
                  <c:v>-1.1143699999999999E-3</c:v>
                </c:pt>
                <c:pt idx="219">
                  <c:v>-1.11031E-3</c:v>
                </c:pt>
                <c:pt idx="220">
                  <c:v>-1.1070400000000001E-3</c:v>
                </c:pt>
                <c:pt idx="221">
                  <c:v>-1.10461E-3</c:v>
                </c:pt>
                <c:pt idx="222">
                  <c:v>-1.10304E-3</c:v>
                </c:pt>
                <c:pt idx="223">
                  <c:v>-1.1023000000000001E-3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7A-410B-AF7A-EEC3ECD2EFD0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Diss.!$A$2:$A$87</c:f>
              <c:numCache>
                <c:formatCode>General</c:formatCode>
                <c:ptCount val="86"/>
                <c:pt idx="0">
                  <c:v>0.49999237060546797</c:v>
                </c:pt>
                <c:pt idx="1">
                  <c:v>1.54496669769287</c:v>
                </c:pt>
                <c:pt idx="2">
                  <c:v>2.6840543746948198</c:v>
                </c:pt>
                <c:pt idx="3">
                  <c:v>3.9255237579345699</c:v>
                </c:pt>
                <c:pt idx="4">
                  <c:v>5.2789807319641104</c:v>
                </c:pt>
                <c:pt idx="5">
                  <c:v>6.7539703845977703</c:v>
                </c:pt>
                <c:pt idx="6">
                  <c:v>8.3618009090423495</c:v>
                </c:pt>
                <c:pt idx="7">
                  <c:v>10.114449262619001</c:v>
                </c:pt>
                <c:pt idx="8">
                  <c:v>12.0248043537139</c:v>
                </c:pt>
                <c:pt idx="9">
                  <c:v>14.106971025466899</c:v>
                </c:pt>
                <c:pt idx="10">
                  <c:v>16.3765740394592</c:v>
                </c:pt>
                <c:pt idx="11">
                  <c:v>18.850514888763399</c:v>
                </c:pt>
                <c:pt idx="12">
                  <c:v>21.5470933914184</c:v>
                </c:pt>
                <c:pt idx="13">
                  <c:v>24.4862508773803</c:v>
                </c:pt>
                <c:pt idx="14">
                  <c:v>27.690056562423699</c:v>
                </c:pt>
                <c:pt idx="15">
                  <c:v>31.182160377502399</c:v>
                </c:pt>
                <c:pt idx="16">
                  <c:v>34.988522529602001</c:v>
                </c:pt>
                <c:pt idx="17">
                  <c:v>39.137535095214801</c:v>
                </c:pt>
                <c:pt idx="18">
                  <c:v>43.659839630126903</c:v>
                </c:pt>
                <c:pt idx="19">
                  <c:v>48.589299917220998</c:v>
                </c:pt>
                <c:pt idx="20">
                  <c:v>53.962393999099703</c:v>
                </c:pt>
                <c:pt idx="21">
                  <c:v>59.819004535674999</c:v>
                </c:pt>
                <c:pt idx="22">
                  <c:v>66.2026619911193</c:v>
                </c:pt>
                <c:pt idx="23">
                  <c:v>73.160848617553697</c:v>
                </c:pt>
                <c:pt idx="24">
                  <c:v>80.745424032211304</c:v>
                </c:pt>
                <c:pt idx="25">
                  <c:v>89.012442827224703</c:v>
                </c:pt>
                <c:pt idx="26">
                  <c:v>98.0235528945922</c:v>
                </c:pt>
                <c:pt idx="27">
                  <c:v>107.845630645751</c:v>
                </c:pt>
                <c:pt idx="28">
                  <c:v>118.551753759384</c:v>
                </c:pt>
                <c:pt idx="29">
                  <c:v>130.22150516510001</c:v>
                </c:pt>
                <c:pt idx="30">
                  <c:v>142.941337823867</c:v>
                </c:pt>
                <c:pt idx="31">
                  <c:v>156.806094646453</c:v>
                </c:pt>
                <c:pt idx="32">
                  <c:v>171.91864371299701</c:v>
                </c:pt>
                <c:pt idx="33">
                  <c:v>187.726768255233</c:v>
                </c:pt>
                <c:pt idx="34">
                  <c:v>203.579578399658</c:v>
                </c:pt>
                <c:pt idx="35">
                  <c:v>219.43238854408199</c:v>
                </c:pt>
                <c:pt idx="36">
                  <c:v>235.28525948524401</c:v>
                </c:pt>
                <c:pt idx="37">
                  <c:v>251.13806962966899</c:v>
                </c:pt>
                <c:pt idx="38">
                  <c:v>266.99081897735499</c:v>
                </c:pt>
                <c:pt idx="39">
                  <c:v>282.84362912178</c:v>
                </c:pt>
                <c:pt idx="40">
                  <c:v>298.69643926620398</c:v>
                </c:pt>
                <c:pt idx="41">
                  <c:v>314.54931020736598</c:v>
                </c:pt>
                <c:pt idx="42">
                  <c:v>330.40212035179098</c:v>
                </c:pt>
                <c:pt idx="43">
                  <c:v>346.25493049621502</c:v>
                </c:pt>
                <c:pt idx="44">
                  <c:v>362.10780143737702</c:v>
                </c:pt>
                <c:pt idx="45">
                  <c:v>377.96061158180203</c:v>
                </c:pt>
                <c:pt idx="46">
                  <c:v>393.81348252296402</c:v>
                </c:pt>
                <c:pt idx="47">
                  <c:v>409.66629266738801</c:v>
                </c:pt>
                <c:pt idx="48">
                  <c:v>425.519042015075</c:v>
                </c:pt>
                <c:pt idx="49">
                  <c:v>441.371912956237</c:v>
                </c:pt>
                <c:pt idx="50">
                  <c:v>457.22478389739899</c:v>
                </c:pt>
                <c:pt idx="51">
                  <c:v>473.07753324508599</c:v>
                </c:pt>
                <c:pt idx="52">
                  <c:v>488.93034338951099</c:v>
                </c:pt>
                <c:pt idx="53">
                  <c:v>504.78321433067299</c:v>
                </c:pt>
                <c:pt idx="54">
                  <c:v>520.63602447509697</c:v>
                </c:pt>
                <c:pt idx="55">
                  <c:v>536.48889541625897</c:v>
                </c:pt>
                <c:pt idx="56">
                  <c:v>552.34173595905304</c:v>
                </c:pt>
                <c:pt idx="57">
                  <c:v>568.19448530673901</c:v>
                </c:pt>
                <c:pt idx="58">
                  <c:v>584.04732584953297</c:v>
                </c:pt>
                <c:pt idx="59">
                  <c:v>599.90016639232601</c:v>
                </c:pt>
                <c:pt idx="60">
                  <c:v>615.75300693511895</c:v>
                </c:pt>
                <c:pt idx="61">
                  <c:v>631.60581707954395</c:v>
                </c:pt>
                <c:pt idx="62">
                  <c:v>647.45859682559899</c:v>
                </c:pt>
                <c:pt idx="63">
                  <c:v>663.31143736839203</c:v>
                </c:pt>
                <c:pt idx="64">
                  <c:v>679.16427791118599</c:v>
                </c:pt>
                <c:pt idx="65">
                  <c:v>695.01711845397904</c:v>
                </c:pt>
                <c:pt idx="66">
                  <c:v>710.86992859840302</c:v>
                </c:pt>
                <c:pt idx="67">
                  <c:v>726.72273874282803</c:v>
                </c:pt>
                <c:pt idx="68">
                  <c:v>742.57554888725201</c:v>
                </c:pt>
                <c:pt idx="69">
                  <c:v>758.42838943004597</c:v>
                </c:pt>
                <c:pt idx="70">
                  <c:v>774.28122997283901</c:v>
                </c:pt>
                <c:pt idx="71">
                  <c:v>790.13402491807904</c:v>
                </c:pt>
                <c:pt idx="72">
                  <c:v>805.98686546087197</c:v>
                </c:pt>
                <c:pt idx="73">
                  <c:v>821.83970600366501</c:v>
                </c:pt>
                <c:pt idx="74">
                  <c:v>837.69251614809002</c:v>
                </c:pt>
                <c:pt idx="75">
                  <c:v>853.54535669088295</c:v>
                </c:pt>
                <c:pt idx="76">
                  <c:v>869.39818203449204</c:v>
                </c:pt>
                <c:pt idx="77">
                  <c:v>885.25099217891602</c:v>
                </c:pt>
                <c:pt idx="78">
                  <c:v>901.10380992293301</c:v>
                </c:pt>
                <c:pt idx="79">
                  <c:v>916.95665046572606</c:v>
                </c:pt>
                <c:pt idx="80">
                  <c:v>932.80946820974305</c:v>
                </c:pt>
                <c:pt idx="81">
                  <c:v>948.66229355335201</c:v>
                </c:pt>
                <c:pt idx="82">
                  <c:v>964.51511889696098</c:v>
                </c:pt>
                <c:pt idx="83">
                  <c:v>980.36794044077305</c:v>
                </c:pt>
                <c:pt idx="84">
                  <c:v>996.22076388448397</c:v>
                </c:pt>
                <c:pt idx="85">
                  <c:v>1012.07358780317</c:v>
                </c:pt>
              </c:numCache>
            </c:numRef>
          </c:xVal>
          <c:yVal>
            <c:numRef>
              <c:f>Diss.!$C$2:$C$87</c:f>
              <c:numCache>
                <c:formatCode>0.00E+00</c:formatCode>
                <c:ptCount val="86"/>
                <c:pt idx="0">
                  <c:v>2.1417879741395298E-6</c:v>
                </c:pt>
                <c:pt idx="1">
                  <c:v>2.7069837508674599E-5</c:v>
                </c:pt>
                <c:pt idx="2">
                  <c:v>1.13080002344699E-4</c:v>
                </c:pt>
                <c:pt idx="3" formatCode="General">
                  <c:v>2.4879704322145098E-4</c:v>
                </c:pt>
                <c:pt idx="4" formatCode="General">
                  <c:v>5.00826811172453E-4</c:v>
                </c:pt>
                <c:pt idx="5" formatCode="General">
                  <c:v>1.3815194106651799E-3</c:v>
                </c:pt>
                <c:pt idx="6" formatCode="General">
                  <c:v>3.7906304082512801E-3</c:v>
                </c:pt>
                <c:pt idx="7" formatCode="General">
                  <c:v>7.3520440563881401E-3</c:v>
                </c:pt>
                <c:pt idx="8" formatCode="General">
                  <c:v>9.87323231637568E-3</c:v>
                </c:pt>
                <c:pt idx="9" formatCode="General">
                  <c:v>1.00539859100288E-2</c:v>
                </c:pt>
                <c:pt idx="10" formatCode="General">
                  <c:v>8.5652398731134796E-3</c:v>
                </c:pt>
                <c:pt idx="11" formatCode="General">
                  <c:v>6.6581041733599702E-3</c:v>
                </c:pt>
                <c:pt idx="12" formatCode="General">
                  <c:v>5.1193398036359803E-3</c:v>
                </c:pt>
                <c:pt idx="13" formatCode="General">
                  <c:v>4.1993713240607196E-3</c:v>
                </c:pt>
                <c:pt idx="14" formatCode="General">
                  <c:v>3.8614087725067602E-3</c:v>
                </c:pt>
                <c:pt idx="15" formatCode="General">
                  <c:v>3.9669711409268896E-3</c:v>
                </c:pt>
                <c:pt idx="16">
                  <c:v>4.3569346922277003E-3</c:v>
                </c:pt>
                <c:pt idx="17" formatCode="General">
                  <c:v>4.88006446919006E-3</c:v>
                </c:pt>
                <c:pt idx="18" formatCode="General">
                  <c:v>5.4057012396948202E-3</c:v>
                </c:pt>
                <c:pt idx="19" formatCode="General">
                  <c:v>5.8341702748081299E-3</c:v>
                </c:pt>
                <c:pt idx="20" formatCode="General">
                  <c:v>6.1035058093945596E-3</c:v>
                </c:pt>
                <c:pt idx="21" formatCode="General">
                  <c:v>6.1927293015131696E-3</c:v>
                </c:pt>
                <c:pt idx="22" formatCode="General">
                  <c:v>6.1134482421532597E-3</c:v>
                </c:pt>
                <c:pt idx="23" formatCode="General">
                  <c:v>5.9035883468316099E-3</c:v>
                </c:pt>
                <c:pt idx="24" formatCode="General">
                  <c:v>5.6089565719596099E-3</c:v>
                </c:pt>
                <c:pt idx="25" formatCode="General">
                  <c:v>5.2629821076159503E-3</c:v>
                </c:pt>
                <c:pt idx="26" formatCode="General">
                  <c:v>4.89471047362737E-3</c:v>
                </c:pt>
                <c:pt idx="27" formatCode="General">
                  <c:v>4.5346130408739404E-3</c:v>
                </c:pt>
                <c:pt idx="28" formatCode="General">
                  <c:v>4.1890305396429803E-3</c:v>
                </c:pt>
                <c:pt idx="29" formatCode="General">
                  <c:v>3.8635738817809498E-3</c:v>
                </c:pt>
                <c:pt idx="30" formatCode="General">
                  <c:v>3.5680540316757698E-3</c:v>
                </c:pt>
                <c:pt idx="31" formatCode="General">
                  <c:v>3.30804263545005E-3</c:v>
                </c:pt>
                <c:pt idx="32" formatCode="General">
                  <c:v>3.1114770307054899E-3</c:v>
                </c:pt>
                <c:pt idx="33" formatCode="General">
                  <c:v>2.79775571039982E-3</c:v>
                </c:pt>
                <c:pt idx="34" formatCode="General">
                  <c:v>2.55326708606408E-3</c:v>
                </c:pt>
                <c:pt idx="35" formatCode="General">
                  <c:v>2.36647629544662E-3</c:v>
                </c:pt>
                <c:pt idx="36" formatCode="General">
                  <c:v>2.2075628031114898E-3</c:v>
                </c:pt>
                <c:pt idx="37" formatCode="General">
                  <c:v>2.06585156605219E-3</c:v>
                </c:pt>
                <c:pt idx="38" formatCode="General">
                  <c:v>1.9401817065357401E-3</c:v>
                </c:pt>
                <c:pt idx="39" formatCode="General">
                  <c:v>1.82755159916762E-3</c:v>
                </c:pt>
                <c:pt idx="40" formatCode="General">
                  <c:v>1.7248124345676499E-3</c:v>
                </c:pt>
                <c:pt idx="41" formatCode="General">
                  <c:v>1.62948732446894E-3</c:v>
                </c:pt>
                <c:pt idx="42">
                  <c:v>1.54123995467348E-3</c:v>
                </c:pt>
                <c:pt idx="43">
                  <c:v>1.4576726168591401E-3</c:v>
                </c:pt>
                <c:pt idx="44">
                  <c:v>1.3774136712708901E-3</c:v>
                </c:pt>
                <c:pt idx="45">
                  <c:v>1.3030237453239999E-3</c:v>
                </c:pt>
                <c:pt idx="46">
                  <c:v>1.2323616264886799E-3</c:v>
                </c:pt>
                <c:pt idx="47">
                  <c:v>1.16431022140629E-3</c:v>
                </c:pt>
                <c:pt idx="48">
                  <c:v>1.1007446249273001E-3</c:v>
                </c:pt>
                <c:pt idx="49">
                  <c:v>1.0397072373585601E-3</c:v>
                </c:pt>
                <c:pt idx="50">
                  <c:v>9.8159198196038299E-4</c:v>
                </c:pt>
                <c:pt idx="51">
                  <c:v>9.2666960800000405E-4</c:v>
                </c:pt>
                <c:pt idx="52">
                  <c:v>8.7458930457831705E-4</c:v>
                </c:pt>
                <c:pt idx="53">
                  <c:v>8.2372810759786196E-4</c:v>
                </c:pt>
                <c:pt idx="54">
                  <c:v>7.7516388094784998E-4</c:v>
                </c:pt>
                <c:pt idx="55">
                  <c:v>7.2921900985824695E-4</c:v>
                </c:pt>
                <c:pt idx="56">
                  <c:v>6.8394605131989002E-4</c:v>
                </c:pt>
                <c:pt idx="57">
                  <c:v>6.40734295153404E-4</c:v>
                </c:pt>
                <c:pt idx="58">
                  <c:v>5.9932667156887198E-4</c:v>
                </c:pt>
                <c:pt idx="59">
                  <c:v>5.6007463476614701E-4</c:v>
                </c:pt>
                <c:pt idx="60">
                  <c:v>5.2347811762410595E-4</c:v>
                </c:pt>
                <c:pt idx="61">
                  <c:v>4.8880209509913905E-4</c:v>
                </c:pt>
                <c:pt idx="62">
                  <c:v>4.5630218738756999E-4</c:v>
                </c:pt>
                <c:pt idx="63">
                  <c:v>4.2547200139660102E-4</c:v>
                </c:pt>
                <c:pt idx="64">
                  <c:v>3.9600097462531901E-4</c:v>
                </c:pt>
                <c:pt idx="65">
                  <c:v>3.6695355181651798E-4</c:v>
                </c:pt>
                <c:pt idx="66">
                  <c:v>3.3900302892723799E-4</c:v>
                </c:pt>
                <c:pt idx="67">
                  <c:v>3.1288128952165702E-4</c:v>
                </c:pt>
                <c:pt idx="68">
                  <c:v>2.8871800354299601E-4</c:v>
                </c:pt>
                <c:pt idx="69">
                  <c:v>2.65694373394879E-4</c:v>
                </c:pt>
                <c:pt idx="70">
                  <c:v>2.4396155462400799E-4</c:v>
                </c:pt>
                <c:pt idx="71">
                  <c:v>2.2378212008877099E-4</c:v>
                </c:pt>
                <c:pt idx="72">
                  <c:v>2.0456622343782699E-4</c:v>
                </c:pt>
                <c:pt idx="73">
                  <c:v>1.86689692331382E-4</c:v>
                </c:pt>
                <c:pt idx="74">
                  <c:v>1.70541914073512E-4</c:v>
                </c:pt>
                <c:pt idx="75">
                  <c:v>1.55720624675182E-4</c:v>
                </c:pt>
                <c:pt idx="76">
                  <c:v>1.4256467760249801E-4</c:v>
                </c:pt>
                <c:pt idx="77">
                  <c:v>1.3088962289224099E-4</c:v>
                </c:pt>
                <c:pt idx="78">
                  <c:v>1.1999346047508399E-4</c:v>
                </c:pt>
                <c:pt idx="79">
                  <c:v>1.1029923058879E-4</c:v>
                </c:pt>
                <c:pt idx="80">
                  <c:v>1.01890143538621E-4</c:v>
                </c:pt>
                <c:pt idx="81">
                  <c:v>9.4871275547192506E-5</c:v>
                </c:pt>
                <c:pt idx="82">
                  <c:v>8.9270321631564702E-5</c:v>
                </c:pt>
                <c:pt idx="83">
                  <c:v>8.5113663821314794E-5</c:v>
                </c:pt>
                <c:pt idx="84">
                  <c:v>8.2353728402442803E-5</c:v>
                </c:pt>
                <c:pt idx="85">
                  <c:v>8.0867731031828804E-5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7A-410B-AF7A-EEC3ECD2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39616"/>
        <c:axId val="79841152"/>
      </c:scatterChart>
      <c:valAx>
        <c:axId val="79839616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79841152"/>
        <c:crosses val="autoZero"/>
        <c:crossBetween val="midCat"/>
      </c:valAx>
      <c:valAx>
        <c:axId val="79841152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7983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_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_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2m_1" refreshOnLoad="1" growShrinkType="overwriteClear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1m" refreshOnLoad="1" growShrinkType="overwriteClear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neumam_1" refreshOnLoad="1" growShrinkType="overwriteClear" connectionId="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iricm" refreshOnLoad="1" growShrinkType="overwriteClear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395_diric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9"/>
  <sheetViews>
    <sheetView tabSelected="1" workbookViewId="0"/>
  </sheetViews>
  <sheetFormatPr defaultRowHeight="15" x14ac:dyDescent="0.25"/>
  <cols>
    <col min="3" max="3" width="6.7109375" customWidth="1"/>
    <col min="4" max="5" width="7" bestFit="1" customWidth="1"/>
  </cols>
  <sheetData>
    <row r="1" spans="1:9" x14ac:dyDescent="0.25">
      <c r="A1" t="s">
        <v>502</v>
      </c>
    </row>
    <row r="3" spans="1:9" x14ac:dyDescent="0.25">
      <c r="A3" t="s">
        <v>503</v>
      </c>
    </row>
    <row r="5" spans="1:9" x14ac:dyDescent="0.25">
      <c r="A5" t="s">
        <v>504</v>
      </c>
    </row>
    <row r="6" spans="1:9" x14ac:dyDescent="0.25">
      <c r="B6" t="s">
        <v>505</v>
      </c>
    </row>
    <row r="7" spans="1:9" x14ac:dyDescent="0.25">
      <c r="A7" t="s">
        <v>506</v>
      </c>
    </row>
    <row r="8" spans="1:9" x14ac:dyDescent="0.25">
      <c r="B8" t="s">
        <v>507</v>
      </c>
    </row>
    <row r="10" spans="1:9" x14ac:dyDescent="0.25">
      <c r="A10" t="s">
        <v>508</v>
      </c>
    </row>
    <row r="11" spans="1:9" x14ac:dyDescent="0.25">
      <c r="B11" t="s">
        <v>509</v>
      </c>
    </row>
    <row r="13" spans="1:9" x14ac:dyDescent="0.25">
      <c r="A13" t="s">
        <v>510</v>
      </c>
    </row>
    <row r="14" spans="1:9" x14ac:dyDescent="0.25">
      <c r="C14" s="4">
        <v>0</v>
      </c>
      <c r="D14" s="4" t="s">
        <v>511</v>
      </c>
      <c r="E14" s="4">
        <f>12.566/2</f>
        <v>6.2830000000000004</v>
      </c>
      <c r="H14" s="5" t="s">
        <v>512</v>
      </c>
      <c r="I14">
        <v>30</v>
      </c>
    </row>
    <row r="15" spans="1:9" x14ac:dyDescent="0.25">
      <c r="B15" s="5" t="s">
        <v>513</v>
      </c>
      <c r="C15" s="4">
        <f>E15-150/1020</f>
        <v>-1.1470588235294117</v>
      </c>
      <c r="D15" s="4" t="s">
        <v>514</v>
      </c>
      <c r="E15" s="4">
        <v>-1</v>
      </c>
      <c r="G15">
        <v>1</v>
      </c>
      <c r="H15" s="6" t="s">
        <v>515</v>
      </c>
      <c r="I15">
        <v>15</v>
      </c>
    </row>
    <row r="16" spans="1:9" x14ac:dyDescent="0.25">
      <c r="B16" s="5" t="s">
        <v>476</v>
      </c>
      <c r="C16" s="4">
        <v>-1</v>
      </c>
      <c r="D16" s="4" t="str">
        <f>D15</f>
        <v>&lt;= Y &lt;=</v>
      </c>
      <c r="E16" s="4">
        <v>1</v>
      </c>
      <c r="H16" s="5" t="s">
        <v>516</v>
      </c>
      <c r="I16">
        <v>15</v>
      </c>
    </row>
    <row r="17" spans="1:5" x14ac:dyDescent="0.25">
      <c r="B17" s="5" t="s">
        <v>517</v>
      </c>
      <c r="C17" s="4">
        <v>1</v>
      </c>
      <c r="D17" s="4" t="str">
        <f>D16</f>
        <v>&lt;= Y &lt;=</v>
      </c>
      <c r="E17" s="4">
        <f>C17+150/1020</f>
        <v>1.1470588235294117</v>
      </c>
    </row>
    <row r="18" spans="1:5" x14ac:dyDescent="0.25">
      <c r="C18" s="4">
        <v>0</v>
      </c>
      <c r="D18" s="4" t="s">
        <v>518</v>
      </c>
      <c r="E18" s="4">
        <f>6.284/2</f>
        <v>3.1419999999999999</v>
      </c>
    </row>
    <row r="20" spans="1:5" x14ac:dyDescent="0.25">
      <c r="A20" t="s">
        <v>519</v>
      </c>
    </row>
    <row r="21" spans="1:5" x14ac:dyDescent="0.25">
      <c r="B21" s="5" t="s">
        <v>520</v>
      </c>
      <c r="C21">
        <v>1020</v>
      </c>
    </row>
    <row r="23" spans="1:5" x14ac:dyDescent="0.25">
      <c r="A23" s="7" t="s">
        <v>544</v>
      </c>
      <c r="B23" s="7"/>
    </row>
    <row r="24" spans="1:5" x14ac:dyDescent="0.25">
      <c r="A24" s="7">
        <v>1</v>
      </c>
      <c r="B24" s="7" t="s">
        <v>521</v>
      </c>
      <c r="C24" t="s">
        <v>522</v>
      </c>
    </row>
    <row r="25" spans="1:5" x14ac:dyDescent="0.25">
      <c r="A25">
        <v>1</v>
      </c>
      <c r="B25" t="s">
        <v>523</v>
      </c>
      <c r="C25" t="s">
        <v>524</v>
      </c>
    </row>
    <row r="26" spans="1:5" x14ac:dyDescent="0.25">
      <c r="A26">
        <v>1</v>
      </c>
      <c r="B26" t="s">
        <v>526</v>
      </c>
      <c r="C26" t="s">
        <v>525</v>
      </c>
    </row>
    <row r="27" spans="1:5" x14ac:dyDescent="0.25">
      <c r="A27">
        <v>1</v>
      </c>
      <c r="B27" t="s">
        <v>527</v>
      </c>
      <c r="C27" t="s">
        <v>528</v>
      </c>
    </row>
    <row r="28" spans="1:5" x14ac:dyDescent="0.25">
      <c r="D28" t="s">
        <v>529</v>
      </c>
    </row>
    <row r="29" spans="1:5" x14ac:dyDescent="0.25">
      <c r="D29" t="s">
        <v>530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370</v>
      </c>
      <c r="B1" t="s">
        <v>531</v>
      </c>
      <c r="C1" t="s">
        <v>532</v>
      </c>
    </row>
    <row r="2" spans="1:6" x14ac:dyDescent="0.25">
      <c r="A2">
        <v>0.49999237060546797</v>
      </c>
      <c r="B2">
        <v>0.50012813249931598</v>
      </c>
      <c r="C2" s="1">
        <v>4.3457675546143501E-5</v>
      </c>
      <c r="E2" s="1"/>
      <c r="F2" s="1"/>
    </row>
    <row r="3" spans="1:6" x14ac:dyDescent="0.25">
      <c r="A3">
        <v>1.54496669769287</v>
      </c>
      <c r="B3">
        <v>1.5432641163468299</v>
      </c>
      <c r="C3">
        <v>3.5305519470085701E-4</v>
      </c>
      <c r="E3" s="1"/>
      <c r="F3" s="1"/>
    </row>
    <row r="4" spans="1:6" x14ac:dyDescent="0.25">
      <c r="A4">
        <v>2.6840543746948198</v>
      </c>
      <c r="B4">
        <v>2.67065590672633</v>
      </c>
      <c r="C4">
        <v>1.3840537646103699E-3</v>
      </c>
      <c r="E4" s="1"/>
      <c r="F4" s="1"/>
    </row>
    <row r="5" spans="1:6" x14ac:dyDescent="0.25">
      <c r="A5">
        <v>3.9255237579345699</v>
      </c>
      <c r="B5">
        <v>3.8710742690983899</v>
      </c>
      <c r="C5">
        <v>3.0794189304970102E-3</v>
      </c>
      <c r="E5" s="1"/>
      <c r="F5" s="1"/>
    </row>
    <row r="6" spans="1:6" x14ac:dyDescent="0.25">
      <c r="A6">
        <v>5.2789807319641104</v>
      </c>
      <c r="B6">
        <v>5.1180375705746997</v>
      </c>
      <c r="C6">
        <v>5.9958816863172597E-3</v>
      </c>
      <c r="E6" s="1"/>
      <c r="F6" s="1"/>
    </row>
    <row r="7" spans="1:6" x14ac:dyDescent="0.25">
      <c r="A7">
        <v>6.7539703845977703</v>
      </c>
      <c r="B7">
        <v>6.3705302978263099</v>
      </c>
      <c r="C7">
        <v>1.2284512933547299E-2</v>
      </c>
      <c r="E7" s="1"/>
      <c r="F7" s="1"/>
    </row>
    <row r="8" spans="1:6" x14ac:dyDescent="0.25">
      <c r="A8">
        <v>8.3618009090423495</v>
      </c>
      <c r="B8">
        <v>7.5809661276200204</v>
      </c>
      <c r="C8">
        <v>2.7133060333653699E-2</v>
      </c>
      <c r="E8" s="1"/>
      <c r="F8" s="1"/>
    </row>
    <row r="9" spans="1:6" x14ac:dyDescent="0.25">
      <c r="A9">
        <v>10.114449262619001</v>
      </c>
      <c r="B9">
        <v>8.7075667177929503</v>
      </c>
      <c r="C9">
        <v>5.6898327280577997E-2</v>
      </c>
      <c r="E9" s="1"/>
      <c r="F9" s="1"/>
    </row>
    <row r="10" spans="1:6" x14ac:dyDescent="0.25">
      <c r="A10">
        <v>12.0248043537139</v>
      </c>
      <c r="B10">
        <v>9.7241086665321692</v>
      </c>
      <c r="C10">
        <v>0.10343397443284599</v>
      </c>
      <c r="E10" s="1"/>
      <c r="F10" s="1"/>
    </row>
    <row r="11" spans="1:6" x14ac:dyDescent="0.25">
      <c r="A11">
        <v>14.106971025466899</v>
      </c>
      <c r="B11">
        <v>10.621950569573499</v>
      </c>
      <c r="C11">
        <v>0.16290326001399</v>
      </c>
      <c r="E11" s="1"/>
      <c r="F11" s="1"/>
    </row>
    <row r="12" spans="1:6" x14ac:dyDescent="0.25">
      <c r="A12">
        <v>16.3765740394592</v>
      </c>
      <c r="B12">
        <v>11.405643401426399</v>
      </c>
      <c r="C12">
        <v>0.22994730991922499</v>
      </c>
      <c r="E12" s="1"/>
      <c r="F12" s="1"/>
    </row>
    <row r="13" spans="1:6" x14ac:dyDescent="0.25">
      <c r="A13">
        <v>18.850514888763399</v>
      </c>
      <c r="B13">
        <v>12.0867461751489</v>
      </c>
      <c r="C13">
        <v>0.30103967033210199</v>
      </c>
      <c r="E13" s="1"/>
      <c r="F13" s="1"/>
    </row>
    <row r="14" spans="1:6" x14ac:dyDescent="0.25">
      <c r="A14">
        <v>21.5470933914184</v>
      </c>
      <c r="B14">
        <v>12.6790678052341</v>
      </c>
      <c r="C14">
        <v>0.37502714394213299</v>
      </c>
      <c r="E14" s="1"/>
      <c r="F14" s="1"/>
    </row>
    <row r="15" spans="1:6" x14ac:dyDescent="0.25">
      <c r="A15">
        <v>24.4862508773803</v>
      </c>
      <c r="B15">
        <v>13.1960573540014</v>
      </c>
      <c r="C15">
        <v>0.452098716734326</v>
      </c>
      <c r="E15" s="1"/>
      <c r="F15" s="1"/>
    </row>
    <row r="16" spans="1:6" x14ac:dyDescent="0.25">
      <c r="A16">
        <v>27.690056562423699</v>
      </c>
      <c r="B16">
        <v>13.6497657425263</v>
      </c>
      <c r="C16">
        <v>0.53254179847135596</v>
      </c>
      <c r="E16" s="1"/>
      <c r="F16" s="1"/>
    </row>
    <row r="17" spans="1:6" x14ac:dyDescent="0.25">
      <c r="A17">
        <v>31.182160377502399</v>
      </c>
      <c r="B17">
        <v>14.0506014473298</v>
      </c>
      <c r="C17">
        <v>0.61591210766346105</v>
      </c>
      <c r="E17" s="1"/>
      <c r="F17" s="1"/>
    </row>
    <row r="18" spans="1:6" x14ac:dyDescent="0.25">
      <c r="A18">
        <v>34.988522529602001</v>
      </c>
      <c r="B18">
        <v>14.407431192959001</v>
      </c>
      <c r="C18">
        <v>0.70069868132122703</v>
      </c>
      <c r="E18" s="1"/>
      <c r="F18" s="1"/>
    </row>
    <row r="19" spans="1:6" x14ac:dyDescent="0.25">
      <c r="A19">
        <v>39.137535095214801</v>
      </c>
      <c r="B19">
        <v>14.727782162498</v>
      </c>
      <c r="C19">
        <v>0.78452619478048202</v>
      </c>
      <c r="E19" s="1"/>
      <c r="F19" s="1"/>
    </row>
    <row r="20" spans="1:6" x14ac:dyDescent="0.25">
      <c r="A20">
        <v>43.659839630126903</v>
      </c>
      <c r="B20">
        <v>15.0180607150582</v>
      </c>
      <c r="C20">
        <v>0.86471005022758596</v>
      </c>
      <c r="E20" s="1"/>
      <c r="F20" s="1"/>
    </row>
    <row r="21" spans="1:6" x14ac:dyDescent="0.25">
      <c r="A21">
        <v>48.589299917220998</v>
      </c>
      <c r="B21">
        <v>15.2837603737326</v>
      </c>
      <c r="C21">
        <v>0.93889696622500096</v>
      </c>
      <c r="E21" s="1"/>
      <c r="F21" s="1"/>
    </row>
    <row r="22" spans="1:6" x14ac:dyDescent="0.25">
      <c r="A22">
        <v>53.962393999099703</v>
      </c>
      <c r="B22">
        <v>15.529645053078101</v>
      </c>
      <c r="C22">
        <v>1.0056749944633301</v>
      </c>
      <c r="E22" s="1"/>
      <c r="F22" s="1"/>
    </row>
    <row r="23" spans="1:6" x14ac:dyDescent="0.25">
      <c r="A23">
        <v>59.819004535674999</v>
      </c>
      <c r="B23">
        <v>15.759874512167499</v>
      </c>
      <c r="C23">
        <v>1.06467140401946</v>
      </c>
      <c r="E23" s="1"/>
      <c r="F23" s="1"/>
    </row>
    <row r="24" spans="1:6" x14ac:dyDescent="0.25">
      <c r="A24">
        <v>66.2026619911193</v>
      </c>
      <c r="B24">
        <v>15.978096793679599</v>
      </c>
      <c r="C24">
        <v>1.1164985752548</v>
      </c>
      <c r="E24" s="1"/>
      <c r="F24" s="1"/>
    </row>
    <row r="25" spans="1:6" x14ac:dyDescent="0.25">
      <c r="A25">
        <v>73.160848617553697</v>
      </c>
      <c r="B25">
        <v>16.187487840652398</v>
      </c>
      <c r="C25">
        <v>1.1625218522676699</v>
      </c>
      <c r="E25" s="1"/>
      <c r="F25" s="1"/>
    </row>
    <row r="26" spans="1:6" x14ac:dyDescent="0.25">
      <c r="A26">
        <v>80.745424032211304</v>
      </c>
      <c r="B26">
        <v>16.390766352765599</v>
      </c>
      <c r="C26">
        <v>1.2041675191721799</v>
      </c>
      <c r="E26" s="1"/>
      <c r="F26" s="1"/>
    </row>
    <row r="27" spans="1:6" x14ac:dyDescent="0.25">
      <c r="A27">
        <v>89.012442827224703</v>
      </c>
      <c r="B27">
        <v>16.5902383551878</v>
      </c>
      <c r="C27">
        <v>1.2427496400196101</v>
      </c>
      <c r="E27" s="1"/>
      <c r="F27" s="1"/>
    </row>
    <row r="28" spans="1:6" x14ac:dyDescent="0.25">
      <c r="A28">
        <v>98.0235528945922</v>
      </c>
      <c r="B28">
        <v>16.787907795344999</v>
      </c>
      <c r="C28">
        <v>1.2792979263758699</v>
      </c>
      <c r="E28" s="1"/>
      <c r="F28" s="1"/>
    </row>
    <row r="29" spans="1:6" x14ac:dyDescent="0.25">
      <c r="A29">
        <v>107.845630645751</v>
      </c>
      <c r="B29">
        <v>16.9856102494632</v>
      </c>
      <c r="C29">
        <v>1.3147971812286401</v>
      </c>
      <c r="E29" s="1"/>
      <c r="F29" s="1"/>
    </row>
    <row r="30" spans="1:6" x14ac:dyDescent="0.25">
      <c r="A30">
        <v>118.551753759384</v>
      </c>
      <c r="B30">
        <v>17.185045936528301</v>
      </c>
      <c r="C30">
        <v>1.3496405858604701</v>
      </c>
      <c r="E30" s="1"/>
      <c r="F30" s="1"/>
    </row>
    <row r="31" spans="1:6" x14ac:dyDescent="0.25">
      <c r="A31">
        <v>130.22150516510001</v>
      </c>
      <c r="B31">
        <v>17.387740101533701</v>
      </c>
      <c r="C31">
        <v>1.38417199405375</v>
      </c>
      <c r="E31" s="1"/>
      <c r="F31" s="1"/>
    </row>
    <row r="32" spans="1:6" x14ac:dyDescent="0.25">
      <c r="A32">
        <v>142.941337823867</v>
      </c>
      <c r="B32">
        <v>17.595011652217099</v>
      </c>
      <c r="C32">
        <v>1.4187393702159099</v>
      </c>
      <c r="E32" s="1"/>
      <c r="F32" s="1"/>
    </row>
    <row r="33" spans="1:6" x14ac:dyDescent="0.25">
      <c r="A33">
        <v>156.806094646453</v>
      </c>
      <c r="B33">
        <v>17.807961604174402</v>
      </c>
      <c r="C33">
        <v>1.45431343844393</v>
      </c>
      <c r="E33" s="1"/>
      <c r="F33" s="1"/>
    </row>
    <row r="34" spans="1:6" x14ac:dyDescent="0.25">
      <c r="A34">
        <v>171.91864371299701</v>
      </c>
      <c r="B34">
        <v>18.027677767417</v>
      </c>
      <c r="C34">
        <v>1.4931395248859101</v>
      </c>
      <c r="E34" s="1"/>
      <c r="F34" s="1"/>
    </row>
    <row r="35" spans="1:6" x14ac:dyDescent="0.25">
      <c r="A35">
        <v>187.726768255233</v>
      </c>
      <c r="B35">
        <v>18.246098132694399</v>
      </c>
      <c r="C35">
        <v>1.4517442978103601</v>
      </c>
      <c r="E35" s="1"/>
      <c r="F35" s="1"/>
    </row>
    <row r="36" spans="1:6" x14ac:dyDescent="0.25">
      <c r="A36">
        <v>203.579578399658</v>
      </c>
      <c r="B36">
        <v>18.454947750708602</v>
      </c>
      <c r="C36">
        <v>1.41133757328498</v>
      </c>
      <c r="E36" s="1"/>
      <c r="F36" s="1"/>
    </row>
    <row r="37" spans="1:6" x14ac:dyDescent="0.25">
      <c r="A37">
        <v>219.43238854408199</v>
      </c>
      <c r="B37">
        <v>18.654910010449999</v>
      </c>
      <c r="C37">
        <v>1.37634639168391</v>
      </c>
      <c r="E37" s="1"/>
      <c r="F37" s="1"/>
    </row>
    <row r="38" spans="1:6" x14ac:dyDescent="0.25">
      <c r="A38">
        <v>235.28525948524401</v>
      </c>
      <c r="B38">
        <v>18.8468729874667</v>
      </c>
      <c r="C38">
        <v>1.3445714658591801</v>
      </c>
      <c r="E38" s="1"/>
      <c r="F38" s="1"/>
    </row>
    <row r="39" spans="1:6" x14ac:dyDescent="0.25">
      <c r="A39">
        <v>251.13806962966899</v>
      </c>
      <c r="B39">
        <v>19.0315464819178</v>
      </c>
      <c r="C39">
        <v>1.31469194922829</v>
      </c>
      <c r="E39" s="1"/>
      <c r="F39" s="1"/>
    </row>
    <row r="40" spans="1:6" x14ac:dyDescent="0.25">
      <c r="A40">
        <v>266.99081897735499</v>
      </c>
      <c r="B40">
        <v>19.2097261302611</v>
      </c>
      <c r="C40">
        <v>1.2865012828842699</v>
      </c>
      <c r="E40" s="1"/>
      <c r="F40" s="1"/>
    </row>
    <row r="41" spans="1:6" x14ac:dyDescent="0.25">
      <c r="A41">
        <v>282.84362912178</v>
      </c>
      <c r="B41">
        <v>19.3820854172987</v>
      </c>
      <c r="C41">
        <v>1.26003625692101</v>
      </c>
      <c r="E41" s="1"/>
      <c r="F41" s="1"/>
    </row>
    <row r="42" spans="1:6" x14ac:dyDescent="0.25">
      <c r="A42">
        <v>298.69643926620398</v>
      </c>
      <c r="B42">
        <v>19.549249957589499</v>
      </c>
      <c r="C42">
        <v>1.2344845090701699</v>
      </c>
      <c r="E42" s="1"/>
      <c r="F42" s="1"/>
    </row>
    <row r="43" spans="1:6" x14ac:dyDescent="0.25">
      <c r="A43">
        <v>314.54931020736598</v>
      </c>
      <c r="B43">
        <v>19.711568048421</v>
      </c>
      <c r="C43">
        <v>1.20987429987872</v>
      </c>
      <c r="E43" s="1"/>
      <c r="F43" s="1"/>
    </row>
    <row r="44" spans="1:6" x14ac:dyDescent="0.25">
      <c r="A44">
        <v>330.40212035179098</v>
      </c>
      <c r="B44">
        <v>19.869059498169801</v>
      </c>
      <c r="C44">
        <v>1.1859843749552901</v>
      </c>
      <c r="E44" s="1"/>
      <c r="F44" s="1"/>
    </row>
    <row r="45" spans="1:6" x14ac:dyDescent="0.25">
      <c r="A45">
        <v>346.25493049621502</v>
      </c>
      <c r="B45">
        <v>20.022044542256499</v>
      </c>
      <c r="C45">
        <v>1.1625048959394899</v>
      </c>
      <c r="E45" s="1"/>
      <c r="F45" s="1"/>
    </row>
    <row r="46" spans="1:6" x14ac:dyDescent="0.25">
      <c r="A46">
        <v>362.10780143737702</v>
      </c>
      <c r="B46">
        <v>20.170742723520998</v>
      </c>
      <c r="C46">
        <v>1.1395690470817399</v>
      </c>
      <c r="E46" s="1"/>
      <c r="F46" s="1"/>
    </row>
    <row r="47" spans="1:6" x14ac:dyDescent="0.25">
      <c r="A47">
        <v>377.96061158180203</v>
      </c>
      <c r="B47">
        <v>20.315355427124899</v>
      </c>
      <c r="C47">
        <v>1.11689042058424</v>
      </c>
      <c r="E47" s="1"/>
      <c r="F47" s="1"/>
    </row>
    <row r="48" spans="1:6" x14ac:dyDescent="0.25">
      <c r="A48">
        <v>393.81348252296402</v>
      </c>
      <c r="B48">
        <v>20.4560708326451</v>
      </c>
      <c r="C48">
        <v>1.0944618228531899</v>
      </c>
      <c r="E48" s="1"/>
      <c r="F48" s="1"/>
    </row>
    <row r="49" spans="1:6" x14ac:dyDescent="0.25">
      <c r="A49">
        <v>409.66629266738801</v>
      </c>
      <c r="B49">
        <v>20.593034201509798</v>
      </c>
      <c r="C49">
        <v>1.0723179886699601</v>
      </c>
      <c r="E49" s="1"/>
      <c r="F49" s="1"/>
    </row>
    <row r="50" spans="1:6" x14ac:dyDescent="0.25">
      <c r="A50">
        <v>425.519042015075</v>
      </c>
      <c r="B50">
        <v>20.726460124464499</v>
      </c>
      <c r="C50">
        <v>1.05051924145664</v>
      </c>
      <c r="E50" s="1"/>
      <c r="F50" s="1"/>
    </row>
    <row r="51" spans="1:6" x14ac:dyDescent="0.25">
      <c r="A51">
        <v>441.371912956237</v>
      </c>
      <c r="B51">
        <v>20.856403074545</v>
      </c>
      <c r="C51">
        <v>1.02882408199366</v>
      </c>
      <c r="E51" s="1"/>
      <c r="F51" s="1"/>
    </row>
    <row r="52" spans="1:6" x14ac:dyDescent="0.25">
      <c r="A52">
        <v>457.22478389739899</v>
      </c>
      <c r="B52">
        <v>20.9829290796728</v>
      </c>
      <c r="C52">
        <v>1.0071725979214501</v>
      </c>
    </row>
    <row r="53" spans="1:6" x14ac:dyDescent="0.25">
      <c r="A53">
        <v>473.07753324508599</v>
      </c>
      <c r="B53">
        <v>21.106145435220999</v>
      </c>
      <c r="C53">
        <v>0.98572921424056403</v>
      </c>
    </row>
    <row r="54" spans="1:6" x14ac:dyDescent="0.25">
      <c r="A54">
        <v>488.93034338951099</v>
      </c>
      <c r="B54">
        <v>21.226175943542898</v>
      </c>
      <c r="C54">
        <v>0.96456411987310198</v>
      </c>
    </row>
    <row r="55" spans="1:6" x14ac:dyDescent="0.25">
      <c r="A55">
        <v>504.78321433067299</v>
      </c>
      <c r="B55">
        <v>21.343066824183701</v>
      </c>
      <c r="C55">
        <v>0.94336778475553695</v>
      </c>
    </row>
    <row r="56" spans="1:6" x14ac:dyDescent="0.25">
      <c r="A56">
        <v>520.63602447509697</v>
      </c>
      <c r="B56">
        <v>21.4568808036692</v>
      </c>
      <c r="C56">
        <v>0.922205053997458</v>
      </c>
    </row>
    <row r="57" spans="1:6" x14ac:dyDescent="0.25">
      <c r="A57">
        <v>536.48889541625897</v>
      </c>
      <c r="B57">
        <v>21.5676211833953</v>
      </c>
      <c r="C57">
        <v>0.90092866445775099</v>
      </c>
    </row>
    <row r="58" spans="1:6" x14ac:dyDescent="0.25">
      <c r="A58">
        <v>552.34173595905304</v>
      </c>
      <c r="B58">
        <v>21.675304470342699</v>
      </c>
      <c r="C58">
        <v>0.87964456749614295</v>
      </c>
    </row>
    <row r="59" spans="1:6" x14ac:dyDescent="0.25">
      <c r="A59">
        <v>568.19448530673901</v>
      </c>
      <c r="B59">
        <v>21.779948822189699</v>
      </c>
      <c r="C59">
        <v>0.85837388144864202</v>
      </c>
    </row>
    <row r="60" spans="1:6" x14ac:dyDescent="0.25">
      <c r="A60">
        <v>584.04732584953297</v>
      </c>
      <c r="B60">
        <v>21.881527827767702</v>
      </c>
      <c r="C60">
        <v>0.83742665020690699</v>
      </c>
    </row>
    <row r="61" spans="1:6" x14ac:dyDescent="0.25">
      <c r="A61">
        <v>599.90016639232601</v>
      </c>
      <c r="B61">
        <v>21.980028281492299</v>
      </c>
      <c r="C61">
        <v>0.81679028498183404</v>
      </c>
    </row>
    <row r="62" spans="1:6" x14ac:dyDescent="0.25">
      <c r="A62">
        <v>615.75300693511895</v>
      </c>
      <c r="B62">
        <v>22.075549225246199</v>
      </c>
      <c r="C62">
        <v>0.79630966106196799</v>
      </c>
    </row>
    <row r="63" spans="1:6" x14ac:dyDescent="0.25">
      <c r="A63">
        <v>631.60581707954395</v>
      </c>
      <c r="B63">
        <v>22.168199605100199</v>
      </c>
      <c r="C63">
        <v>0.77580344850139205</v>
      </c>
    </row>
    <row r="64" spans="1:6" x14ac:dyDescent="0.25">
      <c r="A64">
        <v>647.45859682559899</v>
      </c>
      <c r="B64">
        <v>22.257799494967699</v>
      </c>
      <c r="C64">
        <v>0.75535175310505998</v>
      </c>
    </row>
    <row r="65" spans="1:3" x14ac:dyDescent="0.25">
      <c r="A65">
        <v>663.31143736839203</v>
      </c>
      <c r="B65">
        <v>22.344231695287299</v>
      </c>
      <c r="C65">
        <v>0.73513030409230795</v>
      </c>
    </row>
    <row r="66" spans="1:3" x14ac:dyDescent="0.25">
      <c r="A66">
        <v>679.16427791118599</v>
      </c>
      <c r="B66">
        <v>22.427509411643499</v>
      </c>
      <c r="C66">
        <v>0.71523503317439396</v>
      </c>
    </row>
    <row r="67" spans="1:3" x14ac:dyDescent="0.25">
      <c r="A67">
        <v>695.01711845397904</v>
      </c>
      <c r="B67">
        <v>22.507753144993501</v>
      </c>
      <c r="C67">
        <v>0.69556579524942197</v>
      </c>
    </row>
    <row r="68" spans="1:3" x14ac:dyDescent="0.25">
      <c r="A68">
        <v>710.86992859840302</v>
      </c>
      <c r="B68">
        <v>22.585004162788302</v>
      </c>
      <c r="C68">
        <v>0.67612911593460001</v>
      </c>
    </row>
    <row r="69" spans="1:3" x14ac:dyDescent="0.25">
      <c r="A69">
        <v>726.72273874282803</v>
      </c>
      <c r="B69">
        <v>22.659229451067301</v>
      </c>
      <c r="C69">
        <v>0.65692597150336896</v>
      </c>
    </row>
    <row r="70" spans="1:3" x14ac:dyDescent="0.25">
      <c r="A70">
        <v>742.57554888725201</v>
      </c>
      <c r="B70">
        <v>22.7303712353986</v>
      </c>
      <c r="C70">
        <v>0.63803210022160695</v>
      </c>
    </row>
    <row r="71" spans="1:3" x14ac:dyDescent="0.25">
      <c r="A71">
        <v>758.42838943004597</v>
      </c>
      <c r="B71">
        <v>22.798370090652899</v>
      </c>
      <c r="C71">
        <v>0.61939385843288597</v>
      </c>
    </row>
    <row r="72" spans="1:3" x14ac:dyDescent="0.25">
      <c r="A72">
        <v>774.28122997283901</v>
      </c>
      <c r="B72">
        <v>22.863189701473001</v>
      </c>
      <c r="C72">
        <v>0.60109998425468802</v>
      </c>
    </row>
    <row r="73" spans="1:3" x14ac:dyDescent="0.25">
      <c r="A73">
        <v>790.13402491807904</v>
      </c>
      <c r="B73">
        <v>22.9247689920313</v>
      </c>
      <c r="C73">
        <v>0.58337676759401802</v>
      </c>
    </row>
    <row r="74" spans="1:3" x14ac:dyDescent="0.25">
      <c r="A74">
        <v>805.98686546087197</v>
      </c>
      <c r="B74">
        <v>22.9829940641627</v>
      </c>
      <c r="C74">
        <v>0.56625288006034602</v>
      </c>
    </row>
    <row r="75" spans="1:3" x14ac:dyDescent="0.25">
      <c r="A75">
        <v>821.83970600366501</v>
      </c>
      <c r="B75">
        <v>23.037724608533502</v>
      </c>
      <c r="C75">
        <v>0.54994993572472495</v>
      </c>
    </row>
    <row r="76" spans="1:3" x14ac:dyDescent="0.25">
      <c r="A76">
        <v>837.69251614809002</v>
      </c>
      <c r="B76">
        <v>23.088765842774301</v>
      </c>
      <c r="C76">
        <v>0.53443047651671804</v>
      </c>
    </row>
    <row r="77" spans="1:3" x14ac:dyDescent="0.25">
      <c r="A77">
        <v>853.54535669088295</v>
      </c>
      <c r="B77">
        <v>23.135960950570901</v>
      </c>
      <c r="C77">
        <v>0.51967744334251598</v>
      </c>
    </row>
    <row r="78" spans="1:3" x14ac:dyDescent="0.25">
      <c r="A78">
        <v>869.39818203449204</v>
      </c>
      <c r="B78">
        <v>23.179225746322999</v>
      </c>
      <c r="C78">
        <v>0.50602261502353896</v>
      </c>
    </row>
    <row r="79" spans="1:3" x14ac:dyDescent="0.25">
      <c r="A79">
        <v>885.25099217891602</v>
      </c>
      <c r="B79">
        <v>23.218563531426799</v>
      </c>
      <c r="C79">
        <v>0.49342185372370201</v>
      </c>
    </row>
    <row r="80" spans="1:3" x14ac:dyDescent="0.25">
      <c r="A80">
        <v>901.10380992293301</v>
      </c>
      <c r="B80">
        <v>23.253931387733001</v>
      </c>
      <c r="C80">
        <v>0.481907170935301</v>
      </c>
    </row>
    <row r="81" spans="1:3" x14ac:dyDescent="0.25">
      <c r="A81">
        <v>916.95665046572606</v>
      </c>
      <c r="B81">
        <v>23.285190656605799</v>
      </c>
      <c r="C81">
        <v>0.47164026836980999</v>
      </c>
    </row>
    <row r="82" spans="1:3" x14ac:dyDescent="0.25">
      <c r="A82">
        <v>932.80946820974305</v>
      </c>
      <c r="B82">
        <v>23.312238994766599</v>
      </c>
      <c r="C82">
        <v>0.462512008933117</v>
      </c>
    </row>
    <row r="83" spans="1:3" x14ac:dyDescent="0.25">
      <c r="A83">
        <v>948.66229355335201</v>
      </c>
      <c r="B83">
        <v>23.334988915219</v>
      </c>
      <c r="C83">
        <v>0.45462151007086499</v>
      </c>
    </row>
    <row r="84" spans="1:3" x14ac:dyDescent="0.25">
      <c r="A84">
        <v>964.51511889696098</v>
      </c>
      <c r="B84">
        <v>23.353334773288001</v>
      </c>
      <c r="C84">
        <v>0.44816890783840702</v>
      </c>
    </row>
    <row r="85" spans="1:3" x14ac:dyDescent="0.25">
      <c r="A85">
        <v>980.36794044077305</v>
      </c>
      <c r="B85">
        <v>23.3671923833734</v>
      </c>
      <c r="C85">
        <v>0.44342108456476098</v>
      </c>
    </row>
    <row r="86" spans="1:3" x14ac:dyDescent="0.25">
      <c r="A86">
        <v>996.22076388448397</v>
      </c>
      <c r="B86">
        <v>23.376487464063299</v>
      </c>
      <c r="C86">
        <v>0.44030733749968898</v>
      </c>
    </row>
    <row r="87" spans="1:3" x14ac:dyDescent="0.25">
      <c r="A87">
        <v>1012.07358780317</v>
      </c>
      <c r="B87">
        <v>23.381182049302399</v>
      </c>
      <c r="C87">
        <v>0.43875141454918698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7"/>
  <sheetViews>
    <sheetView workbookViewId="0"/>
  </sheetViews>
  <sheetFormatPr defaultRowHeight="15" x14ac:dyDescent="0.25"/>
  <cols>
    <col min="1" max="5" width="12" bestFit="1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370</v>
      </c>
      <c r="B1" t="s">
        <v>533</v>
      </c>
      <c r="C1" t="s">
        <v>534</v>
      </c>
      <c r="D1" t="s">
        <v>535</v>
      </c>
      <c r="E1" t="s">
        <v>536</v>
      </c>
      <c r="G1" t="s">
        <v>15</v>
      </c>
      <c r="H1" t="s">
        <v>16</v>
      </c>
    </row>
    <row r="2" spans="1:20" x14ac:dyDescent="0.25">
      <c r="A2">
        <v>0.49999237060546797</v>
      </c>
      <c r="B2">
        <v>4.4295265401238598E-2</v>
      </c>
      <c r="C2" s="1">
        <v>8.04397573538735E-6</v>
      </c>
      <c r="D2">
        <v>1.3816994545303701E-2</v>
      </c>
      <c r="E2">
        <v>1.4742653593239599E-4</v>
      </c>
      <c r="G2">
        <f>(D2+C2+B2)/2</f>
        <v>2.9060151961138841E-2</v>
      </c>
      <c r="H2">
        <f>scalar!L13*Rij!G2+scalar!M13*Rij!G3+scalar!N13*Rij!G4</f>
        <v>2.8464865466267149E-2</v>
      </c>
      <c r="K2" s="1"/>
      <c r="T2" s="1"/>
    </row>
    <row r="3" spans="1:20" x14ac:dyDescent="0.25">
      <c r="A3">
        <v>1.54496669769287</v>
      </c>
      <c r="B3">
        <v>0.421577734929383</v>
      </c>
      <c r="C3">
        <v>1.4413385003904101E-4</v>
      </c>
      <c r="D3">
        <v>0.102680339877635</v>
      </c>
      <c r="E3">
        <v>2.8030297145332302E-3</v>
      </c>
      <c r="G3">
        <f>(D3+C3+B3)/2</f>
        <v>0.2622011043285285</v>
      </c>
      <c r="K3" s="1"/>
      <c r="T3" s="1"/>
    </row>
    <row r="4" spans="1:20" x14ac:dyDescent="0.25">
      <c r="A4">
        <v>2.6840543746948198</v>
      </c>
      <c r="B4">
        <v>1.2537267389668501</v>
      </c>
      <c r="C4">
        <v>1.01641477167592E-3</v>
      </c>
      <c r="D4">
        <v>0.24938779304973799</v>
      </c>
      <c r="E4">
        <v>1.5229064203479701E-2</v>
      </c>
      <c r="G4">
        <f>(D4+C4+B4)/2</f>
        <v>0.75206547339413199</v>
      </c>
      <c r="K4" s="1"/>
    </row>
    <row r="5" spans="1:20" x14ac:dyDescent="0.25">
      <c r="A5">
        <v>3.9255237579345699</v>
      </c>
      <c r="B5">
        <v>2.56960286892267</v>
      </c>
      <c r="C5">
        <v>3.6828604795929999E-3</v>
      </c>
      <c r="D5">
        <v>0.42652665567999998</v>
      </c>
      <c r="E5">
        <v>4.6098967437609398E-2</v>
      </c>
      <c r="G5" s="1"/>
      <c r="K5" s="1"/>
    </row>
    <row r="6" spans="1:20" x14ac:dyDescent="0.25">
      <c r="A6">
        <v>5.2789807319641104</v>
      </c>
      <c r="B6">
        <v>4.2650478051723999</v>
      </c>
      <c r="C6">
        <v>9.5167344524675103E-3</v>
      </c>
      <c r="D6">
        <v>0.61146343347287702</v>
      </c>
      <c r="E6">
        <v>0.102210883259681</v>
      </c>
      <c r="K6" s="1"/>
    </row>
    <row r="7" spans="1:20" x14ac:dyDescent="0.25">
      <c r="A7">
        <v>6.7539703845977703</v>
      </c>
      <c r="B7">
        <v>6.0812109610448601</v>
      </c>
      <c r="C7">
        <v>2.0008978395277401E-2</v>
      </c>
      <c r="D7">
        <v>0.78953810663739099</v>
      </c>
      <c r="E7">
        <v>0.184071257960189</v>
      </c>
      <c r="K7" s="1"/>
    </row>
    <row r="8" spans="1:20" x14ac:dyDescent="0.25">
      <c r="A8">
        <v>8.3618009090423495</v>
      </c>
      <c r="B8">
        <v>7.6937043872434296</v>
      </c>
      <c r="C8">
        <v>3.6548143027257202E-2</v>
      </c>
      <c r="D8">
        <v>0.95383691837514795</v>
      </c>
      <c r="E8">
        <v>0.28418079745999197</v>
      </c>
      <c r="K8" s="1"/>
    </row>
    <row r="9" spans="1:20" x14ac:dyDescent="0.25">
      <c r="A9">
        <v>10.114449262619001</v>
      </c>
      <c r="B9">
        <v>8.8579444782492605</v>
      </c>
      <c r="C9">
        <v>6.02595722404103E-2</v>
      </c>
      <c r="D9">
        <v>1.10195891332203</v>
      </c>
      <c r="E9">
        <v>0.39017897452372702</v>
      </c>
      <c r="K9" s="1"/>
    </row>
    <row r="10" spans="1:20" x14ac:dyDescent="0.25">
      <c r="A10">
        <v>12.0248043537139</v>
      </c>
      <c r="B10">
        <v>9.4913084764572293</v>
      </c>
      <c r="C10">
        <v>9.2024780685093302E-2</v>
      </c>
      <c r="D10">
        <v>1.2331659609860499</v>
      </c>
      <c r="E10">
        <v>0.490622445079546</v>
      </c>
      <c r="K10" s="1"/>
    </row>
    <row r="11" spans="1:20" x14ac:dyDescent="0.25">
      <c r="A11">
        <v>14.106971025466899</v>
      </c>
      <c r="B11">
        <v>9.6489539351198204</v>
      </c>
      <c r="C11">
        <v>0.132487425494135</v>
      </c>
      <c r="D11">
        <v>1.3473626142284501</v>
      </c>
      <c r="E11">
        <v>0.57861086760744196</v>
      </c>
      <c r="K11" s="1"/>
    </row>
    <row r="12" spans="1:20" x14ac:dyDescent="0.25">
      <c r="A12">
        <v>16.3765740394592</v>
      </c>
      <c r="B12">
        <v>9.45029031412205</v>
      </c>
      <c r="C12">
        <v>0.18193713493856201</v>
      </c>
      <c r="D12">
        <v>1.44499896568384</v>
      </c>
      <c r="E12">
        <v>0.65182078731993898</v>
      </c>
      <c r="K12" s="1"/>
    </row>
    <row r="13" spans="1:20" x14ac:dyDescent="0.25">
      <c r="A13">
        <v>18.850514888763399</v>
      </c>
      <c r="B13">
        <v>9.0191792493321206</v>
      </c>
      <c r="C13">
        <v>0.240217568569423</v>
      </c>
      <c r="D13">
        <v>1.5270195759515699</v>
      </c>
      <c r="E13">
        <v>0.71084399433448797</v>
      </c>
      <c r="K13" s="1"/>
    </row>
    <row r="14" spans="1:20" x14ac:dyDescent="0.25">
      <c r="A14">
        <v>21.5470933914184</v>
      </c>
      <c r="B14">
        <v>8.4562214892617895</v>
      </c>
      <c r="C14">
        <v>0.306703844505191</v>
      </c>
      <c r="D14">
        <v>1.5946781150737499</v>
      </c>
      <c r="E14">
        <v>0.75756010085047798</v>
      </c>
      <c r="K14" s="1"/>
    </row>
    <row r="15" spans="1:20" x14ac:dyDescent="0.25">
      <c r="A15">
        <v>24.4862508773803</v>
      </c>
      <c r="B15">
        <v>7.8336161425312598</v>
      </c>
      <c r="C15">
        <v>0.380313633264309</v>
      </c>
      <c r="D15">
        <v>1.64936084336475</v>
      </c>
      <c r="E15">
        <v>0.79412671220711095</v>
      </c>
      <c r="K15" s="1"/>
    </row>
    <row r="16" spans="1:20" x14ac:dyDescent="0.25">
      <c r="A16">
        <v>27.690056562423699</v>
      </c>
      <c r="B16">
        <v>7.1995914251215503</v>
      </c>
      <c r="C16">
        <v>0.45954181204089101</v>
      </c>
      <c r="D16">
        <v>1.69249455715481</v>
      </c>
      <c r="E16">
        <v>0.82252111990198096</v>
      </c>
      <c r="K16" s="1"/>
    </row>
    <row r="17" spans="1:11" x14ac:dyDescent="0.25">
      <c r="A17">
        <v>31.182160377502399</v>
      </c>
      <c r="B17">
        <v>6.5848089937396503</v>
      </c>
      <c r="C17">
        <v>0.54251850085081599</v>
      </c>
      <c r="D17">
        <v>1.7255101599475899</v>
      </c>
      <c r="E17">
        <v>0.844392086202568</v>
      </c>
      <c r="K17" s="1"/>
    </row>
    <row r="18" spans="1:11" x14ac:dyDescent="0.25">
      <c r="A18">
        <v>34.988522529602001</v>
      </c>
      <c r="B18">
        <v>6.0078468437565</v>
      </c>
      <c r="C18">
        <v>0.627089219378133</v>
      </c>
      <c r="D18">
        <v>1.7498698054792801</v>
      </c>
      <c r="E18">
        <v>0.86103435288515295</v>
      </c>
      <c r="K18" s="1"/>
    </row>
    <row r="19" spans="1:11" x14ac:dyDescent="0.25">
      <c r="A19">
        <v>39.137535095214801</v>
      </c>
      <c r="B19">
        <v>5.4791954103681899</v>
      </c>
      <c r="C19">
        <v>0.71093122712639401</v>
      </c>
      <c r="D19">
        <v>1.76705850479898</v>
      </c>
      <c r="E19">
        <v>0.87343426657428103</v>
      </c>
      <c r="K19" s="1"/>
    </row>
    <row r="20" spans="1:11" x14ac:dyDescent="0.25">
      <c r="A20">
        <v>43.659839630126903</v>
      </c>
      <c r="B20">
        <v>5.0039425885736604</v>
      </c>
      <c r="C20">
        <v>0.79170151559120305</v>
      </c>
      <c r="D20">
        <v>1.77850108993661</v>
      </c>
      <c r="E20">
        <v>0.88232567201577905</v>
      </c>
      <c r="K20" s="1"/>
    </row>
    <row r="21" spans="1:11" x14ac:dyDescent="0.25">
      <c r="A21">
        <v>48.589299917220998</v>
      </c>
      <c r="B21">
        <v>4.5835219604679196</v>
      </c>
      <c r="C21">
        <v>0.86722877397424303</v>
      </c>
      <c r="D21">
        <v>1.7853654267244401</v>
      </c>
      <c r="E21">
        <v>0.88826357333911199</v>
      </c>
      <c r="K21" s="1"/>
    </row>
    <row r="22" spans="1:11" x14ac:dyDescent="0.25">
      <c r="A22">
        <v>53.962393999099703</v>
      </c>
      <c r="B22">
        <v>4.2166463736168804</v>
      </c>
      <c r="C22">
        <v>0.93571008707535197</v>
      </c>
      <c r="D22">
        <v>1.7883591989993599</v>
      </c>
      <c r="E22">
        <v>0.89168225948985602</v>
      </c>
      <c r="K22" s="1"/>
    </row>
    <row r="23" spans="1:11" x14ac:dyDescent="0.25">
      <c r="A23">
        <v>59.819004535674999</v>
      </c>
      <c r="B23">
        <v>3.9001175899385898</v>
      </c>
      <c r="C23">
        <v>0.99587160613084802</v>
      </c>
      <c r="D23">
        <v>1.78788115972827</v>
      </c>
      <c r="E23">
        <v>0.89294807247946395</v>
      </c>
      <c r="K23" s="1"/>
    </row>
    <row r="24" spans="1:11" x14ac:dyDescent="0.25">
      <c r="A24">
        <v>66.2026619911193</v>
      </c>
      <c r="B24">
        <v>3.6294191472572601</v>
      </c>
      <c r="C24">
        <v>1.04707957642533</v>
      </c>
      <c r="D24">
        <v>1.7840205952897601</v>
      </c>
      <c r="E24">
        <v>0.89236369313143604</v>
      </c>
      <c r="K24" s="1"/>
    </row>
    <row r="25" spans="1:11" x14ac:dyDescent="0.25">
      <c r="A25">
        <v>73.160848617553697</v>
      </c>
      <c r="B25">
        <v>3.39922422022478</v>
      </c>
      <c r="C25">
        <v>1.0893406051508101</v>
      </c>
      <c r="D25">
        <v>1.7766991122434299</v>
      </c>
      <c r="E25">
        <v>0.89018733765272495</v>
      </c>
      <c r="K25" s="1"/>
    </row>
    <row r="26" spans="1:11" x14ac:dyDescent="0.25">
      <c r="A26">
        <v>80.745424032211304</v>
      </c>
      <c r="B26">
        <v>3.20414491161007</v>
      </c>
      <c r="C26">
        <v>1.1231382673338799</v>
      </c>
      <c r="D26">
        <v>1.76586724593552</v>
      </c>
      <c r="E26">
        <v>0.88661507893076497</v>
      </c>
      <c r="K26" s="1"/>
    </row>
    <row r="27" spans="1:11" x14ac:dyDescent="0.25">
      <c r="A27">
        <v>89.012442827224703</v>
      </c>
      <c r="B27">
        <v>3.0390283259305901</v>
      </c>
      <c r="C27">
        <v>1.14925855096545</v>
      </c>
      <c r="D27">
        <v>1.75162856856522</v>
      </c>
      <c r="E27">
        <v>0.88178557871154395</v>
      </c>
      <c r="K27" s="1"/>
    </row>
    <row r="28" spans="1:11" x14ac:dyDescent="0.25">
      <c r="A28">
        <v>98.0235528945922</v>
      </c>
      <c r="B28">
        <v>2.8989515694150798</v>
      </c>
      <c r="C28">
        <v>1.1686607488973699</v>
      </c>
      <c r="D28">
        <v>1.73420415320598</v>
      </c>
      <c r="E28">
        <v>0.87575973030527698</v>
      </c>
      <c r="K28" s="1"/>
    </row>
    <row r="29" spans="1:11" x14ac:dyDescent="0.25">
      <c r="A29">
        <v>107.845630645751</v>
      </c>
      <c r="B29">
        <v>2.7795181807806002</v>
      </c>
      <c r="C29">
        <v>1.1822874574286499</v>
      </c>
      <c r="D29">
        <v>1.7139438238892</v>
      </c>
      <c r="E29">
        <v>0.868589230525181</v>
      </c>
      <c r="K29" s="1"/>
    </row>
    <row r="30" spans="1:11" x14ac:dyDescent="0.25">
      <c r="A30">
        <v>118.551753759384</v>
      </c>
      <c r="B30">
        <v>2.6764359852344199</v>
      </c>
      <c r="C30">
        <v>1.1909893971747301</v>
      </c>
      <c r="D30">
        <v>1.69156490738068</v>
      </c>
      <c r="E30">
        <v>0.86026023998257095</v>
      </c>
      <c r="K30" s="1"/>
    </row>
    <row r="31" spans="1:11" x14ac:dyDescent="0.25">
      <c r="A31">
        <v>130.22150516510001</v>
      </c>
      <c r="B31">
        <v>2.5863621007612401</v>
      </c>
      <c r="C31">
        <v>1.1953840727300999</v>
      </c>
      <c r="D31">
        <v>1.6675831218032799</v>
      </c>
      <c r="E31">
        <v>0.85082454477704295</v>
      </c>
      <c r="K31" s="1"/>
    </row>
    <row r="32" spans="1:11" x14ac:dyDescent="0.25">
      <c r="A32">
        <v>142.941337823867</v>
      </c>
      <c r="B32">
        <v>2.5071209754597601</v>
      </c>
      <c r="C32">
        <v>1.19619273946121</v>
      </c>
      <c r="D32">
        <v>1.6422747192124401</v>
      </c>
      <c r="E32">
        <v>0.84017991200508302</v>
      </c>
      <c r="K32" s="1"/>
    </row>
    <row r="33" spans="1:11" x14ac:dyDescent="0.25">
      <c r="A33">
        <v>156.806094646453</v>
      </c>
      <c r="B33">
        <v>2.4357631230988499</v>
      </c>
      <c r="C33">
        <v>1.19427549305323</v>
      </c>
      <c r="D33">
        <v>1.6155854134899601</v>
      </c>
      <c r="E33">
        <v>0.82852911103252502</v>
      </c>
      <c r="K33" s="1"/>
    </row>
    <row r="34" spans="1:11" x14ac:dyDescent="0.25">
      <c r="A34">
        <v>171.91864371299701</v>
      </c>
      <c r="B34">
        <v>2.37040495823527</v>
      </c>
      <c r="C34">
        <v>1.18918483017657</v>
      </c>
      <c r="D34">
        <v>1.5869328788745201</v>
      </c>
      <c r="E34">
        <v>0.81530561978706295</v>
      </c>
      <c r="K34" s="1"/>
    </row>
    <row r="35" spans="1:11" x14ac:dyDescent="0.25">
      <c r="A35">
        <v>187.726768255233</v>
      </c>
      <c r="B35">
        <v>2.3120318453434101</v>
      </c>
      <c r="C35">
        <v>1.17892770028779</v>
      </c>
      <c r="D35">
        <v>1.5575714104128899</v>
      </c>
      <c r="E35">
        <v>0.80051836690655898</v>
      </c>
      <c r="K35" s="1"/>
    </row>
    <row r="36" spans="1:11" x14ac:dyDescent="0.25">
      <c r="A36">
        <v>203.579578399658</v>
      </c>
      <c r="B36">
        <v>2.2595993123662401</v>
      </c>
      <c r="C36">
        <v>1.1668534140214699</v>
      </c>
      <c r="D36">
        <v>1.52888512554633</v>
      </c>
      <c r="E36">
        <v>0.78558968440233101</v>
      </c>
      <c r="K36" s="1"/>
    </row>
    <row r="37" spans="1:11" x14ac:dyDescent="0.25">
      <c r="A37">
        <v>219.43238854408199</v>
      </c>
      <c r="B37">
        <v>2.2101493015802798</v>
      </c>
      <c r="C37">
        <v>1.15446251825658</v>
      </c>
      <c r="D37">
        <v>1.50110331169513</v>
      </c>
      <c r="E37">
        <v>0.77075573474581205</v>
      </c>
      <c r="K37" s="1"/>
    </row>
    <row r="38" spans="1:11" x14ac:dyDescent="0.25">
      <c r="A38">
        <v>235.28525948524401</v>
      </c>
      <c r="B38">
        <v>2.1629709148390202</v>
      </c>
      <c r="C38">
        <v>1.14129367027483</v>
      </c>
      <c r="D38">
        <v>1.4741489147145399</v>
      </c>
      <c r="E38">
        <v>0.75576651607688405</v>
      </c>
      <c r="K38" s="1"/>
    </row>
    <row r="39" spans="1:11" x14ac:dyDescent="0.25">
      <c r="A39">
        <v>251.13806962966899</v>
      </c>
      <c r="B39">
        <v>2.1171816455762298</v>
      </c>
      <c r="C39">
        <v>1.1271384756685301</v>
      </c>
      <c r="D39">
        <v>1.4472945184779999</v>
      </c>
      <c r="E39">
        <v>0.74074310072494598</v>
      </c>
      <c r="K39" s="1"/>
    </row>
    <row r="40" spans="1:11" x14ac:dyDescent="0.25">
      <c r="A40">
        <v>266.99081897735499</v>
      </c>
      <c r="B40">
        <v>2.0725193489842999</v>
      </c>
      <c r="C40">
        <v>1.1120575598887701</v>
      </c>
      <c r="D40">
        <v>1.42016395947241</v>
      </c>
      <c r="E40">
        <v>0.725656559903329</v>
      </c>
      <c r="K40" s="1"/>
    </row>
    <row r="41" spans="1:11" x14ac:dyDescent="0.25">
      <c r="A41">
        <v>282.84362912178</v>
      </c>
      <c r="B41">
        <v>2.02862241522985</v>
      </c>
      <c r="C41">
        <v>1.09605235151759</v>
      </c>
      <c r="D41">
        <v>1.3928400954571201</v>
      </c>
      <c r="E41">
        <v>0.71052332230569604</v>
      </c>
      <c r="K41" s="1"/>
    </row>
    <row r="42" spans="1:11" x14ac:dyDescent="0.25">
      <c r="A42">
        <v>298.69643926620398</v>
      </c>
      <c r="B42">
        <v>1.98493280444655</v>
      </c>
      <c r="C42">
        <v>1.07924722648042</v>
      </c>
      <c r="D42">
        <v>1.3652139970502299</v>
      </c>
      <c r="E42">
        <v>0.69533753967425005</v>
      </c>
      <c r="K42" s="1"/>
    </row>
    <row r="43" spans="1:11" x14ac:dyDescent="0.25">
      <c r="A43">
        <v>314.54931020736598</v>
      </c>
      <c r="B43">
        <v>1.94111122839565</v>
      </c>
      <c r="C43">
        <v>1.06170379237848</v>
      </c>
      <c r="D43">
        <v>1.3369017328236801</v>
      </c>
      <c r="E43">
        <v>0.68015086417901705</v>
      </c>
      <c r="K43" s="1"/>
    </row>
    <row r="44" spans="1:11" x14ac:dyDescent="0.25">
      <c r="A44">
        <v>330.40212035179098</v>
      </c>
      <c r="B44">
        <v>1.89713215117287</v>
      </c>
      <c r="C44">
        <v>1.04346642454196</v>
      </c>
      <c r="D44">
        <v>1.3079066063735001</v>
      </c>
      <c r="E44">
        <v>0.66497222445785897</v>
      </c>
      <c r="K44" s="1"/>
    </row>
    <row r="45" spans="1:11" x14ac:dyDescent="0.25">
      <c r="A45">
        <v>346.25493049621502</v>
      </c>
      <c r="B45">
        <v>1.8531678954889499</v>
      </c>
      <c r="C45">
        <v>1.0246169092936701</v>
      </c>
      <c r="D45">
        <v>1.2787618359527599</v>
      </c>
      <c r="E45">
        <v>0.64974340579192102</v>
      </c>
      <c r="K45" s="1"/>
    </row>
    <row r="46" spans="1:11" x14ac:dyDescent="0.25">
      <c r="A46">
        <v>362.10780143737702</v>
      </c>
      <c r="B46">
        <v>1.80924310438438</v>
      </c>
      <c r="C46">
        <v>1.00529337266131</v>
      </c>
      <c r="D46">
        <v>1.24954769001584</v>
      </c>
      <c r="E46">
        <v>0.63450672992466395</v>
      </c>
      <c r="K46" s="1"/>
    </row>
    <row r="47" spans="1:11" x14ac:dyDescent="0.25">
      <c r="A47">
        <v>377.96061158180203</v>
      </c>
      <c r="B47">
        <v>1.7651695621730299</v>
      </c>
      <c r="C47">
        <v>0.98560358330388198</v>
      </c>
      <c r="D47">
        <v>1.22024184696808</v>
      </c>
      <c r="E47">
        <v>0.61926067898765302</v>
      </c>
      <c r="K47" s="1"/>
    </row>
    <row r="48" spans="1:11" x14ac:dyDescent="0.25">
      <c r="A48">
        <v>393.81348252296402</v>
      </c>
      <c r="B48">
        <v>1.72077387470764</v>
      </c>
      <c r="C48">
        <v>0.965560041314384</v>
      </c>
      <c r="D48">
        <v>1.1906151086755801</v>
      </c>
      <c r="E48">
        <v>0.60399962793903506</v>
      </c>
      <c r="K48" s="1"/>
    </row>
    <row r="49" spans="1:20" x14ac:dyDescent="0.25">
      <c r="A49">
        <v>409.66629266738801</v>
      </c>
      <c r="B49">
        <v>1.67648050943215</v>
      </c>
      <c r="C49">
        <v>0.94524872947542204</v>
      </c>
      <c r="D49">
        <v>1.1604098839360399</v>
      </c>
      <c r="E49">
        <v>0.58872415714027104</v>
      </c>
      <c r="K49" s="1"/>
    </row>
    <row r="50" spans="1:20" x14ac:dyDescent="0.25">
      <c r="A50">
        <v>425.519042015075</v>
      </c>
      <c r="B50">
        <v>1.63233750241824</v>
      </c>
      <c r="C50">
        <v>0.92468009429329601</v>
      </c>
      <c r="D50">
        <v>1.1296940303972201</v>
      </c>
      <c r="E50">
        <v>0.57343524874152496</v>
      </c>
      <c r="K50" s="1"/>
    </row>
    <row r="51" spans="1:20" x14ac:dyDescent="0.25">
      <c r="A51">
        <v>441.371912956237</v>
      </c>
      <c r="B51">
        <v>1.58823038852854</v>
      </c>
      <c r="C51">
        <v>0.90387226090286299</v>
      </c>
      <c r="D51">
        <v>1.09876156810387</v>
      </c>
      <c r="E51">
        <v>0.55813812599594703</v>
      </c>
      <c r="K51" s="1"/>
      <c r="T51" s="1"/>
    </row>
    <row r="52" spans="1:20" x14ac:dyDescent="0.25">
      <c r="A52">
        <v>457.22478389739899</v>
      </c>
      <c r="B52">
        <v>1.54412113176574</v>
      </c>
      <c r="C52">
        <v>0.882868176052237</v>
      </c>
      <c r="D52">
        <v>1.06778642692155</v>
      </c>
      <c r="E52">
        <v>0.54284439613275604</v>
      </c>
    </row>
    <row r="53" spans="1:20" x14ac:dyDescent="0.25">
      <c r="A53">
        <v>473.07753324508599</v>
      </c>
      <c r="B53">
        <v>1.50010348282741</v>
      </c>
      <c r="C53">
        <v>0.86174989392336399</v>
      </c>
      <c r="D53">
        <v>1.0368010178056799</v>
      </c>
      <c r="E53">
        <v>0.52753713938320501</v>
      </c>
    </row>
    <row r="54" spans="1:20" x14ac:dyDescent="0.25">
      <c r="A54">
        <v>488.93034338951099</v>
      </c>
      <c r="B54">
        <v>1.4562811031991001</v>
      </c>
      <c r="C54">
        <v>0.84054848617600098</v>
      </c>
      <c r="D54">
        <v>1.0056119464602</v>
      </c>
      <c r="E54">
        <v>0.51223162371803799</v>
      </c>
    </row>
    <row r="55" spans="1:20" x14ac:dyDescent="0.25">
      <c r="A55">
        <v>504.78321433067299</v>
      </c>
      <c r="B55">
        <v>1.41267292159309</v>
      </c>
      <c r="C55">
        <v>0.81922404179890895</v>
      </c>
      <c r="D55">
        <v>0.97432903513080305</v>
      </c>
      <c r="E55">
        <v>0.49690789363163301</v>
      </c>
    </row>
    <row r="56" spans="1:20" x14ac:dyDescent="0.25">
      <c r="A56">
        <v>520.63602447509697</v>
      </c>
      <c r="B56">
        <v>1.3693385813102901</v>
      </c>
      <c r="C56">
        <v>0.79780343599204895</v>
      </c>
      <c r="D56">
        <v>0.94324460742105698</v>
      </c>
      <c r="E56">
        <v>0.481600502952514</v>
      </c>
    </row>
    <row r="57" spans="1:20" x14ac:dyDescent="0.25">
      <c r="A57">
        <v>536.48889541625897</v>
      </c>
      <c r="B57">
        <v>1.3263936189246199</v>
      </c>
      <c r="C57">
        <v>0.77629586525242</v>
      </c>
      <c r="D57">
        <v>0.91215357251929297</v>
      </c>
      <c r="E57">
        <v>0.46627815680497697</v>
      </c>
    </row>
    <row r="58" spans="1:20" x14ac:dyDescent="0.25">
      <c r="A58">
        <v>552.34173595905304</v>
      </c>
      <c r="B58">
        <v>1.2838204450195001</v>
      </c>
      <c r="C58">
        <v>0.75473043693944897</v>
      </c>
      <c r="D58">
        <v>0.88100878721760401</v>
      </c>
      <c r="E58">
        <v>0.45095326599565</v>
      </c>
    </row>
    <row r="59" spans="1:20" x14ac:dyDescent="0.25">
      <c r="A59">
        <v>568.19448530673901</v>
      </c>
      <c r="B59">
        <v>1.2413903971793001</v>
      </c>
      <c r="C59">
        <v>0.73322460728420302</v>
      </c>
      <c r="D59">
        <v>0.84990328792250502</v>
      </c>
      <c r="E59">
        <v>0.43564100920889698</v>
      </c>
    </row>
    <row r="60" spans="1:20" x14ac:dyDescent="0.25">
      <c r="A60">
        <v>584.04732584953297</v>
      </c>
      <c r="B60">
        <v>1.1991483864524599</v>
      </c>
      <c r="C60">
        <v>0.71184922502811099</v>
      </c>
      <c r="D60">
        <v>0.81879368145399001</v>
      </c>
      <c r="E60">
        <v>0.420343752533751</v>
      </c>
    </row>
    <row r="61" spans="1:20" x14ac:dyDescent="0.25">
      <c r="A61">
        <v>599.90016639232601</v>
      </c>
      <c r="B61">
        <v>1.15732566455959</v>
      </c>
      <c r="C61">
        <v>0.69063308502827803</v>
      </c>
      <c r="D61">
        <v>0.78776345057606301</v>
      </c>
      <c r="E61">
        <v>0.40503627256825397</v>
      </c>
    </row>
    <row r="62" spans="1:20" x14ac:dyDescent="0.25">
      <c r="A62">
        <v>615.75300693511895</v>
      </c>
      <c r="B62">
        <v>1.11586794538249</v>
      </c>
      <c r="C62">
        <v>0.66960623215110504</v>
      </c>
      <c r="D62">
        <v>0.75701750752764196</v>
      </c>
      <c r="E62">
        <v>0.389706738867239</v>
      </c>
    </row>
    <row r="63" spans="1:20" x14ac:dyDescent="0.25">
      <c r="A63">
        <v>631.60581707954395</v>
      </c>
      <c r="B63">
        <v>1.0748263007297301</v>
      </c>
      <c r="C63">
        <v>0.64874888946373099</v>
      </c>
      <c r="D63">
        <v>0.72677835396423296</v>
      </c>
      <c r="E63">
        <v>0.37437939268249998</v>
      </c>
    </row>
    <row r="64" spans="1:20" x14ac:dyDescent="0.25">
      <c r="A64">
        <v>647.45859682559899</v>
      </c>
      <c r="B64">
        <v>1.0342109092484799</v>
      </c>
      <c r="C64">
        <v>0.62810730731027697</v>
      </c>
      <c r="D64">
        <v>0.69704228450112304</v>
      </c>
      <c r="E64">
        <v>0.35907793954755901</v>
      </c>
    </row>
    <row r="65" spans="1:5" x14ac:dyDescent="0.25">
      <c r="A65">
        <v>663.31143736839203</v>
      </c>
      <c r="B65">
        <v>0.99393248456011396</v>
      </c>
      <c r="C65">
        <v>0.60773269142887798</v>
      </c>
      <c r="D65">
        <v>0.66792054996606598</v>
      </c>
      <c r="E65">
        <v>0.343773316746178</v>
      </c>
    </row>
    <row r="66" spans="1:5" x14ac:dyDescent="0.25">
      <c r="A66">
        <v>679.16427791118599</v>
      </c>
      <c r="B66">
        <v>0.95411700974486002</v>
      </c>
      <c r="C66">
        <v>0.58765562240420999</v>
      </c>
      <c r="D66">
        <v>0.63952917800806897</v>
      </c>
      <c r="E66">
        <v>0.32846367158599898</v>
      </c>
    </row>
    <row r="67" spans="1:5" x14ac:dyDescent="0.25">
      <c r="A67">
        <v>695.01711845397904</v>
      </c>
      <c r="B67">
        <v>0.91486412840125098</v>
      </c>
      <c r="C67">
        <v>0.56787043055122999</v>
      </c>
      <c r="D67">
        <v>0.61181932897803204</v>
      </c>
      <c r="E67">
        <v>0.31314837906237297</v>
      </c>
    </row>
    <row r="68" spans="1:5" x14ac:dyDescent="0.25">
      <c r="A68">
        <v>710.86992859840302</v>
      </c>
      <c r="B68">
        <v>0.87627785916037304</v>
      </c>
      <c r="C68">
        <v>0.54841211613035601</v>
      </c>
      <c r="D68">
        <v>0.58483841394299796</v>
      </c>
      <c r="E68">
        <v>0.29783199278060901</v>
      </c>
    </row>
    <row r="69" spans="1:5" x14ac:dyDescent="0.25">
      <c r="A69">
        <v>726.72273874282803</v>
      </c>
      <c r="B69">
        <v>0.83823221894200195</v>
      </c>
      <c r="C69">
        <v>0.52932831342457698</v>
      </c>
      <c r="D69">
        <v>0.55853870933359795</v>
      </c>
      <c r="E69">
        <v>0.28251221361645701</v>
      </c>
    </row>
    <row r="70" spans="1:5" x14ac:dyDescent="0.25">
      <c r="A70">
        <v>742.57554888725201</v>
      </c>
      <c r="B70">
        <v>0.80070774331559902</v>
      </c>
      <c r="C70">
        <v>0.51066000488167695</v>
      </c>
      <c r="D70">
        <v>0.53292101872723896</v>
      </c>
      <c r="E70">
        <v>0.26719870682040398</v>
      </c>
    </row>
    <row r="71" spans="1:5" x14ac:dyDescent="0.25">
      <c r="A71">
        <v>758.42838943004597</v>
      </c>
      <c r="B71">
        <v>0.76390130874600903</v>
      </c>
      <c r="C71">
        <v>0.49244870866771301</v>
      </c>
      <c r="D71">
        <v>0.50808105712179596</v>
      </c>
      <c r="E71">
        <v>0.251883972336644</v>
      </c>
    </row>
    <row r="72" spans="1:5" x14ac:dyDescent="0.25">
      <c r="A72">
        <v>774.28122997283901</v>
      </c>
      <c r="B72">
        <v>0.72800912205023505</v>
      </c>
      <c r="C72">
        <v>0.47476130028026398</v>
      </c>
      <c r="D72">
        <v>0.484032574619575</v>
      </c>
      <c r="E72">
        <v>0.23656841195388201</v>
      </c>
    </row>
    <row r="73" spans="1:5" x14ac:dyDescent="0.25">
      <c r="A73">
        <v>790.13402491807904</v>
      </c>
      <c r="B73">
        <v>0.69306412990198496</v>
      </c>
      <c r="C73">
        <v>0.45769496794245401</v>
      </c>
      <c r="D73">
        <v>0.46087838448555002</v>
      </c>
      <c r="E73">
        <v>0.22126015073257199</v>
      </c>
    </row>
    <row r="74" spans="1:5" x14ac:dyDescent="0.25">
      <c r="A74">
        <v>805.98686546087197</v>
      </c>
      <c r="B74">
        <v>0.65910936833575196</v>
      </c>
      <c r="C74">
        <v>0.44134332842225699</v>
      </c>
      <c r="D74">
        <v>0.43875107699196297</v>
      </c>
      <c r="E74">
        <v>0.20595999225012099</v>
      </c>
    </row>
    <row r="75" spans="1:5" x14ac:dyDescent="0.25">
      <c r="A75">
        <v>821.83970600366501</v>
      </c>
      <c r="B75">
        <v>0.62620291814082296</v>
      </c>
      <c r="C75">
        <v>0.425813793233147</v>
      </c>
      <c r="D75">
        <v>0.41778118882434601</v>
      </c>
      <c r="E75">
        <v>0.19067246779024399</v>
      </c>
    </row>
    <row r="76" spans="1:5" x14ac:dyDescent="0.25">
      <c r="A76">
        <v>837.69251614809002</v>
      </c>
      <c r="B76">
        <v>0.59463701363440202</v>
      </c>
      <c r="C76">
        <v>0.41113265721362602</v>
      </c>
      <c r="D76">
        <v>0.39813939089542</v>
      </c>
      <c r="E76">
        <v>0.17539566885659799</v>
      </c>
    </row>
    <row r="77" spans="1:5" x14ac:dyDescent="0.25">
      <c r="A77">
        <v>853.54535669088295</v>
      </c>
      <c r="B77">
        <v>0.56478545224055499</v>
      </c>
      <c r="C77">
        <v>0.397346572496519</v>
      </c>
      <c r="D77">
        <v>0.37993126434789598</v>
      </c>
      <c r="E77">
        <v>0.16012380299536999</v>
      </c>
    </row>
    <row r="78" spans="1:5" x14ac:dyDescent="0.25">
      <c r="A78">
        <v>869.39818203449204</v>
      </c>
      <c r="B78">
        <v>0.53685162832976496</v>
      </c>
      <c r="C78">
        <v>0.38452388780465402</v>
      </c>
      <c r="D78">
        <v>0.36326926537563797</v>
      </c>
      <c r="E78">
        <v>0.14485817601984799</v>
      </c>
    </row>
    <row r="79" spans="1:5" x14ac:dyDescent="0.25">
      <c r="A79">
        <v>885.25099217891602</v>
      </c>
      <c r="B79">
        <v>0.51102585581804705</v>
      </c>
      <c r="C79">
        <v>0.37273292953926701</v>
      </c>
      <c r="D79">
        <v>0.348231407951959</v>
      </c>
      <c r="E79">
        <v>0.12958732579117699</v>
      </c>
    </row>
    <row r="80" spans="1:5" x14ac:dyDescent="0.25">
      <c r="A80">
        <v>901.10380992293301</v>
      </c>
      <c r="B80">
        <v>0.487477778824768</v>
      </c>
      <c r="C80">
        <v>0.36202945704380102</v>
      </c>
      <c r="D80">
        <v>0.334831888611061</v>
      </c>
      <c r="E80">
        <v>0.11432217872993999</v>
      </c>
    </row>
    <row r="81" spans="1:5" x14ac:dyDescent="0.25">
      <c r="A81">
        <v>916.95665046572606</v>
      </c>
      <c r="B81">
        <v>0.46633489829858599</v>
      </c>
      <c r="C81">
        <v>0.35248824766034598</v>
      </c>
      <c r="D81">
        <v>0.32305456884000699</v>
      </c>
      <c r="E81">
        <v>9.9063047338462301E-2</v>
      </c>
    </row>
    <row r="82" spans="1:5" x14ac:dyDescent="0.25">
      <c r="A82">
        <v>932.80946820974305</v>
      </c>
      <c r="B82">
        <v>0.44778989424455301</v>
      </c>
      <c r="C82">
        <v>0.34415619905926798</v>
      </c>
      <c r="D82">
        <v>0.31291089961685498</v>
      </c>
      <c r="E82">
        <v>8.3808173791164606E-2</v>
      </c>
    </row>
    <row r="83" spans="1:5" x14ac:dyDescent="0.25">
      <c r="A83">
        <v>948.66229355335201</v>
      </c>
      <c r="B83">
        <v>0.43204776818796298</v>
      </c>
      <c r="C83">
        <v>0.33709744118200702</v>
      </c>
      <c r="D83">
        <v>0.30440458632631801</v>
      </c>
      <c r="E83">
        <v>6.8561174186380802E-2</v>
      </c>
    </row>
    <row r="84" spans="1:5" x14ac:dyDescent="0.25">
      <c r="A84">
        <v>964.51511889696098</v>
      </c>
      <c r="B84">
        <v>0.41929517330331101</v>
      </c>
      <c r="C84">
        <v>0.33137119321917902</v>
      </c>
      <c r="D84">
        <v>0.2975427049139</v>
      </c>
      <c r="E84">
        <v>5.3320352082917299E-2</v>
      </c>
    </row>
    <row r="85" spans="1:5" x14ac:dyDescent="0.25">
      <c r="A85">
        <v>980.36794044077305</v>
      </c>
      <c r="B85">
        <v>0.40961434234529798</v>
      </c>
      <c r="C85">
        <v>0.32705055839327302</v>
      </c>
      <c r="D85">
        <v>0.29233588045865699</v>
      </c>
      <c r="E85">
        <v>3.8082967505030499E-2</v>
      </c>
    </row>
    <row r="86" spans="1:5" x14ac:dyDescent="0.25">
      <c r="A86">
        <v>996.22076388448397</v>
      </c>
      <c r="B86">
        <v>0.40302442724213799</v>
      </c>
      <c r="C86">
        <v>0.32417122893414002</v>
      </c>
      <c r="D86">
        <v>0.28884377858309801</v>
      </c>
      <c r="E86">
        <v>2.2852019917001899E-2</v>
      </c>
    </row>
    <row r="87" spans="1:5" x14ac:dyDescent="0.25">
      <c r="A87">
        <v>1012.07358780317</v>
      </c>
      <c r="B87">
        <v>0.39954480313799001</v>
      </c>
      <c r="C87">
        <v>0.32275478982381101</v>
      </c>
      <c r="D87">
        <v>0.287078006516442</v>
      </c>
      <c r="E87">
        <v>7.6207926114903197E-3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2" width="12" bestFit="1" customWidth="1"/>
    <col min="3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370</v>
      </c>
      <c r="B1" t="s">
        <v>378</v>
      </c>
      <c r="C1" t="s">
        <v>537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>
        <v>0.49999237060546797</v>
      </c>
      <c r="B2">
        <v>0.22273164665976899</v>
      </c>
      <c r="C2" s="1">
        <v>2.1417879741395298E-6</v>
      </c>
      <c r="D2" s="1">
        <f>-B2-C2</f>
        <v>-0.22273378844774314</v>
      </c>
      <c r="F2" s="1"/>
      <c r="G2" s="2">
        <f>D2-A2*(D3-D2)/(A3-A2)</f>
        <v>-0.23033786828198566</v>
      </c>
      <c r="H2" s="1">
        <f>DNS!D612-DNS!B612*(DNS!D613-DNS!D612)/(DNS!B613-DNS!B612)</f>
        <v>-0.24544870469921318</v>
      </c>
      <c r="I2" s="1">
        <f>100*(H2-G2)/H2</f>
        <v>6.1564131844758361</v>
      </c>
    </row>
    <row r="3" spans="1:9" x14ac:dyDescent="0.25">
      <c r="A3">
        <v>1.54496669769287</v>
      </c>
      <c r="B3">
        <v>0.20681433969596399</v>
      </c>
      <c r="C3" s="1">
        <v>2.7069837508674599E-5</v>
      </c>
      <c r="D3" s="1">
        <f t="shared" ref="D3:D66" si="0">-B3-C3</f>
        <v>-0.20684140953347266</v>
      </c>
    </row>
    <row r="4" spans="1:9" x14ac:dyDescent="0.25">
      <c r="A4">
        <v>2.6840543746948198</v>
      </c>
      <c r="B4">
        <v>0.190094264936843</v>
      </c>
      <c r="C4" s="1">
        <v>1.13080002344699E-4</v>
      </c>
      <c r="D4" s="1">
        <f t="shared" si="0"/>
        <v>-0.1902073449391877</v>
      </c>
    </row>
    <row r="5" spans="1:9" x14ac:dyDescent="0.25">
      <c r="A5">
        <v>3.9255237579345699</v>
      </c>
      <c r="B5">
        <v>0.16906925034311601</v>
      </c>
      <c r="C5">
        <v>2.4879704322145098E-4</v>
      </c>
      <c r="D5" s="1">
        <f t="shared" si="0"/>
        <v>-0.16931804738633746</v>
      </c>
    </row>
    <row r="6" spans="1:9" x14ac:dyDescent="0.25">
      <c r="A6">
        <v>5.2789807319641104</v>
      </c>
      <c r="B6">
        <v>0.14590015004470999</v>
      </c>
      <c r="C6">
        <v>5.00826811172453E-4</v>
      </c>
      <c r="D6" s="1">
        <f t="shared" si="0"/>
        <v>-0.14640097685588244</v>
      </c>
    </row>
    <row r="7" spans="1:9" x14ac:dyDescent="0.25">
      <c r="A7">
        <v>6.7539703845977703</v>
      </c>
      <c r="B7">
        <v>0.12681664721224301</v>
      </c>
      <c r="C7">
        <v>1.3815194106651799E-3</v>
      </c>
      <c r="D7" s="1">
        <f t="shared" si="0"/>
        <v>-0.12819816662290817</v>
      </c>
    </row>
    <row r="8" spans="1:9" x14ac:dyDescent="0.25">
      <c r="A8">
        <v>8.3618009090423495</v>
      </c>
      <c r="B8">
        <v>0.11607768557393799</v>
      </c>
      <c r="C8">
        <v>3.7906304082512801E-3</v>
      </c>
      <c r="D8" s="1">
        <f t="shared" si="0"/>
        <v>-0.11986831598218928</v>
      </c>
    </row>
    <row r="9" spans="1:9" x14ac:dyDescent="0.25">
      <c r="A9">
        <v>10.114449262619001</v>
      </c>
      <c r="B9">
        <v>0.112402583686271</v>
      </c>
      <c r="C9">
        <v>7.3520440563881401E-3</v>
      </c>
      <c r="D9" s="1">
        <f t="shared" si="0"/>
        <v>-0.11975462774265914</v>
      </c>
    </row>
    <row r="10" spans="1:9" x14ac:dyDescent="0.25">
      <c r="A10">
        <v>12.0248043537139</v>
      </c>
      <c r="B10">
        <v>0.11136390049</v>
      </c>
      <c r="C10">
        <v>9.87323231637568E-3</v>
      </c>
      <c r="D10" s="1">
        <f t="shared" si="0"/>
        <v>-0.12123713280637569</v>
      </c>
    </row>
    <row r="11" spans="1:9" x14ac:dyDescent="0.25">
      <c r="A11">
        <v>14.106971025466899</v>
      </c>
      <c r="B11">
        <v>0.109298924976606</v>
      </c>
      <c r="C11">
        <v>1.00539859100288E-2</v>
      </c>
      <c r="D11" s="1">
        <f t="shared" si="0"/>
        <v>-0.1193529108866348</v>
      </c>
    </row>
    <row r="12" spans="1:9" x14ac:dyDescent="0.25">
      <c r="A12">
        <v>16.3765740394592</v>
      </c>
      <c r="B12">
        <v>0.10483704379393601</v>
      </c>
      <c r="C12">
        <v>8.5652398731134796E-3</v>
      </c>
      <c r="D12" s="1">
        <f t="shared" si="0"/>
        <v>-0.11340228366704949</v>
      </c>
    </row>
    <row r="13" spans="1:9" x14ac:dyDescent="0.25">
      <c r="A13">
        <v>18.850514888763399</v>
      </c>
      <c r="B13">
        <v>9.8311570138276294E-2</v>
      </c>
      <c r="C13">
        <v>6.6581041733599702E-3</v>
      </c>
      <c r="D13" s="1">
        <f t="shared" si="0"/>
        <v>-0.10496967431163626</v>
      </c>
    </row>
    <row r="14" spans="1:9" x14ac:dyDescent="0.25">
      <c r="A14">
        <v>21.5470933914184</v>
      </c>
      <c r="B14">
        <v>9.0678155727751897E-2</v>
      </c>
      <c r="C14">
        <v>5.1193398036359803E-3</v>
      </c>
      <c r="D14" s="1">
        <f t="shared" si="0"/>
        <v>-9.5797495531387875E-2</v>
      </c>
    </row>
    <row r="15" spans="1:9" x14ac:dyDescent="0.25">
      <c r="A15">
        <v>24.4862508773803</v>
      </c>
      <c r="B15">
        <v>8.2815185580559406E-2</v>
      </c>
      <c r="C15">
        <v>4.1993713240607196E-3</v>
      </c>
      <c r="D15" s="1">
        <f t="shared" si="0"/>
        <v>-8.7014556904620122E-2</v>
      </c>
    </row>
    <row r="16" spans="1:9" x14ac:dyDescent="0.25">
      <c r="A16">
        <v>27.690056562423699</v>
      </c>
      <c r="B16">
        <v>7.5283255374449104E-2</v>
      </c>
      <c r="C16">
        <v>3.8614087725067602E-3</v>
      </c>
      <c r="D16" s="1">
        <f t="shared" si="0"/>
        <v>-7.9144664146955868E-2</v>
      </c>
    </row>
    <row r="17" spans="1:16" x14ac:dyDescent="0.25">
      <c r="A17">
        <v>31.182160377502399</v>
      </c>
      <c r="B17">
        <v>6.8342623306380301E-2</v>
      </c>
      <c r="C17">
        <v>3.9669711409268896E-3</v>
      </c>
      <c r="D17" s="1">
        <f t="shared" si="0"/>
        <v>-7.2309594447307196E-2</v>
      </c>
    </row>
    <row r="18" spans="1:16" x14ac:dyDescent="0.25">
      <c r="A18">
        <v>34.988522529602001</v>
      </c>
      <c r="B18">
        <v>6.2051154408483002E-2</v>
      </c>
      <c r="C18" s="1">
        <v>4.3569346922277003E-3</v>
      </c>
      <c r="D18" s="1">
        <f t="shared" si="0"/>
        <v>-6.6408089100710707E-2</v>
      </c>
    </row>
    <row r="19" spans="1:16" x14ac:dyDescent="0.25">
      <c r="A19">
        <v>39.137535095214801</v>
      </c>
      <c r="B19">
        <v>5.6364358066967803E-2</v>
      </c>
      <c r="C19">
        <v>4.88006446919006E-3</v>
      </c>
      <c r="D19" s="1">
        <f t="shared" si="0"/>
        <v>-6.1244422536157861E-2</v>
      </c>
    </row>
    <row r="20" spans="1:16" x14ac:dyDescent="0.25">
      <c r="A20">
        <v>43.659839630126903</v>
      </c>
      <c r="B20">
        <v>5.1206192224844398E-2</v>
      </c>
      <c r="C20">
        <v>5.4057012396948202E-3</v>
      </c>
      <c r="D20" s="1">
        <f t="shared" si="0"/>
        <v>-5.6611893464539216E-2</v>
      </c>
    </row>
    <row r="21" spans="1:16" x14ac:dyDescent="0.25">
      <c r="A21">
        <v>48.589299917220998</v>
      </c>
      <c r="B21">
        <v>4.6506404370062503E-2</v>
      </c>
      <c r="C21">
        <v>5.8341702748081299E-3</v>
      </c>
      <c r="D21" s="1">
        <f t="shared" si="0"/>
        <v>-5.234057464487063E-2</v>
      </c>
    </row>
    <row r="22" spans="1:16" x14ac:dyDescent="0.25">
      <c r="A22">
        <v>53.962393999099703</v>
      </c>
      <c r="B22">
        <v>4.2219539182207902E-2</v>
      </c>
      <c r="C22">
        <v>6.1035058093945596E-3</v>
      </c>
      <c r="D22" s="1">
        <f t="shared" si="0"/>
        <v>-4.8323044991602462E-2</v>
      </c>
    </row>
    <row r="23" spans="1:16" x14ac:dyDescent="0.25">
      <c r="A23">
        <v>59.819004535674999</v>
      </c>
      <c r="B23">
        <v>3.8314187132283101E-2</v>
      </c>
      <c r="C23">
        <v>6.1927293015131696E-3</v>
      </c>
      <c r="D23" s="1">
        <f t="shared" si="0"/>
        <v>-4.450691643379627E-2</v>
      </c>
    </row>
    <row r="24" spans="1:16" x14ac:dyDescent="0.25">
      <c r="A24">
        <v>66.2026619911193</v>
      </c>
      <c r="B24">
        <v>3.47684995956987E-2</v>
      </c>
      <c r="C24">
        <v>6.1134482421532597E-3</v>
      </c>
      <c r="D24" s="1">
        <f t="shared" si="0"/>
        <v>-4.0881947837851956E-2</v>
      </c>
    </row>
    <row r="25" spans="1:16" x14ac:dyDescent="0.25">
      <c r="A25">
        <v>73.160848617553697</v>
      </c>
      <c r="B25">
        <v>3.1565439194253399E-2</v>
      </c>
      <c r="C25">
        <v>5.9035883468316099E-3</v>
      </c>
      <c r="D25" s="1">
        <f t="shared" si="0"/>
        <v>-3.7469027541085012E-2</v>
      </c>
    </row>
    <row r="26" spans="1:16" x14ac:dyDescent="0.25">
      <c r="A26">
        <v>80.745424032211304</v>
      </c>
      <c r="B26">
        <v>2.8682159091142499E-2</v>
      </c>
      <c r="C26">
        <v>5.6089565719596099E-3</v>
      </c>
      <c r="D26" s="1">
        <f t="shared" si="0"/>
        <v>-3.4291115663102112E-2</v>
      </c>
    </row>
    <row r="27" spans="1:16" x14ac:dyDescent="0.25">
      <c r="A27">
        <v>89.012442827224703</v>
      </c>
      <c r="B27">
        <v>2.6095057040778101E-2</v>
      </c>
      <c r="C27">
        <v>5.2629821076159503E-3</v>
      </c>
      <c r="D27" s="1">
        <f t="shared" si="0"/>
        <v>-3.1358039148394051E-2</v>
      </c>
    </row>
    <row r="28" spans="1:16" x14ac:dyDescent="0.25">
      <c r="A28">
        <v>98.0235528945922</v>
      </c>
      <c r="B28">
        <v>2.3781893042522699E-2</v>
      </c>
      <c r="C28">
        <v>4.89471047362737E-3</v>
      </c>
      <c r="D28" s="1">
        <f t="shared" si="0"/>
        <v>-2.8676603516150069E-2</v>
      </c>
    </row>
    <row r="29" spans="1:16" x14ac:dyDescent="0.25">
      <c r="A29">
        <v>107.845630645751</v>
      </c>
      <c r="B29">
        <v>2.1718877318456901E-2</v>
      </c>
      <c r="C29">
        <v>4.5346130408739404E-3</v>
      </c>
      <c r="D29" s="1">
        <f t="shared" si="0"/>
        <v>-2.625349035933084E-2</v>
      </c>
    </row>
    <row r="30" spans="1:16" x14ac:dyDescent="0.25">
      <c r="A30">
        <v>118.551753759384</v>
      </c>
      <c r="B30">
        <v>1.9879112628085598E-2</v>
      </c>
      <c r="C30">
        <v>4.1890305396429803E-3</v>
      </c>
      <c r="D30" s="1">
        <f t="shared" si="0"/>
        <v>-2.4068143167728578E-2</v>
      </c>
    </row>
    <row r="31" spans="1:16" x14ac:dyDescent="0.25">
      <c r="A31">
        <v>130.22150516510001</v>
      </c>
      <c r="B31">
        <v>1.82354971886396E-2</v>
      </c>
      <c r="C31">
        <v>3.8635738817809498E-3</v>
      </c>
      <c r="D31" s="1">
        <f t="shared" si="0"/>
        <v>-2.2099071070420549E-2</v>
      </c>
    </row>
    <row r="32" spans="1:16" x14ac:dyDescent="0.25">
      <c r="A32">
        <v>142.941337823867</v>
      </c>
      <c r="B32">
        <v>1.6766536990041599E-2</v>
      </c>
      <c r="C32">
        <v>3.5680540316757698E-3</v>
      </c>
      <c r="D32" s="1">
        <f t="shared" si="0"/>
        <v>-2.033459102171737E-2</v>
      </c>
      <c r="L32" s="1"/>
      <c r="M32" s="1"/>
      <c r="P32" s="1"/>
    </row>
    <row r="33" spans="1:16" x14ac:dyDescent="0.25">
      <c r="A33">
        <v>156.806094646453</v>
      </c>
      <c r="B33">
        <v>1.5446402052136699E-2</v>
      </c>
      <c r="C33">
        <v>3.30804263545005E-3</v>
      </c>
      <c r="D33" s="1">
        <f t="shared" si="0"/>
        <v>-1.875444468758675E-2</v>
      </c>
      <c r="L33" s="1"/>
      <c r="M33" s="1"/>
    </row>
    <row r="34" spans="1:16" x14ac:dyDescent="0.25">
      <c r="A34">
        <v>171.91864371299701</v>
      </c>
      <c r="B34">
        <v>1.43442158300492E-2</v>
      </c>
      <c r="C34">
        <v>3.1114770307054899E-3</v>
      </c>
      <c r="D34" s="1">
        <f t="shared" si="0"/>
        <v>-1.7455692860754692E-2</v>
      </c>
      <c r="K34" s="1"/>
      <c r="L34" s="1"/>
      <c r="M34" s="1"/>
      <c r="N34" s="1"/>
    </row>
    <row r="35" spans="1:16" x14ac:dyDescent="0.25">
      <c r="A35">
        <v>187.726768255233</v>
      </c>
      <c r="B35">
        <v>1.31054384213169E-2</v>
      </c>
      <c r="C35">
        <v>2.79775571039982E-3</v>
      </c>
      <c r="D35" s="1">
        <f t="shared" si="0"/>
        <v>-1.590319413171672E-2</v>
      </c>
      <c r="L35" s="1"/>
    </row>
    <row r="36" spans="1:16" x14ac:dyDescent="0.25">
      <c r="A36">
        <v>203.579578399658</v>
      </c>
      <c r="B36">
        <v>1.2123533938888801E-2</v>
      </c>
      <c r="C36">
        <v>2.55326708606408E-3</v>
      </c>
      <c r="D36" s="1">
        <f t="shared" si="0"/>
        <v>-1.467680102495288E-2</v>
      </c>
      <c r="L36" s="1"/>
      <c r="M36" s="1"/>
    </row>
    <row r="37" spans="1:16" x14ac:dyDescent="0.25">
      <c r="A37">
        <v>219.43238854408199</v>
      </c>
      <c r="B37">
        <v>1.13074107098282E-2</v>
      </c>
      <c r="C37">
        <v>2.36647629544662E-3</v>
      </c>
      <c r="D37" s="1">
        <f t="shared" si="0"/>
        <v>-1.367388700527482E-2</v>
      </c>
      <c r="L37" s="1"/>
      <c r="N37" s="2"/>
      <c r="O37" s="2"/>
      <c r="P37" s="1"/>
    </row>
    <row r="38" spans="1:16" x14ac:dyDescent="0.25">
      <c r="A38">
        <v>235.28525948524401</v>
      </c>
      <c r="B38">
        <v>1.06063865918669E-2</v>
      </c>
      <c r="C38">
        <v>2.2075628031114898E-3</v>
      </c>
      <c r="D38" s="1">
        <f t="shared" si="0"/>
        <v>-1.281394939497839E-2</v>
      </c>
      <c r="N38" s="2"/>
      <c r="O38" s="2"/>
      <c r="P38" s="1"/>
    </row>
    <row r="39" spans="1:16" x14ac:dyDescent="0.25">
      <c r="A39">
        <v>251.13806962966899</v>
      </c>
      <c r="B39">
        <v>9.9867244526290998E-3</v>
      </c>
      <c r="C39">
        <v>2.06585156605219E-3</v>
      </c>
      <c r="D39" s="1">
        <f t="shared" si="0"/>
        <v>-1.205257601868129E-2</v>
      </c>
      <c r="O39" s="1"/>
    </row>
    <row r="40" spans="1:16" x14ac:dyDescent="0.25">
      <c r="A40">
        <v>266.99081897735499</v>
      </c>
      <c r="B40">
        <v>9.4311535254067505E-3</v>
      </c>
      <c r="C40">
        <v>1.9401817065357401E-3</v>
      </c>
      <c r="D40" s="1">
        <f t="shared" si="0"/>
        <v>-1.1371335231942491E-2</v>
      </c>
    </row>
    <row r="41" spans="1:16" x14ac:dyDescent="0.25">
      <c r="A41">
        <v>282.84362912178</v>
      </c>
      <c r="B41">
        <v>8.9279270148816293E-3</v>
      </c>
      <c r="C41">
        <v>1.82755159916762E-3</v>
      </c>
      <c r="D41" s="1">
        <f t="shared" si="0"/>
        <v>-1.075547861404925E-2</v>
      </c>
    </row>
    <row r="42" spans="1:16" x14ac:dyDescent="0.25">
      <c r="A42">
        <v>298.69643926620398</v>
      </c>
      <c r="B42">
        <v>8.4645882071654605E-3</v>
      </c>
      <c r="C42">
        <v>1.7248124345676499E-3</v>
      </c>
      <c r="D42" s="1">
        <f t="shared" si="0"/>
        <v>-1.0189400641733111E-2</v>
      </c>
    </row>
    <row r="43" spans="1:16" x14ac:dyDescent="0.25">
      <c r="A43">
        <v>314.54931020736598</v>
      </c>
      <c r="B43">
        <v>8.0358031427842699E-3</v>
      </c>
      <c r="C43">
        <v>1.62948732446894E-3</v>
      </c>
      <c r="D43" s="1">
        <f t="shared" si="0"/>
        <v>-9.6652904672532101E-3</v>
      </c>
    </row>
    <row r="44" spans="1:16" x14ac:dyDescent="0.25">
      <c r="A44">
        <v>330.40212035179098</v>
      </c>
      <c r="B44">
        <v>7.6360455378660002E-3</v>
      </c>
      <c r="C44" s="1">
        <v>1.54123995467348E-3</v>
      </c>
      <c r="D44" s="1">
        <f t="shared" si="0"/>
        <v>-9.17728549253948E-3</v>
      </c>
    </row>
    <row r="45" spans="1:16" x14ac:dyDescent="0.25">
      <c r="A45">
        <v>346.25493049621502</v>
      </c>
      <c r="B45">
        <v>7.2597655533909898E-3</v>
      </c>
      <c r="C45" s="1">
        <v>1.4576726168591401E-3</v>
      </c>
      <c r="D45" s="1">
        <f t="shared" si="0"/>
        <v>-8.7174381702501292E-3</v>
      </c>
    </row>
    <row r="46" spans="1:16" x14ac:dyDescent="0.25">
      <c r="A46">
        <v>362.10780143737702</v>
      </c>
      <c r="B46">
        <v>6.9033363333933602E-3</v>
      </c>
      <c r="C46" s="1">
        <v>1.3774136712708901E-3</v>
      </c>
      <c r="D46" s="1">
        <f t="shared" si="0"/>
        <v>-8.2807500046642498E-3</v>
      </c>
    </row>
    <row r="47" spans="1:16" x14ac:dyDescent="0.25">
      <c r="A47">
        <v>377.96061158180203</v>
      </c>
      <c r="B47">
        <v>6.5644175117531098E-3</v>
      </c>
      <c r="C47" s="1">
        <v>1.3030237453239999E-3</v>
      </c>
      <c r="D47" s="1">
        <f t="shared" si="0"/>
        <v>-7.8674412570771089E-3</v>
      </c>
    </row>
    <row r="48" spans="1:16" x14ac:dyDescent="0.25">
      <c r="A48">
        <v>393.81348252296402</v>
      </c>
      <c r="B48">
        <v>6.2412180605843004E-3</v>
      </c>
      <c r="C48" s="1">
        <v>1.2323616264886799E-3</v>
      </c>
      <c r="D48" s="1">
        <f t="shared" si="0"/>
        <v>-7.4735796870729803E-3</v>
      </c>
    </row>
    <row r="49" spans="1:4" x14ac:dyDescent="0.25">
      <c r="A49">
        <v>409.66629266738801</v>
      </c>
      <c r="B49">
        <v>5.9336056759481401E-3</v>
      </c>
      <c r="C49" s="1">
        <v>1.16431022140629E-3</v>
      </c>
      <c r="D49" s="1">
        <f t="shared" si="0"/>
        <v>-7.0979158973544301E-3</v>
      </c>
    </row>
    <row r="50" spans="1:4" x14ac:dyDescent="0.25">
      <c r="A50">
        <v>425.519042015075</v>
      </c>
      <c r="B50">
        <v>5.6411221037469001E-3</v>
      </c>
      <c r="C50" s="1">
        <v>1.1007446249273001E-3</v>
      </c>
      <c r="D50" s="1">
        <f t="shared" si="0"/>
        <v>-6.7418667286742E-3</v>
      </c>
    </row>
    <row r="51" spans="1:4" x14ac:dyDescent="0.25">
      <c r="A51">
        <v>441.371912956237</v>
      </c>
      <c r="B51">
        <v>5.3606712383717503E-3</v>
      </c>
      <c r="C51" s="1">
        <v>1.0397072373585601E-3</v>
      </c>
      <c r="D51" s="1">
        <f t="shared" si="0"/>
        <v>-6.4003784757303102E-3</v>
      </c>
    </row>
    <row r="52" spans="1:4" x14ac:dyDescent="0.25">
      <c r="A52">
        <v>457.22478389739899</v>
      </c>
      <c r="B52">
        <v>5.0906135852946304E-3</v>
      </c>
      <c r="C52" s="1">
        <v>9.8159198196038299E-4</v>
      </c>
      <c r="D52" s="1">
        <f t="shared" si="0"/>
        <v>-6.0722055672550136E-3</v>
      </c>
    </row>
    <row r="53" spans="1:4" x14ac:dyDescent="0.25">
      <c r="A53">
        <v>473.07753324508599</v>
      </c>
      <c r="B53">
        <v>4.8309737522313203E-3</v>
      </c>
      <c r="C53" s="1">
        <v>9.2666960800000405E-4</v>
      </c>
      <c r="D53" s="1">
        <f t="shared" si="0"/>
        <v>-5.7576433602313246E-3</v>
      </c>
    </row>
    <row r="54" spans="1:4" x14ac:dyDescent="0.25">
      <c r="A54">
        <v>488.93034338951099</v>
      </c>
      <c r="B54">
        <v>4.5826224797850803E-3</v>
      </c>
      <c r="C54" s="1">
        <v>8.7458930457831705E-4</v>
      </c>
      <c r="D54" s="1">
        <f t="shared" si="0"/>
        <v>-5.4572117843633972E-3</v>
      </c>
    </row>
    <row r="55" spans="1:4" x14ac:dyDescent="0.25">
      <c r="A55">
        <v>504.78321433067299</v>
      </c>
      <c r="B55">
        <v>4.3441556760453401E-3</v>
      </c>
      <c r="C55" s="1">
        <v>8.2372810759786196E-4</v>
      </c>
      <c r="D55" s="1">
        <f t="shared" si="0"/>
        <v>-5.1678837836432023E-3</v>
      </c>
    </row>
    <row r="56" spans="1:4" x14ac:dyDescent="0.25">
      <c r="A56">
        <v>520.63602447509697</v>
      </c>
      <c r="B56">
        <v>4.1143277483096201E-3</v>
      </c>
      <c r="C56" s="1">
        <v>7.7516388094784998E-4</v>
      </c>
      <c r="D56" s="1">
        <f t="shared" si="0"/>
        <v>-4.8894916292574701E-3</v>
      </c>
    </row>
    <row r="57" spans="1:4" x14ac:dyDescent="0.25">
      <c r="A57">
        <v>536.48889541625897</v>
      </c>
      <c r="B57">
        <v>3.8924505745731399E-3</v>
      </c>
      <c r="C57" s="1">
        <v>7.2921900985824695E-4</v>
      </c>
      <c r="D57" s="1">
        <f t="shared" si="0"/>
        <v>-4.6216695844313871E-3</v>
      </c>
    </row>
    <row r="58" spans="1:4" x14ac:dyDescent="0.25">
      <c r="A58">
        <v>552.34173595905304</v>
      </c>
      <c r="B58">
        <v>3.67866611619548E-3</v>
      </c>
      <c r="C58" s="1">
        <v>6.8394605131989002E-4</v>
      </c>
      <c r="D58" s="1">
        <f t="shared" si="0"/>
        <v>-4.3626121675153697E-3</v>
      </c>
    </row>
    <row r="59" spans="1:4" x14ac:dyDescent="0.25">
      <c r="A59">
        <v>568.19448530673901</v>
      </c>
      <c r="B59">
        <v>3.47362036435634E-3</v>
      </c>
      <c r="C59" s="1">
        <v>6.40734295153404E-4</v>
      </c>
      <c r="D59" s="1">
        <f t="shared" si="0"/>
        <v>-4.1143546595097443E-3</v>
      </c>
    </row>
    <row r="60" spans="1:4" x14ac:dyDescent="0.25">
      <c r="A60">
        <v>584.04732584953297</v>
      </c>
      <c r="B60">
        <v>3.2771516837952598E-3</v>
      </c>
      <c r="C60" s="1">
        <v>5.9932667156887198E-4</v>
      </c>
      <c r="D60" s="1">
        <f t="shared" si="0"/>
        <v>-3.8764783553641318E-3</v>
      </c>
    </row>
    <row r="61" spans="1:4" x14ac:dyDescent="0.25">
      <c r="A61">
        <v>599.90016639232601</v>
      </c>
      <c r="B61">
        <v>3.0887632427014301E-3</v>
      </c>
      <c r="C61" s="1">
        <v>5.6007463476614701E-4</v>
      </c>
      <c r="D61" s="1">
        <f t="shared" si="0"/>
        <v>-3.6488378774675772E-3</v>
      </c>
    </row>
    <row r="62" spans="1:4" x14ac:dyDescent="0.25">
      <c r="A62">
        <v>615.75300693511895</v>
      </c>
      <c r="B62">
        <v>2.90886082959757E-3</v>
      </c>
      <c r="C62" s="1">
        <v>5.2347811762410595E-4</v>
      </c>
      <c r="D62" s="1">
        <f t="shared" si="0"/>
        <v>-3.4323389472216762E-3</v>
      </c>
    </row>
    <row r="63" spans="1:4" x14ac:dyDescent="0.25">
      <c r="A63">
        <v>631.60581707954395</v>
      </c>
      <c r="B63">
        <v>2.7362005887200599E-3</v>
      </c>
      <c r="C63" s="1">
        <v>4.8880209509913905E-4</v>
      </c>
      <c r="D63" s="1">
        <f t="shared" si="0"/>
        <v>-3.225002683819199E-3</v>
      </c>
    </row>
    <row r="64" spans="1:4" x14ac:dyDescent="0.25">
      <c r="A64">
        <v>647.45859682559899</v>
      </c>
      <c r="B64">
        <v>2.5712085055017101E-3</v>
      </c>
      <c r="C64" s="1">
        <v>4.5630218738756999E-4</v>
      </c>
      <c r="D64" s="1">
        <f t="shared" si="0"/>
        <v>-3.02751069288928E-3</v>
      </c>
    </row>
    <row r="65" spans="1:4" x14ac:dyDescent="0.25">
      <c r="A65">
        <v>663.31143736839203</v>
      </c>
      <c r="B65">
        <v>2.4140399399032002E-3</v>
      </c>
      <c r="C65" s="1">
        <v>4.2547200139660102E-4</v>
      </c>
      <c r="D65" s="1">
        <f t="shared" si="0"/>
        <v>-2.8395119412998014E-3</v>
      </c>
    </row>
    <row r="66" spans="1:4" x14ac:dyDescent="0.25">
      <c r="A66">
        <v>679.16427791118599</v>
      </c>
      <c r="B66">
        <v>2.2644680291414999E-3</v>
      </c>
      <c r="C66" s="1">
        <v>3.9600097462531901E-4</v>
      </c>
      <c r="D66" s="1">
        <f t="shared" si="0"/>
        <v>-2.6604690037668188E-3</v>
      </c>
    </row>
    <row r="67" spans="1:4" x14ac:dyDescent="0.25">
      <c r="A67">
        <v>695.01711845397904</v>
      </c>
      <c r="B67">
        <v>2.1221532793571302E-3</v>
      </c>
      <c r="C67" s="1">
        <v>3.6695355181651798E-4</v>
      </c>
      <c r="D67" s="1">
        <f t="shared" ref="D67:D87" si="1">-B67-C67</f>
        <v>-2.4891068311736482E-3</v>
      </c>
    </row>
    <row r="68" spans="1:4" x14ac:dyDescent="0.25">
      <c r="A68">
        <v>710.86992859840302</v>
      </c>
      <c r="B68">
        <v>1.9865779688634701E-3</v>
      </c>
      <c r="C68" s="1">
        <v>3.3900302892723799E-4</v>
      </c>
      <c r="D68" s="1">
        <f t="shared" si="1"/>
        <v>-2.325580997790708E-3</v>
      </c>
    </row>
    <row r="69" spans="1:4" x14ac:dyDescent="0.25">
      <c r="A69">
        <v>726.72273874282803</v>
      </c>
      <c r="B69">
        <v>1.8583736458209501E-3</v>
      </c>
      <c r="C69" s="1">
        <v>3.1288128952165702E-4</v>
      </c>
      <c r="D69" s="1">
        <f t="shared" si="1"/>
        <v>-2.1712549353426073E-3</v>
      </c>
    </row>
    <row r="70" spans="1:4" x14ac:dyDescent="0.25">
      <c r="A70">
        <v>742.57554888725201</v>
      </c>
      <c r="B70">
        <v>1.7378903792015601E-3</v>
      </c>
      <c r="C70" s="1">
        <v>2.8871800354299601E-4</v>
      </c>
      <c r="D70" s="1">
        <f t="shared" si="1"/>
        <v>-2.0266083827445562E-3</v>
      </c>
    </row>
    <row r="71" spans="1:4" x14ac:dyDescent="0.25">
      <c r="A71">
        <v>758.42838943004597</v>
      </c>
      <c r="B71">
        <v>1.62436788744481E-3</v>
      </c>
      <c r="C71" s="1">
        <v>2.65694373394879E-4</v>
      </c>
      <c r="D71" s="1">
        <f t="shared" si="1"/>
        <v>-1.8900622608396889E-3</v>
      </c>
    </row>
    <row r="72" spans="1:4" x14ac:dyDescent="0.25">
      <c r="A72">
        <v>774.28122997283901</v>
      </c>
      <c r="B72">
        <v>1.5174988211243601E-3</v>
      </c>
      <c r="C72" s="1">
        <v>2.4396155462400799E-4</v>
      </c>
      <c r="D72" s="1">
        <f t="shared" si="1"/>
        <v>-1.761460375748368E-3</v>
      </c>
    </row>
    <row r="73" spans="1:4" x14ac:dyDescent="0.25">
      <c r="A73">
        <v>790.13402491807904</v>
      </c>
      <c r="B73">
        <v>1.4173657414610901E-3</v>
      </c>
      <c r="C73" s="1">
        <v>2.2378212008877099E-4</v>
      </c>
      <c r="D73" s="1">
        <f t="shared" si="1"/>
        <v>-1.6411478615498611E-3</v>
      </c>
    </row>
    <row r="74" spans="1:4" x14ac:dyDescent="0.25">
      <c r="A74">
        <v>805.98686546087197</v>
      </c>
      <c r="B74">
        <v>1.3239603951674501E-3</v>
      </c>
      <c r="C74" s="1">
        <v>2.0456622343782699E-4</v>
      </c>
      <c r="D74" s="1">
        <f t="shared" si="1"/>
        <v>-1.5285266186052771E-3</v>
      </c>
    </row>
    <row r="75" spans="1:4" x14ac:dyDescent="0.25">
      <c r="A75">
        <v>821.83970600366501</v>
      </c>
      <c r="B75">
        <v>1.2375535007400401E-3</v>
      </c>
      <c r="C75" s="1">
        <v>1.86689692331382E-4</v>
      </c>
      <c r="D75" s="1">
        <f t="shared" si="1"/>
        <v>-1.4242431930714221E-3</v>
      </c>
    </row>
    <row r="76" spans="1:4" x14ac:dyDescent="0.25">
      <c r="A76">
        <v>837.69251614809002</v>
      </c>
      <c r="B76">
        <v>1.1580638101177101E-3</v>
      </c>
      <c r="C76" s="1">
        <v>1.70541914073512E-4</v>
      </c>
      <c r="D76" s="1">
        <f t="shared" si="1"/>
        <v>-1.328605724191222E-3</v>
      </c>
    </row>
    <row r="77" spans="1:4" x14ac:dyDescent="0.25">
      <c r="A77">
        <v>853.54535669088295</v>
      </c>
      <c r="B77">
        <v>1.0854520338707901E-3</v>
      </c>
      <c r="C77" s="1">
        <v>1.55720624675182E-4</v>
      </c>
      <c r="D77" s="1">
        <f t="shared" si="1"/>
        <v>-1.2411726585459721E-3</v>
      </c>
    </row>
    <row r="78" spans="1:4" x14ac:dyDescent="0.25">
      <c r="A78">
        <v>869.39818203449204</v>
      </c>
      <c r="B78">
        <v>1.01995181803048E-3</v>
      </c>
      <c r="C78" s="1">
        <v>1.4256467760249801E-4</v>
      </c>
      <c r="D78" s="1">
        <f t="shared" si="1"/>
        <v>-1.162516495632978E-3</v>
      </c>
    </row>
    <row r="79" spans="1:4" x14ac:dyDescent="0.25">
      <c r="A79">
        <v>885.25099217891602</v>
      </c>
      <c r="B79">
        <v>9.6142380982924499E-4</v>
      </c>
      <c r="C79" s="1">
        <v>1.3088962289224099E-4</v>
      </c>
      <c r="D79" s="1">
        <f t="shared" si="1"/>
        <v>-1.092313432721486E-3</v>
      </c>
    </row>
    <row r="80" spans="1:4" x14ac:dyDescent="0.25">
      <c r="A80">
        <v>901.10380992293301</v>
      </c>
      <c r="B80">
        <v>9.09712689881645E-4</v>
      </c>
      <c r="C80" s="1">
        <v>1.1999346047508399E-4</v>
      </c>
      <c r="D80" s="1">
        <f t="shared" si="1"/>
        <v>-1.029706150356729E-3</v>
      </c>
    </row>
    <row r="81" spans="1:4" x14ac:dyDescent="0.25">
      <c r="A81">
        <v>916.95665046572606</v>
      </c>
      <c r="B81">
        <v>8.6466491867716495E-4</v>
      </c>
      <c r="C81" s="1">
        <v>1.1029923058879E-4</v>
      </c>
      <c r="D81" s="1">
        <f t="shared" si="1"/>
        <v>-9.74964149265955E-4</v>
      </c>
    </row>
    <row r="82" spans="1:4" x14ac:dyDescent="0.25">
      <c r="A82">
        <v>932.80946820974305</v>
      </c>
      <c r="B82">
        <v>8.2596184686721205E-4</v>
      </c>
      <c r="C82" s="1">
        <v>1.01890143538621E-4</v>
      </c>
      <c r="D82" s="1">
        <f t="shared" si="1"/>
        <v>-9.2785199040583302E-4</v>
      </c>
    </row>
    <row r="83" spans="1:4" x14ac:dyDescent="0.25">
      <c r="A83">
        <v>948.66229355335201</v>
      </c>
      <c r="B83">
        <v>7.9376015953733301E-4</v>
      </c>
      <c r="C83" s="1">
        <v>9.4871275547192506E-5</v>
      </c>
      <c r="D83" s="1">
        <f t="shared" si="1"/>
        <v>-8.8863143508452556E-4</v>
      </c>
    </row>
    <row r="84" spans="1:4" x14ac:dyDescent="0.25">
      <c r="A84">
        <v>964.51511889696098</v>
      </c>
      <c r="B84">
        <v>7.6809514782056503E-4</v>
      </c>
      <c r="C84" s="1">
        <v>8.9270321631564702E-5</v>
      </c>
      <c r="D84" s="1">
        <f t="shared" si="1"/>
        <v>-8.5736546945212975E-4</v>
      </c>
    </row>
    <row r="85" spans="1:4" x14ac:dyDescent="0.25">
      <c r="A85">
        <v>980.36794044077305</v>
      </c>
      <c r="B85">
        <v>7.4894741852097799E-4</v>
      </c>
      <c r="C85" s="1">
        <v>8.5113663821314794E-5</v>
      </c>
      <c r="D85" s="1">
        <f t="shared" si="1"/>
        <v>-8.340610823422928E-4</v>
      </c>
    </row>
    <row r="86" spans="1:4" x14ac:dyDescent="0.25">
      <c r="A86">
        <v>996.22076388448397</v>
      </c>
      <c r="B86">
        <v>7.3610364533930304E-4</v>
      </c>
      <c r="C86" s="1">
        <v>8.2353728402442803E-5</v>
      </c>
      <c r="D86" s="1">
        <f t="shared" si="1"/>
        <v>-8.1845737374174586E-4</v>
      </c>
    </row>
    <row r="87" spans="1:4" x14ac:dyDescent="0.25">
      <c r="A87">
        <v>1012.07358780317</v>
      </c>
      <c r="B87">
        <v>7.2969566528337303E-4</v>
      </c>
      <c r="C87" s="1">
        <v>8.0867731031828804E-5</v>
      </c>
      <c r="D87" s="1">
        <f t="shared" si="1"/>
        <v>-8.1056339631520183E-4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837"/>
  <sheetViews>
    <sheetView topLeftCell="A588" workbookViewId="0">
      <selection activeCell="A14" sqref="A14"/>
    </sheetView>
  </sheetViews>
  <sheetFormatPr defaultRowHeight="15" x14ac:dyDescent="0.25"/>
  <cols>
    <col min="1" max="1" width="81.140625" bestFit="1" customWidth="1"/>
    <col min="2" max="2" width="52.85546875" customWidth="1"/>
    <col min="3" max="3" width="18" bestFit="1" customWidth="1"/>
    <col min="4" max="4" width="19" customWidth="1"/>
    <col min="5" max="5" width="22.42578125" bestFit="1" customWidth="1"/>
    <col min="6" max="6" width="12.85546875" bestFit="1" customWidth="1"/>
    <col min="7" max="7" width="12.28515625" customWidth="1"/>
    <col min="8" max="8" width="11.5703125" customWidth="1"/>
    <col min="9" max="9" width="15.85546875" bestFit="1" customWidth="1"/>
    <col min="10" max="10" width="14" bestFit="1" customWidth="1"/>
    <col min="11" max="12" width="12" customWidth="1"/>
    <col min="13" max="13" width="3.140625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17</v>
      </c>
    </row>
    <row r="2" spans="1:6" x14ac:dyDescent="0.25">
      <c r="A2" t="s">
        <v>17</v>
      </c>
      <c r="B2" s="1"/>
      <c r="C2" s="1"/>
      <c r="D2" s="1"/>
      <c r="E2" s="1"/>
    </row>
    <row r="3" spans="1:6" x14ac:dyDescent="0.25">
      <c r="A3" t="s">
        <v>18</v>
      </c>
      <c r="B3" s="1" t="s">
        <v>19</v>
      </c>
      <c r="C3" s="1"/>
      <c r="D3" s="1"/>
      <c r="E3" s="1"/>
    </row>
    <row r="4" spans="1:6" x14ac:dyDescent="0.25">
      <c r="A4" t="s">
        <v>18</v>
      </c>
      <c r="B4" s="1" t="s">
        <v>20</v>
      </c>
      <c r="C4" s="1" t="s">
        <v>21</v>
      </c>
      <c r="D4" s="1" t="s">
        <v>22</v>
      </c>
      <c r="E4" s="1" t="s">
        <v>19</v>
      </c>
    </row>
    <row r="5" spans="1:6" x14ac:dyDescent="0.25">
      <c r="A5" t="s">
        <v>18</v>
      </c>
      <c r="B5" s="1" t="s">
        <v>23</v>
      </c>
      <c r="C5" s="1" t="s">
        <v>24</v>
      </c>
      <c r="D5" s="1" t="s">
        <v>19</v>
      </c>
      <c r="E5" s="1"/>
    </row>
    <row r="6" spans="1:6" x14ac:dyDescent="0.25">
      <c r="A6" t="s">
        <v>18</v>
      </c>
      <c r="B6" s="1" t="s">
        <v>25</v>
      </c>
      <c r="C6" s="1" t="s">
        <v>26</v>
      </c>
      <c r="D6" s="1" t="s">
        <v>27</v>
      </c>
      <c r="E6" s="1" t="s">
        <v>28</v>
      </c>
      <c r="F6" t="s">
        <v>19</v>
      </c>
    </row>
    <row r="7" spans="1:6" x14ac:dyDescent="0.25">
      <c r="A7" t="s">
        <v>18</v>
      </c>
      <c r="B7" s="1" t="s">
        <v>29</v>
      </c>
      <c r="C7" s="1" t="s">
        <v>30</v>
      </c>
      <c r="D7" s="1" t="s">
        <v>31</v>
      </c>
      <c r="E7" s="1" t="s">
        <v>19</v>
      </c>
    </row>
    <row r="8" spans="1:6" x14ac:dyDescent="0.25">
      <c r="A8" t="s">
        <v>18</v>
      </c>
      <c r="B8" s="1" t="s">
        <v>19</v>
      </c>
      <c r="C8" s="1"/>
      <c r="D8" s="1"/>
      <c r="E8" s="1"/>
    </row>
    <row r="9" spans="1:6" x14ac:dyDescent="0.25">
      <c r="A9" t="s">
        <v>18</v>
      </c>
      <c r="B9" s="1" t="s">
        <v>19</v>
      </c>
      <c r="C9" s="1"/>
      <c r="D9" s="1"/>
      <c r="E9" s="1"/>
    </row>
    <row r="10" spans="1:6" x14ac:dyDescent="0.25">
      <c r="A10" t="s">
        <v>18</v>
      </c>
      <c r="B10" s="1" t="s">
        <v>453</v>
      </c>
      <c r="C10" s="1" t="s">
        <v>19</v>
      </c>
      <c r="D10" s="1"/>
      <c r="E10" s="1"/>
    </row>
    <row r="11" spans="1:6" x14ac:dyDescent="0.25">
      <c r="A11" t="s">
        <v>18</v>
      </c>
      <c r="B11" s="1" t="s">
        <v>19</v>
      </c>
      <c r="C11" s="1"/>
      <c r="D11" s="1"/>
      <c r="E11" s="1"/>
    </row>
    <row r="12" spans="1:6" x14ac:dyDescent="0.25">
      <c r="A12" t="s">
        <v>18</v>
      </c>
      <c r="B12" s="1" t="s">
        <v>33</v>
      </c>
      <c r="C12" s="1" t="s">
        <v>34</v>
      </c>
      <c r="D12" s="1" t="s">
        <v>19</v>
      </c>
      <c r="E12" s="1"/>
    </row>
    <row r="13" spans="1:6" x14ac:dyDescent="0.25">
      <c r="A13" t="s">
        <v>18</v>
      </c>
      <c r="B13" s="1" t="s">
        <v>19</v>
      </c>
      <c r="C13" s="1"/>
      <c r="D13" s="1"/>
      <c r="E13" s="1"/>
    </row>
    <row r="14" spans="1:6" x14ac:dyDescent="0.25">
      <c r="A14" t="s">
        <v>18</v>
      </c>
      <c r="B14" s="1" t="s">
        <v>35</v>
      </c>
      <c r="C14" s="1" t="s">
        <v>36</v>
      </c>
      <c r="D14" s="1" t="s">
        <v>37</v>
      </c>
      <c r="E14" s="1" t="s">
        <v>38</v>
      </c>
      <c r="F14" t="s">
        <v>19</v>
      </c>
    </row>
    <row r="15" spans="1:6" x14ac:dyDescent="0.25">
      <c r="A15" t="s">
        <v>18</v>
      </c>
      <c r="B15" s="1" t="s">
        <v>19</v>
      </c>
      <c r="C15" s="1"/>
      <c r="D15" s="1"/>
      <c r="E15" s="1"/>
    </row>
    <row r="16" spans="1:6" x14ac:dyDescent="0.25">
      <c r="A16" t="s">
        <v>18</v>
      </c>
      <c r="B16" s="1" t="s">
        <v>39</v>
      </c>
      <c r="C16" s="1" t="s">
        <v>36</v>
      </c>
      <c r="D16" s="1" t="s">
        <v>40</v>
      </c>
      <c r="E16" s="1" t="s">
        <v>41</v>
      </c>
      <c r="F16" t="s">
        <v>19</v>
      </c>
    </row>
    <row r="17" spans="1:10" x14ac:dyDescent="0.25">
      <c r="A17" t="s">
        <v>18</v>
      </c>
      <c r="B17" s="1" t="s">
        <v>42</v>
      </c>
      <c r="C17" s="1" t="s">
        <v>36</v>
      </c>
      <c r="D17" s="1" t="s">
        <v>43</v>
      </c>
      <c r="E17" s="1" t="s">
        <v>44</v>
      </c>
      <c r="F17" t="s">
        <v>45</v>
      </c>
      <c r="G17" t="s">
        <v>19</v>
      </c>
    </row>
    <row r="18" spans="1:10" x14ac:dyDescent="0.25">
      <c r="A18" t="s">
        <v>18</v>
      </c>
      <c r="B18" s="1" t="s">
        <v>46</v>
      </c>
      <c r="C18" s="1" t="s">
        <v>47</v>
      </c>
      <c r="D18" s="1" t="s">
        <v>36</v>
      </c>
      <c r="E18" s="1" t="s">
        <v>43</v>
      </c>
      <c r="F18" t="s">
        <v>19</v>
      </c>
    </row>
    <row r="19" spans="1:10" x14ac:dyDescent="0.25">
      <c r="A19" t="s">
        <v>18</v>
      </c>
      <c r="B19" s="1" t="s">
        <v>48</v>
      </c>
      <c r="C19" s="1" t="s">
        <v>454</v>
      </c>
      <c r="D19" s="1" t="s">
        <v>19</v>
      </c>
      <c r="E19" s="1"/>
    </row>
    <row r="20" spans="1:10" x14ac:dyDescent="0.25">
      <c r="A20" t="s">
        <v>18</v>
      </c>
      <c r="B20" s="1" t="s">
        <v>51</v>
      </c>
      <c r="C20" s="1" t="s">
        <v>19</v>
      </c>
      <c r="D20" s="1"/>
      <c r="E20" s="1"/>
    </row>
    <row r="21" spans="1:10" x14ac:dyDescent="0.25">
      <c r="A21" t="s">
        <v>18</v>
      </c>
      <c r="B21" s="1" t="s">
        <v>19</v>
      </c>
      <c r="C21" s="1"/>
      <c r="D21" s="1"/>
      <c r="E21" s="1"/>
    </row>
    <row r="22" spans="1:10" x14ac:dyDescent="0.25">
      <c r="A22" t="s">
        <v>18</v>
      </c>
      <c r="B22" s="1" t="s">
        <v>19</v>
      </c>
      <c r="C22" s="1"/>
      <c r="D22" s="1"/>
      <c r="E22" s="1"/>
    </row>
    <row r="23" spans="1:10" x14ac:dyDescent="0.25">
      <c r="A23" t="s">
        <v>18</v>
      </c>
      <c r="B23" s="1" t="s">
        <v>19</v>
      </c>
      <c r="C23" s="1"/>
      <c r="D23" s="1"/>
      <c r="E23" s="1"/>
    </row>
    <row r="24" spans="1:10" x14ac:dyDescent="0.25">
      <c r="A24" t="s">
        <v>17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52</v>
      </c>
      <c r="B26" s="1"/>
      <c r="C26" s="1"/>
      <c r="D26" s="1"/>
      <c r="E26" s="1"/>
    </row>
    <row r="27" spans="1:10" x14ac:dyDescent="0.25">
      <c r="A27" t="s">
        <v>52</v>
      </c>
      <c r="B27" s="1"/>
      <c r="C27" s="1"/>
      <c r="D27" s="1"/>
      <c r="E27" s="1"/>
    </row>
    <row r="28" spans="1:10" x14ac:dyDescent="0.25">
      <c r="A28" t="s">
        <v>52</v>
      </c>
      <c r="B28" s="1"/>
      <c r="C28" s="1"/>
      <c r="D28" s="1"/>
      <c r="E28" s="1"/>
    </row>
    <row r="29" spans="1:10" x14ac:dyDescent="0.25">
      <c r="A29" t="s">
        <v>53</v>
      </c>
      <c r="B29" s="1" t="s">
        <v>54</v>
      </c>
      <c r="C29" s="1" t="s">
        <v>55</v>
      </c>
      <c r="D29" s="1" t="s">
        <v>54</v>
      </c>
      <c r="E29" s="1" t="s">
        <v>56</v>
      </c>
    </row>
    <row r="30" spans="1:10" x14ac:dyDescent="0.25">
      <c r="A30" t="s">
        <v>53</v>
      </c>
      <c r="B30" s="1" t="s">
        <v>56</v>
      </c>
      <c r="C30" s="1"/>
      <c r="D30" s="1"/>
      <c r="E30" s="1"/>
    </row>
    <row r="31" spans="1:10" x14ac:dyDescent="0.25">
      <c r="A31" t="s">
        <v>53</v>
      </c>
      <c r="B31" s="1" t="s">
        <v>57</v>
      </c>
      <c r="C31" s="1" t="s">
        <v>58</v>
      </c>
      <c r="D31" s="1" t="s">
        <v>59</v>
      </c>
      <c r="E31" s="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s="1" t="s">
        <v>56</v>
      </c>
      <c r="C32" s="1"/>
      <c r="D32" s="1"/>
      <c r="E32" s="1"/>
    </row>
    <row r="33" spans="1:12" x14ac:dyDescent="0.25">
      <c r="A33" t="s">
        <v>53</v>
      </c>
      <c r="B33" s="1" t="s">
        <v>57</v>
      </c>
      <c r="C33" s="1" t="s">
        <v>62</v>
      </c>
      <c r="D33" s="1" t="s">
        <v>65</v>
      </c>
      <c r="E33" s="1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s="1" t="s">
        <v>70</v>
      </c>
      <c r="C34" s="1" t="s">
        <v>62</v>
      </c>
      <c r="D34" s="1" t="s">
        <v>71</v>
      </c>
      <c r="E34" s="1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s="1" t="s">
        <v>76</v>
      </c>
      <c r="C35" s="1" t="s">
        <v>77</v>
      </c>
      <c r="D35" s="1" t="s">
        <v>78</v>
      </c>
      <c r="E35" s="1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s="1" t="s">
        <v>84</v>
      </c>
      <c r="C36" s="1" t="s">
        <v>85</v>
      </c>
      <c r="D36" s="1" t="s">
        <v>86</v>
      </c>
      <c r="E36" s="1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s="1" t="s">
        <v>90</v>
      </c>
      <c r="C37" s="1" t="s">
        <v>44</v>
      </c>
      <c r="D37" s="1" t="s">
        <v>91</v>
      </c>
      <c r="E37" s="1" t="s">
        <v>92</v>
      </c>
      <c r="F37" t="s">
        <v>93</v>
      </c>
      <c r="G37" t="s">
        <v>56</v>
      </c>
    </row>
    <row r="38" spans="1:12" x14ac:dyDescent="0.25">
      <c r="A38" t="s">
        <v>53</v>
      </c>
      <c r="B38" s="1" t="s">
        <v>56</v>
      </c>
      <c r="C38" s="1"/>
      <c r="D38" s="1"/>
      <c r="E38" s="1"/>
    </row>
    <row r="39" spans="1:12" x14ac:dyDescent="0.25">
      <c r="A39" t="s">
        <v>53</v>
      </c>
      <c r="B39" s="1" t="s">
        <v>94</v>
      </c>
      <c r="C39" s="1" t="s">
        <v>65</v>
      </c>
      <c r="D39" s="1" t="s">
        <v>66</v>
      </c>
      <c r="E39" s="1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s="1" t="s">
        <v>56</v>
      </c>
      <c r="C40" s="1"/>
      <c r="D40" s="1"/>
      <c r="E40" s="1"/>
    </row>
    <row r="41" spans="1:12" x14ac:dyDescent="0.25">
      <c r="A41" t="s">
        <v>53</v>
      </c>
      <c r="B41" s="1" t="s">
        <v>94</v>
      </c>
      <c r="C41" s="1" t="s">
        <v>65</v>
      </c>
      <c r="D41" s="1" t="s">
        <v>66</v>
      </c>
      <c r="E41" s="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s="1" t="s">
        <v>63</v>
      </c>
      <c r="C42" s="1" t="s">
        <v>102</v>
      </c>
      <c r="D42" s="1" t="s">
        <v>29</v>
      </c>
      <c r="E42" s="1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s="1" t="s">
        <v>108</v>
      </c>
      <c r="C43" s="1" t="s">
        <v>109</v>
      </c>
      <c r="D43" s="1" t="s">
        <v>77</v>
      </c>
      <c r="E43" s="1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s="1" t="s">
        <v>113</v>
      </c>
      <c r="C44" s="1" t="s">
        <v>114</v>
      </c>
      <c r="D44" s="1" t="s">
        <v>56</v>
      </c>
      <c r="E44" s="1"/>
    </row>
    <row r="45" spans="1:12" x14ac:dyDescent="0.25">
      <c r="A45" t="s">
        <v>53</v>
      </c>
      <c r="B45" s="1" t="s">
        <v>56</v>
      </c>
      <c r="C45" s="1"/>
      <c r="D45" s="1"/>
      <c r="E45" s="1"/>
    </row>
    <row r="46" spans="1:12" x14ac:dyDescent="0.25">
      <c r="A46" t="s">
        <v>53</v>
      </c>
      <c r="B46" s="1" t="s">
        <v>115</v>
      </c>
      <c r="C46" s="1" t="s">
        <v>116</v>
      </c>
      <c r="D46" s="1" t="s">
        <v>117</v>
      </c>
      <c r="E46" s="1" t="s">
        <v>118</v>
      </c>
      <c r="F46" t="s">
        <v>56</v>
      </c>
    </row>
    <row r="47" spans="1:12" x14ac:dyDescent="0.25">
      <c r="A47" t="s">
        <v>53</v>
      </c>
      <c r="B47" s="1" t="s">
        <v>56</v>
      </c>
      <c r="C47" s="1"/>
      <c r="D47" s="1"/>
      <c r="E47" s="1"/>
    </row>
    <row r="48" spans="1:12" x14ac:dyDescent="0.25">
      <c r="A48" t="s">
        <v>53</v>
      </c>
      <c r="B48" s="1" t="s">
        <v>455</v>
      </c>
      <c r="C48" s="1" t="s">
        <v>56</v>
      </c>
      <c r="D48" s="1"/>
      <c r="E48" s="1"/>
    </row>
    <row r="49" spans="1:6" x14ac:dyDescent="0.25">
      <c r="A49" t="s">
        <v>52</v>
      </c>
      <c r="B49" s="1"/>
      <c r="C49" s="1"/>
      <c r="D49" s="1"/>
      <c r="E49" s="1"/>
    </row>
    <row r="50" spans="1:6" x14ac:dyDescent="0.25">
      <c r="A50" t="s">
        <v>52</v>
      </c>
      <c r="B50" s="1"/>
      <c r="C50" s="1"/>
      <c r="D50" s="1"/>
      <c r="E50" s="1"/>
    </row>
    <row r="51" spans="1:6" x14ac:dyDescent="0.25">
      <c r="A51" t="s">
        <v>121</v>
      </c>
      <c r="B51" s="1" t="s">
        <v>456</v>
      </c>
      <c r="C51" s="1"/>
      <c r="D51" s="1"/>
      <c r="E51" s="1"/>
    </row>
    <row r="52" spans="1:6" x14ac:dyDescent="0.25">
      <c r="B52" s="1"/>
      <c r="C52" s="1"/>
      <c r="D52" s="1"/>
      <c r="E52" s="1"/>
    </row>
    <row r="53" spans="1:6" x14ac:dyDescent="0.25">
      <c r="A53" t="s">
        <v>122</v>
      </c>
      <c r="B53" s="1" t="s">
        <v>36</v>
      </c>
      <c r="C53" s="1" t="s">
        <v>123</v>
      </c>
      <c r="D53" s="1" t="s">
        <v>455</v>
      </c>
      <c r="E53" s="1"/>
    </row>
    <row r="54" spans="1:6" x14ac:dyDescent="0.25">
      <c r="B54" s="1"/>
      <c r="C54" s="1"/>
      <c r="D54" s="1"/>
      <c r="E54" s="1"/>
    </row>
    <row r="55" spans="1:6" x14ac:dyDescent="0.25">
      <c r="A55" t="s">
        <v>124</v>
      </c>
      <c r="B55" s="1" t="s">
        <v>125</v>
      </c>
      <c r="C55" s="1" t="s">
        <v>457</v>
      </c>
      <c r="D55" s="1" t="s">
        <v>287</v>
      </c>
      <c r="E55" s="1" t="s">
        <v>131</v>
      </c>
    </row>
    <row r="56" spans="1:6" x14ac:dyDescent="0.25">
      <c r="B56" s="1"/>
      <c r="C56" s="1"/>
      <c r="D56" s="1"/>
      <c r="E56" s="1"/>
    </row>
    <row r="57" spans="1:6" x14ac:dyDescent="0.25">
      <c r="B57" s="1" t="s">
        <v>131</v>
      </c>
      <c r="C57" s="1" t="s">
        <v>304</v>
      </c>
      <c r="D57" s="1" t="s">
        <v>43</v>
      </c>
      <c r="E57" s="1" t="s">
        <v>458</v>
      </c>
      <c r="F57" t="s">
        <v>459</v>
      </c>
    </row>
    <row r="58" spans="1:6" x14ac:dyDescent="0.25">
      <c r="B58" s="1" t="s">
        <v>51</v>
      </c>
      <c r="C58" s="1" t="s">
        <v>460</v>
      </c>
      <c r="D58" s="1" t="s">
        <v>461</v>
      </c>
      <c r="E58" s="1" t="s">
        <v>462</v>
      </c>
    </row>
    <row r="59" spans="1:6" x14ac:dyDescent="0.25">
      <c r="B59" s="1" t="s">
        <v>463</v>
      </c>
      <c r="C59" s="1" t="s">
        <v>464</v>
      </c>
      <c r="D59" s="1" t="s">
        <v>465</v>
      </c>
      <c r="E59" s="1" t="s">
        <v>51</v>
      </c>
    </row>
    <row r="60" spans="1:6" x14ac:dyDescent="0.25">
      <c r="B60" s="1" t="s">
        <v>134</v>
      </c>
      <c r="C60" s="1" t="s">
        <v>135</v>
      </c>
      <c r="D60" s="1" t="s">
        <v>466</v>
      </c>
      <c r="E60" s="1"/>
    </row>
    <row r="61" spans="1:6" x14ac:dyDescent="0.25">
      <c r="B61" s="1"/>
      <c r="C61" s="1"/>
      <c r="D61" s="1"/>
      <c r="E61" s="1"/>
    </row>
    <row r="62" spans="1:6" x14ac:dyDescent="0.25">
      <c r="A62" t="s">
        <v>137</v>
      </c>
      <c r="B62" s="1"/>
      <c r="C62" s="1"/>
      <c r="D62" s="1"/>
      <c r="E62" s="1"/>
    </row>
    <row r="63" spans="1:6" x14ac:dyDescent="0.25">
      <c r="B63" s="1" t="s">
        <v>138</v>
      </c>
      <c r="C63" s="1" t="s">
        <v>139</v>
      </c>
      <c r="D63" s="1" t="s">
        <v>140</v>
      </c>
      <c r="E63" s="1" t="s">
        <v>141</v>
      </c>
      <c r="F63" t="s">
        <v>142</v>
      </c>
    </row>
    <row r="64" spans="1:6" x14ac:dyDescent="0.25">
      <c r="B64" s="1" t="s">
        <v>146</v>
      </c>
      <c r="C64" s="1" t="s">
        <v>139</v>
      </c>
      <c r="D64" s="1" t="s">
        <v>147</v>
      </c>
      <c r="E64" s="1" t="s">
        <v>148</v>
      </c>
    </row>
    <row r="65" spans="1:11" x14ac:dyDescent="0.25">
      <c r="B65" s="1" t="s">
        <v>467</v>
      </c>
      <c r="C65" s="1" t="s">
        <v>139</v>
      </c>
      <c r="D65" s="1" t="s">
        <v>197</v>
      </c>
      <c r="E65" s="1" t="s">
        <v>401</v>
      </c>
    </row>
    <row r="66" spans="1:11" x14ac:dyDescent="0.25">
      <c r="B66" s="1" t="s">
        <v>149</v>
      </c>
      <c r="C66" s="1" t="s">
        <v>139</v>
      </c>
      <c r="D66" s="1" t="s">
        <v>468</v>
      </c>
      <c r="E66" s="1" t="s">
        <v>117</v>
      </c>
      <c r="F66" t="s">
        <v>151</v>
      </c>
      <c r="G66" t="s">
        <v>152</v>
      </c>
    </row>
    <row r="67" spans="1:11" x14ac:dyDescent="0.25">
      <c r="B67" s="1" t="s">
        <v>153</v>
      </c>
      <c r="C67" s="1" t="s">
        <v>139</v>
      </c>
      <c r="D67" s="1" t="s">
        <v>154</v>
      </c>
      <c r="E67" s="1" t="s">
        <v>117</v>
      </c>
      <c r="F67" t="s">
        <v>151</v>
      </c>
      <c r="G67" t="s">
        <v>152</v>
      </c>
    </row>
    <row r="68" spans="1:11" x14ac:dyDescent="0.25">
      <c r="B68" s="1" t="s">
        <v>155</v>
      </c>
      <c r="C68" s="1" t="s">
        <v>139</v>
      </c>
      <c r="D68" s="1" t="s">
        <v>156</v>
      </c>
      <c r="E68" s="1"/>
    </row>
    <row r="69" spans="1:11" x14ac:dyDescent="0.25">
      <c r="B69" s="1" t="s">
        <v>157</v>
      </c>
      <c r="C69" s="1" t="s">
        <v>139</v>
      </c>
      <c r="D69" s="1" t="s">
        <v>158</v>
      </c>
      <c r="E69" s="1" t="s">
        <v>159</v>
      </c>
      <c r="F69" t="s">
        <v>160</v>
      </c>
    </row>
    <row r="70" spans="1:11" x14ac:dyDescent="0.25">
      <c r="B70" s="1" t="s">
        <v>161</v>
      </c>
      <c r="C70" s="1" t="s">
        <v>139</v>
      </c>
      <c r="D70" s="1" t="s">
        <v>162</v>
      </c>
      <c r="E70" s="1" t="s">
        <v>159</v>
      </c>
      <c r="F70" t="s">
        <v>160</v>
      </c>
    </row>
    <row r="71" spans="1:11" x14ac:dyDescent="0.25">
      <c r="B71" s="1" t="s">
        <v>163</v>
      </c>
      <c r="C71" s="1" t="s">
        <v>164</v>
      </c>
      <c r="D71" s="1" t="s">
        <v>165</v>
      </c>
      <c r="E71" s="1" t="s">
        <v>139</v>
      </c>
      <c r="F71" t="s">
        <v>166</v>
      </c>
      <c r="G71" t="s">
        <v>167</v>
      </c>
      <c r="H71" t="s">
        <v>44</v>
      </c>
      <c r="I71" t="s">
        <v>168</v>
      </c>
      <c r="J71" t="s">
        <v>160</v>
      </c>
      <c r="K71" t="s">
        <v>169</v>
      </c>
    </row>
    <row r="72" spans="1:11" x14ac:dyDescent="0.25">
      <c r="B72" s="1" t="s">
        <v>170</v>
      </c>
      <c r="C72" s="1" t="s">
        <v>139</v>
      </c>
      <c r="D72" s="1" t="s">
        <v>171</v>
      </c>
      <c r="E72" s="1" t="s">
        <v>172</v>
      </c>
      <c r="F72" t="s">
        <v>36</v>
      </c>
      <c r="G72" t="s">
        <v>160</v>
      </c>
      <c r="H72" t="s">
        <v>169</v>
      </c>
    </row>
    <row r="73" spans="1:11" x14ac:dyDescent="0.25">
      <c r="B73" s="1" t="s">
        <v>173</v>
      </c>
      <c r="C73" s="1" t="s">
        <v>139</v>
      </c>
      <c r="D73" s="1" t="s">
        <v>174</v>
      </c>
      <c r="E73" s="1" t="s">
        <v>160</v>
      </c>
    </row>
    <row r="74" spans="1:11" x14ac:dyDescent="0.25">
      <c r="B74" s="1" t="s">
        <v>175</v>
      </c>
      <c r="C74" s="1" t="s">
        <v>176</v>
      </c>
      <c r="D74" s="1" t="s">
        <v>177</v>
      </c>
      <c r="E74" s="1" t="s">
        <v>139</v>
      </c>
      <c r="F74" t="s">
        <v>166</v>
      </c>
      <c r="G74" t="s">
        <v>167</v>
      </c>
      <c r="H74" t="s">
        <v>44</v>
      </c>
      <c r="I74" t="s">
        <v>168</v>
      </c>
      <c r="J74" t="s">
        <v>178</v>
      </c>
    </row>
    <row r="75" spans="1:11" x14ac:dyDescent="0.25">
      <c r="B75" s="1"/>
      <c r="C75" s="1"/>
      <c r="D75" s="1"/>
      <c r="E75" s="1"/>
    </row>
    <row r="76" spans="1:11" x14ac:dyDescent="0.25">
      <c r="B76" s="1" t="s">
        <v>179</v>
      </c>
      <c r="C76" s="1" t="s">
        <v>139</v>
      </c>
      <c r="D76" s="1" t="s">
        <v>180</v>
      </c>
      <c r="E76" s="1" t="s">
        <v>61</v>
      </c>
      <c r="F76" t="s">
        <v>5</v>
      </c>
      <c r="G76" t="s">
        <v>181</v>
      </c>
      <c r="H76" t="s">
        <v>182</v>
      </c>
      <c r="I76" t="s">
        <v>146</v>
      </c>
      <c r="J76" t="s">
        <v>44</v>
      </c>
      <c r="K76" t="s">
        <v>183</v>
      </c>
    </row>
    <row r="77" spans="1:11" x14ac:dyDescent="0.25">
      <c r="B77" s="1" t="s">
        <v>408</v>
      </c>
      <c r="C77" s="1" t="s">
        <v>139</v>
      </c>
      <c r="D77" s="1" t="s">
        <v>409</v>
      </c>
      <c r="E77" s="1" t="s">
        <v>410</v>
      </c>
    </row>
    <row r="78" spans="1:11" x14ac:dyDescent="0.25">
      <c r="B78" s="1"/>
      <c r="C78" s="1"/>
      <c r="D78" s="1"/>
      <c r="E78" s="1"/>
    </row>
    <row r="79" spans="1:11" x14ac:dyDescent="0.25">
      <c r="B79" s="1"/>
      <c r="C79" s="1"/>
      <c r="D79" s="1"/>
      <c r="E79" s="1"/>
    </row>
    <row r="80" spans="1:11" x14ac:dyDescent="0.25">
      <c r="A80">
        <v>1</v>
      </c>
      <c r="B80" s="1" t="s">
        <v>184</v>
      </c>
      <c r="C80" s="1"/>
      <c r="D80" s="1"/>
      <c r="E80" s="1"/>
    </row>
    <row r="81" spans="1:13" x14ac:dyDescent="0.25">
      <c r="B81" s="1" t="s">
        <v>20</v>
      </c>
      <c r="C81" s="1" t="s">
        <v>91</v>
      </c>
      <c r="D81" s="1" t="s">
        <v>185</v>
      </c>
      <c r="E81" s="1" t="s">
        <v>186</v>
      </c>
      <c r="F81" t="s">
        <v>36</v>
      </c>
      <c r="G81" t="s">
        <v>187</v>
      </c>
      <c r="H81" t="s">
        <v>188</v>
      </c>
      <c r="I81" t="s">
        <v>189</v>
      </c>
      <c r="J81" t="s">
        <v>190</v>
      </c>
      <c r="K81" t="s">
        <v>191</v>
      </c>
    </row>
    <row r="82" spans="1:13" x14ac:dyDescent="0.25">
      <c r="B82" s="1" t="s">
        <v>94</v>
      </c>
      <c r="C82" s="1" t="s">
        <v>192</v>
      </c>
      <c r="D82" s="1" t="s">
        <v>193</v>
      </c>
      <c r="E82" s="1" t="s">
        <v>107</v>
      </c>
      <c r="F82" t="s">
        <v>83</v>
      </c>
      <c r="G82" t="s">
        <v>194</v>
      </c>
      <c r="H82" t="s">
        <v>195</v>
      </c>
      <c r="I82" t="s">
        <v>143</v>
      </c>
      <c r="J82" t="s">
        <v>140</v>
      </c>
      <c r="K82" t="s">
        <v>193</v>
      </c>
      <c r="L82" t="s">
        <v>196</v>
      </c>
      <c r="M82" t="s">
        <v>61</v>
      </c>
    </row>
    <row r="83" spans="1:13" x14ac:dyDescent="0.25">
      <c r="B83" s="1" t="s">
        <v>83</v>
      </c>
      <c r="C83" s="1" t="s">
        <v>162</v>
      </c>
      <c r="D83" s="1" t="s">
        <v>159</v>
      </c>
      <c r="E83" s="1" t="s">
        <v>197</v>
      </c>
      <c r="F83" t="s">
        <v>198</v>
      </c>
    </row>
    <row r="84" spans="1:13" x14ac:dyDescent="0.25">
      <c r="B84" s="1" t="s">
        <v>94</v>
      </c>
      <c r="C84" s="1" t="s">
        <v>412</v>
      </c>
      <c r="D84" s="1" t="s">
        <v>87</v>
      </c>
      <c r="E84" s="1" t="s">
        <v>199</v>
      </c>
      <c r="F84" t="s">
        <v>107</v>
      </c>
      <c r="G84" t="s">
        <v>86</v>
      </c>
      <c r="H84" t="s">
        <v>206</v>
      </c>
      <c r="I84" t="s">
        <v>62</v>
      </c>
      <c r="J84" t="s">
        <v>162</v>
      </c>
      <c r="K84" t="s">
        <v>44</v>
      </c>
      <c r="L84" t="s">
        <v>168</v>
      </c>
    </row>
    <row r="85" spans="1:13" x14ac:dyDescent="0.25">
      <c r="B85" s="1" t="s">
        <v>283</v>
      </c>
      <c r="C85" s="1" t="s">
        <v>413</v>
      </c>
      <c r="D85" s="1" t="s">
        <v>62</v>
      </c>
      <c r="E85" s="1" t="s">
        <v>414</v>
      </c>
      <c r="F85" t="s">
        <v>87</v>
      </c>
      <c r="G85" t="s">
        <v>199</v>
      </c>
      <c r="H85" t="s">
        <v>107</v>
      </c>
      <c r="I85" t="s">
        <v>200</v>
      </c>
      <c r="J85" t="s">
        <v>206</v>
      </c>
      <c r="K85" t="s">
        <v>62</v>
      </c>
      <c r="L85" t="s">
        <v>5</v>
      </c>
    </row>
    <row r="86" spans="1:13" x14ac:dyDescent="0.25">
      <c r="B86" s="1" t="e">
        <f>-normal</f>
        <v>#NAME?</v>
      </c>
      <c r="C86" s="1" t="s">
        <v>415</v>
      </c>
      <c r="D86" s="1" t="s">
        <v>416</v>
      </c>
      <c r="E86" s="1" t="s">
        <v>354</v>
      </c>
      <c r="F86" t="s">
        <v>62</v>
      </c>
      <c r="G86" t="s">
        <v>201</v>
      </c>
      <c r="H86" t="s">
        <v>44</v>
      </c>
      <c r="I86" t="s">
        <v>202</v>
      </c>
      <c r="J86" t="s">
        <v>203</v>
      </c>
    </row>
    <row r="87" spans="1:13" x14ac:dyDescent="0.25">
      <c r="B87" s="1" t="s">
        <v>204</v>
      </c>
      <c r="C87" s="1" t="s">
        <v>205</v>
      </c>
      <c r="D87" s="1" t="s">
        <v>59</v>
      </c>
      <c r="E87" s="1" t="s">
        <v>104</v>
      </c>
      <c r="F87" t="s">
        <v>206</v>
      </c>
      <c r="G87" t="s">
        <v>62</v>
      </c>
      <c r="H87" t="s">
        <v>207</v>
      </c>
      <c r="I87" t="s">
        <v>208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421</v>
      </c>
      <c r="C90" s="1"/>
      <c r="D90" s="1"/>
      <c r="E90" s="1"/>
    </row>
    <row r="91" spans="1:13" x14ac:dyDescent="0.25">
      <c r="B91" s="1" t="s">
        <v>233</v>
      </c>
      <c r="C91" s="1" t="s">
        <v>469</v>
      </c>
      <c r="D91" s="1" t="s">
        <v>214</v>
      </c>
      <c r="E91" s="1" t="s">
        <v>470</v>
      </c>
      <c r="F91" t="s">
        <v>44</v>
      </c>
      <c r="G91" t="s">
        <v>234</v>
      </c>
      <c r="H91" t="s">
        <v>235</v>
      </c>
    </row>
    <row r="92" spans="1:13" x14ac:dyDescent="0.25">
      <c r="B92" s="1" t="s">
        <v>471</v>
      </c>
      <c r="C92" s="1"/>
      <c r="D92" s="1"/>
      <c r="E92" s="1"/>
    </row>
    <row r="93" spans="1:13" x14ac:dyDescent="0.25">
      <c r="B93" s="1" t="s">
        <v>438</v>
      </c>
      <c r="C93" s="1" t="s">
        <v>101</v>
      </c>
      <c r="D93" s="1" t="s">
        <v>472</v>
      </c>
      <c r="E93" s="1" t="s">
        <v>29</v>
      </c>
      <c r="F93" t="s">
        <v>473</v>
      </c>
      <c r="G93" t="s">
        <v>44</v>
      </c>
      <c r="H93" t="s">
        <v>474</v>
      </c>
    </row>
    <row r="94" spans="1:13" x14ac:dyDescent="0.25">
      <c r="B94" s="1" t="s">
        <v>475</v>
      </c>
      <c r="C94" s="1" t="s">
        <v>240</v>
      </c>
      <c r="D94" s="1" t="s">
        <v>30</v>
      </c>
      <c r="E94" s="1" t="s">
        <v>44</v>
      </c>
      <c r="F94" t="s">
        <v>476</v>
      </c>
      <c r="G94" t="s">
        <v>477</v>
      </c>
      <c r="H94" t="s">
        <v>478</v>
      </c>
      <c r="I94" t="s">
        <v>479</v>
      </c>
    </row>
    <row r="95" spans="1:13" x14ac:dyDescent="0.25">
      <c r="B95" s="1"/>
      <c r="C95" s="1"/>
      <c r="D95" s="1"/>
      <c r="E95" s="1"/>
    </row>
    <row r="96" spans="1:13" x14ac:dyDescent="0.25">
      <c r="B96" s="1"/>
      <c r="C96" s="1"/>
      <c r="D96" s="1"/>
      <c r="E96" s="1"/>
    </row>
    <row r="97" spans="1:12" x14ac:dyDescent="0.25">
      <c r="A97">
        <v>3</v>
      </c>
      <c r="B97" s="1" t="s">
        <v>21</v>
      </c>
      <c r="C97" s="1" t="s">
        <v>445</v>
      </c>
      <c r="D97" s="1"/>
      <c r="E97" s="1"/>
    </row>
    <row r="98" spans="1:12" x14ac:dyDescent="0.25">
      <c r="B98" s="1"/>
      <c r="C98" s="1"/>
      <c r="D98" s="1"/>
      <c r="E98" s="1"/>
    </row>
    <row r="99" spans="1:12" x14ac:dyDescent="0.25">
      <c r="A99" t="s">
        <v>264</v>
      </c>
      <c r="B99" s="1" t="s">
        <v>265</v>
      </c>
      <c r="C99" s="1" t="s">
        <v>266</v>
      </c>
      <c r="D99" s="1"/>
      <c r="E99" s="1"/>
    </row>
    <row r="100" spans="1:12" x14ac:dyDescent="0.25">
      <c r="B100" s="1" t="s">
        <v>267</v>
      </c>
      <c r="C100" s="1" t="s">
        <v>268</v>
      </c>
      <c r="D100" s="1" t="s">
        <v>44</v>
      </c>
      <c r="E100" s="1" t="s">
        <v>62</v>
      </c>
      <c r="F100" t="s">
        <v>269</v>
      </c>
      <c r="G100" t="s">
        <v>268</v>
      </c>
      <c r="H100" t="s">
        <v>25</v>
      </c>
      <c r="I100" t="s">
        <v>193</v>
      </c>
      <c r="J100" t="s">
        <v>270</v>
      </c>
    </row>
    <row r="101" spans="1:12" x14ac:dyDescent="0.25">
      <c r="B101" s="1" t="s">
        <v>44</v>
      </c>
      <c r="C101" s="1" t="s">
        <v>62</v>
      </c>
      <c r="D101" s="1" t="s">
        <v>145</v>
      </c>
      <c r="E101" s="1" t="s">
        <v>268</v>
      </c>
      <c r="F101" t="s">
        <v>25</v>
      </c>
      <c r="G101" t="s">
        <v>271</v>
      </c>
      <c r="H101" t="s">
        <v>272</v>
      </c>
    </row>
    <row r="102" spans="1:12" x14ac:dyDescent="0.25">
      <c r="B102" s="1"/>
      <c r="C102" s="1"/>
      <c r="D102" s="1"/>
      <c r="E102" s="1"/>
    </row>
    <row r="103" spans="1:12" x14ac:dyDescent="0.25">
      <c r="A103" t="s">
        <v>273</v>
      </c>
      <c r="B103" s="1" t="s">
        <v>274</v>
      </c>
      <c r="C103" s="1" t="s">
        <v>275</v>
      </c>
      <c r="D103" s="1"/>
      <c r="E103" s="1"/>
    </row>
    <row r="104" spans="1:12" x14ac:dyDescent="0.25">
      <c r="B104" s="1" t="s">
        <v>276</v>
      </c>
      <c r="C104" s="1" t="s">
        <v>277</v>
      </c>
      <c r="D104" s="1" t="s">
        <v>263</v>
      </c>
      <c r="E104" s="1" t="s">
        <v>278</v>
      </c>
      <c r="F104" t="s">
        <v>279</v>
      </c>
    </row>
    <row r="105" spans="1:12" x14ac:dyDescent="0.25">
      <c r="B105" s="1" t="s">
        <v>94</v>
      </c>
      <c r="C105" s="1" t="s">
        <v>280</v>
      </c>
      <c r="D105" s="1" t="s">
        <v>281</v>
      </c>
      <c r="E105" s="1" t="s">
        <v>282</v>
      </c>
      <c r="F105" t="s">
        <v>92</v>
      </c>
      <c r="G105" t="s">
        <v>278</v>
      </c>
      <c r="H105" t="s">
        <v>200</v>
      </c>
      <c r="I105" t="s">
        <v>206</v>
      </c>
      <c r="J105" t="s">
        <v>62</v>
      </c>
      <c r="K105" t="s">
        <v>162</v>
      </c>
      <c r="L105" t="s">
        <v>44</v>
      </c>
    </row>
    <row r="106" spans="1:12" x14ac:dyDescent="0.25">
      <c r="B106" s="1" t="s">
        <v>168</v>
      </c>
      <c r="C106" s="1" t="s">
        <v>283</v>
      </c>
      <c r="D106" s="1" t="s">
        <v>44</v>
      </c>
      <c r="E106" s="1" t="s">
        <v>62</v>
      </c>
      <c r="F106" t="s">
        <v>284</v>
      </c>
      <c r="G106" t="s">
        <v>281</v>
      </c>
      <c r="H106" t="s">
        <v>282</v>
      </c>
      <c r="I106" t="s">
        <v>92</v>
      </c>
      <c r="J106" t="s">
        <v>278</v>
      </c>
      <c r="K106" t="s">
        <v>99</v>
      </c>
    </row>
    <row r="107" spans="1:12" x14ac:dyDescent="0.25">
      <c r="B107" s="1" t="s">
        <v>206</v>
      </c>
      <c r="C107" s="1" t="s">
        <v>62</v>
      </c>
      <c r="D107" s="1" t="s">
        <v>167</v>
      </c>
      <c r="E107" s="1" t="s">
        <v>285</v>
      </c>
    </row>
    <row r="108" spans="1:12" x14ac:dyDescent="0.25">
      <c r="B108" s="1"/>
      <c r="C108" s="1"/>
      <c r="D108" s="1"/>
      <c r="E108" s="1"/>
    </row>
    <row r="109" spans="1:12" x14ac:dyDescent="0.25">
      <c r="A109" t="s">
        <v>288</v>
      </c>
      <c r="B109" s="1" t="s">
        <v>250</v>
      </c>
      <c r="C109" s="1" t="s">
        <v>90</v>
      </c>
      <c r="D109" s="1"/>
      <c r="E109" s="1"/>
    </row>
    <row r="110" spans="1:12" x14ac:dyDescent="0.25">
      <c r="B110" s="1">
        <v>6.38</v>
      </c>
      <c r="C110" s="1" t="s">
        <v>480</v>
      </c>
      <c r="D110" s="1" t="s">
        <v>5</v>
      </c>
      <c r="E110" s="1" t="s">
        <v>181</v>
      </c>
      <c r="F110" t="s">
        <v>206</v>
      </c>
      <c r="G110" t="s">
        <v>62</v>
      </c>
      <c r="H110" t="s">
        <v>289</v>
      </c>
      <c r="I110" t="s">
        <v>44</v>
      </c>
      <c r="J110" t="s">
        <v>481</v>
      </c>
    </row>
    <row r="111" spans="1:12" x14ac:dyDescent="0.25">
      <c r="B111" s="1" t="s">
        <v>44</v>
      </c>
      <c r="C111" s="1">
        <v>0.15</v>
      </c>
      <c r="D111" s="1" t="s">
        <v>482</v>
      </c>
      <c r="E111" s="1" t="s">
        <v>5</v>
      </c>
      <c r="F111" t="s">
        <v>181</v>
      </c>
      <c r="G111" t="s">
        <v>206</v>
      </c>
      <c r="H111" t="s">
        <v>62</v>
      </c>
      <c r="I111" t="s">
        <v>292</v>
      </c>
    </row>
    <row r="112" spans="1:12" x14ac:dyDescent="0.25">
      <c r="B112" s="1"/>
      <c r="C112" s="1"/>
      <c r="D112" s="1"/>
      <c r="E112" s="1"/>
    </row>
    <row r="113" spans="1:11" x14ac:dyDescent="0.25">
      <c r="A113" t="s">
        <v>293</v>
      </c>
      <c r="B113" s="1" t="s">
        <v>294</v>
      </c>
      <c r="C113" s="1" t="s">
        <v>295</v>
      </c>
      <c r="D113" s="1"/>
      <c r="E113" s="1"/>
    </row>
    <row r="114" spans="1:11" x14ac:dyDescent="0.25">
      <c r="B114" s="1" t="s">
        <v>94</v>
      </c>
      <c r="C114" s="1" t="s">
        <v>296</v>
      </c>
      <c r="D114" s="1" t="s">
        <v>275</v>
      </c>
      <c r="E114" s="1" t="s">
        <v>25</v>
      </c>
      <c r="F114" t="s">
        <v>62</v>
      </c>
      <c r="G114" t="s">
        <v>297</v>
      </c>
      <c r="H114" t="s">
        <v>298</v>
      </c>
      <c r="I114" t="s">
        <v>29</v>
      </c>
      <c r="J114" t="s">
        <v>167</v>
      </c>
      <c r="K114" t="s">
        <v>299</v>
      </c>
    </row>
    <row r="115" spans="1:11" x14ac:dyDescent="0.25">
      <c r="B115" s="1" t="s">
        <v>44</v>
      </c>
      <c r="C115" s="1" t="s">
        <v>62</v>
      </c>
      <c r="D115" s="1" t="s">
        <v>483</v>
      </c>
      <c r="E115" s="1" t="s">
        <v>484</v>
      </c>
      <c r="F115" t="s">
        <v>275</v>
      </c>
      <c r="G115" t="s">
        <v>25</v>
      </c>
      <c r="H115" t="s">
        <v>62</v>
      </c>
      <c r="I115" t="s">
        <v>301</v>
      </c>
      <c r="J115" t="s">
        <v>302</v>
      </c>
    </row>
    <row r="116" spans="1:11" x14ac:dyDescent="0.25">
      <c r="B116" s="1"/>
      <c r="C116" s="1"/>
      <c r="D116" s="1"/>
      <c r="E116" s="1"/>
    </row>
    <row r="117" spans="1:11" x14ac:dyDescent="0.25">
      <c r="A117" t="s">
        <v>303</v>
      </c>
      <c r="B117" s="1" t="s">
        <v>304</v>
      </c>
      <c r="C117" s="1" t="s">
        <v>305</v>
      </c>
      <c r="D117" s="1"/>
      <c r="E117" s="1"/>
    </row>
    <row r="118" spans="1:11" x14ac:dyDescent="0.25">
      <c r="B118" s="1" t="s">
        <v>485</v>
      </c>
      <c r="C118" s="1" t="s">
        <v>486</v>
      </c>
      <c r="D118" s="1" t="s">
        <v>487</v>
      </c>
      <c r="E118" s="1"/>
    </row>
    <row r="119" spans="1:11" x14ac:dyDescent="0.25">
      <c r="B119" s="1"/>
      <c r="C119" s="1"/>
      <c r="D119" s="1"/>
      <c r="E119" s="1"/>
    </row>
    <row r="120" spans="1:11" x14ac:dyDescent="0.25">
      <c r="A120" t="s">
        <v>310</v>
      </c>
      <c r="B120" s="1" t="s">
        <v>311</v>
      </c>
      <c r="C120" s="1"/>
      <c r="D120" s="1"/>
      <c r="E120" s="1"/>
    </row>
    <row r="121" spans="1:11" x14ac:dyDescent="0.25">
      <c r="B121" s="1" t="s">
        <v>312</v>
      </c>
      <c r="C121" s="1" t="s">
        <v>313</v>
      </c>
      <c r="D121" s="1"/>
      <c r="E121" s="1"/>
    </row>
    <row r="122" spans="1:11" x14ac:dyDescent="0.25">
      <c r="B122" s="1"/>
      <c r="C122" s="1"/>
      <c r="D122" s="1"/>
      <c r="E122" s="1"/>
    </row>
    <row r="123" spans="1:11" x14ac:dyDescent="0.25">
      <c r="A123" t="s">
        <v>314</v>
      </c>
      <c r="B123" s="1" t="s">
        <v>315</v>
      </c>
      <c r="C123" s="1" t="s">
        <v>152</v>
      </c>
      <c r="D123" s="1"/>
      <c r="E123" s="1"/>
    </row>
    <row r="124" spans="1:11" x14ac:dyDescent="0.25">
      <c r="B124" s="1">
        <v>2048</v>
      </c>
      <c r="C124" s="1" t="s">
        <v>488</v>
      </c>
      <c r="D124" s="1" t="s">
        <v>489</v>
      </c>
      <c r="E124" s="1"/>
    </row>
    <row r="125" spans="1:11" x14ac:dyDescent="0.25">
      <c r="B125" s="1"/>
      <c r="C125" s="1"/>
      <c r="D125" s="1"/>
      <c r="E125" s="1"/>
    </row>
    <row r="126" spans="1:11" x14ac:dyDescent="0.25">
      <c r="A126" t="s">
        <v>316</v>
      </c>
      <c r="B126" s="1" t="s">
        <v>317</v>
      </c>
      <c r="C126" s="1" t="s">
        <v>25</v>
      </c>
      <c r="D126" s="1" t="s">
        <v>318</v>
      </c>
      <c r="E126" s="1" t="s">
        <v>319</v>
      </c>
    </row>
    <row r="127" spans="1:11" x14ac:dyDescent="0.25">
      <c r="B127" s="1" t="s">
        <v>94</v>
      </c>
      <c r="C127" s="1" t="s">
        <v>320</v>
      </c>
      <c r="D127" s="1" t="s">
        <v>319</v>
      </c>
      <c r="E127" s="1" t="s">
        <v>107</v>
      </c>
      <c r="F127" t="s">
        <v>321</v>
      </c>
      <c r="G127" t="s">
        <v>61</v>
      </c>
    </row>
    <row r="128" spans="1:11" x14ac:dyDescent="0.25">
      <c r="B128" s="1" t="s">
        <v>322</v>
      </c>
      <c r="C128" s="1" t="s">
        <v>323</v>
      </c>
      <c r="D128" s="1" t="s">
        <v>324</v>
      </c>
      <c r="E128" s="1" t="s">
        <v>325</v>
      </c>
      <c r="F128" t="s">
        <v>143</v>
      </c>
      <c r="G128" t="s">
        <v>144</v>
      </c>
      <c r="H128" t="s">
        <v>145</v>
      </c>
      <c r="I128" t="s">
        <v>25</v>
      </c>
      <c r="J128" t="s">
        <v>160</v>
      </c>
      <c r="K128" t="s">
        <v>326</v>
      </c>
    </row>
    <row r="129" spans="1:12" x14ac:dyDescent="0.25">
      <c r="B129" s="1" t="s">
        <v>44</v>
      </c>
      <c r="C129" s="1" t="s">
        <v>322</v>
      </c>
      <c r="D129" s="1" t="s">
        <v>327</v>
      </c>
      <c r="E129" s="1" t="s">
        <v>328</v>
      </c>
      <c r="F129" t="s">
        <v>325</v>
      </c>
      <c r="G129" t="s">
        <v>329</v>
      </c>
      <c r="H129" t="s">
        <v>330</v>
      </c>
      <c r="I129" t="s">
        <v>25</v>
      </c>
      <c r="J129" t="s">
        <v>329</v>
      </c>
      <c r="K129" t="s">
        <v>272</v>
      </c>
    </row>
    <row r="130" spans="1:12" x14ac:dyDescent="0.25">
      <c r="B130" s="1"/>
      <c r="C130" s="1"/>
      <c r="D130" s="1"/>
      <c r="E130" s="1"/>
    </row>
    <row r="131" spans="1:12" x14ac:dyDescent="0.25">
      <c r="A131" t="s">
        <v>331</v>
      </c>
      <c r="B131" s="1" t="s">
        <v>332</v>
      </c>
      <c r="C131" s="1" t="s">
        <v>36</v>
      </c>
      <c r="D131" s="1" t="s">
        <v>333</v>
      </c>
      <c r="E131" s="1" t="s">
        <v>334</v>
      </c>
      <c r="F131" t="s">
        <v>25</v>
      </c>
      <c r="G131" t="s">
        <v>335</v>
      </c>
      <c r="H131" t="s">
        <v>336</v>
      </c>
    </row>
    <row r="132" spans="1:12" x14ac:dyDescent="0.25">
      <c r="B132" s="1" t="s">
        <v>490</v>
      </c>
      <c r="C132" s="1" t="s">
        <v>446</v>
      </c>
      <c r="D132" s="1"/>
      <c r="E132" s="1"/>
    </row>
    <row r="133" spans="1:12" x14ac:dyDescent="0.25">
      <c r="B133" s="1" t="s">
        <v>338</v>
      </c>
      <c r="C133" s="1" t="s">
        <v>62</v>
      </c>
      <c r="D133" s="1" t="s">
        <v>193</v>
      </c>
      <c r="E133" s="1" t="s">
        <v>339</v>
      </c>
      <c r="F133" t="s">
        <v>62</v>
      </c>
      <c r="G133" t="s">
        <v>194</v>
      </c>
      <c r="H133" t="s">
        <v>195</v>
      </c>
      <c r="I133" t="s">
        <v>340</v>
      </c>
      <c r="J133" t="s">
        <v>341</v>
      </c>
      <c r="K133" t="s">
        <v>334</v>
      </c>
      <c r="L133" t="s">
        <v>333</v>
      </c>
    </row>
    <row r="134" spans="1:12" x14ac:dyDescent="0.25">
      <c r="B134" s="1" t="s">
        <v>342</v>
      </c>
      <c r="C134" s="1" t="s">
        <v>101</v>
      </c>
      <c r="D134" s="1" t="s">
        <v>491</v>
      </c>
      <c r="E134" s="1" t="s">
        <v>344</v>
      </c>
      <c r="F134" t="s">
        <v>345</v>
      </c>
      <c r="G134" t="s">
        <v>346</v>
      </c>
      <c r="H134" t="s">
        <v>347</v>
      </c>
      <c r="I134" t="s">
        <v>62</v>
      </c>
      <c r="J134" t="s">
        <v>348</v>
      </c>
      <c r="K134" t="s">
        <v>349</v>
      </c>
    </row>
    <row r="135" spans="1:12" x14ac:dyDescent="0.25">
      <c r="B135" s="1"/>
      <c r="C135" s="1"/>
      <c r="D135" s="1"/>
      <c r="E135" s="1"/>
    </row>
    <row r="136" spans="1:12" x14ac:dyDescent="0.25">
      <c r="A136" t="s">
        <v>350</v>
      </c>
      <c r="B136" s="1" t="s">
        <v>351</v>
      </c>
      <c r="C136" s="1"/>
      <c r="D136" s="1"/>
      <c r="E136" s="1"/>
    </row>
    <row r="137" spans="1:12" x14ac:dyDescent="0.25">
      <c r="B137" s="1" t="s">
        <v>492</v>
      </c>
      <c r="C137" s="1" t="s">
        <v>278</v>
      </c>
      <c r="D137" s="1" t="s">
        <v>493</v>
      </c>
      <c r="E137" s="1" t="s">
        <v>29</v>
      </c>
      <c r="F137" t="s">
        <v>21</v>
      </c>
      <c r="G137" t="s">
        <v>494</v>
      </c>
      <c r="H137" t="s">
        <v>495</v>
      </c>
    </row>
    <row r="138" spans="1:12" x14ac:dyDescent="0.25">
      <c r="B138" s="1" t="s">
        <v>354</v>
      </c>
      <c r="C138" s="1" t="s">
        <v>351</v>
      </c>
      <c r="D138" s="1" t="s">
        <v>496</v>
      </c>
      <c r="E138" s="1" t="s">
        <v>36</v>
      </c>
      <c r="F138" t="s">
        <v>51</v>
      </c>
      <c r="G138" t="s">
        <v>460</v>
      </c>
      <c r="H138" t="s">
        <v>461</v>
      </c>
      <c r="I138" t="s">
        <v>497</v>
      </c>
    </row>
    <row r="139" spans="1:12" x14ac:dyDescent="0.25">
      <c r="B139" s="1"/>
      <c r="C139" s="1"/>
      <c r="D139" s="1"/>
      <c r="E139" s="1"/>
    </row>
    <row r="140" spans="1:12" x14ac:dyDescent="0.25">
      <c r="B140" s="1"/>
      <c r="C140" s="1"/>
      <c r="D140" s="1"/>
      <c r="E140" s="1"/>
    </row>
    <row r="141" spans="1:12" x14ac:dyDescent="0.25">
      <c r="A141">
        <v>4</v>
      </c>
      <c r="B141" s="1" t="s">
        <v>361</v>
      </c>
      <c r="C141" s="1"/>
      <c r="D141" s="1"/>
      <c r="E141" s="1"/>
    </row>
    <row r="142" spans="1:12" x14ac:dyDescent="0.25">
      <c r="B142" s="1"/>
      <c r="C142" s="1"/>
      <c r="D142" s="1"/>
      <c r="E142" s="1"/>
    </row>
    <row r="143" spans="1:12" x14ac:dyDescent="0.25">
      <c r="A143" t="s">
        <v>362</v>
      </c>
      <c r="B143" s="1" t="s">
        <v>363</v>
      </c>
      <c r="C143" s="1" t="s">
        <v>364</v>
      </c>
      <c r="D143" s="1"/>
      <c r="E143" s="1"/>
    </row>
    <row r="144" spans="1:12" x14ac:dyDescent="0.25">
      <c r="B144" s="1"/>
      <c r="C144" s="1"/>
      <c r="D144" s="1"/>
      <c r="E144" s="1"/>
    </row>
    <row r="145" spans="1:6" x14ac:dyDescent="0.25">
      <c r="B145" s="1" t="s">
        <v>153</v>
      </c>
      <c r="C145" s="1">
        <f>1020</f>
        <v>1020</v>
      </c>
      <c r="D145" s="1"/>
      <c r="E145" s="1"/>
    </row>
    <row r="146" spans="1:6" x14ac:dyDescent="0.25">
      <c r="B146" s="1"/>
      <c r="C146" s="1"/>
      <c r="D146" s="1"/>
      <c r="E146" s="1"/>
    </row>
    <row r="147" spans="1:6" x14ac:dyDescent="0.25">
      <c r="A147" t="s">
        <v>365</v>
      </c>
      <c r="B147" s="1" t="s">
        <v>366</v>
      </c>
      <c r="C147" s="1" t="s">
        <v>159</v>
      </c>
      <c r="D147" s="1" t="s">
        <v>367</v>
      </c>
      <c r="E147" s="1"/>
    </row>
    <row r="148" spans="1:6" x14ac:dyDescent="0.25">
      <c r="B148" s="1"/>
      <c r="C148" s="1"/>
      <c r="D148" s="1"/>
      <c r="E148" s="1"/>
    </row>
    <row r="149" spans="1:6" x14ac:dyDescent="0.25">
      <c r="B149" s="1" t="s">
        <v>149</v>
      </c>
      <c r="C149" s="1">
        <f>41441</f>
        <v>41441</v>
      </c>
      <c r="D149" s="1"/>
      <c r="E149" s="1"/>
    </row>
    <row r="150" spans="1:6" x14ac:dyDescent="0.25">
      <c r="B150" s="1"/>
      <c r="C150" s="1"/>
      <c r="D150" s="1"/>
      <c r="E150" s="1"/>
    </row>
    <row r="151" spans="1:6" x14ac:dyDescent="0.25">
      <c r="B151" s="1"/>
      <c r="C151" s="1"/>
      <c r="D151" s="1"/>
      <c r="E151" s="1"/>
    </row>
    <row r="152" spans="1:6" x14ac:dyDescent="0.25">
      <c r="A152">
        <v>5</v>
      </c>
      <c r="B152" s="1" t="s">
        <v>224</v>
      </c>
      <c r="C152" s="1" t="s">
        <v>368</v>
      </c>
      <c r="D152" s="1"/>
      <c r="E152" s="1"/>
    </row>
    <row r="153" spans="1:6" x14ac:dyDescent="0.25">
      <c r="B153" s="1"/>
      <c r="C153" s="1"/>
      <c r="D153" s="1"/>
      <c r="E153" s="1"/>
    </row>
    <row r="154" spans="1:6" x14ac:dyDescent="0.25">
      <c r="B154" s="1" t="s">
        <v>369</v>
      </c>
      <c r="C154" s="1" t="s">
        <v>370</v>
      </c>
      <c r="D154" s="1" t="s">
        <v>161</v>
      </c>
      <c r="E154" s="1" t="s">
        <v>371</v>
      </c>
      <c r="F154" t="s">
        <v>372</v>
      </c>
    </row>
    <row r="155" spans="1:6" x14ac:dyDescent="0.25">
      <c r="A155">
        <v>1</v>
      </c>
      <c r="B155" s="1">
        <v>0.153945</v>
      </c>
      <c r="C155" s="1">
        <v>0.153892</v>
      </c>
      <c r="D155" s="1">
        <v>4.1021299999999998E-3</v>
      </c>
      <c r="E155" s="1">
        <v>1.7276500000000001E-3</v>
      </c>
    </row>
    <row r="156" spans="1:6" x14ac:dyDescent="0.25">
      <c r="A156">
        <v>2</v>
      </c>
      <c r="B156" s="1">
        <v>0.46582699999999999</v>
      </c>
      <c r="C156" s="1">
        <v>0.46556199999999998</v>
      </c>
      <c r="D156" s="1">
        <v>3.7274700000000001E-2</v>
      </c>
      <c r="E156" s="1">
        <v>1.4319800000000001E-2</v>
      </c>
    </row>
    <row r="157" spans="1:6" x14ac:dyDescent="0.25">
      <c r="A157">
        <v>3</v>
      </c>
      <c r="B157" s="1">
        <v>0.78633399999999998</v>
      </c>
      <c r="C157" s="1">
        <v>0.78567699999999996</v>
      </c>
      <c r="D157" s="1">
        <v>0.105683</v>
      </c>
      <c r="E157" s="1">
        <v>3.7686699999999997E-2</v>
      </c>
    </row>
    <row r="158" spans="1:6" x14ac:dyDescent="0.25">
      <c r="A158">
        <v>4</v>
      </c>
      <c r="B158" s="1">
        <v>1.11676</v>
      </c>
      <c r="C158" s="1">
        <v>1.11537</v>
      </c>
      <c r="D158" s="1">
        <v>0.212148</v>
      </c>
      <c r="E158" s="1">
        <v>7.0357000000000003E-2</v>
      </c>
    </row>
    <row r="159" spans="1:6" x14ac:dyDescent="0.25">
      <c r="A159">
        <v>5</v>
      </c>
      <c r="B159" s="1">
        <v>1.45842</v>
      </c>
      <c r="C159" s="1">
        <v>1.4556800000000001</v>
      </c>
      <c r="D159" s="1">
        <v>0.35984899999999997</v>
      </c>
      <c r="E159" s="1">
        <v>0.111056</v>
      </c>
    </row>
    <row r="160" spans="1:6" x14ac:dyDescent="0.25">
      <c r="A160">
        <v>6</v>
      </c>
      <c r="B160" s="1">
        <v>1.81264</v>
      </c>
      <c r="C160" s="1">
        <v>1.80749</v>
      </c>
      <c r="D160" s="1">
        <v>0.55200400000000005</v>
      </c>
      <c r="E160" s="1">
        <v>0.15865299999999999</v>
      </c>
    </row>
    <row r="161" spans="1:6" x14ac:dyDescent="0.25">
      <c r="A161">
        <v>7</v>
      </c>
      <c r="B161" s="1">
        <v>2.1807599999999998</v>
      </c>
      <c r="C161" s="1">
        <v>2.1715100000000001</v>
      </c>
      <c r="D161" s="1">
        <v>0.79148399999999997</v>
      </c>
      <c r="E161" s="1">
        <v>0.212121</v>
      </c>
    </row>
    <row r="162" spans="1:6" x14ac:dyDescent="0.25">
      <c r="A162">
        <v>8</v>
      </c>
      <c r="B162" s="1">
        <v>2.5641400000000001</v>
      </c>
      <c r="C162" s="1">
        <v>2.5482200000000002</v>
      </c>
      <c r="D162" s="1">
        <v>1.0803499999999999</v>
      </c>
      <c r="E162" s="1">
        <v>0.27052500000000002</v>
      </c>
    </row>
    <row r="163" spans="1:6" x14ac:dyDescent="0.25">
      <c r="A163">
        <v>9</v>
      </c>
      <c r="B163" s="1">
        <v>2.9641299999999999</v>
      </c>
      <c r="C163" s="1">
        <v>2.9378000000000002</v>
      </c>
      <c r="D163" s="1">
        <v>1.4193499999999999</v>
      </c>
      <c r="E163" s="1">
        <v>0.333007</v>
      </c>
    </row>
    <row r="164" spans="1:6" x14ac:dyDescent="0.25">
      <c r="A164">
        <v>10</v>
      </c>
      <c r="B164" s="1">
        <v>3.38212</v>
      </c>
      <c r="C164" s="1">
        <v>3.3401299999999998</v>
      </c>
      <c r="D164" s="1">
        <v>1.8075000000000001</v>
      </c>
      <c r="E164" s="1">
        <v>0.39878599999999997</v>
      </c>
    </row>
    <row r="165" spans="1:6" x14ac:dyDescent="0.25">
      <c r="A165">
        <v>11</v>
      </c>
      <c r="B165" s="1">
        <v>3.8194699999999999</v>
      </c>
      <c r="C165" s="1">
        <v>3.75468</v>
      </c>
      <c r="D165" s="1">
        <v>2.2416800000000001</v>
      </c>
      <c r="E165" s="1">
        <v>0.46716200000000002</v>
      </c>
    </row>
    <row r="166" spans="1:6" x14ac:dyDescent="0.25">
      <c r="A166">
        <v>12</v>
      </c>
      <c r="B166" s="1">
        <v>4.2775699999999999</v>
      </c>
      <c r="C166" s="1">
        <v>4.1805599999999998</v>
      </c>
      <c r="D166" s="1">
        <v>2.71644</v>
      </c>
      <c r="E166" s="1">
        <v>0.53752</v>
      </c>
    </row>
    <row r="167" spans="1:6" x14ac:dyDescent="0.25">
      <c r="A167">
        <v>13</v>
      </c>
      <c r="B167" s="1">
        <v>4.7577800000000003</v>
      </c>
      <c r="C167" s="1">
        <v>4.6164699999999996</v>
      </c>
      <c r="D167" s="1">
        <v>3.2240500000000001</v>
      </c>
      <c r="E167" s="1">
        <v>0.60933400000000004</v>
      </c>
    </row>
    <row r="168" spans="1:6" x14ac:dyDescent="0.25">
      <c r="A168">
        <v>14</v>
      </c>
      <c r="B168" s="1">
        <v>5.2614799999999997</v>
      </c>
      <c r="C168" s="1">
        <v>5.0607100000000003</v>
      </c>
      <c r="D168" s="1">
        <v>3.7546900000000001</v>
      </c>
      <c r="E168" s="1">
        <v>0.68216600000000005</v>
      </c>
    </row>
    <row r="169" spans="1:6" x14ac:dyDescent="0.25">
      <c r="A169">
        <v>15</v>
      </c>
      <c r="B169" s="1">
        <v>5.7900499999999999</v>
      </c>
      <c r="C169" s="1">
        <v>5.5112399999999999</v>
      </c>
      <c r="D169" s="1">
        <v>4.29697</v>
      </c>
      <c r="E169" s="1">
        <v>0.75565800000000005</v>
      </c>
    </row>
    <row r="170" spans="1:6" x14ac:dyDescent="0.25">
      <c r="A170">
        <v>16</v>
      </c>
      <c r="B170" s="1">
        <v>6.3448399999999996</v>
      </c>
      <c r="C170" s="1">
        <v>5.9656900000000004</v>
      </c>
      <c r="D170" s="1">
        <v>4.8385699999999998</v>
      </c>
      <c r="E170" s="1">
        <v>0.82952300000000001</v>
      </c>
    </row>
    <row r="171" spans="1:6" x14ac:dyDescent="0.25">
      <c r="A171">
        <v>17</v>
      </c>
      <c r="B171" s="1">
        <v>6.9272099999999996</v>
      </c>
      <c r="C171" s="1">
        <v>6.4215099999999996</v>
      </c>
      <c r="D171" s="1">
        <v>5.3669500000000001</v>
      </c>
      <c r="E171" s="1">
        <v>0.90352699999999997</v>
      </c>
    </row>
    <row r="172" spans="1:6" x14ac:dyDescent="0.25">
      <c r="A172">
        <v>18</v>
      </c>
      <c r="B172" s="1">
        <v>7.5385099999999996</v>
      </c>
      <c r="C172" s="1">
        <v>6.87601</v>
      </c>
      <c r="D172" s="1">
        <v>5.87019</v>
      </c>
      <c r="E172" s="1">
        <v>0.977464</v>
      </c>
      <c r="F172" s="1"/>
    </row>
    <row r="173" spans="1:6" x14ac:dyDescent="0.25">
      <c r="A173">
        <v>19</v>
      </c>
      <c r="B173" s="1">
        <v>8.1800700000000006</v>
      </c>
      <c r="C173" s="1">
        <v>7.3264500000000004</v>
      </c>
      <c r="D173" s="1">
        <v>6.3376200000000003</v>
      </c>
      <c r="E173" s="1">
        <v>1.05114</v>
      </c>
      <c r="F173" s="1"/>
    </row>
    <row r="174" spans="1:6" x14ac:dyDescent="0.25">
      <c r="A174">
        <v>20</v>
      </c>
      <c r="B174" s="1">
        <v>8.8532100000000007</v>
      </c>
      <c r="C174" s="1">
        <v>7.7701900000000004</v>
      </c>
      <c r="D174" s="1">
        <v>6.7603799999999996</v>
      </c>
      <c r="E174" s="1">
        <v>1.12435</v>
      </c>
      <c r="F174" s="1"/>
    </row>
    <row r="175" spans="1:6" x14ac:dyDescent="0.25">
      <c r="A175">
        <v>21</v>
      </c>
      <c r="B175" s="1">
        <v>9.5592299999999994</v>
      </c>
      <c r="C175" s="1">
        <v>8.2047699999999999</v>
      </c>
      <c r="D175" s="1">
        <v>7.1317599999999999</v>
      </c>
      <c r="E175" s="1">
        <v>1.19686</v>
      </c>
      <c r="F175" s="1"/>
    </row>
    <row r="176" spans="1:6" x14ac:dyDescent="0.25">
      <c r="A176">
        <v>22</v>
      </c>
      <c r="B176" s="1">
        <v>10.2994</v>
      </c>
      <c r="C176" s="1">
        <v>8.6279500000000002</v>
      </c>
      <c r="D176" s="1">
        <v>7.4473799999999999</v>
      </c>
      <c r="E176" s="1">
        <v>1.2683899999999999</v>
      </c>
      <c r="F176" s="1"/>
    </row>
    <row r="177" spans="1:6" x14ac:dyDescent="0.25">
      <c r="A177">
        <v>23</v>
      </c>
      <c r="B177" s="1">
        <v>11.074999999999999</v>
      </c>
      <c r="C177" s="1">
        <v>9.0378399999999992</v>
      </c>
      <c r="D177" s="1">
        <v>7.7050799999999997</v>
      </c>
      <c r="E177" s="1">
        <v>1.3386499999999999</v>
      </c>
      <c r="F177" s="1"/>
    </row>
    <row r="178" spans="1:6" x14ac:dyDescent="0.25">
      <c r="A178">
        <v>24</v>
      </c>
      <c r="B178" s="1">
        <v>11.8874</v>
      </c>
      <c r="C178" s="1">
        <v>9.4328800000000008</v>
      </c>
      <c r="D178" s="1">
        <v>7.9047900000000002</v>
      </c>
      <c r="E178" s="1">
        <v>1.4072800000000001</v>
      </c>
      <c r="F178" s="1"/>
    </row>
    <row r="179" spans="1:6" x14ac:dyDescent="0.25">
      <c r="A179">
        <v>25</v>
      </c>
      <c r="B179" s="1">
        <v>12.7376</v>
      </c>
      <c r="C179" s="1">
        <v>9.8118800000000004</v>
      </c>
      <c r="D179" s="1">
        <v>8.0481499999999997</v>
      </c>
      <c r="E179" s="1">
        <v>1.47393</v>
      </c>
      <c r="F179" s="1"/>
    </row>
    <row r="180" spans="1:6" x14ac:dyDescent="0.25">
      <c r="A180">
        <v>26</v>
      </c>
      <c r="B180" s="1">
        <v>13.626899999999999</v>
      </c>
      <c r="C180" s="1">
        <v>10.173999999999999</v>
      </c>
      <c r="D180" s="1">
        <v>8.1382200000000005</v>
      </c>
      <c r="E180" s="1">
        <v>1.5382199999999999</v>
      </c>
      <c r="F180" s="1"/>
    </row>
    <row r="181" spans="1:6" x14ac:dyDescent="0.25">
      <c r="A181">
        <v>27</v>
      </c>
      <c r="B181" s="1">
        <v>14.5565</v>
      </c>
      <c r="C181" s="1">
        <v>10.5189</v>
      </c>
      <c r="D181" s="1">
        <v>8.1790900000000004</v>
      </c>
      <c r="E181" s="1">
        <v>1.59981</v>
      </c>
      <c r="F181" s="1"/>
    </row>
    <row r="182" spans="1:6" x14ac:dyDescent="0.25">
      <c r="A182">
        <v>28</v>
      </c>
      <c r="B182" s="1">
        <v>15.5276</v>
      </c>
      <c r="C182" s="1">
        <v>10.846299999999999</v>
      </c>
      <c r="D182" s="1">
        <v>8.1755499999999994</v>
      </c>
      <c r="E182" s="1">
        <v>1.6583600000000001</v>
      </c>
      <c r="F182" s="1"/>
    </row>
    <row r="183" spans="1:6" x14ac:dyDescent="0.25">
      <c r="A183">
        <v>29</v>
      </c>
      <c r="B183" s="1">
        <v>16.5412</v>
      </c>
      <c r="C183" s="1">
        <v>11.1563</v>
      </c>
      <c r="D183" s="1">
        <v>8.1327700000000007</v>
      </c>
      <c r="E183" s="1">
        <v>1.7135800000000001</v>
      </c>
      <c r="F183" s="1"/>
    </row>
    <row r="184" spans="1:6" x14ac:dyDescent="0.25">
      <c r="A184">
        <v>30</v>
      </c>
      <c r="B184" s="1">
        <v>17.598500000000001</v>
      </c>
      <c r="C184" s="1">
        <v>11.449299999999999</v>
      </c>
      <c r="D184" s="1">
        <v>8.0560700000000001</v>
      </c>
      <c r="E184" s="1">
        <v>1.76525</v>
      </c>
      <c r="F184" s="1"/>
    </row>
    <row r="185" spans="1:6" x14ac:dyDescent="0.25">
      <c r="A185">
        <v>31</v>
      </c>
      <c r="B185" s="1">
        <v>18.700500000000002</v>
      </c>
      <c r="C185" s="1">
        <v>11.7258</v>
      </c>
      <c r="D185" s="1">
        <v>7.9507399999999997</v>
      </c>
      <c r="E185" s="1">
        <v>1.8131999999999999</v>
      </c>
      <c r="F185" s="1"/>
    </row>
    <row r="186" spans="1:6" x14ac:dyDescent="0.25">
      <c r="A186">
        <v>32</v>
      </c>
      <c r="B186" s="1">
        <v>19.848400000000002</v>
      </c>
      <c r="C186" s="1">
        <v>11.9864</v>
      </c>
      <c r="D186" s="1">
        <v>7.82186</v>
      </c>
      <c r="E186" s="1">
        <v>1.8573299999999999</v>
      </c>
      <c r="F186" s="1"/>
    </row>
    <row r="187" spans="1:6" x14ac:dyDescent="0.25">
      <c r="A187">
        <v>33</v>
      </c>
      <c r="B187" s="1">
        <v>21.042999999999999</v>
      </c>
      <c r="C187" s="1">
        <v>12.2319</v>
      </c>
      <c r="D187" s="1">
        <v>7.6742100000000004</v>
      </c>
      <c r="E187" s="1">
        <v>1.8975900000000001</v>
      </c>
      <c r="F187" s="1"/>
    </row>
    <row r="188" spans="1:6" x14ac:dyDescent="0.25">
      <c r="A188">
        <v>34</v>
      </c>
      <c r="B188" s="1">
        <v>22.285499999999999</v>
      </c>
      <c r="C188" s="1">
        <v>12.463200000000001</v>
      </c>
      <c r="D188" s="1">
        <v>7.5122200000000001</v>
      </c>
      <c r="E188" s="1">
        <v>1.93401</v>
      </c>
      <c r="F188" s="1"/>
    </row>
    <row r="189" spans="1:6" x14ac:dyDescent="0.25">
      <c r="A189">
        <v>35</v>
      </c>
      <c r="B189" s="1">
        <v>23.576599999999999</v>
      </c>
      <c r="C189" s="1">
        <v>12.681100000000001</v>
      </c>
      <c r="D189" s="1">
        <v>7.33988</v>
      </c>
      <c r="E189" s="1">
        <v>1.9666600000000001</v>
      </c>
      <c r="F189" s="1"/>
    </row>
    <row r="190" spans="1:6" x14ac:dyDescent="0.25">
      <c r="A190">
        <v>36</v>
      </c>
      <c r="B190" s="1">
        <v>24.9175</v>
      </c>
      <c r="C190" s="1">
        <v>12.8864</v>
      </c>
      <c r="D190" s="1">
        <v>7.1607500000000002</v>
      </c>
      <c r="E190" s="1">
        <v>1.9956400000000001</v>
      </c>
      <c r="F190" s="1"/>
    </row>
    <row r="191" spans="1:6" x14ac:dyDescent="0.25">
      <c r="A191">
        <v>37</v>
      </c>
      <c r="B191" s="1">
        <v>26.308900000000001</v>
      </c>
      <c r="C191" s="1">
        <v>13.0801</v>
      </c>
      <c r="D191" s="1">
        <v>6.9779499999999999</v>
      </c>
      <c r="E191" s="1">
        <v>2.0211000000000001</v>
      </c>
      <c r="F191" s="1"/>
    </row>
    <row r="192" spans="1:6" x14ac:dyDescent="0.25">
      <c r="A192">
        <v>38</v>
      </c>
      <c r="B192" s="1">
        <v>27.7517</v>
      </c>
      <c r="C192" s="1">
        <v>13.263</v>
      </c>
      <c r="D192" s="1">
        <v>6.7941700000000003</v>
      </c>
      <c r="E192" s="1">
        <v>2.0431900000000001</v>
      </c>
      <c r="F192" s="1"/>
    </row>
    <row r="193" spans="1:6" x14ac:dyDescent="0.25">
      <c r="A193">
        <v>39</v>
      </c>
      <c r="B193" s="1">
        <v>29.246700000000001</v>
      </c>
      <c r="C193" s="1">
        <v>13.4359</v>
      </c>
      <c r="D193" s="1">
        <v>6.6116799999999998</v>
      </c>
      <c r="E193" s="1">
        <v>2.0621</v>
      </c>
      <c r="F193" s="1"/>
    </row>
    <row r="194" spans="1:6" x14ac:dyDescent="0.25">
      <c r="A194">
        <v>40</v>
      </c>
      <c r="B194" s="1">
        <v>30.794799999999999</v>
      </c>
      <c r="C194" s="1">
        <v>13.5997</v>
      </c>
      <c r="D194" s="1">
        <v>6.4323399999999999</v>
      </c>
      <c r="E194" s="1">
        <v>2.0779999999999998</v>
      </c>
      <c r="F194" s="1"/>
    </row>
    <row r="195" spans="1:6" x14ac:dyDescent="0.25">
      <c r="A195">
        <v>41</v>
      </c>
      <c r="B195" s="1">
        <v>32.396700000000003</v>
      </c>
      <c r="C195" s="1">
        <v>13.7552</v>
      </c>
      <c r="D195" s="1">
        <v>6.2576799999999997</v>
      </c>
      <c r="E195" s="1">
        <v>2.0910799999999998</v>
      </c>
      <c r="F195" s="1"/>
    </row>
    <row r="196" spans="1:6" x14ac:dyDescent="0.25">
      <c r="A196">
        <v>42</v>
      </c>
      <c r="B196" s="1">
        <v>34.053100000000001</v>
      </c>
      <c r="C196" s="1">
        <v>13.903</v>
      </c>
      <c r="D196" s="1">
        <v>6.0888499999999999</v>
      </c>
      <c r="E196" s="1">
        <v>2.1014900000000001</v>
      </c>
      <c r="F196" s="1"/>
    </row>
    <row r="197" spans="1:6" x14ac:dyDescent="0.25">
      <c r="A197">
        <v>43</v>
      </c>
      <c r="B197" s="1">
        <v>35.764699999999998</v>
      </c>
      <c r="C197" s="1">
        <v>14.043799999999999</v>
      </c>
      <c r="D197" s="1">
        <v>5.9267700000000003</v>
      </c>
      <c r="E197" s="1">
        <v>2.10941</v>
      </c>
      <c r="F197" s="1"/>
    </row>
    <row r="198" spans="1:6" x14ac:dyDescent="0.25">
      <c r="A198">
        <v>44</v>
      </c>
      <c r="B198" s="1">
        <v>37.532200000000003</v>
      </c>
      <c r="C198" s="1">
        <v>14.1784</v>
      </c>
      <c r="D198" s="1">
        <v>5.7720599999999997</v>
      </c>
      <c r="E198" s="1">
        <v>2.1150099999999998</v>
      </c>
      <c r="F198" s="1"/>
    </row>
    <row r="199" spans="1:6" x14ac:dyDescent="0.25">
      <c r="A199">
        <v>45</v>
      </c>
      <c r="B199" s="1">
        <v>39.356200000000001</v>
      </c>
      <c r="C199" s="1">
        <v>14.3073</v>
      </c>
      <c r="D199" s="1">
        <v>5.6251199999999999</v>
      </c>
      <c r="E199" s="1">
        <v>2.11843</v>
      </c>
      <c r="F199" s="1"/>
    </row>
    <row r="200" spans="1:6" x14ac:dyDescent="0.25">
      <c r="A200">
        <v>46</v>
      </c>
      <c r="B200" s="1">
        <v>41.237200000000001</v>
      </c>
      <c r="C200" s="1">
        <v>14.430999999999999</v>
      </c>
      <c r="D200" s="1">
        <v>5.4861399999999998</v>
      </c>
      <c r="E200" s="1">
        <v>2.1198399999999999</v>
      </c>
      <c r="F200" s="1"/>
    </row>
    <row r="201" spans="1:6" x14ac:dyDescent="0.25">
      <c r="A201">
        <v>47</v>
      </c>
      <c r="B201" s="1">
        <v>43.175800000000002</v>
      </c>
      <c r="C201" s="1">
        <v>14.5502</v>
      </c>
      <c r="D201" s="1">
        <v>5.3551900000000003</v>
      </c>
      <c r="E201" s="1">
        <v>2.1193499999999998</v>
      </c>
      <c r="F201" s="1"/>
    </row>
    <row r="202" spans="1:6" x14ac:dyDescent="0.25">
      <c r="A202">
        <v>48</v>
      </c>
      <c r="B202" s="1">
        <v>45.172600000000003</v>
      </c>
      <c r="C202" s="1">
        <v>14.6652</v>
      </c>
      <c r="D202" s="1">
        <v>5.2321999999999997</v>
      </c>
      <c r="E202" s="1">
        <v>2.1171000000000002</v>
      </c>
      <c r="F202" s="1"/>
    </row>
    <row r="203" spans="1:6" x14ac:dyDescent="0.25">
      <c r="A203">
        <v>49</v>
      </c>
      <c r="B203" s="1">
        <v>47.228000000000002</v>
      </c>
      <c r="C203" s="1">
        <v>14.776400000000001</v>
      </c>
      <c r="D203" s="1">
        <v>5.1170099999999996</v>
      </c>
      <c r="E203" s="1">
        <v>2.1131899999999999</v>
      </c>
      <c r="F203" s="1"/>
    </row>
    <row r="204" spans="1:6" x14ac:dyDescent="0.25">
      <c r="A204">
        <v>50</v>
      </c>
      <c r="B204" s="1">
        <v>49.342500000000001</v>
      </c>
      <c r="C204" s="1">
        <v>14.884399999999999</v>
      </c>
      <c r="D204" s="1">
        <v>5.0093899999999998</v>
      </c>
      <c r="E204" s="1">
        <v>2.1077400000000002</v>
      </c>
      <c r="F204" s="1"/>
    </row>
    <row r="205" spans="1:6" x14ac:dyDescent="0.25">
      <c r="A205">
        <v>51</v>
      </c>
      <c r="B205" s="1">
        <v>51.516399999999997</v>
      </c>
      <c r="C205" s="1">
        <v>14.9894</v>
      </c>
      <c r="D205" s="1">
        <v>4.9090600000000002</v>
      </c>
      <c r="E205" s="1">
        <v>2.1008599999999999</v>
      </c>
      <c r="F205" s="1"/>
    </row>
    <row r="206" spans="1:6" x14ac:dyDescent="0.25">
      <c r="A206">
        <v>52</v>
      </c>
      <c r="B206" s="1">
        <v>53.7502</v>
      </c>
      <c r="C206" s="1">
        <v>15.091699999999999</v>
      </c>
      <c r="D206" s="1">
        <v>4.8157300000000003</v>
      </c>
      <c r="E206" s="1">
        <v>2.0926800000000001</v>
      </c>
      <c r="F206" s="1"/>
    </row>
    <row r="207" spans="1:6" x14ac:dyDescent="0.25">
      <c r="A207">
        <v>53</v>
      </c>
      <c r="B207" s="1">
        <v>56.044199999999996</v>
      </c>
      <c r="C207" s="1">
        <v>15.191599999999999</v>
      </c>
      <c r="D207" s="1">
        <v>4.7290400000000004</v>
      </c>
      <c r="E207" s="1">
        <v>2.0833200000000001</v>
      </c>
      <c r="F207" s="1"/>
    </row>
    <row r="208" spans="1:6" x14ac:dyDescent="0.25">
      <c r="A208">
        <v>54</v>
      </c>
      <c r="B208" s="1">
        <v>58.398600000000002</v>
      </c>
      <c r="C208" s="1">
        <v>15.289300000000001</v>
      </c>
      <c r="D208" s="1">
        <v>4.6486400000000003</v>
      </c>
      <c r="E208" s="1">
        <v>2.07294</v>
      </c>
      <c r="F208" s="1"/>
    </row>
    <row r="209" spans="1:6" x14ac:dyDescent="0.25">
      <c r="A209">
        <v>55</v>
      </c>
      <c r="B209" s="1">
        <v>60.813899999999997</v>
      </c>
      <c r="C209" s="1">
        <v>15.3851</v>
      </c>
      <c r="D209" s="1">
        <v>4.5741300000000003</v>
      </c>
      <c r="E209" s="1">
        <v>2.0616300000000001</v>
      </c>
      <c r="F209" s="1"/>
    </row>
    <row r="210" spans="1:6" x14ac:dyDescent="0.25">
      <c r="A210">
        <v>56</v>
      </c>
      <c r="B210" s="1">
        <v>63.290100000000002</v>
      </c>
      <c r="C210" s="1">
        <v>15.479100000000001</v>
      </c>
      <c r="D210" s="1">
        <v>4.5050699999999999</v>
      </c>
      <c r="E210" s="1">
        <v>2.0495199999999998</v>
      </c>
      <c r="F210" s="1"/>
    </row>
    <row r="211" spans="1:6" x14ac:dyDescent="0.25">
      <c r="A211">
        <v>57</v>
      </c>
      <c r="B211" s="1">
        <v>65.827600000000004</v>
      </c>
      <c r="C211" s="1">
        <v>15.5715</v>
      </c>
      <c r="D211" s="1">
        <v>4.4410499999999997</v>
      </c>
      <c r="E211" s="1">
        <v>2.0366900000000001</v>
      </c>
      <c r="F211" s="1"/>
    </row>
    <row r="212" spans="1:6" x14ac:dyDescent="0.25">
      <c r="A212">
        <v>58</v>
      </c>
      <c r="B212" s="1">
        <v>68.426400000000001</v>
      </c>
      <c r="C212" s="1">
        <v>15.6625</v>
      </c>
      <c r="D212" s="1">
        <v>4.3816600000000001</v>
      </c>
      <c r="E212" s="1">
        <v>2.0232399999999999</v>
      </c>
      <c r="F212" s="1"/>
    </row>
    <row r="213" spans="1:6" x14ac:dyDescent="0.25">
      <c r="A213">
        <v>59</v>
      </c>
      <c r="B213" s="1">
        <v>71.086799999999997</v>
      </c>
      <c r="C213" s="1">
        <v>15.7521</v>
      </c>
      <c r="D213" s="1">
        <v>4.3265200000000004</v>
      </c>
      <c r="E213" s="1">
        <v>2.0092599999999998</v>
      </c>
      <c r="F213" s="1"/>
    </row>
    <row r="214" spans="1:6" x14ac:dyDescent="0.25">
      <c r="A214">
        <v>60</v>
      </c>
      <c r="B214" s="1">
        <v>73.808800000000005</v>
      </c>
      <c r="C214" s="1">
        <v>15.8405</v>
      </c>
      <c r="D214" s="1">
        <v>4.2752400000000002</v>
      </c>
      <c r="E214" s="1">
        <v>1.9948399999999999</v>
      </c>
      <c r="F214" s="1"/>
    </row>
    <row r="215" spans="1:6" x14ac:dyDescent="0.25">
      <c r="A215">
        <v>61</v>
      </c>
      <c r="B215" s="1">
        <v>76.592399999999998</v>
      </c>
      <c r="C215" s="1">
        <v>15.9277</v>
      </c>
      <c r="D215" s="1">
        <v>4.2274500000000002</v>
      </c>
      <c r="E215" s="1">
        <v>1.98003</v>
      </c>
      <c r="F215" s="1"/>
    </row>
    <row r="216" spans="1:6" x14ac:dyDescent="0.25">
      <c r="A216">
        <v>62</v>
      </c>
      <c r="B216" s="1">
        <v>79.437799999999996</v>
      </c>
      <c r="C216" s="1">
        <v>16.0139</v>
      </c>
      <c r="D216" s="1">
        <v>4.1828099999999999</v>
      </c>
      <c r="E216" s="1">
        <v>1.96489</v>
      </c>
      <c r="F216" s="1"/>
    </row>
    <row r="217" spans="1:6" x14ac:dyDescent="0.25">
      <c r="A217">
        <v>63</v>
      </c>
      <c r="B217" s="1">
        <v>82.344899999999996</v>
      </c>
      <c r="C217" s="1">
        <v>16.0991</v>
      </c>
      <c r="D217" s="1">
        <v>4.141</v>
      </c>
      <c r="E217" s="1">
        <v>1.9494899999999999</v>
      </c>
      <c r="F217" s="1"/>
    </row>
    <row r="218" spans="1:6" x14ac:dyDescent="0.25">
      <c r="A218">
        <v>64</v>
      </c>
      <c r="B218" s="1">
        <v>85.313800000000001</v>
      </c>
      <c r="C218" s="1">
        <v>16.183399999999999</v>
      </c>
      <c r="D218" s="1">
        <v>4.1017400000000004</v>
      </c>
      <c r="E218" s="1">
        <v>1.9339</v>
      </c>
      <c r="F218" s="1"/>
    </row>
    <row r="219" spans="1:6" x14ac:dyDescent="0.25">
      <c r="A219">
        <v>65</v>
      </c>
      <c r="B219" s="1">
        <v>88.344200000000001</v>
      </c>
      <c r="C219" s="1">
        <v>16.2668</v>
      </c>
      <c r="D219" s="1">
        <v>4.0647599999999997</v>
      </c>
      <c r="E219" s="1">
        <v>1.91818</v>
      </c>
      <c r="F219" s="1"/>
    </row>
    <row r="220" spans="1:6" x14ac:dyDescent="0.25">
      <c r="A220">
        <v>66</v>
      </c>
      <c r="B220" s="1">
        <v>91.436199999999999</v>
      </c>
      <c r="C220" s="1">
        <v>16.349399999999999</v>
      </c>
      <c r="D220" s="1">
        <v>4.0297900000000002</v>
      </c>
      <c r="E220" s="1">
        <v>1.9024000000000001</v>
      </c>
      <c r="F220" s="1"/>
    </row>
    <row r="221" spans="1:6" x14ac:dyDescent="0.25">
      <c r="A221">
        <v>67</v>
      </c>
      <c r="B221" s="1">
        <v>94.589699999999993</v>
      </c>
      <c r="C221" s="1">
        <v>16.4313</v>
      </c>
      <c r="D221" s="1">
        <v>3.9965999999999999</v>
      </c>
      <c r="E221" s="1">
        <v>1.8866400000000001</v>
      </c>
      <c r="F221" s="1"/>
    </row>
    <row r="222" spans="1:6" x14ac:dyDescent="0.25">
      <c r="A222">
        <v>68</v>
      </c>
      <c r="B222" s="1">
        <v>97.804400000000001</v>
      </c>
      <c r="C222" s="1">
        <v>16.5123</v>
      </c>
      <c r="D222" s="1">
        <v>3.9649800000000002</v>
      </c>
      <c r="E222" s="1">
        <v>1.87093</v>
      </c>
      <c r="F222" s="1"/>
    </row>
    <row r="223" spans="1:6" x14ac:dyDescent="0.25">
      <c r="A223">
        <v>69</v>
      </c>
      <c r="B223" s="1">
        <v>101.08</v>
      </c>
      <c r="C223" s="1">
        <v>16.592700000000001</v>
      </c>
      <c r="D223" s="1">
        <v>3.9347099999999999</v>
      </c>
      <c r="E223" s="1">
        <v>1.8552999999999999</v>
      </c>
      <c r="F223" s="1"/>
    </row>
    <row r="224" spans="1:6" x14ac:dyDescent="0.25">
      <c r="A224">
        <v>70</v>
      </c>
      <c r="B224" s="1">
        <v>104.417</v>
      </c>
      <c r="C224" s="1">
        <v>16.6723</v>
      </c>
      <c r="D224" s="1">
        <v>3.9056199999999999</v>
      </c>
      <c r="E224" s="1">
        <v>1.8397699999999999</v>
      </c>
      <c r="F224" s="1"/>
    </row>
    <row r="225" spans="1:6" x14ac:dyDescent="0.25">
      <c r="A225">
        <v>71</v>
      </c>
      <c r="B225" s="1">
        <v>107.81399999999999</v>
      </c>
      <c r="C225" s="1">
        <v>16.751200000000001</v>
      </c>
      <c r="D225" s="1">
        <v>3.8775599999999999</v>
      </c>
      <c r="E225" s="1">
        <v>1.8244</v>
      </c>
      <c r="F225" s="1"/>
    </row>
    <row r="226" spans="1:6" x14ac:dyDescent="0.25">
      <c r="A226">
        <v>72</v>
      </c>
      <c r="B226" s="1">
        <v>111.27200000000001</v>
      </c>
      <c r="C226" s="1">
        <v>16.8294</v>
      </c>
      <c r="D226" s="1">
        <v>3.8504</v>
      </c>
      <c r="E226" s="1">
        <v>1.8092299999999999</v>
      </c>
      <c r="F226" s="1"/>
    </row>
    <row r="227" spans="1:6" x14ac:dyDescent="0.25">
      <c r="A227">
        <v>73</v>
      </c>
      <c r="B227" s="1">
        <v>114.79</v>
      </c>
      <c r="C227" s="1">
        <v>16.9069</v>
      </c>
      <c r="D227" s="1">
        <v>3.8240500000000002</v>
      </c>
      <c r="E227" s="1">
        <v>1.79427</v>
      </c>
      <c r="F227" s="1"/>
    </row>
    <row r="228" spans="1:6" x14ac:dyDescent="0.25">
      <c r="A228">
        <v>74</v>
      </c>
      <c r="B228" s="1">
        <v>118.36799999999999</v>
      </c>
      <c r="C228" s="1">
        <v>16.983799999999999</v>
      </c>
      <c r="D228" s="1">
        <v>3.7984300000000002</v>
      </c>
      <c r="E228" s="1">
        <v>1.7795700000000001</v>
      </c>
      <c r="F228" s="1"/>
    </row>
    <row r="229" spans="1:6" x14ac:dyDescent="0.25">
      <c r="A229">
        <v>75</v>
      </c>
      <c r="B229" s="1">
        <v>122.005</v>
      </c>
      <c r="C229" s="1">
        <v>17.059999999999999</v>
      </c>
      <c r="D229" s="1">
        <v>3.77346</v>
      </c>
      <c r="E229" s="1">
        <v>1.7651399999999999</v>
      </c>
      <c r="F229" s="1"/>
    </row>
    <row r="230" spans="1:6" x14ac:dyDescent="0.25">
      <c r="A230">
        <v>76</v>
      </c>
      <c r="B230" s="1">
        <v>125.702</v>
      </c>
      <c r="C230" s="1">
        <v>17.1356</v>
      </c>
      <c r="D230" s="1">
        <v>3.7490600000000001</v>
      </c>
      <c r="E230" s="1">
        <v>1.75101</v>
      </c>
      <c r="F230" s="1"/>
    </row>
    <row r="231" spans="1:6" x14ac:dyDescent="0.25">
      <c r="A231">
        <v>77</v>
      </c>
      <c r="B231" s="1">
        <v>129.45699999999999</v>
      </c>
      <c r="C231" s="1">
        <v>17.2105</v>
      </c>
      <c r="D231" s="1">
        <v>3.7251099999999999</v>
      </c>
      <c r="E231" s="1">
        <v>1.73716</v>
      </c>
      <c r="F231" s="1"/>
    </row>
    <row r="232" spans="1:6" x14ac:dyDescent="0.25">
      <c r="A232">
        <v>78</v>
      </c>
      <c r="B232" s="1">
        <v>133.27000000000001</v>
      </c>
      <c r="C232" s="1">
        <v>17.2849</v>
      </c>
      <c r="D232" s="1">
        <v>3.70153</v>
      </c>
      <c r="E232" s="1">
        <v>1.72357</v>
      </c>
      <c r="F232" s="1"/>
    </row>
    <row r="233" spans="1:6" x14ac:dyDescent="0.25">
      <c r="A233">
        <v>79</v>
      </c>
      <c r="B233" s="1">
        <v>137.14099999999999</v>
      </c>
      <c r="C233" s="1">
        <v>17.358599999999999</v>
      </c>
      <c r="D233" s="1">
        <v>3.6782699999999999</v>
      </c>
      <c r="E233" s="1">
        <v>1.7102299999999999</v>
      </c>
      <c r="F233" s="1"/>
    </row>
    <row r="234" spans="1:6" x14ac:dyDescent="0.25">
      <c r="A234">
        <v>80</v>
      </c>
      <c r="B234" s="1">
        <v>141.07</v>
      </c>
      <c r="C234" s="1">
        <v>17.431699999999999</v>
      </c>
      <c r="D234" s="1">
        <v>3.65523</v>
      </c>
      <c r="E234" s="1">
        <v>1.6970700000000001</v>
      </c>
      <c r="F234" s="1"/>
    </row>
    <row r="235" spans="1:6" x14ac:dyDescent="0.25">
      <c r="A235">
        <v>81</v>
      </c>
      <c r="B235" s="1">
        <v>145.05500000000001</v>
      </c>
      <c r="C235" s="1">
        <v>17.504300000000001</v>
      </c>
      <c r="D235" s="1">
        <v>3.6323599999999998</v>
      </c>
      <c r="E235" s="1">
        <v>1.68407</v>
      </c>
      <c r="F235" s="1"/>
    </row>
    <row r="236" spans="1:6" x14ac:dyDescent="0.25">
      <c r="A236">
        <v>82</v>
      </c>
      <c r="B236" s="1">
        <v>149.09700000000001</v>
      </c>
      <c r="C236" s="1">
        <v>17.5762</v>
      </c>
      <c r="D236" s="1">
        <v>3.6095600000000001</v>
      </c>
      <c r="E236" s="1">
        <v>1.6711800000000001</v>
      </c>
      <c r="F236" s="1"/>
    </row>
    <row r="237" spans="1:6" x14ac:dyDescent="0.25">
      <c r="A237">
        <v>83</v>
      </c>
      <c r="B237" s="1">
        <v>153.19499999999999</v>
      </c>
      <c r="C237" s="1">
        <v>17.647500000000001</v>
      </c>
      <c r="D237" s="1">
        <v>3.5868000000000002</v>
      </c>
      <c r="E237" s="1">
        <v>1.6584099999999999</v>
      </c>
      <c r="F237" s="1"/>
    </row>
    <row r="238" spans="1:6" x14ac:dyDescent="0.25">
      <c r="A238">
        <v>84</v>
      </c>
      <c r="B238" s="1">
        <v>157.34899999999999</v>
      </c>
      <c r="C238" s="1">
        <v>17.7182</v>
      </c>
      <c r="D238" s="1">
        <v>3.5640700000000001</v>
      </c>
      <c r="E238" s="1">
        <v>1.64578</v>
      </c>
      <c r="F238" s="1"/>
    </row>
    <row r="239" spans="1:6" x14ac:dyDescent="0.25">
      <c r="A239">
        <v>85</v>
      </c>
      <c r="B239" s="1">
        <v>161.55699999999999</v>
      </c>
      <c r="C239" s="1">
        <v>17.7883</v>
      </c>
      <c r="D239" s="1">
        <v>3.5413999999999999</v>
      </c>
      <c r="E239" s="1">
        <v>1.63327</v>
      </c>
      <c r="F239" s="1"/>
    </row>
    <row r="240" spans="1:6" x14ac:dyDescent="0.25">
      <c r="A240">
        <v>86</v>
      </c>
      <c r="B240" s="1">
        <v>165.81899999999999</v>
      </c>
      <c r="C240" s="1">
        <v>17.857700000000001</v>
      </c>
      <c r="D240" s="1">
        <v>3.5188299999999999</v>
      </c>
      <c r="E240" s="1">
        <v>1.6208800000000001</v>
      </c>
      <c r="F240" s="1"/>
    </row>
    <row r="241" spans="1:6" x14ac:dyDescent="0.25">
      <c r="A241">
        <v>87</v>
      </c>
      <c r="B241" s="1">
        <v>170.136</v>
      </c>
      <c r="C241" s="1">
        <v>17.926600000000001</v>
      </c>
      <c r="D241" s="1">
        <v>3.4963299999999999</v>
      </c>
      <c r="E241" s="1">
        <v>1.6086100000000001</v>
      </c>
      <c r="F241" s="1"/>
    </row>
    <row r="242" spans="1:6" x14ac:dyDescent="0.25">
      <c r="A242">
        <v>88</v>
      </c>
      <c r="B242" s="1">
        <v>174.505</v>
      </c>
      <c r="C242" s="1">
        <v>17.994900000000001</v>
      </c>
      <c r="D242" s="1">
        <v>3.4738699999999998</v>
      </c>
      <c r="E242" s="1">
        <v>1.59646</v>
      </c>
      <c r="F242" s="1"/>
    </row>
    <row r="243" spans="1:6" x14ac:dyDescent="0.25">
      <c r="A243">
        <v>89</v>
      </c>
      <c r="B243" s="1">
        <v>178.92699999999999</v>
      </c>
      <c r="C243" s="1">
        <v>18.0625</v>
      </c>
      <c r="D243" s="1">
        <v>3.4514</v>
      </c>
      <c r="E243" s="1">
        <v>1.58447</v>
      </c>
      <c r="F243" s="1"/>
    </row>
    <row r="244" spans="1:6" x14ac:dyDescent="0.25">
      <c r="A244">
        <v>90</v>
      </c>
      <c r="B244" s="1">
        <v>183.4</v>
      </c>
      <c r="C244" s="1">
        <v>18.1296</v>
      </c>
      <c r="D244" s="1">
        <v>3.4288500000000002</v>
      </c>
      <c r="E244" s="1">
        <v>1.57264</v>
      </c>
      <c r="F244" s="1"/>
    </row>
    <row r="245" spans="1:6" x14ac:dyDescent="0.25">
      <c r="A245">
        <v>91</v>
      </c>
      <c r="B245" s="1">
        <v>187.92500000000001</v>
      </c>
      <c r="C245" s="1">
        <v>18.196100000000001</v>
      </c>
      <c r="D245" s="1">
        <v>3.4061900000000001</v>
      </c>
      <c r="E245" s="1">
        <v>1.5609599999999999</v>
      </c>
      <c r="F245" s="1"/>
    </row>
    <row r="246" spans="1:6" x14ac:dyDescent="0.25">
      <c r="A246">
        <v>92</v>
      </c>
      <c r="B246" s="1">
        <v>192.5</v>
      </c>
      <c r="C246" s="1">
        <v>18.261900000000001</v>
      </c>
      <c r="D246" s="1">
        <v>3.3833899999999999</v>
      </c>
      <c r="E246" s="1">
        <v>1.54942</v>
      </c>
      <c r="F246" s="1"/>
    </row>
    <row r="247" spans="1:6" x14ac:dyDescent="0.25">
      <c r="A247">
        <v>93</v>
      </c>
      <c r="B247" s="1">
        <v>197.125</v>
      </c>
      <c r="C247" s="1">
        <v>18.327200000000001</v>
      </c>
      <c r="D247" s="1">
        <v>3.3604400000000001</v>
      </c>
      <c r="E247" s="1">
        <v>1.5379799999999999</v>
      </c>
      <c r="F247" s="1"/>
    </row>
    <row r="248" spans="1:6" x14ac:dyDescent="0.25">
      <c r="A248">
        <v>94</v>
      </c>
      <c r="B248" s="1">
        <v>201.8</v>
      </c>
      <c r="C248" s="1">
        <v>18.3919</v>
      </c>
      <c r="D248" s="1">
        <v>3.3374000000000001</v>
      </c>
      <c r="E248" s="1">
        <v>1.5266500000000001</v>
      </c>
      <c r="F248" s="1"/>
    </row>
    <row r="249" spans="1:6" x14ac:dyDescent="0.25">
      <c r="A249">
        <v>95</v>
      </c>
      <c r="B249" s="1">
        <v>206.523</v>
      </c>
      <c r="C249" s="1">
        <v>18.456</v>
      </c>
      <c r="D249" s="1">
        <v>3.3143199999999999</v>
      </c>
      <c r="E249" s="1">
        <v>1.51542</v>
      </c>
      <c r="F249" s="1"/>
    </row>
    <row r="250" spans="1:6" x14ac:dyDescent="0.25">
      <c r="A250">
        <v>96</v>
      </c>
      <c r="B250" s="1">
        <v>211.29400000000001</v>
      </c>
      <c r="C250" s="1">
        <v>18.519500000000001</v>
      </c>
      <c r="D250" s="1">
        <v>3.2912699999999999</v>
      </c>
      <c r="E250" s="1">
        <v>1.50431</v>
      </c>
      <c r="F250" s="1"/>
    </row>
    <row r="251" spans="1:6" x14ac:dyDescent="0.25">
      <c r="A251">
        <v>97</v>
      </c>
      <c r="B251" s="1">
        <v>216.11099999999999</v>
      </c>
      <c r="C251" s="1">
        <v>18.5825</v>
      </c>
      <c r="D251" s="1">
        <v>3.2682699999999998</v>
      </c>
      <c r="E251" s="1">
        <v>1.49336</v>
      </c>
      <c r="F251" s="1"/>
    </row>
    <row r="252" spans="1:6" x14ac:dyDescent="0.25">
      <c r="A252">
        <v>98</v>
      </c>
      <c r="B252" s="1">
        <v>220.976</v>
      </c>
      <c r="C252" s="1">
        <v>18.6449</v>
      </c>
      <c r="D252" s="1">
        <v>3.2453099999999999</v>
      </c>
      <c r="E252" s="1">
        <v>1.4825699999999999</v>
      </c>
      <c r="F252" s="1"/>
    </row>
    <row r="253" spans="1:6" x14ac:dyDescent="0.25">
      <c r="A253">
        <v>99</v>
      </c>
      <c r="B253" s="1">
        <v>225.886</v>
      </c>
      <c r="C253" s="1">
        <v>18.706700000000001</v>
      </c>
      <c r="D253" s="1">
        <v>3.2223799999999998</v>
      </c>
      <c r="E253" s="1">
        <v>1.4719</v>
      </c>
      <c r="F253" s="1"/>
    </row>
    <row r="254" spans="1:6" x14ac:dyDescent="0.25">
      <c r="A254">
        <v>100</v>
      </c>
      <c r="B254" s="1">
        <v>230.84100000000001</v>
      </c>
      <c r="C254" s="1">
        <v>18.768000000000001</v>
      </c>
      <c r="D254" s="1">
        <v>3.1994099999999999</v>
      </c>
      <c r="E254" s="1">
        <v>1.4613400000000001</v>
      </c>
      <c r="F254" s="1"/>
    </row>
    <row r="255" spans="1:6" x14ac:dyDescent="0.25">
      <c r="A255">
        <v>101</v>
      </c>
      <c r="B255" s="1">
        <v>235.84</v>
      </c>
      <c r="C255" s="1">
        <v>18.828800000000001</v>
      </c>
      <c r="D255" s="1">
        <v>3.1763599999999999</v>
      </c>
      <c r="E255" s="1">
        <v>1.45089</v>
      </c>
      <c r="F255" s="1"/>
    </row>
    <row r="256" spans="1:6" x14ac:dyDescent="0.25">
      <c r="A256">
        <v>102</v>
      </c>
      <c r="B256" s="1">
        <v>240.88300000000001</v>
      </c>
      <c r="C256" s="1">
        <v>18.889099999999999</v>
      </c>
      <c r="D256" s="1">
        <v>3.1532100000000001</v>
      </c>
      <c r="E256" s="1">
        <v>1.44052</v>
      </c>
      <c r="F256" s="1"/>
    </row>
    <row r="257" spans="1:6" x14ac:dyDescent="0.25">
      <c r="A257">
        <v>103</v>
      </c>
      <c r="B257" s="1">
        <v>245.96799999999999</v>
      </c>
      <c r="C257" s="1">
        <v>18.948899999999998</v>
      </c>
      <c r="D257" s="1">
        <v>3.1299800000000002</v>
      </c>
      <c r="E257" s="1">
        <v>1.4301600000000001</v>
      </c>
      <c r="F257" s="1"/>
    </row>
    <row r="258" spans="1:6" x14ac:dyDescent="0.25">
      <c r="A258">
        <v>104</v>
      </c>
      <c r="B258" s="1">
        <v>251.095</v>
      </c>
      <c r="C258" s="1">
        <v>19.008099999999999</v>
      </c>
      <c r="D258" s="1">
        <v>3.1066799999999999</v>
      </c>
      <c r="E258" s="1">
        <v>1.41978</v>
      </c>
      <c r="F258" s="1"/>
    </row>
    <row r="259" spans="1:6" x14ac:dyDescent="0.25">
      <c r="A259">
        <v>105</v>
      </c>
      <c r="B259" s="1">
        <v>256.26400000000001</v>
      </c>
      <c r="C259" s="1">
        <v>19.0669</v>
      </c>
      <c r="D259" s="1">
        <v>3.08331</v>
      </c>
      <c r="E259" s="1">
        <v>1.4093800000000001</v>
      </c>
      <c r="F259" s="1"/>
    </row>
    <row r="260" spans="1:6" x14ac:dyDescent="0.25">
      <c r="A260">
        <v>106</v>
      </c>
      <c r="B260" s="1">
        <v>261.47300000000001</v>
      </c>
      <c r="C260" s="1">
        <v>19.1252</v>
      </c>
      <c r="D260" s="1">
        <v>3.05992</v>
      </c>
      <c r="E260" s="1">
        <v>1.39896</v>
      </c>
      <c r="F260" s="1"/>
    </row>
    <row r="261" spans="1:6" x14ac:dyDescent="0.25">
      <c r="A261">
        <v>107</v>
      </c>
      <c r="B261" s="1">
        <v>266.72199999999998</v>
      </c>
      <c r="C261" s="1">
        <v>19.183</v>
      </c>
      <c r="D261" s="1">
        <v>3.0365000000000002</v>
      </c>
      <c r="E261" s="1">
        <v>1.38853</v>
      </c>
      <c r="F261" s="1"/>
    </row>
    <row r="262" spans="1:6" x14ac:dyDescent="0.25">
      <c r="A262">
        <v>108</v>
      </c>
      <c r="B262" s="1">
        <v>272.01</v>
      </c>
      <c r="C262" s="1">
        <v>19.240400000000001</v>
      </c>
      <c r="D262" s="1">
        <v>3.0130699999999999</v>
      </c>
      <c r="E262" s="1">
        <v>1.3780699999999999</v>
      </c>
      <c r="F262" s="1"/>
    </row>
    <row r="263" spans="1:6" x14ac:dyDescent="0.25">
      <c r="A263">
        <v>109</v>
      </c>
      <c r="B263" s="1">
        <v>277.33699999999999</v>
      </c>
      <c r="C263" s="1">
        <v>19.2972</v>
      </c>
      <c r="D263" s="1">
        <v>2.9895900000000002</v>
      </c>
      <c r="E263" s="1">
        <v>1.3675600000000001</v>
      </c>
      <c r="F263" s="1"/>
    </row>
    <row r="264" spans="1:6" x14ac:dyDescent="0.25">
      <c r="A264">
        <v>110</v>
      </c>
      <c r="B264" s="1">
        <v>282.7</v>
      </c>
      <c r="C264" s="1">
        <v>19.3536</v>
      </c>
      <c r="D264" s="1">
        <v>2.96604</v>
      </c>
      <c r="E264" s="1">
        <v>1.3569800000000001</v>
      </c>
      <c r="F264" s="1"/>
    </row>
    <row r="265" spans="1:6" x14ac:dyDescent="0.25">
      <c r="A265">
        <v>111</v>
      </c>
      <c r="B265" s="1">
        <v>288.101</v>
      </c>
      <c r="C265" s="1">
        <v>19.409500000000001</v>
      </c>
      <c r="D265" s="1">
        <v>2.9423499999999998</v>
      </c>
      <c r="E265" s="1">
        <v>1.34639</v>
      </c>
      <c r="F265" s="1"/>
    </row>
    <row r="266" spans="1:6" x14ac:dyDescent="0.25">
      <c r="A266">
        <v>112</v>
      </c>
      <c r="B266" s="1">
        <v>293.53800000000001</v>
      </c>
      <c r="C266" s="1">
        <v>19.4649</v>
      </c>
      <c r="D266" s="1">
        <v>2.91852</v>
      </c>
      <c r="E266" s="1">
        <v>1.33582</v>
      </c>
      <c r="F266" s="1"/>
    </row>
    <row r="267" spans="1:6" x14ac:dyDescent="0.25">
      <c r="A267">
        <v>113</v>
      </c>
      <c r="B267" s="1">
        <v>299.01</v>
      </c>
      <c r="C267" s="1">
        <v>19.5199</v>
      </c>
      <c r="D267" s="1">
        <v>2.8946000000000001</v>
      </c>
      <c r="E267" s="1">
        <v>1.32525</v>
      </c>
      <c r="F267" s="1"/>
    </row>
    <row r="268" spans="1:6" x14ac:dyDescent="0.25">
      <c r="A268">
        <v>114</v>
      </c>
      <c r="B268" s="1">
        <v>304.51600000000002</v>
      </c>
      <c r="C268" s="1">
        <v>19.5745</v>
      </c>
      <c r="D268" s="1">
        <v>2.8706</v>
      </c>
      <c r="E268" s="1">
        <v>1.3146500000000001</v>
      </c>
      <c r="F268" s="1"/>
    </row>
    <row r="269" spans="1:6" x14ac:dyDescent="0.25">
      <c r="A269">
        <v>115</v>
      </c>
      <c r="B269" s="1">
        <v>310.05599999999998</v>
      </c>
      <c r="C269" s="1">
        <v>19.628599999999999</v>
      </c>
      <c r="D269" s="1">
        <v>2.8465500000000001</v>
      </c>
      <c r="E269" s="1">
        <v>1.304</v>
      </c>
      <c r="F269" s="1"/>
    </row>
    <row r="270" spans="1:6" x14ac:dyDescent="0.25">
      <c r="A270">
        <v>116</v>
      </c>
      <c r="B270" s="1">
        <v>315.63</v>
      </c>
      <c r="C270" s="1">
        <v>19.682300000000001</v>
      </c>
      <c r="D270" s="1">
        <v>2.8224499999999999</v>
      </c>
      <c r="E270" s="1">
        <v>1.2932699999999999</v>
      </c>
      <c r="F270" s="1"/>
    </row>
    <row r="271" spans="1:6" x14ac:dyDescent="0.25">
      <c r="A271">
        <v>117</v>
      </c>
      <c r="B271" s="1">
        <v>321.23500000000001</v>
      </c>
      <c r="C271" s="1">
        <v>19.735600000000002</v>
      </c>
      <c r="D271" s="1">
        <v>2.7982999999999998</v>
      </c>
      <c r="E271" s="1">
        <v>1.2824599999999999</v>
      </c>
      <c r="F271" s="1"/>
    </row>
    <row r="272" spans="1:6" x14ac:dyDescent="0.25">
      <c r="A272">
        <v>118</v>
      </c>
      <c r="B272" s="1">
        <v>326.87299999999999</v>
      </c>
      <c r="C272" s="1">
        <v>19.788399999999999</v>
      </c>
      <c r="D272" s="1">
        <v>2.7740900000000002</v>
      </c>
      <c r="E272" s="1">
        <v>1.2715700000000001</v>
      </c>
      <c r="F272" s="1"/>
    </row>
    <row r="273" spans="1:6" x14ac:dyDescent="0.25">
      <c r="A273">
        <v>119</v>
      </c>
      <c r="B273" s="1">
        <v>332.541</v>
      </c>
      <c r="C273" s="1">
        <v>19.840699999999998</v>
      </c>
      <c r="D273" s="1">
        <v>2.7498300000000002</v>
      </c>
      <c r="E273" s="1">
        <v>1.26064</v>
      </c>
      <c r="F273" s="1"/>
    </row>
    <row r="274" spans="1:6" x14ac:dyDescent="0.25">
      <c r="A274">
        <v>120</v>
      </c>
      <c r="B274" s="1">
        <v>338.23899999999998</v>
      </c>
      <c r="C274" s="1">
        <v>19.892600000000002</v>
      </c>
      <c r="D274" s="1">
        <v>2.7255199999999999</v>
      </c>
      <c r="E274" s="1">
        <v>1.2496799999999999</v>
      </c>
      <c r="F274" s="1"/>
    </row>
    <row r="275" spans="1:6" x14ac:dyDescent="0.25">
      <c r="A275">
        <v>121</v>
      </c>
      <c r="B275" s="1">
        <v>343.96699999999998</v>
      </c>
      <c r="C275" s="1">
        <v>19.943999999999999</v>
      </c>
      <c r="D275" s="1">
        <v>2.70112</v>
      </c>
      <c r="E275" s="1">
        <v>1.23874</v>
      </c>
      <c r="F275" s="1"/>
    </row>
    <row r="276" spans="1:6" x14ac:dyDescent="0.25">
      <c r="A276">
        <v>122</v>
      </c>
      <c r="B276" s="1">
        <v>349.72399999999999</v>
      </c>
      <c r="C276" s="1">
        <v>19.995000000000001</v>
      </c>
      <c r="D276" s="1">
        <v>2.6766299999999998</v>
      </c>
      <c r="E276" s="1">
        <v>1.22786</v>
      </c>
      <c r="F276" s="1"/>
    </row>
    <row r="277" spans="1:6" x14ac:dyDescent="0.25">
      <c r="A277">
        <v>123</v>
      </c>
      <c r="B277" s="1">
        <v>355.50799999999998</v>
      </c>
      <c r="C277" s="1">
        <v>20.0456</v>
      </c>
      <c r="D277" s="1">
        <v>2.65205</v>
      </c>
      <c r="E277" s="1">
        <v>1.21705</v>
      </c>
      <c r="F277" s="1"/>
    </row>
    <row r="278" spans="1:6" x14ac:dyDescent="0.25">
      <c r="A278">
        <v>124</v>
      </c>
      <c r="B278" s="1">
        <v>361.32</v>
      </c>
      <c r="C278" s="1">
        <v>20.095700000000001</v>
      </c>
      <c r="D278" s="1">
        <v>2.6274199999999999</v>
      </c>
      <c r="E278" s="1">
        <v>1.20631</v>
      </c>
      <c r="F278" s="1"/>
    </row>
    <row r="279" spans="1:6" x14ac:dyDescent="0.25">
      <c r="A279">
        <v>125</v>
      </c>
      <c r="B279" s="1">
        <v>367.15899999999999</v>
      </c>
      <c r="C279" s="1">
        <v>20.145399999999999</v>
      </c>
      <c r="D279" s="1">
        <v>2.60276</v>
      </c>
      <c r="E279" s="1">
        <v>1.19563</v>
      </c>
      <c r="F279" s="1"/>
    </row>
    <row r="280" spans="1:6" x14ac:dyDescent="0.25">
      <c r="A280">
        <v>126</v>
      </c>
      <c r="B280" s="1">
        <v>373.024</v>
      </c>
      <c r="C280" s="1">
        <v>20.194800000000001</v>
      </c>
      <c r="D280" s="1">
        <v>2.5781000000000001</v>
      </c>
      <c r="E280" s="1">
        <v>1.1850000000000001</v>
      </c>
      <c r="F280" s="1"/>
    </row>
    <row r="281" spans="1:6" x14ac:dyDescent="0.25">
      <c r="A281">
        <v>127</v>
      </c>
      <c r="B281" s="1">
        <v>378.91500000000002</v>
      </c>
      <c r="C281" s="1">
        <v>20.2437</v>
      </c>
      <c r="D281" s="1">
        <v>2.5534500000000002</v>
      </c>
      <c r="E281" s="1">
        <v>1.17442</v>
      </c>
      <c r="F281" s="1"/>
    </row>
    <row r="282" spans="1:6" x14ac:dyDescent="0.25">
      <c r="A282">
        <v>128</v>
      </c>
      <c r="B282" s="1">
        <v>384.83</v>
      </c>
      <c r="C282" s="1">
        <v>20.292300000000001</v>
      </c>
      <c r="D282" s="1">
        <v>2.5287999999999999</v>
      </c>
      <c r="E282" s="1">
        <v>1.16384</v>
      </c>
      <c r="F282" s="1"/>
    </row>
    <row r="283" spans="1:6" x14ac:dyDescent="0.25">
      <c r="A283">
        <v>129</v>
      </c>
      <c r="B283" s="1">
        <v>390.76900000000001</v>
      </c>
      <c r="C283" s="1">
        <v>20.340499999999999</v>
      </c>
      <c r="D283" s="1">
        <v>2.50414</v>
      </c>
      <c r="E283" s="1">
        <v>1.1531899999999999</v>
      </c>
      <c r="F283" s="1"/>
    </row>
    <row r="284" spans="1:6" x14ac:dyDescent="0.25">
      <c r="A284">
        <v>130</v>
      </c>
      <c r="B284" s="1">
        <v>396.73099999999999</v>
      </c>
      <c r="C284" s="1">
        <v>20.388300000000001</v>
      </c>
      <c r="D284" s="1">
        <v>2.4794700000000001</v>
      </c>
      <c r="E284" s="1">
        <v>1.14249</v>
      </c>
      <c r="F284" s="1"/>
    </row>
    <row r="285" spans="1:6" x14ac:dyDescent="0.25">
      <c r="A285">
        <v>131</v>
      </c>
      <c r="B285" s="1">
        <v>402.71699999999998</v>
      </c>
      <c r="C285" s="1">
        <v>20.4358</v>
      </c>
      <c r="D285" s="1">
        <v>2.4548299999999998</v>
      </c>
      <c r="E285" s="1">
        <v>1.1317900000000001</v>
      </c>
      <c r="F285" s="1"/>
    </row>
    <row r="286" spans="1:6" x14ac:dyDescent="0.25">
      <c r="A286">
        <v>132</v>
      </c>
      <c r="B286" s="1">
        <v>408.72500000000002</v>
      </c>
      <c r="C286" s="1">
        <v>20.482900000000001</v>
      </c>
      <c r="D286" s="1">
        <v>2.4302600000000001</v>
      </c>
      <c r="E286" s="1">
        <v>1.12113</v>
      </c>
      <c r="F286" s="1"/>
    </row>
    <row r="287" spans="1:6" x14ac:dyDescent="0.25">
      <c r="A287">
        <v>133</v>
      </c>
      <c r="B287" s="1">
        <v>414.75400000000002</v>
      </c>
      <c r="C287" s="1">
        <v>20.529499999999999</v>
      </c>
      <c r="D287" s="1">
        <v>2.4057599999999999</v>
      </c>
      <c r="E287" s="1">
        <v>1.11052</v>
      </c>
      <c r="F287" s="1"/>
    </row>
    <row r="288" spans="1:6" x14ac:dyDescent="0.25">
      <c r="A288">
        <v>134</v>
      </c>
      <c r="B288" s="1">
        <v>420.80399999999997</v>
      </c>
      <c r="C288" s="1">
        <v>20.575800000000001</v>
      </c>
      <c r="D288" s="1">
        <v>2.3812899999999999</v>
      </c>
      <c r="E288" s="1">
        <v>1.0999000000000001</v>
      </c>
      <c r="F288" s="1"/>
    </row>
    <row r="289" spans="1:6" x14ac:dyDescent="0.25">
      <c r="A289">
        <v>135</v>
      </c>
      <c r="B289" s="1">
        <v>426.875</v>
      </c>
      <c r="C289" s="1">
        <v>20.621700000000001</v>
      </c>
      <c r="D289" s="1">
        <v>2.3568500000000001</v>
      </c>
      <c r="E289" s="1">
        <v>1.0892599999999999</v>
      </c>
      <c r="F289" s="1"/>
    </row>
    <row r="290" spans="1:6" x14ac:dyDescent="0.25">
      <c r="A290">
        <v>136</v>
      </c>
      <c r="B290" s="1">
        <v>432.96600000000001</v>
      </c>
      <c r="C290" s="1">
        <v>20.667100000000001</v>
      </c>
      <c r="D290" s="1">
        <v>2.3325300000000002</v>
      </c>
      <c r="E290" s="1">
        <v>1.0786</v>
      </c>
      <c r="F290" s="1"/>
    </row>
    <row r="291" spans="1:6" x14ac:dyDescent="0.25">
      <c r="A291">
        <v>137</v>
      </c>
      <c r="B291" s="1">
        <v>439.07600000000002</v>
      </c>
      <c r="C291" s="1">
        <v>20.7121</v>
      </c>
      <c r="D291" s="1">
        <v>2.3083499999999999</v>
      </c>
      <c r="E291" s="1">
        <v>1.06795</v>
      </c>
      <c r="F291" s="1"/>
    </row>
    <row r="292" spans="1:6" x14ac:dyDescent="0.25">
      <c r="A292">
        <v>138</v>
      </c>
      <c r="B292" s="1">
        <v>445.20499999999998</v>
      </c>
      <c r="C292" s="1">
        <v>20.756799999999998</v>
      </c>
      <c r="D292" s="1">
        <v>2.2842899999999999</v>
      </c>
      <c r="E292" s="1">
        <v>1.05731</v>
      </c>
      <c r="F292" s="1"/>
    </row>
    <row r="293" spans="1:6" x14ac:dyDescent="0.25">
      <c r="A293">
        <v>139</v>
      </c>
      <c r="B293" s="1">
        <v>451.35199999999998</v>
      </c>
      <c r="C293" s="1">
        <v>20.800999999999998</v>
      </c>
      <c r="D293" s="1">
        <v>2.2603</v>
      </c>
      <c r="E293" s="1">
        <v>1.0466899999999999</v>
      </c>
      <c r="F293" s="1"/>
    </row>
    <row r="294" spans="1:6" x14ac:dyDescent="0.25">
      <c r="A294">
        <v>140</v>
      </c>
      <c r="B294" s="1">
        <v>457.517</v>
      </c>
      <c r="C294" s="1">
        <v>20.844899999999999</v>
      </c>
      <c r="D294" s="1">
        <v>2.2363400000000002</v>
      </c>
      <c r="E294" s="1">
        <v>1.03609</v>
      </c>
      <c r="F294" s="1"/>
    </row>
    <row r="295" spans="1:6" x14ac:dyDescent="0.25">
      <c r="A295">
        <v>141</v>
      </c>
      <c r="B295" s="1">
        <v>463.69900000000001</v>
      </c>
      <c r="C295" s="1">
        <v>20.888400000000001</v>
      </c>
      <c r="D295" s="1">
        <v>2.2124000000000001</v>
      </c>
      <c r="E295" s="1">
        <v>1.02556</v>
      </c>
      <c r="F295" s="1"/>
    </row>
    <row r="296" spans="1:6" x14ac:dyDescent="0.25">
      <c r="A296">
        <v>142</v>
      </c>
      <c r="B296" s="1">
        <v>469.89800000000002</v>
      </c>
      <c r="C296" s="1">
        <v>20.9316</v>
      </c>
      <c r="D296" s="1">
        <v>2.18851</v>
      </c>
      <c r="E296" s="1">
        <v>1.01509</v>
      </c>
      <c r="F296" s="1"/>
    </row>
    <row r="297" spans="1:6" x14ac:dyDescent="0.25">
      <c r="A297">
        <v>143</v>
      </c>
      <c r="B297" s="1">
        <v>476.113</v>
      </c>
      <c r="C297" s="1">
        <v>20.974399999999999</v>
      </c>
      <c r="D297" s="1">
        <v>2.1647099999999999</v>
      </c>
      <c r="E297" s="1">
        <v>1.0046600000000001</v>
      </c>
      <c r="F297" s="1"/>
    </row>
    <row r="298" spans="1:6" x14ac:dyDescent="0.25">
      <c r="A298">
        <v>144</v>
      </c>
      <c r="B298" s="1">
        <v>482.34399999999999</v>
      </c>
      <c r="C298" s="1">
        <v>21.0168</v>
      </c>
      <c r="D298" s="1">
        <v>2.1410300000000002</v>
      </c>
      <c r="E298" s="1">
        <v>0.99425399999999997</v>
      </c>
      <c r="F298" s="1"/>
    </row>
    <row r="299" spans="1:6" x14ac:dyDescent="0.25">
      <c r="A299">
        <v>145</v>
      </c>
      <c r="B299" s="1">
        <v>488.59</v>
      </c>
      <c r="C299" s="1">
        <v>21.058800000000002</v>
      </c>
      <c r="D299" s="1">
        <v>2.1174400000000002</v>
      </c>
      <c r="E299" s="1">
        <v>0.98384700000000003</v>
      </c>
      <c r="F299" s="1"/>
    </row>
    <row r="300" spans="1:6" x14ac:dyDescent="0.25">
      <c r="A300">
        <v>146</v>
      </c>
      <c r="B300" s="1">
        <v>494.85199999999998</v>
      </c>
      <c r="C300" s="1">
        <v>21.1005</v>
      </c>
      <c r="D300" s="1">
        <v>2.09395</v>
      </c>
      <c r="E300" s="1">
        <v>0.97342200000000001</v>
      </c>
      <c r="F300" s="1"/>
    </row>
    <row r="301" spans="1:6" x14ac:dyDescent="0.25">
      <c r="A301">
        <v>147</v>
      </c>
      <c r="B301" s="1">
        <v>501.12700000000001</v>
      </c>
      <c r="C301" s="1">
        <v>21.1418</v>
      </c>
      <c r="D301" s="1">
        <v>2.0705399999999998</v>
      </c>
      <c r="E301" s="1">
        <v>0.96294800000000003</v>
      </c>
      <c r="F301" s="1"/>
    </row>
    <row r="302" spans="1:6" x14ac:dyDescent="0.25">
      <c r="A302">
        <v>148</v>
      </c>
      <c r="B302" s="1">
        <v>507.41699999999997</v>
      </c>
      <c r="C302" s="1">
        <v>21.1828</v>
      </c>
      <c r="D302" s="1">
        <v>2.0471599999999999</v>
      </c>
      <c r="E302" s="1">
        <v>0.95240800000000003</v>
      </c>
      <c r="F302" s="1"/>
    </row>
    <row r="303" spans="1:6" x14ac:dyDescent="0.25">
      <c r="A303">
        <v>149</v>
      </c>
      <c r="B303" s="1">
        <v>513.72</v>
      </c>
      <c r="C303" s="1">
        <v>21.223400000000002</v>
      </c>
      <c r="D303" s="1">
        <v>2.0237699999999998</v>
      </c>
      <c r="E303" s="1">
        <v>0.94181300000000001</v>
      </c>
      <c r="F303" s="1"/>
    </row>
    <row r="304" spans="1:6" x14ac:dyDescent="0.25">
      <c r="A304">
        <v>150</v>
      </c>
      <c r="B304" s="1">
        <v>520.03700000000003</v>
      </c>
      <c r="C304" s="1">
        <v>21.2637</v>
      </c>
      <c r="D304" s="1">
        <v>2.0003600000000001</v>
      </c>
      <c r="E304" s="1">
        <v>0.93122700000000003</v>
      </c>
      <c r="F304" s="1"/>
    </row>
    <row r="305" spans="1:6" x14ac:dyDescent="0.25">
      <c r="A305">
        <v>151</v>
      </c>
      <c r="B305" s="1">
        <v>526.36599999999999</v>
      </c>
      <c r="C305" s="1">
        <v>21.303699999999999</v>
      </c>
      <c r="D305" s="1">
        <v>1.9770000000000001</v>
      </c>
      <c r="E305" s="1">
        <v>0.92070700000000005</v>
      </c>
      <c r="F305" s="1"/>
    </row>
    <row r="306" spans="1:6" x14ac:dyDescent="0.25">
      <c r="A306">
        <v>152</v>
      </c>
      <c r="B306" s="1">
        <v>532.70799999999997</v>
      </c>
      <c r="C306" s="1">
        <v>21.343399999999999</v>
      </c>
      <c r="D306" s="1">
        <v>1.9537500000000001</v>
      </c>
      <c r="E306" s="1">
        <v>0.91027800000000003</v>
      </c>
      <c r="F306" s="1"/>
    </row>
    <row r="307" spans="1:6" x14ac:dyDescent="0.25">
      <c r="A307">
        <v>153</v>
      </c>
      <c r="B307" s="1">
        <v>539.06200000000001</v>
      </c>
      <c r="C307" s="1">
        <v>21.3827</v>
      </c>
      <c r="D307" s="1">
        <v>1.93065</v>
      </c>
      <c r="E307" s="1">
        <v>0.89990700000000001</v>
      </c>
      <c r="F307" s="1"/>
    </row>
    <row r="308" spans="1:6" x14ac:dyDescent="0.25">
      <c r="A308">
        <v>154</v>
      </c>
      <c r="B308" s="1">
        <v>545.42700000000002</v>
      </c>
      <c r="C308" s="1">
        <v>21.421600000000002</v>
      </c>
      <c r="D308" s="1">
        <v>1.90771</v>
      </c>
      <c r="E308" s="1">
        <v>0.88953800000000005</v>
      </c>
      <c r="F308" s="1"/>
    </row>
    <row r="309" spans="1:6" x14ac:dyDescent="0.25">
      <c r="A309">
        <v>155</v>
      </c>
      <c r="B309" s="1">
        <v>551.80499999999995</v>
      </c>
      <c r="C309" s="1">
        <v>21.4602</v>
      </c>
      <c r="D309" s="1">
        <v>1.8849400000000001</v>
      </c>
      <c r="E309" s="1">
        <v>0.87914999999999999</v>
      </c>
      <c r="F309" s="1"/>
    </row>
    <row r="310" spans="1:6" x14ac:dyDescent="0.25">
      <c r="A310">
        <v>156</v>
      </c>
      <c r="B310" s="1">
        <v>558.19299999999998</v>
      </c>
      <c r="C310" s="1">
        <v>21.4984</v>
      </c>
      <c r="D310" s="1">
        <v>1.86236</v>
      </c>
      <c r="E310" s="1">
        <v>0.86876799999999998</v>
      </c>
      <c r="F310" s="1"/>
    </row>
    <row r="311" spans="1:6" x14ac:dyDescent="0.25">
      <c r="A311">
        <v>157</v>
      </c>
      <c r="B311" s="1">
        <v>564.59199999999998</v>
      </c>
      <c r="C311" s="1">
        <v>21.536200000000001</v>
      </c>
      <c r="D311" s="1">
        <v>1.8399700000000001</v>
      </c>
      <c r="E311" s="1">
        <v>0.85841699999999999</v>
      </c>
      <c r="F311" s="1"/>
    </row>
    <row r="312" spans="1:6" x14ac:dyDescent="0.25">
      <c r="A312">
        <v>158</v>
      </c>
      <c r="B312" s="1">
        <v>571.00199999999995</v>
      </c>
      <c r="C312" s="1">
        <v>21.573599999999999</v>
      </c>
      <c r="D312" s="1">
        <v>1.81776</v>
      </c>
      <c r="E312" s="1">
        <v>0.84811000000000003</v>
      </c>
      <c r="F312" s="1"/>
    </row>
    <row r="313" spans="1:6" x14ac:dyDescent="0.25">
      <c r="A313">
        <v>159</v>
      </c>
      <c r="B313" s="1">
        <v>577.42200000000003</v>
      </c>
      <c r="C313" s="1">
        <v>21.610700000000001</v>
      </c>
      <c r="D313" s="1">
        <v>1.79573</v>
      </c>
      <c r="E313" s="1">
        <v>0.83785100000000001</v>
      </c>
      <c r="F313" s="1"/>
    </row>
    <row r="314" spans="1:6" x14ac:dyDescent="0.25">
      <c r="A314">
        <v>160</v>
      </c>
      <c r="B314" s="1">
        <v>583.85299999999995</v>
      </c>
      <c r="C314" s="1">
        <v>21.647400000000001</v>
      </c>
      <c r="D314" s="1">
        <v>1.77386</v>
      </c>
      <c r="E314" s="1">
        <v>0.82763299999999995</v>
      </c>
      <c r="F314" s="1"/>
    </row>
    <row r="315" spans="1:6" x14ac:dyDescent="0.25">
      <c r="A315">
        <v>161</v>
      </c>
      <c r="B315" s="1">
        <v>590.29300000000001</v>
      </c>
      <c r="C315" s="1">
        <v>21.683800000000002</v>
      </c>
      <c r="D315" s="1">
        <v>1.7521500000000001</v>
      </c>
      <c r="E315" s="1">
        <v>0.81743699999999997</v>
      </c>
      <c r="F315" s="1"/>
    </row>
    <row r="316" spans="1:6" x14ac:dyDescent="0.25">
      <c r="A316">
        <v>162</v>
      </c>
      <c r="B316" s="1">
        <v>596.74199999999996</v>
      </c>
      <c r="C316" s="1">
        <v>21.719799999999999</v>
      </c>
      <c r="D316" s="1">
        <v>1.7305699999999999</v>
      </c>
      <c r="E316" s="1">
        <v>0.80726399999999998</v>
      </c>
      <c r="F316" s="1"/>
    </row>
    <row r="317" spans="1:6" x14ac:dyDescent="0.25">
      <c r="A317">
        <v>163</v>
      </c>
      <c r="B317" s="1">
        <v>603.20100000000002</v>
      </c>
      <c r="C317" s="1">
        <v>21.755600000000001</v>
      </c>
      <c r="D317" s="1">
        <v>1.7090700000000001</v>
      </c>
      <c r="E317" s="1">
        <v>0.79715400000000003</v>
      </c>
      <c r="F317" s="1"/>
    </row>
    <row r="318" spans="1:6" x14ac:dyDescent="0.25">
      <c r="A318">
        <v>164</v>
      </c>
      <c r="B318" s="1">
        <v>609.66999999999996</v>
      </c>
      <c r="C318" s="1">
        <v>21.790900000000001</v>
      </c>
      <c r="D318" s="1">
        <v>1.6876500000000001</v>
      </c>
      <c r="E318" s="1">
        <v>0.78717099999999995</v>
      </c>
      <c r="F318" s="1"/>
    </row>
    <row r="319" spans="1:6" x14ac:dyDescent="0.25">
      <c r="A319">
        <v>165</v>
      </c>
      <c r="B319" s="1">
        <v>616.14700000000005</v>
      </c>
      <c r="C319" s="1">
        <v>21.826000000000001</v>
      </c>
      <c r="D319" s="1">
        <v>1.6662999999999999</v>
      </c>
      <c r="E319" s="1">
        <v>0.77734999999999999</v>
      </c>
      <c r="F319" s="1"/>
    </row>
    <row r="320" spans="1:6" x14ac:dyDescent="0.25">
      <c r="A320">
        <v>166</v>
      </c>
      <c r="B320" s="1">
        <v>622.63300000000004</v>
      </c>
      <c r="C320" s="1">
        <v>21.860800000000001</v>
      </c>
      <c r="D320" s="1">
        <v>1.64506</v>
      </c>
      <c r="E320" s="1">
        <v>0.76769100000000001</v>
      </c>
      <c r="F320" s="1"/>
    </row>
    <row r="321" spans="1:6" x14ac:dyDescent="0.25">
      <c r="A321">
        <v>167</v>
      </c>
      <c r="B321" s="1">
        <v>629.12800000000004</v>
      </c>
      <c r="C321" s="1">
        <v>21.895199999999999</v>
      </c>
      <c r="D321" s="1">
        <v>1.6239300000000001</v>
      </c>
      <c r="E321" s="1">
        <v>0.75817100000000004</v>
      </c>
      <c r="F321" s="1"/>
    </row>
    <row r="322" spans="1:6" x14ac:dyDescent="0.25">
      <c r="A322">
        <v>168</v>
      </c>
      <c r="B322" s="1">
        <v>635.63099999999997</v>
      </c>
      <c r="C322" s="1">
        <v>21.929300000000001</v>
      </c>
      <c r="D322" s="1">
        <v>1.60293</v>
      </c>
      <c r="E322" s="1">
        <v>0.74873900000000004</v>
      </c>
      <c r="F322" s="1"/>
    </row>
    <row r="323" spans="1:6" x14ac:dyDescent="0.25">
      <c r="A323">
        <v>169</v>
      </c>
      <c r="B323" s="1">
        <v>642.14300000000003</v>
      </c>
      <c r="C323" s="1">
        <v>21.963000000000001</v>
      </c>
      <c r="D323" s="1">
        <v>1.5820000000000001</v>
      </c>
      <c r="E323" s="1">
        <v>0.73933300000000002</v>
      </c>
      <c r="F323" s="1"/>
    </row>
    <row r="324" spans="1:6" x14ac:dyDescent="0.25">
      <c r="A324">
        <v>170</v>
      </c>
      <c r="B324" s="1">
        <v>648.66300000000001</v>
      </c>
      <c r="C324" s="1">
        <v>21.996400000000001</v>
      </c>
      <c r="D324" s="1">
        <v>1.56114</v>
      </c>
      <c r="E324" s="1">
        <v>0.72992100000000004</v>
      </c>
      <c r="F324" s="1"/>
    </row>
    <row r="325" spans="1:6" x14ac:dyDescent="0.25">
      <c r="A325">
        <v>171</v>
      </c>
      <c r="B325" s="1">
        <v>655.19100000000003</v>
      </c>
      <c r="C325" s="1">
        <v>22.029399999999999</v>
      </c>
      <c r="D325" s="1">
        <v>1.5403500000000001</v>
      </c>
      <c r="E325" s="1">
        <v>0.72050199999999998</v>
      </c>
      <c r="F325" s="1"/>
    </row>
    <row r="326" spans="1:6" x14ac:dyDescent="0.25">
      <c r="A326">
        <v>172</v>
      </c>
      <c r="B326" s="1">
        <v>661.72699999999998</v>
      </c>
      <c r="C326" s="1">
        <v>22.062100000000001</v>
      </c>
      <c r="D326" s="1">
        <v>1.51966</v>
      </c>
      <c r="E326" s="1">
        <v>0.71108300000000002</v>
      </c>
      <c r="F326" s="1"/>
    </row>
    <row r="327" spans="1:6" x14ac:dyDescent="0.25">
      <c r="A327">
        <v>173</v>
      </c>
      <c r="B327" s="1">
        <v>668.27200000000005</v>
      </c>
      <c r="C327" s="1">
        <v>22.0944</v>
      </c>
      <c r="D327" s="1">
        <v>1.4990699999999999</v>
      </c>
      <c r="E327" s="1">
        <v>0.70168900000000001</v>
      </c>
      <c r="F327" s="1"/>
    </row>
    <row r="328" spans="1:6" x14ac:dyDescent="0.25">
      <c r="A328">
        <v>174</v>
      </c>
      <c r="B328" s="1">
        <v>674.82399999999996</v>
      </c>
      <c r="C328" s="1">
        <v>22.126300000000001</v>
      </c>
      <c r="D328" s="1">
        <v>1.47855</v>
      </c>
      <c r="E328" s="1">
        <v>0.69236200000000003</v>
      </c>
      <c r="F328" s="1"/>
    </row>
    <row r="329" spans="1:6" x14ac:dyDescent="0.25">
      <c r="A329">
        <v>175</v>
      </c>
      <c r="B329" s="1">
        <v>681.38499999999999</v>
      </c>
      <c r="C329" s="1">
        <v>22.157800000000002</v>
      </c>
      <c r="D329" s="1">
        <v>1.4580900000000001</v>
      </c>
      <c r="E329" s="1">
        <v>0.68314200000000003</v>
      </c>
      <c r="F329" s="1"/>
    </row>
    <row r="330" spans="1:6" x14ac:dyDescent="0.25">
      <c r="A330">
        <v>176</v>
      </c>
      <c r="B330" s="1">
        <v>687.95299999999997</v>
      </c>
      <c r="C330" s="1">
        <v>22.189</v>
      </c>
      <c r="D330" s="1">
        <v>1.4376800000000001</v>
      </c>
      <c r="E330" s="1">
        <v>0.67406100000000002</v>
      </c>
      <c r="F330" s="1"/>
    </row>
    <row r="331" spans="1:6" x14ac:dyDescent="0.25">
      <c r="A331">
        <v>177</v>
      </c>
      <c r="B331" s="1">
        <v>694.529</v>
      </c>
      <c r="C331" s="1">
        <v>22.2197</v>
      </c>
      <c r="D331" s="1">
        <v>1.41734</v>
      </c>
      <c r="E331" s="1">
        <v>0.66513800000000001</v>
      </c>
      <c r="F331" s="1"/>
    </row>
    <row r="332" spans="1:6" x14ac:dyDescent="0.25">
      <c r="A332">
        <v>178</v>
      </c>
      <c r="B332" s="1">
        <v>701.11300000000006</v>
      </c>
      <c r="C332" s="1">
        <v>22.25</v>
      </c>
      <c r="D332" s="1">
        <v>1.39706</v>
      </c>
      <c r="E332" s="1">
        <v>0.65637999999999996</v>
      </c>
      <c r="F332" s="1"/>
    </row>
    <row r="333" spans="1:6" x14ac:dyDescent="0.25">
      <c r="A333">
        <v>179</v>
      </c>
      <c r="B333" s="1">
        <v>707.70500000000004</v>
      </c>
      <c r="C333" s="1">
        <v>22.279900000000001</v>
      </c>
      <c r="D333" s="1">
        <v>1.3768400000000001</v>
      </c>
      <c r="E333" s="1">
        <v>0.64777099999999999</v>
      </c>
      <c r="F333" s="1"/>
    </row>
    <row r="334" spans="1:6" x14ac:dyDescent="0.25">
      <c r="A334">
        <v>180</v>
      </c>
      <c r="B334" s="1">
        <v>714.30600000000004</v>
      </c>
      <c r="C334" s="1">
        <v>22.3094</v>
      </c>
      <c r="D334" s="1">
        <v>1.35666</v>
      </c>
      <c r="E334" s="1">
        <v>0.63929100000000005</v>
      </c>
      <c r="F334" s="1"/>
    </row>
    <row r="335" spans="1:6" x14ac:dyDescent="0.25">
      <c r="A335">
        <v>181</v>
      </c>
      <c r="B335" s="1">
        <v>720.91399999999999</v>
      </c>
      <c r="C335" s="1">
        <v>22.3384</v>
      </c>
      <c r="D335" s="1">
        <v>1.3364799999999999</v>
      </c>
      <c r="E335" s="1">
        <v>0.63092499999999996</v>
      </c>
      <c r="F335" s="1"/>
    </row>
    <row r="336" spans="1:6" x14ac:dyDescent="0.25">
      <c r="A336">
        <v>182</v>
      </c>
      <c r="B336" s="1">
        <v>727.53</v>
      </c>
      <c r="C336" s="1">
        <v>22.367000000000001</v>
      </c>
      <c r="D336" s="1">
        <v>1.3163199999999999</v>
      </c>
      <c r="E336" s="1">
        <v>0.622664</v>
      </c>
      <c r="F336" s="1"/>
    </row>
    <row r="337" spans="1:6" x14ac:dyDescent="0.25">
      <c r="A337">
        <v>183</v>
      </c>
      <c r="B337" s="1">
        <v>734.15499999999997</v>
      </c>
      <c r="C337" s="1">
        <v>22.395299999999999</v>
      </c>
      <c r="D337" s="1">
        <v>1.2962</v>
      </c>
      <c r="E337" s="1">
        <v>0.61449500000000001</v>
      </c>
      <c r="F337" s="1"/>
    </row>
    <row r="338" spans="1:6" x14ac:dyDescent="0.25">
      <c r="A338">
        <v>184</v>
      </c>
      <c r="B338" s="1">
        <v>740.78700000000003</v>
      </c>
      <c r="C338" s="1">
        <v>22.422999999999998</v>
      </c>
      <c r="D338" s="1">
        <v>1.27613</v>
      </c>
      <c r="E338" s="1">
        <v>0.606406</v>
      </c>
      <c r="F338" s="1"/>
    </row>
    <row r="339" spans="1:6" x14ac:dyDescent="0.25">
      <c r="A339">
        <v>185</v>
      </c>
      <c r="B339" s="1">
        <v>747.42899999999997</v>
      </c>
      <c r="C339" s="1">
        <v>22.450399999999998</v>
      </c>
      <c r="D339" s="1">
        <v>1.2561</v>
      </c>
      <c r="E339" s="1">
        <v>0.59840099999999996</v>
      </c>
      <c r="F339" s="1"/>
    </row>
    <row r="340" spans="1:6" x14ac:dyDescent="0.25">
      <c r="A340">
        <v>186</v>
      </c>
      <c r="B340" s="1">
        <v>754.07899999999995</v>
      </c>
      <c r="C340" s="1">
        <v>22.4773</v>
      </c>
      <c r="D340" s="1">
        <v>1.2360899999999999</v>
      </c>
      <c r="E340" s="1">
        <v>0.59048699999999998</v>
      </c>
      <c r="F340" s="1"/>
    </row>
    <row r="341" spans="1:6" x14ac:dyDescent="0.25">
      <c r="A341">
        <v>187</v>
      </c>
      <c r="B341" s="1">
        <v>760.73699999999997</v>
      </c>
      <c r="C341" s="1">
        <v>22.503799999999998</v>
      </c>
      <c r="D341" s="1">
        <v>1.2161200000000001</v>
      </c>
      <c r="E341" s="1">
        <v>0.582673</v>
      </c>
      <c r="F341" s="1"/>
    </row>
    <row r="342" spans="1:6" x14ac:dyDescent="0.25">
      <c r="A342">
        <v>188</v>
      </c>
      <c r="B342" s="1">
        <v>767.404</v>
      </c>
      <c r="C342" s="1">
        <v>22.529800000000002</v>
      </c>
      <c r="D342" s="1">
        <v>1.1962200000000001</v>
      </c>
      <c r="E342" s="1">
        <v>0.57498899999999997</v>
      </c>
      <c r="F342" s="1"/>
    </row>
    <row r="343" spans="1:6" x14ac:dyDescent="0.25">
      <c r="A343">
        <v>189</v>
      </c>
      <c r="B343" s="1">
        <v>774.08100000000002</v>
      </c>
      <c r="C343" s="1">
        <v>22.555299999999999</v>
      </c>
      <c r="D343" s="1">
        <v>1.17645</v>
      </c>
      <c r="E343" s="1">
        <v>0.56746399999999997</v>
      </c>
      <c r="F343" s="1"/>
    </row>
    <row r="344" spans="1:6" x14ac:dyDescent="0.25">
      <c r="A344">
        <v>190</v>
      </c>
      <c r="B344" s="1">
        <v>780.76700000000005</v>
      </c>
      <c r="C344" s="1">
        <v>22.580400000000001</v>
      </c>
      <c r="D344" s="1">
        <v>1.1568499999999999</v>
      </c>
      <c r="E344" s="1">
        <v>0.56011900000000003</v>
      </c>
      <c r="F344" s="1"/>
    </row>
    <row r="345" spans="1:6" x14ac:dyDescent="0.25">
      <c r="A345">
        <v>191</v>
      </c>
      <c r="B345" s="1">
        <v>787.46199999999999</v>
      </c>
      <c r="C345" s="1">
        <v>22.605</v>
      </c>
      <c r="D345" s="1">
        <v>1.1374299999999999</v>
      </c>
      <c r="E345" s="1">
        <v>0.55295399999999995</v>
      </c>
      <c r="F345" s="1"/>
    </row>
    <row r="346" spans="1:6" x14ac:dyDescent="0.25">
      <c r="A346">
        <v>192</v>
      </c>
      <c r="B346" s="1">
        <v>794.16700000000003</v>
      </c>
      <c r="C346" s="1">
        <v>22.629100000000001</v>
      </c>
      <c r="D346" s="1">
        <v>1.11819</v>
      </c>
      <c r="E346" s="1">
        <v>0.54596</v>
      </c>
      <c r="F346" s="1"/>
    </row>
    <row r="347" spans="1:6" x14ac:dyDescent="0.25">
      <c r="A347">
        <v>193</v>
      </c>
      <c r="B347" s="1">
        <v>800.88099999999997</v>
      </c>
      <c r="C347" s="1">
        <v>22.652699999999999</v>
      </c>
      <c r="D347" s="1">
        <v>1.0991200000000001</v>
      </c>
      <c r="E347" s="1">
        <v>0.53912899999999997</v>
      </c>
      <c r="F347" s="1"/>
    </row>
    <row r="348" spans="1:6" x14ac:dyDescent="0.25">
      <c r="A348">
        <v>194</v>
      </c>
      <c r="B348" s="1">
        <v>807.60599999999999</v>
      </c>
      <c r="C348" s="1">
        <v>22.675799999999999</v>
      </c>
      <c r="D348" s="1">
        <v>1.08023</v>
      </c>
      <c r="E348" s="1">
        <v>0.532443</v>
      </c>
      <c r="F348" s="1"/>
    </row>
    <row r="349" spans="1:6" x14ac:dyDescent="0.25">
      <c r="A349">
        <v>195</v>
      </c>
      <c r="B349" s="1">
        <v>814.34199999999998</v>
      </c>
      <c r="C349" s="1">
        <v>22.6983</v>
      </c>
      <c r="D349" s="1">
        <v>1.06155</v>
      </c>
      <c r="E349" s="1">
        <v>0.52589900000000001</v>
      </c>
      <c r="F349" s="1"/>
    </row>
    <row r="350" spans="1:6" x14ac:dyDescent="0.25">
      <c r="A350">
        <v>196</v>
      </c>
      <c r="B350" s="1">
        <v>821.08799999999997</v>
      </c>
      <c r="C350" s="1">
        <v>22.720300000000002</v>
      </c>
      <c r="D350" s="1">
        <v>1.0431299999999999</v>
      </c>
      <c r="E350" s="1">
        <v>0.51951000000000003</v>
      </c>
      <c r="F350" s="1"/>
    </row>
    <row r="351" spans="1:6" x14ac:dyDescent="0.25">
      <c r="A351">
        <v>197</v>
      </c>
      <c r="B351" s="1">
        <v>827.846</v>
      </c>
      <c r="C351" s="1">
        <v>22.741599999999998</v>
      </c>
      <c r="D351" s="1">
        <v>1.02505</v>
      </c>
      <c r="E351" s="1">
        <v>0.51328399999999996</v>
      </c>
      <c r="F351" s="1"/>
    </row>
    <row r="352" spans="1:6" x14ac:dyDescent="0.25">
      <c r="A352">
        <v>198</v>
      </c>
      <c r="B352" s="1">
        <v>834.61500000000001</v>
      </c>
      <c r="C352" s="1">
        <v>22.762499999999999</v>
      </c>
      <c r="D352" s="1">
        <v>1.00732</v>
      </c>
      <c r="E352" s="1">
        <v>0.50722999999999996</v>
      </c>
      <c r="F352" s="1"/>
    </row>
    <row r="353" spans="1:6" x14ac:dyDescent="0.25">
      <c r="A353">
        <v>199</v>
      </c>
      <c r="B353" s="1">
        <v>841.39599999999996</v>
      </c>
      <c r="C353" s="1">
        <v>22.782699999999998</v>
      </c>
      <c r="D353" s="1">
        <v>0.989923</v>
      </c>
      <c r="E353" s="1">
        <v>0.50134000000000001</v>
      </c>
      <c r="F353" s="1"/>
    </row>
    <row r="354" spans="1:6" x14ac:dyDescent="0.25">
      <c r="A354">
        <v>200</v>
      </c>
      <c r="B354" s="1">
        <v>848.18899999999996</v>
      </c>
      <c r="C354" s="1">
        <v>22.802199999999999</v>
      </c>
      <c r="D354" s="1">
        <v>0.97286399999999995</v>
      </c>
      <c r="E354" s="1">
        <v>0.49559900000000001</v>
      </c>
      <c r="F354" s="1"/>
    </row>
    <row r="355" spans="1:6" x14ac:dyDescent="0.25">
      <c r="A355">
        <v>201</v>
      </c>
      <c r="B355" s="1">
        <v>854.995</v>
      </c>
      <c r="C355" s="1">
        <v>22.821200000000001</v>
      </c>
      <c r="D355" s="1">
        <v>0.95613700000000001</v>
      </c>
      <c r="E355" s="1">
        <v>0.49000899999999997</v>
      </c>
      <c r="F355" s="1"/>
    </row>
    <row r="356" spans="1:6" x14ac:dyDescent="0.25">
      <c r="A356">
        <v>202</v>
      </c>
      <c r="B356" s="1">
        <v>861.81399999999996</v>
      </c>
      <c r="C356" s="1">
        <v>22.839500000000001</v>
      </c>
      <c r="D356" s="1">
        <v>0.93973899999999999</v>
      </c>
      <c r="E356" s="1">
        <v>0.48458200000000001</v>
      </c>
      <c r="F356" s="1"/>
    </row>
    <row r="357" spans="1:6" x14ac:dyDescent="0.25">
      <c r="A357">
        <v>203</v>
      </c>
      <c r="B357" s="1">
        <v>868.64599999999996</v>
      </c>
      <c r="C357" s="1">
        <v>22.857199999999999</v>
      </c>
      <c r="D357" s="1">
        <v>0.92369699999999999</v>
      </c>
      <c r="E357" s="1">
        <v>0.47933999999999999</v>
      </c>
      <c r="F357" s="1"/>
    </row>
    <row r="358" spans="1:6" x14ac:dyDescent="0.25">
      <c r="A358">
        <v>204</v>
      </c>
      <c r="B358" s="1">
        <v>875.49300000000005</v>
      </c>
      <c r="C358" s="1">
        <v>22.874199999999998</v>
      </c>
      <c r="D358" s="1">
        <v>0.90807700000000002</v>
      </c>
      <c r="E358" s="1">
        <v>0.47429900000000003</v>
      </c>
      <c r="F358" s="1"/>
    </row>
    <row r="359" spans="1:6" x14ac:dyDescent="0.25">
      <c r="A359">
        <v>205</v>
      </c>
      <c r="B359" s="1">
        <v>882.35400000000004</v>
      </c>
      <c r="C359" s="1">
        <v>22.890499999999999</v>
      </c>
      <c r="D359" s="1">
        <v>0.89295400000000003</v>
      </c>
      <c r="E359" s="1">
        <v>0.46946599999999999</v>
      </c>
      <c r="F359" s="1"/>
    </row>
    <row r="360" spans="1:6" x14ac:dyDescent="0.25">
      <c r="A360">
        <v>206</v>
      </c>
      <c r="B360" s="1">
        <v>889.23</v>
      </c>
      <c r="C360" s="1">
        <v>22.906199999999998</v>
      </c>
      <c r="D360" s="1">
        <v>0.87837399999999999</v>
      </c>
      <c r="E360" s="1">
        <v>0.46483400000000002</v>
      </c>
      <c r="F360" s="1"/>
    </row>
    <row r="361" spans="1:6" x14ac:dyDescent="0.25">
      <c r="A361">
        <v>207</v>
      </c>
      <c r="B361" s="1">
        <v>896.12099999999998</v>
      </c>
      <c r="C361" s="1">
        <v>22.921199999999999</v>
      </c>
      <c r="D361" s="1">
        <v>0.86435099999999998</v>
      </c>
      <c r="E361" s="1">
        <v>0.46038699999999999</v>
      </c>
      <c r="F361" s="1"/>
    </row>
    <row r="362" spans="1:6" x14ac:dyDescent="0.25">
      <c r="A362">
        <v>208</v>
      </c>
      <c r="B362" s="1">
        <v>903.029</v>
      </c>
      <c r="C362" s="1">
        <v>22.935400000000001</v>
      </c>
      <c r="D362" s="1">
        <v>0.85089599999999999</v>
      </c>
      <c r="E362" s="1">
        <v>0.45611200000000002</v>
      </c>
      <c r="F362" s="1"/>
    </row>
    <row r="363" spans="1:6" x14ac:dyDescent="0.25">
      <c r="A363">
        <v>209</v>
      </c>
      <c r="B363" s="1">
        <v>909.95399999999995</v>
      </c>
      <c r="C363" s="1">
        <v>22.949000000000002</v>
      </c>
      <c r="D363" s="1">
        <v>0.83802900000000002</v>
      </c>
      <c r="E363" s="1">
        <v>0.45200200000000001</v>
      </c>
      <c r="F363" s="1"/>
    </row>
    <row r="364" spans="1:6" x14ac:dyDescent="0.25">
      <c r="A364">
        <v>210</v>
      </c>
      <c r="B364" s="1">
        <v>916.89599999999996</v>
      </c>
      <c r="C364" s="1">
        <v>22.9619</v>
      </c>
      <c r="D364" s="1">
        <v>0.82578700000000005</v>
      </c>
      <c r="E364" s="1">
        <v>0.448046</v>
      </c>
      <c r="F364" s="1"/>
    </row>
    <row r="365" spans="1:6" x14ac:dyDescent="0.25">
      <c r="A365">
        <v>211</v>
      </c>
      <c r="B365" s="1">
        <v>923.85699999999997</v>
      </c>
      <c r="C365" s="1">
        <v>22.9741</v>
      </c>
      <c r="D365" s="1">
        <v>0.81420599999999999</v>
      </c>
      <c r="E365" s="1">
        <v>0.44424200000000003</v>
      </c>
      <c r="F365" s="1"/>
    </row>
    <row r="366" spans="1:6" x14ac:dyDescent="0.25">
      <c r="A366">
        <v>212</v>
      </c>
      <c r="B366" s="1">
        <v>930.83600000000001</v>
      </c>
      <c r="C366" s="1">
        <v>22.985499999999998</v>
      </c>
      <c r="D366" s="1">
        <v>0.80330199999999996</v>
      </c>
      <c r="E366" s="1">
        <v>0.44060199999999999</v>
      </c>
      <c r="F366" s="1"/>
    </row>
    <row r="367" spans="1:6" x14ac:dyDescent="0.25">
      <c r="A367">
        <v>213</v>
      </c>
      <c r="B367" s="1">
        <v>937.83399999999995</v>
      </c>
      <c r="C367" s="1">
        <v>22.996099999999998</v>
      </c>
      <c r="D367" s="1">
        <v>0.79309200000000002</v>
      </c>
      <c r="E367" s="1">
        <v>0.43713999999999997</v>
      </c>
      <c r="F367" s="1"/>
    </row>
    <row r="368" spans="1:6" x14ac:dyDescent="0.25">
      <c r="A368">
        <v>214</v>
      </c>
      <c r="B368" s="1">
        <v>944.85299999999995</v>
      </c>
      <c r="C368" s="1">
        <v>23.0059</v>
      </c>
      <c r="D368" s="1">
        <v>0.78359299999999998</v>
      </c>
      <c r="E368" s="1">
        <v>0.43387900000000001</v>
      </c>
      <c r="F368" s="1"/>
    </row>
    <row r="369" spans="1:6" x14ac:dyDescent="0.25">
      <c r="A369">
        <v>215</v>
      </c>
      <c r="B369" s="1">
        <v>951.89300000000003</v>
      </c>
      <c r="C369" s="1">
        <v>23.014900000000001</v>
      </c>
      <c r="D369" s="1">
        <v>0.77483199999999997</v>
      </c>
      <c r="E369" s="1">
        <v>0.43083900000000003</v>
      </c>
      <c r="F369" s="1"/>
    </row>
    <row r="370" spans="1:6" x14ac:dyDescent="0.25">
      <c r="A370">
        <v>216</v>
      </c>
      <c r="B370" s="1">
        <v>958.95500000000004</v>
      </c>
      <c r="C370" s="1">
        <v>23.023</v>
      </c>
      <c r="D370" s="1">
        <v>0.76683900000000005</v>
      </c>
      <c r="E370" s="1">
        <v>0.42802400000000002</v>
      </c>
      <c r="F370" s="1"/>
    </row>
    <row r="371" spans="1:6" x14ac:dyDescent="0.25">
      <c r="A371">
        <v>217</v>
      </c>
      <c r="B371" s="1">
        <v>966.04</v>
      </c>
      <c r="C371" s="1">
        <v>23.0303</v>
      </c>
      <c r="D371" s="1">
        <v>0.75965199999999999</v>
      </c>
      <c r="E371" s="1">
        <v>0.42542999999999997</v>
      </c>
      <c r="F371" s="1"/>
    </row>
    <row r="372" spans="1:6" x14ac:dyDescent="0.25">
      <c r="A372">
        <v>218</v>
      </c>
      <c r="B372" s="1">
        <v>973.149</v>
      </c>
      <c r="C372" s="1">
        <v>23.0367</v>
      </c>
      <c r="D372" s="1">
        <v>0.753305</v>
      </c>
      <c r="E372" s="1">
        <v>0.42307400000000001</v>
      </c>
      <c r="F372" s="1"/>
    </row>
    <row r="373" spans="1:6" x14ac:dyDescent="0.25">
      <c r="A373">
        <v>219</v>
      </c>
      <c r="B373" s="1">
        <v>980.28200000000004</v>
      </c>
      <c r="C373" s="1">
        <v>23.042300000000001</v>
      </c>
      <c r="D373" s="1">
        <v>0.74782400000000004</v>
      </c>
      <c r="E373" s="1">
        <v>0.42097299999999999</v>
      </c>
      <c r="F373" s="1"/>
    </row>
    <row r="374" spans="1:6" x14ac:dyDescent="0.25">
      <c r="A374">
        <v>220</v>
      </c>
      <c r="B374" s="1">
        <v>987.44100000000003</v>
      </c>
      <c r="C374" s="1">
        <v>23.047000000000001</v>
      </c>
      <c r="D374" s="1">
        <v>0.74322900000000003</v>
      </c>
      <c r="E374" s="1">
        <v>0.419153</v>
      </c>
      <c r="F374" s="1"/>
    </row>
    <row r="375" spans="1:6" x14ac:dyDescent="0.25">
      <c r="A375">
        <v>221</v>
      </c>
      <c r="B375" s="1">
        <v>994.62699999999995</v>
      </c>
      <c r="C375" s="1">
        <v>23.050799999999999</v>
      </c>
      <c r="D375" s="1">
        <v>0.739541</v>
      </c>
      <c r="E375" s="1">
        <v>0.417657</v>
      </c>
      <c r="F375" s="1"/>
    </row>
    <row r="376" spans="1:6" x14ac:dyDescent="0.25">
      <c r="A376">
        <v>222</v>
      </c>
      <c r="B376" s="1">
        <v>1001.84</v>
      </c>
      <c r="C376" s="1">
        <v>23.053699999999999</v>
      </c>
      <c r="D376" s="1">
        <v>0.73677599999999999</v>
      </c>
      <c r="E376" s="1">
        <v>0.416522</v>
      </c>
      <c r="F376" s="1"/>
    </row>
    <row r="377" spans="1:6" x14ac:dyDescent="0.25">
      <c r="A377">
        <v>223</v>
      </c>
      <c r="B377" s="1">
        <v>1009.08</v>
      </c>
      <c r="C377" s="1">
        <v>23.055700000000002</v>
      </c>
      <c r="D377" s="1">
        <v>0.73493299999999995</v>
      </c>
      <c r="E377" s="1">
        <v>0.41576999999999997</v>
      </c>
      <c r="F377" s="1"/>
    </row>
    <row r="378" spans="1:6" x14ac:dyDescent="0.25">
      <c r="A378">
        <v>224</v>
      </c>
      <c r="B378" s="1">
        <v>1016.36</v>
      </c>
      <c r="C378" s="1">
        <v>23.056699999999999</v>
      </c>
      <c r="D378" s="1">
        <v>0.73401099999999997</v>
      </c>
      <c r="E378" s="1">
        <v>0.41540300000000002</v>
      </c>
      <c r="F378" s="1"/>
    </row>
    <row r="379" spans="1:6" x14ac:dyDescent="0.25">
      <c r="B379" s="1"/>
      <c r="C379" s="1"/>
      <c r="D379" s="1"/>
      <c r="E379" s="1"/>
      <c r="F379" s="1"/>
    </row>
    <row r="380" spans="1:6" x14ac:dyDescent="0.25">
      <c r="B380" s="1" t="s">
        <v>369</v>
      </c>
      <c r="C380" s="1" t="s">
        <v>370</v>
      </c>
      <c r="D380" s="1" t="s">
        <v>373</v>
      </c>
      <c r="E380" s="1" t="s">
        <v>374</v>
      </c>
      <c r="F380" s="1"/>
    </row>
    <row r="381" spans="1:6" x14ac:dyDescent="0.25">
      <c r="A381">
        <v>1</v>
      </c>
      <c r="B381" s="1">
        <v>0.30789100000000003</v>
      </c>
      <c r="C381" s="1">
        <v>1.2763E-6</v>
      </c>
      <c r="D381" s="1">
        <v>3.1108600000000002E-5</v>
      </c>
      <c r="E381" s="1"/>
      <c r="F381" s="1"/>
    </row>
    <row r="382" spans="1:6" x14ac:dyDescent="0.25">
      <c r="A382">
        <v>2</v>
      </c>
      <c r="B382" s="1">
        <v>0.62376399999999999</v>
      </c>
      <c r="C382" s="1">
        <v>1.87046E-5</v>
      </c>
      <c r="D382" s="1">
        <v>2.6180000000000002E-4</v>
      </c>
      <c r="E382" s="1"/>
      <c r="F382" s="1"/>
    </row>
    <row r="383" spans="1:6" x14ac:dyDescent="0.25">
      <c r="A383">
        <v>3</v>
      </c>
      <c r="B383" s="1">
        <v>0.94890399999999997</v>
      </c>
      <c r="C383" s="1">
        <v>8.9758400000000004E-5</v>
      </c>
      <c r="D383" s="1">
        <v>9.3496900000000001E-4</v>
      </c>
      <c r="E383" s="1"/>
      <c r="F383" s="1"/>
    </row>
    <row r="384" spans="1:6" x14ac:dyDescent="0.25">
      <c r="A384">
        <v>4</v>
      </c>
      <c r="B384" s="1">
        <v>1.2846200000000001</v>
      </c>
      <c r="C384" s="1">
        <v>2.7177000000000001E-4</v>
      </c>
      <c r="D384" s="1">
        <v>2.3458799999999998E-3</v>
      </c>
      <c r="E384" s="1"/>
      <c r="F384" s="1"/>
    </row>
    <row r="385" spans="1:6" x14ac:dyDescent="0.25">
      <c r="A385">
        <v>5</v>
      </c>
      <c r="B385" s="1">
        <v>1.63222</v>
      </c>
      <c r="C385" s="1">
        <v>6.3922100000000004E-4</v>
      </c>
      <c r="D385" s="1">
        <v>4.8421899999999997E-3</v>
      </c>
      <c r="E385" s="1"/>
      <c r="F385" s="1"/>
    </row>
    <row r="386" spans="1:6" x14ac:dyDescent="0.25">
      <c r="A386">
        <v>6</v>
      </c>
      <c r="B386" s="1">
        <v>1.99305</v>
      </c>
      <c r="C386" s="1">
        <v>1.2817499999999999E-3</v>
      </c>
      <c r="D386" s="1">
        <v>8.8182799999999995E-3</v>
      </c>
      <c r="E386" s="1"/>
      <c r="F386" s="1"/>
    </row>
    <row r="387" spans="1:6" x14ac:dyDescent="0.25">
      <c r="A387">
        <v>7</v>
      </c>
      <c r="B387" s="1">
        <v>2.3684599999999998</v>
      </c>
      <c r="C387" s="1">
        <v>2.3025400000000001E-3</v>
      </c>
      <c r="D387" s="1">
        <v>1.47029E-2</v>
      </c>
      <c r="E387" s="1"/>
      <c r="F387" s="1"/>
    </row>
    <row r="388" spans="1:6" x14ac:dyDescent="0.25">
      <c r="A388">
        <v>8</v>
      </c>
      <c r="B388" s="1">
        <v>2.7598099999999999</v>
      </c>
      <c r="C388" s="1">
        <v>3.8168199999999998E-3</v>
      </c>
      <c r="D388" s="1">
        <v>2.29404E-2</v>
      </c>
      <c r="E388" s="1"/>
      <c r="F388" s="1"/>
    </row>
    <row r="389" spans="1:6" x14ac:dyDescent="0.25">
      <c r="A389">
        <v>9</v>
      </c>
      <c r="B389" s="1">
        <v>3.1684600000000001</v>
      </c>
      <c r="C389" s="1">
        <v>5.9504299999999996E-3</v>
      </c>
      <c r="D389" s="1">
        <v>3.39654E-2</v>
      </c>
      <c r="E389" s="1"/>
      <c r="F389" s="1"/>
    </row>
    <row r="390" spans="1:6" x14ac:dyDescent="0.25">
      <c r="A390">
        <v>10</v>
      </c>
      <c r="B390" s="1">
        <v>3.59579</v>
      </c>
      <c r="C390" s="1">
        <v>8.8381399999999995E-3</v>
      </c>
      <c r="D390" s="1">
        <v>4.8173300000000002E-2</v>
      </c>
      <c r="E390" s="1"/>
      <c r="F390" s="1"/>
    </row>
    <row r="391" spans="1:6" x14ac:dyDescent="0.25">
      <c r="A391">
        <v>11</v>
      </c>
      <c r="B391" s="1">
        <v>4.0431600000000003</v>
      </c>
      <c r="C391" s="1">
        <v>1.26219E-2</v>
      </c>
      <c r="D391" s="1">
        <v>6.5888600000000005E-2</v>
      </c>
      <c r="E391" s="1"/>
      <c r="F391" s="1"/>
    </row>
    <row r="392" spans="1:6" x14ac:dyDescent="0.25">
      <c r="A392">
        <v>12</v>
      </c>
      <c r="B392" s="1">
        <v>4.5119699999999998</v>
      </c>
      <c r="C392" s="1">
        <v>1.7448999999999999E-2</v>
      </c>
      <c r="D392" s="1">
        <v>8.7334099999999998E-2</v>
      </c>
      <c r="E392" s="1"/>
      <c r="F392" s="1"/>
    </row>
    <row r="393" spans="1:6" x14ac:dyDescent="0.25">
      <c r="A393">
        <v>13</v>
      </c>
      <c r="B393" s="1">
        <v>5.0035800000000004</v>
      </c>
      <c r="C393" s="1">
        <v>2.34696E-2</v>
      </c>
      <c r="D393" s="1">
        <v>0.112605</v>
      </c>
      <c r="E393" s="1"/>
      <c r="F393" s="1"/>
    </row>
    <row r="394" spans="1:6" x14ac:dyDescent="0.25">
      <c r="A394">
        <v>14</v>
      </c>
      <c r="B394" s="1">
        <v>5.51938</v>
      </c>
      <c r="C394" s="1">
        <v>3.0834799999999999E-2</v>
      </c>
      <c r="D394" s="1">
        <v>0.14165</v>
      </c>
      <c r="E394" s="1"/>
      <c r="F394" s="1"/>
    </row>
    <row r="395" spans="1:6" x14ac:dyDescent="0.25">
      <c r="A395">
        <v>15</v>
      </c>
      <c r="B395" s="1">
        <v>6.0607199999999999</v>
      </c>
      <c r="C395" s="1">
        <v>3.9694100000000003E-2</v>
      </c>
      <c r="D395" s="1">
        <v>0.174266</v>
      </c>
      <c r="E395" s="1"/>
      <c r="F395" s="1"/>
    </row>
    <row r="396" spans="1:6" x14ac:dyDescent="0.25">
      <c r="A396">
        <v>16</v>
      </c>
      <c r="B396" s="1">
        <v>6.6289600000000002</v>
      </c>
      <c r="C396" s="1">
        <v>5.0192199999999999E-2</v>
      </c>
      <c r="D396" s="1">
        <v>0.21009800000000001</v>
      </c>
      <c r="E396" s="1"/>
      <c r="F396" s="1"/>
    </row>
    <row r="397" spans="1:6" x14ac:dyDescent="0.25">
      <c r="A397">
        <v>17</v>
      </c>
      <c r="B397" s="1">
        <v>7.22546</v>
      </c>
      <c r="C397" s="1">
        <v>6.2466800000000003E-2</v>
      </c>
      <c r="D397" s="1">
        <v>0.24865999999999999</v>
      </c>
      <c r="E397" s="1"/>
      <c r="F397" s="1"/>
    </row>
    <row r="398" spans="1:6" x14ac:dyDescent="0.25">
      <c r="A398">
        <v>18</v>
      </c>
      <c r="B398" s="1">
        <v>7.8515600000000001</v>
      </c>
      <c r="C398" s="1">
        <v>7.6644900000000002E-2</v>
      </c>
      <c r="D398" s="1">
        <v>0.28935699999999998</v>
      </c>
      <c r="E398" s="1"/>
      <c r="F398" s="1"/>
    </row>
    <row r="399" spans="1:6" x14ac:dyDescent="0.25">
      <c r="A399">
        <v>19</v>
      </c>
      <c r="B399" s="1">
        <v>8.5085899999999999</v>
      </c>
      <c r="C399" s="1">
        <v>9.2838699999999996E-2</v>
      </c>
      <c r="D399" s="1">
        <v>0.33152500000000001</v>
      </c>
      <c r="E399" s="1"/>
      <c r="F399" s="1"/>
    </row>
    <row r="400" spans="1:6" x14ac:dyDescent="0.25">
      <c r="A400">
        <v>20</v>
      </c>
      <c r="B400" s="1">
        <v>9.1978399999999993</v>
      </c>
      <c r="C400" s="1">
        <v>0.111142</v>
      </c>
      <c r="D400" s="1">
        <v>0.37446299999999999</v>
      </c>
      <c r="E400" s="1"/>
      <c r="F400" s="1"/>
    </row>
    <row r="401" spans="1:6" x14ac:dyDescent="0.25">
      <c r="A401">
        <v>21</v>
      </c>
      <c r="B401" s="1">
        <v>9.9206299999999992</v>
      </c>
      <c r="C401" s="1">
        <v>0.13162599999999999</v>
      </c>
      <c r="D401" s="1">
        <v>0.41747800000000002</v>
      </c>
      <c r="E401" s="1"/>
      <c r="F401" s="1"/>
    </row>
    <row r="402" spans="1:6" x14ac:dyDescent="0.25">
      <c r="A402">
        <v>22</v>
      </c>
      <c r="B402" s="1">
        <v>10.6782</v>
      </c>
      <c r="C402" s="1">
        <v>0.154332</v>
      </c>
      <c r="D402" s="1">
        <v>0.45992</v>
      </c>
      <c r="E402" s="1"/>
      <c r="F402" s="1"/>
    </row>
    <row r="403" spans="1:6" x14ac:dyDescent="0.25">
      <c r="A403">
        <v>23</v>
      </c>
      <c r="B403" s="1">
        <v>11.4719</v>
      </c>
      <c r="C403" s="1">
        <v>0.17927199999999999</v>
      </c>
      <c r="D403" s="1">
        <v>0.50120799999999999</v>
      </c>
      <c r="E403" s="1"/>
      <c r="F403" s="1"/>
    </row>
    <row r="404" spans="1:6" x14ac:dyDescent="0.25">
      <c r="A404">
        <v>24</v>
      </c>
      <c r="B404" s="1">
        <v>12.3028</v>
      </c>
      <c r="C404" s="1">
        <v>0.20641899999999999</v>
      </c>
      <c r="D404" s="1">
        <v>0.54085300000000003</v>
      </c>
      <c r="E404" s="1"/>
      <c r="F404" s="1"/>
    </row>
    <row r="405" spans="1:6" x14ac:dyDescent="0.25">
      <c r="A405">
        <v>25</v>
      </c>
      <c r="B405" s="1">
        <v>13.1723</v>
      </c>
      <c r="C405" s="1">
        <v>0.23571</v>
      </c>
      <c r="D405" s="1">
        <v>0.57846900000000001</v>
      </c>
      <c r="E405" s="1"/>
      <c r="F405" s="1"/>
    </row>
    <row r="406" spans="1:6" x14ac:dyDescent="0.25">
      <c r="A406">
        <v>26</v>
      </c>
      <c r="B406" s="1">
        <v>14.0815</v>
      </c>
      <c r="C406" s="1">
        <v>0.26704</v>
      </c>
      <c r="D406" s="1">
        <v>0.61377599999999999</v>
      </c>
      <c r="E406" s="1"/>
      <c r="F406" s="1"/>
    </row>
    <row r="407" spans="1:6" x14ac:dyDescent="0.25">
      <c r="A407">
        <v>27</v>
      </c>
      <c r="B407" s="1">
        <v>15.031499999999999</v>
      </c>
      <c r="C407" s="1">
        <v>0.300265</v>
      </c>
      <c r="D407" s="1">
        <v>0.64659299999999997</v>
      </c>
      <c r="E407" s="1"/>
      <c r="F407" s="1"/>
    </row>
    <row r="408" spans="1:6" x14ac:dyDescent="0.25">
      <c r="A408">
        <v>28</v>
      </c>
      <c r="B408" s="1">
        <v>16.023599999999998</v>
      </c>
      <c r="C408" s="1">
        <v>0.33520299999999997</v>
      </c>
      <c r="D408" s="1">
        <v>0.67683000000000004</v>
      </c>
      <c r="E408" s="1"/>
      <c r="F408" s="1"/>
    </row>
    <row r="409" spans="1:6" x14ac:dyDescent="0.25">
      <c r="A409">
        <v>29</v>
      </c>
      <c r="B409" s="1">
        <v>17.058800000000002</v>
      </c>
      <c r="C409" s="1">
        <v>0.37164000000000003</v>
      </c>
      <c r="D409" s="1">
        <v>0.70447300000000002</v>
      </c>
      <c r="E409" s="1"/>
      <c r="F409" s="1"/>
    </row>
    <row r="410" spans="1:6" x14ac:dyDescent="0.25">
      <c r="A410">
        <v>30</v>
      </c>
      <c r="B410" s="1">
        <v>18.138200000000001</v>
      </c>
      <c r="C410" s="1">
        <v>0.409333</v>
      </c>
      <c r="D410" s="1">
        <v>0.72956799999999999</v>
      </c>
      <c r="E410" s="1"/>
      <c r="F410" s="1"/>
    </row>
    <row r="411" spans="1:6" x14ac:dyDescent="0.25">
      <c r="A411">
        <v>31</v>
      </c>
      <c r="B411" s="1">
        <v>19.262899999999998</v>
      </c>
      <c r="C411" s="1">
        <v>0.448015</v>
      </c>
      <c r="D411" s="1">
        <v>0.75220799999999999</v>
      </c>
      <c r="E411" s="1"/>
      <c r="F411" s="1"/>
    </row>
    <row r="412" spans="1:6" x14ac:dyDescent="0.25">
      <c r="A412">
        <v>32</v>
      </c>
      <c r="B412" s="1">
        <v>20.433900000000001</v>
      </c>
      <c r="C412" s="1">
        <v>0.48740800000000001</v>
      </c>
      <c r="D412" s="1">
        <v>0.77251999999999998</v>
      </c>
    </row>
    <row r="413" spans="1:6" x14ac:dyDescent="0.25">
      <c r="A413">
        <v>33</v>
      </c>
      <c r="B413" s="1">
        <v>21.652200000000001</v>
      </c>
      <c r="C413" s="1">
        <v>0.52722500000000005</v>
      </c>
      <c r="D413" s="1">
        <v>0.79064900000000005</v>
      </c>
    </row>
    <row r="414" spans="1:6" x14ac:dyDescent="0.25">
      <c r="A414">
        <v>34</v>
      </c>
      <c r="B414" s="1">
        <v>22.918700000000001</v>
      </c>
      <c r="C414" s="1">
        <v>0.56717600000000001</v>
      </c>
      <c r="D414" s="1">
        <v>0.80675200000000002</v>
      </c>
      <c r="E414" s="1"/>
    </row>
    <row r="415" spans="1:6" x14ac:dyDescent="0.25">
      <c r="A415">
        <v>35</v>
      </c>
      <c r="B415" s="1">
        <v>24.234500000000001</v>
      </c>
      <c r="C415" s="1">
        <v>0.60698200000000002</v>
      </c>
      <c r="D415" s="1">
        <v>0.82099200000000006</v>
      </c>
      <c r="E415" s="1"/>
    </row>
    <row r="416" spans="1:6" x14ac:dyDescent="0.25">
      <c r="A416">
        <v>36</v>
      </c>
      <c r="B416" s="1">
        <v>25.6004</v>
      </c>
      <c r="C416" s="1">
        <v>0.64637100000000003</v>
      </c>
      <c r="D416" s="1">
        <v>0.83352800000000005</v>
      </c>
      <c r="E416" s="1"/>
    </row>
    <row r="417" spans="1:5" x14ac:dyDescent="0.25">
      <c r="A417">
        <v>37</v>
      </c>
      <c r="B417" s="1">
        <v>27.017299999999999</v>
      </c>
      <c r="C417" s="1">
        <v>0.68509399999999998</v>
      </c>
      <c r="D417" s="1">
        <v>0.84451600000000004</v>
      </c>
      <c r="E417" s="1"/>
    </row>
    <row r="418" spans="1:5" x14ac:dyDescent="0.25">
      <c r="A418">
        <v>38</v>
      </c>
      <c r="B418" s="1">
        <v>28.4861</v>
      </c>
      <c r="C418" s="1">
        <v>0.72291700000000003</v>
      </c>
      <c r="D418" s="1">
        <v>0.85409900000000005</v>
      </c>
      <c r="E418" s="1"/>
    </row>
    <row r="419" spans="1:5" x14ac:dyDescent="0.25">
      <c r="A419">
        <v>39</v>
      </c>
      <c r="B419" s="1">
        <v>30.007400000000001</v>
      </c>
      <c r="C419" s="1">
        <v>0.75963499999999995</v>
      </c>
      <c r="D419" s="1">
        <v>0.86241599999999996</v>
      </c>
      <c r="E419" s="1"/>
    </row>
    <row r="420" spans="1:5" x14ac:dyDescent="0.25">
      <c r="A420">
        <v>40</v>
      </c>
      <c r="B420" s="1">
        <v>31.5822</v>
      </c>
      <c r="C420" s="1">
        <v>0.79506600000000005</v>
      </c>
      <c r="D420" s="1">
        <v>0.869591</v>
      </c>
      <c r="E420" s="1"/>
    </row>
    <row r="421" spans="1:5" x14ac:dyDescent="0.25">
      <c r="A421">
        <v>41</v>
      </c>
      <c r="B421" s="1">
        <v>33.211199999999998</v>
      </c>
      <c r="C421" s="1">
        <v>0.82905499999999999</v>
      </c>
      <c r="D421" s="1">
        <v>0.87573999999999996</v>
      </c>
      <c r="E421" s="1"/>
    </row>
    <row r="422" spans="1:5" x14ac:dyDescent="0.25">
      <c r="A422">
        <v>42</v>
      </c>
      <c r="B422" s="1">
        <v>34.895000000000003</v>
      </c>
      <c r="C422" s="1">
        <v>0.86147799999999997</v>
      </c>
      <c r="D422" s="1">
        <v>0.88097000000000003</v>
      </c>
      <c r="E422" s="1"/>
    </row>
    <row r="423" spans="1:5" x14ac:dyDescent="0.25">
      <c r="A423">
        <v>43</v>
      </c>
      <c r="B423" s="1">
        <v>36.634399999999999</v>
      </c>
      <c r="C423" s="1">
        <v>0.892235</v>
      </c>
      <c r="D423" s="1">
        <v>0.88537699999999997</v>
      </c>
      <c r="E423" s="1"/>
    </row>
    <row r="424" spans="1:5" x14ac:dyDescent="0.25">
      <c r="A424">
        <v>44</v>
      </c>
      <c r="B424" s="1">
        <v>38.43</v>
      </c>
      <c r="C424" s="1">
        <v>0.92125400000000002</v>
      </c>
      <c r="D424" s="1">
        <v>0.88904499999999997</v>
      </c>
      <c r="E424" s="1"/>
    </row>
    <row r="425" spans="1:5" x14ac:dyDescent="0.25">
      <c r="A425">
        <v>45</v>
      </c>
      <c r="B425" s="1">
        <v>40.282299999999999</v>
      </c>
      <c r="C425" s="1">
        <v>0.948488</v>
      </c>
      <c r="D425" s="1">
        <v>0.89205199999999996</v>
      </c>
      <c r="E425" s="1"/>
    </row>
    <row r="426" spans="1:5" x14ac:dyDescent="0.25">
      <c r="A426">
        <v>46</v>
      </c>
      <c r="B426" s="1">
        <v>42.192</v>
      </c>
      <c r="C426" s="1">
        <v>0.97391099999999997</v>
      </c>
      <c r="D426" s="1">
        <v>0.89446899999999996</v>
      </c>
      <c r="E426" s="1"/>
    </row>
    <row r="427" spans="1:5" x14ac:dyDescent="0.25">
      <c r="A427">
        <v>47</v>
      </c>
      <c r="B427" s="1">
        <v>44.159599999999998</v>
      </c>
      <c r="C427" s="1">
        <v>0.99751599999999996</v>
      </c>
      <c r="D427" s="1">
        <v>0.89635900000000002</v>
      </c>
      <c r="E427" s="1"/>
    </row>
    <row r="428" spans="1:5" x14ac:dyDescent="0.25">
      <c r="A428">
        <v>48</v>
      </c>
      <c r="B428" s="1">
        <v>46.185600000000001</v>
      </c>
      <c r="C428" s="1">
        <v>1.0193099999999999</v>
      </c>
      <c r="D428" s="1">
        <v>0.89778199999999997</v>
      </c>
      <c r="E428" s="1"/>
    </row>
    <row r="429" spans="1:5" x14ac:dyDescent="0.25">
      <c r="A429">
        <v>49</v>
      </c>
      <c r="B429" s="1">
        <v>48.270400000000002</v>
      </c>
      <c r="C429" s="1">
        <v>1.0393300000000001</v>
      </c>
      <c r="D429" s="1">
        <v>0.89878800000000003</v>
      </c>
      <c r="E429" s="1"/>
    </row>
    <row r="430" spans="1:5" x14ac:dyDescent="0.25">
      <c r="A430">
        <v>50</v>
      </c>
      <c r="B430" s="1">
        <v>50.414499999999997</v>
      </c>
      <c r="C430" s="1">
        <v>1.05762</v>
      </c>
      <c r="D430" s="1">
        <v>0.89942299999999997</v>
      </c>
      <c r="E430" s="1"/>
    </row>
    <row r="431" spans="1:5" x14ac:dyDescent="0.25">
      <c r="A431">
        <v>51</v>
      </c>
      <c r="B431" s="1">
        <v>52.618299999999998</v>
      </c>
      <c r="C431" s="1">
        <v>1.0742100000000001</v>
      </c>
      <c r="D431" s="1">
        <v>0.89972700000000005</v>
      </c>
      <c r="E431" s="1"/>
    </row>
    <row r="432" spans="1:5" x14ac:dyDescent="0.25">
      <c r="A432">
        <v>52</v>
      </c>
      <c r="B432" s="1">
        <v>54.882100000000001</v>
      </c>
      <c r="C432" s="1">
        <v>1.08918</v>
      </c>
      <c r="D432" s="1">
        <v>0.899733</v>
      </c>
      <c r="E432" s="1"/>
    </row>
    <row r="433" spans="1:5" x14ac:dyDescent="0.25">
      <c r="A433">
        <v>53</v>
      </c>
      <c r="B433" s="1">
        <v>57.206200000000003</v>
      </c>
      <c r="C433" s="1">
        <v>1.1026100000000001</v>
      </c>
      <c r="D433" s="1">
        <v>0.89947100000000002</v>
      </c>
      <c r="E433" s="1"/>
    </row>
    <row r="434" spans="1:5" x14ac:dyDescent="0.25">
      <c r="A434">
        <v>54</v>
      </c>
      <c r="B434" s="1">
        <v>59.591000000000001</v>
      </c>
      <c r="C434" s="1">
        <v>1.1145700000000001</v>
      </c>
      <c r="D434" s="1">
        <v>0.89896500000000001</v>
      </c>
      <c r="E434" s="1"/>
    </row>
    <row r="435" spans="1:5" x14ac:dyDescent="0.25">
      <c r="A435">
        <v>55</v>
      </c>
      <c r="B435" s="1">
        <v>62.036700000000003</v>
      </c>
      <c r="C435" s="1">
        <v>1.12514</v>
      </c>
      <c r="D435" s="1">
        <v>0.89823799999999998</v>
      </c>
      <c r="E435" s="1"/>
    </row>
    <row r="436" spans="1:5" x14ac:dyDescent="0.25">
      <c r="A436">
        <v>56</v>
      </c>
      <c r="B436" s="1">
        <v>64.543499999999995</v>
      </c>
      <c r="C436" s="1">
        <v>1.1344099999999999</v>
      </c>
      <c r="D436" s="1">
        <v>0.89730900000000002</v>
      </c>
      <c r="E436" s="1"/>
    </row>
    <row r="437" spans="1:5" x14ac:dyDescent="0.25">
      <c r="A437">
        <v>57</v>
      </c>
      <c r="B437" s="1">
        <v>67.111699999999999</v>
      </c>
      <c r="C437" s="1">
        <v>1.14249</v>
      </c>
      <c r="D437" s="1">
        <v>0.89619800000000005</v>
      </c>
      <c r="E437" s="1"/>
    </row>
    <row r="438" spans="1:5" x14ac:dyDescent="0.25">
      <c r="A438">
        <v>58</v>
      </c>
      <c r="B438" s="1">
        <v>69.741200000000006</v>
      </c>
      <c r="C438" s="1">
        <v>1.1494500000000001</v>
      </c>
      <c r="D438" s="1">
        <v>0.89491900000000002</v>
      </c>
      <c r="E438" s="1"/>
    </row>
    <row r="439" spans="1:5" x14ac:dyDescent="0.25">
      <c r="A439">
        <v>59</v>
      </c>
      <c r="B439" s="1">
        <v>72.432400000000001</v>
      </c>
      <c r="C439" s="1">
        <v>1.1553899999999999</v>
      </c>
      <c r="D439" s="1">
        <v>0.893486</v>
      </c>
      <c r="E439" s="1"/>
    </row>
    <row r="440" spans="1:5" x14ac:dyDescent="0.25">
      <c r="A440">
        <v>60</v>
      </c>
      <c r="B440" s="1">
        <v>75.185199999999995</v>
      </c>
      <c r="C440" s="1">
        <v>1.16039</v>
      </c>
      <c r="D440" s="1">
        <v>0.89190800000000003</v>
      </c>
      <c r="E440" s="1"/>
    </row>
    <row r="441" spans="1:5" x14ac:dyDescent="0.25">
      <c r="A441">
        <v>61</v>
      </c>
      <c r="B441" s="1">
        <v>77.999700000000004</v>
      </c>
      <c r="C441" s="1">
        <v>1.16455</v>
      </c>
      <c r="D441" s="1">
        <v>0.89019300000000001</v>
      </c>
      <c r="E441" s="1"/>
    </row>
    <row r="442" spans="1:5" x14ac:dyDescent="0.25">
      <c r="A442">
        <v>62</v>
      </c>
      <c r="B442" s="1">
        <v>80.876000000000005</v>
      </c>
      <c r="C442" s="1">
        <v>1.1679299999999999</v>
      </c>
      <c r="D442" s="1">
        <v>0.888347</v>
      </c>
      <c r="E442" s="1"/>
    </row>
    <row r="443" spans="1:5" x14ac:dyDescent="0.25">
      <c r="A443">
        <v>63</v>
      </c>
      <c r="B443" s="1">
        <v>83.813900000000004</v>
      </c>
      <c r="C443" s="1">
        <v>1.1706000000000001</v>
      </c>
      <c r="D443" s="1">
        <v>0.886378</v>
      </c>
      <c r="E443" s="1"/>
    </row>
    <row r="444" spans="1:5" x14ac:dyDescent="0.25">
      <c r="A444">
        <v>64</v>
      </c>
      <c r="B444" s="1">
        <v>86.813599999999994</v>
      </c>
      <c r="C444" s="1">
        <v>1.1726300000000001</v>
      </c>
      <c r="D444" s="1">
        <v>0.884293</v>
      </c>
      <c r="E444" s="1"/>
    </row>
    <row r="445" spans="1:5" x14ac:dyDescent="0.25">
      <c r="A445">
        <v>65</v>
      </c>
      <c r="B445" s="1">
        <v>89.874899999999997</v>
      </c>
      <c r="C445" s="1">
        <v>1.17408</v>
      </c>
      <c r="D445" s="1">
        <v>0.88209800000000005</v>
      </c>
      <c r="E445" s="1"/>
    </row>
    <row r="446" spans="1:5" x14ac:dyDescent="0.25">
      <c r="A446">
        <v>66</v>
      </c>
      <c r="B446" s="1">
        <v>92.997600000000006</v>
      </c>
      <c r="C446" s="1">
        <v>1.175</v>
      </c>
      <c r="D446" s="1">
        <v>0.87980000000000003</v>
      </c>
      <c r="E446" s="1"/>
    </row>
    <row r="447" spans="1:5" x14ac:dyDescent="0.25">
      <c r="A447">
        <v>67</v>
      </c>
      <c r="B447" s="1">
        <v>96.181799999999996</v>
      </c>
      <c r="C447" s="1">
        <v>1.17544</v>
      </c>
      <c r="D447" s="1">
        <v>0.87740399999999996</v>
      </c>
      <c r="E447" s="1"/>
    </row>
    <row r="448" spans="1:5" x14ac:dyDescent="0.25">
      <c r="A448">
        <v>68</v>
      </c>
      <c r="B448" s="1">
        <v>99.427099999999996</v>
      </c>
      <c r="C448" s="1">
        <v>1.1754500000000001</v>
      </c>
      <c r="D448" s="1">
        <v>0.87491399999999997</v>
      </c>
      <c r="E448" s="1"/>
    </row>
    <row r="449" spans="1:8" x14ac:dyDescent="0.25">
      <c r="A449">
        <v>69</v>
      </c>
      <c r="B449" s="1">
        <v>102.733</v>
      </c>
      <c r="C449" s="1">
        <v>1.1750799999999999</v>
      </c>
      <c r="D449" s="1">
        <v>0.872332</v>
      </c>
      <c r="E449" s="1"/>
    </row>
    <row r="450" spans="1:8" x14ac:dyDescent="0.25">
      <c r="A450">
        <v>70</v>
      </c>
      <c r="B450" s="1">
        <v>106.101</v>
      </c>
      <c r="C450" s="1">
        <v>1.17435</v>
      </c>
      <c r="D450" s="1">
        <v>0.86965999999999999</v>
      </c>
      <c r="E450" s="1"/>
    </row>
    <row r="451" spans="1:8" x14ac:dyDescent="0.25">
      <c r="A451">
        <v>71</v>
      </c>
      <c r="B451" s="1">
        <v>109.52800000000001</v>
      </c>
      <c r="C451" s="1">
        <v>1.1733100000000001</v>
      </c>
      <c r="D451" s="1">
        <v>0.86690100000000003</v>
      </c>
      <c r="E451" s="1"/>
    </row>
    <row r="452" spans="1:8" x14ac:dyDescent="0.25">
      <c r="A452">
        <v>72</v>
      </c>
      <c r="B452" s="1">
        <v>113.01600000000001</v>
      </c>
      <c r="C452" s="1">
        <v>1.1719900000000001</v>
      </c>
      <c r="D452" s="1">
        <v>0.86405500000000002</v>
      </c>
      <c r="E452" s="1"/>
    </row>
    <row r="453" spans="1:8" x14ac:dyDescent="0.25">
      <c r="A453">
        <v>73</v>
      </c>
      <c r="B453" s="1">
        <v>116.56399999999999</v>
      </c>
      <c r="C453" s="1">
        <v>1.1704000000000001</v>
      </c>
      <c r="D453" s="1">
        <v>0.86112500000000003</v>
      </c>
      <c r="E453" s="1"/>
    </row>
    <row r="454" spans="1:8" x14ac:dyDescent="0.25">
      <c r="A454">
        <v>74</v>
      </c>
      <c r="B454" s="1">
        <v>120.172</v>
      </c>
      <c r="C454" s="1">
        <v>1.16856</v>
      </c>
      <c r="D454" s="1">
        <v>0.85811400000000004</v>
      </c>
      <c r="E454" s="1"/>
    </row>
    <row r="455" spans="1:8" x14ac:dyDescent="0.25">
      <c r="A455">
        <v>75</v>
      </c>
      <c r="B455" s="1">
        <v>123.839</v>
      </c>
      <c r="C455" s="1">
        <v>1.16649</v>
      </c>
      <c r="D455" s="1">
        <v>0.85502299999999998</v>
      </c>
      <c r="E455" s="1"/>
    </row>
    <row r="456" spans="1:8" x14ac:dyDescent="0.25">
      <c r="A456">
        <v>76</v>
      </c>
      <c r="B456" s="1">
        <v>127.56399999999999</v>
      </c>
      <c r="C456" s="1">
        <v>1.16421</v>
      </c>
      <c r="D456" s="1">
        <v>0.85185200000000005</v>
      </c>
      <c r="E456" s="1"/>
    </row>
    <row r="457" spans="1:8" x14ac:dyDescent="0.25">
      <c r="A457">
        <v>77</v>
      </c>
      <c r="B457" s="1">
        <v>131.34899999999999</v>
      </c>
      <c r="C457" s="1">
        <v>1.16174</v>
      </c>
      <c r="D457" s="1">
        <v>0.848603</v>
      </c>
      <c r="E457" s="1"/>
    </row>
    <row r="458" spans="1:8" x14ac:dyDescent="0.25">
      <c r="A458">
        <v>78</v>
      </c>
      <c r="B458" s="1">
        <v>135.191</v>
      </c>
      <c r="C458" s="1">
        <v>1.15909</v>
      </c>
      <c r="D458" s="1">
        <v>0.845279</v>
      </c>
      <c r="E458" s="1"/>
    </row>
    <row r="459" spans="1:8" x14ac:dyDescent="0.25">
      <c r="A459">
        <v>79</v>
      </c>
      <c r="B459" s="1">
        <v>139.09100000000001</v>
      </c>
      <c r="C459" s="1">
        <v>1.1562699999999999</v>
      </c>
      <c r="D459" s="1">
        <v>0.84188099999999999</v>
      </c>
      <c r="E459" s="1"/>
      <c r="F459" s="1"/>
      <c r="G459" s="1"/>
      <c r="H459" s="1"/>
    </row>
    <row r="460" spans="1:8" x14ac:dyDescent="0.25">
      <c r="A460">
        <v>80</v>
      </c>
      <c r="B460" s="1">
        <v>143.048</v>
      </c>
      <c r="C460" s="1">
        <v>1.1533100000000001</v>
      </c>
      <c r="D460" s="1">
        <v>0.83841399999999999</v>
      </c>
      <c r="E460" s="1"/>
      <c r="F460" s="1"/>
      <c r="G460" s="1"/>
      <c r="H460" s="1"/>
    </row>
    <row r="461" spans="1:8" x14ac:dyDescent="0.25">
      <c r="A461">
        <v>81</v>
      </c>
      <c r="B461" s="1">
        <v>147.06200000000001</v>
      </c>
      <c r="C461" s="1">
        <v>1.1501999999999999</v>
      </c>
      <c r="D461" s="1">
        <v>0.83487900000000004</v>
      </c>
      <c r="E461" s="1"/>
      <c r="F461" s="1"/>
      <c r="G461" s="1"/>
      <c r="H461" s="1"/>
    </row>
    <row r="462" spans="1:8" x14ac:dyDescent="0.25">
      <c r="A462">
        <v>82</v>
      </c>
      <c r="B462" s="1">
        <v>151.13200000000001</v>
      </c>
      <c r="C462" s="1">
        <v>1.14697</v>
      </c>
      <c r="D462" s="1">
        <v>0.83127300000000004</v>
      </c>
      <c r="E462" s="1"/>
      <c r="F462" s="1"/>
      <c r="G462" s="1"/>
      <c r="H462" s="1"/>
    </row>
    <row r="463" spans="1:8" x14ac:dyDescent="0.25">
      <c r="A463">
        <v>83</v>
      </c>
      <c r="B463" s="1">
        <v>155.25800000000001</v>
      </c>
      <c r="C463" s="1">
        <v>1.1436200000000001</v>
      </c>
      <c r="D463" s="1">
        <v>0.82759899999999997</v>
      </c>
      <c r="E463" s="1"/>
      <c r="F463" s="1"/>
      <c r="G463" s="1"/>
      <c r="H463" s="1"/>
    </row>
    <row r="464" spans="1:8" x14ac:dyDescent="0.25">
      <c r="A464">
        <v>84</v>
      </c>
      <c r="B464" s="1">
        <v>159.43899999999999</v>
      </c>
      <c r="C464" s="1">
        <v>1.1401699999999999</v>
      </c>
      <c r="D464" s="1">
        <v>0.82386000000000004</v>
      </c>
      <c r="E464" s="1"/>
      <c r="F464" s="1"/>
      <c r="G464" s="1"/>
      <c r="H464" s="1"/>
    </row>
    <row r="465" spans="1:8" x14ac:dyDescent="0.25">
      <c r="A465">
        <v>85</v>
      </c>
      <c r="B465" s="1">
        <v>163.67500000000001</v>
      </c>
      <c r="C465" s="1">
        <v>1.13662</v>
      </c>
      <c r="D465" s="1">
        <v>0.82005600000000001</v>
      </c>
      <c r="E465" s="1"/>
      <c r="F465" s="1"/>
      <c r="G465" s="1"/>
      <c r="H465" s="1"/>
    </row>
    <row r="466" spans="1:8" x14ac:dyDescent="0.25">
      <c r="A466">
        <v>86</v>
      </c>
      <c r="B466" s="1">
        <v>167.964</v>
      </c>
      <c r="C466" s="1">
        <v>1.13297</v>
      </c>
      <c r="D466" s="1">
        <v>0.81618500000000005</v>
      </c>
      <c r="E466" s="1"/>
      <c r="F466" s="1"/>
      <c r="G466" s="1"/>
      <c r="H466" s="1"/>
    </row>
    <row r="467" spans="1:8" x14ac:dyDescent="0.25">
      <c r="A467">
        <v>87</v>
      </c>
      <c r="B467" s="1">
        <v>172.30699999999999</v>
      </c>
      <c r="C467" s="1">
        <v>1.1292199999999999</v>
      </c>
      <c r="D467" s="1">
        <v>0.81225099999999995</v>
      </c>
      <c r="E467" s="1"/>
      <c r="F467" s="1"/>
      <c r="G467" s="1"/>
      <c r="H467" s="1"/>
    </row>
    <row r="468" spans="1:8" x14ac:dyDescent="0.25">
      <c r="A468">
        <v>88</v>
      </c>
      <c r="B468" s="1">
        <v>176.703</v>
      </c>
      <c r="C468" s="1">
        <v>1.12537</v>
      </c>
      <c r="D468" s="1">
        <v>0.80825400000000003</v>
      </c>
      <c r="E468" s="1"/>
      <c r="F468" s="1"/>
      <c r="G468" s="1"/>
      <c r="H468" s="1"/>
    </row>
    <row r="469" spans="1:8" x14ac:dyDescent="0.25">
      <c r="A469">
        <v>89</v>
      </c>
      <c r="B469" s="1">
        <v>181.15</v>
      </c>
      <c r="C469" s="1">
        <v>1.1214200000000001</v>
      </c>
      <c r="D469" s="1">
        <v>0.80419499999999999</v>
      </c>
      <c r="E469" s="1"/>
      <c r="F469" s="1"/>
      <c r="G469" s="1"/>
      <c r="H469" s="1"/>
    </row>
    <row r="470" spans="1:8" x14ac:dyDescent="0.25">
      <c r="A470">
        <v>90</v>
      </c>
      <c r="B470" s="1">
        <v>185.65</v>
      </c>
      <c r="C470" s="1">
        <v>1.1173900000000001</v>
      </c>
      <c r="D470" s="1">
        <v>0.80007600000000001</v>
      </c>
      <c r="E470" s="1"/>
      <c r="F470" s="1"/>
      <c r="G470" s="1"/>
      <c r="H470" s="1"/>
    </row>
    <row r="471" spans="1:8" x14ac:dyDescent="0.25">
      <c r="A471">
        <v>91</v>
      </c>
      <c r="B471" s="1">
        <v>190.2</v>
      </c>
      <c r="C471" s="1">
        <v>1.1132899999999999</v>
      </c>
      <c r="D471" s="1">
        <v>0.79589900000000002</v>
      </c>
      <c r="E471" s="1"/>
      <c r="F471" s="1"/>
      <c r="G471" s="1"/>
      <c r="H471" s="1"/>
    </row>
    <row r="472" spans="1:8" x14ac:dyDescent="0.25">
      <c r="A472">
        <v>92</v>
      </c>
      <c r="B472" s="1">
        <v>194.8</v>
      </c>
      <c r="C472" s="1">
        <v>1.1091200000000001</v>
      </c>
      <c r="D472" s="1">
        <v>0.79166499999999995</v>
      </c>
      <c r="E472" s="1"/>
      <c r="F472" s="1"/>
      <c r="G472" s="1"/>
      <c r="H472" s="1"/>
    </row>
    <row r="473" spans="1:8" x14ac:dyDescent="0.25">
      <c r="A473">
        <v>93</v>
      </c>
      <c r="B473" s="1">
        <v>199.45</v>
      </c>
      <c r="C473" s="1">
        <v>1.1048899999999999</v>
      </c>
      <c r="D473" s="1">
        <v>0.78737199999999996</v>
      </c>
      <c r="E473" s="1"/>
      <c r="F473" s="1"/>
      <c r="G473" s="1"/>
      <c r="H473" s="1"/>
    </row>
    <row r="474" spans="1:8" x14ac:dyDescent="0.25">
      <c r="A474">
        <v>94</v>
      </c>
      <c r="B474" s="1">
        <v>204.149</v>
      </c>
      <c r="C474" s="1">
        <v>1.1006100000000001</v>
      </c>
      <c r="D474" s="1">
        <v>0.78302099999999997</v>
      </c>
      <c r="E474" s="1"/>
      <c r="F474" s="1"/>
      <c r="G474" s="1"/>
      <c r="H474" s="1"/>
    </row>
    <row r="475" spans="1:8" x14ac:dyDescent="0.25">
      <c r="A475">
        <v>95</v>
      </c>
      <c r="B475" s="1">
        <v>208.89599999999999</v>
      </c>
      <c r="C475" s="1">
        <v>1.0962799999999999</v>
      </c>
      <c r="D475" s="1">
        <v>0.778613</v>
      </c>
      <c r="E475" s="1"/>
      <c r="F475" s="1"/>
      <c r="G475" s="1"/>
      <c r="H475" s="1"/>
    </row>
    <row r="476" spans="1:8" x14ac:dyDescent="0.25">
      <c r="A476">
        <v>96</v>
      </c>
      <c r="B476" s="1">
        <v>213.691</v>
      </c>
      <c r="C476" s="1">
        <v>1.09188</v>
      </c>
      <c r="D476" s="1">
        <v>0.77415100000000003</v>
      </c>
      <c r="E476" s="1"/>
      <c r="F476" s="1"/>
      <c r="G476" s="1"/>
      <c r="H476" s="1"/>
    </row>
    <row r="477" spans="1:8" x14ac:dyDescent="0.25">
      <c r="A477">
        <v>97</v>
      </c>
      <c r="B477" s="1">
        <v>218.53200000000001</v>
      </c>
      <c r="C477" s="1">
        <v>1.08741</v>
      </c>
      <c r="D477" s="1">
        <v>0.76963599999999999</v>
      </c>
      <c r="E477" s="1"/>
      <c r="F477" s="1"/>
      <c r="G477" s="1"/>
      <c r="H477" s="1"/>
    </row>
    <row r="478" spans="1:8" x14ac:dyDescent="0.25">
      <c r="A478">
        <v>98</v>
      </c>
      <c r="B478" s="1">
        <v>223.41900000000001</v>
      </c>
      <c r="C478" s="1">
        <v>1.0828599999999999</v>
      </c>
      <c r="D478" s="1">
        <v>0.76506799999999997</v>
      </c>
      <c r="E478" s="1"/>
      <c r="F478" s="1"/>
      <c r="G478" s="1"/>
      <c r="H478" s="1"/>
    </row>
    <row r="479" spans="1:8" x14ac:dyDescent="0.25">
      <c r="A479">
        <v>99</v>
      </c>
      <c r="B479" s="1">
        <v>228.352</v>
      </c>
      <c r="C479" s="1">
        <v>1.0782400000000001</v>
      </c>
      <c r="D479" s="1">
        <v>0.76044599999999996</v>
      </c>
      <c r="E479" s="1"/>
      <c r="F479" s="1"/>
      <c r="G479" s="1"/>
      <c r="H479" s="1"/>
    </row>
    <row r="480" spans="1:8" x14ac:dyDescent="0.25">
      <c r="A480">
        <v>100</v>
      </c>
      <c r="B480" s="1">
        <v>233.32900000000001</v>
      </c>
      <c r="C480" s="1">
        <v>1.0735300000000001</v>
      </c>
      <c r="D480" s="1">
        <v>0.75577099999999997</v>
      </c>
      <c r="E480" s="1"/>
      <c r="F480" s="1"/>
      <c r="G480" s="1"/>
      <c r="H480" s="1"/>
    </row>
    <row r="481" spans="1:8" x14ac:dyDescent="0.25">
      <c r="A481">
        <v>101</v>
      </c>
      <c r="B481" s="1">
        <v>238.35</v>
      </c>
      <c r="C481" s="1">
        <v>1.0687500000000001</v>
      </c>
      <c r="D481" s="1">
        <v>0.75104599999999999</v>
      </c>
      <c r="E481" s="1"/>
      <c r="F481" s="1"/>
      <c r="G481" s="1"/>
      <c r="H481" s="1"/>
    </row>
    <row r="482" spans="1:8" x14ac:dyDescent="0.25">
      <c r="A482">
        <v>102</v>
      </c>
      <c r="B482" s="1">
        <v>243.41499999999999</v>
      </c>
      <c r="C482" s="1">
        <v>1.0638799999999999</v>
      </c>
      <c r="D482" s="1">
        <v>0.74627399999999999</v>
      </c>
      <c r="E482" s="1"/>
      <c r="F482" s="1"/>
      <c r="G482" s="1"/>
      <c r="H482" s="1"/>
    </row>
    <row r="483" spans="1:8" x14ac:dyDescent="0.25">
      <c r="A483">
        <v>103</v>
      </c>
      <c r="B483" s="1">
        <v>248.52099999999999</v>
      </c>
      <c r="C483" s="1">
        <v>1.0589200000000001</v>
      </c>
      <c r="D483" s="1">
        <v>0.74145700000000003</v>
      </c>
      <c r="E483" s="1"/>
      <c r="F483" s="1"/>
      <c r="G483" s="1"/>
      <c r="H483" s="1"/>
    </row>
    <row r="484" spans="1:8" x14ac:dyDescent="0.25">
      <c r="A484">
        <v>104</v>
      </c>
      <c r="B484" s="1">
        <v>253.67</v>
      </c>
      <c r="C484" s="1">
        <v>1.0538799999999999</v>
      </c>
      <c r="D484" s="1">
        <v>0.736595</v>
      </c>
      <c r="E484" s="1"/>
      <c r="F484" s="1"/>
      <c r="G484" s="1"/>
      <c r="H484" s="1"/>
    </row>
    <row r="485" spans="1:8" x14ac:dyDescent="0.25">
      <c r="A485">
        <v>105</v>
      </c>
      <c r="B485" s="1">
        <v>258.85899999999998</v>
      </c>
      <c r="C485" s="1">
        <v>1.0487299999999999</v>
      </c>
      <c r="D485" s="1">
        <v>0.73168599999999995</v>
      </c>
      <c r="E485" s="1"/>
      <c r="F485" s="1"/>
      <c r="G485" s="1"/>
      <c r="H485" s="1"/>
    </row>
    <row r="486" spans="1:8" x14ac:dyDescent="0.25">
      <c r="A486">
        <v>106</v>
      </c>
      <c r="B486" s="1">
        <v>264.08800000000002</v>
      </c>
      <c r="C486" s="1">
        <v>1.04349</v>
      </c>
      <c r="D486" s="1">
        <v>0.72673500000000002</v>
      </c>
      <c r="E486" s="1"/>
      <c r="F486" s="1"/>
      <c r="G486" s="1"/>
      <c r="H486" s="1"/>
    </row>
    <row r="487" spans="1:8" x14ac:dyDescent="0.25">
      <c r="A487">
        <v>107</v>
      </c>
      <c r="B487" s="1">
        <v>269.35700000000003</v>
      </c>
      <c r="C487" s="1">
        <v>1.03816</v>
      </c>
      <c r="D487" s="1">
        <v>0.72174199999999999</v>
      </c>
      <c r="E487" s="1"/>
      <c r="F487" s="1"/>
      <c r="G487" s="1"/>
      <c r="H487" s="1"/>
    </row>
    <row r="488" spans="1:8" x14ac:dyDescent="0.25">
      <c r="A488">
        <v>108</v>
      </c>
      <c r="B488" s="1">
        <v>274.66399999999999</v>
      </c>
      <c r="C488" s="1">
        <v>1.0327299999999999</v>
      </c>
      <c r="D488" s="1">
        <v>0.71670900000000004</v>
      </c>
      <c r="E488" s="1"/>
      <c r="F488" s="1"/>
      <c r="G488" s="1"/>
      <c r="H488" s="1"/>
    </row>
    <row r="489" spans="1:8" x14ac:dyDescent="0.25">
      <c r="A489">
        <v>109</v>
      </c>
      <c r="B489" s="1">
        <v>280.00900000000001</v>
      </c>
      <c r="C489" s="1">
        <v>1.02722</v>
      </c>
      <c r="D489" s="1">
        <v>0.71163500000000002</v>
      </c>
      <c r="E489" s="1"/>
      <c r="F489" s="1"/>
      <c r="G489" s="1"/>
      <c r="H489" s="1"/>
    </row>
    <row r="490" spans="1:8" x14ac:dyDescent="0.25">
      <c r="A490">
        <v>110</v>
      </c>
      <c r="B490" s="1">
        <v>285.392</v>
      </c>
      <c r="C490" s="1">
        <v>1.0216499999999999</v>
      </c>
      <c r="D490" s="1">
        <v>0.70651900000000001</v>
      </c>
      <c r="E490" s="1"/>
      <c r="F490" s="1"/>
      <c r="G490" s="1"/>
      <c r="H490" s="1"/>
    </row>
    <row r="491" spans="1:8" x14ac:dyDescent="0.25">
      <c r="A491">
        <v>111</v>
      </c>
      <c r="B491" s="1">
        <v>290.81</v>
      </c>
      <c r="C491" s="1">
        <v>1.0160100000000001</v>
      </c>
      <c r="D491" s="1">
        <v>0.70136299999999996</v>
      </c>
      <c r="E491" s="1"/>
      <c r="F491" s="1"/>
      <c r="G491" s="1"/>
      <c r="H491" s="1"/>
    </row>
    <row r="492" spans="1:8" x14ac:dyDescent="0.25">
      <c r="A492">
        <v>112</v>
      </c>
      <c r="B492" s="1">
        <v>296.26499999999999</v>
      </c>
      <c r="C492" s="1">
        <v>1.0102899999999999</v>
      </c>
      <c r="D492" s="1">
        <v>0.69616599999999995</v>
      </c>
      <c r="E492" s="1"/>
      <c r="F492" s="1"/>
      <c r="G492" s="1"/>
      <c r="H492" s="1"/>
    </row>
    <row r="493" spans="1:8" x14ac:dyDescent="0.25">
      <c r="A493">
        <v>113</v>
      </c>
      <c r="B493" s="1">
        <v>301.75400000000002</v>
      </c>
      <c r="C493" s="1">
        <v>1.00451</v>
      </c>
      <c r="D493" s="1">
        <v>0.69093099999999996</v>
      </c>
      <c r="E493" s="1"/>
      <c r="F493" s="1"/>
      <c r="G493" s="1"/>
      <c r="H493" s="1"/>
    </row>
    <row r="494" spans="1:8" x14ac:dyDescent="0.25">
      <c r="A494">
        <v>114</v>
      </c>
      <c r="B494" s="1">
        <v>307.27800000000002</v>
      </c>
      <c r="C494" s="1">
        <v>0.99867600000000001</v>
      </c>
      <c r="D494" s="1">
        <v>0.68566099999999996</v>
      </c>
      <c r="E494" s="1"/>
      <c r="F494" s="1"/>
      <c r="G494" s="1"/>
      <c r="H494" s="1"/>
    </row>
    <row r="495" spans="1:8" x14ac:dyDescent="0.25">
      <c r="A495">
        <v>115</v>
      </c>
      <c r="B495" s="1">
        <v>312.83499999999998</v>
      </c>
      <c r="C495" s="1">
        <v>0.99278299999999997</v>
      </c>
      <c r="D495" s="1">
        <v>0.68035599999999996</v>
      </c>
      <c r="E495" s="1"/>
      <c r="F495" s="1"/>
      <c r="G495" s="1"/>
      <c r="H495" s="1"/>
    </row>
    <row r="496" spans="1:8" x14ac:dyDescent="0.25">
      <c r="A496">
        <v>116</v>
      </c>
      <c r="B496" s="1">
        <v>318.42399999999998</v>
      </c>
      <c r="C496" s="1">
        <v>0.98684300000000003</v>
      </c>
      <c r="D496" s="1">
        <v>0.67502099999999998</v>
      </c>
      <c r="E496" s="1"/>
      <c r="F496" s="1"/>
      <c r="G496" s="1"/>
      <c r="H496" s="1"/>
    </row>
    <row r="497" spans="1:8" x14ac:dyDescent="0.25">
      <c r="A497">
        <v>117</v>
      </c>
      <c r="B497" s="1">
        <v>324.04599999999999</v>
      </c>
      <c r="C497" s="1">
        <v>0.98086600000000002</v>
      </c>
      <c r="D497" s="1">
        <v>0.66965600000000003</v>
      </c>
      <c r="E497" s="1"/>
      <c r="F497" s="1"/>
      <c r="G497" s="1"/>
      <c r="H497" s="1"/>
    </row>
    <row r="498" spans="1:8" x14ac:dyDescent="0.25">
      <c r="A498">
        <v>118</v>
      </c>
      <c r="B498" s="1">
        <v>329.69900000000001</v>
      </c>
      <c r="C498" s="1">
        <v>0.97485999999999995</v>
      </c>
      <c r="D498" s="1">
        <v>0.66425800000000002</v>
      </c>
      <c r="E498" s="1"/>
      <c r="F498" s="1"/>
      <c r="G498" s="1"/>
      <c r="H498" s="1"/>
    </row>
    <row r="499" spans="1:8" x14ac:dyDescent="0.25">
      <c r="A499">
        <v>119</v>
      </c>
      <c r="B499" s="1">
        <v>335.38200000000001</v>
      </c>
      <c r="C499" s="1">
        <v>0.968831</v>
      </c>
      <c r="D499" s="1">
        <v>0.65882600000000002</v>
      </c>
      <c r="E499" s="1"/>
      <c r="F499" s="1"/>
      <c r="G499" s="1"/>
      <c r="H499" s="1"/>
    </row>
    <row r="500" spans="1:8" x14ac:dyDescent="0.25">
      <c r="A500">
        <v>120</v>
      </c>
      <c r="B500" s="1">
        <v>341.096</v>
      </c>
      <c r="C500" s="1">
        <v>0.962781</v>
      </c>
      <c r="D500" s="1">
        <v>0.65335799999999999</v>
      </c>
      <c r="E500" s="1"/>
      <c r="F500" s="1"/>
      <c r="G500" s="1"/>
      <c r="H500" s="1"/>
    </row>
    <row r="501" spans="1:8" x14ac:dyDescent="0.25">
      <c r="A501">
        <v>121</v>
      </c>
      <c r="B501" s="1">
        <v>346.83800000000002</v>
      </c>
      <c r="C501" s="1">
        <v>0.95670699999999997</v>
      </c>
      <c r="D501" s="1">
        <v>0.64785599999999999</v>
      </c>
      <c r="E501" s="1"/>
      <c r="F501" s="1"/>
      <c r="G501" s="1"/>
      <c r="H501" s="1"/>
    </row>
    <row r="502" spans="1:8" x14ac:dyDescent="0.25">
      <c r="A502">
        <v>122</v>
      </c>
      <c r="B502" s="1">
        <v>352.60899999999998</v>
      </c>
      <c r="C502" s="1">
        <v>0.9506</v>
      </c>
      <c r="D502" s="1">
        <v>0.64232400000000001</v>
      </c>
      <c r="E502" s="1"/>
      <c r="F502" s="1"/>
      <c r="G502" s="1"/>
      <c r="H502" s="1"/>
    </row>
    <row r="503" spans="1:8" x14ac:dyDescent="0.25">
      <c r="A503">
        <v>123</v>
      </c>
      <c r="B503" s="1">
        <v>358.40800000000002</v>
      </c>
      <c r="C503" s="1">
        <v>0.94444700000000004</v>
      </c>
      <c r="D503" s="1">
        <v>0.63675999999999999</v>
      </c>
      <c r="E503" s="1"/>
      <c r="F503" s="1"/>
      <c r="G503" s="1"/>
      <c r="H503" s="1"/>
    </row>
    <row r="504" spans="1:8" x14ac:dyDescent="0.25">
      <c r="A504">
        <v>124</v>
      </c>
      <c r="B504" s="1">
        <v>364.233</v>
      </c>
      <c r="C504" s="1">
        <v>0.93824099999999999</v>
      </c>
      <c r="D504" s="1">
        <v>0.63116499999999998</v>
      </c>
      <c r="E504" s="1"/>
      <c r="F504" s="1"/>
      <c r="G504" s="1"/>
      <c r="H504" s="1"/>
    </row>
    <row r="505" spans="1:8" x14ac:dyDescent="0.25">
      <c r="A505">
        <v>125</v>
      </c>
      <c r="B505" s="1">
        <v>370.08499999999998</v>
      </c>
      <c r="C505" s="1">
        <v>0.93198000000000003</v>
      </c>
      <c r="D505" s="1">
        <v>0.62553499999999995</v>
      </c>
      <c r="E505" s="1"/>
      <c r="F505" s="1"/>
      <c r="G505" s="1"/>
      <c r="H505" s="1"/>
    </row>
    <row r="506" spans="1:8" x14ac:dyDescent="0.25">
      <c r="A506">
        <v>126</v>
      </c>
      <c r="B506" s="1">
        <v>375.96300000000002</v>
      </c>
      <c r="C506" s="1">
        <v>0.92566599999999999</v>
      </c>
      <c r="D506" s="1">
        <v>0.61987599999999998</v>
      </c>
      <c r="E506" s="1"/>
      <c r="F506" s="1"/>
      <c r="G506" s="1"/>
      <c r="H506" s="1"/>
    </row>
    <row r="507" spans="1:8" x14ac:dyDescent="0.25">
      <c r="A507">
        <v>127</v>
      </c>
      <c r="B507" s="1">
        <v>381.86599999999999</v>
      </c>
      <c r="C507" s="1">
        <v>0.91930000000000001</v>
      </c>
      <c r="D507" s="1">
        <v>0.61418799999999996</v>
      </c>
      <c r="E507" s="1"/>
      <c r="F507" s="1"/>
      <c r="G507" s="1"/>
      <c r="H507" s="1"/>
    </row>
    <row r="508" spans="1:8" x14ac:dyDescent="0.25">
      <c r="A508">
        <v>128</v>
      </c>
      <c r="B508" s="1">
        <v>387.79300000000001</v>
      </c>
      <c r="C508" s="1">
        <v>0.91288599999999998</v>
      </c>
      <c r="D508" s="1">
        <v>0.60847300000000004</v>
      </c>
      <c r="E508" s="1"/>
      <c r="F508" s="1"/>
      <c r="G508" s="1"/>
      <c r="H508" s="1"/>
    </row>
    <row r="509" spans="1:8" x14ac:dyDescent="0.25">
      <c r="A509">
        <v>129</v>
      </c>
      <c r="B509" s="1">
        <v>393.74400000000003</v>
      </c>
      <c r="C509" s="1">
        <v>0.90642599999999995</v>
      </c>
      <c r="D509" s="1">
        <v>0.60273299999999996</v>
      </c>
      <c r="E509" s="1"/>
      <c r="F509" s="1"/>
      <c r="G509" s="1"/>
      <c r="H509" s="1"/>
    </row>
    <row r="510" spans="1:8" x14ac:dyDescent="0.25">
      <c r="A510">
        <v>130</v>
      </c>
      <c r="B510" s="1">
        <v>399.71800000000002</v>
      </c>
      <c r="C510" s="1">
        <v>0.89992000000000005</v>
      </c>
      <c r="D510" s="1">
        <v>0.59697</v>
      </c>
      <c r="E510" s="1"/>
      <c r="F510" s="1"/>
      <c r="G510" s="1"/>
      <c r="H510" s="1"/>
    </row>
    <row r="511" spans="1:8" x14ac:dyDescent="0.25">
      <c r="A511">
        <v>131</v>
      </c>
      <c r="B511" s="1">
        <v>405.71499999999997</v>
      </c>
      <c r="C511" s="1">
        <v>0.89337299999999997</v>
      </c>
      <c r="D511" s="1">
        <v>0.59118499999999996</v>
      </c>
      <c r="E511" s="1"/>
      <c r="F511" s="1"/>
      <c r="G511" s="1"/>
      <c r="H511" s="1"/>
    </row>
    <row r="512" spans="1:8" x14ac:dyDescent="0.25">
      <c r="A512">
        <v>132</v>
      </c>
      <c r="B512" s="1">
        <v>411.73399999999998</v>
      </c>
      <c r="C512" s="1">
        <v>0.88678699999999999</v>
      </c>
      <c r="D512" s="1">
        <v>0.58537899999999998</v>
      </c>
      <c r="E512" s="1"/>
      <c r="F512" s="1"/>
      <c r="G512" s="1"/>
      <c r="H512" s="1"/>
    </row>
    <row r="513" spans="1:8" x14ac:dyDescent="0.25">
      <c r="A513">
        <v>133</v>
      </c>
      <c r="B513" s="1">
        <v>417.774</v>
      </c>
      <c r="C513" s="1">
        <v>0.880166</v>
      </c>
      <c r="D513" s="1">
        <v>0.57955199999999996</v>
      </c>
      <c r="E513" s="1"/>
      <c r="F513" s="1"/>
      <c r="G513" s="1"/>
      <c r="H513" s="1"/>
    </row>
    <row r="514" spans="1:8" x14ac:dyDescent="0.25">
      <c r="A514">
        <v>134</v>
      </c>
      <c r="B514" s="1">
        <v>423.83499999999998</v>
      </c>
      <c r="C514" s="1">
        <v>0.87351800000000002</v>
      </c>
      <c r="D514" s="1">
        <v>0.57370500000000002</v>
      </c>
      <c r="E514" s="1"/>
      <c r="F514" s="1"/>
      <c r="G514" s="1"/>
      <c r="H514" s="1"/>
    </row>
    <row r="515" spans="1:8" x14ac:dyDescent="0.25">
      <c r="A515">
        <v>135</v>
      </c>
      <c r="B515" s="1">
        <v>429.916</v>
      </c>
      <c r="C515" s="1">
        <v>0.86685400000000001</v>
      </c>
      <c r="D515" s="1">
        <v>0.56783799999999995</v>
      </c>
      <c r="E515" s="1"/>
      <c r="F515" s="1"/>
      <c r="G515" s="1"/>
      <c r="H515" s="1"/>
    </row>
    <row r="516" spans="1:8" x14ac:dyDescent="0.25">
      <c r="A516">
        <v>136</v>
      </c>
      <c r="B516" s="1">
        <v>436.01600000000002</v>
      </c>
      <c r="C516" s="1">
        <v>0.86018099999999997</v>
      </c>
      <c r="D516" s="1">
        <v>0.56194999999999995</v>
      </c>
      <c r="E516" s="1"/>
      <c r="F516" s="1"/>
      <c r="G516" s="1"/>
      <c r="H516" s="1"/>
    </row>
    <row r="517" spans="1:8" x14ac:dyDescent="0.25">
      <c r="A517">
        <v>137</v>
      </c>
      <c r="B517" s="1">
        <v>442.13600000000002</v>
      </c>
      <c r="C517" s="1">
        <v>0.85350700000000002</v>
      </c>
      <c r="D517" s="1">
        <v>0.55604100000000001</v>
      </c>
      <c r="E517" s="1"/>
      <c r="F517" s="1"/>
      <c r="G517" s="1"/>
      <c r="H517" s="1"/>
    </row>
    <row r="518" spans="1:8" x14ac:dyDescent="0.25">
      <c r="A518">
        <v>138</v>
      </c>
      <c r="B518" s="1">
        <v>448.274</v>
      </c>
      <c r="C518" s="1">
        <v>0.84684400000000004</v>
      </c>
      <c r="D518" s="1">
        <v>0.55011100000000002</v>
      </c>
      <c r="E518" s="1"/>
      <c r="F518" s="1"/>
      <c r="G518" s="1"/>
      <c r="H518" s="1"/>
    </row>
    <row r="519" spans="1:8" x14ac:dyDescent="0.25">
      <c r="A519">
        <v>139</v>
      </c>
      <c r="B519" s="1">
        <v>454.43</v>
      </c>
      <c r="C519" s="1">
        <v>0.84020099999999998</v>
      </c>
      <c r="D519" s="1">
        <v>0.54415999999999998</v>
      </c>
      <c r="E519" s="1"/>
      <c r="F519" s="1"/>
      <c r="G519" s="1"/>
      <c r="H519" s="1"/>
    </row>
    <row r="520" spans="1:8" x14ac:dyDescent="0.25">
      <c r="A520">
        <v>140</v>
      </c>
      <c r="B520" s="1">
        <v>460.60399999999998</v>
      </c>
      <c r="C520" s="1">
        <v>0.83357199999999998</v>
      </c>
      <c r="D520" s="1">
        <v>0.53819099999999997</v>
      </c>
      <c r="E520" s="1"/>
      <c r="F520" s="1"/>
      <c r="G520" s="1"/>
      <c r="H520" s="1"/>
    </row>
    <row r="521" spans="1:8" x14ac:dyDescent="0.25">
      <c r="A521">
        <v>141</v>
      </c>
      <c r="B521" s="1">
        <v>466.79500000000002</v>
      </c>
      <c r="C521" s="1">
        <v>0.82694800000000002</v>
      </c>
      <c r="D521" s="1">
        <v>0.53220400000000001</v>
      </c>
      <c r="E521" s="1"/>
      <c r="F521" s="1"/>
      <c r="G521" s="1"/>
      <c r="H521" s="1"/>
    </row>
    <row r="522" spans="1:8" x14ac:dyDescent="0.25">
      <c r="A522">
        <v>142</v>
      </c>
      <c r="B522" s="1">
        <v>473.00200000000001</v>
      </c>
      <c r="C522" s="1">
        <v>0.82031900000000002</v>
      </c>
      <c r="D522" s="1">
        <v>0.52620100000000003</v>
      </c>
      <c r="E522" s="1"/>
      <c r="F522" s="1"/>
      <c r="G522" s="1"/>
      <c r="H522" s="1"/>
    </row>
    <row r="523" spans="1:8" x14ac:dyDescent="0.25">
      <c r="A523">
        <v>143</v>
      </c>
      <c r="B523" s="1">
        <v>479.22500000000002</v>
      </c>
      <c r="C523" s="1">
        <v>0.81368700000000005</v>
      </c>
      <c r="D523" s="1">
        <v>0.52018399999999998</v>
      </c>
      <c r="E523" s="1"/>
      <c r="F523" s="1"/>
      <c r="G523" s="1"/>
      <c r="H523" s="1"/>
    </row>
    <row r="524" spans="1:8" x14ac:dyDescent="0.25">
      <c r="A524">
        <v>144</v>
      </c>
      <c r="B524" s="1">
        <v>485.464</v>
      </c>
      <c r="C524" s="1">
        <v>0.80705800000000005</v>
      </c>
      <c r="D524" s="1">
        <v>0.51415100000000002</v>
      </c>
      <c r="E524" s="1"/>
      <c r="F524" s="1"/>
      <c r="G524" s="1"/>
      <c r="H524" s="1"/>
    </row>
    <row r="525" spans="1:8" x14ac:dyDescent="0.25">
      <c r="A525">
        <v>145</v>
      </c>
      <c r="B525" s="1">
        <v>491.71699999999998</v>
      </c>
      <c r="C525" s="1">
        <v>0.80043200000000003</v>
      </c>
      <c r="D525" s="1">
        <v>0.50810200000000005</v>
      </c>
      <c r="E525" s="1"/>
      <c r="F525" s="1"/>
      <c r="G525" s="1"/>
      <c r="H525" s="1"/>
    </row>
    <row r="526" spans="1:8" x14ac:dyDescent="0.25">
      <c r="A526">
        <v>146</v>
      </c>
      <c r="B526" s="1">
        <v>497.98599999999999</v>
      </c>
      <c r="C526" s="1">
        <v>0.79380399999999995</v>
      </c>
      <c r="D526" s="1">
        <v>0.50203699999999996</v>
      </c>
      <c r="E526" s="1"/>
      <c r="F526" s="1"/>
      <c r="G526" s="1"/>
      <c r="H526" s="1"/>
    </row>
    <row r="527" spans="1:8" x14ac:dyDescent="0.25">
      <c r="A527">
        <v>147</v>
      </c>
      <c r="B527" s="1">
        <v>504.26900000000001</v>
      </c>
      <c r="C527" s="1">
        <v>0.78716900000000001</v>
      </c>
      <c r="D527" s="1">
        <v>0.49595400000000001</v>
      </c>
      <c r="E527" s="1"/>
      <c r="F527" s="1"/>
      <c r="G527" s="1"/>
      <c r="H527" s="1"/>
    </row>
    <row r="528" spans="1:8" x14ac:dyDescent="0.25">
      <c r="A528">
        <v>148</v>
      </c>
      <c r="B528" s="1">
        <v>510.565</v>
      </c>
      <c r="C528" s="1">
        <v>0.78052999999999995</v>
      </c>
      <c r="D528" s="1">
        <v>0.48985299999999998</v>
      </c>
      <c r="E528" s="1"/>
      <c r="F528" s="1"/>
      <c r="G528" s="1"/>
      <c r="H528" s="1"/>
    </row>
    <row r="529" spans="1:8" x14ac:dyDescent="0.25">
      <c r="A529">
        <v>149</v>
      </c>
      <c r="B529" s="1">
        <v>516.875</v>
      </c>
      <c r="C529" s="1">
        <v>0.77388900000000005</v>
      </c>
      <c r="D529" s="1">
        <v>0.483736</v>
      </c>
      <c r="E529" s="1"/>
      <c r="F529" s="1"/>
      <c r="G529" s="1"/>
      <c r="H529" s="1"/>
    </row>
    <row r="530" spans="1:8" x14ac:dyDescent="0.25">
      <c r="A530">
        <v>150</v>
      </c>
      <c r="B530" s="1">
        <v>523.19799999999998</v>
      </c>
      <c r="C530" s="1">
        <v>0.76725299999999996</v>
      </c>
      <c r="D530" s="1">
        <v>0.477607</v>
      </c>
      <c r="E530" s="1"/>
      <c r="F530" s="1"/>
      <c r="G530" s="1"/>
      <c r="H530" s="1"/>
    </row>
    <row r="531" spans="1:8" x14ac:dyDescent="0.25">
      <c r="A531">
        <v>151</v>
      </c>
      <c r="B531" s="1">
        <v>529.53399999999999</v>
      </c>
      <c r="C531" s="1">
        <v>0.760633</v>
      </c>
      <c r="D531" s="1">
        <v>0.471466</v>
      </c>
      <c r="E531" s="1"/>
      <c r="F531" s="1"/>
      <c r="G531" s="1"/>
      <c r="H531" s="1"/>
    </row>
    <row r="532" spans="1:8" x14ac:dyDescent="0.25">
      <c r="A532">
        <v>152</v>
      </c>
      <c r="B532" s="1">
        <v>535.88199999999995</v>
      </c>
      <c r="C532" s="1">
        <v>0.75404099999999996</v>
      </c>
      <c r="D532" s="1">
        <v>0.46531600000000001</v>
      </c>
      <c r="E532" s="1"/>
      <c r="F532" s="1"/>
      <c r="G532" s="1"/>
      <c r="H532" s="1"/>
    </row>
    <row r="533" spans="1:8" x14ac:dyDescent="0.25">
      <c r="A533">
        <v>153</v>
      </c>
      <c r="B533" s="1">
        <v>542.24199999999996</v>
      </c>
      <c r="C533" s="1">
        <v>0.74748700000000001</v>
      </c>
      <c r="D533" s="1">
        <v>0.45915600000000001</v>
      </c>
      <c r="E533" s="1"/>
      <c r="F533" s="1"/>
      <c r="G533" s="1"/>
      <c r="H533" s="1"/>
    </row>
    <row r="534" spans="1:8" x14ac:dyDescent="0.25">
      <c r="A534">
        <v>154</v>
      </c>
      <c r="B534" s="1">
        <v>548.61300000000006</v>
      </c>
      <c r="C534" s="1">
        <v>0.740977</v>
      </c>
      <c r="D534" s="1">
        <v>0.452986</v>
      </c>
      <c r="E534" s="1"/>
      <c r="F534" s="1"/>
      <c r="G534" s="1"/>
      <c r="H534" s="1"/>
    </row>
    <row r="535" spans="1:8" x14ac:dyDescent="0.25">
      <c r="A535">
        <v>155</v>
      </c>
      <c r="B535" s="1">
        <v>554.99599999999998</v>
      </c>
      <c r="C535" s="1">
        <v>0.73451200000000005</v>
      </c>
      <c r="D535" s="1">
        <v>0.44680500000000001</v>
      </c>
      <c r="E535" s="1"/>
      <c r="F535" s="1"/>
      <c r="G535" s="1"/>
      <c r="H535" s="1"/>
    </row>
    <row r="536" spans="1:8" x14ac:dyDescent="0.25">
      <c r="A536">
        <v>156</v>
      </c>
      <c r="B536" s="1">
        <v>561.39</v>
      </c>
      <c r="C536" s="1">
        <v>0.72809500000000005</v>
      </c>
      <c r="D536" s="1">
        <v>0.440612</v>
      </c>
      <c r="E536" s="1"/>
      <c r="F536" s="1"/>
      <c r="G536" s="1"/>
      <c r="H536" s="1"/>
    </row>
    <row r="537" spans="1:8" x14ac:dyDescent="0.25">
      <c r="A537">
        <v>157</v>
      </c>
      <c r="B537" s="1">
        <v>567.79499999999996</v>
      </c>
      <c r="C537" s="1">
        <v>0.72172800000000004</v>
      </c>
      <c r="D537" s="1">
        <v>0.43440800000000002</v>
      </c>
      <c r="E537" s="1"/>
      <c r="F537" s="1"/>
      <c r="G537" s="1"/>
      <c r="H537" s="1"/>
    </row>
    <row r="538" spans="1:8" x14ac:dyDescent="0.25">
      <c r="A538">
        <v>158</v>
      </c>
      <c r="B538" s="1">
        <v>574.21</v>
      </c>
      <c r="C538" s="1">
        <v>0.71541100000000002</v>
      </c>
      <c r="D538" s="1">
        <v>0.42819200000000002</v>
      </c>
      <c r="E538" s="1"/>
      <c r="F538" s="1"/>
      <c r="G538" s="1"/>
      <c r="H538" s="1"/>
    </row>
    <row r="539" spans="1:8" x14ac:dyDescent="0.25">
      <c r="A539">
        <v>159</v>
      </c>
      <c r="B539" s="1">
        <v>580.63499999999999</v>
      </c>
      <c r="C539" s="1">
        <v>0.70914500000000003</v>
      </c>
      <c r="D539" s="1">
        <v>0.42196499999999998</v>
      </c>
      <c r="E539" s="1"/>
      <c r="F539" s="1"/>
      <c r="G539" s="1"/>
      <c r="H539" s="1"/>
    </row>
    <row r="540" spans="1:8" x14ac:dyDescent="0.25">
      <c r="A540">
        <v>160</v>
      </c>
      <c r="B540" s="1">
        <v>587.07000000000005</v>
      </c>
      <c r="C540" s="1">
        <v>0.70293099999999997</v>
      </c>
      <c r="D540" s="1">
        <v>0.41572700000000001</v>
      </c>
      <c r="E540" s="1"/>
      <c r="F540" s="1"/>
      <c r="G540" s="1"/>
      <c r="H540" s="1"/>
    </row>
    <row r="541" spans="1:8" x14ac:dyDescent="0.25">
      <c r="A541">
        <v>161</v>
      </c>
      <c r="B541" s="1">
        <v>593.51499999999999</v>
      </c>
      <c r="C541" s="1">
        <v>0.69676800000000005</v>
      </c>
      <c r="D541" s="1">
        <v>0.40948000000000001</v>
      </c>
      <c r="E541" s="1"/>
      <c r="F541" s="1"/>
      <c r="G541" s="1"/>
      <c r="H541" s="1"/>
    </row>
    <row r="542" spans="1:8" x14ac:dyDescent="0.25">
      <c r="A542">
        <v>162</v>
      </c>
      <c r="B542" s="1">
        <v>599.97</v>
      </c>
      <c r="C542" s="1">
        <v>0.69065500000000002</v>
      </c>
      <c r="D542" s="1">
        <v>0.40322400000000003</v>
      </c>
      <c r="E542" s="1"/>
      <c r="F542" s="1"/>
      <c r="G542" s="1"/>
      <c r="H542" s="1"/>
    </row>
    <row r="543" spans="1:8" x14ac:dyDescent="0.25">
      <c r="A543">
        <v>163</v>
      </c>
      <c r="B543" s="1">
        <v>606.43299999999999</v>
      </c>
      <c r="C543" s="1">
        <v>0.68458300000000005</v>
      </c>
      <c r="D543" s="1">
        <v>0.39695900000000001</v>
      </c>
      <c r="E543" s="1"/>
      <c r="F543" s="1"/>
      <c r="G543" s="1"/>
      <c r="H543" s="1"/>
    </row>
    <row r="544" spans="1:8" x14ac:dyDescent="0.25">
      <c r="A544">
        <v>164</v>
      </c>
      <c r="B544" s="1">
        <v>612.90599999999995</v>
      </c>
      <c r="C544" s="1">
        <v>0.67854400000000004</v>
      </c>
      <c r="D544" s="1">
        <v>0.39068599999999998</v>
      </c>
      <c r="E544" s="1"/>
      <c r="F544" s="1"/>
      <c r="G544" s="1"/>
      <c r="H544" s="1"/>
    </row>
    <row r="545" spans="1:8" x14ac:dyDescent="0.25">
      <c r="A545">
        <v>165</v>
      </c>
      <c r="B545" s="1">
        <v>619.38800000000003</v>
      </c>
      <c r="C545" s="1">
        <v>0.67252299999999998</v>
      </c>
      <c r="D545" s="1">
        <v>0.384405</v>
      </c>
      <c r="E545" s="1"/>
      <c r="F545" s="1"/>
      <c r="G545" s="1"/>
      <c r="H545" s="1"/>
    </row>
    <row r="546" spans="1:8" x14ac:dyDescent="0.25">
      <c r="A546">
        <v>166</v>
      </c>
      <c r="B546" s="1">
        <v>625.87800000000004</v>
      </c>
      <c r="C546" s="1">
        <v>0.66650699999999996</v>
      </c>
      <c r="D546" s="1">
        <v>0.37811899999999998</v>
      </c>
      <c r="E546" s="1"/>
      <c r="F546" s="1"/>
      <c r="G546" s="1"/>
      <c r="H546" s="1"/>
    </row>
    <row r="547" spans="1:8" x14ac:dyDescent="0.25">
      <c r="A547">
        <v>167</v>
      </c>
      <c r="B547" s="1">
        <v>632.37699999999995</v>
      </c>
      <c r="C547" s="1">
        <v>0.66049100000000005</v>
      </c>
      <c r="D547" s="1">
        <v>0.37182700000000002</v>
      </c>
      <c r="E547" s="1"/>
      <c r="F547" s="1"/>
      <c r="G547" s="1"/>
      <c r="H547" s="1"/>
    </row>
    <row r="548" spans="1:8" x14ac:dyDescent="0.25">
      <c r="A548">
        <v>168</v>
      </c>
      <c r="B548" s="1">
        <v>638.88499999999999</v>
      </c>
      <c r="C548" s="1">
        <v>0.65448200000000001</v>
      </c>
      <c r="D548" s="1">
        <v>0.36552800000000002</v>
      </c>
      <c r="E548" s="1"/>
      <c r="F548" s="1"/>
      <c r="G548" s="1"/>
      <c r="H548" s="1"/>
    </row>
    <row r="549" spans="1:8" x14ac:dyDescent="0.25">
      <c r="A549">
        <v>169</v>
      </c>
      <c r="B549" s="1">
        <v>645.40099999999995</v>
      </c>
      <c r="C549" s="1">
        <v>0.64849699999999999</v>
      </c>
      <c r="D549" s="1">
        <v>0.35922100000000001</v>
      </c>
      <c r="E549" s="1"/>
      <c r="F549" s="1"/>
      <c r="G549" s="1"/>
      <c r="H549" s="1"/>
    </row>
    <row r="550" spans="1:8" x14ac:dyDescent="0.25">
      <c r="A550">
        <v>170</v>
      </c>
      <c r="B550" s="1">
        <v>651.92499999999995</v>
      </c>
      <c r="C550" s="1">
        <v>0.64255399999999996</v>
      </c>
      <c r="D550" s="1">
        <v>0.35290700000000003</v>
      </c>
      <c r="E550" s="1"/>
      <c r="F550" s="1"/>
      <c r="G550" s="1"/>
      <c r="H550" s="1"/>
    </row>
    <row r="551" spans="1:8" x14ac:dyDescent="0.25">
      <c r="A551">
        <v>171</v>
      </c>
      <c r="B551" s="1">
        <v>658.45699999999999</v>
      </c>
      <c r="C551" s="1">
        <v>0.63666999999999996</v>
      </c>
      <c r="D551" s="1">
        <v>0.34658800000000001</v>
      </c>
      <c r="E551" s="1"/>
      <c r="F551" s="1"/>
      <c r="G551" s="1"/>
      <c r="H551" s="1"/>
    </row>
    <row r="552" spans="1:8" x14ac:dyDescent="0.25">
      <c r="A552">
        <v>172</v>
      </c>
      <c r="B552" s="1">
        <v>664.99800000000005</v>
      </c>
      <c r="C552" s="1">
        <v>0.63085500000000005</v>
      </c>
      <c r="D552" s="1">
        <v>0.34026299999999998</v>
      </c>
      <c r="E552" s="1"/>
      <c r="F552" s="1"/>
      <c r="G552" s="1"/>
      <c r="H552" s="1"/>
    </row>
    <row r="553" spans="1:8" x14ac:dyDescent="0.25">
      <c r="A553">
        <v>173</v>
      </c>
      <c r="B553" s="1">
        <v>671.54600000000005</v>
      </c>
      <c r="C553" s="1">
        <v>0.62511499999999998</v>
      </c>
      <c r="D553" s="1">
        <v>0.33393400000000001</v>
      </c>
      <c r="E553" s="1"/>
      <c r="F553" s="1"/>
      <c r="G553" s="1"/>
      <c r="H553" s="1"/>
    </row>
    <row r="554" spans="1:8" x14ac:dyDescent="0.25">
      <c r="A554">
        <v>174</v>
      </c>
      <c r="B554" s="1">
        <v>678.10199999999998</v>
      </c>
      <c r="C554" s="1">
        <v>0.61945899999999998</v>
      </c>
      <c r="D554" s="1">
        <v>0.32760099999999998</v>
      </c>
      <c r="E554" s="1"/>
      <c r="F554" s="1"/>
      <c r="G554" s="1"/>
      <c r="H554" s="1"/>
    </row>
    <row r="555" spans="1:8" x14ac:dyDescent="0.25">
      <c r="A555">
        <v>175</v>
      </c>
      <c r="B555" s="1">
        <v>684.66700000000003</v>
      </c>
      <c r="C555" s="1">
        <v>0.61389899999999997</v>
      </c>
      <c r="D555" s="1">
        <v>0.32126199999999999</v>
      </c>
      <c r="E555" s="1"/>
      <c r="F555" s="1"/>
      <c r="G555" s="1"/>
      <c r="H555" s="1"/>
    </row>
    <row r="556" spans="1:8" x14ac:dyDescent="0.25">
      <c r="A556">
        <v>176</v>
      </c>
      <c r="B556" s="1">
        <v>691.23900000000003</v>
      </c>
      <c r="C556" s="1">
        <v>0.60844799999999999</v>
      </c>
      <c r="D556" s="1">
        <v>0.314919</v>
      </c>
      <c r="E556" s="1"/>
      <c r="F556" s="1"/>
      <c r="G556" s="1"/>
      <c r="H556" s="1"/>
    </row>
    <row r="557" spans="1:8" x14ac:dyDescent="0.25">
      <c r="A557">
        <v>177</v>
      </c>
      <c r="B557" s="1">
        <v>697.81899999999996</v>
      </c>
      <c r="C557" s="1">
        <v>0.60310799999999998</v>
      </c>
      <c r="D557" s="1">
        <v>0.30857200000000001</v>
      </c>
      <c r="E557" s="1"/>
      <c r="F557" s="1"/>
      <c r="G557" s="1"/>
      <c r="H557" s="1"/>
    </row>
    <row r="558" spans="1:8" x14ac:dyDescent="0.25">
      <c r="A558">
        <v>178</v>
      </c>
      <c r="B558" s="1">
        <v>704.40700000000004</v>
      </c>
      <c r="C558" s="1">
        <v>0.597881</v>
      </c>
      <c r="D558" s="1">
        <v>0.30221900000000002</v>
      </c>
      <c r="E558" s="1"/>
      <c r="F558" s="1"/>
      <c r="G558" s="1"/>
      <c r="H558" s="1"/>
    </row>
    <row r="559" spans="1:8" x14ac:dyDescent="0.25">
      <c r="A559">
        <v>179</v>
      </c>
      <c r="B559" s="1">
        <v>711.00300000000004</v>
      </c>
      <c r="C559" s="1">
        <v>0.59276099999999998</v>
      </c>
      <c r="D559" s="1">
        <v>0.29586099999999999</v>
      </c>
      <c r="E559" s="1"/>
      <c r="F559" s="1"/>
      <c r="G559" s="1"/>
      <c r="H559" s="1"/>
    </row>
    <row r="560" spans="1:8" x14ac:dyDescent="0.25">
      <c r="A560">
        <v>180</v>
      </c>
      <c r="B560" s="1">
        <v>717.60799999999995</v>
      </c>
      <c r="C560" s="1">
        <v>0.58773900000000001</v>
      </c>
      <c r="D560" s="1">
        <v>0.28949799999999998</v>
      </c>
      <c r="E560" s="1"/>
      <c r="F560" s="1"/>
      <c r="G560" s="1"/>
      <c r="H560" s="1"/>
    </row>
    <row r="561" spans="1:8" x14ac:dyDescent="0.25">
      <c r="A561">
        <v>181</v>
      </c>
      <c r="B561" s="1">
        <v>724.22</v>
      </c>
      <c r="C561" s="1">
        <v>0.58281099999999997</v>
      </c>
      <c r="D561" s="1">
        <v>0.28312900000000002</v>
      </c>
      <c r="E561" s="1"/>
      <c r="F561" s="1"/>
      <c r="G561" s="1"/>
      <c r="H561" s="1"/>
    </row>
    <row r="562" spans="1:8" x14ac:dyDescent="0.25">
      <c r="A562">
        <v>182</v>
      </c>
      <c r="B562" s="1">
        <v>730.84</v>
      </c>
      <c r="C562" s="1">
        <v>0.57797299999999996</v>
      </c>
      <c r="D562" s="1">
        <v>0.27675499999999997</v>
      </c>
      <c r="E562" s="1"/>
      <c r="F562" s="1"/>
      <c r="G562" s="1"/>
      <c r="H562" s="1"/>
    </row>
    <row r="563" spans="1:8" x14ac:dyDescent="0.25">
      <c r="A563">
        <v>183</v>
      </c>
      <c r="B563" s="1">
        <v>737.46900000000005</v>
      </c>
      <c r="C563" s="1">
        <v>0.57322499999999998</v>
      </c>
      <c r="D563" s="1">
        <v>0.27037499999999998</v>
      </c>
      <c r="E563" s="1"/>
      <c r="F563" s="1"/>
      <c r="G563" s="1"/>
      <c r="H563" s="1"/>
    </row>
    <row r="564" spans="1:8" x14ac:dyDescent="0.25">
      <c r="A564">
        <v>184</v>
      </c>
      <c r="B564" s="1">
        <v>744.10599999999999</v>
      </c>
      <c r="C564" s="1">
        <v>0.56856899999999999</v>
      </c>
      <c r="D564" s="1">
        <v>0.263988</v>
      </c>
      <c r="E564" s="1"/>
      <c r="F564" s="1"/>
      <c r="G564" s="1"/>
      <c r="H564" s="1"/>
    </row>
    <row r="565" spans="1:8" x14ac:dyDescent="0.25">
      <c r="A565">
        <v>185</v>
      </c>
      <c r="B565" s="1">
        <v>750.75099999999998</v>
      </c>
      <c r="C565" s="1">
        <v>0.56401000000000001</v>
      </c>
      <c r="D565" s="1">
        <v>0.25759500000000002</v>
      </c>
      <c r="E565" s="1"/>
      <c r="F565" s="1"/>
      <c r="G565" s="1"/>
      <c r="H565" s="1"/>
    </row>
    <row r="566" spans="1:8" x14ac:dyDescent="0.25">
      <c r="A566">
        <v>186</v>
      </c>
      <c r="B566" s="1">
        <v>757.40599999999995</v>
      </c>
      <c r="C566" s="1">
        <v>0.55954700000000002</v>
      </c>
      <c r="D566" s="1">
        <v>0.251195</v>
      </c>
      <c r="E566" s="1"/>
      <c r="F566" s="1"/>
      <c r="G566" s="1"/>
      <c r="H566" s="1"/>
    </row>
    <row r="567" spans="1:8" x14ac:dyDescent="0.25">
      <c r="A567">
        <v>187</v>
      </c>
      <c r="B567" s="1">
        <v>764.06899999999996</v>
      </c>
      <c r="C567" s="1">
        <v>0.55517700000000003</v>
      </c>
      <c r="D567" s="1">
        <v>0.24478800000000001</v>
      </c>
      <c r="E567" s="1"/>
      <c r="F567" s="1"/>
      <c r="G567" s="1"/>
      <c r="H567" s="1"/>
    </row>
    <row r="568" spans="1:8" x14ac:dyDescent="0.25">
      <c r="A568">
        <v>188</v>
      </c>
      <c r="B568" s="1">
        <v>770.74</v>
      </c>
      <c r="C568" s="1">
        <v>0.55089600000000005</v>
      </c>
      <c r="D568" s="1">
        <v>0.238374</v>
      </c>
      <c r="E568" s="1"/>
      <c r="F568" s="1"/>
      <c r="G568" s="1"/>
      <c r="H568" s="1"/>
    </row>
    <row r="569" spans="1:8" x14ac:dyDescent="0.25">
      <c r="A569">
        <v>189</v>
      </c>
      <c r="B569" s="1">
        <v>777.42100000000005</v>
      </c>
      <c r="C569" s="1">
        <v>0.54670600000000003</v>
      </c>
      <c r="D569" s="1">
        <v>0.23195299999999999</v>
      </c>
      <c r="E569" s="1"/>
      <c r="F569" s="1"/>
      <c r="G569" s="1"/>
      <c r="H569" s="1"/>
    </row>
    <row r="570" spans="1:8" x14ac:dyDescent="0.25">
      <c r="A570">
        <v>190</v>
      </c>
      <c r="B570" s="1">
        <v>784.11199999999997</v>
      </c>
      <c r="C570" s="1">
        <v>0.54261099999999995</v>
      </c>
      <c r="D570" s="1">
        <v>0.225526</v>
      </c>
      <c r="E570" s="1"/>
      <c r="F570" s="1"/>
      <c r="G570" s="1"/>
      <c r="H570" s="1"/>
    </row>
    <row r="571" spans="1:8" x14ac:dyDescent="0.25">
      <c r="A571">
        <v>191</v>
      </c>
      <c r="B571" s="1">
        <v>790.81200000000001</v>
      </c>
      <c r="C571" s="1">
        <v>0.53861999999999999</v>
      </c>
      <c r="D571" s="1">
        <v>0.21909100000000001</v>
      </c>
      <c r="E571" s="1"/>
      <c r="F571" s="1"/>
      <c r="G571" s="1"/>
      <c r="H571" s="1"/>
    </row>
    <row r="572" spans="1:8" x14ac:dyDescent="0.25">
      <c r="A572">
        <v>192</v>
      </c>
      <c r="B572" s="1">
        <v>797.52099999999996</v>
      </c>
      <c r="C572" s="1">
        <v>0.53473999999999999</v>
      </c>
      <c r="D572" s="1">
        <v>0.212649</v>
      </c>
      <c r="E572" s="1"/>
      <c r="F572" s="1"/>
      <c r="G572" s="1"/>
      <c r="H572" s="1"/>
    </row>
    <row r="573" spans="1:8" x14ac:dyDescent="0.25">
      <c r="A573">
        <v>193</v>
      </c>
      <c r="B573" s="1">
        <v>804.24099999999999</v>
      </c>
      <c r="C573" s="1">
        <v>0.53097799999999995</v>
      </c>
      <c r="D573" s="1">
        <v>0.20619699999999999</v>
      </c>
      <c r="E573" s="1"/>
      <c r="F573" s="1"/>
      <c r="G573" s="1"/>
      <c r="H573" s="1"/>
    </row>
    <row r="574" spans="1:8" x14ac:dyDescent="0.25">
      <c r="A574">
        <v>194</v>
      </c>
      <c r="B574" s="1">
        <v>810.97199999999998</v>
      </c>
      <c r="C574" s="1">
        <v>0.527335</v>
      </c>
      <c r="D574" s="1">
        <v>0.199736</v>
      </c>
      <c r="E574" s="1"/>
      <c r="F574" s="1"/>
      <c r="G574" s="1"/>
      <c r="H574" s="1"/>
    </row>
    <row r="575" spans="1:8" x14ac:dyDescent="0.25">
      <c r="A575">
        <v>195</v>
      </c>
      <c r="B575" s="1">
        <v>817.71199999999999</v>
      </c>
      <c r="C575" s="1">
        <v>0.52380400000000005</v>
      </c>
      <c r="D575" s="1">
        <v>0.19326699999999999</v>
      </c>
      <c r="E575" s="1"/>
      <c r="F575" s="1"/>
      <c r="G575" s="1"/>
      <c r="H575" s="1"/>
    </row>
    <row r="576" spans="1:8" x14ac:dyDescent="0.25">
      <c r="A576">
        <v>196</v>
      </c>
      <c r="B576" s="1">
        <v>824.46400000000006</v>
      </c>
      <c r="C576" s="1">
        <v>0.52037800000000001</v>
      </c>
      <c r="D576" s="1">
        <v>0.18679000000000001</v>
      </c>
      <c r="E576" s="1"/>
      <c r="F576" s="1"/>
      <c r="G576" s="1"/>
      <c r="H576" s="1"/>
    </row>
    <row r="577" spans="1:8" x14ac:dyDescent="0.25">
      <c r="A577">
        <v>197</v>
      </c>
      <c r="B577" s="1">
        <v>831.22699999999998</v>
      </c>
      <c r="C577" s="1">
        <v>0.51705599999999996</v>
      </c>
      <c r="D577" s="1">
        <v>0.18030399999999999</v>
      </c>
      <c r="E577" s="1"/>
      <c r="F577" s="1"/>
      <c r="G577" s="1"/>
      <c r="H577" s="1"/>
    </row>
    <row r="578" spans="1:8" x14ac:dyDescent="0.25">
      <c r="A578">
        <v>198</v>
      </c>
      <c r="B578" s="1">
        <v>838.00199999999995</v>
      </c>
      <c r="C578" s="1">
        <v>0.51383999999999996</v>
      </c>
      <c r="D578" s="1">
        <v>0.17380899999999999</v>
      </c>
      <c r="E578" s="1"/>
      <c r="F578" s="1"/>
      <c r="G578" s="1"/>
      <c r="H578" s="1"/>
    </row>
    <row r="579" spans="1:8" x14ac:dyDescent="0.25">
      <c r="A579">
        <v>199</v>
      </c>
      <c r="B579" s="1">
        <v>844.78899999999999</v>
      </c>
      <c r="C579" s="1">
        <v>0.51073500000000005</v>
      </c>
      <c r="D579" s="1">
        <v>0.16730500000000001</v>
      </c>
      <c r="E579" s="1"/>
      <c r="F579" s="1"/>
      <c r="G579" s="1"/>
      <c r="H579" s="1"/>
    </row>
    <row r="580" spans="1:8" x14ac:dyDescent="0.25">
      <c r="A580">
        <v>200</v>
      </c>
      <c r="B580" s="1">
        <v>851.58900000000006</v>
      </c>
      <c r="C580" s="1">
        <v>0.50774200000000003</v>
      </c>
      <c r="D580" s="1">
        <v>0.16078999999999999</v>
      </c>
      <c r="E580" s="1"/>
      <c r="F580" s="1"/>
      <c r="G580" s="1"/>
      <c r="H580" s="1"/>
    </row>
    <row r="581" spans="1:8" x14ac:dyDescent="0.25">
      <c r="A581">
        <v>201</v>
      </c>
      <c r="B581" s="1">
        <v>858.40099999999995</v>
      </c>
      <c r="C581" s="1">
        <v>0.50485999999999998</v>
      </c>
      <c r="D581" s="1">
        <v>0.15426400000000001</v>
      </c>
      <c r="E581" s="1"/>
      <c r="F581" s="1"/>
      <c r="G581" s="1"/>
      <c r="H581" s="1"/>
    </row>
    <row r="582" spans="1:8" x14ac:dyDescent="0.25">
      <c r="A582">
        <v>202</v>
      </c>
      <c r="B582" s="1">
        <v>865.226</v>
      </c>
      <c r="C582" s="1">
        <v>0.50208299999999995</v>
      </c>
      <c r="D582" s="1">
        <v>0.147727</v>
      </c>
      <c r="E582" s="1"/>
      <c r="F582" s="1"/>
      <c r="G582" s="1"/>
      <c r="H582" s="1"/>
    </row>
    <row r="583" spans="1:8" x14ac:dyDescent="0.25">
      <c r="A583">
        <v>203</v>
      </c>
      <c r="B583" s="1">
        <v>872.06600000000003</v>
      </c>
      <c r="C583" s="1">
        <v>0.49940499999999999</v>
      </c>
      <c r="D583" s="1">
        <v>0.14118</v>
      </c>
      <c r="E583" s="1"/>
      <c r="F583" s="1"/>
      <c r="G583" s="1"/>
      <c r="H583" s="1"/>
    </row>
    <row r="584" spans="1:8" x14ac:dyDescent="0.25">
      <c r="A584">
        <v>204</v>
      </c>
      <c r="B584" s="1">
        <v>878.91899999999998</v>
      </c>
      <c r="C584" s="1">
        <v>0.49682500000000002</v>
      </c>
      <c r="D584" s="1">
        <v>0.13462199999999999</v>
      </c>
      <c r="E584" s="1"/>
      <c r="F584" s="1"/>
      <c r="G584" s="1"/>
      <c r="H584" s="1"/>
    </row>
    <row r="585" spans="1:8" x14ac:dyDescent="0.25">
      <c r="A585">
        <v>205</v>
      </c>
      <c r="B585" s="1">
        <v>885.78800000000001</v>
      </c>
      <c r="C585" s="1">
        <v>0.494342</v>
      </c>
      <c r="D585" s="1">
        <v>0.128052</v>
      </c>
      <c r="E585" s="1"/>
      <c r="F585" s="1"/>
      <c r="G585" s="1"/>
      <c r="H585" s="1"/>
    </row>
    <row r="586" spans="1:8" x14ac:dyDescent="0.25">
      <c r="A586">
        <v>206</v>
      </c>
      <c r="B586" s="1">
        <v>892.67200000000003</v>
      </c>
      <c r="C586" s="1">
        <v>0.49196400000000001</v>
      </c>
      <c r="D586" s="1">
        <v>0.12146800000000001</v>
      </c>
      <c r="E586" s="1"/>
      <c r="F586" s="1"/>
      <c r="G586" s="1"/>
      <c r="H586" s="1"/>
    </row>
    <row r="587" spans="1:8" x14ac:dyDescent="0.25">
      <c r="A587">
        <v>207</v>
      </c>
      <c r="B587" s="1">
        <v>899.57100000000003</v>
      </c>
      <c r="C587" s="1">
        <v>0.48970000000000002</v>
      </c>
      <c r="D587" s="1">
        <v>0.11487</v>
      </c>
      <c r="E587" s="1"/>
      <c r="F587" s="1"/>
      <c r="G587" s="1"/>
      <c r="H587" s="1"/>
    </row>
    <row r="588" spans="1:8" x14ac:dyDescent="0.25">
      <c r="A588">
        <v>208</v>
      </c>
      <c r="B588" s="1">
        <v>906.48699999999997</v>
      </c>
      <c r="C588" s="1">
        <v>0.48755500000000002</v>
      </c>
      <c r="D588" s="1">
        <v>0.10825600000000001</v>
      </c>
      <c r="E588" s="1"/>
      <c r="F588" s="1"/>
      <c r="G588" s="1"/>
      <c r="H588" s="1"/>
    </row>
    <row r="589" spans="1:8" x14ac:dyDescent="0.25">
      <c r="A589">
        <v>209</v>
      </c>
      <c r="B589" s="1">
        <v>913.42100000000005</v>
      </c>
      <c r="C589" s="1">
        <v>0.48553299999999999</v>
      </c>
      <c r="D589" s="1">
        <v>0.101628</v>
      </c>
      <c r="E589" s="1"/>
      <c r="F589" s="1"/>
      <c r="G589" s="1"/>
      <c r="H589" s="1"/>
    </row>
    <row r="590" spans="1:8" x14ac:dyDescent="0.25">
      <c r="A590">
        <v>210</v>
      </c>
      <c r="B590" s="1">
        <v>920.37199999999996</v>
      </c>
      <c r="C590" s="1">
        <v>0.48363600000000001</v>
      </c>
      <c r="D590" s="1">
        <v>9.4985399999999998E-2</v>
      </c>
      <c r="E590" s="1"/>
      <c r="F590" s="1"/>
      <c r="G590" s="1"/>
      <c r="H590" s="1"/>
    </row>
    <row r="591" spans="1:8" x14ac:dyDescent="0.25">
      <c r="A591">
        <v>211</v>
      </c>
      <c r="B591" s="1">
        <v>927.34100000000001</v>
      </c>
      <c r="C591" s="1">
        <v>0.48186499999999999</v>
      </c>
      <c r="D591" s="1">
        <v>8.8329299999999999E-2</v>
      </c>
      <c r="E591" s="1"/>
      <c r="F591" s="1"/>
      <c r="G591" s="1"/>
      <c r="H591" s="1"/>
    </row>
    <row r="592" spans="1:8" x14ac:dyDescent="0.25">
      <c r="A592">
        <v>212</v>
      </c>
      <c r="B592" s="1">
        <v>934.33</v>
      </c>
      <c r="C592" s="1">
        <v>0.48021900000000001</v>
      </c>
      <c r="D592" s="1">
        <v>8.1658900000000006E-2</v>
      </c>
      <c r="E592" s="1"/>
      <c r="F592" s="1"/>
      <c r="G592" s="1"/>
      <c r="H592" s="1"/>
    </row>
    <row r="593" spans="1:8" x14ac:dyDescent="0.25">
      <c r="A593">
        <v>213</v>
      </c>
      <c r="B593" s="1">
        <v>941.33900000000006</v>
      </c>
      <c r="C593" s="1">
        <v>0.47869699999999998</v>
      </c>
      <c r="D593" s="1">
        <v>7.4972200000000003E-2</v>
      </c>
      <c r="E593" s="1"/>
      <c r="F593" s="1"/>
      <c r="G593" s="1"/>
      <c r="H593" s="1"/>
    </row>
    <row r="594" spans="1:8" x14ac:dyDescent="0.25">
      <c r="A594">
        <v>214</v>
      </c>
      <c r="B594" s="1">
        <v>948.36800000000005</v>
      </c>
      <c r="C594" s="1">
        <v>0.4773</v>
      </c>
      <c r="D594" s="1">
        <v>6.8266900000000005E-2</v>
      </c>
      <c r="E594" s="1"/>
      <c r="F594" s="1"/>
      <c r="G594" s="1"/>
      <c r="H594" s="1"/>
    </row>
    <row r="595" spans="1:8" x14ac:dyDescent="0.25">
      <c r="A595">
        <v>215</v>
      </c>
      <c r="B595" s="1">
        <v>955.41899999999998</v>
      </c>
      <c r="C595" s="1">
        <v>0.47602800000000001</v>
      </c>
      <c r="D595" s="1">
        <v>6.1541999999999999E-2</v>
      </c>
      <c r="E595" s="1"/>
      <c r="F595" s="1"/>
      <c r="G595" s="1"/>
      <c r="H595" s="1"/>
    </row>
    <row r="596" spans="1:8" x14ac:dyDescent="0.25">
      <c r="A596">
        <v>216</v>
      </c>
      <c r="B596" s="1">
        <v>962.49199999999996</v>
      </c>
      <c r="C596" s="1">
        <v>0.474885</v>
      </c>
      <c r="D596" s="1">
        <v>5.4796900000000003E-2</v>
      </c>
      <c r="E596" s="1"/>
      <c r="F596" s="1"/>
      <c r="G596" s="1"/>
      <c r="H596" s="1"/>
    </row>
    <row r="597" spans="1:8" x14ac:dyDescent="0.25">
      <c r="A597">
        <v>217</v>
      </c>
      <c r="B597" s="1">
        <v>969.58799999999997</v>
      </c>
      <c r="C597" s="1">
        <v>0.47387299999999999</v>
      </c>
      <c r="D597" s="1">
        <v>4.80306E-2</v>
      </c>
      <c r="E597" s="1"/>
      <c r="F597" s="1"/>
      <c r="G597" s="1"/>
      <c r="H597" s="1"/>
    </row>
    <row r="598" spans="1:8" x14ac:dyDescent="0.25">
      <c r="A598">
        <v>218</v>
      </c>
      <c r="B598" s="1">
        <v>976.70899999999995</v>
      </c>
      <c r="C598" s="1">
        <v>0.47299400000000003</v>
      </c>
      <c r="D598" s="1">
        <v>4.1241800000000002E-2</v>
      </c>
      <c r="E598" s="1"/>
      <c r="F598" s="1"/>
      <c r="G598" s="1"/>
      <c r="H598" s="1"/>
    </row>
    <row r="599" spans="1:8" x14ac:dyDescent="0.25">
      <c r="A599">
        <v>219</v>
      </c>
      <c r="B599" s="1">
        <v>983.85500000000002</v>
      </c>
      <c r="C599" s="1">
        <v>0.47224500000000003</v>
      </c>
      <c r="D599" s="1">
        <v>3.4430299999999997E-2</v>
      </c>
      <c r="E599" s="1"/>
      <c r="F599" s="1"/>
      <c r="G599" s="1"/>
      <c r="H599" s="1"/>
    </row>
    <row r="600" spans="1:8" x14ac:dyDescent="0.25">
      <c r="A600">
        <v>220</v>
      </c>
      <c r="B600" s="1">
        <v>991.02700000000004</v>
      </c>
      <c r="C600" s="1">
        <v>0.47162999999999999</v>
      </c>
      <c r="D600" s="1">
        <v>2.75953E-2</v>
      </c>
      <c r="E600" s="1"/>
      <c r="F600" s="1"/>
      <c r="G600" s="1"/>
      <c r="H600" s="1"/>
    </row>
    <row r="601" spans="1:8" x14ac:dyDescent="0.25">
      <c r="A601">
        <v>221</v>
      </c>
      <c r="B601" s="1">
        <v>998.226</v>
      </c>
      <c r="C601" s="1">
        <v>0.47114600000000001</v>
      </c>
      <c r="D601" s="1">
        <v>2.0735300000000002E-2</v>
      </c>
      <c r="E601" s="1"/>
      <c r="F601" s="1"/>
      <c r="G601" s="1"/>
      <c r="H601" s="1"/>
    </row>
    <row r="602" spans="1:8" x14ac:dyDescent="0.25">
      <c r="A602">
        <v>222</v>
      </c>
      <c r="B602" s="1">
        <v>1005.45</v>
      </c>
      <c r="C602" s="1">
        <v>0.47079599999999999</v>
      </c>
      <c r="D602" s="1">
        <v>1.38485E-2</v>
      </c>
      <c r="E602" s="1"/>
      <c r="F602" s="1"/>
      <c r="G602" s="1"/>
      <c r="H602" s="1"/>
    </row>
    <row r="603" spans="1:8" x14ac:dyDescent="0.25">
      <c r="A603">
        <v>223</v>
      </c>
      <c r="B603" s="1">
        <v>1012.71</v>
      </c>
      <c r="C603" s="1">
        <v>0.470582</v>
      </c>
      <c r="D603" s="1">
        <v>6.9358199999999997E-3</v>
      </c>
      <c r="E603" s="1"/>
      <c r="F603" s="1"/>
      <c r="G603" s="1"/>
      <c r="H603" s="1"/>
    </row>
    <row r="604" spans="1:8" x14ac:dyDescent="0.25">
      <c r="A604">
        <v>224</v>
      </c>
      <c r="B604" s="1">
        <v>1020</v>
      </c>
      <c r="C604" s="1">
        <v>0.47050900000000001</v>
      </c>
      <c r="D604" s="1">
        <v>0</v>
      </c>
      <c r="E604" s="1"/>
      <c r="F604" s="1"/>
      <c r="G604" s="1"/>
      <c r="H604" s="1"/>
    </row>
    <row r="605" spans="1:8" x14ac:dyDescent="0.25">
      <c r="B605" s="1"/>
      <c r="C605" s="1"/>
      <c r="D605" s="1"/>
      <c r="E605" s="1"/>
      <c r="F605" s="1"/>
      <c r="G605" s="1"/>
      <c r="H605" s="1"/>
    </row>
    <row r="606" spans="1:8" x14ac:dyDescent="0.25">
      <c r="B606" s="1"/>
      <c r="C606" s="1"/>
      <c r="D606" s="1"/>
      <c r="E606" s="1"/>
      <c r="F606" s="1"/>
      <c r="G606" s="1"/>
      <c r="H606" s="1"/>
    </row>
    <row r="607" spans="1:8" x14ac:dyDescent="0.25">
      <c r="A607">
        <v>6</v>
      </c>
      <c r="B607" s="1" t="s">
        <v>375</v>
      </c>
      <c r="C607" s="1" t="s">
        <v>36</v>
      </c>
      <c r="D607" s="1" t="s">
        <v>286</v>
      </c>
      <c r="E607" s="1" t="s">
        <v>266</v>
      </c>
      <c r="F607" s="1"/>
      <c r="G607" s="1"/>
      <c r="H607" s="1"/>
    </row>
    <row r="608" spans="1:8" x14ac:dyDescent="0.25">
      <c r="B608" s="1"/>
      <c r="C608" s="1"/>
      <c r="D608" s="1"/>
      <c r="E608" s="1"/>
      <c r="F608" s="1"/>
      <c r="G608" s="1"/>
      <c r="H608" s="1"/>
    </row>
    <row r="609" spans="1:9" x14ac:dyDescent="0.25">
      <c r="A609" t="s">
        <v>376</v>
      </c>
      <c r="B609" s="1" t="s">
        <v>36</v>
      </c>
      <c r="C609" s="1" t="s">
        <v>15</v>
      </c>
      <c r="D609" s="1" t="s">
        <v>117</v>
      </c>
      <c r="E609" s="1"/>
      <c r="F609" s="1"/>
      <c r="G609" s="1"/>
      <c r="H609" s="1"/>
    </row>
    <row r="610" spans="1:9" x14ac:dyDescent="0.25">
      <c r="B610" s="1"/>
      <c r="C610" s="1"/>
      <c r="D610" s="1"/>
      <c r="E610" s="1"/>
      <c r="F610" s="1"/>
      <c r="G610" s="1"/>
      <c r="H610" s="1"/>
    </row>
    <row r="611" spans="1:9" x14ac:dyDescent="0.25">
      <c r="B611" s="1" t="s">
        <v>369</v>
      </c>
      <c r="C611" s="1" t="s">
        <v>370</v>
      </c>
      <c r="D611" s="1" t="s">
        <v>377</v>
      </c>
      <c r="E611" s="1" t="s">
        <v>378</v>
      </c>
      <c r="F611" s="1" t="s">
        <v>379</v>
      </c>
      <c r="G611" s="1" t="s">
        <v>380</v>
      </c>
      <c r="H611" s="1" t="s">
        <v>381</v>
      </c>
      <c r="I611" t="s">
        <v>382</v>
      </c>
    </row>
    <row r="612" spans="1:9" x14ac:dyDescent="0.25">
      <c r="A612">
        <v>1</v>
      </c>
      <c r="B612" s="1">
        <v>0.153945</v>
      </c>
      <c r="C612" s="1">
        <v>7.4778099999999996E-6</v>
      </c>
      <c r="D612" s="1">
        <v>-0.24029700000000001</v>
      </c>
      <c r="E612" s="1">
        <v>3.2485999999999999E-3</v>
      </c>
      <c r="F612" s="1">
        <v>1.37542E-5</v>
      </c>
      <c r="G612" s="1">
        <v>0.23697099999999999</v>
      </c>
      <c r="H612" s="1">
        <v>-5.5628399999999998E-5</v>
      </c>
    </row>
    <row r="613" spans="1:9" x14ac:dyDescent="0.25">
      <c r="A613">
        <v>2</v>
      </c>
      <c r="B613" s="1">
        <v>0.46582699999999999</v>
      </c>
      <c r="C613" s="1">
        <v>1.19296E-4</v>
      </c>
      <c r="D613" s="1">
        <v>-0.22986000000000001</v>
      </c>
      <c r="E613" s="1">
        <v>8.3976599999999995E-3</v>
      </c>
      <c r="F613" s="1">
        <v>2.1433300000000001E-4</v>
      </c>
      <c r="G613" s="1">
        <v>0.221079</v>
      </c>
      <c r="H613" s="1">
        <v>-4.8968200000000003E-5</v>
      </c>
    </row>
    <row r="614" spans="1:9" x14ac:dyDescent="0.25">
      <c r="A614">
        <v>3</v>
      </c>
      <c r="B614" s="1">
        <v>0.78633399999999998</v>
      </c>
      <c r="C614" s="1">
        <v>5.47113E-4</v>
      </c>
      <c r="D614" s="1">
        <v>-0.221469</v>
      </c>
      <c r="E614" s="1">
        <v>1.24063E-2</v>
      </c>
      <c r="F614" s="1">
        <v>9.6289200000000002E-4</v>
      </c>
      <c r="G614" s="1">
        <v>0.207508</v>
      </c>
      <c r="H614" s="1">
        <v>-4.4915900000000001E-5</v>
      </c>
    </row>
    <row r="615" spans="1:9" x14ac:dyDescent="0.25">
      <c r="A615">
        <v>4</v>
      </c>
      <c r="B615" s="1">
        <v>1.11676</v>
      </c>
      <c r="C615" s="1">
        <v>1.55843E-3</v>
      </c>
      <c r="D615" s="1">
        <v>-0.21437500000000001</v>
      </c>
      <c r="E615" s="1">
        <v>1.5438800000000001E-2</v>
      </c>
      <c r="F615" s="1">
        <v>2.6650799999999998E-3</v>
      </c>
      <c r="G615" s="1">
        <v>0.19470100000000001</v>
      </c>
      <c r="H615" s="1">
        <v>-1.25438E-5</v>
      </c>
    </row>
    <row r="616" spans="1:9" x14ac:dyDescent="0.25">
      <c r="A616">
        <v>5</v>
      </c>
      <c r="B616" s="1">
        <v>1.45842</v>
      </c>
      <c r="C616" s="1">
        <v>3.46919E-3</v>
      </c>
      <c r="D616" s="1">
        <v>-0.20802999999999999</v>
      </c>
      <c r="E616" s="1">
        <v>1.76434E-2</v>
      </c>
      <c r="F616" s="1">
        <v>5.6967199999999997E-3</v>
      </c>
      <c r="G616" s="1">
        <v>0.18124399999999999</v>
      </c>
      <c r="H616" s="1">
        <v>2.2935899999999998E-5</v>
      </c>
    </row>
    <row r="617" spans="1:9" x14ac:dyDescent="0.25">
      <c r="A617">
        <v>6</v>
      </c>
      <c r="B617" s="1">
        <v>1.81264</v>
      </c>
      <c r="C617" s="1">
        <v>6.6353000000000002E-3</v>
      </c>
      <c r="D617" s="1">
        <v>-0.20197499999999999</v>
      </c>
      <c r="E617" s="1">
        <v>1.9152700000000002E-2</v>
      </c>
      <c r="F617" s="1">
        <v>1.0312E-2</v>
      </c>
      <c r="G617" s="1">
        <v>0.165931</v>
      </c>
      <c r="H617" s="1">
        <v>5.6369100000000002E-5</v>
      </c>
    </row>
    <row r="618" spans="1:9" x14ac:dyDescent="0.25">
      <c r="A618">
        <v>7</v>
      </c>
      <c r="B618" s="1">
        <v>2.1807599999999998</v>
      </c>
      <c r="C618" s="1">
        <v>1.14343E-2</v>
      </c>
      <c r="D618" s="1">
        <v>-0.19586400000000001</v>
      </c>
      <c r="E618" s="1">
        <v>2.0085100000000002E-2</v>
      </c>
      <c r="F618" s="1">
        <v>1.65462E-2</v>
      </c>
      <c r="G618" s="1">
        <v>0.14788399999999999</v>
      </c>
      <c r="H618" s="1">
        <v>8.5561899999999998E-5</v>
      </c>
    </row>
    <row r="619" spans="1:9" x14ac:dyDescent="0.25">
      <c r="A619">
        <v>8</v>
      </c>
      <c r="B619" s="1">
        <v>2.5641400000000001</v>
      </c>
      <c r="C619" s="1">
        <v>1.8236200000000001E-2</v>
      </c>
      <c r="D619" s="1">
        <v>-0.18948499999999999</v>
      </c>
      <c r="E619" s="1">
        <v>2.05452E-2</v>
      </c>
      <c r="F619" s="1">
        <v>2.41415E-2</v>
      </c>
      <c r="G619" s="1">
        <v>0.12667300000000001</v>
      </c>
      <c r="H619" s="1">
        <v>1.10945E-4</v>
      </c>
    </row>
    <row r="620" spans="1:9" x14ac:dyDescent="0.25">
      <c r="A620">
        <v>9</v>
      </c>
      <c r="B620" s="1">
        <v>2.9641299999999999</v>
      </c>
      <c r="C620" s="1">
        <v>2.7364200000000002E-2</v>
      </c>
      <c r="D620" s="1">
        <v>-0.18277499999999999</v>
      </c>
      <c r="E620" s="1">
        <v>2.0624E-2</v>
      </c>
      <c r="F620" s="1">
        <v>3.2520800000000002E-2</v>
      </c>
      <c r="G620" s="1">
        <v>0.10240100000000001</v>
      </c>
      <c r="H620" s="1">
        <v>1.3575600000000001E-4</v>
      </c>
    </row>
    <row r="621" spans="1:9" x14ac:dyDescent="0.25">
      <c r="A621">
        <v>10</v>
      </c>
      <c r="B621" s="1">
        <v>3.38212</v>
      </c>
      <c r="C621" s="1">
        <v>3.9047699999999998E-2</v>
      </c>
      <c r="D621" s="1">
        <v>-0.175815</v>
      </c>
      <c r="E621" s="1">
        <v>2.0399500000000001E-2</v>
      </c>
      <c r="F621" s="1">
        <v>4.0826000000000001E-2</v>
      </c>
      <c r="G621" s="1">
        <v>7.57076E-2</v>
      </c>
      <c r="H621" s="1">
        <v>1.6531299999999999E-4</v>
      </c>
    </row>
    <row r="622" spans="1:9" x14ac:dyDescent="0.25">
      <c r="A622">
        <v>11</v>
      </c>
      <c r="B622" s="1">
        <v>3.8194699999999999</v>
      </c>
      <c r="C622" s="1">
        <v>5.3374600000000001E-2</v>
      </c>
      <c r="D622" s="1">
        <v>-0.16881199999999999</v>
      </c>
      <c r="E622" s="1">
        <v>1.9935700000000001E-2</v>
      </c>
      <c r="F622" s="1">
        <v>4.8020199999999999E-2</v>
      </c>
      <c r="G622" s="1">
        <v>4.7687500000000001E-2</v>
      </c>
      <c r="H622" s="1">
        <v>2.0567900000000001E-4</v>
      </c>
    </row>
    <row r="623" spans="1:9" x14ac:dyDescent="0.25">
      <c r="A623">
        <v>12</v>
      </c>
      <c r="B623" s="1">
        <v>4.2775699999999999</v>
      </c>
      <c r="C623" s="1">
        <v>7.02483E-2</v>
      </c>
      <c r="D623" s="1">
        <v>-0.162049</v>
      </c>
      <c r="E623" s="1">
        <v>1.9283600000000001E-2</v>
      </c>
      <c r="F623" s="1">
        <v>5.3039700000000002E-2</v>
      </c>
      <c r="G623" s="1">
        <v>1.9739199999999998E-2</v>
      </c>
      <c r="H623" s="1">
        <v>2.6205299999999999E-4</v>
      </c>
    </row>
    <row r="624" spans="1:9" x14ac:dyDescent="0.25">
      <c r="A624">
        <v>13</v>
      </c>
      <c r="B624" s="1">
        <v>4.7577800000000003</v>
      </c>
      <c r="C624" s="1">
        <v>8.9360499999999995E-2</v>
      </c>
      <c r="D624" s="1">
        <v>-0.155829</v>
      </c>
      <c r="E624" s="1">
        <v>1.84811E-2</v>
      </c>
      <c r="F624" s="1">
        <v>5.49662E-2</v>
      </c>
      <c r="G624" s="1">
        <v>-6.6413599999999998E-3</v>
      </c>
      <c r="H624" s="1">
        <v>3.3733800000000002E-4</v>
      </c>
    </row>
    <row r="625" spans="1:8" x14ac:dyDescent="0.25">
      <c r="A625">
        <v>14</v>
      </c>
      <c r="B625" s="1">
        <v>5.2614799999999997</v>
      </c>
      <c r="C625" s="1">
        <v>0.11018600000000001</v>
      </c>
      <c r="D625" s="1">
        <v>-0.150421</v>
      </c>
      <c r="E625" s="1">
        <v>1.7554299999999998E-2</v>
      </c>
      <c r="F625" s="1">
        <v>5.3182399999999998E-2</v>
      </c>
      <c r="G625" s="1">
        <v>-3.0070800000000002E-2</v>
      </c>
      <c r="H625" s="1">
        <v>4.31247E-4</v>
      </c>
    </row>
    <row r="626" spans="1:8" x14ac:dyDescent="0.25">
      <c r="A626">
        <v>15</v>
      </c>
      <c r="B626" s="1">
        <v>5.7900499999999999</v>
      </c>
      <c r="C626" s="1">
        <v>0.13200500000000001</v>
      </c>
      <c r="D626" s="1">
        <v>-0.146005</v>
      </c>
      <c r="E626" s="1">
        <v>1.6519599999999999E-2</v>
      </c>
      <c r="F626" s="1">
        <v>4.74802E-2</v>
      </c>
      <c r="G626" s="1">
        <v>-4.9459099999999999E-2</v>
      </c>
      <c r="H626" s="1">
        <v>5.4019599999999995E-4</v>
      </c>
    </row>
    <row r="627" spans="1:8" x14ac:dyDescent="0.25">
      <c r="A627">
        <v>16</v>
      </c>
      <c r="B627" s="1">
        <v>6.3448399999999996</v>
      </c>
      <c r="C627" s="1">
        <v>0.15395200000000001</v>
      </c>
      <c r="D627" s="1">
        <v>-0.142651</v>
      </c>
      <c r="E627" s="1">
        <v>1.53864E-2</v>
      </c>
      <c r="F627" s="1">
        <v>3.8099500000000001E-2</v>
      </c>
      <c r="G627" s="1">
        <v>-6.4128699999999997E-2</v>
      </c>
      <c r="H627" s="1">
        <v>6.5798099999999997E-4</v>
      </c>
    </row>
    <row r="628" spans="1:8" x14ac:dyDescent="0.25">
      <c r="A628">
        <v>17</v>
      </c>
      <c r="B628" s="1">
        <v>6.9272099999999996</v>
      </c>
      <c r="C628" s="1">
        <v>0.175093</v>
      </c>
      <c r="D628" s="1">
        <v>-0.14030899999999999</v>
      </c>
      <c r="E628" s="1">
        <v>1.4160300000000001E-2</v>
      </c>
      <c r="F628" s="1">
        <v>2.56913E-2</v>
      </c>
      <c r="G628" s="1">
        <v>-7.3858599999999996E-2</v>
      </c>
      <c r="H628" s="1">
        <v>7.7701199999999999E-4</v>
      </c>
    </row>
    <row r="629" spans="1:8" x14ac:dyDescent="0.25">
      <c r="A629">
        <v>18</v>
      </c>
      <c r="B629" s="1">
        <v>7.5385099999999996</v>
      </c>
      <c r="C629" s="1">
        <v>0.19450500000000001</v>
      </c>
      <c r="D629" s="1">
        <v>-0.138824</v>
      </c>
      <c r="E629" s="1">
        <v>1.28469E-2</v>
      </c>
      <c r="F629" s="1">
        <v>1.1217400000000001E-2</v>
      </c>
      <c r="G629" s="1">
        <v>-7.8855300000000003E-2</v>
      </c>
      <c r="H629" s="1">
        <v>8.8976699999999997E-4</v>
      </c>
    </row>
    <row r="630" spans="1:8" x14ac:dyDescent="0.25">
      <c r="A630">
        <v>19</v>
      </c>
      <c r="B630" s="1">
        <v>8.1800700000000006</v>
      </c>
      <c r="C630" s="1">
        <v>0.211367</v>
      </c>
      <c r="D630" s="1">
        <v>-0.13797300000000001</v>
      </c>
      <c r="E630" s="1">
        <v>1.1455099999999999E-2</v>
      </c>
      <c r="F630" s="1">
        <v>-4.1909800000000004E-3</v>
      </c>
      <c r="G630" s="1">
        <v>-7.9668100000000006E-2</v>
      </c>
      <c r="H630" s="1">
        <v>9.9008800000000008E-4</v>
      </c>
    </row>
    <row r="631" spans="1:8" x14ac:dyDescent="0.25">
      <c r="A631">
        <v>20</v>
      </c>
      <c r="B631" s="1">
        <v>8.8532100000000007</v>
      </c>
      <c r="C631" s="1">
        <v>0.22502900000000001</v>
      </c>
      <c r="D631" s="1">
        <v>-0.13749600000000001</v>
      </c>
      <c r="E631" s="1">
        <v>9.99945E-3</v>
      </c>
      <c r="F631" s="1">
        <v>-1.9386899999999999E-2</v>
      </c>
      <c r="G631" s="1">
        <v>-7.7071000000000001E-2</v>
      </c>
      <c r="H631" s="1">
        <v>1.0740599999999999E-3</v>
      </c>
    </row>
    <row r="632" spans="1:8" x14ac:dyDescent="0.25">
      <c r="A632">
        <v>21</v>
      </c>
      <c r="B632" s="1">
        <v>9.5592299999999994</v>
      </c>
      <c r="C632" s="1">
        <v>0.23506299999999999</v>
      </c>
      <c r="D632" s="1">
        <v>-0.13714000000000001</v>
      </c>
      <c r="E632" s="1">
        <v>8.5017900000000004E-3</v>
      </c>
      <c r="F632" s="1">
        <v>-3.3345399999999997E-2</v>
      </c>
      <c r="G632" s="1">
        <v>-7.1938699999999994E-2</v>
      </c>
      <c r="H632" s="1">
        <v>1.14029E-3</v>
      </c>
    </row>
    <row r="633" spans="1:8" x14ac:dyDescent="0.25">
      <c r="A633">
        <v>22</v>
      </c>
      <c r="B633" s="1">
        <v>10.2994</v>
      </c>
      <c r="C633" s="1">
        <v>0.241285</v>
      </c>
      <c r="D633" s="1">
        <v>-0.136685</v>
      </c>
      <c r="E633" s="1">
        <v>6.9912200000000002E-3</v>
      </c>
      <c r="F633" s="1">
        <v>-4.5264699999999998E-2</v>
      </c>
      <c r="G633" s="1">
        <v>-6.5136299999999994E-2</v>
      </c>
      <c r="H633" s="1">
        <v>1.1896700000000001E-3</v>
      </c>
    </row>
    <row r="634" spans="1:8" x14ac:dyDescent="0.25">
      <c r="A634">
        <v>23</v>
      </c>
      <c r="B634" s="1">
        <v>11.074999999999999</v>
      </c>
      <c r="C634" s="1">
        <v>0.24374199999999999</v>
      </c>
      <c r="D634" s="1">
        <v>-0.135961</v>
      </c>
      <c r="E634" s="1">
        <v>5.5026099999999998E-3</v>
      </c>
      <c r="F634" s="1">
        <v>-5.4621400000000001E-2</v>
      </c>
      <c r="G634" s="1">
        <v>-5.7437500000000002E-2</v>
      </c>
      <c r="H634" s="1">
        <v>1.2247499999999999E-3</v>
      </c>
    </row>
    <row r="635" spans="1:8" x14ac:dyDescent="0.25">
      <c r="A635">
        <v>24</v>
      </c>
      <c r="B635" s="1">
        <v>11.8874</v>
      </c>
      <c r="C635" s="1">
        <v>0.24268400000000001</v>
      </c>
      <c r="D635" s="1">
        <v>-0.134856</v>
      </c>
      <c r="E635" s="1">
        <v>4.0741700000000002E-3</v>
      </c>
      <c r="F635" s="1">
        <v>-6.1178200000000002E-2</v>
      </c>
      <c r="G635" s="1">
        <v>-4.9474999999999998E-2</v>
      </c>
      <c r="H635" s="1">
        <v>1.24887E-3</v>
      </c>
    </row>
    <row r="636" spans="1:8" x14ac:dyDescent="0.25">
      <c r="A636">
        <v>25</v>
      </c>
      <c r="B636" s="1">
        <v>12.7376</v>
      </c>
      <c r="C636" s="1">
        <v>0.238511</v>
      </c>
      <c r="D636" s="1">
        <v>-0.13331200000000001</v>
      </c>
      <c r="E636" s="1">
        <v>2.74421E-3</v>
      </c>
      <c r="F636" s="1">
        <v>-6.4954499999999998E-2</v>
      </c>
      <c r="G636" s="1">
        <v>-4.1723299999999998E-2</v>
      </c>
      <c r="H636" s="1">
        <v>1.2654999999999999E-3</v>
      </c>
    </row>
    <row r="637" spans="1:8" x14ac:dyDescent="0.25">
      <c r="A637">
        <v>26</v>
      </c>
      <c r="B637" s="1">
        <v>13.626899999999999</v>
      </c>
      <c r="C637" s="1">
        <v>0.23172100000000001</v>
      </c>
      <c r="D637" s="1">
        <v>-0.13131599999999999</v>
      </c>
      <c r="E637" s="1">
        <v>1.5477500000000001E-3</v>
      </c>
      <c r="F637" s="1">
        <v>-6.6171999999999995E-2</v>
      </c>
      <c r="G637" s="1">
        <v>-3.4503499999999999E-2</v>
      </c>
      <c r="H637" s="1">
        <v>1.2775900000000001E-3</v>
      </c>
    </row>
    <row r="638" spans="1:8" x14ac:dyDescent="0.25">
      <c r="A638">
        <v>27</v>
      </c>
      <c r="B638" s="1">
        <v>14.5565</v>
      </c>
      <c r="C638" s="1">
        <v>0.222857</v>
      </c>
      <c r="D638" s="1">
        <v>-0.12889</v>
      </c>
      <c r="E638" s="1">
        <v>5.1349800000000004E-4</v>
      </c>
      <c r="F638" s="1">
        <v>-6.5188899999999994E-2</v>
      </c>
      <c r="G638" s="1">
        <v>-2.8004899999999999E-2</v>
      </c>
      <c r="H638" s="1">
        <v>1.2873299999999999E-3</v>
      </c>
    </row>
    <row r="639" spans="1:8" x14ac:dyDescent="0.25">
      <c r="A639">
        <v>28</v>
      </c>
      <c r="B639" s="1">
        <v>15.5276</v>
      </c>
      <c r="C639" s="1">
        <v>0.21245800000000001</v>
      </c>
      <c r="D639" s="1">
        <v>-0.12607399999999999</v>
      </c>
      <c r="E639" s="1">
        <v>-3.3849699999999999E-4</v>
      </c>
      <c r="F639" s="1">
        <v>-6.2436800000000001E-2</v>
      </c>
      <c r="G639" s="1">
        <v>-2.2313300000000001E-2</v>
      </c>
      <c r="H639" s="1">
        <v>1.29608E-3</v>
      </c>
    </row>
    <row r="640" spans="1:8" x14ac:dyDescent="0.25">
      <c r="A640">
        <v>29</v>
      </c>
      <c r="B640" s="1">
        <v>16.5412</v>
      </c>
      <c r="C640" s="1">
        <v>0.20102800000000001</v>
      </c>
      <c r="D640" s="1">
        <v>-0.12292</v>
      </c>
      <c r="E640" s="1">
        <v>-9.9818299999999993E-4</v>
      </c>
      <c r="F640" s="1">
        <v>-5.8365199999999999E-2</v>
      </c>
      <c r="G640" s="1">
        <v>-1.7439699999999999E-2</v>
      </c>
      <c r="H640" s="1">
        <v>1.30445E-3</v>
      </c>
    </row>
    <row r="641" spans="1:8" x14ac:dyDescent="0.25">
      <c r="A641">
        <v>30</v>
      </c>
      <c r="B641" s="1">
        <v>17.598500000000001</v>
      </c>
      <c r="C641" s="1">
        <v>0.18901100000000001</v>
      </c>
      <c r="D641" s="1">
        <v>-0.11948599999999999</v>
      </c>
      <c r="E641" s="1">
        <v>-1.4657800000000001E-3</v>
      </c>
      <c r="F641" s="1">
        <v>-5.3400799999999998E-2</v>
      </c>
      <c r="G641" s="1">
        <v>-1.3346E-2</v>
      </c>
      <c r="H641" s="1">
        <v>1.3124600000000001E-3</v>
      </c>
    </row>
    <row r="642" spans="1:8" x14ac:dyDescent="0.25">
      <c r="A642">
        <v>31</v>
      </c>
      <c r="B642" s="1">
        <v>18.700500000000002</v>
      </c>
      <c r="C642" s="1">
        <v>0.17678199999999999</v>
      </c>
      <c r="D642" s="1">
        <v>-0.115825</v>
      </c>
      <c r="E642" s="1">
        <v>-1.7509800000000001E-3</v>
      </c>
      <c r="F642" s="1">
        <v>-4.7920299999999999E-2</v>
      </c>
      <c r="G642" s="1">
        <v>-9.9660900000000004E-3</v>
      </c>
      <c r="H642" s="1">
        <v>1.3198000000000001E-3</v>
      </c>
    </row>
    <row r="643" spans="1:8" x14ac:dyDescent="0.25">
      <c r="A643">
        <v>32</v>
      </c>
      <c r="B643" s="1">
        <v>19.848400000000002</v>
      </c>
      <c r="C643" s="1">
        <v>0.16464400000000001</v>
      </c>
      <c r="D643" s="1">
        <v>-0.11199000000000001</v>
      </c>
      <c r="E643" s="1">
        <v>-1.8714300000000001E-3</v>
      </c>
      <c r="F643" s="1">
        <v>-4.2236599999999999E-2</v>
      </c>
      <c r="G643" s="1">
        <v>-7.2197299999999997E-3</v>
      </c>
      <c r="H643" s="1">
        <v>1.32602E-3</v>
      </c>
    </row>
    <row r="644" spans="1:8" x14ac:dyDescent="0.25">
      <c r="A644">
        <v>33</v>
      </c>
      <c r="B644" s="1">
        <v>21.042999999999999</v>
      </c>
      <c r="C644" s="1">
        <v>0.15282699999999999</v>
      </c>
      <c r="D644" s="1">
        <v>-0.108027</v>
      </c>
      <c r="E644" s="1">
        <v>-1.8506200000000001E-3</v>
      </c>
      <c r="F644" s="1">
        <v>-3.6595900000000001E-2</v>
      </c>
      <c r="G644" s="1">
        <v>-5.0227500000000003E-3</v>
      </c>
      <c r="H644" s="1">
        <v>1.3305999999999999E-3</v>
      </c>
    </row>
    <row r="645" spans="1:8" x14ac:dyDescent="0.25">
      <c r="A645">
        <v>34</v>
      </c>
      <c r="B645" s="1">
        <v>22.285499999999999</v>
      </c>
      <c r="C645" s="1">
        <v>0.14150199999999999</v>
      </c>
      <c r="D645" s="1">
        <v>-0.10398</v>
      </c>
      <c r="E645" s="1">
        <v>-1.7156300000000001E-3</v>
      </c>
      <c r="F645" s="1">
        <v>-3.1180300000000001E-2</v>
      </c>
      <c r="G645" s="1">
        <v>-3.2928800000000002E-3</v>
      </c>
      <c r="H645" s="1">
        <v>1.3330600000000001E-3</v>
      </c>
    </row>
    <row r="646" spans="1:8" x14ac:dyDescent="0.25">
      <c r="A646">
        <v>35</v>
      </c>
      <c r="B646" s="1">
        <v>23.576599999999999</v>
      </c>
      <c r="C646" s="1">
        <v>0.13078300000000001</v>
      </c>
      <c r="D646" s="1">
        <v>-9.9885799999999997E-2</v>
      </c>
      <c r="E646" s="1">
        <v>-1.49485E-3</v>
      </c>
      <c r="F646" s="1">
        <v>-2.6115300000000001E-2</v>
      </c>
      <c r="G646" s="1">
        <v>-1.9538699999999999E-3</v>
      </c>
      <c r="H646" s="1">
        <v>1.3330099999999999E-3</v>
      </c>
    </row>
    <row r="647" spans="1:8" x14ac:dyDescent="0.25">
      <c r="A647">
        <v>36</v>
      </c>
      <c r="B647" s="1">
        <v>24.9175</v>
      </c>
      <c r="C647" s="1">
        <v>0.120742</v>
      </c>
      <c r="D647" s="1">
        <v>-9.5780599999999994E-2</v>
      </c>
      <c r="E647" s="1">
        <v>-1.21583E-3</v>
      </c>
      <c r="F647" s="1">
        <v>-2.1478199999999999E-2</v>
      </c>
      <c r="G647" s="1">
        <v>-9.3768900000000001E-4</v>
      </c>
      <c r="H647" s="1">
        <v>1.33018E-3</v>
      </c>
    </row>
    <row r="648" spans="1:8" x14ac:dyDescent="0.25">
      <c r="A648">
        <v>37</v>
      </c>
      <c r="B648" s="1">
        <v>26.308900000000001</v>
      </c>
      <c r="C648" s="1">
        <v>0.111417</v>
      </c>
      <c r="D648" s="1">
        <v>-9.1695200000000004E-2</v>
      </c>
      <c r="E648" s="1">
        <v>-9.0362799999999996E-4</v>
      </c>
      <c r="F648" s="1">
        <v>-1.73087E-2</v>
      </c>
      <c r="G648" s="1">
        <v>-1.8468900000000001E-4</v>
      </c>
      <c r="H648" s="1">
        <v>1.32441E-3</v>
      </c>
    </row>
    <row r="649" spans="1:8" x14ac:dyDescent="0.25">
      <c r="A649">
        <v>38</v>
      </c>
      <c r="B649" s="1">
        <v>27.7517</v>
      </c>
      <c r="C649" s="1">
        <v>0.102815</v>
      </c>
      <c r="D649" s="1">
        <v>-8.7658100000000003E-2</v>
      </c>
      <c r="E649" s="1">
        <v>-5.7975300000000002E-4</v>
      </c>
      <c r="F649" s="1">
        <v>-1.36179E-2</v>
      </c>
      <c r="G649" s="1">
        <v>3.5651699999999999E-4</v>
      </c>
      <c r="H649" s="1">
        <v>1.31573E-3</v>
      </c>
    </row>
    <row r="650" spans="1:8" x14ac:dyDescent="0.25">
      <c r="A650">
        <v>39</v>
      </c>
      <c r="B650" s="1">
        <v>29.246700000000001</v>
      </c>
      <c r="C650" s="1">
        <v>9.4927300000000006E-2</v>
      </c>
      <c r="D650" s="1">
        <v>-8.3694000000000005E-2</v>
      </c>
      <c r="E650" s="1">
        <v>-2.6197999999999998E-4</v>
      </c>
      <c r="F650" s="1">
        <v>-1.03964E-2</v>
      </c>
      <c r="G650" s="1">
        <v>7.2937200000000005E-4</v>
      </c>
      <c r="H650" s="1">
        <v>1.30422E-3</v>
      </c>
    </row>
    <row r="651" spans="1:8" x14ac:dyDescent="0.25">
      <c r="A651">
        <v>40</v>
      </c>
      <c r="B651" s="1">
        <v>30.794799999999999</v>
      </c>
      <c r="C651" s="1">
        <v>8.7729299999999996E-2</v>
      </c>
      <c r="D651" s="1">
        <v>-7.9824900000000004E-2</v>
      </c>
      <c r="E651" s="1">
        <v>3.5503400000000003E-5</v>
      </c>
      <c r="F651" s="1">
        <v>-7.6207599999999999E-3</v>
      </c>
      <c r="G651" s="1">
        <v>9.7094E-4</v>
      </c>
      <c r="H651" s="1">
        <v>1.2900100000000001E-3</v>
      </c>
    </row>
    <row r="652" spans="1:8" x14ac:dyDescent="0.25">
      <c r="A652">
        <v>41</v>
      </c>
      <c r="B652" s="1">
        <v>32.396700000000003</v>
      </c>
      <c r="C652" s="1">
        <v>8.1186499999999995E-2</v>
      </c>
      <c r="D652" s="1">
        <v>-7.6069399999999995E-2</v>
      </c>
      <c r="E652" s="1">
        <v>3.0197900000000002E-4</v>
      </c>
      <c r="F652" s="1">
        <v>-5.2587600000000003E-3</v>
      </c>
      <c r="G652" s="1">
        <v>1.11282E-3</v>
      </c>
      <c r="H652" s="1">
        <v>1.2731800000000001E-3</v>
      </c>
    </row>
    <row r="653" spans="1:8" x14ac:dyDescent="0.25">
      <c r="A653">
        <v>42</v>
      </c>
      <c r="B653" s="1">
        <v>34.053100000000001</v>
      </c>
      <c r="C653" s="1">
        <v>7.5258099999999994E-2</v>
      </c>
      <c r="D653" s="1">
        <v>-7.2442300000000001E-2</v>
      </c>
      <c r="E653" s="1">
        <v>5.3042300000000003E-4</v>
      </c>
      <c r="F653" s="1">
        <v>-3.2732099999999999E-3</v>
      </c>
      <c r="G653" s="1">
        <v>1.1808299999999999E-3</v>
      </c>
      <c r="H653" s="1">
        <v>1.25381E-3</v>
      </c>
    </row>
    <row r="654" spans="1:8" x14ac:dyDescent="0.25">
      <c r="A654">
        <v>43</v>
      </c>
      <c r="B654" s="1">
        <v>35.764699999999998</v>
      </c>
      <c r="C654" s="1">
        <v>6.9899600000000006E-2</v>
      </c>
      <c r="D654" s="1">
        <v>-6.8955100000000005E-2</v>
      </c>
      <c r="E654" s="1">
        <v>7.1741000000000003E-4</v>
      </c>
      <c r="F654" s="1">
        <v>-1.62425E-3</v>
      </c>
      <c r="G654" s="1">
        <v>1.1943699999999999E-3</v>
      </c>
      <c r="H654" s="1">
        <v>1.2320199999999999E-3</v>
      </c>
    </row>
    <row r="655" spans="1:8" x14ac:dyDescent="0.25">
      <c r="A655">
        <v>44</v>
      </c>
      <c r="B655" s="1">
        <v>37.532200000000003</v>
      </c>
      <c r="C655" s="1">
        <v>6.5066100000000002E-2</v>
      </c>
      <c r="D655" s="1">
        <v>-6.56162E-2</v>
      </c>
      <c r="E655" s="1">
        <v>8.6269999999999999E-4</v>
      </c>
      <c r="F655" s="1">
        <v>-2.72417E-4</v>
      </c>
      <c r="G655" s="1">
        <v>1.1677899999999999E-3</v>
      </c>
      <c r="H655" s="1">
        <v>1.2079E-3</v>
      </c>
    </row>
    <row r="656" spans="1:8" x14ac:dyDescent="0.25">
      <c r="A656">
        <v>45</v>
      </c>
      <c r="B656" s="1">
        <v>39.356200000000001</v>
      </c>
      <c r="C656" s="1">
        <v>6.0712799999999997E-2</v>
      </c>
      <c r="D656" s="1">
        <v>-6.2431500000000001E-2</v>
      </c>
      <c r="E656" s="1">
        <v>9.6836000000000003E-4</v>
      </c>
      <c r="F656" s="1">
        <v>8.1818099999999996E-4</v>
      </c>
      <c r="G656" s="1">
        <v>1.1138999999999999E-3</v>
      </c>
      <c r="H656" s="1">
        <v>1.1817500000000001E-3</v>
      </c>
    </row>
    <row r="657" spans="1:8" x14ac:dyDescent="0.25">
      <c r="A657">
        <v>46</v>
      </c>
      <c r="B657" s="1">
        <v>41.237200000000001</v>
      </c>
      <c r="C657" s="1">
        <v>5.67958E-2</v>
      </c>
      <c r="D657" s="1">
        <v>-5.9403900000000003E-2</v>
      </c>
      <c r="E657" s="1">
        <v>1.0372700000000001E-3</v>
      </c>
      <c r="F657" s="1">
        <v>1.6808700000000001E-3</v>
      </c>
      <c r="G657" s="1">
        <v>1.04375E-3</v>
      </c>
      <c r="H657" s="1">
        <v>1.15383E-3</v>
      </c>
    </row>
    <row r="658" spans="1:8" x14ac:dyDescent="0.25">
      <c r="A658">
        <v>47</v>
      </c>
      <c r="B658" s="1">
        <v>43.175800000000002</v>
      </c>
      <c r="C658" s="1">
        <v>5.3271600000000002E-2</v>
      </c>
      <c r="D658" s="1">
        <v>-5.6533100000000003E-2</v>
      </c>
      <c r="E658" s="1">
        <v>1.07227E-3</v>
      </c>
      <c r="F658" s="1">
        <v>2.3481000000000001E-3</v>
      </c>
      <c r="G658" s="1">
        <v>9.6544000000000003E-4</v>
      </c>
      <c r="H658" s="1">
        <v>1.12436E-3</v>
      </c>
    </row>
    <row r="659" spans="1:8" x14ac:dyDescent="0.25">
      <c r="A659">
        <v>48</v>
      </c>
      <c r="B659" s="1">
        <v>45.172600000000003</v>
      </c>
      <c r="C659" s="1">
        <v>5.0098400000000001E-2</v>
      </c>
      <c r="D659" s="1">
        <v>-5.3816200000000002E-2</v>
      </c>
      <c r="E659" s="1">
        <v>1.07627E-3</v>
      </c>
      <c r="F659" s="1">
        <v>2.8508700000000001E-3</v>
      </c>
      <c r="G659" s="1">
        <v>8.8431600000000001E-4</v>
      </c>
      <c r="H659" s="1">
        <v>1.09359E-3</v>
      </c>
    </row>
    <row r="660" spans="1:8" x14ac:dyDescent="0.25">
      <c r="A660">
        <v>49</v>
      </c>
      <c r="B660" s="1">
        <v>47.228000000000002</v>
      </c>
      <c r="C660" s="1">
        <v>4.7237099999999997E-2</v>
      </c>
      <c r="D660" s="1">
        <v>-5.12489E-2</v>
      </c>
      <c r="E660" s="1">
        <v>1.0526400000000001E-3</v>
      </c>
      <c r="F660" s="1">
        <v>3.2166999999999999E-3</v>
      </c>
      <c r="G660" s="1">
        <v>8.0430499999999995E-4</v>
      </c>
      <c r="H660" s="1">
        <v>1.06178E-3</v>
      </c>
    </row>
    <row r="661" spans="1:8" x14ac:dyDescent="0.25">
      <c r="A661">
        <v>50</v>
      </c>
      <c r="B661" s="1">
        <v>49.342500000000001</v>
      </c>
      <c r="C661" s="1">
        <v>4.4652299999999999E-2</v>
      </c>
      <c r="D661" s="1">
        <v>-4.8825899999999998E-2</v>
      </c>
      <c r="E661" s="1">
        <v>1.0054899999999999E-3</v>
      </c>
      <c r="F661" s="1">
        <v>3.4682200000000002E-3</v>
      </c>
      <c r="G661" s="1">
        <v>7.2924899999999996E-4</v>
      </c>
      <c r="H661" s="1">
        <v>1.02929E-3</v>
      </c>
    </row>
    <row r="662" spans="1:8" x14ac:dyDescent="0.25">
      <c r="A662">
        <v>51</v>
      </c>
      <c r="B662" s="1">
        <v>51.516399999999997</v>
      </c>
      <c r="C662" s="1">
        <v>4.2311799999999997E-2</v>
      </c>
      <c r="D662" s="1">
        <v>-4.6541100000000002E-2</v>
      </c>
      <c r="E662" s="1">
        <v>9.3915000000000003E-4</v>
      </c>
      <c r="F662" s="1">
        <v>3.6258499999999999E-3</v>
      </c>
      <c r="G662" s="1">
        <v>6.6071999999999995E-4</v>
      </c>
      <c r="H662" s="1">
        <v>9.9636499999999992E-4</v>
      </c>
    </row>
    <row r="663" spans="1:8" x14ac:dyDescent="0.25">
      <c r="A663">
        <v>52</v>
      </c>
      <c r="B663" s="1">
        <v>53.7502</v>
      </c>
      <c r="C663" s="1">
        <v>4.0187E-2</v>
      </c>
      <c r="D663" s="1">
        <v>-4.4388200000000003E-2</v>
      </c>
      <c r="E663" s="1">
        <v>8.5778500000000001E-4</v>
      </c>
      <c r="F663" s="1">
        <v>3.7089499999999999E-3</v>
      </c>
      <c r="G663" s="1">
        <v>5.9764699999999998E-4</v>
      </c>
      <c r="H663" s="1">
        <v>9.6318300000000005E-4</v>
      </c>
    </row>
    <row r="664" spans="1:8" x14ac:dyDescent="0.25">
      <c r="A664">
        <v>53</v>
      </c>
      <c r="B664" s="1">
        <v>56.044199999999996</v>
      </c>
      <c r="C664" s="1">
        <v>3.8253200000000001E-2</v>
      </c>
      <c r="D664" s="1">
        <v>-4.2360799999999997E-2</v>
      </c>
      <c r="E664" s="1">
        <v>7.6494300000000002E-4</v>
      </c>
      <c r="F664" s="1">
        <v>3.73376E-3</v>
      </c>
      <c r="G664" s="1">
        <v>5.3902400000000004E-4</v>
      </c>
      <c r="H664" s="1">
        <v>9.3011600000000004E-4</v>
      </c>
    </row>
    <row r="665" spans="1:8" x14ac:dyDescent="0.25">
      <c r="A665">
        <v>54</v>
      </c>
      <c r="B665" s="1">
        <v>58.398600000000002</v>
      </c>
      <c r="C665" s="1">
        <v>3.64885E-2</v>
      </c>
      <c r="D665" s="1">
        <v>-4.0451899999999999E-2</v>
      </c>
      <c r="E665" s="1">
        <v>6.6348600000000002E-4</v>
      </c>
      <c r="F665" s="1">
        <v>3.7143200000000001E-3</v>
      </c>
      <c r="G665" s="1">
        <v>4.8285999999999999E-4</v>
      </c>
      <c r="H665" s="1">
        <v>8.9729199999999995E-4</v>
      </c>
    </row>
    <row r="666" spans="1:8" x14ac:dyDescent="0.25">
      <c r="A666">
        <v>55</v>
      </c>
      <c r="B666" s="1">
        <v>60.813899999999997</v>
      </c>
      <c r="C666" s="1">
        <v>3.4873599999999998E-2</v>
      </c>
      <c r="D666" s="1">
        <v>-3.8654500000000001E-2</v>
      </c>
      <c r="E666" s="1">
        <v>5.56044E-4</v>
      </c>
      <c r="F666" s="1">
        <v>3.6609300000000002E-3</v>
      </c>
      <c r="G666" s="1">
        <v>4.28837E-4</v>
      </c>
      <c r="H666" s="1">
        <v>8.6491300000000003E-4</v>
      </c>
    </row>
    <row r="667" spans="1:8" x14ac:dyDescent="0.25">
      <c r="A667">
        <v>56</v>
      </c>
      <c r="B667" s="1">
        <v>63.290100000000002</v>
      </c>
      <c r="C667" s="1">
        <v>3.3390900000000001E-2</v>
      </c>
      <c r="D667" s="1">
        <v>-3.6962000000000002E-2</v>
      </c>
      <c r="E667" s="1">
        <v>4.4557E-4</v>
      </c>
      <c r="F667" s="1">
        <v>3.5792699999999998E-3</v>
      </c>
      <c r="G667" s="1">
        <v>3.79372E-4</v>
      </c>
      <c r="H667" s="1">
        <v>8.3309300000000003E-4</v>
      </c>
    </row>
    <row r="668" spans="1:8" x14ac:dyDescent="0.25">
      <c r="A668">
        <v>57</v>
      </c>
      <c r="B668" s="1">
        <v>65.827600000000004</v>
      </c>
      <c r="C668" s="1">
        <v>3.2024400000000001E-2</v>
      </c>
      <c r="D668" s="1">
        <v>-3.5367900000000001E-2</v>
      </c>
      <c r="E668" s="1">
        <v>3.35199E-4</v>
      </c>
      <c r="F668" s="1">
        <v>3.47307E-3</v>
      </c>
      <c r="G668" s="1">
        <v>3.3732499999999997E-4</v>
      </c>
      <c r="H668" s="1">
        <v>8.02029E-4</v>
      </c>
    </row>
    <row r="669" spans="1:8" x14ac:dyDescent="0.25">
      <c r="A669">
        <v>58</v>
      </c>
      <c r="B669" s="1">
        <v>68.426400000000001</v>
      </c>
      <c r="C669" s="1">
        <v>3.07593E-2</v>
      </c>
      <c r="D669" s="1">
        <v>-3.3864999999999999E-2</v>
      </c>
      <c r="E669" s="1">
        <v>2.2775200000000001E-4</v>
      </c>
      <c r="F669" s="1">
        <v>3.3492299999999999E-3</v>
      </c>
      <c r="G669" s="1">
        <v>3.0047800000000002E-4</v>
      </c>
      <c r="H669" s="1">
        <v>7.7176999999999996E-4</v>
      </c>
    </row>
    <row r="670" spans="1:8" x14ac:dyDescent="0.25">
      <c r="A670">
        <v>59</v>
      </c>
      <c r="B670" s="1">
        <v>71.086799999999997</v>
      </c>
      <c r="C670" s="1">
        <v>2.95833E-2</v>
      </c>
      <c r="D670" s="1">
        <v>-3.2446700000000002E-2</v>
      </c>
      <c r="E670" s="1">
        <v>1.25513E-4</v>
      </c>
      <c r="F670" s="1">
        <v>3.21463E-3</v>
      </c>
      <c r="G670" s="1">
        <v>2.6563599999999998E-4</v>
      </c>
      <c r="H670" s="1">
        <v>7.4233899999999995E-4</v>
      </c>
    </row>
    <row r="671" spans="1:8" x14ac:dyDescent="0.25">
      <c r="A671">
        <v>60</v>
      </c>
      <c r="B671" s="1">
        <v>73.808800000000005</v>
      </c>
      <c r="C671" s="1">
        <v>2.8486899999999999E-2</v>
      </c>
      <c r="D671" s="1">
        <v>-3.1108500000000001E-2</v>
      </c>
      <c r="E671" s="1">
        <v>3.06936E-5</v>
      </c>
      <c r="F671" s="1">
        <v>3.07143E-3</v>
      </c>
      <c r="G671" s="1">
        <v>2.33413E-4</v>
      </c>
      <c r="H671" s="1">
        <v>7.1391300000000005E-4</v>
      </c>
    </row>
    <row r="672" spans="1:8" x14ac:dyDescent="0.25">
      <c r="A672">
        <v>61</v>
      </c>
      <c r="B672" s="1">
        <v>76.592399999999998</v>
      </c>
      <c r="C672" s="1">
        <v>2.74626E-2</v>
      </c>
      <c r="D672" s="1">
        <v>-2.9846000000000001E-2</v>
      </c>
      <c r="E672" s="1">
        <v>-5.4968800000000001E-5</v>
      </c>
      <c r="F672" s="1">
        <v>2.91946E-3</v>
      </c>
      <c r="G672" s="1">
        <v>2.05522E-4</v>
      </c>
      <c r="H672" s="1">
        <v>6.8662300000000003E-4</v>
      </c>
    </row>
    <row r="673" spans="1:8" x14ac:dyDescent="0.25">
      <c r="A673">
        <v>62</v>
      </c>
      <c r="B673" s="1">
        <v>79.437799999999996</v>
      </c>
      <c r="C673" s="1">
        <v>2.6503800000000001E-2</v>
      </c>
      <c r="D673" s="1">
        <v>-2.8654200000000001E-2</v>
      </c>
      <c r="E673" s="1">
        <v>-1.3164000000000001E-4</v>
      </c>
      <c r="F673" s="1">
        <v>2.7600699999999999E-3</v>
      </c>
      <c r="G673" s="1">
        <v>1.8215399999999999E-4</v>
      </c>
      <c r="H673" s="1">
        <v>6.6025000000000003E-4</v>
      </c>
    </row>
    <row r="674" spans="1:8" x14ac:dyDescent="0.25">
      <c r="A674">
        <v>63</v>
      </c>
      <c r="B674" s="1">
        <v>82.344899999999996</v>
      </c>
      <c r="C674" s="1">
        <v>2.5604200000000001E-2</v>
      </c>
      <c r="D674" s="1">
        <v>-2.7528E-2</v>
      </c>
      <c r="E674" s="1">
        <v>-2.00003E-4</v>
      </c>
      <c r="F674" s="1">
        <v>2.5962300000000002E-3</v>
      </c>
      <c r="G674" s="1">
        <v>1.62261E-4</v>
      </c>
      <c r="H674" s="1">
        <v>6.34722E-4</v>
      </c>
    </row>
    <row r="675" spans="1:8" x14ac:dyDescent="0.25">
      <c r="A675">
        <v>64</v>
      </c>
      <c r="B675" s="1">
        <v>85.313800000000001</v>
      </c>
      <c r="C675" s="1">
        <v>2.4757899999999999E-2</v>
      </c>
      <c r="D675" s="1">
        <v>-2.6463299999999999E-2</v>
      </c>
      <c r="E675" s="1">
        <v>-2.5959399999999998E-4</v>
      </c>
      <c r="F675" s="1">
        <v>2.4304800000000001E-3</v>
      </c>
      <c r="G675" s="1">
        <v>1.4466300000000001E-4</v>
      </c>
      <c r="H675" s="1">
        <v>6.1013899999999999E-4</v>
      </c>
    </row>
    <row r="676" spans="1:8" x14ac:dyDescent="0.25">
      <c r="A676">
        <v>65</v>
      </c>
      <c r="B676" s="1">
        <v>88.344200000000001</v>
      </c>
      <c r="C676" s="1">
        <v>2.3958799999999999E-2</v>
      </c>
      <c r="D676" s="1">
        <v>-2.5456099999999999E-2</v>
      </c>
      <c r="E676" s="1">
        <v>-3.1013600000000003E-4</v>
      </c>
      <c r="F676" s="1">
        <v>2.2649599999999999E-3</v>
      </c>
      <c r="G676" s="1">
        <v>1.28959E-4</v>
      </c>
      <c r="H676" s="1">
        <v>5.8648399999999996E-4</v>
      </c>
    </row>
    <row r="677" spans="1:8" x14ac:dyDescent="0.25">
      <c r="A677">
        <v>66</v>
      </c>
      <c r="B677" s="1">
        <v>91.436199999999999</v>
      </c>
      <c r="C677" s="1">
        <v>2.3201300000000001E-2</v>
      </c>
      <c r="D677" s="1">
        <v>-2.4502400000000001E-2</v>
      </c>
      <c r="E677" s="1">
        <v>-3.5304999999999999E-4</v>
      </c>
      <c r="F677" s="1">
        <v>2.10261E-3</v>
      </c>
      <c r="G677" s="1">
        <v>1.15291E-4</v>
      </c>
      <c r="H677" s="1">
        <v>5.6377900000000004E-4</v>
      </c>
    </row>
    <row r="678" spans="1:8" x14ac:dyDescent="0.25">
      <c r="A678">
        <v>67</v>
      </c>
      <c r="B678" s="1">
        <v>94.589699999999993</v>
      </c>
      <c r="C678" s="1">
        <v>2.2480699999999999E-2</v>
      </c>
      <c r="D678" s="1">
        <v>-2.3597900000000002E-2</v>
      </c>
      <c r="E678" s="1">
        <v>-3.9077900000000001E-4</v>
      </c>
      <c r="F678" s="1">
        <v>1.94707E-3</v>
      </c>
      <c r="G678" s="1">
        <v>1.02767E-4</v>
      </c>
      <c r="H678" s="1">
        <v>5.4187799999999998E-4</v>
      </c>
    </row>
    <row r="679" spans="1:8" x14ac:dyDescent="0.25">
      <c r="A679">
        <v>68</v>
      </c>
      <c r="B679" s="1">
        <v>97.804400000000001</v>
      </c>
      <c r="C679" s="1">
        <v>2.1793400000000001E-2</v>
      </c>
      <c r="D679" s="1">
        <v>-2.2739100000000002E-2</v>
      </c>
      <c r="E679" s="1">
        <v>-4.2452800000000003E-4</v>
      </c>
      <c r="F679" s="1">
        <v>1.80032E-3</v>
      </c>
      <c r="G679" s="1">
        <v>9.0607399999999996E-5</v>
      </c>
      <c r="H679" s="1">
        <v>5.2070800000000004E-4</v>
      </c>
    </row>
    <row r="680" spans="1:8" x14ac:dyDescent="0.25">
      <c r="A680">
        <v>69</v>
      </c>
      <c r="B680" s="1">
        <v>101.08</v>
      </c>
      <c r="C680" s="1">
        <v>2.11364E-2</v>
      </c>
      <c r="D680" s="1">
        <v>-2.1923700000000001E-2</v>
      </c>
      <c r="E680" s="1">
        <v>-4.5361899999999999E-4</v>
      </c>
      <c r="F680" s="1">
        <v>1.66096E-3</v>
      </c>
      <c r="G680" s="1">
        <v>8.0379700000000006E-5</v>
      </c>
      <c r="H680" s="1">
        <v>5.0046300000000004E-4</v>
      </c>
    </row>
    <row r="681" spans="1:8" x14ac:dyDescent="0.25">
      <c r="A681">
        <v>70</v>
      </c>
      <c r="B681" s="1">
        <v>104.417</v>
      </c>
      <c r="C681" s="1">
        <v>2.0507500000000001E-2</v>
      </c>
      <c r="D681" s="1">
        <v>-2.1149500000000002E-2</v>
      </c>
      <c r="E681" s="1">
        <v>-4.77252E-4</v>
      </c>
      <c r="F681" s="1">
        <v>1.52735E-3</v>
      </c>
      <c r="G681" s="1">
        <v>7.2993199999999998E-5</v>
      </c>
      <c r="H681" s="1">
        <v>4.81015E-4</v>
      </c>
    </row>
    <row r="682" spans="1:8" x14ac:dyDescent="0.25">
      <c r="A682">
        <v>71</v>
      </c>
      <c r="B682" s="1">
        <v>107.81399999999999</v>
      </c>
      <c r="C682" s="1">
        <v>1.9904999999999999E-2</v>
      </c>
      <c r="D682" s="1">
        <v>-2.0413799999999999E-2</v>
      </c>
      <c r="E682" s="1">
        <v>-4.9492099999999995E-4</v>
      </c>
      <c r="F682" s="1">
        <v>1.3991299999999999E-3</v>
      </c>
      <c r="G682" s="1">
        <v>6.6805700000000003E-5</v>
      </c>
      <c r="H682" s="1">
        <v>4.6222400000000001E-4</v>
      </c>
    </row>
    <row r="683" spans="1:8" x14ac:dyDescent="0.25">
      <c r="A683">
        <v>72</v>
      </c>
      <c r="B683" s="1">
        <v>111.27200000000001</v>
      </c>
      <c r="C683" s="1">
        <v>1.93283E-2</v>
      </c>
      <c r="D683" s="1">
        <v>-1.9714300000000001E-2</v>
      </c>
      <c r="E683" s="1">
        <v>-5.0593899999999995E-4</v>
      </c>
      <c r="F683" s="1">
        <v>1.2747699999999999E-3</v>
      </c>
      <c r="G683" s="1">
        <v>6.1474400000000002E-5</v>
      </c>
      <c r="H683" s="1">
        <v>4.4432800000000002E-4</v>
      </c>
    </row>
    <row r="684" spans="1:8" x14ac:dyDescent="0.25">
      <c r="A684">
        <v>73</v>
      </c>
      <c r="B684" s="1">
        <v>114.79</v>
      </c>
      <c r="C684" s="1">
        <v>1.8775699999999999E-2</v>
      </c>
      <c r="D684" s="1">
        <v>-1.9049E-2</v>
      </c>
      <c r="E684" s="1">
        <v>-5.10087E-4</v>
      </c>
      <c r="F684" s="1">
        <v>1.1533400000000001E-3</v>
      </c>
      <c r="G684" s="1">
        <v>5.71745E-5</v>
      </c>
      <c r="H684" s="1">
        <v>4.27129E-4</v>
      </c>
    </row>
    <row r="685" spans="1:8" x14ac:dyDescent="0.25">
      <c r="A685">
        <v>74</v>
      </c>
      <c r="B685" s="1">
        <v>118.36799999999999</v>
      </c>
      <c r="C685" s="1">
        <v>1.82451E-2</v>
      </c>
      <c r="D685" s="1">
        <v>-1.8415600000000001E-2</v>
      </c>
      <c r="E685" s="1">
        <v>-5.0763000000000002E-4</v>
      </c>
      <c r="F685" s="1">
        <v>1.03535E-3</v>
      </c>
      <c r="G685" s="1">
        <v>5.3472199999999999E-5</v>
      </c>
      <c r="H685" s="1">
        <v>4.1071599999999999E-4</v>
      </c>
    </row>
    <row r="686" spans="1:8" x14ac:dyDescent="0.25">
      <c r="A686">
        <v>75</v>
      </c>
      <c r="B686" s="1">
        <v>122.005</v>
      </c>
      <c r="C686" s="1">
        <v>1.7735500000000001E-2</v>
      </c>
      <c r="D686" s="1">
        <v>-1.7812000000000001E-2</v>
      </c>
      <c r="E686" s="1">
        <v>-4.9985000000000003E-4</v>
      </c>
      <c r="F686" s="1">
        <v>9.2315500000000005E-4</v>
      </c>
      <c r="G686" s="1">
        <v>4.8139700000000003E-5</v>
      </c>
      <c r="H686" s="1">
        <v>3.9497099999999998E-4</v>
      </c>
    </row>
    <row r="687" spans="1:8" x14ac:dyDescent="0.25">
      <c r="A687">
        <v>76</v>
      </c>
      <c r="B687" s="1">
        <v>125.702</v>
      </c>
      <c r="C687" s="1">
        <v>1.72461E-2</v>
      </c>
      <c r="D687" s="1">
        <v>-1.7236399999999999E-2</v>
      </c>
      <c r="E687" s="1">
        <v>-4.8855999999999997E-4</v>
      </c>
      <c r="F687" s="1">
        <v>8.1688099999999999E-4</v>
      </c>
      <c r="G687" s="1">
        <v>4.2133299999999999E-5</v>
      </c>
      <c r="H687" s="1">
        <v>3.80088E-4</v>
      </c>
    </row>
    <row r="688" spans="1:8" x14ac:dyDescent="0.25">
      <c r="A688">
        <v>77</v>
      </c>
      <c r="B688" s="1">
        <v>129.45699999999999</v>
      </c>
      <c r="C688" s="1">
        <v>1.6776099999999999E-2</v>
      </c>
      <c r="D688" s="1">
        <v>-1.6687500000000001E-2</v>
      </c>
      <c r="E688" s="1">
        <v>-4.7595800000000001E-4</v>
      </c>
      <c r="F688" s="1">
        <v>7.1599800000000003E-4</v>
      </c>
      <c r="G688" s="1">
        <v>3.7302899999999998E-5</v>
      </c>
      <c r="H688" s="1">
        <v>3.6588700000000002E-4</v>
      </c>
    </row>
    <row r="689" spans="1:8" x14ac:dyDescent="0.25">
      <c r="A689">
        <v>78</v>
      </c>
      <c r="B689" s="1">
        <v>133.27000000000001</v>
      </c>
      <c r="C689" s="1">
        <v>1.6324200000000001E-2</v>
      </c>
      <c r="D689" s="1">
        <v>-1.6163E-2</v>
      </c>
      <c r="E689" s="1">
        <v>-4.6323700000000002E-4</v>
      </c>
      <c r="F689" s="1">
        <v>6.2143599999999995E-4</v>
      </c>
      <c r="G689" s="1">
        <v>3.2935999999999998E-5</v>
      </c>
      <c r="H689" s="1">
        <v>3.5235699999999997E-4</v>
      </c>
    </row>
    <row r="690" spans="1:8" x14ac:dyDescent="0.25">
      <c r="A690">
        <v>79</v>
      </c>
      <c r="B690" s="1">
        <v>137.14099999999999</v>
      </c>
      <c r="C690" s="1">
        <v>1.5888599999999999E-2</v>
      </c>
      <c r="D690" s="1">
        <v>-1.56607E-2</v>
      </c>
      <c r="E690" s="1">
        <v>-4.5102100000000002E-4</v>
      </c>
      <c r="F690" s="1">
        <v>5.3479700000000005E-4</v>
      </c>
      <c r="G690" s="1">
        <v>2.77933E-5</v>
      </c>
      <c r="H690" s="1">
        <v>3.3946099999999999E-4</v>
      </c>
    </row>
    <row r="691" spans="1:8" x14ac:dyDescent="0.25">
      <c r="A691">
        <v>80</v>
      </c>
      <c r="B691" s="1">
        <v>141.07</v>
      </c>
      <c r="C691" s="1">
        <v>1.5466799999999999E-2</v>
      </c>
      <c r="D691" s="1">
        <v>-1.51796E-2</v>
      </c>
      <c r="E691" s="1">
        <v>-4.3961899999999998E-4</v>
      </c>
      <c r="F691" s="1">
        <v>4.5648599999999998E-4</v>
      </c>
      <c r="G691" s="1">
        <v>2.2944600000000001E-5</v>
      </c>
      <c r="H691" s="1">
        <v>3.2703099999999998E-4</v>
      </c>
    </row>
    <row r="692" spans="1:8" x14ac:dyDescent="0.25">
      <c r="A692">
        <v>81</v>
      </c>
      <c r="B692" s="1">
        <v>145.05500000000001</v>
      </c>
      <c r="C692" s="1">
        <v>1.50575E-2</v>
      </c>
      <c r="D692" s="1">
        <v>-1.4719299999999999E-2</v>
      </c>
      <c r="E692" s="1">
        <v>-4.2826799999999999E-4</v>
      </c>
      <c r="F692" s="1">
        <v>3.8602200000000003E-4</v>
      </c>
      <c r="G692" s="1">
        <v>1.9304300000000001E-5</v>
      </c>
      <c r="H692" s="1">
        <v>3.1521199999999999E-4</v>
      </c>
    </row>
    <row r="693" spans="1:8" x14ac:dyDescent="0.25">
      <c r="A693">
        <v>82</v>
      </c>
      <c r="B693" s="1">
        <v>149.09700000000001</v>
      </c>
      <c r="C693" s="1">
        <v>1.4660899999999999E-2</v>
      </c>
      <c r="D693" s="1">
        <v>-1.4279200000000001E-2</v>
      </c>
      <c r="E693" s="1">
        <v>-4.16938E-4</v>
      </c>
      <c r="F693" s="1">
        <v>3.2241799999999999E-4</v>
      </c>
      <c r="G693" s="1">
        <v>1.6917100000000001E-5</v>
      </c>
      <c r="H693" s="1">
        <v>3.0405699999999999E-4</v>
      </c>
    </row>
    <row r="694" spans="1:8" x14ac:dyDescent="0.25">
      <c r="A694">
        <v>83</v>
      </c>
      <c r="B694" s="1">
        <v>153.19499999999999</v>
      </c>
      <c r="C694" s="1">
        <v>1.42773E-2</v>
      </c>
      <c r="D694" s="1">
        <v>-1.38583E-2</v>
      </c>
      <c r="E694" s="1">
        <v>-4.06165E-4</v>
      </c>
      <c r="F694" s="1">
        <v>2.6396299999999998E-4</v>
      </c>
      <c r="G694" s="1">
        <v>1.67604E-5</v>
      </c>
      <c r="H694" s="1">
        <v>2.9355100000000002E-4</v>
      </c>
    </row>
    <row r="695" spans="1:8" x14ac:dyDescent="0.25">
      <c r="A695">
        <v>84</v>
      </c>
      <c r="B695" s="1">
        <v>157.34899999999999</v>
      </c>
      <c r="C695" s="1">
        <v>1.3905600000000001E-2</v>
      </c>
      <c r="D695" s="1">
        <v>-1.34552E-2</v>
      </c>
      <c r="E695" s="1">
        <v>-3.9607100000000001E-4</v>
      </c>
      <c r="F695" s="1">
        <v>2.11843E-4</v>
      </c>
      <c r="G695" s="1">
        <v>1.7452199999999999E-5</v>
      </c>
      <c r="H695" s="1">
        <v>2.8354999999999998E-4</v>
      </c>
    </row>
    <row r="696" spans="1:8" x14ac:dyDescent="0.25">
      <c r="A696">
        <v>85</v>
      </c>
      <c r="B696" s="1">
        <v>161.55699999999999</v>
      </c>
      <c r="C696" s="1">
        <v>1.35446E-2</v>
      </c>
      <c r="D696" s="1">
        <v>-1.30688E-2</v>
      </c>
      <c r="E696" s="1">
        <v>-3.8604200000000001E-4</v>
      </c>
      <c r="F696" s="1">
        <v>1.67245E-4</v>
      </c>
      <c r="G696" s="1">
        <v>1.69274E-5</v>
      </c>
      <c r="H696" s="1">
        <v>2.7396400000000002E-4</v>
      </c>
    </row>
    <row r="697" spans="1:8" x14ac:dyDescent="0.25">
      <c r="A697">
        <v>86</v>
      </c>
      <c r="B697" s="1">
        <v>165.81899999999999</v>
      </c>
      <c r="C697" s="1">
        <v>1.3195E-2</v>
      </c>
      <c r="D697" s="1">
        <v>-1.26985E-2</v>
      </c>
      <c r="E697" s="1">
        <v>-3.7569399999999998E-4</v>
      </c>
      <c r="F697" s="1">
        <v>1.2857E-4</v>
      </c>
      <c r="G697" s="1">
        <v>1.5466300000000001E-5</v>
      </c>
      <c r="H697" s="1">
        <v>2.6486100000000002E-4</v>
      </c>
    </row>
    <row r="698" spans="1:8" x14ac:dyDescent="0.25">
      <c r="A698">
        <v>87</v>
      </c>
      <c r="B698" s="1">
        <v>170.136</v>
      </c>
      <c r="C698" s="1">
        <v>1.2857E-2</v>
      </c>
      <c r="D698" s="1">
        <v>-1.2343700000000001E-2</v>
      </c>
      <c r="E698" s="1">
        <v>-3.6577499999999999E-4</v>
      </c>
      <c r="F698" s="1">
        <v>9.4348100000000006E-5</v>
      </c>
      <c r="G698" s="1">
        <v>1.42008E-5</v>
      </c>
      <c r="H698" s="1">
        <v>2.5612500000000001E-4</v>
      </c>
    </row>
    <row r="699" spans="1:8" x14ac:dyDescent="0.25">
      <c r="A699">
        <v>88</v>
      </c>
      <c r="B699" s="1">
        <v>174.505</v>
      </c>
      <c r="C699" s="1">
        <v>1.2529800000000001E-2</v>
      </c>
      <c r="D699" s="1">
        <v>-1.20032E-2</v>
      </c>
      <c r="E699" s="1">
        <v>-3.5649899999999998E-4</v>
      </c>
      <c r="F699" s="1">
        <v>6.4826700000000001E-5</v>
      </c>
      <c r="G699" s="1">
        <v>1.2799100000000001E-5</v>
      </c>
      <c r="H699" s="1">
        <v>2.4779400000000002E-4</v>
      </c>
    </row>
    <row r="700" spans="1:8" x14ac:dyDescent="0.25">
      <c r="A700">
        <v>89</v>
      </c>
      <c r="B700" s="1">
        <v>178.92699999999999</v>
      </c>
      <c r="C700" s="1">
        <v>1.22129E-2</v>
      </c>
      <c r="D700" s="1">
        <v>-1.1676000000000001E-2</v>
      </c>
      <c r="E700" s="1">
        <v>-3.47294E-4</v>
      </c>
      <c r="F700" s="1">
        <v>3.8933100000000002E-5</v>
      </c>
      <c r="G700" s="1">
        <v>1.1365E-5</v>
      </c>
      <c r="H700" s="1">
        <v>2.3985200000000001E-4</v>
      </c>
    </row>
    <row r="701" spans="1:8" x14ac:dyDescent="0.25">
      <c r="A701">
        <v>90</v>
      </c>
      <c r="B701" s="1">
        <v>183.4</v>
      </c>
      <c r="C701" s="1">
        <v>1.19054E-2</v>
      </c>
      <c r="D701" s="1">
        <v>-1.1361599999999999E-2</v>
      </c>
      <c r="E701" s="1">
        <v>-3.3721700000000001E-4</v>
      </c>
      <c r="F701" s="1">
        <v>1.5695599999999999E-5</v>
      </c>
      <c r="G701" s="1">
        <v>9.9443799999999995E-6</v>
      </c>
      <c r="H701" s="1">
        <v>2.3216900000000001E-4</v>
      </c>
    </row>
    <row r="702" spans="1:8" x14ac:dyDescent="0.25">
      <c r="A702">
        <v>91</v>
      </c>
      <c r="B702" s="1">
        <v>187.92500000000001</v>
      </c>
      <c r="C702" s="1">
        <v>1.16063E-2</v>
      </c>
      <c r="D702" s="1">
        <v>-1.10597E-2</v>
      </c>
      <c r="E702" s="1">
        <v>-3.2543900000000001E-4</v>
      </c>
      <c r="F702" s="1">
        <v>-4.6515500000000004E-6</v>
      </c>
      <c r="G702" s="1">
        <v>8.2866400000000007E-6</v>
      </c>
      <c r="H702" s="1">
        <v>2.24782E-4</v>
      </c>
    </row>
    <row r="703" spans="1:8" x14ac:dyDescent="0.25">
      <c r="A703">
        <v>92</v>
      </c>
      <c r="B703" s="1">
        <v>192.5</v>
      </c>
      <c r="C703" s="1">
        <v>1.1315499999999999E-2</v>
      </c>
      <c r="D703" s="1">
        <v>-1.07698E-2</v>
      </c>
      <c r="E703" s="1">
        <v>-3.12145E-4</v>
      </c>
      <c r="F703" s="1">
        <v>-2.36118E-5</v>
      </c>
      <c r="G703" s="1">
        <v>7.7330399999999997E-6</v>
      </c>
      <c r="H703" s="1">
        <v>2.1767299999999999E-4</v>
      </c>
    </row>
    <row r="704" spans="1:8" x14ac:dyDescent="0.25">
      <c r="A704">
        <v>93</v>
      </c>
      <c r="B704" s="1">
        <v>197.125</v>
      </c>
      <c r="C704" s="1">
        <v>1.10335E-2</v>
      </c>
      <c r="D704" s="1">
        <v>-1.04911E-2</v>
      </c>
      <c r="E704" s="1">
        <v>-2.9894200000000001E-4</v>
      </c>
      <c r="F704" s="1">
        <v>-4.1030299999999999E-5</v>
      </c>
      <c r="G704" s="1">
        <v>8.3937700000000004E-6</v>
      </c>
      <c r="H704" s="1">
        <v>2.1075999999999999E-4</v>
      </c>
    </row>
    <row r="705" spans="1:8" x14ac:dyDescent="0.25">
      <c r="A705">
        <v>94</v>
      </c>
      <c r="B705" s="1">
        <v>201.8</v>
      </c>
      <c r="C705" s="1">
        <v>1.0760799999999999E-2</v>
      </c>
      <c r="D705" s="1">
        <v>-1.0223400000000001E-2</v>
      </c>
      <c r="E705" s="1">
        <v>-2.8689500000000001E-4</v>
      </c>
      <c r="F705" s="1">
        <v>-5.57625E-5</v>
      </c>
      <c r="G705" s="1">
        <v>9.2781599999999993E-6</v>
      </c>
      <c r="H705" s="1">
        <v>2.04062E-4</v>
      </c>
    </row>
    <row r="706" spans="1:8" x14ac:dyDescent="0.25">
      <c r="A706">
        <v>95</v>
      </c>
      <c r="B706" s="1">
        <v>206.523</v>
      </c>
      <c r="C706" s="1">
        <v>1.04972E-2</v>
      </c>
      <c r="D706" s="1">
        <v>-9.9659699999999993E-3</v>
      </c>
      <c r="E706" s="1">
        <v>-2.7609500000000002E-4</v>
      </c>
      <c r="F706" s="1">
        <v>-6.7809699999999996E-5</v>
      </c>
      <c r="G706" s="1">
        <v>1.0448100000000001E-5</v>
      </c>
      <c r="H706" s="1">
        <v>1.9773999999999999E-4</v>
      </c>
    </row>
    <row r="707" spans="1:8" x14ac:dyDescent="0.25">
      <c r="A707">
        <v>96</v>
      </c>
      <c r="B707" s="1">
        <v>211.29400000000001</v>
      </c>
      <c r="C707" s="1">
        <v>1.0241399999999999E-2</v>
      </c>
      <c r="D707" s="1">
        <v>-9.7181000000000003E-3</v>
      </c>
      <c r="E707" s="1">
        <v>-2.6686E-4</v>
      </c>
      <c r="F707" s="1">
        <v>-7.6117400000000004E-5</v>
      </c>
      <c r="G707" s="1">
        <v>1.13742E-5</v>
      </c>
      <c r="H707" s="1">
        <v>1.9175E-4</v>
      </c>
    </row>
    <row r="708" spans="1:8" x14ac:dyDescent="0.25">
      <c r="A708">
        <v>97</v>
      </c>
      <c r="B708" s="1">
        <v>216.11099999999999</v>
      </c>
      <c r="C708" s="1">
        <v>9.9930100000000001E-3</v>
      </c>
      <c r="D708" s="1">
        <v>-9.4788700000000004E-3</v>
      </c>
      <c r="E708" s="1">
        <v>-2.5959600000000001E-4</v>
      </c>
      <c r="F708" s="1">
        <v>-7.9060000000000005E-5</v>
      </c>
      <c r="G708" s="1">
        <v>1.06315E-5</v>
      </c>
      <c r="H708" s="1">
        <v>1.8611499999999999E-4</v>
      </c>
    </row>
    <row r="709" spans="1:8" x14ac:dyDescent="0.25">
      <c r="A709">
        <v>98</v>
      </c>
      <c r="B709" s="1">
        <v>220.976</v>
      </c>
      <c r="C709" s="1">
        <v>9.7521599999999993E-3</v>
      </c>
      <c r="D709" s="1">
        <v>-9.2478899999999999E-3</v>
      </c>
      <c r="E709" s="1">
        <v>-2.5423299999999998E-4</v>
      </c>
      <c r="F709" s="1">
        <v>-7.8018799999999999E-5</v>
      </c>
      <c r="G709" s="1">
        <v>8.8945799999999998E-6</v>
      </c>
      <c r="H709" s="1">
        <v>1.8091E-4</v>
      </c>
    </row>
    <row r="710" spans="1:8" x14ac:dyDescent="0.25">
      <c r="A710">
        <v>99</v>
      </c>
      <c r="B710" s="1">
        <v>225.886</v>
      </c>
      <c r="C710" s="1">
        <v>9.5196399999999994E-3</v>
      </c>
      <c r="D710" s="1">
        <v>-9.0249600000000003E-3</v>
      </c>
      <c r="E710" s="1">
        <v>-2.4879600000000002E-4</v>
      </c>
      <c r="F710" s="1">
        <v>-7.7093600000000003E-5</v>
      </c>
      <c r="G710" s="1">
        <v>7.13973E-6</v>
      </c>
      <c r="H710" s="1">
        <v>1.7593E-4</v>
      </c>
    </row>
    <row r="711" spans="1:8" x14ac:dyDescent="0.25">
      <c r="A711">
        <v>100</v>
      </c>
      <c r="B711" s="1">
        <v>230.84100000000001</v>
      </c>
      <c r="C711" s="1">
        <v>9.2961899999999993E-3</v>
      </c>
      <c r="D711" s="1">
        <v>-8.8098099999999995E-3</v>
      </c>
      <c r="E711" s="1">
        <v>-2.4079700000000001E-4</v>
      </c>
      <c r="F711" s="1">
        <v>-8.00497E-5</v>
      </c>
      <c r="G711" s="1">
        <v>5.6180000000000003E-6</v>
      </c>
      <c r="H711" s="1">
        <v>1.71156E-4</v>
      </c>
    </row>
    <row r="712" spans="1:8" x14ac:dyDescent="0.25">
      <c r="A712">
        <v>101</v>
      </c>
      <c r="B712" s="1">
        <v>235.84</v>
      </c>
      <c r="C712" s="1">
        <v>9.0812600000000007E-3</v>
      </c>
      <c r="D712" s="1">
        <v>-8.60204E-3</v>
      </c>
      <c r="E712" s="1">
        <v>-2.3044499999999999E-4</v>
      </c>
      <c r="F712" s="1">
        <v>-8.6846800000000003E-5</v>
      </c>
      <c r="G712" s="1">
        <v>4.6221399999999996E-6</v>
      </c>
      <c r="H712" s="1">
        <v>1.6655000000000001E-4</v>
      </c>
    </row>
    <row r="713" spans="1:8" x14ac:dyDescent="0.25">
      <c r="A713">
        <v>102</v>
      </c>
      <c r="B713" s="1">
        <v>240.88300000000001</v>
      </c>
      <c r="C713" s="1">
        <v>8.8728499999999998E-3</v>
      </c>
      <c r="D713" s="1">
        <v>-8.4011599999999995E-3</v>
      </c>
      <c r="E713" s="1">
        <v>-2.19297E-4</v>
      </c>
      <c r="F713" s="1">
        <v>-9.3951100000000002E-5</v>
      </c>
      <c r="G713" s="1">
        <v>3.5539E-6</v>
      </c>
      <c r="H713" s="1">
        <v>1.6199899999999999E-4</v>
      </c>
    </row>
    <row r="714" spans="1:8" x14ac:dyDescent="0.25">
      <c r="A714">
        <v>103</v>
      </c>
      <c r="B714" s="1">
        <v>245.96799999999999</v>
      </c>
      <c r="C714" s="1">
        <v>8.6696299999999994E-3</v>
      </c>
      <c r="D714" s="1">
        <v>-8.2066599999999993E-3</v>
      </c>
      <c r="E714" s="1">
        <v>-2.08731E-4</v>
      </c>
      <c r="F714" s="1">
        <v>-9.91111E-5</v>
      </c>
      <c r="G714" s="1">
        <v>2.4177600000000001E-6</v>
      </c>
      <c r="H714" s="1">
        <v>1.57546E-4</v>
      </c>
    </row>
    <row r="715" spans="1:8" x14ac:dyDescent="0.25">
      <c r="A715">
        <v>104</v>
      </c>
      <c r="B715" s="1">
        <v>251.095</v>
      </c>
      <c r="C715" s="1">
        <v>8.4718799999999993E-3</v>
      </c>
      <c r="D715" s="1">
        <v>-8.01813E-3</v>
      </c>
      <c r="E715" s="1">
        <v>-2.0000199999999999E-4</v>
      </c>
      <c r="F715" s="1">
        <v>-1.02935E-4</v>
      </c>
      <c r="G715" s="1">
        <v>2.4115499999999998E-6</v>
      </c>
      <c r="H715" s="1">
        <v>1.53232E-4</v>
      </c>
    </row>
    <row r="716" spans="1:8" x14ac:dyDescent="0.25">
      <c r="A716">
        <v>105</v>
      </c>
      <c r="B716" s="1">
        <v>256.26400000000001</v>
      </c>
      <c r="C716" s="1">
        <v>8.28016E-3</v>
      </c>
      <c r="D716" s="1">
        <v>-7.835E-3</v>
      </c>
      <c r="E716" s="1">
        <v>-1.93516E-4</v>
      </c>
      <c r="F716" s="1">
        <v>-1.05614E-4</v>
      </c>
      <c r="G716" s="1">
        <v>3.03372E-6</v>
      </c>
      <c r="H716" s="1">
        <v>1.49066E-4</v>
      </c>
    </row>
    <row r="717" spans="1:8" x14ac:dyDescent="0.25">
      <c r="A717">
        <v>106</v>
      </c>
      <c r="B717" s="1">
        <v>261.47300000000001</v>
      </c>
      <c r="C717" s="1">
        <v>8.0940300000000003E-3</v>
      </c>
      <c r="D717" s="1">
        <v>-7.6569100000000003E-3</v>
      </c>
      <c r="E717" s="1">
        <v>-1.8825299999999999E-4</v>
      </c>
      <c r="F717" s="1">
        <v>-1.0679E-4</v>
      </c>
      <c r="G717" s="1">
        <v>3.1128800000000002E-6</v>
      </c>
      <c r="H717" s="1">
        <v>1.4518800000000001E-4</v>
      </c>
    </row>
    <row r="718" spans="1:8" x14ac:dyDescent="0.25">
      <c r="A718">
        <v>107</v>
      </c>
      <c r="B718" s="1">
        <v>266.72199999999998</v>
      </c>
      <c r="C718" s="1">
        <v>7.9123700000000002E-3</v>
      </c>
      <c r="D718" s="1">
        <v>-7.4838500000000002E-3</v>
      </c>
      <c r="E718" s="1">
        <v>-1.83167E-4</v>
      </c>
      <c r="F718" s="1">
        <v>-1.0642899999999999E-4</v>
      </c>
      <c r="G718" s="1">
        <v>2.73374E-6</v>
      </c>
      <c r="H718" s="1">
        <v>1.41662E-4</v>
      </c>
    </row>
    <row r="719" spans="1:8" x14ac:dyDescent="0.25">
      <c r="A719">
        <v>108</v>
      </c>
      <c r="B719" s="1">
        <v>272.01</v>
      </c>
      <c r="C719" s="1">
        <v>7.7345499999999998E-3</v>
      </c>
      <c r="D719" s="1">
        <v>-7.3159799999999997E-3</v>
      </c>
      <c r="E719" s="1">
        <v>-1.7786700000000001E-4</v>
      </c>
      <c r="F719" s="1">
        <v>-1.04341E-4</v>
      </c>
      <c r="G719" s="1">
        <v>1.79277E-6</v>
      </c>
      <c r="H719" s="1">
        <v>1.3815999999999999E-4</v>
      </c>
    </row>
    <row r="720" spans="1:8" x14ac:dyDescent="0.25">
      <c r="A720">
        <v>109</v>
      </c>
      <c r="B720" s="1">
        <v>277.33699999999999</v>
      </c>
      <c r="C720" s="1">
        <v>7.5608200000000002E-3</v>
      </c>
      <c r="D720" s="1">
        <v>-7.1536200000000003E-3</v>
      </c>
      <c r="E720" s="1">
        <v>-1.7204199999999999E-4</v>
      </c>
      <c r="F720" s="1">
        <v>-1.01502E-4</v>
      </c>
      <c r="G720" s="1">
        <v>1.08665E-6</v>
      </c>
      <c r="H720" s="1">
        <v>1.34747E-4</v>
      </c>
    </row>
    <row r="721" spans="1:8" x14ac:dyDescent="0.25">
      <c r="A721">
        <v>110</v>
      </c>
      <c r="B721" s="1">
        <v>282.7</v>
      </c>
      <c r="C721" s="1">
        <v>7.3920399999999999E-3</v>
      </c>
      <c r="D721" s="1">
        <v>-6.9968199999999999E-3</v>
      </c>
      <c r="E721" s="1">
        <v>-1.66658E-4</v>
      </c>
      <c r="F721" s="1">
        <v>-9.8067999999999997E-5</v>
      </c>
      <c r="G721" s="1">
        <v>9.4237500000000002E-7</v>
      </c>
      <c r="H721" s="1">
        <v>1.3144099999999999E-4</v>
      </c>
    </row>
    <row r="722" spans="1:8" x14ac:dyDescent="0.25">
      <c r="A722">
        <v>111</v>
      </c>
      <c r="B722" s="1">
        <v>288.101</v>
      </c>
      <c r="C722" s="1">
        <v>7.2291300000000003E-3</v>
      </c>
      <c r="D722" s="1">
        <v>-6.8450999999999998E-3</v>
      </c>
      <c r="E722" s="1">
        <v>-1.63127E-4</v>
      </c>
      <c r="F722" s="1">
        <v>-9.4018599999999995E-5</v>
      </c>
      <c r="G722" s="1">
        <v>1.3702E-6</v>
      </c>
      <c r="H722" s="1">
        <v>1.2825400000000001E-4</v>
      </c>
    </row>
    <row r="723" spans="1:8" x14ac:dyDescent="0.25">
      <c r="A723">
        <v>112</v>
      </c>
      <c r="B723" s="1">
        <v>293.53800000000001</v>
      </c>
      <c r="C723" s="1">
        <v>7.0720000000000002E-3</v>
      </c>
      <c r="D723" s="1">
        <v>-6.6978300000000001E-3</v>
      </c>
      <c r="E723" s="1">
        <v>-1.6214300000000001E-4</v>
      </c>
      <c r="F723" s="1">
        <v>-8.8644400000000001E-5</v>
      </c>
      <c r="G723" s="1">
        <v>1.64461E-6</v>
      </c>
      <c r="H723" s="1">
        <v>1.2502800000000001E-4</v>
      </c>
    </row>
    <row r="724" spans="1:8" x14ac:dyDescent="0.25">
      <c r="A724">
        <v>113</v>
      </c>
      <c r="B724" s="1">
        <v>299.01</v>
      </c>
      <c r="C724" s="1">
        <v>6.9196700000000002E-3</v>
      </c>
      <c r="D724" s="1">
        <v>-6.5549099999999997E-3</v>
      </c>
      <c r="E724" s="1">
        <v>-1.6305599999999999E-4</v>
      </c>
      <c r="F724" s="1">
        <v>-8.1174599999999994E-5</v>
      </c>
      <c r="G724" s="1">
        <v>1.3493200000000001E-6</v>
      </c>
      <c r="H724" s="1">
        <v>1.21871E-4</v>
      </c>
    </row>
    <row r="725" spans="1:8" x14ac:dyDescent="0.25">
      <c r="A725">
        <v>114</v>
      </c>
      <c r="B725" s="1">
        <v>304.51600000000002</v>
      </c>
      <c r="C725" s="1">
        <v>6.77117E-3</v>
      </c>
      <c r="D725" s="1">
        <v>-6.4163900000000001E-3</v>
      </c>
      <c r="E725" s="1">
        <v>-1.6450699999999999E-4</v>
      </c>
      <c r="F725" s="1">
        <v>-7.2852899999999995E-5</v>
      </c>
      <c r="G725" s="1">
        <v>1.40594E-6</v>
      </c>
      <c r="H725" s="1">
        <v>1.18819E-4</v>
      </c>
    </row>
    <row r="726" spans="1:8" x14ac:dyDescent="0.25">
      <c r="A726">
        <v>115</v>
      </c>
      <c r="B726" s="1">
        <v>310.05599999999998</v>
      </c>
      <c r="C726" s="1">
        <v>6.6255200000000002E-3</v>
      </c>
      <c r="D726" s="1">
        <v>-6.28175E-3</v>
      </c>
      <c r="E726" s="1">
        <v>-1.6493700000000001E-4</v>
      </c>
      <c r="F726" s="1">
        <v>-6.4365399999999999E-5</v>
      </c>
      <c r="G726" s="1">
        <v>1.2302600000000001E-6</v>
      </c>
      <c r="H726" s="1">
        <v>1.15696E-4</v>
      </c>
    </row>
    <row r="727" spans="1:8" x14ac:dyDescent="0.25">
      <c r="A727">
        <v>116</v>
      </c>
      <c r="B727" s="1">
        <v>315.63</v>
      </c>
      <c r="C727" s="1">
        <v>6.4814399999999998E-3</v>
      </c>
      <c r="D727" s="1">
        <v>-6.1505300000000004E-3</v>
      </c>
      <c r="E727" s="1">
        <v>-1.6402800000000001E-4</v>
      </c>
      <c r="F727" s="1">
        <v>-5.5218199999999999E-5</v>
      </c>
      <c r="G727" s="1">
        <v>8.2968899999999999E-7</v>
      </c>
      <c r="H727" s="1">
        <v>1.1249200000000001E-4</v>
      </c>
    </row>
    <row r="728" spans="1:8" x14ac:dyDescent="0.25">
      <c r="A728">
        <v>117</v>
      </c>
      <c r="B728" s="1">
        <v>321.23500000000001</v>
      </c>
      <c r="C728" s="1">
        <v>6.3381799999999997E-3</v>
      </c>
      <c r="D728" s="1">
        <v>-6.0226899999999998E-3</v>
      </c>
      <c r="E728" s="1">
        <v>-1.6301299999999999E-4</v>
      </c>
      <c r="F728" s="1">
        <v>-4.42662E-5</v>
      </c>
      <c r="G728" s="1">
        <v>9.9834199999999993E-7</v>
      </c>
      <c r="H728" s="1">
        <v>1.0920399999999999E-4</v>
      </c>
    </row>
    <row r="729" spans="1:8" x14ac:dyDescent="0.25">
      <c r="A729">
        <v>118</v>
      </c>
      <c r="B729" s="1">
        <v>326.87299999999999</v>
      </c>
      <c r="C729" s="1">
        <v>6.1964999999999998E-3</v>
      </c>
      <c r="D729" s="1">
        <v>-5.8981499999999996E-3</v>
      </c>
      <c r="E729" s="1">
        <v>-1.6284200000000001E-4</v>
      </c>
      <c r="F729" s="1">
        <v>-3.1033900000000001E-5</v>
      </c>
      <c r="G729" s="1">
        <v>1.58272E-6</v>
      </c>
      <c r="H729" s="1">
        <v>1.0606400000000001E-4</v>
      </c>
    </row>
    <row r="730" spans="1:8" x14ac:dyDescent="0.25">
      <c r="A730">
        <v>119</v>
      </c>
      <c r="B730" s="1">
        <v>332.541</v>
      </c>
      <c r="C730" s="1">
        <v>6.0583800000000004E-3</v>
      </c>
      <c r="D730" s="1">
        <v>-5.7768000000000003E-3</v>
      </c>
      <c r="E730" s="1">
        <v>-1.6343400000000001E-4</v>
      </c>
      <c r="F730" s="1">
        <v>-1.69786E-5</v>
      </c>
      <c r="G730" s="1">
        <v>1.8430200000000001E-6</v>
      </c>
      <c r="H730" s="1">
        <v>1.0300499999999999E-4</v>
      </c>
    </row>
    <row r="731" spans="1:8" x14ac:dyDescent="0.25">
      <c r="A731">
        <v>120</v>
      </c>
      <c r="B731" s="1">
        <v>338.23899999999998</v>
      </c>
      <c r="C731" s="1">
        <v>5.9253600000000002E-3</v>
      </c>
      <c r="D731" s="1">
        <v>-5.6587900000000003E-3</v>
      </c>
      <c r="E731" s="1">
        <v>-1.6374599999999999E-4</v>
      </c>
      <c r="F731" s="1">
        <v>-4.8773300000000003E-6</v>
      </c>
      <c r="G731" s="1">
        <v>2.0072500000000001E-6</v>
      </c>
      <c r="H731" s="1">
        <v>9.9956299999999997E-5</v>
      </c>
    </row>
    <row r="732" spans="1:8" x14ac:dyDescent="0.25">
      <c r="A732">
        <v>121</v>
      </c>
      <c r="B732" s="1">
        <v>343.96699999999998</v>
      </c>
      <c r="C732" s="1">
        <v>5.7969900000000001E-3</v>
      </c>
      <c r="D732" s="1">
        <v>-5.5441300000000004E-3</v>
      </c>
      <c r="E732" s="1">
        <v>-1.6246500000000001E-4</v>
      </c>
      <c r="F732" s="1">
        <v>4.4608499999999998E-6</v>
      </c>
      <c r="G732" s="1">
        <v>2.1154900000000001E-6</v>
      </c>
      <c r="H732" s="1">
        <v>9.6968700000000006E-5</v>
      </c>
    </row>
    <row r="733" spans="1:8" x14ac:dyDescent="0.25">
      <c r="A733">
        <v>122</v>
      </c>
      <c r="B733" s="1">
        <v>349.72399999999999</v>
      </c>
      <c r="C733" s="1">
        <v>5.6717499999999997E-3</v>
      </c>
      <c r="D733" s="1">
        <v>-5.4325900000000002E-3</v>
      </c>
      <c r="E733" s="1">
        <v>-1.5924600000000001E-4</v>
      </c>
      <c r="F733" s="1">
        <v>1.2106800000000001E-5</v>
      </c>
      <c r="G733" s="1">
        <v>2.2582499999999999E-6</v>
      </c>
      <c r="H733" s="1">
        <v>9.4279999999999999E-5</v>
      </c>
    </row>
    <row r="734" spans="1:8" x14ac:dyDescent="0.25">
      <c r="A734">
        <v>123</v>
      </c>
      <c r="B734" s="1">
        <v>355.50799999999998</v>
      </c>
      <c r="C734" s="1">
        <v>5.54902E-3</v>
      </c>
      <c r="D734" s="1">
        <v>-5.3240199999999996E-3</v>
      </c>
      <c r="E734" s="1">
        <v>-1.5487899999999999E-4</v>
      </c>
      <c r="F734" s="1">
        <v>1.9299800000000001E-5</v>
      </c>
      <c r="G734" s="1">
        <v>2.3874300000000002E-6</v>
      </c>
      <c r="H734" s="1">
        <v>9.1813799999999998E-5</v>
      </c>
    </row>
    <row r="735" spans="1:8" x14ac:dyDescent="0.25">
      <c r="A735">
        <v>124</v>
      </c>
      <c r="B735" s="1">
        <v>361.32</v>
      </c>
      <c r="C735" s="1">
        <v>5.4293700000000002E-3</v>
      </c>
      <c r="D735" s="1">
        <v>-5.2183899999999998E-3</v>
      </c>
      <c r="E735" s="1">
        <v>-1.5016000000000001E-4</v>
      </c>
      <c r="F735" s="1">
        <v>2.61258E-5</v>
      </c>
      <c r="G735" s="1">
        <v>2.4960100000000002E-6</v>
      </c>
      <c r="H735" s="1">
        <v>8.94412E-5</v>
      </c>
    </row>
    <row r="736" spans="1:8" x14ac:dyDescent="0.25">
      <c r="A736">
        <v>125</v>
      </c>
      <c r="B736" s="1">
        <v>367.15899999999999</v>
      </c>
      <c r="C736" s="1">
        <v>5.3137599999999998E-3</v>
      </c>
      <c r="D736" s="1">
        <v>-5.1156500000000002E-3</v>
      </c>
      <c r="E736" s="1">
        <v>-1.4500799999999999E-4</v>
      </c>
      <c r="F736" s="1">
        <v>3.15494E-5</v>
      </c>
      <c r="G736" s="1">
        <v>2.6190100000000001E-6</v>
      </c>
      <c r="H736" s="1">
        <v>8.7273000000000003E-5</v>
      </c>
    </row>
    <row r="737" spans="1:8" x14ac:dyDescent="0.25">
      <c r="A737">
        <v>126</v>
      </c>
      <c r="B737" s="1">
        <v>373.024</v>
      </c>
      <c r="C737" s="1">
        <v>5.2020900000000004E-3</v>
      </c>
      <c r="D737" s="1">
        <v>-5.0156100000000002E-3</v>
      </c>
      <c r="E737" s="1">
        <v>-1.3873999999999999E-4</v>
      </c>
      <c r="F737" s="1">
        <v>3.5058799999999997E-5</v>
      </c>
      <c r="G737" s="1">
        <v>2.6707800000000002E-6</v>
      </c>
      <c r="H737" s="1">
        <v>8.5468200000000003E-5</v>
      </c>
    </row>
    <row r="738" spans="1:8" x14ac:dyDescent="0.25">
      <c r="A738">
        <v>127</v>
      </c>
      <c r="B738" s="1">
        <v>378.91500000000002</v>
      </c>
      <c r="C738" s="1">
        <v>5.0933899999999997E-3</v>
      </c>
      <c r="D738" s="1">
        <v>-4.9180500000000002E-3</v>
      </c>
      <c r="E738" s="1">
        <v>-1.3158700000000001E-4</v>
      </c>
      <c r="F738" s="1">
        <v>3.8275799999999997E-5</v>
      </c>
      <c r="G738" s="1">
        <v>1.8339299999999999E-6</v>
      </c>
      <c r="H738" s="1">
        <v>8.3862499999999999E-5</v>
      </c>
    </row>
    <row r="739" spans="1:8" x14ac:dyDescent="0.25">
      <c r="A739">
        <v>128</v>
      </c>
      <c r="B739" s="1">
        <v>384.83</v>
      </c>
      <c r="C739" s="1">
        <v>4.98716E-3</v>
      </c>
      <c r="D739" s="1">
        <v>-4.8227900000000004E-3</v>
      </c>
      <c r="E739" s="1">
        <v>-1.24664E-4</v>
      </c>
      <c r="F739" s="1">
        <v>4.2074899999999999E-5</v>
      </c>
      <c r="G739" s="1">
        <v>6.6935100000000002E-7</v>
      </c>
      <c r="H739" s="1">
        <v>8.2452000000000003E-5</v>
      </c>
    </row>
    <row r="740" spans="1:8" x14ac:dyDescent="0.25">
      <c r="A740">
        <v>129</v>
      </c>
      <c r="B740" s="1">
        <v>390.76900000000001</v>
      </c>
      <c r="C740" s="1">
        <v>4.8829399999999997E-3</v>
      </c>
      <c r="D740" s="1">
        <v>-4.7297099999999998E-3</v>
      </c>
      <c r="E740" s="1">
        <v>-1.19381E-4</v>
      </c>
      <c r="F740" s="1">
        <v>4.6555199999999998E-5</v>
      </c>
      <c r="G740" s="1">
        <v>7.5771000000000003E-7</v>
      </c>
      <c r="H740" s="1">
        <v>8.1155000000000005E-5</v>
      </c>
    </row>
    <row r="741" spans="1:8" x14ac:dyDescent="0.25">
      <c r="A741">
        <v>130</v>
      </c>
      <c r="B741" s="1">
        <v>396.73099999999999</v>
      </c>
      <c r="C741" s="1">
        <v>4.7800500000000001E-3</v>
      </c>
      <c r="D741" s="1">
        <v>-4.6386099999999996E-3</v>
      </c>
      <c r="E741" s="1">
        <v>-1.1687E-4</v>
      </c>
      <c r="F741" s="1">
        <v>5.3214799999999997E-5</v>
      </c>
      <c r="G741" s="1">
        <v>2.0165399999999999E-6</v>
      </c>
      <c r="H741" s="1">
        <v>7.9804500000000005E-5</v>
      </c>
    </row>
    <row r="742" spans="1:8" x14ac:dyDescent="0.25">
      <c r="A742">
        <v>131</v>
      </c>
      <c r="B742" s="1">
        <v>402.71699999999998</v>
      </c>
      <c r="C742" s="1">
        <v>4.6783099999999998E-3</v>
      </c>
      <c r="D742" s="1">
        <v>-4.5493799999999996E-3</v>
      </c>
      <c r="E742" s="1">
        <v>-1.17224E-4</v>
      </c>
      <c r="F742" s="1">
        <v>6.3578599999999995E-5</v>
      </c>
      <c r="G742" s="1">
        <v>3.2564700000000001E-6</v>
      </c>
      <c r="H742" s="1">
        <v>7.8538699999999994E-5</v>
      </c>
    </row>
    <row r="743" spans="1:8" x14ac:dyDescent="0.25">
      <c r="A743">
        <v>132</v>
      </c>
      <c r="B743" s="1">
        <v>408.72500000000002</v>
      </c>
      <c r="C743" s="1">
        <v>4.5776100000000002E-3</v>
      </c>
      <c r="D743" s="1">
        <v>-4.4619999999999998E-3</v>
      </c>
      <c r="E743" s="1">
        <v>-1.19622E-4</v>
      </c>
      <c r="F743" s="1">
        <v>7.8243400000000004E-5</v>
      </c>
      <c r="G743" s="1">
        <v>3.09862E-6</v>
      </c>
      <c r="H743" s="1">
        <v>7.7331300000000003E-5</v>
      </c>
    </row>
    <row r="744" spans="1:8" x14ac:dyDescent="0.25">
      <c r="A744">
        <v>133</v>
      </c>
      <c r="B744" s="1">
        <v>414.75400000000002</v>
      </c>
      <c r="C744" s="1">
        <v>4.4778700000000001E-3</v>
      </c>
      <c r="D744" s="1">
        <v>-4.3763200000000004E-3</v>
      </c>
      <c r="E744" s="1">
        <v>-1.22552E-4</v>
      </c>
      <c r="F744" s="1">
        <v>9.5430699999999994E-5</v>
      </c>
      <c r="G744" s="1">
        <v>1.8872699999999999E-6</v>
      </c>
      <c r="H744" s="1">
        <v>7.63165E-5</v>
      </c>
    </row>
    <row r="745" spans="1:8" x14ac:dyDescent="0.25">
      <c r="A745">
        <v>134</v>
      </c>
      <c r="B745" s="1">
        <v>420.80399999999997</v>
      </c>
      <c r="C745" s="1">
        <v>4.37931E-3</v>
      </c>
      <c r="D745" s="1">
        <v>-4.2923500000000003E-3</v>
      </c>
      <c r="E745" s="1">
        <v>-1.26193E-4</v>
      </c>
      <c r="F745" s="1">
        <v>1.12763E-4</v>
      </c>
      <c r="G745" s="1">
        <v>1.78752E-6</v>
      </c>
      <c r="H745" s="1">
        <v>7.5319600000000003E-5</v>
      </c>
    </row>
    <row r="746" spans="1:8" x14ac:dyDescent="0.25">
      <c r="A746">
        <v>135</v>
      </c>
      <c r="B746" s="1">
        <v>426.875</v>
      </c>
      <c r="C746" s="1">
        <v>4.2820200000000001E-3</v>
      </c>
      <c r="D746" s="1">
        <v>-4.2101400000000002E-3</v>
      </c>
      <c r="E746" s="1">
        <v>-1.3094199999999999E-4</v>
      </c>
      <c r="F746" s="1">
        <v>1.30402E-4</v>
      </c>
      <c r="G746" s="1">
        <v>2.9744100000000001E-6</v>
      </c>
      <c r="H746" s="1">
        <v>7.4308500000000002E-5</v>
      </c>
    </row>
    <row r="747" spans="1:8" x14ac:dyDescent="0.25">
      <c r="A747">
        <v>136</v>
      </c>
      <c r="B747" s="1">
        <v>432.96600000000001</v>
      </c>
      <c r="C747" s="1">
        <v>4.1863200000000003E-3</v>
      </c>
      <c r="D747" s="1">
        <v>-4.1295699999999999E-3</v>
      </c>
      <c r="E747" s="1">
        <v>-1.3574999999999999E-4</v>
      </c>
      <c r="F747" s="1">
        <v>1.48715E-4</v>
      </c>
      <c r="G747" s="1">
        <v>3.72278E-6</v>
      </c>
      <c r="H747" s="1">
        <v>7.3438900000000006E-5</v>
      </c>
    </row>
    <row r="748" spans="1:8" x14ac:dyDescent="0.25">
      <c r="A748">
        <v>137</v>
      </c>
      <c r="B748" s="1">
        <v>439.07600000000002</v>
      </c>
      <c r="C748" s="1">
        <v>4.0928199999999996E-3</v>
      </c>
      <c r="D748" s="1">
        <v>-4.0504499999999997E-3</v>
      </c>
      <c r="E748" s="1">
        <v>-1.3948399999999999E-4</v>
      </c>
      <c r="F748" s="1">
        <v>1.6616100000000001E-4</v>
      </c>
      <c r="G748" s="1">
        <v>3.546E-6</v>
      </c>
      <c r="H748" s="1">
        <v>7.2593099999999995E-5</v>
      </c>
    </row>
    <row r="749" spans="1:8" x14ac:dyDescent="0.25">
      <c r="A749">
        <v>138</v>
      </c>
      <c r="B749" s="1">
        <v>445.20499999999998</v>
      </c>
      <c r="C749" s="1">
        <v>4.0019900000000004E-3</v>
      </c>
      <c r="D749" s="1">
        <v>-3.9729800000000001E-3</v>
      </c>
      <c r="E749" s="1">
        <v>-1.41879E-4</v>
      </c>
      <c r="F749" s="1">
        <v>1.81659E-4</v>
      </c>
      <c r="G749" s="1">
        <v>3.0378E-6</v>
      </c>
      <c r="H749" s="1">
        <v>7.1831399999999998E-5</v>
      </c>
    </row>
    <row r="750" spans="1:8" x14ac:dyDescent="0.25">
      <c r="A750">
        <v>139</v>
      </c>
      <c r="B750" s="1">
        <v>451.35199999999998</v>
      </c>
      <c r="C750" s="1">
        <v>3.9139500000000002E-3</v>
      </c>
      <c r="D750" s="1">
        <v>-3.89741E-3</v>
      </c>
      <c r="E750" s="1">
        <v>-1.43597E-4</v>
      </c>
      <c r="F750" s="1">
        <v>1.95448E-4</v>
      </c>
      <c r="G750" s="1">
        <v>2.58898E-6</v>
      </c>
      <c r="H750" s="1">
        <v>7.0972599999999999E-5</v>
      </c>
    </row>
    <row r="751" spans="1:8" x14ac:dyDescent="0.25">
      <c r="A751">
        <v>140</v>
      </c>
      <c r="B751" s="1">
        <v>457.517</v>
      </c>
      <c r="C751" s="1">
        <v>3.82833E-3</v>
      </c>
      <c r="D751" s="1">
        <v>-3.8237800000000001E-3</v>
      </c>
      <c r="E751" s="1">
        <v>-1.4501299999999999E-4</v>
      </c>
      <c r="F751" s="1">
        <v>2.0766200000000001E-4</v>
      </c>
      <c r="G751" s="1">
        <v>2.6105499999999999E-6</v>
      </c>
      <c r="H751" s="1">
        <v>6.9811299999999993E-5</v>
      </c>
    </row>
    <row r="752" spans="1:8" x14ac:dyDescent="0.25">
      <c r="A752">
        <v>141</v>
      </c>
      <c r="B752" s="1">
        <v>463.69900000000001</v>
      </c>
      <c r="C752" s="1">
        <v>3.7448E-3</v>
      </c>
      <c r="D752" s="1">
        <v>-3.7519300000000001E-3</v>
      </c>
      <c r="E752" s="1">
        <v>-1.45914E-4</v>
      </c>
      <c r="F752" s="1">
        <v>2.1846699999999999E-4</v>
      </c>
      <c r="G752" s="1">
        <v>2.98444E-6</v>
      </c>
      <c r="H752" s="1">
        <v>6.8407799999999999E-5</v>
      </c>
    </row>
    <row r="753" spans="1:8" x14ac:dyDescent="0.25">
      <c r="A753">
        <v>142</v>
      </c>
      <c r="B753" s="1">
        <v>469.89800000000002</v>
      </c>
      <c r="C753" s="1">
        <v>3.6628799999999999E-3</v>
      </c>
      <c r="D753" s="1">
        <v>-3.6814999999999999E-3</v>
      </c>
      <c r="E753" s="1">
        <v>-1.4627499999999999E-4</v>
      </c>
      <c r="F753" s="1">
        <v>2.2874200000000001E-4</v>
      </c>
      <c r="G753" s="1">
        <v>3.05003E-6</v>
      </c>
      <c r="H753" s="1">
        <v>6.6899599999999999E-5</v>
      </c>
    </row>
    <row r="754" spans="1:8" x14ac:dyDescent="0.25">
      <c r="A754">
        <v>143</v>
      </c>
      <c r="B754" s="1">
        <v>476.113</v>
      </c>
      <c r="C754" s="1">
        <v>3.5818999999999998E-3</v>
      </c>
      <c r="D754" s="1">
        <v>-3.6123499999999998E-3</v>
      </c>
      <c r="E754" s="1">
        <v>-1.46766E-4</v>
      </c>
      <c r="F754" s="1">
        <v>2.3964599999999999E-4</v>
      </c>
      <c r="G754" s="1">
        <v>2.9664500000000002E-6</v>
      </c>
      <c r="H754" s="1">
        <v>6.5395999999999995E-5</v>
      </c>
    </row>
    <row r="755" spans="1:8" x14ac:dyDescent="0.25">
      <c r="A755">
        <v>144</v>
      </c>
      <c r="B755" s="1">
        <v>482.34399999999999</v>
      </c>
      <c r="C755" s="1">
        <v>3.50155E-3</v>
      </c>
      <c r="D755" s="1">
        <v>-3.5446900000000001E-3</v>
      </c>
      <c r="E755" s="1">
        <v>-1.4823399999999999E-4</v>
      </c>
      <c r="F755" s="1">
        <v>2.52489E-4</v>
      </c>
      <c r="G755" s="1">
        <v>2.7488499999999999E-6</v>
      </c>
      <c r="H755" s="1">
        <v>6.3864799999999999E-5</v>
      </c>
    </row>
    <row r="756" spans="1:8" x14ac:dyDescent="0.25">
      <c r="A756">
        <v>145</v>
      </c>
      <c r="B756" s="1">
        <v>488.59</v>
      </c>
      <c r="C756" s="1">
        <v>3.4222200000000001E-3</v>
      </c>
      <c r="D756" s="1">
        <v>-3.4786800000000001E-3</v>
      </c>
      <c r="E756" s="1">
        <v>-1.5004999999999999E-4</v>
      </c>
      <c r="F756" s="1">
        <v>2.66801E-4</v>
      </c>
      <c r="G756" s="1">
        <v>2.1573500000000002E-6</v>
      </c>
      <c r="H756" s="1">
        <v>6.2447900000000002E-5</v>
      </c>
    </row>
    <row r="757" spans="1:8" x14ac:dyDescent="0.25">
      <c r="A757">
        <v>146</v>
      </c>
      <c r="B757" s="1">
        <v>494.85199999999998</v>
      </c>
      <c r="C757" s="1">
        <v>3.3443000000000001E-3</v>
      </c>
      <c r="D757" s="1">
        <v>-3.41407E-3</v>
      </c>
      <c r="E757" s="1">
        <v>-1.51547E-4</v>
      </c>
      <c r="F757" s="1">
        <v>2.8096300000000001E-4</v>
      </c>
      <c r="G757" s="1">
        <v>1.50997E-6</v>
      </c>
      <c r="H757" s="1">
        <v>6.1154600000000006E-5</v>
      </c>
    </row>
    <row r="758" spans="1:8" x14ac:dyDescent="0.25">
      <c r="A758">
        <v>147</v>
      </c>
      <c r="B758" s="1">
        <v>501.12700000000001</v>
      </c>
      <c r="C758" s="1">
        <v>3.2682399999999999E-3</v>
      </c>
      <c r="D758" s="1">
        <v>-3.35039E-3</v>
      </c>
      <c r="E758" s="1">
        <v>-1.5300900000000001E-4</v>
      </c>
      <c r="F758" s="1">
        <v>2.9431299999999999E-4</v>
      </c>
      <c r="G758" s="1">
        <v>7.0302999999999996E-7</v>
      </c>
      <c r="H758" s="1">
        <v>5.98571E-5</v>
      </c>
    </row>
    <row r="759" spans="1:8" x14ac:dyDescent="0.25">
      <c r="A759">
        <v>148</v>
      </c>
      <c r="B759" s="1">
        <v>507.41699999999997</v>
      </c>
      <c r="C759" s="1">
        <v>3.19477E-3</v>
      </c>
      <c r="D759" s="1">
        <v>-3.2877200000000001E-3</v>
      </c>
      <c r="E759" s="1">
        <v>-1.5426599999999999E-4</v>
      </c>
      <c r="F759" s="1">
        <v>3.0565699999999998E-4</v>
      </c>
      <c r="G759" s="1">
        <v>2.19154E-7</v>
      </c>
      <c r="H759" s="1">
        <v>5.8662100000000002E-5</v>
      </c>
    </row>
    <row r="760" spans="1:8" x14ac:dyDescent="0.25">
      <c r="A760">
        <v>149</v>
      </c>
      <c r="B760" s="1">
        <v>513.72</v>
      </c>
      <c r="C760" s="1">
        <v>3.12365E-3</v>
      </c>
      <c r="D760" s="1">
        <v>-3.22632E-3</v>
      </c>
      <c r="E760" s="1">
        <v>-1.5496999999999999E-4</v>
      </c>
      <c r="F760" s="1">
        <v>3.1416199999999999E-4</v>
      </c>
      <c r="G760" s="1">
        <v>9.5101700000000002E-7</v>
      </c>
      <c r="H760" s="1">
        <v>5.74776E-5</v>
      </c>
    </row>
    <row r="761" spans="1:8" x14ac:dyDescent="0.25">
      <c r="A761">
        <v>150</v>
      </c>
      <c r="B761" s="1">
        <v>520.03700000000003</v>
      </c>
      <c r="C761" s="1">
        <v>3.0537300000000002E-3</v>
      </c>
      <c r="D761" s="1">
        <v>-3.1660999999999998E-3</v>
      </c>
      <c r="E761" s="1">
        <v>-1.5510400000000001E-4</v>
      </c>
      <c r="F761" s="1">
        <v>3.2121999999999999E-4</v>
      </c>
      <c r="G761" s="1">
        <v>2.50151E-6</v>
      </c>
      <c r="H761" s="1">
        <v>5.6253199999999999E-5</v>
      </c>
    </row>
    <row r="762" spans="1:8" x14ac:dyDescent="0.25">
      <c r="A762">
        <v>151</v>
      </c>
      <c r="B762" s="1">
        <v>526.36599999999999</v>
      </c>
      <c r="C762" s="1">
        <v>2.9842100000000002E-3</v>
      </c>
      <c r="D762" s="1">
        <v>-3.10692E-3</v>
      </c>
      <c r="E762" s="1">
        <v>-1.54778E-4</v>
      </c>
      <c r="F762" s="1">
        <v>3.2884400000000001E-4</v>
      </c>
      <c r="G762" s="1">
        <v>3.8664300000000004E-6</v>
      </c>
      <c r="H762" s="1">
        <v>5.5215900000000001E-5</v>
      </c>
    </row>
    <row r="763" spans="1:8" x14ac:dyDescent="0.25">
      <c r="A763">
        <v>152</v>
      </c>
      <c r="B763" s="1">
        <v>532.70799999999997</v>
      </c>
      <c r="C763" s="1">
        <v>2.9145899999999999E-3</v>
      </c>
      <c r="D763" s="1">
        <v>-3.0486599999999999E-3</v>
      </c>
      <c r="E763" s="1">
        <v>-1.5455699999999999E-4</v>
      </c>
      <c r="F763" s="1">
        <v>3.3882200000000002E-4</v>
      </c>
      <c r="G763" s="1">
        <v>4.0125199999999998E-6</v>
      </c>
      <c r="H763" s="1">
        <v>5.42079E-5</v>
      </c>
    </row>
    <row r="764" spans="1:8" x14ac:dyDescent="0.25">
      <c r="A764">
        <v>153</v>
      </c>
      <c r="B764" s="1">
        <v>539.06200000000001</v>
      </c>
      <c r="C764" s="1">
        <v>2.8446299999999999E-3</v>
      </c>
      <c r="D764" s="1">
        <v>-2.9913700000000001E-3</v>
      </c>
      <c r="E764" s="1">
        <v>-1.5461899999999999E-4</v>
      </c>
      <c r="F764" s="1">
        <v>3.5125199999999998E-4</v>
      </c>
      <c r="G764" s="1">
        <v>3.3640299999999999E-6</v>
      </c>
      <c r="H764" s="1">
        <v>5.3261899999999999E-5</v>
      </c>
    </row>
    <row r="765" spans="1:8" x14ac:dyDescent="0.25">
      <c r="A765">
        <v>154</v>
      </c>
      <c r="B765" s="1">
        <v>545.42700000000002</v>
      </c>
      <c r="C765" s="1">
        <v>2.7746099999999998E-3</v>
      </c>
      <c r="D765" s="1">
        <v>-2.9352499999999999E-3</v>
      </c>
      <c r="E765" s="1">
        <v>-1.54604E-4</v>
      </c>
      <c r="F765" s="1">
        <v>3.6431300000000001E-4</v>
      </c>
      <c r="G765" s="1">
        <v>3.3152699999999999E-6</v>
      </c>
      <c r="H765" s="1">
        <v>5.23846E-5</v>
      </c>
    </row>
    <row r="766" spans="1:8" x14ac:dyDescent="0.25">
      <c r="A766">
        <v>155</v>
      </c>
      <c r="B766" s="1">
        <v>551.80499999999995</v>
      </c>
      <c r="C766" s="1">
        <v>2.70521E-3</v>
      </c>
      <c r="D766" s="1">
        <v>-2.8802599999999999E-3</v>
      </c>
      <c r="E766" s="1">
        <v>-1.5439800000000001E-4</v>
      </c>
      <c r="F766" s="1">
        <v>3.77041E-4</v>
      </c>
      <c r="G766" s="1">
        <v>3.8327700000000004E-6</v>
      </c>
      <c r="H766" s="1">
        <v>5.1419699999999998E-5</v>
      </c>
    </row>
    <row r="767" spans="1:8" x14ac:dyDescent="0.25">
      <c r="A767">
        <v>156</v>
      </c>
      <c r="B767" s="1">
        <v>558.19299999999998</v>
      </c>
      <c r="C767" s="1">
        <v>2.6370199999999999E-3</v>
      </c>
      <c r="D767" s="1">
        <v>-2.8263699999999999E-3</v>
      </c>
      <c r="E767" s="1">
        <v>-1.54222E-4</v>
      </c>
      <c r="F767" s="1">
        <v>3.8992900000000001E-4</v>
      </c>
      <c r="G767" s="1">
        <v>4.09619E-6</v>
      </c>
      <c r="H767" s="1">
        <v>5.0451200000000002E-5</v>
      </c>
    </row>
    <row r="768" spans="1:8" x14ac:dyDescent="0.25">
      <c r="A768">
        <v>157</v>
      </c>
      <c r="B768" s="1">
        <v>564.59199999999998</v>
      </c>
      <c r="C768" s="1">
        <v>2.57026E-3</v>
      </c>
      <c r="D768" s="1">
        <v>-2.7736800000000002E-3</v>
      </c>
      <c r="E768" s="1">
        <v>-1.5432799999999999E-4</v>
      </c>
      <c r="F768" s="1">
        <v>4.0313700000000003E-4</v>
      </c>
      <c r="G768" s="1">
        <v>4.1372E-6</v>
      </c>
      <c r="H768" s="1">
        <v>4.9520900000000002E-5</v>
      </c>
    </row>
    <row r="769" spans="1:8" x14ac:dyDescent="0.25">
      <c r="A769">
        <v>158</v>
      </c>
      <c r="B769" s="1">
        <v>571.00199999999995</v>
      </c>
      <c r="C769" s="1">
        <v>2.50505E-3</v>
      </c>
      <c r="D769" s="1">
        <v>-2.72222E-3</v>
      </c>
      <c r="E769" s="1">
        <v>-1.5487300000000001E-4</v>
      </c>
      <c r="F769" s="1">
        <v>4.1652399999999998E-4</v>
      </c>
      <c r="G769" s="1">
        <v>4.1019200000000002E-6</v>
      </c>
      <c r="H769" s="1">
        <v>4.8582499999999998E-5</v>
      </c>
    </row>
    <row r="770" spans="1:8" x14ac:dyDescent="0.25">
      <c r="A770">
        <v>159</v>
      </c>
      <c r="B770" s="1">
        <v>577.42200000000003</v>
      </c>
      <c r="C770" s="1">
        <v>2.4415499999999998E-3</v>
      </c>
      <c r="D770" s="1">
        <v>-2.67199E-3</v>
      </c>
      <c r="E770" s="1">
        <v>-1.5573900000000001E-4</v>
      </c>
      <c r="F770" s="1">
        <v>4.3000800000000001E-4</v>
      </c>
      <c r="G770" s="1">
        <v>3.8466300000000001E-6</v>
      </c>
      <c r="H770" s="1">
        <v>4.7672600000000002E-5</v>
      </c>
    </row>
    <row r="771" spans="1:8" x14ac:dyDescent="0.25">
      <c r="A771">
        <v>160</v>
      </c>
      <c r="B771" s="1">
        <v>583.85299999999995</v>
      </c>
      <c r="C771" s="1">
        <v>2.3797100000000002E-3</v>
      </c>
      <c r="D771" s="1">
        <v>-2.6230099999999998E-3</v>
      </c>
      <c r="E771" s="1">
        <v>-1.5668100000000001E-4</v>
      </c>
      <c r="F771" s="1">
        <v>4.4325899999999999E-4</v>
      </c>
      <c r="G771" s="1">
        <v>3.4824700000000001E-6</v>
      </c>
      <c r="H771" s="1">
        <v>4.6757400000000001E-5</v>
      </c>
    </row>
    <row r="772" spans="1:8" x14ac:dyDescent="0.25">
      <c r="A772">
        <v>161</v>
      </c>
      <c r="B772" s="1">
        <v>590.29300000000001</v>
      </c>
      <c r="C772" s="1">
        <v>2.3192500000000001E-3</v>
      </c>
      <c r="D772" s="1">
        <v>-2.5751400000000001E-3</v>
      </c>
      <c r="E772" s="1">
        <v>-1.5722500000000001E-4</v>
      </c>
      <c r="F772" s="1">
        <v>4.5585200000000003E-4</v>
      </c>
      <c r="G772" s="1">
        <v>3.1109000000000001E-6</v>
      </c>
      <c r="H772" s="1">
        <v>4.5846800000000003E-5</v>
      </c>
    </row>
    <row r="773" spans="1:8" x14ac:dyDescent="0.25">
      <c r="A773">
        <v>162</v>
      </c>
      <c r="B773" s="1">
        <v>596.74199999999996</v>
      </c>
      <c r="C773" s="1">
        <v>2.25991E-3</v>
      </c>
      <c r="D773" s="1">
        <v>-2.5283100000000002E-3</v>
      </c>
      <c r="E773" s="1">
        <v>-1.5730400000000001E-4</v>
      </c>
      <c r="F773" s="1">
        <v>4.67598E-4</v>
      </c>
      <c r="G773" s="1">
        <v>3.0075E-6</v>
      </c>
      <c r="H773" s="1">
        <v>4.4904400000000003E-5</v>
      </c>
    </row>
    <row r="774" spans="1:8" x14ac:dyDescent="0.25">
      <c r="A774">
        <v>163</v>
      </c>
      <c r="B774" s="1">
        <v>603.20100000000002</v>
      </c>
      <c r="C774" s="1">
        <v>2.2016499999999999E-3</v>
      </c>
      <c r="D774" s="1">
        <v>-2.4824399999999998E-3</v>
      </c>
      <c r="E774" s="1">
        <v>-1.573E-4</v>
      </c>
      <c r="F774" s="1">
        <v>4.7856599999999998E-4</v>
      </c>
      <c r="G774" s="1">
        <v>3.4915599999999999E-6</v>
      </c>
      <c r="H774" s="1">
        <v>4.3968599999999998E-5</v>
      </c>
    </row>
    <row r="775" spans="1:8" x14ac:dyDescent="0.25">
      <c r="A775">
        <v>164</v>
      </c>
      <c r="B775" s="1">
        <v>609.66999999999996</v>
      </c>
      <c r="C775" s="1">
        <v>2.1445800000000001E-3</v>
      </c>
      <c r="D775" s="1">
        <v>-2.4373900000000002E-3</v>
      </c>
      <c r="E775" s="1">
        <v>-1.5777200000000001E-4</v>
      </c>
      <c r="F775" s="1">
        <v>4.8982599999999996E-4</v>
      </c>
      <c r="G775" s="1">
        <v>3.78596E-6</v>
      </c>
      <c r="H775" s="1">
        <v>4.3022699999999997E-5</v>
      </c>
    </row>
    <row r="776" spans="1:8" x14ac:dyDescent="0.25">
      <c r="A776">
        <v>165</v>
      </c>
      <c r="B776" s="1">
        <v>616.14700000000005</v>
      </c>
      <c r="C776" s="1">
        <v>2.0884300000000001E-3</v>
      </c>
      <c r="D776" s="1">
        <v>-2.3931199999999999E-3</v>
      </c>
      <c r="E776" s="1">
        <v>-1.5881900000000001E-4</v>
      </c>
      <c r="F776" s="1">
        <v>5.0172900000000002E-4</v>
      </c>
      <c r="G776" s="1">
        <v>3.84968E-6</v>
      </c>
      <c r="H776" s="1">
        <v>4.2076700000000003E-5</v>
      </c>
    </row>
    <row r="777" spans="1:8" x14ac:dyDescent="0.25">
      <c r="A777">
        <v>166</v>
      </c>
      <c r="B777" s="1">
        <v>622.63300000000004</v>
      </c>
      <c r="C777" s="1">
        <v>2.0326200000000002E-3</v>
      </c>
      <c r="D777" s="1">
        <v>-2.3494200000000001E-3</v>
      </c>
      <c r="E777" s="1">
        <v>-1.6012700000000001E-4</v>
      </c>
      <c r="F777" s="1">
        <v>5.1420199999999995E-4</v>
      </c>
      <c r="G777" s="1">
        <v>3.73556E-6</v>
      </c>
      <c r="H777" s="1">
        <v>4.1017099999999997E-5</v>
      </c>
    </row>
    <row r="778" spans="1:8" x14ac:dyDescent="0.25">
      <c r="A778">
        <v>167</v>
      </c>
      <c r="B778" s="1">
        <v>629.12800000000004</v>
      </c>
      <c r="C778" s="1">
        <v>1.97693E-3</v>
      </c>
      <c r="D778" s="1">
        <v>-2.30613E-3</v>
      </c>
      <c r="E778" s="1">
        <v>-1.61063E-4</v>
      </c>
      <c r="F778" s="1">
        <v>5.2714299999999999E-4</v>
      </c>
      <c r="G778" s="1">
        <v>3.0247500000000001E-6</v>
      </c>
      <c r="H778" s="1">
        <v>3.9898000000000003E-5</v>
      </c>
    </row>
    <row r="779" spans="1:8" x14ac:dyDescent="0.25">
      <c r="A779">
        <v>168</v>
      </c>
      <c r="B779" s="1">
        <v>635.63099999999997</v>
      </c>
      <c r="C779" s="1">
        <v>1.9216599999999999E-3</v>
      </c>
      <c r="D779" s="1">
        <v>-2.2635400000000001E-3</v>
      </c>
      <c r="E779" s="1">
        <v>-1.61399E-4</v>
      </c>
      <c r="F779" s="1">
        <v>5.4007199999999995E-4</v>
      </c>
      <c r="G779" s="1">
        <v>2.0033599999999999E-6</v>
      </c>
      <c r="H779" s="1">
        <v>3.8795799999999999E-5</v>
      </c>
    </row>
    <row r="780" spans="1:8" x14ac:dyDescent="0.25">
      <c r="A780">
        <v>169</v>
      </c>
      <c r="B780" s="1">
        <v>642.14300000000003</v>
      </c>
      <c r="C780" s="1">
        <v>1.86713E-3</v>
      </c>
      <c r="D780" s="1">
        <v>-2.222E-3</v>
      </c>
      <c r="E780" s="1">
        <v>-1.6155799999999999E-4</v>
      </c>
      <c r="F780" s="1">
        <v>5.5259199999999997E-4</v>
      </c>
      <c r="G780" s="1">
        <v>1.57705E-6</v>
      </c>
      <c r="H780" s="1">
        <v>3.77427E-5</v>
      </c>
    </row>
    <row r="781" spans="1:8" x14ac:dyDescent="0.25">
      <c r="A781">
        <v>170</v>
      </c>
      <c r="B781" s="1">
        <v>648.66300000000001</v>
      </c>
      <c r="C781" s="1">
        <v>1.8132999999999999E-3</v>
      </c>
      <c r="D781" s="1">
        <v>-2.1815599999999999E-3</v>
      </c>
      <c r="E781" s="1">
        <v>-1.6216900000000001E-4</v>
      </c>
      <c r="F781" s="1">
        <v>5.6510399999999998E-4</v>
      </c>
      <c r="G781" s="1">
        <v>1.9307800000000001E-6</v>
      </c>
      <c r="H781" s="1">
        <v>3.6604499999999998E-5</v>
      </c>
    </row>
    <row r="782" spans="1:8" x14ac:dyDescent="0.25">
      <c r="A782">
        <v>171</v>
      </c>
      <c r="B782" s="1">
        <v>655.19100000000003</v>
      </c>
      <c r="C782" s="1">
        <v>1.7599899999999999E-3</v>
      </c>
      <c r="D782" s="1">
        <v>-2.1420599999999999E-3</v>
      </c>
      <c r="E782" s="1">
        <v>-1.62969E-4</v>
      </c>
      <c r="F782" s="1">
        <v>5.7805499999999995E-4</v>
      </c>
      <c r="G782" s="1">
        <v>2.4243100000000001E-6</v>
      </c>
      <c r="H782" s="1">
        <v>3.5432899999999997E-5</v>
      </c>
    </row>
    <row r="783" spans="1:8" x14ac:dyDescent="0.25">
      <c r="A783">
        <v>172</v>
      </c>
      <c r="B783" s="1">
        <v>661.72699999999998</v>
      </c>
      <c r="C783" s="1">
        <v>1.70706E-3</v>
      </c>
      <c r="D783" s="1">
        <v>-2.10341E-3</v>
      </c>
      <c r="E783" s="1">
        <v>-1.6334300000000001E-4</v>
      </c>
      <c r="F783" s="1">
        <v>5.9118599999999995E-4</v>
      </c>
      <c r="G783" s="1">
        <v>2.8293300000000001E-6</v>
      </c>
      <c r="H783" s="1">
        <v>3.4323799999999998E-5</v>
      </c>
    </row>
    <row r="784" spans="1:8" x14ac:dyDescent="0.25">
      <c r="A784">
        <v>173</v>
      </c>
      <c r="B784" s="1">
        <v>668.27200000000005</v>
      </c>
      <c r="C784" s="1">
        <v>1.6543599999999999E-3</v>
      </c>
      <c r="D784" s="1">
        <v>-2.0655000000000001E-3</v>
      </c>
      <c r="E784" s="1">
        <v>-1.6312400000000001E-4</v>
      </c>
      <c r="F784" s="1">
        <v>6.0441900000000003E-4</v>
      </c>
      <c r="G784" s="1">
        <v>3.0558E-6</v>
      </c>
      <c r="H784" s="1">
        <v>3.3208099999999998E-5</v>
      </c>
    </row>
    <row r="785" spans="1:8" x14ac:dyDescent="0.25">
      <c r="A785">
        <v>174</v>
      </c>
      <c r="B785" s="1">
        <v>674.82399999999996</v>
      </c>
      <c r="C785" s="1">
        <v>1.6018899999999999E-3</v>
      </c>
      <c r="D785" s="1">
        <v>-2.0283800000000002E-3</v>
      </c>
      <c r="E785" s="1">
        <v>-1.6236500000000001E-4</v>
      </c>
      <c r="F785" s="1">
        <v>6.1744399999999998E-4</v>
      </c>
      <c r="G785" s="1">
        <v>3.46358E-6</v>
      </c>
      <c r="H785" s="1">
        <v>3.2055099999999997E-5</v>
      </c>
    </row>
    <row r="786" spans="1:8" x14ac:dyDescent="0.25">
      <c r="A786">
        <v>175</v>
      </c>
      <c r="B786" s="1">
        <v>681.38499999999999</v>
      </c>
      <c r="C786" s="1">
        <v>1.5498199999999999E-3</v>
      </c>
      <c r="D786" s="1">
        <v>-1.9920799999999998E-3</v>
      </c>
      <c r="E786" s="1">
        <v>-1.61182E-4</v>
      </c>
      <c r="F786" s="1">
        <v>6.3038500000000002E-4</v>
      </c>
      <c r="G786" s="1">
        <v>3.9534299999999997E-6</v>
      </c>
      <c r="H786" s="1">
        <v>3.0896099999999997E-5</v>
      </c>
    </row>
    <row r="787" spans="1:8" x14ac:dyDescent="0.25">
      <c r="A787">
        <v>176</v>
      </c>
      <c r="B787" s="1">
        <v>687.95299999999997</v>
      </c>
      <c r="C787" s="1">
        <v>1.49833E-3</v>
      </c>
      <c r="D787" s="1">
        <v>-1.95655E-3</v>
      </c>
      <c r="E787" s="1">
        <v>-1.5983999999999999E-4</v>
      </c>
      <c r="F787" s="1">
        <v>6.4360800000000005E-4</v>
      </c>
      <c r="G787" s="1">
        <v>4.2987699999999998E-6</v>
      </c>
      <c r="H787" s="1">
        <v>2.9845500000000001E-5</v>
      </c>
    </row>
    <row r="788" spans="1:8" x14ac:dyDescent="0.25">
      <c r="A788">
        <v>177</v>
      </c>
      <c r="B788" s="1">
        <v>694.529</v>
      </c>
      <c r="C788" s="1">
        <v>1.4475E-3</v>
      </c>
      <c r="D788" s="1">
        <v>-1.9217800000000001E-3</v>
      </c>
      <c r="E788" s="1">
        <v>-1.5895500000000001E-4</v>
      </c>
      <c r="F788" s="1">
        <v>6.5768000000000001E-4</v>
      </c>
      <c r="G788" s="1">
        <v>4.4732499999999999E-6</v>
      </c>
      <c r="H788" s="1">
        <v>2.8916199999999999E-5</v>
      </c>
    </row>
    <row r="789" spans="1:8" x14ac:dyDescent="0.25">
      <c r="A789">
        <v>178</v>
      </c>
      <c r="B789" s="1">
        <v>701.11300000000006</v>
      </c>
      <c r="C789" s="1">
        <v>1.39734E-3</v>
      </c>
      <c r="D789" s="1">
        <v>-1.8879000000000001E-3</v>
      </c>
      <c r="E789" s="1">
        <v>-1.5886900000000001E-4</v>
      </c>
      <c r="F789" s="1">
        <v>6.7345700000000003E-4</v>
      </c>
      <c r="G789" s="1">
        <v>4.1138299999999999E-6</v>
      </c>
      <c r="H789" s="1">
        <v>2.8142700000000001E-5</v>
      </c>
    </row>
    <row r="790" spans="1:8" x14ac:dyDescent="0.25">
      <c r="A790">
        <v>179</v>
      </c>
      <c r="B790" s="1">
        <v>707.70500000000004</v>
      </c>
      <c r="C790" s="1">
        <v>1.3479099999999999E-3</v>
      </c>
      <c r="D790" s="1">
        <v>-1.85502E-3</v>
      </c>
      <c r="E790" s="1">
        <v>-1.59476E-4</v>
      </c>
      <c r="F790" s="1">
        <v>6.9066099999999997E-4</v>
      </c>
      <c r="G790" s="1">
        <v>3.4931099999999999E-6</v>
      </c>
      <c r="H790" s="1">
        <v>2.75677E-5</v>
      </c>
    </row>
    <row r="791" spans="1:8" x14ac:dyDescent="0.25">
      <c r="A791">
        <v>180</v>
      </c>
      <c r="B791" s="1">
        <v>714.30600000000004</v>
      </c>
      <c r="C791" s="1">
        <v>1.29923E-3</v>
      </c>
      <c r="D791" s="1">
        <v>-1.8230399999999999E-3</v>
      </c>
      <c r="E791" s="1">
        <v>-1.6072699999999999E-4</v>
      </c>
      <c r="F791" s="1">
        <v>7.0857299999999999E-4</v>
      </c>
      <c r="G791" s="1">
        <v>2.9906499999999999E-6</v>
      </c>
      <c r="H791" s="1">
        <v>2.7024899999999999E-5</v>
      </c>
    </row>
    <row r="792" spans="1:8" x14ac:dyDescent="0.25">
      <c r="A792">
        <v>181</v>
      </c>
      <c r="B792" s="1">
        <v>720.91399999999999</v>
      </c>
      <c r="C792" s="1">
        <v>1.2512300000000001E-3</v>
      </c>
      <c r="D792" s="1">
        <v>-1.79178E-3</v>
      </c>
      <c r="E792" s="1">
        <v>-1.62292E-4</v>
      </c>
      <c r="F792" s="1">
        <v>7.2641100000000005E-4</v>
      </c>
      <c r="G792" s="1">
        <v>2.9081000000000002E-6</v>
      </c>
      <c r="H792" s="1">
        <v>2.6476299999999999E-5</v>
      </c>
    </row>
    <row r="793" spans="1:8" x14ac:dyDescent="0.25">
      <c r="A793">
        <v>182</v>
      </c>
      <c r="B793" s="1">
        <v>727.53</v>
      </c>
      <c r="C793" s="1">
        <v>1.20385E-3</v>
      </c>
      <c r="D793" s="1">
        <v>-1.7611199999999999E-3</v>
      </c>
      <c r="E793" s="1">
        <v>-1.6357000000000001E-4</v>
      </c>
      <c r="F793" s="1">
        <v>7.4366199999999997E-4</v>
      </c>
      <c r="G793" s="1">
        <v>3.0730500000000002E-6</v>
      </c>
      <c r="H793" s="1">
        <v>2.58943E-5</v>
      </c>
    </row>
    <row r="794" spans="1:8" x14ac:dyDescent="0.25">
      <c r="A794">
        <v>183</v>
      </c>
      <c r="B794" s="1">
        <v>734.15499999999997</v>
      </c>
      <c r="C794" s="1">
        <v>1.1571999999999999E-3</v>
      </c>
      <c r="D794" s="1">
        <v>-1.7309999999999999E-3</v>
      </c>
      <c r="E794" s="1">
        <v>-1.64229E-4</v>
      </c>
      <c r="F794" s="1">
        <v>7.6030900000000003E-4</v>
      </c>
      <c r="G794" s="1">
        <v>2.9885299999999998E-6</v>
      </c>
      <c r="H794" s="1">
        <v>2.5264300000000001E-5</v>
      </c>
    </row>
    <row r="795" spans="1:8" x14ac:dyDescent="0.25">
      <c r="A795">
        <v>184</v>
      </c>
      <c r="B795" s="1">
        <v>740.78700000000003</v>
      </c>
      <c r="C795" s="1">
        <v>1.1114199999999999E-3</v>
      </c>
      <c r="D795" s="1">
        <v>-1.7014700000000001E-3</v>
      </c>
      <c r="E795" s="1">
        <v>-1.6408300000000001E-4</v>
      </c>
      <c r="F795" s="1">
        <v>7.7593599999999997E-4</v>
      </c>
      <c r="G795" s="1">
        <v>2.8920999999999998E-6</v>
      </c>
      <c r="H795" s="1">
        <v>2.4697300000000002E-5</v>
      </c>
    </row>
    <row r="796" spans="1:8" x14ac:dyDescent="0.25">
      <c r="A796">
        <v>185</v>
      </c>
      <c r="B796" s="1">
        <v>747.42899999999997</v>
      </c>
      <c r="C796" s="1">
        <v>1.0664299999999999E-3</v>
      </c>
      <c r="D796" s="1">
        <v>-1.67263E-3</v>
      </c>
      <c r="E796" s="1">
        <v>-1.6312799999999999E-4</v>
      </c>
      <c r="F796" s="1">
        <v>7.9061799999999998E-4</v>
      </c>
      <c r="G796" s="1">
        <v>2.85665E-6</v>
      </c>
      <c r="H796" s="1">
        <v>2.4152199999999999E-5</v>
      </c>
    </row>
    <row r="797" spans="1:8" x14ac:dyDescent="0.25">
      <c r="A797">
        <v>186</v>
      </c>
      <c r="B797" s="1">
        <v>754.07899999999995</v>
      </c>
      <c r="C797" s="1">
        <v>1.02213E-3</v>
      </c>
      <c r="D797" s="1">
        <v>-1.64467E-3</v>
      </c>
      <c r="E797" s="1">
        <v>-1.61454E-4</v>
      </c>
      <c r="F797" s="1">
        <v>8.0455000000000001E-4</v>
      </c>
      <c r="G797" s="1">
        <v>3.0515700000000002E-6</v>
      </c>
      <c r="H797" s="1">
        <v>2.3606899999999999E-5</v>
      </c>
    </row>
    <row r="798" spans="1:8" x14ac:dyDescent="0.25">
      <c r="A798">
        <v>187</v>
      </c>
      <c r="B798" s="1">
        <v>760.73699999999997</v>
      </c>
      <c r="C798" s="1">
        <v>9.7853000000000002E-4</v>
      </c>
      <c r="D798" s="1">
        <v>-1.6176700000000001E-3</v>
      </c>
      <c r="E798" s="1">
        <v>-1.5926199999999999E-4</v>
      </c>
      <c r="F798" s="1">
        <v>8.1764499999999998E-4</v>
      </c>
      <c r="G798" s="1">
        <v>3.82757E-6</v>
      </c>
      <c r="H798" s="1">
        <v>2.30697E-5</v>
      </c>
    </row>
    <row r="799" spans="1:8" x14ac:dyDescent="0.25">
      <c r="A799">
        <v>188</v>
      </c>
      <c r="B799" s="1">
        <v>767.404</v>
      </c>
      <c r="C799" s="1">
        <v>9.3557199999999997E-4</v>
      </c>
      <c r="D799" s="1">
        <v>-1.5914E-3</v>
      </c>
      <c r="E799" s="1">
        <v>-1.56902E-4</v>
      </c>
      <c r="F799" s="1">
        <v>8.3047299999999998E-4</v>
      </c>
      <c r="G799" s="1">
        <v>4.7298E-6</v>
      </c>
      <c r="H799" s="1">
        <v>2.24702E-5</v>
      </c>
    </row>
    <row r="800" spans="1:8" x14ac:dyDescent="0.25">
      <c r="A800">
        <v>189</v>
      </c>
      <c r="B800" s="1">
        <v>774.08100000000002</v>
      </c>
      <c r="C800" s="1">
        <v>8.9310799999999999E-4</v>
      </c>
      <c r="D800" s="1">
        <v>-1.56569E-3</v>
      </c>
      <c r="E800" s="1">
        <v>-1.5484E-4</v>
      </c>
      <c r="F800" s="1">
        <v>8.4387000000000004E-4</v>
      </c>
      <c r="G800" s="1">
        <v>5.3986399999999997E-6</v>
      </c>
      <c r="H800" s="1">
        <v>2.1842299999999999E-5</v>
      </c>
    </row>
    <row r="801" spans="1:8" x14ac:dyDescent="0.25">
      <c r="A801">
        <v>190</v>
      </c>
      <c r="B801" s="1">
        <v>780.76700000000005</v>
      </c>
      <c r="C801" s="1">
        <v>8.5108099999999995E-4</v>
      </c>
      <c r="D801" s="1">
        <v>-1.54053E-3</v>
      </c>
      <c r="E801" s="1">
        <v>-1.5331200000000001E-4</v>
      </c>
      <c r="F801" s="1">
        <v>8.5828200000000003E-4</v>
      </c>
      <c r="G801" s="1">
        <v>5.6843199999999996E-6</v>
      </c>
      <c r="H801" s="1">
        <v>2.12074E-5</v>
      </c>
    </row>
    <row r="802" spans="1:8" x14ac:dyDescent="0.25">
      <c r="A802">
        <v>191</v>
      </c>
      <c r="B802" s="1">
        <v>787.46199999999999</v>
      </c>
      <c r="C802" s="1">
        <v>8.0954400000000004E-4</v>
      </c>
      <c r="D802" s="1">
        <v>-1.51592E-3</v>
      </c>
      <c r="E802" s="1">
        <v>-1.51939E-4</v>
      </c>
      <c r="F802" s="1">
        <v>8.7330199999999995E-4</v>
      </c>
      <c r="G802" s="1">
        <v>5.63502E-6</v>
      </c>
      <c r="H802" s="1">
        <v>2.0617700000000001E-5</v>
      </c>
    </row>
    <row r="803" spans="1:8" x14ac:dyDescent="0.25">
      <c r="A803">
        <v>192</v>
      </c>
      <c r="B803" s="1">
        <v>794.16700000000003</v>
      </c>
      <c r="C803" s="1">
        <v>7.6855499999999998E-4</v>
      </c>
      <c r="D803" s="1">
        <v>-1.49197E-3</v>
      </c>
      <c r="E803" s="1">
        <v>-1.50395E-4</v>
      </c>
      <c r="F803" s="1">
        <v>8.8842399999999996E-4</v>
      </c>
      <c r="G803" s="1">
        <v>5.4923099999999998E-6</v>
      </c>
      <c r="H803" s="1">
        <v>2.0100699999999999E-5</v>
      </c>
    </row>
    <row r="804" spans="1:8" x14ac:dyDescent="0.25">
      <c r="A804">
        <v>193</v>
      </c>
      <c r="B804" s="1">
        <v>800.88099999999997</v>
      </c>
      <c r="C804" s="1">
        <v>7.2824800000000002E-4</v>
      </c>
      <c r="D804" s="1">
        <v>-1.46883E-3</v>
      </c>
      <c r="E804" s="1">
        <v>-1.48672E-4</v>
      </c>
      <c r="F804" s="1">
        <v>9.03582E-4</v>
      </c>
      <c r="G804" s="1">
        <v>5.3264600000000003E-6</v>
      </c>
      <c r="H804" s="1">
        <v>1.9653E-5</v>
      </c>
    </row>
    <row r="805" spans="1:8" x14ac:dyDescent="0.25">
      <c r="A805">
        <v>194</v>
      </c>
      <c r="B805" s="1">
        <v>807.60599999999999</v>
      </c>
      <c r="C805" s="1">
        <v>6.8872599999999996E-4</v>
      </c>
      <c r="D805" s="1">
        <v>-1.4465999999999999E-3</v>
      </c>
      <c r="E805" s="1">
        <v>-1.46713E-4</v>
      </c>
      <c r="F805" s="1">
        <v>9.1824199999999999E-4</v>
      </c>
      <c r="G805" s="1">
        <v>5.6302400000000002E-6</v>
      </c>
      <c r="H805" s="1">
        <v>1.9281400000000001E-5</v>
      </c>
    </row>
    <row r="806" spans="1:8" x14ac:dyDescent="0.25">
      <c r="A806">
        <v>195</v>
      </c>
      <c r="B806" s="1">
        <v>814.34199999999998</v>
      </c>
      <c r="C806" s="1">
        <v>6.4992800000000003E-4</v>
      </c>
      <c r="D806" s="1">
        <v>-1.42519E-3</v>
      </c>
      <c r="E806" s="1">
        <v>-1.44287E-4</v>
      </c>
      <c r="F806" s="1">
        <v>9.3203000000000003E-4</v>
      </c>
      <c r="G806" s="1">
        <v>6.4060400000000004E-6</v>
      </c>
      <c r="H806" s="1">
        <v>1.8891900000000001E-5</v>
      </c>
    </row>
    <row r="807" spans="1:8" x14ac:dyDescent="0.25">
      <c r="A807">
        <v>196</v>
      </c>
      <c r="B807" s="1">
        <v>821.08799999999997</v>
      </c>
      <c r="C807" s="1">
        <v>6.1178600000000001E-4</v>
      </c>
      <c r="D807" s="1">
        <v>-1.4044000000000001E-3</v>
      </c>
      <c r="E807" s="1">
        <v>-1.4114999999999999E-4</v>
      </c>
      <c r="F807" s="1">
        <v>9.4509800000000001E-4</v>
      </c>
      <c r="G807" s="1">
        <v>7.0839000000000001E-6</v>
      </c>
      <c r="H807" s="1">
        <v>1.8414699999999998E-5</v>
      </c>
    </row>
    <row r="808" spans="1:8" x14ac:dyDescent="0.25">
      <c r="A808">
        <v>197</v>
      </c>
      <c r="B808" s="1">
        <v>827.846</v>
      </c>
      <c r="C808" s="1">
        <v>5.7431099999999998E-4</v>
      </c>
      <c r="D808" s="1">
        <v>-1.3842100000000001E-3</v>
      </c>
      <c r="E808" s="1">
        <v>-1.3731099999999999E-4</v>
      </c>
      <c r="F808" s="1">
        <v>9.5774599999999999E-4</v>
      </c>
      <c r="G808" s="1">
        <v>7.3344800000000001E-6</v>
      </c>
      <c r="H808" s="1">
        <v>1.78731E-5</v>
      </c>
    </row>
    <row r="809" spans="1:8" x14ac:dyDescent="0.25">
      <c r="A809">
        <v>198</v>
      </c>
      <c r="B809" s="1">
        <v>834.61500000000001</v>
      </c>
      <c r="C809" s="1">
        <v>5.3759000000000001E-4</v>
      </c>
      <c r="D809" s="1">
        <v>-1.3646299999999999E-3</v>
      </c>
      <c r="E809" s="1">
        <v>-1.3304899999999999E-4</v>
      </c>
      <c r="F809" s="1">
        <v>9.7019000000000001E-4</v>
      </c>
      <c r="G809" s="1">
        <v>7.1607400000000002E-6</v>
      </c>
      <c r="H809" s="1">
        <v>1.7265499999999999E-5</v>
      </c>
    </row>
    <row r="810" spans="1:8" x14ac:dyDescent="0.25">
      <c r="A810">
        <v>199</v>
      </c>
      <c r="B810" s="1">
        <v>841.39599999999996</v>
      </c>
      <c r="C810" s="1">
        <v>5.0173600000000002E-4</v>
      </c>
      <c r="D810" s="1">
        <v>-1.3457199999999999E-3</v>
      </c>
      <c r="E810" s="1">
        <v>-1.2861200000000001E-4</v>
      </c>
      <c r="F810" s="1">
        <v>9.8224199999999992E-4</v>
      </c>
      <c r="G810" s="1">
        <v>7.0092499999999998E-6</v>
      </c>
      <c r="H810" s="1">
        <v>1.66587E-5</v>
      </c>
    </row>
    <row r="811" spans="1:8" x14ac:dyDescent="0.25">
      <c r="A811">
        <v>200</v>
      </c>
      <c r="B811" s="1">
        <v>848.18899999999996</v>
      </c>
      <c r="C811" s="1">
        <v>4.6684299999999999E-4</v>
      </c>
      <c r="D811" s="1">
        <v>-1.3275299999999999E-3</v>
      </c>
      <c r="E811" s="1">
        <v>-1.24234E-4</v>
      </c>
      <c r="F811" s="1">
        <v>9.9410899999999996E-4</v>
      </c>
      <c r="G811" s="1">
        <v>6.9432900000000002E-6</v>
      </c>
      <c r="H811" s="1">
        <v>1.6125199999999999E-5</v>
      </c>
    </row>
    <row r="812" spans="1:8" x14ac:dyDescent="0.25">
      <c r="A812">
        <v>201</v>
      </c>
      <c r="B812" s="1">
        <v>854.995</v>
      </c>
      <c r="C812" s="1">
        <v>4.33003E-4</v>
      </c>
      <c r="D812" s="1">
        <v>-1.31007E-3</v>
      </c>
      <c r="E812" s="1">
        <v>-1.20288E-4</v>
      </c>
      <c r="F812" s="1">
        <v>1.00606E-3</v>
      </c>
      <c r="G812" s="1">
        <v>6.9907499999999999E-6</v>
      </c>
      <c r="H812" s="1">
        <v>1.5692399999999999E-5</v>
      </c>
    </row>
    <row r="813" spans="1:8" x14ac:dyDescent="0.25">
      <c r="A813">
        <v>202</v>
      </c>
      <c r="B813" s="1">
        <v>861.81399999999996</v>
      </c>
      <c r="C813" s="1">
        <v>4.0025500000000002E-4</v>
      </c>
      <c r="D813" s="1">
        <v>-1.2932600000000001E-3</v>
      </c>
      <c r="E813" s="1">
        <v>-1.17256E-4</v>
      </c>
      <c r="F813" s="1">
        <v>1.01815E-3</v>
      </c>
      <c r="G813" s="1">
        <v>7.4224500000000004E-6</v>
      </c>
      <c r="H813" s="1">
        <v>1.5315199999999999E-5</v>
      </c>
    </row>
    <row r="814" spans="1:8" x14ac:dyDescent="0.25">
      <c r="A814">
        <v>203</v>
      </c>
      <c r="B814" s="1">
        <v>868.64599999999996</v>
      </c>
      <c r="C814" s="1">
        <v>3.6858399999999998E-4</v>
      </c>
      <c r="D814" s="1">
        <v>-1.27706E-3</v>
      </c>
      <c r="E814" s="1">
        <v>-1.15412E-4</v>
      </c>
      <c r="F814" s="1">
        <v>1.0306099999999999E-3</v>
      </c>
      <c r="G814" s="1">
        <v>8.2457800000000002E-6</v>
      </c>
      <c r="H814" s="1">
        <v>1.4969E-5</v>
      </c>
    </row>
    <row r="815" spans="1:8" x14ac:dyDescent="0.25">
      <c r="A815">
        <v>204</v>
      </c>
      <c r="B815" s="1">
        <v>875.49300000000005</v>
      </c>
      <c r="C815" s="1">
        <v>3.3796199999999997E-4</v>
      </c>
      <c r="D815" s="1">
        <v>-1.26144E-3</v>
      </c>
      <c r="E815" s="1">
        <v>-1.14574E-4</v>
      </c>
      <c r="F815" s="1">
        <v>1.0436899999999999E-3</v>
      </c>
      <c r="G815" s="1">
        <v>9.0560400000000005E-6</v>
      </c>
      <c r="H815" s="1">
        <v>1.4691900000000001E-5</v>
      </c>
    </row>
    <row r="816" spans="1:8" x14ac:dyDescent="0.25">
      <c r="A816">
        <v>205</v>
      </c>
      <c r="B816" s="1">
        <v>882.35400000000004</v>
      </c>
      <c r="C816" s="1">
        <v>3.0843500000000002E-4</v>
      </c>
      <c r="D816" s="1">
        <v>-1.2463800000000001E-3</v>
      </c>
      <c r="E816" s="1">
        <v>-1.1404300000000001E-4</v>
      </c>
      <c r="F816" s="1">
        <v>1.0569900000000001E-3</v>
      </c>
      <c r="G816" s="1">
        <v>9.47551E-6</v>
      </c>
      <c r="H816" s="1">
        <v>1.4474199999999999E-5</v>
      </c>
    </row>
    <row r="817" spans="1:8" x14ac:dyDescent="0.25">
      <c r="A817">
        <v>206</v>
      </c>
      <c r="B817" s="1">
        <v>889.23</v>
      </c>
      <c r="C817" s="1">
        <v>2.8012499999999999E-4</v>
      </c>
      <c r="D817" s="1">
        <v>-1.23197E-3</v>
      </c>
      <c r="E817" s="1">
        <v>-1.13099E-4</v>
      </c>
      <c r="F817" s="1">
        <v>1.0697899999999999E-3</v>
      </c>
      <c r="G817" s="1">
        <v>9.4935600000000006E-6</v>
      </c>
      <c r="H817" s="1">
        <v>1.4335000000000001E-5</v>
      </c>
    </row>
    <row r="818" spans="1:8" x14ac:dyDescent="0.25">
      <c r="A818">
        <v>207</v>
      </c>
      <c r="B818" s="1">
        <v>896.12099999999998</v>
      </c>
      <c r="C818" s="1">
        <v>2.5310900000000001E-4</v>
      </c>
      <c r="D818" s="1">
        <v>-1.21839E-3</v>
      </c>
      <c r="E818" s="1">
        <v>-1.11581E-4</v>
      </c>
      <c r="F818" s="1">
        <v>1.0816599999999999E-3</v>
      </c>
      <c r="G818" s="1">
        <v>9.5147200000000003E-6</v>
      </c>
      <c r="H818" s="1">
        <v>1.43191E-5</v>
      </c>
    </row>
    <row r="819" spans="1:8" x14ac:dyDescent="0.25">
      <c r="A819">
        <v>208</v>
      </c>
      <c r="B819" s="1">
        <v>903.029</v>
      </c>
      <c r="C819" s="1">
        <v>2.27397E-4</v>
      </c>
      <c r="D819" s="1">
        <v>-1.2056600000000001E-3</v>
      </c>
      <c r="E819" s="1">
        <v>-1.0995800000000001E-4</v>
      </c>
      <c r="F819" s="1">
        <v>1.0928699999999999E-3</v>
      </c>
      <c r="G819" s="1">
        <v>9.6389099999999992E-6</v>
      </c>
      <c r="H819" s="1">
        <v>1.42908E-5</v>
      </c>
    </row>
    <row r="820" spans="1:8" x14ac:dyDescent="0.25">
      <c r="A820">
        <v>209</v>
      </c>
      <c r="B820" s="1">
        <v>909.95399999999995</v>
      </c>
      <c r="C820" s="1">
        <v>2.0294900000000001E-4</v>
      </c>
      <c r="D820" s="1">
        <v>-1.19378E-3</v>
      </c>
      <c r="E820" s="1">
        <v>-1.08658E-4</v>
      </c>
      <c r="F820" s="1">
        <v>1.10384E-3</v>
      </c>
      <c r="G820" s="1">
        <v>9.87893E-6</v>
      </c>
      <c r="H820" s="1">
        <v>1.4230700000000001E-5</v>
      </c>
    </row>
    <row r="821" spans="1:8" x14ac:dyDescent="0.25">
      <c r="A821">
        <v>210</v>
      </c>
      <c r="B821" s="1">
        <v>916.89599999999996</v>
      </c>
      <c r="C821" s="1">
        <v>1.7967800000000001E-4</v>
      </c>
      <c r="D821" s="1">
        <v>-1.18271E-3</v>
      </c>
      <c r="E821" s="1">
        <v>-1.07861E-4</v>
      </c>
      <c r="F821" s="1">
        <v>1.1148600000000001E-3</v>
      </c>
      <c r="G821" s="1">
        <v>1.0184799999999999E-5</v>
      </c>
      <c r="H821" s="1">
        <v>1.4153400000000001E-5</v>
      </c>
    </row>
    <row r="822" spans="1:8" x14ac:dyDescent="0.25">
      <c r="A822">
        <v>211</v>
      </c>
      <c r="B822" s="1">
        <v>923.85699999999997</v>
      </c>
      <c r="C822" s="1">
        <v>1.5752799999999999E-4</v>
      </c>
      <c r="D822" s="1">
        <v>-1.1723599999999999E-3</v>
      </c>
      <c r="E822" s="1">
        <v>-1.07308E-4</v>
      </c>
      <c r="F822" s="1">
        <v>1.1257999999999999E-3</v>
      </c>
      <c r="G822" s="1">
        <v>1.0434E-5</v>
      </c>
      <c r="H822" s="1">
        <v>1.4098500000000001E-5</v>
      </c>
    </row>
    <row r="823" spans="1:8" x14ac:dyDescent="0.25">
      <c r="A823">
        <v>212</v>
      </c>
      <c r="B823" s="1">
        <v>930.83600000000001</v>
      </c>
      <c r="C823" s="1">
        <v>1.3652E-4</v>
      </c>
      <c r="D823" s="1">
        <v>-1.1626500000000001E-3</v>
      </c>
      <c r="E823" s="1">
        <v>-1.06474E-4</v>
      </c>
      <c r="F823" s="1">
        <v>1.13601E-3</v>
      </c>
      <c r="G823" s="1">
        <v>1.0655900000000001E-5</v>
      </c>
      <c r="H823" s="1">
        <v>1.4060799999999999E-5</v>
      </c>
    </row>
    <row r="824" spans="1:8" x14ac:dyDescent="0.25">
      <c r="A824">
        <v>213</v>
      </c>
      <c r="B824" s="1">
        <v>937.83399999999995</v>
      </c>
      <c r="C824" s="1">
        <v>1.1678E-4</v>
      </c>
      <c r="D824" s="1">
        <v>-1.15365E-3</v>
      </c>
      <c r="E824" s="1">
        <v>-1.05074E-4</v>
      </c>
      <c r="F824" s="1">
        <v>1.1449800000000001E-3</v>
      </c>
      <c r="G824" s="1">
        <v>1.09909E-5</v>
      </c>
      <c r="H824" s="1">
        <v>1.40224E-5</v>
      </c>
    </row>
    <row r="825" spans="1:8" x14ac:dyDescent="0.25">
      <c r="A825">
        <v>214</v>
      </c>
      <c r="B825" s="1">
        <v>944.85299999999995</v>
      </c>
      <c r="C825" s="1">
        <v>9.8484299999999995E-5</v>
      </c>
      <c r="D825" s="1">
        <v>-1.1453699999999999E-3</v>
      </c>
      <c r="E825" s="1">
        <v>-1.0325E-4</v>
      </c>
      <c r="F825" s="1">
        <v>1.1527200000000001E-3</v>
      </c>
      <c r="G825" s="1">
        <v>1.14009E-5</v>
      </c>
      <c r="H825" s="1">
        <v>1.39862E-5</v>
      </c>
    </row>
    <row r="826" spans="1:8" x14ac:dyDescent="0.25">
      <c r="A826">
        <v>215</v>
      </c>
      <c r="B826" s="1">
        <v>951.89300000000003</v>
      </c>
      <c r="C826" s="1">
        <v>8.1732100000000003E-5</v>
      </c>
      <c r="D826" s="1">
        <v>-1.13776E-3</v>
      </c>
      <c r="E826" s="1">
        <v>-1.01374E-4</v>
      </c>
      <c r="F826" s="1">
        <v>1.1596600000000001E-3</v>
      </c>
      <c r="G826" s="1">
        <v>1.16538E-5</v>
      </c>
      <c r="H826" s="1">
        <v>1.39167E-5</v>
      </c>
    </row>
    <row r="827" spans="1:8" x14ac:dyDescent="0.25">
      <c r="A827">
        <v>216</v>
      </c>
      <c r="B827" s="1">
        <v>958.95500000000004</v>
      </c>
      <c r="C827" s="1">
        <v>6.6542400000000002E-5</v>
      </c>
      <c r="D827" s="1">
        <v>-1.13086E-3</v>
      </c>
      <c r="E827" s="1">
        <v>-9.9612799999999996E-5</v>
      </c>
      <c r="F827" s="1">
        <v>1.16584E-3</v>
      </c>
      <c r="G827" s="1">
        <v>1.19474E-5</v>
      </c>
      <c r="H827" s="1">
        <v>1.3863600000000001E-5</v>
      </c>
    </row>
    <row r="828" spans="1:8" x14ac:dyDescent="0.25">
      <c r="A828">
        <v>217</v>
      </c>
      <c r="B828" s="1">
        <v>966.04</v>
      </c>
      <c r="C828" s="1">
        <v>5.2942000000000002E-5</v>
      </c>
      <c r="D828" s="1">
        <v>-1.12469E-3</v>
      </c>
      <c r="E828" s="1">
        <v>-9.8012700000000004E-5</v>
      </c>
      <c r="F828" s="1">
        <v>1.1712999999999999E-3</v>
      </c>
      <c r="G828" s="1">
        <v>1.2362500000000001E-5</v>
      </c>
      <c r="H828" s="1">
        <v>1.39033E-5</v>
      </c>
    </row>
    <row r="829" spans="1:8" x14ac:dyDescent="0.25">
      <c r="A829">
        <v>218</v>
      </c>
      <c r="B829" s="1">
        <v>973.149</v>
      </c>
      <c r="C829" s="1">
        <v>4.0966700000000002E-5</v>
      </c>
      <c r="D829" s="1">
        <v>-1.11918E-3</v>
      </c>
      <c r="E829" s="1">
        <v>-9.6796E-5</v>
      </c>
      <c r="F829" s="1">
        <v>1.1764E-3</v>
      </c>
      <c r="G829" s="1">
        <v>1.2659E-5</v>
      </c>
      <c r="H829" s="1">
        <v>1.4053000000000001E-5</v>
      </c>
    </row>
    <row r="830" spans="1:8" x14ac:dyDescent="0.25">
      <c r="A830">
        <v>219</v>
      </c>
      <c r="B830" s="1">
        <v>980.28200000000004</v>
      </c>
      <c r="C830" s="1">
        <v>3.0622700000000001E-5</v>
      </c>
      <c r="D830" s="1">
        <v>-1.1143699999999999E-3</v>
      </c>
      <c r="E830" s="1">
        <v>-9.6350900000000006E-5</v>
      </c>
      <c r="F830" s="1">
        <v>1.18133E-3</v>
      </c>
      <c r="G830" s="1">
        <v>1.3002399999999999E-5</v>
      </c>
      <c r="H830" s="1">
        <v>1.42356E-5</v>
      </c>
    </row>
    <row r="831" spans="1:8" x14ac:dyDescent="0.25">
      <c r="A831">
        <v>220</v>
      </c>
      <c r="B831" s="1">
        <v>987.44100000000003</v>
      </c>
      <c r="C831" s="1">
        <v>2.19182E-5</v>
      </c>
      <c r="D831" s="1">
        <v>-1.11031E-3</v>
      </c>
      <c r="E831" s="1">
        <v>-9.6622700000000006E-5</v>
      </c>
      <c r="F831" s="1">
        <v>1.1858999999999999E-3</v>
      </c>
      <c r="G831" s="1">
        <v>1.35057E-5</v>
      </c>
      <c r="H831" s="1">
        <v>1.43942E-5</v>
      </c>
    </row>
    <row r="832" spans="1:8" x14ac:dyDescent="0.25">
      <c r="A832">
        <v>221</v>
      </c>
      <c r="B832" s="1">
        <v>994.62699999999995</v>
      </c>
      <c r="C832" s="1">
        <v>1.48822E-5</v>
      </c>
      <c r="D832" s="1">
        <v>-1.1070400000000001E-3</v>
      </c>
      <c r="E832" s="1">
        <v>-9.7132299999999998E-5</v>
      </c>
      <c r="F832" s="1">
        <v>1.1900000000000001E-3</v>
      </c>
      <c r="G832" s="1">
        <v>1.3851E-5</v>
      </c>
      <c r="H832" s="1">
        <v>1.456E-5</v>
      </c>
    </row>
    <row r="833" spans="1:8" x14ac:dyDescent="0.25">
      <c r="A833">
        <v>222</v>
      </c>
      <c r="B833" s="1">
        <v>1001.84</v>
      </c>
      <c r="C833" s="1">
        <v>9.5478599999999994E-6</v>
      </c>
      <c r="D833" s="1">
        <v>-1.10461E-3</v>
      </c>
      <c r="E833" s="1">
        <v>-9.7586799999999999E-5</v>
      </c>
      <c r="F833" s="1">
        <v>1.19344E-3</v>
      </c>
      <c r="G833" s="1">
        <v>1.3931700000000001E-5</v>
      </c>
      <c r="H833" s="1">
        <v>1.4724E-5</v>
      </c>
    </row>
    <row r="834" spans="1:8" x14ac:dyDescent="0.25">
      <c r="A834">
        <v>223</v>
      </c>
      <c r="B834" s="1">
        <v>1009.08</v>
      </c>
      <c r="C834" s="1">
        <v>5.9332799999999999E-6</v>
      </c>
      <c r="D834" s="1">
        <v>-1.10304E-3</v>
      </c>
      <c r="E834" s="1">
        <v>-9.8098799999999997E-5</v>
      </c>
      <c r="F834" s="1">
        <v>1.1962400000000001E-3</v>
      </c>
      <c r="G834" s="1">
        <v>1.3802799999999999E-5</v>
      </c>
      <c r="H834" s="1">
        <v>1.4836400000000001E-5</v>
      </c>
    </row>
    <row r="835" spans="1:8" x14ac:dyDescent="0.25">
      <c r="A835">
        <v>224</v>
      </c>
      <c r="B835" s="1">
        <v>1016.36</v>
      </c>
      <c r="C835" s="1">
        <v>4.0780900000000001E-6</v>
      </c>
      <c r="D835" s="1">
        <v>-1.1023000000000001E-3</v>
      </c>
      <c r="E835" s="1">
        <v>-9.8563199999999998E-5</v>
      </c>
      <c r="F835" s="1">
        <v>1.19815E-3</v>
      </c>
      <c r="G835" s="1">
        <v>1.3539100000000001E-5</v>
      </c>
      <c r="H835" s="1">
        <v>1.49071E-5</v>
      </c>
    </row>
    <row r="836" spans="1:8" x14ac:dyDescent="0.25">
      <c r="B836" s="1"/>
      <c r="C836" s="1"/>
      <c r="D836" s="1"/>
      <c r="E836" s="1"/>
      <c r="F836" s="1"/>
      <c r="G836" s="1"/>
      <c r="H836" s="1"/>
    </row>
    <row r="837" spans="1:8" x14ac:dyDescent="0.25">
      <c r="A837" t="s">
        <v>383</v>
      </c>
      <c r="B837" s="1"/>
      <c r="C837" s="1"/>
      <c r="D837" s="1"/>
      <c r="E837" s="1"/>
      <c r="F837" s="1"/>
      <c r="G837" s="1"/>
      <c r="H837" s="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72"/>
  <sheetViews>
    <sheetView workbookViewId="0"/>
  </sheetViews>
  <sheetFormatPr defaultRowHeight="15" x14ac:dyDescent="0.25"/>
  <cols>
    <col min="1" max="1" width="12.7109375" bestFit="1" customWidth="1"/>
    <col min="2" max="2" width="12.7109375" customWidth="1"/>
    <col min="3" max="4" width="12" bestFit="1" customWidth="1"/>
    <col min="5" max="6" width="12.7109375" bestFit="1" customWidth="1"/>
    <col min="7" max="7" width="12" bestFit="1" customWidth="1"/>
    <col min="8" max="8" width="12" customWidth="1"/>
    <col min="9" max="9" width="12.7109375" customWidth="1"/>
    <col min="12" max="12" width="9.5703125" bestFit="1" customWidth="1"/>
    <col min="14" max="14" width="11.7109375" customWidth="1"/>
  </cols>
  <sheetData>
    <row r="1" spans="1:17" x14ac:dyDescent="0.25">
      <c r="A1" t="s">
        <v>498</v>
      </c>
      <c r="B1" t="s">
        <v>538</v>
      </c>
      <c r="C1" t="s">
        <v>539</v>
      </c>
      <c r="D1" t="s">
        <v>540</v>
      </c>
      <c r="E1" t="s">
        <v>541</v>
      </c>
      <c r="F1" t="s">
        <v>542</v>
      </c>
      <c r="G1" t="s">
        <v>378</v>
      </c>
      <c r="H1" t="s">
        <v>543</v>
      </c>
      <c r="I1" t="s">
        <v>537</v>
      </c>
      <c r="J1" t="s">
        <v>12</v>
      </c>
      <c r="L1" t="s">
        <v>5</v>
      </c>
      <c r="M1" t="s">
        <v>3</v>
      </c>
      <c r="N1" t="s">
        <v>6</v>
      </c>
    </row>
    <row r="2" spans="1:17" x14ac:dyDescent="0.25">
      <c r="A2">
        <v>-143.34727764129599</v>
      </c>
      <c r="B2" s="1">
        <v>-2.13603088923264E-4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>
        <v>0</v>
      </c>
      <c r="I2" s="1">
        <v>0</v>
      </c>
      <c r="J2">
        <f>-G2</f>
        <v>0</v>
      </c>
      <c r="L2">
        <f>G44+I44-A44*(I45+G45-I44-G44)/(A45-A44)</f>
        <v>0.21502171412817134</v>
      </c>
      <c r="M2" s="1">
        <f>-(Kawamura_scalar!D683-(Kawamura_scalar!D684-Kawamura_scalar!D683)/(Kawamura_scalar!B684-Kawamura_scalar!B683))</f>
        <v>0.12472909649317752</v>
      </c>
      <c r="N2">
        <f>100*(M2-L2)/M2</f>
        <v>-72.390981874812724</v>
      </c>
      <c r="P2">
        <f>P13</f>
        <v>-3.7003028312749819E-3</v>
      </c>
      <c r="Q2" t="s">
        <v>11</v>
      </c>
    </row>
    <row r="3" spans="1:17" x14ac:dyDescent="0.25">
      <c r="A3">
        <v>-130.59127092361399</v>
      </c>
      <c r="B3" s="1">
        <v>-2.13603088923264E-4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>
        <v>0</v>
      </c>
      <c r="I3" s="1">
        <v>0</v>
      </c>
      <c r="J3">
        <f t="shared" ref="J3:J66" si="0">-G3</f>
        <v>0</v>
      </c>
      <c r="P3">
        <f>P2/0.71/2</f>
        <v>-2.6058470642781563E-3</v>
      </c>
      <c r="Q3" t="s">
        <v>12</v>
      </c>
    </row>
    <row r="4" spans="1:17" x14ac:dyDescent="0.25">
      <c r="A4">
        <v>-118.88850688934301</v>
      </c>
      <c r="B4" s="1">
        <v>-2.13603088923264E-4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>
        <v>0</v>
      </c>
      <c r="I4" s="1">
        <v>0</v>
      </c>
      <c r="J4">
        <f t="shared" si="0"/>
        <v>0</v>
      </c>
      <c r="P4">
        <f>100*(P3-M2)/M2</f>
        <v>-102.08920543605531</v>
      </c>
      <c r="Q4" t="s">
        <v>13</v>
      </c>
    </row>
    <row r="5" spans="1:17" x14ac:dyDescent="0.25">
      <c r="A5">
        <v>-108.151924610137</v>
      </c>
      <c r="B5" s="1">
        <v>-2.13603088923264E-4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>
        <v>0</v>
      </c>
      <c r="I5" s="1">
        <v>0</v>
      </c>
      <c r="J5">
        <f t="shared" si="0"/>
        <v>0</v>
      </c>
      <c r="P5">
        <f>(P3+L2)/2</f>
        <v>0.10620793353194659</v>
      </c>
      <c r="Q5" t="s">
        <v>14</v>
      </c>
    </row>
    <row r="6" spans="1:17" x14ac:dyDescent="0.25">
      <c r="A6">
        <v>-98.302001953125</v>
      </c>
      <c r="B6" s="1">
        <v>-2.13603088923264E-4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>
        <v>0</v>
      </c>
      <c r="I6" s="1">
        <v>0</v>
      </c>
      <c r="J6">
        <f t="shared" si="0"/>
        <v>0</v>
      </c>
      <c r="P6">
        <f>100*(P5-M2)/M2</f>
        <v>-14.849111780621303</v>
      </c>
      <c r="Q6" t="s">
        <v>13</v>
      </c>
    </row>
    <row r="7" spans="1:17" x14ac:dyDescent="0.25">
      <c r="A7">
        <v>-89.265174865722599</v>
      </c>
      <c r="B7" s="1">
        <v>-2.13603088923264E-4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>
        <v>0</v>
      </c>
      <c r="I7" s="1">
        <v>0</v>
      </c>
      <c r="J7">
        <f t="shared" si="0"/>
        <v>0</v>
      </c>
    </row>
    <row r="8" spans="1:17" x14ac:dyDescent="0.25">
      <c r="A8">
        <v>-80.974688529968205</v>
      </c>
      <c r="B8" s="1">
        <v>-2.13603088923264E-4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>
        <v>0</v>
      </c>
      <c r="I8" s="1">
        <v>0</v>
      </c>
      <c r="J8">
        <f t="shared" si="0"/>
        <v>0</v>
      </c>
      <c r="K8" t="s">
        <v>7</v>
      </c>
      <c r="L8">
        <v>1</v>
      </c>
      <c r="M8">
        <f>A44</f>
        <v>18.850514888763399</v>
      </c>
      <c r="N8">
        <f>M8*M8/2</f>
        <v>177.67095578574529</v>
      </c>
    </row>
    <row r="9" spans="1:17" x14ac:dyDescent="0.25">
      <c r="A9">
        <v>-73.368651866912799</v>
      </c>
      <c r="B9" s="1">
        <v>-2.13603088923264E-4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>
        <v>0</v>
      </c>
      <c r="I9" s="1">
        <v>0</v>
      </c>
      <c r="J9">
        <f t="shared" si="0"/>
        <v>0</v>
      </c>
      <c r="L9">
        <v>1</v>
      </c>
      <c r="M9">
        <f>A45</f>
        <v>21.5470933914184</v>
      </c>
      <c r="N9">
        <f t="shared" ref="N9:N10" si="1">M9*M9/2</f>
        <v>232.13861680925325</v>
      </c>
    </row>
    <row r="10" spans="1:17" x14ac:dyDescent="0.25">
      <c r="A10">
        <v>-66.390645503997803</v>
      </c>
      <c r="B10" s="1">
        <v>-2.13603088923264E-4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>
        <v>0</v>
      </c>
      <c r="I10" s="1">
        <v>0</v>
      </c>
      <c r="J10">
        <f t="shared" si="0"/>
        <v>0</v>
      </c>
      <c r="L10">
        <v>1</v>
      </c>
      <c r="M10">
        <f>A46</f>
        <v>24.4862508773803</v>
      </c>
      <c r="N10">
        <f t="shared" si="1"/>
        <v>299.78824101500373</v>
      </c>
    </row>
    <row r="11" spans="1:17" x14ac:dyDescent="0.25">
      <c r="A11">
        <v>-59.988870620727504</v>
      </c>
      <c r="B11" s="1">
        <v>-2.13603088923264E-4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  <c r="J11">
        <f t="shared" si="0"/>
        <v>0</v>
      </c>
      <c r="K11" t="s">
        <v>8</v>
      </c>
      <c r="L11">
        <f t="array" ref="L11:N13">MINVERSE(L8:N10)</f>
        <v>34.717407006691403</v>
      </c>
      <c r="M11">
        <v>-58.238420377012041</v>
      </c>
      <c r="N11">
        <v>24.521013370320638</v>
      </c>
      <c r="P11" s="1">
        <f>L11*C$44+M11*C$45+N11*C$46</f>
        <v>12.993755777305893</v>
      </c>
      <c r="Q11" t="s">
        <v>10</v>
      </c>
    </row>
    <row r="12" spans="1:17" x14ac:dyDescent="0.25">
      <c r="A12">
        <v>-54.115540981292703</v>
      </c>
      <c r="B12" s="1">
        <v>-2.13603088923264E-4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>
        <v>0</v>
      </c>
      <c r="I12" s="1">
        <v>0</v>
      </c>
      <c r="J12">
        <f t="shared" si="0"/>
        <v>0</v>
      </c>
      <c r="L12">
        <v>-3.0290665778548176</v>
      </c>
      <c r="M12">
        <v>5.4679001045340243</v>
      </c>
      <c r="N12">
        <v>-2.4388335266792067</v>
      </c>
      <c r="P12">
        <f>L12*C$44+M12*C$45+N12*C$46</f>
        <v>-0.12567181339834477</v>
      </c>
      <c r="Q12" t="s">
        <v>9</v>
      </c>
    </row>
    <row r="13" spans="1:17" x14ac:dyDescent="0.25">
      <c r="A13">
        <v>-48.727247714996302</v>
      </c>
      <c r="B13" s="1">
        <v>-2.13603088923264E-4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>
        <v>0</v>
      </c>
      <c r="I13" s="1">
        <v>0</v>
      </c>
      <c r="J13">
        <f t="shared" si="0"/>
        <v>0</v>
      </c>
      <c r="L13">
        <v>0.13160315097540776</v>
      </c>
      <c r="M13">
        <v>-0.25234463199400786</v>
      </c>
      <c r="N13">
        <v>0.12074148101860009</v>
      </c>
      <c r="P13">
        <f>$L$13*C$44+$M$13*C$45+$N$13*C$46</f>
        <v>-3.7003028312749819E-3</v>
      </c>
      <c r="Q13" t="s">
        <v>11</v>
      </c>
    </row>
    <row r="14" spans="1:17" x14ac:dyDescent="0.25">
      <c r="A14">
        <v>-43.783864974975501</v>
      </c>
      <c r="B14" s="1">
        <v>-2.13603088923264E-4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>
        <v>0</v>
      </c>
      <c r="I14" s="1">
        <v>0</v>
      </c>
      <c r="J14">
        <f t="shared" si="0"/>
        <v>0</v>
      </c>
    </row>
    <row r="15" spans="1:17" x14ac:dyDescent="0.25">
      <c r="A15">
        <v>-39.248671531677203</v>
      </c>
      <c r="B15" s="1">
        <v>-2.13603088923264E-4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>
        <v>0</v>
      </c>
      <c r="I15" s="1">
        <v>0</v>
      </c>
      <c r="J15">
        <f t="shared" si="0"/>
        <v>0</v>
      </c>
    </row>
    <row r="16" spans="1:17" x14ac:dyDescent="0.25">
      <c r="A16">
        <v>-35.087985992431598</v>
      </c>
      <c r="B16" s="1">
        <v>-2.13603088923264E-4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>
        <v>0</v>
      </c>
      <c r="I16" s="1">
        <v>0</v>
      </c>
      <c r="J16">
        <f t="shared" si="0"/>
        <v>0</v>
      </c>
    </row>
    <row r="17" spans="1:10" x14ac:dyDescent="0.25">
      <c r="A17">
        <v>-31.270802021026601</v>
      </c>
      <c r="B17" s="1">
        <v>-2.13603088923264E-4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>
        <v>0</v>
      </c>
      <c r="I17" s="1">
        <v>0</v>
      </c>
      <c r="J17">
        <f t="shared" si="0"/>
        <v>0</v>
      </c>
    </row>
    <row r="18" spans="1:10" x14ac:dyDescent="0.25">
      <c r="A18">
        <v>-27.7686667442321</v>
      </c>
      <c r="B18" s="1">
        <v>-2.13603088923264E-4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>
        <v>0</v>
      </c>
      <c r="I18" s="1">
        <v>0</v>
      </c>
      <c r="J18">
        <f t="shared" si="0"/>
        <v>0</v>
      </c>
    </row>
    <row r="19" spans="1:10" x14ac:dyDescent="0.25">
      <c r="A19">
        <v>-24.555802345275801</v>
      </c>
      <c r="B19" s="1">
        <v>-2.13603088923264E-4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>
        <v>0</v>
      </c>
      <c r="I19" s="1">
        <v>0</v>
      </c>
      <c r="J19">
        <f t="shared" si="0"/>
        <v>0</v>
      </c>
    </row>
    <row r="20" spans="1:10" x14ac:dyDescent="0.25">
      <c r="A20">
        <v>-21.608254909515299</v>
      </c>
      <c r="B20" s="1">
        <v>-2.13603088923264E-4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>
        <v>0</v>
      </c>
      <c r="I20" s="1">
        <v>0</v>
      </c>
      <c r="J20">
        <f t="shared" si="0"/>
        <v>0</v>
      </c>
    </row>
    <row r="21" spans="1:10" x14ac:dyDescent="0.25">
      <c r="A21">
        <v>-18.904016017913801</v>
      </c>
      <c r="B21" s="1">
        <v>-2.13603088923264E-4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>
        <v>0</v>
      </c>
      <c r="I21" s="1">
        <v>0</v>
      </c>
      <c r="J21">
        <f t="shared" si="0"/>
        <v>0</v>
      </c>
    </row>
    <row r="22" spans="1:10" x14ac:dyDescent="0.25">
      <c r="A22">
        <v>-16.423144340515101</v>
      </c>
      <c r="B22" s="1">
        <v>-2.13603088923264E-4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>
        <v>0</v>
      </c>
      <c r="I22" s="1">
        <v>0</v>
      </c>
      <c r="J22">
        <f t="shared" si="0"/>
        <v>0</v>
      </c>
    </row>
    <row r="23" spans="1:10" x14ac:dyDescent="0.25">
      <c r="A23">
        <v>-14.147036075592</v>
      </c>
      <c r="B23" s="1">
        <v>-2.13603088923264E-4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>
        <v>0</v>
      </c>
      <c r="I23" s="1">
        <v>0</v>
      </c>
      <c r="J23">
        <f t="shared" si="0"/>
        <v>0</v>
      </c>
    </row>
    <row r="24" spans="1:10" x14ac:dyDescent="0.25">
      <c r="A24">
        <v>-12.058911323547299</v>
      </c>
      <c r="B24" s="1">
        <v>-2.13603088923264E-4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>
        <v>0</v>
      </c>
      <c r="I24" s="1">
        <v>0</v>
      </c>
      <c r="J24">
        <f t="shared" si="0"/>
        <v>0</v>
      </c>
    </row>
    <row r="25" spans="1:10" x14ac:dyDescent="0.25">
      <c r="A25">
        <v>-10.143084526061999</v>
      </c>
      <c r="B25" s="1">
        <v>-2.13603088923264E-4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>
        <v>0</v>
      </c>
      <c r="I25" s="1">
        <v>0</v>
      </c>
      <c r="J25">
        <f t="shared" si="0"/>
        <v>0</v>
      </c>
    </row>
    <row r="26" spans="1:10" x14ac:dyDescent="0.25">
      <c r="A26">
        <v>-8.3855724334716708</v>
      </c>
      <c r="B26" s="1">
        <v>-2.13603088923264E-4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>
        <v>0</v>
      </c>
      <c r="I26" s="1">
        <v>0</v>
      </c>
      <c r="J26">
        <f t="shared" si="0"/>
        <v>0</v>
      </c>
    </row>
    <row r="27" spans="1:10" x14ac:dyDescent="0.25">
      <c r="A27">
        <v>-6.7732429504394496</v>
      </c>
      <c r="B27" s="1">
        <v>-2.13603088923264E-4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>
        <f t="shared" si="0"/>
        <v>0</v>
      </c>
    </row>
    <row r="28" spans="1:10" x14ac:dyDescent="0.25">
      <c r="A28">
        <v>-5.2939367294311497</v>
      </c>
      <c r="B28" s="1">
        <v>-2.13603088923264E-4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>
        <v>0</v>
      </c>
      <c r="I28" s="1">
        <v>0</v>
      </c>
      <c r="J28">
        <f t="shared" si="0"/>
        <v>0</v>
      </c>
    </row>
    <row r="29" spans="1:10" x14ac:dyDescent="0.25">
      <c r="A29">
        <v>-3.9367103576660099</v>
      </c>
      <c r="B29" s="1">
        <v>-2.13603088923264E-4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>
        <v>0</v>
      </c>
      <c r="I29" s="1">
        <v>0</v>
      </c>
      <c r="J29">
        <f t="shared" si="0"/>
        <v>0</v>
      </c>
    </row>
    <row r="30" spans="1:10" x14ac:dyDescent="0.25">
      <c r="A30">
        <v>-2.6915931701660099</v>
      </c>
      <c r="B30" s="1">
        <v>-2.13603088923264E-4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>
        <v>0</v>
      </c>
      <c r="I30" s="1">
        <v>0</v>
      </c>
      <c r="J30">
        <f t="shared" si="0"/>
        <v>0</v>
      </c>
    </row>
    <row r="31" spans="1:10" x14ac:dyDescent="0.25">
      <c r="A31">
        <v>-1.54934406280517</v>
      </c>
      <c r="B31" s="1">
        <v>-2.13603088923264E-4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>
        <v>0</v>
      </c>
      <c r="I31" s="1">
        <v>0</v>
      </c>
      <c r="J31">
        <f t="shared" si="0"/>
        <v>0</v>
      </c>
    </row>
    <row r="32" spans="1:10" x14ac:dyDescent="0.25">
      <c r="A32">
        <v>-0.50145149230956998</v>
      </c>
      <c r="B32" s="1">
        <v>-2.13603088923264E-4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>
        <v>0</v>
      </c>
      <c r="I32" s="1">
        <v>0</v>
      </c>
      <c r="J32">
        <f t="shared" si="0"/>
        <v>0</v>
      </c>
    </row>
    <row r="33" spans="1:12" x14ac:dyDescent="0.25">
      <c r="A33">
        <v>0.49999237060546797</v>
      </c>
      <c r="B33" s="1">
        <v>0.50014924763672697</v>
      </c>
      <c r="C33" s="1">
        <v>4.8766644866304797E-2</v>
      </c>
      <c r="D33" s="1">
        <v>4.4313886040973902E-2</v>
      </c>
      <c r="E33" s="1">
        <v>-1.2280331100977999E-4</v>
      </c>
      <c r="F33" s="1">
        <v>5.5617190602974802E-6</v>
      </c>
      <c r="G33" s="1">
        <v>0.194635369658442</v>
      </c>
      <c r="H33">
        <v>0.99954210582789305</v>
      </c>
      <c r="I33" s="1">
        <v>1.4236605826721001E-6</v>
      </c>
      <c r="J33">
        <f t="shared" si="0"/>
        <v>-0.194635369658442</v>
      </c>
    </row>
    <row r="34" spans="1:12" x14ac:dyDescent="0.25">
      <c r="A34">
        <v>1.54496669769287</v>
      </c>
      <c r="B34" s="1">
        <v>1.54474003280483</v>
      </c>
      <c r="C34" s="1">
        <v>0.463888264096112</v>
      </c>
      <c r="D34" s="1">
        <v>0.424662024985966</v>
      </c>
      <c r="E34" s="1">
        <v>-2.6023637429213298E-3</v>
      </c>
      <c r="F34" s="1">
        <v>6.4005266238931002E-5</v>
      </c>
      <c r="G34" s="1">
        <v>0.191405992615237</v>
      </c>
      <c r="H34">
        <v>0.99556409923512601</v>
      </c>
      <c r="I34" s="1">
        <v>4.01696047349473E-5</v>
      </c>
      <c r="J34">
        <f t="shared" si="0"/>
        <v>-0.191405992615237</v>
      </c>
      <c r="L34" s="3"/>
    </row>
    <row r="35" spans="1:12" x14ac:dyDescent="0.25">
      <c r="A35">
        <v>2.6840543746948198</v>
      </c>
      <c r="B35" s="1">
        <v>2.6744267767571701</v>
      </c>
      <c r="C35" s="1">
        <v>1.37354128337392</v>
      </c>
      <c r="D35" s="1">
        <v>1.2653988289876901</v>
      </c>
      <c r="E35" s="1">
        <v>-1.46921844586609E-2</v>
      </c>
      <c r="F35" s="1">
        <v>2.1721523986384999E-4</v>
      </c>
      <c r="G35" s="1">
        <v>0.18225898796679499</v>
      </c>
      <c r="H35">
        <v>0.98613250159240895</v>
      </c>
      <c r="I35" s="1">
        <v>1.9922924251226701E-4</v>
      </c>
      <c r="J35">
        <f t="shared" si="0"/>
        <v>-0.18225898796679499</v>
      </c>
    </row>
    <row r="36" spans="1:12" x14ac:dyDescent="0.25">
      <c r="A36">
        <v>3.9255237579345699</v>
      </c>
      <c r="B36" s="1">
        <v>3.8775799660288599</v>
      </c>
      <c r="C36" s="1">
        <v>2.7980490899608399</v>
      </c>
      <c r="D36" s="1">
        <v>2.59219257642089</v>
      </c>
      <c r="E36" s="1">
        <v>-4.52522175011255E-2</v>
      </c>
      <c r="F36" s="1">
        <v>4.9679271859187895E-4</v>
      </c>
      <c r="G36" s="1">
        <v>0.16635370575290501</v>
      </c>
      <c r="H36">
        <v>0.96875022847463799</v>
      </c>
      <c r="I36" s="1">
        <v>4.71996519049107E-4</v>
      </c>
      <c r="J36">
        <f t="shared" si="0"/>
        <v>-0.16635370575290501</v>
      </c>
    </row>
    <row r="37" spans="1:12" x14ac:dyDescent="0.25">
      <c r="A37">
        <v>5.2789807319641104</v>
      </c>
      <c r="B37" s="1">
        <v>5.1270830681824</v>
      </c>
      <c r="C37" s="1">
        <v>4.61665307884686</v>
      </c>
      <c r="D37" s="1">
        <v>4.2937060262872997</v>
      </c>
      <c r="E37" s="1">
        <v>-0.101271471478193</v>
      </c>
      <c r="F37" s="1">
        <v>9.0724234384350895E-4</v>
      </c>
      <c r="G37" s="1">
        <v>0.14746366325747501</v>
      </c>
      <c r="H37">
        <v>0.94099356897667497</v>
      </c>
      <c r="I37" s="1">
        <v>1.0285520872001001E-3</v>
      </c>
      <c r="J37">
        <f t="shared" si="0"/>
        <v>-0.14746366325747501</v>
      </c>
    </row>
    <row r="38" spans="1:12" x14ac:dyDescent="0.25">
      <c r="A38">
        <v>6.7539703845977703</v>
      </c>
      <c r="B38" s="1">
        <v>6.3809435865186899</v>
      </c>
      <c r="C38" s="1">
        <v>6.5542264248506399</v>
      </c>
      <c r="D38" s="1">
        <v>6.1043439228441896</v>
      </c>
      <c r="E38" s="1">
        <v>-0.183272563556972</v>
      </c>
      <c r="F38" s="1">
        <v>1.41700343995157E-3</v>
      </c>
      <c r="G38" s="1">
        <v>0.132327116068123</v>
      </c>
      <c r="H38">
        <v>0.90462173914611599</v>
      </c>
      <c r="I38" s="1">
        <v>2.8735461237601001E-3</v>
      </c>
      <c r="J38">
        <f t="shared" si="0"/>
        <v>-0.132327116068123</v>
      </c>
    </row>
    <row r="39" spans="1:12" x14ac:dyDescent="0.25">
      <c r="A39">
        <v>8.3618009090423495</v>
      </c>
      <c r="B39" s="1">
        <v>7.5905089317166103</v>
      </c>
      <c r="C39" s="1">
        <v>8.2772014433430705</v>
      </c>
      <c r="D39" s="1">
        <v>7.6973894340627496</v>
      </c>
      <c r="E39" s="1">
        <v>-0.28357817998919599</v>
      </c>
      <c r="F39" s="1">
        <v>1.9676010230591798E-3</v>
      </c>
      <c r="G39" s="1">
        <v>0.125496891230192</v>
      </c>
      <c r="H39">
        <v>0.86824398606755904</v>
      </c>
      <c r="I39" s="1">
        <v>7.3801393413307796E-3</v>
      </c>
      <c r="J39">
        <f t="shared" si="0"/>
        <v>-0.125496891230192</v>
      </c>
    </row>
    <row r="40" spans="1:12" x14ac:dyDescent="0.25">
      <c r="A40">
        <v>10.114449262619001</v>
      </c>
      <c r="B40" s="1">
        <v>8.7133942781292699</v>
      </c>
      <c r="C40" s="1">
        <v>9.5395448246563301</v>
      </c>
      <c r="D40" s="1">
        <v>8.8310520371011894</v>
      </c>
      <c r="E40" s="1">
        <v>-0.38965435440310597</v>
      </c>
      <c r="F40" s="1">
        <v>2.5007834338624298E-3</v>
      </c>
      <c r="G40" s="1">
        <v>0.125952708291029</v>
      </c>
      <c r="H40">
        <v>0.83910231009441405</v>
      </c>
      <c r="I40" s="1">
        <v>1.28105723793231E-2</v>
      </c>
      <c r="J40">
        <f t="shared" si="0"/>
        <v>-0.125952708291029</v>
      </c>
    </row>
    <row r="41" spans="1:12" x14ac:dyDescent="0.25">
      <c r="A41">
        <v>12.0248043537139</v>
      </c>
      <c r="B41" s="1">
        <v>9.7235776720845006</v>
      </c>
      <c r="C41" s="1">
        <v>10.2600750011333</v>
      </c>
      <c r="D41" s="1">
        <v>9.4277789973227204</v>
      </c>
      <c r="E41" s="1">
        <v>-0.49006382233280799</v>
      </c>
      <c r="F41" s="1">
        <v>2.9840449417979798E-3</v>
      </c>
      <c r="G41" s="1">
        <v>0.128997713178687</v>
      </c>
      <c r="H41">
        <v>0.81614872257385396</v>
      </c>
      <c r="I41" s="1">
        <v>1.43408714438768E-2</v>
      </c>
      <c r="J41">
        <f t="shared" si="0"/>
        <v>-0.128997713178687</v>
      </c>
    </row>
    <row r="42" spans="1:12" x14ac:dyDescent="0.25">
      <c r="A42">
        <v>14.106971025466899</v>
      </c>
      <c r="B42" s="1">
        <v>10.6132372333013</v>
      </c>
      <c r="C42" s="1">
        <v>10.493405061788501</v>
      </c>
      <c r="D42" s="1">
        <v>9.5465335110781506</v>
      </c>
      <c r="E42" s="1">
        <v>-0.57807094547749005</v>
      </c>
      <c r="F42" s="1">
        <v>3.3955292582454099E-3</v>
      </c>
      <c r="G42" s="1">
        <v>0.13022909348589501</v>
      </c>
      <c r="H42">
        <v>0.79526259134330501</v>
      </c>
      <c r="I42" s="1">
        <v>1.02696168511067E-2</v>
      </c>
      <c r="J42">
        <f t="shared" si="0"/>
        <v>-0.13022909348589501</v>
      </c>
    </row>
    <row r="43" spans="1:12" x14ac:dyDescent="0.25">
      <c r="A43">
        <v>16.3765740394592</v>
      </c>
      <c r="B43" s="1">
        <v>11.387897865315599</v>
      </c>
      <c r="C43" s="1">
        <v>10.3557434769754</v>
      </c>
      <c r="D43" s="1">
        <v>9.3081659779094394</v>
      </c>
      <c r="E43" s="1">
        <v>-0.65154156339452696</v>
      </c>
      <c r="F43" s="1">
        <v>3.7080027765260901E-3</v>
      </c>
      <c r="G43" s="1">
        <v>0.12768665942552199</v>
      </c>
      <c r="H43">
        <v>0.77390378103916801</v>
      </c>
      <c r="I43" s="1">
        <v>3.1268380486296102E-3</v>
      </c>
      <c r="J43">
        <f t="shared" si="0"/>
        <v>-0.12768665942552199</v>
      </c>
    </row>
    <row r="44" spans="1:12" x14ac:dyDescent="0.25">
      <c r="A44">
        <v>18.850514888763399</v>
      </c>
      <c r="B44">
        <v>12.059904155721499</v>
      </c>
      <c r="C44">
        <v>9.9673410470131802</v>
      </c>
      <c r="D44">
        <v>8.8363788424607694</v>
      </c>
      <c r="E44" s="1">
        <v>-0.71116113051184704</v>
      </c>
      <c r="F44" s="1">
        <v>3.8952160877354898E-3</v>
      </c>
      <c r="G44">
        <v>0.121629278057168</v>
      </c>
      <c r="H44">
        <v>0.75128995720803904</v>
      </c>
      <c r="I44" s="1">
        <v>-4.0304634347161699E-3</v>
      </c>
      <c r="J44">
        <f t="shared" si="0"/>
        <v>-0.121629278057168</v>
      </c>
    </row>
    <row r="45" spans="1:12" x14ac:dyDescent="0.25">
      <c r="A45">
        <v>21.5470933914184</v>
      </c>
      <c r="B45">
        <v>12.643577536036901</v>
      </c>
      <c r="C45">
        <v>9.4269102963153202</v>
      </c>
      <c r="D45">
        <v>8.2313224779010294</v>
      </c>
      <c r="E45">
        <v>-0.75878211163106501</v>
      </c>
      <c r="F45" s="1">
        <v>3.9354761138423698E-3</v>
      </c>
      <c r="G45">
        <v>0.11330355791230701</v>
      </c>
      <c r="H45">
        <v>0.72754178322065599</v>
      </c>
      <c r="I45" s="1">
        <v>-9.6411528799210406E-3</v>
      </c>
      <c r="J45">
        <f t="shared" si="0"/>
        <v>-0.11330355791230701</v>
      </c>
    </row>
    <row r="46" spans="1:12" x14ac:dyDescent="0.25">
      <c r="A46">
        <v>24.4862508773803</v>
      </c>
      <c r="B46">
        <v>13.152681817700699</v>
      </c>
      <c r="C46">
        <v>8.8072169492079393</v>
      </c>
      <c r="D46">
        <v>7.5652311181557499</v>
      </c>
      <c r="E46">
        <v>-0.79647016381057101</v>
      </c>
      <c r="F46" s="1">
        <v>3.8221166848417601E-3</v>
      </c>
      <c r="G46">
        <v>0.103953997884202</v>
      </c>
      <c r="H46">
        <v>0.70314300869253399</v>
      </c>
      <c r="I46" s="1">
        <v>-1.34134789950974E-2</v>
      </c>
      <c r="J46">
        <f t="shared" si="0"/>
        <v>-0.103953997884202</v>
      </c>
    </row>
    <row r="47" spans="1:12" x14ac:dyDescent="0.25">
      <c r="A47">
        <v>27.690056562423699</v>
      </c>
      <c r="B47">
        <v>13.5994846424364</v>
      </c>
      <c r="C47">
        <v>8.1589623456238698</v>
      </c>
      <c r="D47">
        <v>6.8868553935914099</v>
      </c>
      <c r="E47">
        <v>-0.82611649503544804</v>
      </c>
      <c r="F47" s="1">
        <v>3.5623976395692601E-3</v>
      </c>
      <c r="G47">
        <v>9.4431684739430005E-2</v>
      </c>
      <c r="H47">
        <v>0.67869956693127298</v>
      </c>
      <c r="I47" s="1">
        <v>-1.56002648470205E-2</v>
      </c>
      <c r="J47">
        <f t="shared" si="0"/>
        <v>-9.4431684739430005E-2</v>
      </c>
    </row>
    <row r="48" spans="1:12" x14ac:dyDescent="0.25">
      <c r="A48">
        <v>31.182160377502399</v>
      </c>
      <c r="B48">
        <v>13.9945883913242</v>
      </c>
      <c r="C48">
        <v>7.5161396229304902</v>
      </c>
      <c r="D48">
        <v>6.2275240027591803</v>
      </c>
      <c r="E48">
        <v>-0.84932714414329502</v>
      </c>
      <c r="F48" s="1">
        <v>3.19018468765356E-3</v>
      </c>
      <c r="G48">
        <v>8.5189297385030893E-2</v>
      </c>
      <c r="H48">
        <v>0.65481417947846299</v>
      </c>
      <c r="I48">
        <v>-1.6558227324703301E-2</v>
      </c>
      <c r="J48">
        <f t="shared" si="0"/>
        <v>-8.5189297385030893E-2</v>
      </c>
    </row>
    <row r="49" spans="1:10" x14ac:dyDescent="0.25">
      <c r="A49">
        <v>34.988522529602001</v>
      </c>
      <c r="B49">
        <v>14.347028029551399</v>
      </c>
      <c r="C49">
        <v>6.9005207778900504</v>
      </c>
      <c r="D49">
        <v>5.6064775530484496</v>
      </c>
      <c r="E49">
        <v>-0.86739742094402605</v>
      </c>
      <c r="F49">
        <v>2.74530112099551E-3</v>
      </c>
      <c r="G49">
        <v>7.6416872251632503E-2</v>
      </c>
      <c r="H49">
        <v>0.63201786815768302</v>
      </c>
      <c r="I49">
        <v>-1.6599912918569899E-2</v>
      </c>
      <c r="J49">
        <f t="shared" si="0"/>
        <v>-7.6416872251632503E-2</v>
      </c>
    </row>
    <row r="50" spans="1:10" x14ac:dyDescent="0.25">
      <c r="A50">
        <v>39.137535095214801</v>
      </c>
      <c r="B50">
        <v>14.664428797950601</v>
      </c>
      <c r="C50">
        <v>6.3252613614167696</v>
      </c>
      <c r="D50">
        <v>5.0346134876398798</v>
      </c>
      <c r="E50">
        <v>-0.88134173630536305</v>
      </c>
      <c r="F50">
        <v>2.26252419056623E-3</v>
      </c>
      <c r="G50">
        <v>6.8175430976341406E-2</v>
      </c>
      <c r="H50">
        <v>0.61070466255667599</v>
      </c>
      <c r="I50">
        <v>-1.5978181897721499E-2</v>
      </c>
      <c r="J50">
        <f t="shared" si="0"/>
        <v>-6.8175430976341406E-2</v>
      </c>
    </row>
    <row r="51" spans="1:10" x14ac:dyDescent="0.25">
      <c r="A51">
        <v>43.659839630126903</v>
      </c>
      <c r="B51">
        <v>14.9531829035186</v>
      </c>
      <c r="C51">
        <v>5.7974084831584998</v>
      </c>
      <c r="D51">
        <v>4.5170750314440804</v>
      </c>
      <c r="E51">
        <v>-0.89191666498216104</v>
      </c>
      <c r="F51" s="1">
        <v>1.78062868469875E-3</v>
      </c>
      <c r="G51">
        <v>6.0491870664297898E-2</v>
      </c>
      <c r="H51">
        <v>0.59109425948014505</v>
      </c>
      <c r="I51">
        <v>-1.4906106193953101E-2</v>
      </c>
      <c r="J51">
        <f t="shared" si="0"/>
        <v>-6.0491870664297898E-2</v>
      </c>
    </row>
    <row r="52" spans="1:10" x14ac:dyDescent="0.25">
      <c r="A52">
        <v>48.589299917220998</v>
      </c>
      <c r="B52">
        <v>15.2186271598839</v>
      </c>
      <c r="C52">
        <v>5.3197029223156198</v>
      </c>
      <c r="D52">
        <v>4.0553669739861498</v>
      </c>
      <c r="E52">
        <v>-0.89967792294475601</v>
      </c>
      <c r="F52">
        <v>1.3081184372050799E-3</v>
      </c>
      <c r="G52">
        <v>5.33990077216559E-2</v>
      </c>
      <c r="H52">
        <v>0.57323887445299004</v>
      </c>
      <c r="I52">
        <v>-1.3571517863202201E-2</v>
      </c>
      <c r="J52">
        <f t="shared" si="0"/>
        <v>-5.33990077216559E-2</v>
      </c>
    </row>
    <row r="53" spans="1:10" x14ac:dyDescent="0.25">
      <c r="A53">
        <v>53.962393999099703</v>
      </c>
      <c r="B53">
        <v>15.4652025787436</v>
      </c>
      <c r="C53">
        <v>4.8918210653937404</v>
      </c>
      <c r="D53">
        <v>3.6480688871586699</v>
      </c>
      <c r="E53">
        <v>-0.905056310029276</v>
      </c>
      <c r="F53">
        <v>8.7588421161395602E-4</v>
      </c>
      <c r="G53">
        <v>4.6942984114577598E-2</v>
      </c>
      <c r="H53">
        <v>0.55708377274055998</v>
      </c>
      <c r="I53">
        <v>-1.2136913375304601E-2</v>
      </c>
      <c r="J53">
        <f t="shared" si="0"/>
        <v>-4.6942984114577598E-2</v>
      </c>
    </row>
    <row r="54" spans="1:10" x14ac:dyDescent="0.25">
      <c r="A54">
        <v>59.819004535674999</v>
      </c>
      <c r="B54">
        <v>15.696595912268</v>
      </c>
      <c r="C54">
        <v>4.5114995104086102</v>
      </c>
      <c r="D54">
        <v>3.2920055085745101</v>
      </c>
      <c r="E54">
        <v>-0.90838066394040295</v>
      </c>
      <c r="F54">
        <v>5.2389915256167898E-4</v>
      </c>
      <c r="G54">
        <v>4.1151637941366302E-2</v>
      </c>
      <c r="H54">
        <v>0.54247392706967001</v>
      </c>
      <c r="I54">
        <v>-1.07197880871754E-2</v>
      </c>
      <c r="J54">
        <f t="shared" si="0"/>
        <v>-4.1151637941366302E-2</v>
      </c>
    </row>
    <row r="55" spans="1:10" x14ac:dyDescent="0.25">
      <c r="A55">
        <v>66.2026619911193</v>
      </c>
      <c r="B55">
        <v>15.915899244537201</v>
      </c>
      <c r="C55">
        <v>4.1751591110369102</v>
      </c>
      <c r="D55">
        <v>2.9827335035774398</v>
      </c>
      <c r="E55">
        <v>-0.90992275305479697</v>
      </c>
      <c r="F55">
        <v>2.24378277807971E-4</v>
      </c>
      <c r="G55">
        <v>3.6028560481816602E-2</v>
      </c>
      <c r="H55">
        <v>0.52919538194389004</v>
      </c>
      <c r="I55">
        <v>-9.3990446206153409E-3</v>
      </c>
      <c r="J55">
        <f t="shared" si="0"/>
        <v>-3.6028560481816602E-2</v>
      </c>
    </row>
    <row r="56" spans="1:10" x14ac:dyDescent="0.25">
      <c r="A56">
        <v>73.160848617553697</v>
      </c>
      <c r="B56">
        <v>16.125704986443399</v>
      </c>
      <c r="C56">
        <v>3.87843368725953</v>
      </c>
      <c r="D56">
        <v>2.71524305221913</v>
      </c>
      <c r="E56">
        <v>-0.90991280104899797</v>
      </c>
      <c r="F56" s="1">
        <v>-3.8417808299463503E-5</v>
      </c>
      <c r="G56">
        <v>3.1549843104773101E-2</v>
      </c>
      <c r="H56">
        <v>0.51695605366489195</v>
      </c>
      <c r="I56">
        <v>-8.2182688279475793E-3</v>
      </c>
      <c r="J56">
        <f t="shared" si="0"/>
        <v>-3.1549843104773101E-2</v>
      </c>
    </row>
    <row r="57" spans="1:10" x14ac:dyDescent="0.25">
      <c r="A57">
        <v>80.745424032211304</v>
      </c>
      <c r="B57">
        <v>16.328188521256301</v>
      </c>
      <c r="C57">
        <v>3.6168250588161701</v>
      </c>
      <c r="D57">
        <v>2.48426094270964</v>
      </c>
      <c r="E57">
        <v>-0.90853641341078895</v>
      </c>
      <c r="F57">
        <v>-2.6376855648648601E-4</v>
      </c>
      <c r="G57">
        <v>2.7670176192050099E-2</v>
      </c>
      <c r="H57">
        <v>0.50556526820252301</v>
      </c>
      <c r="I57">
        <v>-7.1905233778385303E-3</v>
      </c>
      <c r="J57">
        <f t="shared" si="0"/>
        <v>-2.7670176192050099E-2</v>
      </c>
    </row>
    <row r="58" spans="1:10" x14ac:dyDescent="0.25">
      <c r="A58">
        <v>89.012442827224703</v>
      </c>
      <c r="B58">
        <v>16.525166151513901</v>
      </c>
      <c r="C58">
        <v>3.3859317983114998</v>
      </c>
      <c r="D58">
        <v>2.2848178870951501</v>
      </c>
      <c r="E58">
        <v>-0.90592134525755197</v>
      </c>
      <c r="F58">
        <v>-4.1324181172277901E-4</v>
      </c>
      <c r="G58">
        <v>2.4326263567141699E-2</v>
      </c>
      <c r="H58">
        <v>0.49486367149315102</v>
      </c>
      <c r="I58">
        <v>-6.3077841181603898E-3</v>
      </c>
      <c r="J58">
        <f t="shared" si="0"/>
        <v>-2.4326263567141699E-2</v>
      </c>
    </row>
    <row r="59" spans="1:10" x14ac:dyDescent="0.25">
      <c r="A59">
        <v>98.0235528945922</v>
      </c>
      <c r="B59">
        <v>16.718153995861901</v>
      </c>
      <c r="C59">
        <v>3.1815015108804801</v>
      </c>
      <c r="D59">
        <v>2.11228097920432</v>
      </c>
      <c r="E59">
        <v>-0.90215967702191702</v>
      </c>
      <c r="F59">
        <v>-3.39912099379355E-4</v>
      </c>
      <c r="G59">
        <v>2.1452585923840299E-2</v>
      </c>
      <c r="H59">
        <v>0.48469505681479202</v>
      </c>
      <c r="I59">
        <v>-5.5539893945820698E-3</v>
      </c>
      <c r="J59">
        <f t="shared" si="0"/>
        <v>-2.1452585923840299E-2</v>
      </c>
    </row>
    <row r="60" spans="1:10" x14ac:dyDescent="0.25">
      <c r="A60">
        <v>107.845630645751</v>
      </c>
      <c r="B60">
        <v>16.908491482426999</v>
      </c>
      <c r="C60">
        <v>2.9996496517924198</v>
      </c>
      <c r="D60">
        <v>1.9624972066904001</v>
      </c>
      <c r="E60">
        <v>-0.89729765928409499</v>
      </c>
      <c r="F60" s="1">
        <v>2.1232896452466E-5</v>
      </c>
      <c r="G60">
        <v>1.89900910351672E-2</v>
      </c>
      <c r="H60">
        <v>0.47500993710564099</v>
      </c>
      <c r="I60">
        <v>-4.9135755160009901E-3</v>
      </c>
      <c r="J60">
        <f t="shared" si="0"/>
        <v>-1.89900910351672E-2</v>
      </c>
    </row>
    <row r="61" spans="1:10" x14ac:dyDescent="0.25">
      <c r="A61">
        <v>118.551753759384</v>
      </c>
      <c r="B61">
        <v>17.0974553427004</v>
      </c>
      <c r="C61">
        <v>2.8368990318995202</v>
      </c>
      <c r="D61">
        <v>1.8316031290774</v>
      </c>
      <c r="E61">
        <v>-0.89129932193704198</v>
      </c>
      <c r="F61">
        <v>6.00121542026763E-4</v>
      </c>
      <c r="G61">
        <v>1.68822008330725E-2</v>
      </c>
      <c r="H61">
        <v>0.465863872208645</v>
      </c>
      <c r="I61">
        <v>-4.3716759758684002E-3</v>
      </c>
      <c r="J61">
        <f t="shared" si="0"/>
        <v>-1.68822008330725E-2</v>
      </c>
    </row>
    <row r="62" spans="1:10" x14ac:dyDescent="0.25">
      <c r="A62">
        <v>130.22150516510001</v>
      </c>
      <c r="B62">
        <v>17.286267211129498</v>
      </c>
      <c r="C62">
        <v>2.6907243777713998</v>
      </c>
      <c r="D62">
        <v>1.7167663883640201</v>
      </c>
      <c r="E62">
        <v>-0.88417871222625599</v>
      </c>
      <c r="F62" s="1">
        <v>1.25993538630402E-3</v>
      </c>
      <c r="G62">
        <v>1.50723518815801E-2</v>
      </c>
      <c r="H62">
        <v>0.45710808069200998</v>
      </c>
      <c r="I62">
        <v>-3.9110626784315599E-3</v>
      </c>
      <c r="J62">
        <f t="shared" si="0"/>
        <v>-1.50723518815801E-2</v>
      </c>
    </row>
    <row r="63" spans="1:10" x14ac:dyDescent="0.25">
      <c r="A63">
        <v>142.941337823867</v>
      </c>
      <c r="B63">
        <v>17.476078425934201</v>
      </c>
      <c r="C63">
        <v>2.5594210411327301</v>
      </c>
      <c r="D63">
        <v>1.61604659468416</v>
      </c>
      <c r="E63">
        <v>-0.87581696917041796</v>
      </c>
      <c r="F63" s="1">
        <v>1.72856757355527E-3</v>
      </c>
      <c r="G63">
        <v>1.35104252362635E-2</v>
      </c>
      <c r="H63">
        <v>0.44827612546006101</v>
      </c>
      <c r="I63">
        <v>-3.5151266999285001E-3</v>
      </c>
      <c r="J63">
        <f t="shared" si="0"/>
        <v>-1.35104252362635E-2</v>
      </c>
    </row>
    <row r="64" spans="1:10" x14ac:dyDescent="0.25">
      <c r="A64">
        <v>156.806094646453</v>
      </c>
      <c r="B64">
        <v>17.667783839096899</v>
      </c>
      <c r="C64">
        <v>2.4403556408287801</v>
      </c>
      <c r="D64">
        <v>1.5267653052980601</v>
      </c>
      <c r="E64">
        <v>-0.86641091479574195</v>
      </c>
      <c r="F64">
        <v>1.9577551467945598E-3</v>
      </c>
      <c r="G64">
        <v>1.2166560723785001E-2</v>
      </c>
      <c r="H64">
        <v>0.43940585894636902</v>
      </c>
      <c r="I64">
        <v>-3.1762519794232501E-3</v>
      </c>
      <c r="J64">
        <f t="shared" si="0"/>
        <v>-1.2166560723785001E-2</v>
      </c>
    </row>
    <row r="65" spans="1:10" x14ac:dyDescent="0.25">
      <c r="A65">
        <v>171.91864371299701</v>
      </c>
      <c r="B65">
        <v>17.862244104435302</v>
      </c>
      <c r="C65">
        <v>2.3332029074481402</v>
      </c>
      <c r="D65">
        <v>1.44738457740726</v>
      </c>
      <c r="E65">
        <v>-0.85553592164312398</v>
      </c>
      <c r="F65" s="1">
        <v>2.2248740686156101E-3</v>
      </c>
      <c r="G65">
        <v>1.1003976119883799E-2</v>
      </c>
      <c r="H65">
        <v>0.42824930532323402</v>
      </c>
      <c r="I65">
        <v>-2.89258086553108E-3</v>
      </c>
      <c r="J65">
        <f t="shared" si="0"/>
        <v>-1.1003976119883799E-2</v>
      </c>
    </row>
    <row r="66" spans="1:10" x14ac:dyDescent="0.25">
      <c r="A66">
        <v>187.726768255233</v>
      </c>
      <c r="B66">
        <v>18.0519622242354</v>
      </c>
      <c r="C66">
        <v>2.2397164570975199</v>
      </c>
      <c r="D66">
        <v>1.3792688770830499</v>
      </c>
      <c r="E66">
        <v>-0.84374160371940099</v>
      </c>
      <c r="F66">
        <v>2.4497091131265901E-3</v>
      </c>
      <c r="G66">
        <v>9.9119810571959999E-3</v>
      </c>
      <c r="H66">
        <v>0.43081003734338402</v>
      </c>
      <c r="I66">
        <v>-2.55213470224902E-3</v>
      </c>
      <c r="J66">
        <f t="shared" si="0"/>
        <v>-9.9119810571959999E-3</v>
      </c>
    </row>
    <row r="67" spans="1:10" x14ac:dyDescent="0.25">
      <c r="A67">
        <v>203.579578399658</v>
      </c>
      <c r="B67">
        <v>18.230159362246901</v>
      </c>
      <c r="C67">
        <v>2.1588968255855399</v>
      </c>
      <c r="D67">
        <v>1.3214923472432101</v>
      </c>
      <c r="E67">
        <v>-0.83138900108666203</v>
      </c>
      <c r="F67">
        <v>2.50873923046391E-3</v>
      </c>
      <c r="G67">
        <v>9.0186325723913292E-3</v>
      </c>
      <c r="H67">
        <v>0.43168895278589697</v>
      </c>
      <c r="I67">
        <v>-2.2790582049981899E-3</v>
      </c>
      <c r="J67">
        <f t="shared" ref="J67:J118" si="2">-G67</f>
        <v>-9.0186325723913292E-3</v>
      </c>
    </row>
    <row r="68" spans="1:10" x14ac:dyDescent="0.25">
      <c r="A68">
        <v>219.43238854408199</v>
      </c>
      <c r="B68">
        <v>18.398114149858799</v>
      </c>
      <c r="C68">
        <v>2.0866411236965998</v>
      </c>
      <c r="D68">
        <v>1.2706428788780799</v>
      </c>
      <c r="E68">
        <v>-0.81879833943767499</v>
      </c>
      <c r="F68">
        <v>2.5417584720706802E-3</v>
      </c>
      <c r="G68">
        <v>8.2886094516489497E-3</v>
      </c>
      <c r="H68">
        <v>0.43220762830835602</v>
      </c>
      <c r="I68">
        <v>-2.05937445803439E-3</v>
      </c>
      <c r="J68">
        <f t="shared" si="2"/>
        <v>-8.2886094516489497E-3</v>
      </c>
    </row>
    <row r="69" spans="1:10" x14ac:dyDescent="0.25">
      <c r="A69">
        <v>235.28525948524401</v>
      </c>
      <c r="B69">
        <v>18.557116617848799</v>
      </c>
      <c r="C69">
        <v>2.02060244391759</v>
      </c>
      <c r="D69">
        <v>1.2252525620153101</v>
      </c>
      <c r="E69">
        <v>-0.80574483051513601</v>
      </c>
      <c r="F69">
        <v>2.2993792591331501E-3</v>
      </c>
      <c r="G69">
        <v>7.6730496901798E-3</v>
      </c>
      <c r="H69">
        <v>0.43257013463629201</v>
      </c>
      <c r="I69">
        <v>-1.87555797299322E-3</v>
      </c>
      <c r="J69">
        <f t="shared" si="2"/>
        <v>-7.6730496901798E-3</v>
      </c>
    </row>
    <row r="70" spans="1:10" x14ac:dyDescent="0.25">
      <c r="A70">
        <v>251.13806962966899</v>
      </c>
      <c r="B70">
        <v>18.708268707086901</v>
      </c>
      <c r="C70">
        <v>1.95920210594522</v>
      </c>
      <c r="D70">
        <v>1.1841143351408301</v>
      </c>
      <c r="E70">
        <v>-0.79244315326999304</v>
      </c>
      <c r="F70">
        <v>2.0769411740696399E-3</v>
      </c>
      <c r="G70">
        <v>7.14104581247963E-3</v>
      </c>
      <c r="H70">
        <v>0.43299022109181201</v>
      </c>
      <c r="I70">
        <v>-1.7177427307567799E-3</v>
      </c>
      <c r="J70">
        <f t="shared" si="2"/>
        <v>-7.14104581247963E-3</v>
      </c>
    </row>
    <row r="71" spans="1:10" x14ac:dyDescent="0.25">
      <c r="A71">
        <v>266.99081897735499</v>
      </c>
      <c r="B71">
        <v>18.852581163337099</v>
      </c>
      <c r="C71">
        <v>1.90150049515978</v>
      </c>
      <c r="D71">
        <v>1.1464073025631001</v>
      </c>
      <c r="E71">
        <v>-0.77880403431388701</v>
      </c>
      <c r="F71">
        <v>2.0591594895882901E-3</v>
      </c>
      <c r="G71">
        <v>6.6741383270878399E-3</v>
      </c>
      <c r="H71">
        <v>0.43355407356683401</v>
      </c>
      <c r="I71">
        <v>-1.5807996992145701E-3</v>
      </c>
      <c r="J71">
        <f t="shared" si="2"/>
        <v>-6.6741383270878399E-3</v>
      </c>
    </row>
    <row r="72" spans="1:10" x14ac:dyDescent="0.25">
      <c r="A72">
        <v>282.84362912178</v>
      </c>
      <c r="B72">
        <v>18.990977337052701</v>
      </c>
      <c r="C72">
        <v>1.8469821482540201</v>
      </c>
      <c r="D72">
        <v>1.1114584892397801</v>
      </c>
      <c r="E72">
        <v>-0.76490719603953505</v>
      </c>
      <c r="F72" s="1">
        <v>2.3407647041727101E-3</v>
      </c>
      <c r="G72">
        <v>6.2566211459954401E-3</v>
      </c>
      <c r="H72">
        <v>0.43402765525504</v>
      </c>
      <c r="I72">
        <v>-1.4597265628527999E-3</v>
      </c>
      <c r="J72">
        <f t="shared" si="2"/>
        <v>-6.2566211459954401E-3</v>
      </c>
    </row>
    <row r="73" spans="1:10" x14ac:dyDescent="0.25">
      <c r="A73">
        <v>298.69643926620398</v>
      </c>
      <c r="B73">
        <v>19.124082294692901</v>
      </c>
      <c r="C73">
        <v>1.7950501071481899</v>
      </c>
      <c r="D73">
        <v>1.0785020498092599</v>
      </c>
      <c r="E73">
        <v>-0.75076916262128701</v>
      </c>
      <c r="F73">
        <v>2.6155531889479199E-3</v>
      </c>
      <c r="G73">
        <v>5.8773166370100901E-3</v>
      </c>
      <c r="H73">
        <v>0.43442586736309302</v>
      </c>
      <c r="I73">
        <v>-1.3509233098186601E-3</v>
      </c>
      <c r="J73">
        <f t="shared" si="2"/>
        <v>-5.8773166370100901E-3</v>
      </c>
    </row>
    <row r="74" spans="1:10" x14ac:dyDescent="0.25">
      <c r="A74">
        <v>314.54931020736598</v>
      </c>
      <c r="B74">
        <v>19.2522437176012</v>
      </c>
      <c r="C74">
        <v>1.74522663978677</v>
      </c>
      <c r="D74">
        <v>1.04723082501801</v>
      </c>
      <c r="E74">
        <v>-0.73647082637183103</v>
      </c>
      <c r="F74">
        <v>2.5835983826436701E-3</v>
      </c>
      <c r="G74">
        <v>5.5331463988966901E-3</v>
      </c>
      <c r="H74">
        <v>0.43475075038689398</v>
      </c>
      <c r="I74">
        <v>-1.2532101740653501E-3</v>
      </c>
      <c r="J74">
        <f t="shared" si="2"/>
        <v>-5.5331463988966901E-3</v>
      </c>
    </row>
    <row r="75" spans="1:10" x14ac:dyDescent="0.25">
      <c r="A75">
        <v>330.40212035179098</v>
      </c>
      <c r="B75">
        <v>19.375851084878299</v>
      </c>
      <c r="C75">
        <v>1.6970013688933201</v>
      </c>
      <c r="D75">
        <v>1.01721312971724</v>
      </c>
      <c r="E75">
        <v>-0.72197290811912895</v>
      </c>
      <c r="F75" s="1">
        <v>2.3845535771544199E-3</v>
      </c>
      <c r="G75">
        <v>5.2201957581362998E-3</v>
      </c>
      <c r="H75">
        <v>0.435319910596973</v>
      </c>
      <c r="I75">
        <v>-1.1657426947754099E-3</v>
      </c>
      <c r="J75">
        <f t="shared" si="2"/>
        <v>-5.2201957581362998E-3</v>
      </c>
    </row>
    <row r="76" spans="1:10" x14ac:dyDescent="0.25">
      <c r="A76">
        <v>346.25493049621502</v>
      </c>
      <c r="B76">
        <v>19.495415469100401</v>
      </c>
      <c r="C76">
        <v>1.65042964940767</v>
      </c>
      <c r="D76">
        <v>0.98841101841483603</v>
      </c>
      <c r="E76">
        <v>-0.70729299266393397</v>
      </c>
      <c r="F76">
        <v>2.0913131076444802E-3</v>
      </c>
      <c r="G76">
        <v>4.9284654558755404E-3</v>
      </c>
      <c r="H76">
        <v>0.435635999624499</v>
      </c>
      <c r="I76">
        <v>-1.0838871188299101E-3</v>
      </c>
      <c r="J76">
        <f t="shared" si="2"/>
        <v>-4.9284654558755404E-3</v>
      </c>
    </row>
    <row r="77" spans="1:10" x14ac:dyDescent="0.25">
      <c r="A77">
        <v>362.10780143737702</v>
      </c>
      <c r="B77">
        <v>19.611052764048502</v>
      </c>
      <c r="C77">
        <v>1.6051850291205401</v>
      </c>
      <c r="D77">
        <v>0.96057349248434198</v>
      </c>
      <c r="E77">
        <v>-0.69247594587023997</v>
      </c>
      <c r="F77" s="1">
        <v>1.9576448803316601E-3</v>
      </c>
      <c r="G77">
        <v>4.6549410797945201E-3</v>
      </c>
      <c r="H77">
        <v>0.43573832691430198</v>
      </c>
      <c r="I77">
        <v>-1.0081029743041401E-3</v>
      </c>
      <c r="J77">
        <f t="shared" si="2"/>
        <v>-4.6549410797945201E-3</v>
      </c>
    </row>
    <row r="78" spans="1:10" x14ac:dyDescent="0.25">
      <c r="A78">
        <v>377.96061158180203</v>
      </c>
      <c r="B78">
        <v>19.7229111617707</v>
      </c>
      <c r="C78">
        <v>1.56092638912923</v>
      </c>
      <c r="D78">
        <v>0.93371912374851096</v>
      </c>
      <c r="E78">
        <v>-0.67752856257515304</v>
      </c>
      <c r="F78">
        <v>1.8925434717989101E-3</v>
      </c>
      <c r="G78">
        <v>4.3993884808446702E-3</v>
      </c>
      <c r="H78">
        <v>0.43599243326728498</v>
      </c>
      <c r="I78">
        <v>-9.3762907984038901E-4</v>
      </c>
      <c r="J78">
        <f t="shared" si="2"/>
        <v>-4.3993884808446702E-3</v>
      </c>
    </row>
    <row r="79" spans="1:10" x14ac:dyDescent="0.25">
      <c r="A79">
        <v>393.81348252296402</v>
      </c>
      <c r="B79">
        <v>19.831230049421698</v>
      </c>
      <c r="C79">
        <v>1.51743089031697</v>
      </c>
      <c r="D79">
        <v>0.907307022590359</v>
      </c>
      <c r="E79">
        <v>-0.66244589501703</v>
      </c>
      <c r="F79" s="1">
        <v>1.8742441704187301E-3</v>
      </c>
      <c r="G79">
        <v>4.1594261300282598E-3</v>
      </c>
      <c r="H79">
        <v>0.43640439721202101</v>
      </c>
      <c r="I79">
        <v>-8.7201942465023005E-4</v>
      </c>
      <c r="J79">
        <f t="shared" si="2"/>
        <v>-4.1594261300282598E-3</v>
      </c>
    </row>
    <row r="80" spans="1:10" x14ac:dyDescent="0.25">
      <c r="A80">
        <v>409.66629266738801</v>
      </c>
      <c r="B80">
        <v>19.9363324096702</v>
      </c>
      <c r="C80">
        <v>1.4747631134468899</v>
      </c>
      <c r="D80">
        <v>0.881443371426053</v>
      </c>
      <c r="E80">
        <v>-0.64718535541168798</v>
      </c>
      <c r="F80" s="1">
        <v>1.9574997035673E-3</v>
      </c>
      <c r="G80">
        <v>3.9332324070987497E-3</v>
      </c>
      <c r="H80">
        <v>0.43678361324009102</v>
      </c>
      <c r="I80">
        <v>-8.1125916921223303E-4</v>
      </c>
      <c r="J80">
        <f t="shared" si="2"/>
        <v>-3.9332324070987497E-3</v>
      </c>
    </row>
    <row r="81" spans="1:10" x14ac:dyDescent="0.25">
      <c r="A81">
        <v>425.519042015075</v>
      </c>
      <c r="B81">
        <v>20.038440530588499</v>
      </c>
      <c r="C81">
        <v>1.43276054209309</v>
      </c>
      <c r="D81">
        <v>0.85617100639166699</v>
      </c>
      <c r="E81">
        <v>-0.63182961470655896</v>
      </c>
      <c r="F81" s="1">
        <v>1.9708076551496001E-3</v>
      </c>
      <c r="G81">
        <v>3.7187766075771301E-3</v>
      </c>
      <c r="H81">
        <v>0.43710394173931699</v>
      </c>
      <c r="I81">
        <v>-7.5470560558091901E-4</v>
      </c>
      <c r="J81">
        <f t="shared" si="2"/>
        <v>-3.7187766075771301E-3</v>
      </c>
    </row>
    <row r="82" spans="1:10" x14ac:dyDescent="0.25">
      <c r="A82">
        <v>441.371912956237</v>
      </c>
      <c r="B82">
        <v>20.137486015846601</v>
      </c>
      <c r="C82">
        <v>1.3910953046888599</v>
      </c>
      <c r="D82">
        <v>0.83126033285370404</v>
      </c>
      <c r="E82">
        <v>-0.61635269582313501</v>
      </c>
      <c r="F82">
        <v>1.90081014495262E-3</v>
      </c>
      <c r="G82">
        <v>3.51315717088276E-3</v>
      </c>
      <c r="H82">
        <v>0.437244699219832</v>
      </c>
      <c r="I82">
        <v>-7.0050106489443896E-4</v>
      </c>
      <c r="J82">
        <f t="shared" si="2"/>
        <v>-3.51315717088276E-3</v>
      </c>
    </row>
    <row r="83" spans="1:10" x14ac:dyDescent="0.25">
      <c r="A83">
        <v>457.22478389739899</v>
      </c>
      <c r="B83">
        <v>20.2335543608569</v>
      </c>
      <c r="C83">
        <v>1.34982098197724</v>
      </c>
      <c r="D83">
        <v>0.806573172590762</v>
      </c>
      <c r="E83">
        <v>-0.60075870681558396</v>
      </c>
      <c r="F83">
        <v>1.71044431945806E-3</v>
      </c>
      <c r="G83">
        <v>3.3171872652647E-3</v>
      </c>
      <c r="H83">
        <v>0.43732660237563897</v>
      </c>
      <c r="I83">
        <v>-6.4940520898511603E-4</v>
      </c>
      <c r="J83">
        <f t="shared" si="2"/>
        <v>-3.3171872652647E-3</v>
      </c>
    </row>
    <row r="84" spans="1:10" x14ac:dyDescent="0.25">
      <c r="A84">
        <v>473.07753324508599</v>
      </c>
      <c r="B84">
        <v>20.326769058992699</v>
      </c>
      <c r="C84">
        <v>1.30891498251912</v>
      </c>
      <c r="D84">
        <v>0.78225187230509896</v>
      </c>
      <c r="E84">
        <v>-0.58505457266074201</v>
      </c>
      <c r="F84" s="1">
        <v>1.53656936442721E-3</v>
      </c>
      <c r="G84">
        <v>3.1305346804493001E-3</v>
      </c>
      <c r="H84">
        <v>0.43733747213817897</v>
      </c>
      <c r="I84">
        <v>-6.0121725308583303E-4</v>
      </c>
      <c r="J84">
        <f t="shared" si="2"/>
        <v>-3.1305346804493001E-3</v>
      </c>
    </row>
    <row r="85" spans="1:10" x14ac:dyDescent="0.25">
      <c r="A85">
        <v>488.93034338951099</v>
      </c>
      <c r="B85">
        <v>20.4172745025061</v>
      </c>
      <c r="C85">
        <v>1.2681135423918</v>
      </c>
      <c r="D85">
        <v>0.75815684932535798</v>
      </c>
      <c r="E85">
        <v>-0.56923338438984294</v>
      </c>
      <c r="F85">
        <v>1.39530315994826E-3</v>
      </c>
      <c r="G85">
        <v>2.9543571371593298E-3</v>
      </c>
      <c r="H85">
        <v>0.43761527420503099</v>
      </c>
      <c r="I85">
        <v>-5.5646113002045302E-4</v>
      </c>
      <c r="J85">
        <f t="shared" si="2"/>
        <v>-2.9543571371593298E-3</v>
      </c>
    </row>
    <row r="86" spans="1:10" x14ac:dyDescent="0.25">
      <c r="A86">
        <v>504.78321433067299</v>
      </c>
      <c r="B86" s="1">
        <v>20.505190384974401</v>
      </c>
      <c r="C86" s="1">
        <v>1.2277254901164201</v>
      </c>
      <c r="D86" s="1">
        <v>0.73438895590061404</v>
      </c>
      <c r="E86" s="1">
        <v>-0.55331178554113003</v>
      </c>
      <c r="F86" s="1">
        <v>1.2845200391064699E-3</v>
      </c>
      <c r="G86" s="1">
        <v>2.7865230440584999E-3</v>
      </c>
      <c r="H86">
        <v>0.437943095514431</v>
      </c>
      <c r="I86" s="1">
        <v>-5.1431975600246197E-4</v>
      </c>
      <c r="J86">
        <f t="shared" si="2"/>
        <v>-2.7865230440584999E-3</v>
      </c>
    </row>
    <row r="87" spans="1:10" x14ac:dyDescent="0.25">
      <c r="A87">
        <v>520.63602447509697</v>
      </c>
      <c r="B87" s="1">
        <v>20.590577503135101</v>
      </c>
      <c r="C87" s="1">
        <v>1.18776407302902</v>
      </c>
      <c r="D87" s="1">
        <v>0.71093011233402503</v>
      </c>
      <c r="E87" s="1">
        <v>-0.53729801054467596</v>
      </c>
      <c r="F87" s="1">
        <v>1.14327515215772E-3</v>
      </c>
      <c r="G87" s="1">
        <v>2.6259144222162498E-3</v>
      </c>
      <c r="H87">
        <v>0.43810025905437899</v>
      </c>
      <c r="I87" s="1">
        <v>-4.7451148231880398E-4</v>
      </c>
      <c r="J87">
        <f t="shared" si="2"/>
        <v>-2.6259144222162498E-3</v>
      </c>
    </row>
    <row r="88" spans="1:10" x14ac:dyDescent="0.25">
      <c r="A88">
        <v>536.48889541625897</v>
      </c>
      <c r="B88" s="1">
        <v>20.673517552604601</v>
      </c>
      <c r="C88" s="1">
        <v>1.1481281619126</v>
      </c>
      <c r="D88" s="1">
        <v>0.68783846797199399</v>
      </c>
      <c r="E88" s="1">
        <v>-0.52118013095772497</v>
      </c>
      <c r="F88" s="1">
        <v>9.4782906719332596E-4</v>
      </c>
      <c r="G88" s="1">
        <v>2.47180304595381E-3</v>
      </c>
      <c r="H88">
        <v>0.43826148444142898</v>
      </c>
      <c r="I88" s="1">
        <v>-4.3665657660933998E-4</v>
      </c>
      <c r="J88">
        <f t="shared" si="2"/>
        <v>-2.47180304595381E-3</v>
      </c>
    </row>
    <row r="89" spans="1:10" x14ac:dyDescent="0.25">
      <c r="A89">
        <v>552.34173595905304</v>
      </c>
      <c r="B89" s="1">
        <v>20.754006733586699</v>
      </c>
      <c r="C89" s="1">
        <v>1.1089705742506299</v>
      </c>
      <c r="D89" s="1">
        <v>0.66514244447219795</v>
      </c>
      <c r="E89" s="1">
        <v>-0.50496536128203495</v>
      </c>
      <c r="F89" s="1">
        <v>7.36621352424593E-4</v>
      </c>
      <c r="G89" s="1">
        <v>2.3233695383560698E-3</v>
      </c>
      <c r="H89">
        <v>0.43834449155822303</v>
      </c>
      <c r="I89" s="1">
        <v>-4.0079193084998802E-4</v>
      </c>
      <c r="J89">
        <f t="shared" si="2"/>
        <v>-2.3233695383560698E-3</v>
      </c>
    </row>
    <row r="90" spans="1:10" x14ac:dyDescent="0.25">
      <c r="A90">
        <v>568.19448530673901</v>
      </c>
      <c r="B90" s="1">
        <v>20.83206594496</v>
      </c>
      <c r="C90" s="1">
        <v>1.07041550381836</v>
      </c>
      <c r="D90" s="1">
        <v>0.64280191727722302</v>
      </c>
      <c r="E90" s="1">
        <v>-0.48867902598095703</v>
      </c>
      <c r="F90" s="1">
        <v>5.9740375224958005E-4</v>
      </c>
      <c r="G90" s="1">
        <v>2.1817214215005798E-3</v>
      </c>
      <c r="H90">
        <v>0.43846239221586802</v>
      </c>
      <c r="I90" s="1">
        <v>-3.6729566041139301E-4</v>
      </c>
      <c r="J90">
        <f t="shared" si="2"/>
        <v>-2.1817214215005798E-3</v>
      </c>
    </row>
    <row r="91" spans="1:10" x14ac:dyDescent="0.25">
      <c r="A91">
        <v>584.04732584953297</v>
      </c>
      <c r="B91" s="1">
        <v>20.907685687234299</v>
      </c>
      <c r="C91" s="1">
        <v>1.03223325127146</v>
      </c>
      <c r="D91" s="1">
        <v>0.62042065046152495</v>
      </c>
      <c r="E91" s="1">
        <v>-0.47232031562443</v>
      </c>
      <c r="F91" s="1">
        <v>5.0311693620394603E-4</v>
      </c>
      <c r="G91" s="1">
        <v>2.04727843653006E-3</v>
      </c>
      <c r="H91">
        <v>0.43870989649442899</v>
      </c>
      <c r="I91" s="1">
        <v>-3.3605185247733598E-4</v>
      </c>
      <c r="J91">
        <f t="shared" si="2"/>
        <v>-2.04727843653006E-3</v>
      </c>
    </row>
    <row r="92" spans="1:10" x14ac:dyDescent="0.25">
      <c r="A92">
        <v>599.90016639232601</v>
      </c>
      <c r="B92" s="1">
        <v>20.980850761225099</v>
      </c>
      <c r="C92" s="1">
        <v>0.99437827889232699</v>
      </c>
      <c r="D92" s="1">
        <v>0.59810179655826001</v>
      </c>
      <c r="E92" s="1">
        <v>-0.45587744606056402</v>
      </c>
      <c r="F92" s="1">
        <v>4.2423861378339202E-4</v>
      </c>
      <c r="G92" s="1">
        <v>1.9194151190782801E-3</v>
      </c>
      <c r="H92">
        <v>0.43894231896175401</v>
      </c>
      <c r="I92" s="1">
        <v>-3.0697114216634999E-4</v>
      </c>
      <c r="J92">
        <f t="shared" si="2"/>
        <v>-1.9194151190782801E-3</v>
      </c>
    </row>
    <row r="93" spans="1:10" x14ac:dyDescent="0.25">
      <c r="A93">
        <v>615.75300693511895</v>
      </c>
      <c r="B93" s="1">
        <v>21.051646662344801</v>
      </c>
      <c r="C93" s="1">
        <v>0.95677358654029299</v>
      </c>
      <c r="D93" s="1">
        <v>0.575957491226883</v>
      </c>
      <c r="E93" s="1">
        <v>-0.439345266166766</v>
      </c>
      <c r="F93" s="1">
        <v>3.9917944238045897E-4</v>
      </c>
      <c r="G93" s="1">
        <v>1.7978366781980901E-3</v>
      </c>
      <c r="H93">
        <v>0.43930497434286397</v>
      </c>
      <c r="I93" s="1">
        <v>-2.7986941082347298E-4</v>
      </c>
      <c r="J93">
        <f t="shared" si="2"/>
        <v>-1.7978366781980901E-3</v>
      </c>
    </row>
    <row r="94" spans="1:10" x14ac:dyDescent="0.25">
      <c r="A94">
        <v>631.60581707954395</v>
      </c>
      <c r="B94" s="1">
        <v>21.1202291822337</v>
      </c>
      <c r="C94" s="1">
        <v>0.91949812597249503</v>
      </c>
      <c r="D94" s="1">
        <v>0.55396461418374099</v>
      </c>
      <c r="E94" s="1">
        <v>-0.42271593871766799</v>
      </c>
      <c r="F94" s="1">
        <v>3.6022820245273799E-4</v>
      </c>
      <c r="G94" s="1">
        <v>1.6817300154371099E-3</v>
      </c>
      <c r="H94">
        <v>0.43973339361759101</v>
      </c>
      <c r="I94" s="1">
        <v>-2.5446903647924601E-4</v>
      </c>
      <c r="J94">
        <f t="shared" si="2"/>
        <v>-1.6817300154371099E-3</v>
      </c>
    </row>
    <row r="95" spans="1:10" x14ac:dyDescent="0.25">
      <c r="A95">
        <v>647.45859682559899</v>
      </c>
      <c r="B95" s="1">
        <v>21.186516625275502</v>
      </c>
      <c r="C95" s="1">
        <v>0.88272908030830799</v>
      </c>
      <c r="D95" s="1">
        <v>0.53227718156802595</v>
      </c>
      <c r="E95" s="1">
        <v>-0.40604480775883001</v>
      </c>
      <c r="F95" s="1">
        <v>2.8579354448579798E-4</v>
      </c>
      <c r="G95" s="1">
        <v>1.5701222260827499E-3</v>
      </c>
      <c r="H95">
        <v>0.439907279540801</v>
      </c>
      <c r="I95" s="1">
        <v>-2.3058024185209199E-4</v>
      </c>
      <c r="J95">
        <f t="shared" si="2"/>
        <v>-1.5701222260827499E-3</v>
      </c>
    </row>
    <row r="96" spans="1:10" x14ac:dyDescent="0.25">
      <c r="A96">
        <v>663.31143736839203</v>
      </c>
      <c r="B96" s="1">
        <v>21.2503664991163</v>
      </c>
      <c r="C96" s="1">
        <v>0.84626442767330401</v>
      </c>
      <c r="D96" s="1">
        <v>0.51058480233106696</v>
      </c>
      <c r="E96" s="1">
        <v>-0.38930463727874998</v>
      </c>
      <c r="F96" s="1">
        <v>1.7211204744000899E-4</v>
      </c>
      <c r="G96" s="1">
        <v>1.4637830850918699E-3</v>
      </c>
      <c r="H96">
        <v>0.44004359959150802</v>
      </c>
      <c r="I96" s="1">
        <v>-2.08296716255783E-4</v>
      </c>
      <c r="J96">
        <f t="shared" si="2"/>
        <v>-1.4637830850918699E-3</v>
      </c>
    </row>
    <row r="97" spans="1:10" x14ac:dyDescent="0.25">
      <c r="A97">
        <v>679.16427791118599</v>
      </c>
      <c r="B97" s="1">
        <v>21.311845300187901</v>
      </c>
      <c r="C97" s="1">
        <v>0.81011451754875397</v>
      </c>
      <c r="D97" s="1">
        <v>0.48893228895298602</v>
      </c>
      <c r="E97" s="1">
        <v>-0.372493097183973</v>
      </c>
      <c r="F97" s="1">
        <v>8.9166115303096599E-5</v>
      </c>
      <c r="G97" s="1">
        <v>1.3632437634129E-3</v>
      </c>
      <c r="H97">
        <v>0.44034271555237198</v>
      </c>
      <c r="I97" s="1">
        <v>-1.8780948990882501E-4</v>
      </c>
      <c r="J97">
        <f t="shared" si="2"/>
        <v>-1.3632437634129E-3</v>
      </c>
    </row>
    <row r="98" spans="1:10" x14ac:dyDescent="0.25">
      <c r="A98">
        <v>695.01711845397904</v>
      </c>
      <c r="B98" s="1">
        <v>21.371057522883302</v>
      </c>
      <c r="C98" s="1">
        <v>0.77447196856610401</v>
      </c>
      <c r="D98" s="1">
        <v>0.46746021966281598</v>
      </c>
      <c r="E98" s="1">
        <v>-0.35559660814066202</v>
      </c>
      <c r="F98" s="1">
        <v>1.5792128234943599E-5</v>
      </c>
      <c r="G98" s="1">
        <v>1.26809408452501E-3</v>
      </c>
      <c r="H98">
        <v>0.44078699431375101</v>
      </c>
      <c r="I98" s="1">
        <v>-1.68895530565577E-4</v>
      </c>
      <c r="J98">
        <f t="shared" si="2"/>
        <v>-1.26809408452501E-3</v>
      </c>
    </row>
    <row r="99" spans="1:10" x14ac:dyDescent="0.25">
      <c r="A99">
        <v>710.86992859840302</v>
      </c>
      <c r="B99" s="1">
        <v>21.428022166182899</v>
      </c>
      <c r="C99" s="1">
        <v>0.73951236706761803</v>
      </c>
      <c r="D99" s="1">
        <v>0.446308109284274</v>
      </c>
      <c r="E99" s="1">
        <v>-0.33864012799447601</v>
      </c>
      <c r="F99" s="1">
        <v>-4.1820309309464803E-5</v>
      </c>
      <c r="G99" s="1">
        <v>1.17814168232682E-3</v>
      </c>
      <c r="H99">
        <v>0.44114993392803997</v>
      </c>
      <c r="I99" s="1">
        <v>-1.5151339312995501E-4</v>
      </c>
      <c r="J99">
        <f t="shared" si="2"/>
        <v>-1.17814168232682E-3</v>
      </c>
    </row>
    <row r="100" spans="1:10" x14ac:dyDescent="0.25">
      <c r="A100">
        <v>726.72273874282803</v>
      </c>
      <c r="B100" s="1">
        <v>21.482672733654901</v>
      </c>
      <c r="C100" s="1">
        <v>0.70516764303647494</v>
      </c>
      <c r="D100" s="1">
        <v>0.42525161738693601</v>
      </c>
      <c r="E100" s="1">
        <v>-0.32163135906664803</v>
      </c>
      <c r="F100" s="1">
        <v>-7.3712934278613704E-5</v>
      </c>
      <c r="G100" s="1">
        <v>1.09372031567076E-3</v>
      </c>
      <c r="H100">
        <v>0.44181018486122198</v>
      </c>
      <c r="I100" s="1">
        <v>-1.35866556093669E-4</v>
      </c>
      <c r="J100">
        <f t="shared" si="2"/>
        <v>-1.09372031567076E-3</v>
      </c>
    </row>
    <row r="101" spans="1:10" x14ac:dyDescent="0.25">
      <c r="A101">
        <v>742.57554888725201</v>
      </c>
      <c r="B101" s="1">
        <v>21.534942728867399</v>
      </c>
      <c r="C101" s="1">
        <v>0.67149214603432394</v>
      </c>
      <c r="D101" s="1">
        <v>0.40437466013873202</v>
      </c>
      <c r="E101" s="1">
        <v>-0.30457223763123298</v>
      </c>
      <c r="F101" s="1">
        <v>-7.6202162287956904E-5</v>
      </c>
      <c r="G101" s="1">
        <v>1.0139126787967201E-3</v>
      </c>
      <c r="H101">
        <v>0.442438242542743</v>
      </c>
      <c r="I101" s="1">
        <v>-1.2140435182495301E-4</v>
      </c>
      <c r="J101">
        <f t="shared" si="2"/>
        <v>-1.0139126787967201E-3</v>
      </c>
    </row>
    <row r="102" spans="1:10" x14ac:dyDescent="0.25">
      <c r="A102">
        <v>758.42838943004597</v>
      </c>
      <c r="B102" s="1">
        <v>21.584765655388701</v>
      </c>
      <c r="C102" s="1">
        <v>0.63861675264433804</v>
      </c>
      <c r="D102" s="1">
        <v>0.38378442061603701</v>
      </c>
      <c r="E102" s="1">
        <v>-0.28746706165818697</v>
      </c>
      <c r="F102" s="1">
        <v>-8.8436172455954294E-5</v>
      </c>
      <c r="G102" s="1">
        <v>9.3886015853461297E-4</v>
      </c>
      <c r="H102">
        <v>0.44311060289176601</v>
      </c>
      <c r="I102" s="1">
        <v>-1.08213037989266E-4</v>
      </c>
      <c r="J102">
        <f t="shared" si="2"/>
        <v>-9.3886015853461297E-4</v>
      </c>
    </row>
    <row r="103" spans="1:10" x14ac:dyDescent="0.25">
      <c r="A103">
        <v>774.28122997283901</v>
      </c>
      <c r="B103" s="1">
        <v>21.6321244141363</v>
      </c>
      <c r="C103" s="1">
        <v>0.60663685551389801</v>
      </c>
      <c r="D103" s="1">
        <v>0.36357436445930702</v>
      </c>
      <c r="E103" s="1">
        <v>-0.27030743607240798</v>
      </c>
      <c r="F103" s="1">
        <v>-1.3331948271031401E-4</v>
      </c>
      <c r="G103" s="1">
        <v>8.6856966331963796E-4</v>
      </c>
      <c r="H103">
        <v>0.44382080965632298</v>
      </c>
      <c r="I103" s="1">
        <v>-9.6272323307888805E-5</v>
      </c>
      <c r="J103">
        <f t="shared" si="2"/>
        <v>-8.6856966331963796E-4</v>
      </c>
    </row>
    <row r="104" spans="1:10" x14ac:dyDescent="0.25">
      <c r="A104">
        <v>790.13402491807904</v>
      </c>
      <c r="B104" s="1">
        <v>21.6770095056199</v>
      </c>
      <c r="C104" s="1">
        <v>0.57557132026886404</v>
      </c>
      <c r="D104" s="1">
        <v>0.34369152660143498</v>
      </c>
      <c r="E104" s="1">
        <v>-0.25309469697722298</v>
      </c>
      <c r="F104" s="1">
        <v>-1.8188138051235299E-4</v>
      </c>
      <c r="G104" s="1">
        <v>8.02998368948499E-4</v>
      </c>
      <c r="H104">
        <v>0.44448439962858399</v>
      </c>
      <c r="I104" s="1">
        <v>-8.5610585066085194E-5</v>
      </c>
      <c r="J104">
        <f t="shared" si="2"/>
        <v>-8.02998368948499E-4</v>
      </c>
    </row>
    <row r="105" spans="1:10" x14ac:dyDescent="0.25">
      <c r="A105">
        <v>805.98686546087197</v>
      </c>
      <c r="B105" s="1">
        <v>21.719369632592102</v>
      </c>
      <c r="C105" s="1">
        <v>0.54550767395085098</v>
      </c>
      <c r="D105" s="1">
        <v>0.32420964411960901</v>
      </c>
      <c r="E105" s="1">
        <v>-0.23583339891852501</v>
      </c>
      <c r="F105" s="1">
        <v>-2.6574509076425599E-4</v>
      </c>
      <c r="G105" s="1">
        <v>7.4217765578416699E-4</v>
      </c>
      <c r="H105">
        <v>0.445300353080605</v>
      </c>
      <c r="I105" s="1">
        <v>-7.6222879145878997E-5</v>
      </c>
      <c r="J105">
        <f t="shared" si="2"/>
        <v>-7.4217765578416699E-4</v>
      </c>
    </row>
    <row r="106" spans="1:10" x14ac:dyDescent="0.25">
      <c r="A106">
        <v>821.83970600366501</v>
      </c>
      <c r="B106" s="1">
        <v>21.759128799130799</v>
      </c>
      <c r="C106" s="1">
        <v>0.51666993847447795</v>
      </c>
      <c r="D106" s="1">
        <v>0.30516993169662798</v>
      </c>
      <c r="E106" s="1">
        <v>-0.21853982315089199</v>
      </c>
      <c r="F106" s="1">
        <v>-3.6802651625719501E-4</v>
      </c>
      <c r="G106" s="1">
        <v>6.8574106145100695E-4</v>
      </c>
      <c r="H106">
        <v>0.44590594368092701</v>
      </c>
      <c r="I106" s="1">
        <v>-6.7997050158984096E-5</v>
      </c>
      <c r="J106">
        <f t="shared" si="2"/>
        <v>-6.8574106145100695E-4</v>
      </c>
    </row>
    <row r="107" spans="1:10" x14ac:dyDescent="0.25">
      <c r="A107">
        <v>837.69251614809002</v>
      </c>
      <c r="B107" s="1">
        <v>21.796154012372401</v>
      </c>
      <c r="C107" s="1">
        <v>0.48913014622939899</v>
      </c>
      <c r="D107" s="1">
        <v>0.28673484689881601</v>
      </c>
      <c r="E107" s="1">
        <v>-0.20120623506833399</v>
      </c>
      <c r="F107" s="1">
        <v>-4.5265994312190599E-4</v>
      </c>
      <c r="G107" s="1">
        <v>6.3399207824336003E-4</v>
      </c>
      <c r="H107">
        <v>0.446613150801357</v>
      </c>
      <c r="I107" s="1">
        <v>-6.0823213259478399E-5</v>
      </c>
      <c r="J107">
        <f t="shared" si="2"/>
        <v>-6.3399207824336003E-4</v>
      </c>
    </row>
    <row r="108" spans="1:10" x14ac:dyDescent="0.25">
      <c r="A108">
        <v>853.54535669088295</v>
      </c>
      <c r="B108" s="1">
        <v>21.8304072743558</v>
      </c>
      <c r="C108" s="1">
        <v>0.46310980568478</v>
      </c>
      <c r="D108" s="1">
        <v>0.26924728205034099</v>
      </c>
      <c r="E108" s="1">
        <v>-0.18384076789702999</v>
      </c>
      <c r="F108" s="1">
        <v>-5.0499812464150598E-4</v>
      </c>
      <c r="G108" s="1">
        <v>5.8682605484018495E-4</v>
      </c>
      <c r="H108">
        <v>0.44735654978747702</v>
      </c>
      <c r="I108" s="1">
        <v>-5.4622847891869501E-5</v>
      </c>
      <c r="J108">
        <f t="shared" si="2"/>
        <v>-5.8682605484018495E-4</v>
      </c>
    </row>
    <row r="109" spans="1:10" x14ac:dyDescent="0.25">
      <c r="A109">
        <v>869.39818203449204</v>
      </c>
      <c r="B109" s="1">
        <v>21.861865786304399</v>
      </c>
      <c r="C109" s="1">
        <v>0.43875250850078301</v>
      </c>
      <c r="D109" s="1">
        <v>0.25270690407240498</v>
      </c>
      <c r="E109" s="1">
        <v>-0.16643935872343199</v>
      </c>
      <c r="F109" s="1">
        <v>-5.4625951120897901E-4</v>
      </c>
      <c r="G109" s="1">
        <v>5.4434646858703595E-4</v>
      </c>
      <c r="H109">
        <v>0.44820013649151402</v>
      </c>
      <c r="I109" s="1">
        <v>-4.9437531823148103E-5</v>
      </c>
      <c r="J109">
        <f t="shared" si="2"/>
        <v>-5.4434646858703595E-4</v>
      </c>
    </row>
    <row r="110" spans="1:10" x14ac:dyDescent="0.25">
      <c r="A110">
        <v>885.25099217891602</v>
      </c>
      <c r="B110" s="1">
        <v>21.890466851582399</v>
      </c>
      <c r="C110" s="1">
        <v>0.416245225449074</v>
      </c>
      <c r="D110" s="1">
        <v>0.23733666093814201</v>
      </c>
      <c r="E110" s="1">
        <v>-0.14900504774055201</v>
      </c>
      <c r="F110" s="1">
        <v>-5.9236563757962795E-4</v>
      </c>
      <c r="G110" s="1">
        <v>5.0644594436390598E-4</v>
      </c>
      <c r="H110">
        <v>0.44914963193364799</v>
      </c>
      <c r="I110" s="1">
        <v>-4.5101087093097702E-5</v>
      </c>
      <c r="J110">
        <f t="shared" si="2"/>
        <v>-5.0644594436390598E-4</v>
      </c>
    </row>
    <row r="111" spans="1:10" x14ac:dyDescent="0.25">
      <c r="A111">
        <v>901.10380992293301</v>
      </c>
      <c r="B111" s="1">
        <v>21.916151573350302</v>
      </c>
      <c r="C111" s="1">
        <v>0.39575715576347598</v>
      </c>
      <c r="D111" s="1">
        <v>0.22322703499575799</v>
      </c>
      <c r="E111" s="1">
        <v>-0.13154309782338</v>
      </c>
      <c r="F111" s="1">
        <v>-6.2605349662876004E-4</v>
      </c>
      <c r="G111" s="1">
        <v>4.7308265503454098E-4</v>
      </c>
      <c r="H111">
        <v>0.45015715275366602</v>
      </c>
      <c r="I111" s="1">
        <v>-4.1489223930280997E-5</v>
      </c>
      <c r="J111">
        <f t="shared" si="2"/>
        <v>-4.7308265503454098E-4</v>
      </c>
    </row>
    <row r="112" spans="1:10" x14ac:dyDescent="0.25">
      <c r="A112">
        <v>916.95665046572606</v>
      </c>
      <c r="B112" s="1">
        <v>21.9388344561957</v>
      </c>
      <c r="C112" s="1">
        <v>0.37741672172160101</v>
      </c>
      <c r="D112" s="1">
        <v>0.210606739536813</v>
      </c>
      <c r="E112" s="1">
        <v>-0.114063481526719</v>
      </c>
      <c r="F112" s="1">
        <v>-6.0245381933372595E-4</v>
      </c>
      <c r="G112" s="1">
        <v>4.44055185934357E-4</v>
      </c>
      <c r="H112">
        <v>0.45120075038122598</v>
      </c>
      <c r="I112" s="1">
        <v>-3.8508350285410003E-5</v>
      </c>
      <c r="J112">
        <f t="shared" si="2"/>
        <v>-4.44055185934357E-4</v>
      </c>
    </row>
    <row r="113" spans="1:10" x14ac:dyDescent="0.25">
      <c r="A113">
        <v>932.80946820974305</v>
      </c>
      <c r="B113" s="1">
        <v>21.958418605317998</v>
      </c>
      <c r="C113" s="1">
        <v>0.36142869520290299</v>
      </c>
      <c r="D113" s="1">
        <v>0.19949189132117401</v>
      </c>
      <c r="E113" s="1">
        <v>-9.6566979199884204E-2</v>
      </c>
      <c r="F113" s="1">
        <v>-5.6397573903097604E-4</v>
      </c>
      <c r="G113" s="1">
        <v>4.1926805216988401E-4</v>
      </c>
      <c r="H113">
        <v>0.45221113341885499</v>
      </c>
      <c r="I113" s="1">
        <v>-3.6128429398975202E-5</v>
      </c>
      <c r="J113">
        <f t="shared" si="2"/>
        <v>-4.1926805216988401E-4</v>
      </c>
    </row>
    <row r="114" spans="1:10" x14ac:dyDescent="0.25">
      <c r="A114">
        <v>948.66229355335201</v>
      </c>
      <c r="B114" s="1">
        <v>21.974837524285199</v>
      </c>
      <c r="C114" s="1">
        <v>0.34791836407066501</v>
      </c>
      <c r="D114" s="1">
        <v>0.19006721814946201</v>
      </c>
      <c r="E114" s="1">
        <v>-7.9058715704354396E-2</v>
      </c>
      <c r="F114" s="1">
        <v>-5.5638202123522702E-4</v>
      </c>
      <c r="G114" s="1">
        <v>3.9864689361471299E-4</v>
      </c>
      <c r="H114">
        <v>0.45303650544512702</v>
      </c>
      <c r="I114" s="1">
        <v>-3.4249884979586002E-5</v>
      </c>
      <c r="J114">
        <f t="shared" si="2"/>
        <v>-3.9864689361471299E-4</v>
      </c>
    </row>
    <row r="115" spans="1:10" x14ac:dyDescent="0.25">
      <c r="A115">
        <v>964.51511889696098</v>
      </c>
      <c r="B115" s="1">
        <v>21.988011417379301</v>
      </c>
      <c r="C115" s="1">
        <v>0.33694625800535499</v>
      </c>
      <c r="D115" s="1">
        <v>0.18231670775859499</v>
      </c>
      <c r="E115" s="1">
        <v>-6.1532867065142098E-2</v>
      </c>
      <c r="F115" s="1">
        <v>-5.3006807355553598E-4</v>
      </c>
      <c r="G115" s="1">
        <v>3.8222651294299602E-4</v>
      </c>
      <c r="H115">
        <v>0.453769240747595</v>
      </c>
      <c r="I115" s="1">
        <v>-3.2813720814670097E-5</v>
      </c>
      <c r="J115">
        <f t="shared" si="2"/>
        <v>-3.8222651294299602E-4</v>
      </c>
    </row>
    <row r="116" spans="1:10" x14ac:dyDescent="0.25">
      <c r="A116">
        <v>980.36794044077305</v>
      </c>
      <c r="B116" s="1">
        <v>21.9979117861294</v>
      </c>
      <c r="C116" s="1">
        <v>0.328591003494693</v>
      </c>
      <c r="D116" s="1">
        <v>0.176480071472678</v>
      </c>
      <c r="E116" s="1">
        <v>-4.3989694408091397E-2</v>
      </c>
      <c r="F116" s="1">
        <v>-4.8734297010160602E-4</v>
      </c>
      <c r="G116" s="1">
        <v>3.7001124885905202E-4</v>
      </c>
      <c r="H116">
        <v>0.454364347313998</v>
      </c>
      <c r="I116" s="1">
        <v>-3.1830240070630901E-5</v>
      </c>
      <c r="J116">
        <f t="shared" si="2"/>
        <v>-3.7001124885905202E-4</v>
      </c>
    </row>
    <row r="117" spans="1:10" x14ac:dyDescent="0.25">
      <c r="A117">
        <v>996.22076388448397</v>
      </c>
      <c r="B117" s="1">
        <v>22.004534830739399</v>
      </c>
      <c r="C117" s="1">
        <v>0.32296538031459898</v>
      </c>
      <c r="D117" s="1">
        <v>0.172498050839895</v>
      </c>
      <c r="E117" s="1">
        <v>-2.6440605560343802E-2</v>
      </c>
      <c r="F117" s="1">
        <v>-4.1812181646679899E-4</v>
      </c>
      <c r="G117" s="1">
        <v>3.6185049558403202E-4</v>
      </c>
      <c r="H117">
        <v>0.45471205499870099</v>
      </c>
      <c r="I117" s="1">
        <v>-3.1170820405809803E-5</v>
      </c>
      <c r="J117">
        <f t="shared" si="2"/>
        <v>-3.6185049558403202E-4</v>
      </c>
    </row>
    <row r="118" spans="1:10" x14ac:dyDescent="0.25">
      <c r="A118">
        <v>1012.07358780317</v>
      </c>
      <c r="B118" s="1">
        <v>22.007844453146301</v>
      </c>
      <c r="C118" s="1">
        <v>0.320146654735253</v>
      </c>
      <c r="D118" s="1">
        <v>0.170390704234437</v>
      </c>
      <c r="E118" s="1">
        <v>-8.8860936100559097E-3</v>
      </c>
      <c r="F118" s="1">
        <v>-3.4142436318224898E-4</v>
      </c>
      <c r="G118" s="1">
        <v>3.5785230858970699E-4</v>
      </c>
      <c r="H118">
        <v>0.45503022101649399</v>
      </c>
      <c r="I118" s="1">
        <v>-3.0846519571126698E-5</v>
      </c>
      <c r="J118">
        <f t="shared" si="2"/>
        <v>-3.5785230858970699E-4</v>
      </c>
    </row>
    <row r="119" spans="1:10" x14ac:dyDescent="0.25">
      <c r="A119" t="s">
        <v>499</v>
      </c>
      <c r="B119" t="s">
        <v>538</v>
      </c>
      <c r="C119" t="s">
        <v>539</v>
      </c>
      <c r="D119" t="s">
        <v>540</v>
      </c>
      <c r="E119" t="s">
        <v>541</v>
      </c>
      <c r="F119" t="s">
        <v>542</v>
      </c>
      <c r="G119" t="s">
        <v>378</v>
      </c>
      <c r="H119" t="s">
        <v>543</v>
      </c>
      <c r="I119" t="s">
        <v>537</v>
      </c>
    </row>
    <row r="120" spans="1:10" x14ac:dyDescent="0.25">
      <c r="A120">
        <v>-143.34727764129599</v>
      </c>
      <c r="B120">
        <v>19.5753635432538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>
        <v>0</v>
      </c>
      <c r="I120" s="1">
        <v>0</v>
      </c>
    </row>
    <row r="121" spans="1:10" x14ac:dyDescent="0.25">
      <c r="A121">
        <v>-130.59127092361399</v>
      </c>
      <c r="B121">
        <v>19.5753635432538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>
        <v>0</v>
      </c>
      <c r="I121" s="1">
        <v>0</v>
      </c>
    </row>
    <row r="122" spans="1:10" x14ac:dyDescent="0.25">
      <c r="A122">
        <v>-118.88850688934301</v>
      </c>
      <c r="B122">
        <v>19.5753635432538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>
        <v>0</v>
      </c>
      <c r="I122" s="1">
        <v>0</v>
      </c>
    </row>
    <row r="123" spans="1:10" x14ac:dyDescent="0.25">
      <c r="A123">
        <v>-108.151924610137</v>
      </c>
      <c r="B123">
        <v>19.5753635432538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>
        <v>0</v>
      </c>
      <c r="I123" s="1">
        <v>0</v>
      </c>
    </row>
    <row r="124" spans="1:10" x14ac:dyDescent="0.25">
      <c r="A124">
        <v>-98.302001953125</v>
      </c>
      <c r="B124">
        <v>19.5753635432538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>
        <v>0</v>
      </c>
      <c r="I124" s="1">
        <v>0</v>
      </c>
    </row>
    <row r="125" spans="1:10" x14ac:dyDescent="0.25">
      <c r="A125">
        <v>-89.265174865722599</v>
      </c>
      <c r="B125">
        <v>19.5753635432538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>
        <v>0</v>
      </c>
      <c r="I125" s="1">
        <v>0</v>
      </c>
    </row>
    <row r="126" spans="1:10" x14ac:dyDescent="0.25">
      <c r="A126">
        <v>-80.974688529968205</v>
      </c>
      <c r="B126">
        <v>19.5753635432538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>
        <v>0</v>
      </c>
      <c r="I126" s="1">
        <v>0</v>
      </c>
    </row>
    <row r="127" spans="1:10" x14ac:dyDescent="0.25">
      <c r="A127">
        <v>-73.368651866912799</v>
      </c>
      <c r="B127">
        <v>19.5753635432538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>
        <v>0</v>
      </c>
      <c r="I127" s="1">
        <v>0</v>
      </c>
    </row>
    <row r="128" spans="1:10" x14ac:dyDescent="0.25">
      <c r="A128">
        <v>-66.390645503997803</v>
      </c>
      <c r="B128">
        <v>19.5753635432538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>
        <v>0</v>
      </c>
      <c r="I128" s="1">
        <v>0</v>
      </c>
    </row>
    <row r="129" spans="1:9" x14ac:dyDescent="0.25">
      <c r="A129">
        <v>-59.988870620727504</v>
      </c>
      <c r="B129">
        <v>19.5753635432538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>
        <v>0</v>
      </c>
      <c r="I129" s="1">
        <v>0</v>
      </c>
    </row>
    <row r="130" spans="1:9" x14ac:dyDescent="0.25">
      <c r="A130">
        <v>-54.115540981292703</v>
      </c>
      <c r="B130">
        <v>19.5753635432538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>
        <v>0</v>
      </c>
      <c r="I130" s="1">
        <v>0</v>
      </c>
    </row>
    <row r="131" spans="1:9" x14ac:dyDescent="0.25">
      <c r="A131">
        <v>-48.727247714996302</v>
      </c>
      <c r="B131">
        <v>19.5753635432538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>
        <v>0</v>
      </c>
      <c r="I131" s="1">
        <v>0</v>
      </c>
    </row>
    <row r="132" spans="1:9" x14ac:dyDescent="0.25">
      <c r="A132">
        <v>-43.783864974975501</v>
      </c>
      <c r="B132">
        <v>19.5753635432538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>
        <v>0</v>
      </c>
      <c r="I132" s="1">
        <v>0</v>
      </c>
    </row>
    <row r="133" spans="1:9" x14ac:dyDescent="0.25">
      <c r="A133">
        <v>-39.248671531677203</v>
      </c>
      <c r="B133">
        <v>19.5753635432538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>
        <v>0</v>
      </c>
      <c r="I133" s="1">
        <v>0</v>
      </c>
    </row>
    <row r="134" spans="1:9" x14ac:dyDescent="0.25">
      <c r="A134">
        <v>-35.087985992431598</v>
      </c>
      <c r="B134">
        <v>19.5753635432538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>
        <v>0</v>
      </c>
      <c r="I134" s="1">
        <v>0</v>
      </c>
    </row>
    <row r="135" spans="1:9" x14ac:dyDescent="0.25">
      <c r="A135">
        <v>-31.270802021026601</v>
      </c>
      <c r="B135">
        <v>19.5753635432538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>
        <v>0</v>
      </c>
      <c r="I135" s="1">
        <v>0</v>
      </c>
    </row>
    <row r="136" spans="1:9" x14ac:dyDescent="0.25">
      <c r="A136">
        <v>-27.7686667442321</v>
      </c>
      <c r="B136">
        <v>19.5753635432538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>
        <v>0</v>
      </c>
      <c r="I136" s="1">
        <v>0</v>
      </c>
    </row>
    <row r="137" spans="1:9" x14ac:dyDescent="0.25">
      <c r="A137">
        <v>-24.555802345275801</v>
      </c>
      <c r="B137">
        <v>19.5753635432538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>
        <v>0</v>
      </c>
      <c r="I137" s="1">
        <v>0</v>
      </c>
    </row>
    <row r="138" spans="1:9" x14ac:dyDescent="0.25">
      <c r="A138">
        <v>-21.608254909515299</v>
      </c>
      <c r="B138">
        <v>19.5753635432538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>
        <v>0</v>
      </c>
      <c r="I138" s="1">
        <v>0</v>
      </c>
    </row>
    <row r="139" spans="1:9" x14ac:dyDescent="0.25">
      <c r="A139">
        <v>-18.904016017913801</v>
      </c>
      <c r="B139">
        <v>19.5753635432538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>
        <v>0</v>
      </c>
      <c r="I139" s="1">
        <v>0</v>
      </c>
    </row>
    <row r="140" spans="1:9" x14ac:dyDescent="0.25">
      <c r="A140">
        <v>-16.423144340515101</v>
      </c>
      <c r="B140">
        <v>19.5753635432538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>
        <v>0</v>
      </c>
      <c r="I140" s="1">
        <v>0</v>
      </c>
    </row>
    <row r="141" spans="1:9" x14ac:dyDescent="0.25">
      <c r="A141">
        <v>-14.147036075592</v>
      </c>
      <c r="B141">
        <v>19.5753635432538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>
        <v>0</v>
      </c>
      <c r="I141" s="1">
        <v>0</v>
      </c>
    </row>
    <row r="142" spans="1:9" x14ac:dyDescent="0.25">
      <c r="A142">
        <v>-12.058911323547299</v>
      </c>
      <c r="B142">
        <v>19.5753635432538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>
        <v>0</v>
      </c>
      <c r="I142" s="1">
        <v>0</v>
      </c>
    </row>
    <row r="143" spans="1:9" x14ac:dyDescent="0.25">
      <c r="A143">
        <v>-10.143084526061999</v>
      </c>
      <c r="B143">
        <v>19.5753635432538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>
        <v>0</v>
      </c>
      <c r="I143" s="1">
        <v>0</v>
      </c>
    </row>
    <row r="144" spans="1:9" x14ac:dyDescent="0.25">
      <c r="A144">
        <v>-8.3855724334716708</v>
      </c>
      <c r="B144">
        <v>19.5753635432538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>
        <v>0</v>
      </c>
      <c r="I144" s="1">
        <v>0</v>
      </c>
    </row>
    <row r="145" spans="1:9" x14ac:dyDescent="0.25">
      <c r="A145">
        <v>-6.7732429504394496</v>
      </c>
      <c r="B145">
        <v>19.5753635432538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>
        <v>0</v>
      </c>
      <c r="I145" s="1">
        <v>0</v>
      </c>
    </row>
    <row r="146" spans="1:9" x14ac:dyDescent="0.25">
      <c r="A146">
        <v>-5.2939367294311497</v>
      </c>
      <c r="B146">
        <v>19.5753635432538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>
        <v>0</v>
      </c>
      <c r="I146" s="1">
        <v>0</v>
      </c>
    </row>
    <row r="147" spans="1:9" x14ac:dyDescent="0.25">
      <c r="A147">
        <v>-3.9367103576660099</v>
      </c>
      <c r="B147">
        <v>19.5753635432538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>
        <v>0</v>
      </c>
      <c r="I147" s="1">
        <v>0</v>
      </c>
    </row>
    <row r="148" spans="1:9" x14ac:dyDescent="0.25">
      <c r="A148">
        <v>-2.6915931701660099</v>
      </c>
      <c r="B148">
        <v>19.5753635432538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>
        <v>0</v>
      </c>
      <c r="I148" s="1">
        <v>0</v>
      </c>
    </row>
    <row r="149" spans="1:9" x14ac:dyDescent="0.25">
      <c r="A149">
        <v>-1.54934406280517</v>
      </c>
      <c r="B149">
        <v>19.5753635432538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>
        <v>0</v>
      </c>
      <c r="I149" s="1">
        <v>0</v>
      </c>
    </row>
    <row r="150" spans="1:9" x14ac:dyDescent="0.25">
      <c r="A150">
        <v>-0.50145149230956998</v>
      </c>
      <c r="B150">
        <v>19.5753635432538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>
        <v>0</v>
      </c>
      <c r="I150" s="1">
        <v>0</v>
      </c>
    </row>
    <row r="151" spans="1:9" x14ac:dyDescent="0.25">
      <c r="A151">
        <v>0.49999237060546797</v>
      </c>
      <c r="B151">
        <v>0.49923576078981502</v>
      </c>
      <c r="C151" s="1">
        <v>9.8326515966618899</v>
      </c>
      <c r="D151" s="1">
        <v>0.478338533314424</v>
      </c>
      <c r="E151" s="1">
        <v>-7.8740640834487998E-4</v>
      </c>
      <c r="F151" s="1">
        <v>1.8576620648759701E-4</v>
      </c>
      <c r="G151" s="1">
        <v>1.7758373019632401E-2</v>
      </c>
      <c r="H151">
        <v>0.27494472226974298</v>
      </c>
      <c r="I151" s="1">
        <v>8.26252321142629E-7</v>
      </c>
    </row>
    <row r="152" spans="1:9" x14ac:dyDescent="0.25">
      <c r="A152">
        <v>1.54496669769287</v>
      </c>
      <c r="B152">
        <v>1.5408225696501101</v>
      </c>
      <c r="C152" s="1">
        <v>9.8858254572405695</v>
      </c>
      <c r="D152" s="1">
        <v>1.51410720632813</v>
      </c>
      <c r="E152" s="1">
        <v>-6.2857713238305898E-3</v>
      </c>
      <c r="F152" s="1">
        <v>5.9199674414752302E-4</v>
      </c>
      <c r="G152" s="1">
        <v>5.1636133340662201E-2</v>
      </c>
      <c r="H152">
        <v>0.74763215998659505</v>
      </c>
      <c r="I152" s="1">
        <v>4.5154665865729201E-5</v>
      </c>
    </row>
    <row r="153" spans="1:9" x14ac:dyDescent="0.25">
      <c r="A153">
        <v>2.6840543746948198</v>
      </c>
      <c r="B153">
        <v>2.6616788249430101</v>
      </c>
      <c r="C153" s="1">
        <v>10.0484715178026</v>
      </c>
      <c r="D153" s="1">
        <v>2.74187211896243</v>
      </c>
      <c r="E153" s="1">
        <v>-2.3646479378283101E-2</v>
      </c>
      <c r="F153" s="1">
        <v>1.0433992349230101E-3</v>
      </c>
      <c r="G153" s="1">
        <v>9.9116461386103805E-2</v>
      </c>
      <c r="H153">
        <v>0.86373382093770001</v>
      </c>
      <c r="I153" s="1">
        <v>2.8793918420954299E-4</v>
      </c>
    </row>
    <row r="154" spans="1:9" x14ac:dyDescent="0.25">
      <c r="A154">
        <v>3.9255237579345699</v>
      </c>
      <c r="B154">
        <v>3.84869902990431</v>
      </c>
      <c r="C154" s="1">
        <v>10.3971915526926</v>
      </c>
      <c r="D154" s="1">
        <v>4.1985461863387403</v>
      </c>
      <c r="E154" s="1">
        <v>-5.8879465903748797E-2</v>
      </c>
      <c r="F154" s="1">
        <v>1.54120139321455E-3</v>
      </c>
      <c r="G154" s="1">
        <v>0.13879226491443</v>
      </c>
      <c r="H154">
        <v>0.89542657631408595</v>
      </c>
      <c r="I154" s="1">
        <v>7.68295511632806E-4</v>
      </c>
    </row>
    <row r="155" spans="1:9" x14ac:dyDescent="0.25">
      <c r="A155">
        <v>5.2789807319641104</v>
      </c>
      <c r="B155">
        <v>5.0760844688829803</v>
      </c>
      <c r="C155" s="1">
        <v>10.951428866246699</v>
      </c>
      <c r="D155" s="1">
        <v>5.8238064398146596</v>
      </c>
      <c r="E155" s="1">
        <v>-0.117199395440049</v>
      </c>
      <c r="F155" s="1">
        <v>2.07899999241697E-3</v>
      </c>
      <c r="G155" s="1">
        <v>0.15916629349431299</v>
      </c>
      <c r="H155">
        <v>0.89844256360215502</v>
      </c>
      <c r="I155" s="1">
        <v>1.69582774051117E-3</v>
      </c>
    </row>
    <row r="156" spans="1:9" x14ac:dyDescent="0.25">
      <c r="A156">
        <v>6.7539703845977703</v>
      </c>
      <c r="B156">
        <v>6.3054885495421296</v>
      </c>
      <c r="C156" s="1">
        <v>11.615717477616201</v>
      </c>
      <c r="D156" s="1">
        <v>7.4346863316724097</v>
      </c>
      <c r="E156" s="1">
        <v>-0.19872582432571001</v>
      </c>
      <c r="F156" s="1">
        <v>2.6341972087825E-3</v>
      </c>
      <c r="G156" s="1">
        <v>0.162550713158434</v>
      </c>
      <c r="H156">
        <v>0.88711906575916999</v>
      </c>
      <c r="I156" s="1">
        <v>3.9706056923097602E-3</v>
      </c>
    </row>
    <row r="157" spans="1:9" x14ac:dyDescent="0.25">
      <c r="A157">
        <v>8.3618009090423495</v>
      </c>
      <c r="B157">
        <v>7.4925011549112197</v>
      </c>
      <c r="C157" s="1">
        <v>12.2062099111644</v>
      </c>
      <c r="D157" s="1">
        <v>8.7882962475404103</v>
      </c>
      <c r="E157" s="1">
        <v>-0.296684467021744</v>
      </c>
      <c r="F157" s="1">
        <v>3.1711541549938002E-3</v>
      </c>
      <c r="G157" s="1">
        <v>0.15853855218981</v>
      </c>
      <c r="H157">
        <v>0.86836024712853199</v>
      </c>
      <c r="I157" s="1">
        <v>8.5094529717212094E-3</v>
      </c>
    </row>
    <row r="158" spans="1:9" x14ac:dyDescent="0.25">
      <c r="A158">
        <v>10.114449262619001</v>
      </c>
      <c r="B158">
        <v>8.59748091213077</v>
      </c>
      <c r="C158" s="1">
        <v>12.5502460665302</v>
      </c>
      <c r="D158" s="1">
        <v>9.6991160381535604</v>
      </c>
      <c r="E158" s="1">
        <v>-0.39986010361157198</v>
      </c>
      <c r="F158" s="1">
        <v>3.65782062499131E-3</v>
      </c>
      <c r="G158" s="1">
        <v>0.15436680361156699</v>
      </c>
      <c r="H158">
        <v>0.847035192989394</v>
      </c>
      <c r="I158" s="1">
        <v>1.3221798352121001E-2</v>
      </c>
    </row>
    <row r="159" spans="1:9" x14ac:dyDescent="0.25">
      <c r="A159">
        <v>12.0248043537139</v>
      </c>
      <c r="B159">
        <v>9.5947810973939305</v>
      </c>
      <c r="C159">
        <v>12.5681791745591</v>
      </c>
      <c r="D159" s="1">
        <v>10.1124966028783</v>
      </c>
      <c r="E159" s="1">
        <v>-0.49768347473569202</v>
      </c>
      <c r="F159" s="1">
        <v>4.0824175475998098E-3</v>
      </c>
      <c r="G159" s="1">
        <v>0.15115624354559501</v>
      </c>
      <c r="H159">
        <v>0.82534492892219802</v>
      </c>
      <c r="I159" s="1">
        <v>1.37055116447706E-2</v>
      </c>
    </row>
    <row r="160" spans="1:9" x14ac:dyDescent="0.25">
      <c r="A160">
        <v>14.106971025466899</v>
      </c>
      <c r="B160">
        <v>10.475433241945201</v>
      </c>
      <c r="C160">
        <v>12.2789964527328</v>
      </c>
      <c r="D160" s="1">
        <v>10.088990555351099</v>
      </c>
      <c r="E160" s="1">
        <v>-0.58367554665325905</v>
      </c>
      <c r="F160" s="1">
        <v>4.4326412894305396E-3</v>
      </c>
      <c r="G160" s="1">
        <v>0.146875720933582</v>
      </c>
      <c r="H160">
        <v>0.80329460556091004</v>
      </c>
      <c r="I160" s="1">
        <v>8.8417939941065095E-3</v>
      </c>
    </row>
    <row r="161" spans="1:9" x14ac:dyDescent="0.25">
      <c r="A161">
        <v>16.3765740394592</v>
      </c>
      <c r="B161">
        <v>11.2435715239462</v>
      </c>
      <c r="C161">
        <v>11.755924443423201</v>
      </c>
      <c r="D161" s="1">
        <v>9.7427665046393805</v>
      </c>
      <c r="E161" s="1">
        <v>-0.65563480677138197</v>
      </c>
      <c r="F161" s="1">
        <v>4.68404355198311E-3</v>
      </c>
      <c r="G161" s="1">
        <v>0.14007669687791399</v>
      </c>
      <c r="H161">
        <v>0.780362068404996</v>
      </c>
      <c r="I161" s="1">
        <v>1.3354376834343899E-3</v>
      </c>
    </row>
    <row r="162" spans="1:9" x14ac:dyDescent="0.25">
      <c r="A162">
        <v>18.850514888763399</v>
      </c>
      <c r="B162">
        <v>11.910546409335399</v>
      </c>
      <c r="C162">
        <v>11.0822112987079</v>
      </c>
      <c r="D162">
        <v>9.1896583122854807</v>
      </c>
      <c r="E162">
        <v>-0.71411450649719699</v>
      </c>
      <c r="F162" s="1">
        <v>4.8089995564010498E-3</v>
      </c>
      <c r="G162">
        <v>0.130899979008062</v>
      </c>
      <c r="H162">
        <v>0.75636786753923702</v>
      </c>
      <c r="I162" s="1">
        <v>-5.8566107987346201E-3</v>
      </c>
    </row>
    <row r="163" spans="1:9" x14ac:dyDescent="0.25">
      <c r="A163">
        <v>21.5470933914184</v>
      </c>
      <c r="B163">
        <v>12.490136433762</v>
      </c>
      <c r="C163">
        <v>10.328344201116099</v>
      </c>
      <c r="D163">
        <v>8.5229525155545804</v>
      </c>
      <c r="E163">
        <v>-0.76086686262800396</v>
      </c>
      <c r="F163">
        <v>4.7804215395809398E-3</v>
      </c>
      <c r="G163">
        <v>0.120335630905301</v>
      </c>
      <c r="H163">
        <v>0.73152988268061903</v>
      </c>
      <c r="I163" s="1">
        <v>-1.13241519445248E-2</v>
      </c>
    </row>
    <row r="164" spans="1:9" x14ac:dyDescent="0.25">
      <c r="A164">
        <v>24.4862508773803</v>
      </c>
      <c r="B164">
        <v>12.995844647657499</v>
      </c>
      <c r="C164">
        <v>9.5466274182399502</v>
      </c>
      <c r="D164">
        <v>7.8095180435096196</v>
      </c>
      <c r="E164">
        <v>-0.79789346343984102</v>
      </c>
      <c r="F164">
        <v>4.5843619573930801E-3</v>
      </c>
      <c r="G164">
        <v>0.109382596864621</v>
      </c>
      <c r="H164">
        <v>0.70629906995418201</v>
      </c>
      <c r="I164">
        <v>-1.48855259963696E-2</v>
      </c>
    </row>
    <row r="165" spans="1:9" x14ac:dyDescent="0.25">
      <c r="A165">
        <v>27.690056562423699</v>
      </c>
      <c r="B165">
        <v>13.439810924601201</v>
      </c>
      <c r="C165">
        <v>8.7732574032997892</v>
      </c>
      <c r="D165">
        <v>7.0941706159058802</v>
      </c>
      <c r="E165">
        <v>-0.82704250260039203</v>
      </c>
      <c r="F165">
        <v>4.2256805995883702E-3</v>
      </c>
      <c r="G165">
        <v>9.8698565791496995E-2</v>
      </c>
      <c r="H165">
        <v>0.68123251386979999</v>
      </c>
      <c r="I165">
        <v>-1.68537479236207E-2</v>
      </c>
    </row>
    <row r="166" spans="1:9" x14ac:dyDescent="0.25">
      <c r="A166">
        <v>31.182160377502399</v>
      </c>
      <c r="B166">
        <v>13.832550250362999</v>
      </c>
      <c r="C166">
        <v>8.0320888235291896</v>
      </c>
      <c r="D166">
        <v>6.4054686640948502</v>
      </c>
      <c r="E166">
        <v>-0.84988523073098299</v>
      </c>
      <c r="F166">
        <v>3.7432865074505002E-3</v>
      </c>
      <c r="G166">
        <v>8.8594906496904005E-2</v>
      </c>
      <c r="H166">
        <v>0.65688505868413705</v>
      </c>
      <c r="I166" s="1">
        <v>-1.7609997306624998E-2</v>
      </c>
    </row>
    <row r="167" spans="1:9" x14ac:dyDescent="0.25">
      <c r="A167">
        <v>34.988522529602001</v>
      </c>
      <c r="B167">
        <v>14.1830268189278</v>
      </c>
      <c r="C167">
        <v>7.3378512972340104</v>
      </c>
      <c r="D167">
        <v>5.7606029341073297</v>
      </c>
      <c r="E167">
        <v>-0.86768766086294802</v>
      </c>
      <c r="F167">
        <v>3.1835834938060098E-3</v>
      </c>
      <c r="G167">
        <v>7.9163339178990003E-2</v>
      </c>
      <c r="H167">
        <v>0.63374105937931502</v>
      </c>
      <c r="I167">
        <v>-1.7472441603818799E-2</v>
      </c>
    </row>
    <row r="168" spans="1:9" x14ac:dyDescent="0.25">
      <c r="A168">
        <v>39.137535095214801</v>
      </c>
      <c r="B168">
        <v>14.4988012745943</v>
      </c>
      <c r="C168">
        <v>6.6987922373300499</v>
      </c>
      <c r="D168">
        <v>5.1690901920638401</v>
      </c>
      <c r="E168">
        <v>-0.88144034846355501</v>
      </c>
      <c r="F168">
        <v>2.5862313654703901E-3</v>
      </c>
      <c r="G168">
        <v>7.0401033859090897E-2</v>
      </c>
      <c r="H168">
        <v>0.61215580437070405</v>
      </c>
      <c r="I168">
        <v>-1.6693143119770298E-2</v>
      </c>
    </row>
    <row r="169" spans="1:9" x14ac:dyDescent="0.25">
      <c r="A169">
        <v>43.659839630126903</v>
      </c>
      <c r="B169">
        <v>14.7862026527491</v>
      </c>
      <c r="C169">
        <v>6.1184907901406396</v>
      </c>
      <c r="D169">
        <v>4.6352203103724099</v>
      </c>
      <c r="E169">
        <v>-0.89188146232747101</v>
      </c>
      <c r="F169" s="1">
        <v>1.99457819152763E-3</v>
      </c>
      <c r="G169">
        <v>6.2295459780479498E-2</v>
      </c>
      <c r="H169">
        <v>0.59232091848620205</v>
      </c>
      <c r="I169">
        <v>-1.5483378131011199E-2</v>
      </c>
    </row>
    <row r="170" spans="1:9" x14ac:dyDescent="0.25">
      <c r="A170">
        <v>48.589299917220998</v>
      </c>
      <c r="B170">
        <v>15.050515994798801</v>
      </c>
      <c r="C170">
        <v>5.5972189991734904</v>
      </c>
      <c r="D170">
        <v>4.1596802514905997</v>
      </c>
      <c r="E170">
        <v>-0.89955200007486502</v>
      </c>
      <c r="F170">
        <v>1.4254158672607599E-3</v>
      </c>
      <c r="G170">
        <v>5.4855697799118502E-2</v>
      </c>
      <c r="H170">
        <v>0.57426724734312495</v>
      </c>
      <c r="I170">
        <v>-1.40302927360008E-2</v>
      </c>
    </row>
    <row r="171" spans="1:9" x14ac:dyDescent="0.25">
      <c r="A171">
        <v>53.962393999099703</v>
      </c>
      <c r="B171">
        <v>15.296135764938199</v>
      </c>
      <c r="C171">
        <v>5.1328255916814598</v>
      </c>
      <c r="D171">
        <v>3.7406019513583799</v>
      </c>
      <c r="E171">
        <v>-0.90487048135179704</v>
      </c>
      <c r="F171">
        <v>9.1091255138138602E-4</v>
      </c>
      <c r="G171">
        <v>4.8114484603669502E-2</v>
      </c>
      <c r="H171">
        <v>0.55793818213352397</v>
      </c>
      <c r="I171">
        <v>-1.24962496359708E-2</v>
      </c>
    </row>
    <row r="172" spans="1:9" x14ac:dyDescent="0.25">
      <c r="A172">
        <v>59.819004535674999</v>
      </c>
      <c r="B172">
        <v>15.5267173670199</v>
      </c>
      <c r="C172">
        <v>4.7216798513545601</v>
      </c>
      <c r="D172">
        <v>3.37445645407132</v>
      </c>
      <c r="E172">
        <v>-0.90815441204921898</v>
      </c>
      <c r="F172">
        <v>4.8649187445166302E-4</v>
      </c>
      <c r="G172">
        <v>4.2089693824144299E-2</v>
      </c>
      <c r="H172">
        <v>0.54317608497761305</v>
      </c>
      <c r="I172">
        <v>-1.09978887564663E-2</v>
      </c>
    </row>
    <row r="173" spans="1:9" x14ac:dyDescent="0.25">
      <c r="A173">
        <v>66.2026619911193</v>
      </c>
      <c r="B173">
        <v>15.7453250991147</v>
      </c>
      <c r="C173">
        <v>4.3591442643446499</v>
      </c>
      <c r="D173">
        <v>3.0565512190687101</v>
      </c>
      <c r="E173">
        <v>-0.909670628429885</v>
      </c>
      <c r="F173" s="1">
        <v>1.2242692226962899E-4</v>
      </c>
      <c r="G173">
        <v>3.6776867645944802E-2</v>
      </c>
      <c r="H173">
        <v>0.52976560565315101</v>
      </c>
      <c r="I173">
        <v>-9.6125926636574308E-3</v>
      </c>
    </row>
    <row r="174" spans="1:9" x14ac:dyDescent="0.25">
      <c r="A174">
        <v>73.160848617553697</v>
      </c>
      <c r="B174">
        <v>15.954527860876601</v>
      </c>
      <c r="C174">
        <v>4.0399965415417602</v>
      </c>
      <c r="D174">
        <v>2.78152075828456</v>
      </c>
      <c r="E174">
        <v>-0.90964469633752398</v>
      </c>
      <c r="F174">
        <v>-1.9806822392406999E-4</v>
      </c>
      <c r="G174">
        <v>3.2144504216438802E-2</v>
      </c>
      <c r="H174">
        <v>0.51740620998291897</v>
      </c>
      <c r="I174">
        <v>-8.3813395955489693E-3</v>
      </c>
    </row>
    <row r="175" spans="1:9" x14ac:dyDescent="0.25">
      <c r="A175">
        <v>80.745424032211304</v>
      </c>
      <c r="B175">
        <v>16.156478474285901</v>
      </c>
      <c r="C175">
        <v>3.7590780283608098</v>
      </c>
      <c r="D175">
        <v>2.5439884225079599</v>
      </c>
      <c r="E175">
        <v>-0.90825889398689597</v>
      </c>
      <c r="F175">
        <v>-4.7531366121616602E-4</v>
      </c>
      <c r="G175">
        <v>2.8141366624553701E-2</v>
      </c>
      <c r="H175">
        <v>0.50590753402324995</v>
      </c>
      <c r="I175">
        <v>-7.3149161723076199E-3</v>
      </c>
    </row>
    <row r="176" spans="1:9" x14ac:dyDescent="0.25">
      <c r="A176">
        <v>89.012442827224703</v>
      </c>
      <c r="B176">
        <v>16.3529811300304</v>
      </c>
      <c r="C176">
        <v>3.5114786943267902</v>
      </c>
      <c r="D176">
        <v>2.3388140414501302</v>
      </c>
      <c r="E176">
        <v>-0.90563857303577999</v>
      </c>
      <c r="F176">
        <v>-6.6207759086848398E-4</v>
      </c>
      <c r="G176">
        <v>2.46986319477491E-2</v>
      </c>
      <c r="H176">
        <v>0.49511087072690202</v>
      </c>
      <c r="I176">
        <v>-6.4026371551159002E-3</v>
      </c>
    </row>
    <row r="177" spans="1:9" x14ac:dyDescent="0.25">
      <c r="A177">
        <v>98.0235528945922</v>
      </c>
      <c r="B177">
        <v>16.5455367475715</v>
      </c>
      <c r="C177">
        <v>3.2925473051363898</v>
      </c>
      <c r="D177">
        <v>2.1612415593536798</v>
      </c>
      <c r="E177">
        <v>-0.90187787879778702</v>
      </c>
      <c r="F177">
        <v>-6.0686801559246004E-4</v>
      </c>
      <c r="G177">
        <v>2.1746065848491002E-2</v>
      </c>
      <c r="H177">
        <v>0.48485342991619701</v>
      </c>
      <c r="I177">
        <v>-5.6264380320222001E-3</v>
      </c>
    </row>
    <row r="178" spans="1:9" x14ac:dyDescent="0.25">
      <c r="A178">
        <v>107.845630645751</v>
      </c>
      <c r="B178">
        <v>16.7354716932368</v>
      </c>
      <c r="C178">
        <v>3.0980437670223102</v>
      </c>
      <c r="D178">
        <v>2.00700391583656</v>
      </c>
      <c r="E178">
        <v>-0.89701993805150904</v>
      </c>
      <c r="F178">
        <v>-2.3358640653514299E-4</v>
      </c>
      <c r="G178">
        <v>1.92210537282171E-2</v>
      </c>
      <c r="H178">
        <v>0.47508892701705102</v>
      </c>
      <c r="I178">
        <v>-4.9690468672017197E-3</v>
      </c>
    </row>
    <row r="179" spans="1:9" x14ac:dyDescent="0.25">
      <c r="A179">
        <v>118.551753759384</v>
      </c>
      <c r="B179">
        <v>16.924049399230999</v>
      </c>
      <c r="C179">
        <v>2.9241869117868098</v>
      </c>
      <c r="D179">
        <v>1.87210534798817</v>
      </c>
      <c r="E179">
        <v>-0.89102803025764199</v>
      </c>
      <c r="F179">
        <v>3.9277277528135902E-4</v>
      </c>
      <c r="G179">
        <v>1.7063679087332799E-2</v>
      </c>
      <c r="H179">
        <v>0.46587275092416702</v>
      </c>
      <c r="I179">
        <v>-4.41428474883251E-3</v>
      </c>
    </row>
    <row r="180" spans="1:9" x14ac:dyDescent="0.25">
      <c r="A180">
        <v>130.22150516510001</v>
      </c>
      <c r="B180">
        <v>17.112479388151701</v>
      </c>
      <c r="C180">
        <v>2.7682317021572</v>
      </c>
      <c r="D180">
        <v>1.75372879612981</v>
      </c>
      <c r="E180">
        <v>-0.88391402569936794</v>
      </c>
      <c r="F180">
        <v>1.12866234007052E-3</v>
      </c>
      <c r="G180">
        <v>1.52149334605205E-2</v>
      </c>
      <c r="H180">
        <v>0.45706679884506901</v>
      </c>
      <c r="I180">
        <v>-3.9440179218959998E-3</v>
      </c>
    </row>
    <row r="181" spans="1:9" x14ac:dyDescent="0.25">
      <c r="A181">
        <v>142.941337823867</v>
      </c>
      <c r="B181">
        <v>17.301917035501901</v>
      </c>
      <c r="C181">
        <v>2.6282778550921599</v>
      </c>
      <c r="D181">
        <v>1.64979807768432</v>
      </c>
      <c r="E181">
        <v>-0.87556007318345996</v>
      </c>
      <c r="F181">
        <v>1.68145349298016E-3</v>
      </c>
      <c r="G181">
        <v>1.36222602252495E-2</v>
      </c>
      <c r="H181">
        <v>0.44819803400186797</v>
      </c>
      <c r="I181">
        <v>-3.5406788855619799E-3</v>
      </c>
    </row>
    <row r="182" spans="1:9" x14ac:dyDescent="0.25">
      <c r="A182">
        <v>156.806094646453</v>
      </c>
      <c r="B182">
        <v>17.493244131464898</v>
      </c>
      <c r="C182">
        <v>2.50153112892803</v>
      </c>
      <c r="D182">
        <v>1.55764530748012</v>
      </c>
      <c r="E182">
        <v>-0.86616469428172504</v>
      </c>
      <c r="F182">
        <v>1.9736165744879399E-3</v>
      </c>
      <c r="G182">
        <v>1.22538756311156E-2</v>
      </c>
      <c r="H182">
        <v>0.43929346011207998</v>
      </c>
      <c r="I182">
        <v>-3.1960495574457101E-3</v>
      </c>
    </row>
    <row r="183" spans="1:9" x14ac:dyDescent="0.25">
      <c r="A183">
        <v>171.91864371299701</v>
      </c>
      <c r="B183">
        <v>17.687314323984499</v>
      </c>
      <c r="C183">
        <v>2.3875344905718499</v>
      </c>
      <c r="D183">
        <v>1.4756457244166401</v>
      </c>
      <c r="E183">
        <v>-0.85529900221017396</v>
      </c>
      <c r="F183">
        <v>2.2829897018694198E-3</v>
      </c>
      <c r="G183">
        <v>1.1071694653023699E-2</v>
      </c>
      <c r="H183">
        <v>0.42810527555243699</v>
      </c>
      <c r="I183">
        <v>-2.9078598371139299E-3</v>
      </c>
    </row>
    <row r="184" spans="1:9" x14ac:dyDescent="0.25">
      <c r="A184">
        <v>187.726768255233</v>
      </c>
      <c r="B184">
        <v>17.8766524641741</v>
      </c>
      <c r="C184">
        <v>2.2881728466927602</v>
      </c>
      <c r="D184">
        <v>1.4051988948003</v>
      </c>
      <c r="E184">
        <v>-0.84351717731728904</v>
      </c>
      <c r="F184" s="1">
        <v>2.54156965671814E-3</v>
      </c>
      <c r="G184">
        <v>9.9642045883045708E-3</v>
      </c>
      <c r="H184">
        <v>0.43064592241126898</v>
      </c>
      <c r="I184">
        <v>-2.5634533056447702E-3</v>
      </c>
    </row>
    <row r="185" spans="1:9" x14ac:dyDescent="0.25">
      <c r="A185">
        <v>203.579578399658</v>
      </c>
      <c r="B185">
        <v>18.054502039585699</v>
      </c>
      <c r="C185">
        <v>2.2024533567673599</v>
      </c>
      <c r="D185">
        <v>1.3454351648908101</v>
      </c>
      <c r="E185">
        <v>-0.83117495848592604</v>
      </c>
      <c r="F185">
        <v>2.6225909374301502E-3</v>
      </c>
      <c r="G185">
        <v>9.0597439988254393E-3</v>
      </c>
      <c r="H185">
        <v>0.43151383508929397</v>
      </c>
      <c r="I185">
        <v>-2.2876621175959701E-3</v>
      </c>
    </row>
    <row r="186" spans="1:9" x14ac:dyDescent="0.25">
      <c r="A186">
        <v>219.43238854408199</v>
      </c>
      <c r="B186">
        <v>18.222133132067</v>
      </c>
      <c r="C186">
        <v>2.12603515265072</v>
      </c>
      <c r="D186">
        <v>1.29290754471532</v>
      </c>
      <c r="E186">
        <v>-0.81859475464158904</v>
      </c>
      <c r="F186">
        <v>2.6846297464336402E-3</v>
      </c>
      <c r="G186">
        <v>8.3214902151513403E-3</v>
      </c>
      <c r="H186">
        <v>0.432027935203324</v>
      </c>
      <c r="I186">
        <v>-2.06605375601148E-3</v>
      </c>
    </row>
    <row r="187" spans="1:9" x14ac:dyDescent="0.25">
      <c r="A187">
        <v>235.28525948524401</v>
      </c>
      <c r="B187">
        <v>18.3808313788813</v>
      </c>
      <c r="C187">
        <v>2.0564088104037999</v>
      </c>
      <c r="D187">
        <v>1.2459649141953599</v>
      </c>
      <c r="E187">
        <v>-0.80555129276015802</v>
      </c>
      <c r="F187">
        <v>2.4638192818669E-3</v>
      </c>
      <c r="G187">
        <v>7.6996673382656797E-3</v>
      </c>
      <c r="H187">
        <v>0.43240050701171001</v>
      </c>
      <c r="I187">
        <v>-1.88073936934572E-3</v>
      </c>
    </row>
    <row r="188" spans="1:9" x14ac:dyDescent="0.25">
      <c r="A188">
        <v>251.13806962966899</v>
      </c>
      <c r="B188">
        <v>18.531692783717499</v>
      </c>
      <c r="C188">
        <v>1.9919181764635101</v>
      </c>
      <c r="D188">
        <v>1.2034810934551301</v>
      </c>
      <c r="E188">
        <v>-0.79225842680223801</v>
      </c>
      <c r="F188">
        <v>2.25308484806225E-3</v>
      </c>
      <c r="G188">
        <v>7.1628580899079503E-3</v>
      </c>
      <c r="H188">
        <v>0.43283493697012099</v>
      </c>
      <c r="I188">
        <v>-1.7218166192042501E-3</v>
      </c>
    </row>
    <row r="189" spans="1:9" x14ac:dyDescent="0.25">
      <c r="A189">
        <v>266.99081897735499</v>
      </c>
      <c r="B189">
        <v>18.675729220403799</v>
      </c>
      <c r="C189">
        <v>1.9315230983920599</v>
      </c>
      <c r="D189">
        <v>1.16458980708089</v>
      </c>
      <c r="E189">
        <v>-0.77862764870074996</v>
      </c>
      <c r="F189">
        <v>2.2439414327207101E-3</v>
      </c>
      <c r="G189">
        <v>6.6921600819694199E-3</v>
      </c>
      <c r="H189">
        <v>0.433407581291056</v>
      </c>
      <c r="I189">
        <v>-1.5840102981413699E-3</v>
      </c>
    </row>
    <row r="190" spans="1:9" x14ac:dyDescent="0.25">
      <c r="A190">
        <v>282.84362912178</v>
      </c>
      <c r="B190">
        <v>18.813858042840302</v>
      </c>
      <c r="C190">
        <v>1.87465417729981</v>
      </c>
      <c r="D190">
        <v>1.12855781879696</v>
      </c>
      <c r="E190">
        <v>-0.76473803841148102</v>
      </c>
      <c r="F190">
        <v>2.5271782107056501E-3</v>
      </c>
      <c r="G190">
        <v>6.2716326894436602E-3</v>
      </c>
      <c r="H190">
        <v>0.43388495794371401</v>
      </c>
      <c r="I190">
        <v>-1.4622298695576099E-3</v>
      </c>
    </row>
    <row r="191" spans="1:9" x14ac:dyDescent="0.25">
      <c r="A191">
        <v>298.69643926620398</v>
      </c>
      <c r="B191">
        <v>18.946708295397901</v>
      </c>
      <c r="C191">
        <v>1.8206219603143801</v>
      </c>
      <c r="D191">
        <v>1.09465606177504</v>
      </c>
      <c r="E191">
        <v>-0.75060606792909301</v>
      </c>
      <c r="F191">
        <v>2.7985435198745801E-3</v>
      </c>
      <c r="G191">
        <v>5.88999119133507E-3</v>
      </c>
      <c r="H191">
        <v>0.43429559885857399</v>
      </c>
      <c r="I191">
        <v>-1.3529101552840601E-3</v>
      </c>
    </row>
    <row r="192" spans="1:9" x14ac:dyDescent="0.25">
      <c r="A192">
        <v>314.54931020736598</v>
      </c>
      <c r="B192">
        <v>19.074630806126098</v>
      </c>
      <c r="C192">
        <v>1.768900220668</v>
      </c>
      <c r="D192">
        <v>1.06245615296542</v>
      </c>
      <c r="E192">
        <v>-0.73631364699859003</v>
      </c>
      <c r="F192">
        <v>2.7462007887492398E-3</v>
      </c>
      <c r="G192">
        <v>5.5438596690352499E-3</v>
      </c>
      <c r="H192">
        <v>0.43462319566991398</v>
      </c>
      <c r="I192">
        <v>-1.25474252041237E-3</v>
      </c>
    </row>
    <row r="193" spans="1:9" x14ac:dyDescent="0.25">
      <c r="A193">
        <v>330.40212035179098</v>
      </c>
      <c r="B193">
        <v>19.198010838726901</v>
      </c>
      <c r="C193">
        <v>1.71894498962501</v>
      </c>
      <c r="D193">
        <v>1.0315816860998901</v>
      </c>
      <c r="E193">
        <v>-0.72182257032394903</v>
      </c>
      <c r="F193">
        <v>2.5196163085438798E-3</v>
      </c>
      <c r="G193">
        <v>5.22934459924049E-3</v>
      </c>
      <c r="H193">
        <v>0.43520091701290298</v>
      </c>
      <c r="I193">
        <v>-1.1669223654341399E-3</v>
      </c>
    </row>
    <row r="194" spans="1:9" x14ac:dyDescent="0.25">
      <c r="A194">
        <v>346.25493049621502</v>
      </c>
      <c r="B194">
        <v>19.317359168917299</v>
      </c>
      <c r="C194">
        <v>1.6707931704786401</v>
      </c>
      <c r="D194">
        <v>1.00195569623748</v>
      </c>
      <c r="E194">
        <v>-0.70714813974416701</v>
      </c>
      <c r="F194">
        <v>2.2163936920863402E-3</v>
      </c>
      <c r="G194">
        <v>4.9363036745557398E-3</v>
      </c>
      <c r="H194">
        <v>0.43552183380932402</v>
      </c>
      <c r="I194">
        <v>-1.0847538351733399E-3</v>
      </c>
    </row>
    <row r="195" spans="1:9" x14ac:dyDescent="0.25">
      <c r="A195">
        <v>362.10780143737702</v>
      </c>
      <c r="B195">
        <v>19.4327859462555</v>
      </c>
      <c r="C195">
        <v>1.6241303755577901</v>
      </c>
      <c r="D195">
        <v>0.97338449547079797</v>
      </c>
      <c r="E195">
        <v>-0.69233714966179805</v>
      </c>
      <c r="F195">
        <v>2.08768601646893E-3</v>
      </c>
      <c r="G195">
        <v>4.66166446158197E-3</v>
      </c>
      <c r="H195">
        <v>0.43562405922265202</v>
      </c>
      <c r="I195">
        <v>-1.00871017025905E-3</v>
      </c>
    </row>
    <row r="196" spans="1:9" x14ac:dyDescent="0.25">
      <c r="A196">
        <v>377.96061158180203</v>
      </c>
      <c r="B196">
        <v>19.544447526413901</v>
      </c>
      <c r="C196">
        <v>1.5785913568834</v>
      </c>
      <c r="D196">
        <v>0.94577853631895004</v>
      </c>
      <c r="E196">
        <v>-0.67739410926319499</v>
      </c>
      <c r="F196" s="1">
        <v>2.0273434046162099E-3</v>
      </c>
      <c r="G196">
        <v>4.40524660038336E-3</v>
      </c>
      <c r="H196">
        <v>0.43589001423680201</v>
      </c>
      <c r="I196">
        <v>-9.3805113615980096E-4</v>
      </c>
    </row>
    <row r="197" spans="1:9" x14ac:dyDescent="0.25">
      <c r="A197">
        <v>393.81348252296402</v>
      </c>
      <c r="B197">
        <v>19.652579214734899</v>
      </c>
      <c r="C197">
        <v>1.53393624304953</v>
      </c>
      <c r="D197">
        <v>0.918778742374316</v>
      </c>
      <c r="E197">
        <v>-0.66231648531572995</v>
      </c>
      <c r="F197" s="1">
        <v>2.0106183215620401E-3</v>
      </c>
      <c r="G197">
        <v>4.1645498393930204E-3</v>
      </c>
      <c r="H197">
        <v>0.43631172527815898</v>
      </c>
      <c r="I197">
        <v>-8.7227265734281701E-4</v>
      </c>
    </row>
    <row r="198" spans="1:9" x14ac:dyDescent="0.25">
      <c r="A198">
        <v>409.66629266738801</v>
      </c>
      <c r="B198">
        <v>19.757504617291399</v>
      </c>
      <c r="C198">
        <v>1.49020962553549</v>
      </c>
      <c r="D198">
        <v>0.89231706176561598</v>
      </c>
      <c r="E198">
        <v>-0.64706057701420505</v>
      </c>
      <c r="F198">
        <v>2.0972850062308699E-3</v>
      </c>
      <c r="G198">
        <v>3.9377255824930403E-3</v>
      </c>
      <c r="H198">
        <v>0.43669855480716002</v>
      </c>
      <c r="I198">
        <v>-8.1137633545843104E-4</v>
      </c>
    </row>
    <row r="199" spans="1:9" x14ac:dyDescent="0.25">
      <c r="A199">
        <v>425.519042015075</v>
      </c>
      <c r="B199">
        <v>19.859442890292399</v>
      </c>
      <c r="C199">
        <v>1.4472382244548501</v>
      </c>
      <c r="D199">
        <v>0.86642820882075799</v>
      </c>
      <c r="E199">
        <v>-0.63170999874753797</v>
      </c>
      <c r="F199" s="1">
        <v>2.1143205272009902E-3</v>
      </c>
      <c r="G199">
        <v>3.7227071315818101E-3</v>
      </c>
      <c r="H199">
        <v>0.437019765394693</v>
      </c>
      <c r="I199">
        <v>-7.5471453702642395E-4</v>
      </c>
    </row>
    <row r="200" spans="1:9" x14ac:dyDescent="0.25">
      <c r="A200">
        <v>441.371912956237</v>
      </c>
      <c r="B200">
        <v>19.958322995362298</v>
      </c>
      <c r="C200">
        <v>1.4046870714537301</v>
      </c>
      <c r="D200">
        <v>0.84099258706078595</v>
      </c>
      <c r="E200">
        <v>-0.61623726807454704</v>
      </c>
      <c r="F200">
        <v>2.0531750062811899E-3</v>
      </c>
      <c r="G200">
        <v>3.5165955384423402E-3</v>
      </c>
      <c r="H200">
        <v>0.43716052646815501</v>
      </c>
      <c r="I200">
        <v>-7.0040913281446096E-4</v>
      </c>
    </row>
    <row r="201" spans="1:9" x14ac:dyDescent="0.25">
      <c r="A201">
        <v>457.22478389739899</v>
      </c>
      <c r="B201">
        <v>20.054232134852999</v>
      </c>
      <c r="C201">
        <v>1.36258739239565</v>
      </c>
      <c r="D201">
        <v>0.81585664734839503</v>
      </c>
      <c r="E201">
        <v>-0.60064771774039105</v>
      </c>
      <c r="F201">
        <v>1.8778766940846E-3</v>
      </c>
      <c r="G201">
        <v>3.3202653685256E-3</v>
      </c>
      <c r="H201">
        <v>0.43724894042020801</v>
      </c>
      <c r="I201">
        <v>-6.4924401170182201E-4</v>
      </c>
    </row>
    <row r="202" spans="1:9" x14ac:dyDescent="0.25">
      <c r="A202">
        <v>473.07753324508599</v>
      </c>
      <c r="B202">
        <v>20.147298462825301</v>
      </c>
      <c r="C202">
        <v>1.3209115098106801</v>
      </c>
      <c r="D202">
        <v>0.791015362063759</v>
      </c>
      <c r="E202">
        <v>-0.58494802261106305</v>
      </c>
      <c r="F202" s="1">
        <v>1.71860936779152E-3</v>
      </c>
      <c r="G202">
        <v>3.1333699542087901E-3</v>
      </c>
      <c r="H202">
        <v>0.43727688726111802</v>
      </c>
      <c r="I202">
        <v>-6.0101997159143399E-4</v>
      </c>
    </row>
    <row r="203" spans="1:9" x14ac:dyDescent="0.25">
      <c r="A203">
        <v>488.93034338951099</v>
      </c>
      <c r="B203">
        <v>20.237664501319099</v>
      </c>
      <c r="C203">
        <v>1.27940039096756</v>
      </c>
      <c r="D203">
        <v>0.766443030218942</v>
      </c>
      <c r="E203">
        <v>-0.56913067707146303</v>
      </c>
      <c r="F203">
        <v>1.58912592229079E-3</v>
      </c>
      <c r="G203">
        <v>2.9569766212492001E-3</v>
      </c>
      <c r="H203">
        <v>0.437570852676884</v>
      </c>
      <c r="I203">
        <v>-5.5622570090373103E-4</v>
      </c>
    </row>
    <row r="204" spans="1:9" x14ac:dyDescent="0.25">
      <c r="A204">
        <v>504.78321433067299</v>
      </c>
      <c r="B204">
        <v>20.325449112706298</v>
      </c>
      <c r="C204" s="1">
        <v>1.2383617998693801</v>
      </c>
      <c r="D204" s="1">
        <v>0.74223118743581795</v>
      </c>
      <c r="E204" s="1">
        <v>-0.55321276165100597</v>
      </c>
      <c r="F204" s="1">
        <v>1.4884539919494599E-3</v>
      </c>
      <c r="G204" s="1">
        <v>2.7889168852368298E-3</v>
      </c>
      <c r="H204">
        <v>0.437906153312206</v>
      </c>
      <c r="I204" s="1">
        <v>-5.1404625883977599E-4</v>
      </c>
    </row>
    <row r="205" spans="1:9" x14ac:dyDescent="0.25">
      <c r="A205">
        <v>520.63602447509697</v>
      </c>
      <c r="B205">
        <v>20.410709650159301</v>
      </c>
      <c r="C205" s="1">
        <v>1.1977914784438299</v>
      </c>
      <c r="D205" s="1">
        <v>0.718392339242513</v>
      </c>
      <c r="E205" s="1">
        <v>-0.53720296982974003</v>
      </c>
      <c r="F205" s="1">
        <v>1.3535083477066001E-3</v>
      </c>
      <c r="G205" s="1">
        <v>2.6281229546053302E-3</v>
      </c>
      <c r="H205">
        <v>0.43807033949033097</v>
      </c>
      <c r="I205" s="1">
        <v>-4.74218112096851E-4</v>
      </c>
    </row>
    <row r="206" spans="1:9" x14ac:dyDescent="0.25">
      <c r="A206">
        <v>536.48889541625897</v>
      </c>
      <c r="B206">
        <v>20.4935286998716</v>
      </c>
      <c r="C206" s="1">
        <v>1.1575935017845</v>
      </c>
      <c r="D206" s="1">
        <v>0.69492264638527601</v>
      </c>
      <c r="E206" s="1">
        <v>-0.52108876051377495</v>
      </c>
      <c r="F206" s="1">
        <v>1.15324404431712E-3</v>
      </c>
      <c r="G206" s="1">
        <v>2.4738382405896401E-3</v>
      </c>
      <c r="H206">
        <v>0.43823075876759698</v>
      </c>
      <c r="I206" s="1">
        <v>-4.3633084118081301E-4</v>
      </c>
    </row>
    <row r="207" spans="1:9" x14ac:dyDescent="0.25">
      <c r="A207">
        <v>552.34173595905304</v>
      </c>
      <c r="B207">
        <v>20.573901630841601</v>
      </c>
      <c r="C207" s="1">
        <v>1.1179199776961399</v>
      </c>
      <c r="D207" s="1">
        <v>0.67187598797347803</v>
      </c>
      <c r="E207" s="1">
        <v>-0.504877275043489</v>
      </c>
      <c r="F207" s="1">
        <v>9.2513080758292005E-4</v>
      </c>
      <c r="G207" s="1">
        <v>2.3252691740223599E-3</v>
      </c>
      <c r="H207">
        <v>0.43831627416514901</v>
      </c>
      <c r="I207" s="1">
        <v>-4.00446736878314E-4</v>
      </c>
    </row>
    <row r="208" spans="1:9" x14ac:dyDescent="0.25">
      <c r="A208">
        <v>568.19448530673901</v>
      </c>
      <c r="B208">
        <v>20.651851716820602</v>
      </c>
      <c r="C208" s="1">
        <v>1.0788906053221501</v>
      </c>
      <c r="D208" s="1">
        <v>0.64912859063101003</v>
      </c>
      <c r="E208" s="1">
        <v>-0.48859413775688498</v>
      </c>
      <c r="F208" s="1">
        <v>7.6183888199221302E-4</v>
      </c>
      <c r="G208" s="1">
        <v>2.1834800072244101E-3</v>
      </c>
      <c r="H208">
        <v>0.43843070466120898</v>
      </c>
      <c r="I208" s="1">
        <v>-3.6693087427948801E-4</v>
      </c>
    </row>
    <row r="209" spans="1:9" x14ac:dyDescent="0.25">
      <c r="A209">
        <v>584.04732584953297</v>
      </c>
      <c r="B209">
        <v>20.7273672021892</v>
      </c>
      <c r="C209" s="1">
        <v>1.0402779326341201</v>
      </c>
      <c r="D209" s="1">
        <v>0.62643174897149201</v>
      </c>
      <c r="E209" s="1">
        <v>-0.47223850212769503</v>
      </c>
      <c r="F209" s="1">
        <v>6.4021655270544802E-4</v>
      </c>
      <c r="G209" s="1">
        <v>2.0489381271344299E-3</v>
      </c>
      <c r="H209">
        <v>0.43867159511672699</v>
      </c>
      <c r="I209" s="1">
        <v>-3.3568374395401501E-4</v>
      </c>
    </row>
    <row r="210" spans="1:9" x14ac:dyDescent="0.25">
      <c r="A210">
        <v>599.90016639232601</v>
      </c>
      <c r="B210">
        <v>20.800434193943101</v>
      </c>
      <c r="C210" s="1">
        <v>1.00203311008044</v>
      </c>
      <c r="D210" s="1">
        <v>0.60383827858940398</v>
      </c>
      <c r="E210" s="1">
        <v>-0.45579853650908198</v>
      </c>
      <c r="F210" s="1">
        <v>5.3763955788943302E-4</v>
      </c>
      <c r="G210" s="1">
        <v>1.92102532518699E-3</v>
      </c>
      <c r="H210">
        <v>0.43890021337667701</v>
      </c>
      <c r="I210" s="1">
        <v>-3.0661523495923701E-4</v>
      </c>
    </row>
    <row r="211" spans="1:9" x14ac:dyDescent="0.25">
      <c r="A211">
        <v>615.75300693511895</v>
      </c>
      <c r="B211">
        <v>20.871138543725401</v>
      </c>
      <c r="C211" s="1">
        <v>0.96406571276474995</v>
      </c>
      <c r="D211" s="1">
        <v>0.58137081908260202</v>
      </c>
      <c r="E211" s="1">
        <v>-0.43926936248835702</v>
      </c>
      <c r="F211" s="1">
        <v>4.9562043014493595E-4</v>
      </c>
      <c r="G211" s="1">
        <v>1.7994346862961401E-3</v>
      </c>
      <c r="H211">
        <v>0.43927223704135399</v>
      </c>
      <c r="I211" s="1">
        <v>-2.7952867375711599E-4</v>
      </c>
    </row>
    <row r="212" spans="1:9" x14ac:dyDescent="0.25">
      <c r="A212">
        <v>631.60581707954395</v>
      </c>
      <c r="B212">
        <v>20.939637349356399</v>
      </c>
      <c r="C212" s="1">
        <v>0.92645002039262103</v>
      </c>
      <c r="D212" s="1">
        <v>0.55910946703593101</v>
      </c>
      <c r="E212" s="1">
        <v>-0.42264264649885103</v>
      </c>
      <c r="F212" s="1">
        <v>4.4106513195682202E-4</v>
      </c>
      <c r="G212" s="1">
        <v>1.68332188569114E-3</v>
      </c>
      <c r="H212">
        <v>0.43971357998962401</v>
      </c>
      <c r="I212" s="1">
        <v>-2.5414024102617702E-4</v>
      </c>
    </row>
    <row r="213" spans="1:9" x14ac:dyDescent="0.25">
      <c r="A213">
        <v>647.45859682559899</v>
      </c>
      <c r="B213">
        <v>21.005849746425099</v>
      </c>
      <c r="C213" s="1">
        <v>0.88936002252921698</v>
      </c>
      <c r="D213" s="1">
        <v>0.53712291747224095</v>
      </c>
      <c r="E213" s="1">
        <v>-0.40597388181551702</v>
      </c>
      <c r="F213" s="1">
        <v>3.5235637791818298E-4</v>
      </c>
      <c r="G213" s="1">
        <v>1.57169888097382E-3</v>
      </c>
      <c r="H213">
        <v>0.43989296567876301</v>
      </c>
      <c r="I213" s="1">
        <v>-2.30270889326141E-4</v>
      </c>
    </row>
    <row r="214" spans="1:9" x14ac:dyDescent="0.25">
      <c r="A214">
        <v>663.31143736839203</v>
      </c>
      <c r="B214">
        <v>21.069629442781601</v>
      </c>
      <c r="C214" s="1">
        <v>0.85259032632620801</v>
      </c>
      <c r="D214" s="1">
        <v>0.51521851265252305</v>
      </c>
      <c r="E214" s="1">
        <v>-0.38923686526998602</v>
      </c>
      <c r="F214" s="1">
        <v>2.29783549008287E-4</v>
      </c>
      <c r="G214" s="1">
        <v>1.46532447546298E-3</v>
      </c>
      <c r="H214">
        <v>0.44002915406228699</v>
      </c>
      <c r="I214" s="1">
        <v>-2.0800135978475299E-4</v>
      </c>
    </row>
    <row r="215" spans="1:9" x14ac:dyDescent="0.25">
      <c r="A215">
        <v>679.16427791118599</v>
      </c>
      <c r="B215">
        <v>21.131038066369001</v>
      </c>
      <c r="C215" s="1">
        <v>0.81615790493287899</v>
      </c>
      <c r="D215" s="1">
        <v>0.49337184788510702</v>
      </c>
      <c r="E215" s="1">
        <v>-0.37242874844044799</v>
      </c>
      <c r="F215" s="1">
        <v>1.43408987106891E-4</v>
      </c>
      <c r="G215" s="1">
        <v>1.3647298558003599E-3</v>
      </c>
      <c r="H215">
        <v>0.44032104168865399</v>
      </c>
      <c r="I215" s="1">
        <v>-1.8751784810706301E-4</v>
      </c>
    </row>
    <row r="216" spans="1:9" x14ac:dyDescent="0.25">
      <c r="A216">
        <v>695.01711845397904</v>
      </c>
      <c r="B216">
        <v>21.190182486452599</v>
      </c>
      <c r="C216" s="1">
        <v>0.78026614044119902</v>
      </c>
      <c r="D216" s="1">
        <v>0.47169877841084001</v>
      </c>
      <c r="E216" s="1">
        <v>-0.35553520028997698</v>
      </c>
      <c r="F216" s="1">
        <v>6.7620155251128203E-5</v>
      </c>
      <c r="G216" s="1">
        <v>1.2695298008722101E-3</v>
      </c>
      <c r="H216">
        <v>0.44075477506585897</v>
      </c>
      <c r="I216" s="1">
        <v>-1.6860612394642801E-4</v>
      </c>
    </row>
    <row r="217" spans="1:9" x14ac:dyDescent="0.25">
      <c r="A217">
        <v>710.86992859840302</v>
      </c>
      <c r="B217">
        <v>21.2470837206547</v>
      </c>
      <c r="C217" s="1">
        <v>0.74508245788820204</v>
      </c>
      <c r="D217" s="1">
        <v>0.45030165780290898</v>
      </c>
      <c r="E217" s="1">
        <v>-0.338581176134086</v>
      </c>
      <c r="F217" s="1">
        <v>7.3309732255215397E-6</v>
      </c>
      <c r="G217" s="1">
        <v>1.1795665516933999E-3</v>
      </c>
      <c r="H217">
        <v>0.44111672085798898</v>
      </c>
      <c r="I217" s="1">
        <v>-1.5124822138241E-4</v>
      </c>
    </row>
    <row r="218" spans="1:9" x14ac:dyDescent="0.25">
      <c r="A218">
        <v>726.72273874282803</v>
      </c>
      <c r="B218">
        <v>21.301671472747302</v>
      </c>
      <c r="C218" s="1">
        <v>0.710535298003378</v>
      </c>
      <c r="D218" s="1">
        <v>0.429098731797042</v>
      </c>
      <c r="E218" s="1">
        <v>-0.321574965405865</v>
      </c>
      <c r="F218" s="1">
        <v>-2.6541541387299099E-5</v>
      </c>
      <c r="G218" s="1">
        <v>1.09516749427622E-3</v>
      </c>
      <c r="H218">
        <v>0.44178122297222</v>
      </c>
      <c r="I218" s="1">
        <v>-1.3563207723040301E-4</v>
      </c>
    </row>
    <row r="219" spans="1:9" x14ac:dyDescent="0.25">
      <c r="A219">
        <v>742.57554888725201</v>
      </c>
      <c r="B219">
        <v>21.353882571120199</v>
      </c>
      <c r="C219" s="1">
        <v>0.67668119852441999</v>
      </c>
      <c r="D219" s="1">
        <v>0.40806772406009501</v>
      </c>
      <c r="E219" s="1">
        <v>-0.304518642147871</v>
      </c>
      <c r="F219" s="1">
        <v>-2.9216089743518399E-5</v>
      </c>
      <c r="G219" s="1">
        <v>1.0153780718881E-3</v>
      </c>
      <c r="H219">
        <v>0.442404970150168</v>
      </c>
      <c r="I219" s="1">
        <v>-1.2119760662689399E-4</v>
      </c>
    </row>
    <row r="220" spans="1:9" x14ac:dyDescent="0.25">
      <c r="A220">
        <v>758.42838943004597</v>
      </c>
      <c r="B220">
        <v>21.4036474320073</v>
      </c>
      <c r="C220" s="1">
        <v>0.64364346612819601</v>
      </c>
      <c r="D220" s="1">
        <v>0.38729598372163798</v>
      </c>
      <c r="E220" s="1">
        <v>-0.28741585947182902</v>
      </c>
      <c r="F220" s="1">
        <v>-3.8371486858844902E-5</v>
      </c>
      <c r="G220" s="1">
        <v>9.4034559832829098E-4</v>
      </c>
      <c r="H220">
        <v>0.44307194384008403</v>
      </c>
      <c r="I220" s="1">
        <v>-1.08032991158425E-4</v>
      </c>
    </row>
    <row r="221" spans="1:9" x14ac:dyDescent="0.25">
      <c r="A221">
        <v>774.28122997283901</v>
      </c>
      <c r="B221">
        <v>21.450954062302099</v>
      </c>
      <c r="C221" s="1">
        <v>0.61150460096541803</v>
      </c>
      <c r="D221" s="1">
        <v>0.36689705695150998</v>
      </c>
      <c r="E221" s="1">
        <v>-0.27025849141844699</v>
      </c>
      <c r="F221" s="1">
        <v>-7.9251460419655097E-5</v>
      </c>
      <c r="G221" s="1">
        <v>8.70097627435283E-4</v>
      </c>
      <c r="H221">
        <v>0.44379096300556597</v>
      </c>
      <c r="I221" s="1">
        <v>-9.6122439036602699E-5</v>
      </c>
    </row>
    <row r="222" spans="1:9" x14ac:dyDescent="0.25">
      <c r="A222">
        <v>790.13402491807904</v>
      </c>
      <c r="B222">
        <v>21.495789756436299</v>
      </c>
      <c r="C222" s="1">
        <v>0.58028524285873495</v>
      </c>
      <c r="D222" s="1">
        <v>0.34687031153220999</v>
      </c>
      <c r="E222" s="1">
        <v>-0.25304816364598898</v>
      </c>
      <c r="F222" s="1">
        <v>-1.2818574600467601E-4</v>
      </c>
      <c r="G222" s="1">
        <v>8.0457107445667403E-4</v>
      </c>
      <c r="H222">
        <v>0.44446490550734702</v>
      </c>
      <c r="I222" s="1">
        <v>-8.54873563847371E-5</v>
      </c>
    </row>
    <row r="223" spans="1:9" x14ac:dyDescent="0.25">
      <c r="A223">
        <v>805.98686546087197</v>
      </c>
      <c r="B223">
        <v>21.5381047608298</v>
      </c>
      <c r="C223" s="1">
        <v>0.55007717692205904</v>
      </c>
      <c r="D223" s="1">
        <v>0.32724879899755899</v>
      </c>
      <c r="E223" s="1">
        <v>-0.23578900842606701</v>
      </c>
      <c r="F223" s="1">
        <v>-2.1642455266148101E-4</v>
      </c>
      <c r="G223" s="1">
        <v>7.4379747412505598E-4</v>
      </c>
      <c r="H223">
        <v>0.44529230511715301</v>
      </c>
      <c r="I223" s="1">
        <v>-7.6127047792208001E-5</v>
      </c>
    </row>
    <row r="224" spans="1:9" x14ac:dyDescent="0.25">
      <c r="A224">
        <v>821.83970600366501</v>
      </c>
      <c r="B224">
        <v>21.5778245044839</v>
      </c>
      <c r="C224" s="1">
        <v>0.52110868314230097</v>
      </c>
      <c r="D224" s="1">
        <v>0.30807601022129799</v>
      </c>
      <c r="E224" s="1">
        <v>-0.21849745326880199</v>
      </c>
      <c r="F224" s="1">
        <v>-3.2350791375196998E-4</v>
      </c>
      <c r="G224" s="1">
        <v>6.8740354577033697E-4</v>
      </c>
      <c r="H224">
        <v>0.44590818801598398</v>
      </c>
      <c r="I224" s="1">
        <v>-6.7923644000956004E-5</v>
      </c>
    </row>
    <row r="225" spans="1:9" x14ac:dyDescent="0.25">
      <c r="A225">
        <v>837.69251614809002</v>
      </c>
      <c r="B225">
        <v>21.614814094637001</v>
      </c>
      <c r="C225" s="1">
        <v>0.49346007349413401</v>
      </c>
      <c r="D225" s="1">
        <v>0.28951012720321001</v>
      </c>
      <c r="E225" s="1">
        <v>-0.201165948515626</v>
      </c>
      <c r="F225" s="1">
        <v>-4.1257212313324703E-4</v>
      </c>
      <c r="G225" s="1">
        <v>6.3568030361304997E-4</v>
      </c>
      <c r="H225">
        <v>0.44661156941423902</v>
      </c>
      <c r="I225" s="1">
        <v>-6.0767947904249203E-5</v>
      </c>
    </row>
    <row r="226" spans="1:9" x14ac:dyDescent="0.25">
      <c r="A226">
        <v>853.54535669088295</v>
      </c>
      <c r="B226">
        <v>21.649035770815299</v>
      </c>
      <c r="C226" s="1">
        <v>0.46735052042094999</v>
      </c>
      <c r="D226" s="1">
        <v>0.27187068426382099</v>
      </c>
      <c r="E226" s="1">
        <v>-0.18380252522256699</v>
      </c>
      <c r="F226" s="1">
        <v>-4.6891531470059699E-4</v>
      </c>
      <c r="G226" s="1">
        <v>5.8852768420700403E-4</v>
      </c>
      <c r="H226">
        <v>0.44734035886628498</v>
      </c>
      <c r="I226" s="1">
        <v>-5.4585028376982499E-5</v>
      </c>
    </row>
    <row r="227" spans="1:9" x14ac:dyDescent="0.25">
      <c r="A227">
        <v>869.39818203449204</v>
      </c>
      <c r="B227">
        <v>21.6804650718313</v>
      </c>
      <c r="C227" s="1">
        <v>0.44291051609661702</v>
      </c>
      <c r="D227" s="1">
        <v>0.25526144375515197</v>
      </c>
      <c r="E227" s="1">
        <v>-0.16640307606612101</v>
      </c>
      <c r="F227" s="1">
        <v>-5.1315885953796196E-4</v>
      </c>
      <c r="G227" s="1">
        <v>5.4606838046137999E-4</v>
      </c>
      <c r="H227">
        <v>0.44818275019725001</v>
      </c>
      <c r="I227" s="1">
        <v>-4.9420177534210997E-5</v>
      </c>
    </row>
    <row r="228" spans="1:9" x14ac:dyDescent="0.25">
      <c r="A228">
        <v>885.25099217891602</v>
      </c>
      <c r="B228">
        <v>21.709041913409202</v>
      </c>
      <c r="C228" s="1">
        <v>0.420326735593334</v>
      </c>
      <c r="D228" s="1">
        <v>0.23978759693611601</v>
      </c>
      <c r="E228" s="1">
        <v>-0.14897089499423899</v>
      </c>
      <c r="F228" s="1">
        <v>-5.59754419106255E-4</v>
      </c>
      <c r="G228" s="1">
        <v>5.0818417840610398E-4</v>
      </c>
      <c r="H228">
        <v>0.44913141390753197</v>
      </c>
      <c r="I228" s="1">
        <v>-4.5101870598290603E-5</v>
      </c>
    </row>
    <row r="229" spans="1:9" x14ac:dyDescent="0.25">
      <c r="A229">
        <v>901.10380992293301</v>
      </c>
      <c r="B229">
        <v>21.734703361426</v>
      </c>
      <c r="C229" s="1">
        <v>0.39977189696855903</v>
      </c>
      <c r="D229" s="1">
        <v>0.225623267639708</v>
      </c>
      <c r="E229" s="1">
        <v>-0.13151105001892599</v>
      </c>
      <c r="F229" s="1">
        <v>-5.91583162574567E-4</v>
      </c>
      <c r="G229" s="1">
        <v>4.7482743963328701E-4</v>
      </c>
      <c r="H229">
        <v>0.45012700964187502</v>
      </c>
      <c r="I229" s="1">
        <v>-4.1504928622384698E-5</v>
      </c>
    </row>
    <row r="230" spans="1:9" x14ac:dyDescent="0.25">
      <c r="A230">
        <v>916.95665046572606</v>
      </c>
      <c r="B230">
        <v>21.757365582879999</v>
      </c>
      <c r="C230" s="1">
        <v>0.38137380153102601</v>
      </c>
      <c r="D230" s="1">
        <v>0.21290530085755999</v>
      </c>
      <c r="E230" s="1">
        <v>-0.114033680269261</v>
      </c>
      <c r="F230" s="1">
        <v>-5.6322580101817799E-4</v>
      </c>
      <c r="G230" s="1">
        <v>4.4580856317357701E-4</v>
      </c>
      <c r="H230">
        <v>0.45116283391982898</v>
      </c>
      <c r="I230" s="1">
        <v>-3.8537526665112001E-5</v>
      </c>
    </row>
    <row r="231" spans="1:9" x14ac:dyDescent="0.25">
      <c r="A231">
        <v>932.80946820974305</v>
      </c>
      <c r="B231">
        <v>21.776930970509</v>
      </c>
      <c r="C231" s="1">
        <v>0.365337280300082</v>
      </c>
      <c r="D231" s="1">
        <v>0.20171896357102201</v>
      </c>
      <c r="E231" s="1">
        <v>-9.6539264594114202E-2</v>
      </c>
      <c r="F231" s="1">
        <v>-5.1690813352887899E-4</v>
      </c>
      <c r="G231" s="1">
        <v>4.2103620523604399E-4</v>
      </c>
      <c r="H231">
        <v>0.45217591481784702</v>
      </c>
      <c r="I231" s="1">
        <v>-3.6169674996480102E-5</v>
      </c>
    </row>
    <row r="232" spans="1:9" x14ac:dyDescent="0.25">
      <c r="A232">
        <v>948.66229355335201</v>
      </c>
      <c r="B232">
        <v>21.793332315419299</v>
      </c>
      <c r="C232" s="1">
        <v>0.351790371144034</v>
      </c>
      <c r="D232" s="1">
        <v>0.19221057646653</v>
      </c>
      <c r="E232" s="1">
        <v>-7.9033205420548605E-2</v>
      </c>
      <c r="F232" s="1">
        <v>-4.9982992837653399E-4</v>
      </c>
      <c r="G232" s="1">
        <v>4.0042263233532201E-4</v>
      </c>
      <c r="H232">
        <v>0.452995534670807</v>
      </c>
      <c r="I232" s="1">
        <v>-3.4298964776027002E-5</v>
      </c>
    </row>
    <row r="233" spans="1:9" x14ac:dyDescent="0.25">
      <c r="A233">
        <v>964.51511889696098</v>
      </c>
      <c r="B233">
        <v>21.806488159481798</v>
      </c>
      <c r="C233" s="1">
        <v>0.34079227309575799</v>
      </c>
      <c r="D233" s="1">
        <v>0.184489108687137</v>
      </c>
      <c r="E233" s="1">
        <v>-6.1509493496062599E-2</v>
      </c>
      <c r="F233" s="1">
        <v>-4.6384047348522101E-4</v>
      </c>
      <c r="G233" s="1">
        <v>3.8400560566949799E-4</v>
      </c>
      <c r="H233">
        <v>0.45371603832176</v>
      </c>
      <c r="I233" s="1">
        <v>-3.2867914148809299E-5</v>
      </c>
    </row>
    <row r="234" spans="1:9" x14ac:dyDescent="0.25">
      <c r="A234">
        <v>980.36794044077305</v>
      </c>
      <c r="B234">
        <v>21.816373329047501</v>
      </c>
      <c r="C234" s="1">
        <v>0.33241705887121498</v>
      </c>
      <c r="D234" s="1">
        <v>0.17860527457382799</v>
      </c>
      <c r="E234" s="1">
        <v>-4.3968402552443997E-2</v>
      </c>
      <c r="F234" s="1">
        <v>-4.1218960272792701E-4</v>
      </c>
      <c r="G234" s="1">
        <v>3.7179670607670999E-4</v>
      </c>
      <c r="H234">
        <v>0.45430124619571199</v>
      </c>
      <c r="I234" s="1">
        <v>-3.1889270865618501E-5</v>
      </c>
    </row>
    <row r="235" spans="1:9" x14ac:dyDescent="0.25">
      <c r="A235">
        <v>996.22076388448397</v>
      </c>
      <c r="B235">
        <v>21.8229835493457</v>
      </c>
      <c r="C235" s="1">
        <v>0.326775822759373</v>
      </c>
      <c r="D235" s="1">
        <v>0.17457216092466099</v>
      </c>
      <c r="E235" s="1">
        <v>-2.6421315289157098E-2</v>
      </c>
      <c r="F235" s="1">
        <v>-3.3535766611393403E-4</v>
      </c>
      <c r="G235" s="1">
        <v>3.6364317192309401E-4</v>
      </c>
      <c r="H235">
        <v>0.45464192152201299</v>
      </c>
      <c r="I235" s="1">
        <v>-3.1234318552311502E-5</v>
      </c>
    </row>
    <row r="236" spans="1:9" x14ac:dyDescent="0.25">
      <c r="A236">
        <v>1012.07358780317</v>
      </c>
      <c r="B236">
        <v>21.8262831972879</v>
      </c>
      <c r="C236" s="1">
        <v>0.32394373156421302</v>
      </c>
      <c r="D236" s="1">
        <v>0.17244748377131999</v>
      </c>
      <c r="E236" s="1">
        <v>-8.8686270329090908E-3</v>
      </c>
      <c r="F236" s="1">
        <v>-2.5422165323953598E-4</v>
      </c>
      <c r="G236" s="1">
        <v>3.59649067479694E-4</v>
      </c>
      <c r="H236">
        <v>0.454956710994671</v>
      </c>
      <c r="I236" s="1">
        <v>-3.0911810739414902E-5</v>
      </c>
    </row>
    <row r="237" spans="1:9" x14ac:dyDescent="0.25">
      <c r="A237" t="s">
        <v>500</v>
      </c>
      <c r="B237" t="s">
        <v>538</v>
      </c>
      <c r="C237" t="s">
        <v>539</v>
      </c>
      <c r="D237" t="s">
        <v>540</v>
      </c>
      <c r="E237" t="s">
        <v>541</v>
      </c>
      <c r="F237" t="s">
        <v>542</v>
      </c>
      <c r="G237" t="s">
        <v>378</v>
      </c>
      <c r="H237" t="s">
        <v>543</v>
      </c>
      <c r="I237" t="s">
        <v>537</v>
      </c>
    </row>
    <row r="238" spans="1:9" x14ac:dyDescent="0.25">
      <c r="A238">
        <v>-143.34727764129599</v>
      </c>
      <c r="B238">
        <v>-143.395320534268</v>
      </c>
      <c r="C238">
        <v>7.1127763672507102E-2</v>
      </c>
      <c r="D238" s="1">
        <v>0</v>
      </c>
      <c r="E238" s="1">
        <v>0</v>
      </c>
      <c r="F238" s="1">
        <v>0</v>
      </c>
      <c r="G238" s="1">
        <v>1.6055829936689701E-6</v>
      </c>
      <c r="H238">
        <v>7.2606142003698804E-2</v>
      </c>
      <c r="I238" s="1">
        <v>0</v>
      </c>
    </row>
    <row r="239" spans="1:9" x14ac:dyDescent="0.25">
      <c r="A239">
        <v>-130.59127092361399</v>
      </c>
      <c r="B239">
        <v>-130.638553857365</v>
      </c>
      <c r="C239">
        <v>7.1683848693737603E-2</v>
      </c>
      <c r="D239" s="1">
        <v>0</v>
      </c>
      <c r="E239" s="1">
        <v>0</v>
      </c>
      <c r="F239" s="1">
        <v>0</v>
      </c>
      <c r="G239" s="1">
        <v>2.5305910957840098E-6</v>
      </c>
      <c r="H239">
        <v>0.39490070231234098</v>
      </c>
      <c r="I239" s="1">
        <v>0</v>
      </c>
    </row>
    <row r="240" spans="1:9" x14ac:dyDescent="0.25">
      <c r="A240">
        <v>-118.88850688934301</v>
      </c>
      <c r="B240">
        <v>-118.934505492011</v>
      </c>
      <c r="C240">
        <v>7.2920308613788606E-2</v>
      </c>
      <c r="D240" s="1">
        <v>0</v>
      </c>
      <c r="E240" s="1">
        <v>0</v>
      </c>
      <c r="F240" s="1">
        <v>0</v>
      </c>
      <c r="G240" s="1">
        <v>4.2318555224518602E-6</v>
      </c>
      <c r="H240">
        <v>0.61673126298894498</v>
      </c>
      <c r="I240" s="1">
        <v>0</v>
      </c>
    </row>
    <row r="241" spans="1:9" x14ac:dyDescent="0.25">
      <c r="A241">
        <v>-108.151924610137</v>
      </c>
      <c r="B241">
        <v>-108.19634249762601</v>
      </c>
      <c r="C241">
        <v>7.50749153723973E-2</v>
      </c>
      <c r="D241" s="1">
        <v>0</v>
      </c>
      <c r="E241" s="1">
        <v>0</v>
      </c>
      <c r="F241" s="1">
        <v>0</v>
      </c>
      <c r="G241" s="1">
        <v>6.6340116857688199E-6</v>
      </c>
      <c r="H241">
        <v>0.73207175224578303</v>
      </c>
      <c r="I241" s="1">
        <v>0</v>
      </c>
    </row>
    <row r="242" spans="1:9" x14ac:dyDescent="0.25">
      <c r="A242">
        <v>-98.302001953125</v>
      </c>
      <c r="B242">
        <v>-98.344390749493797</v>
      </c>
      <c r="C242">
        <v>7.8400203705086796E-2</v>
      </c>
      <c r="D242" s="1">
        <v>0</v>
      </c>
      <c r="E242" s="1">
        <v>0</v>
      </c>
      <c r="F242" s="1">
        <v>0</v>
      </c>
      <c r="G242" s="1">
        <v>9.7568712238427207E-6</v>
      </c>
      <c r="H242">
        <v>0.79284002902783401</v>
      </c>
      <c r="I242" s="1">
        <v>0</v>
      </c>
    </row>
    <row r="243" spans="1:9" x14ac:dyDescent="0.25">
      <c r="A243">
        <v>-89.265174865722599</v>
      </c>
      <c r="B243">
        <v>-89.305549770156105</v>
      </c>
      <c r="C243">
        <v>8.31241209368727E-2</v>
      </c>
      <c r="D243" s="1">
        <v>0</v>
      </c>
      <c r="E243" s="1">
        <v>0</v>
      </c>
      <c r="F243" s="1">
        <v>0</v>
      </c>
      <c r="G243" s="1">
        <v>1.3718471148393901E-5</v>
      </c>
      <c r="H243">
        <v>0.82619359303601403</v>
      </c>
      <c r="I243" s="1">
        <v>0</v>
      </c>
    </row>
    <row r="244" spans="1:9" x14ac:dyDescent="0.25">
      <c r="A244">
        <v>-80.974688529968205</v>
      </c>
      <c r="B244">
        <v>-81.012730359593604</v>
      </c>
      <c r="C244">
        <v>8.9441939601897502E-2</v>
      </c>
      <c r="D244" s="1">
        <v>0</v>
      </c>
      <c r="E244" s="1">
        <v>0</v>
      </c>
      <c r="F244" s="1">
        <v>0</v>
      </c>
      <c r="G244" s="1">
        <v>1.8743186635639099E-5</v>
      </c>
      <c r="H244">
        <v>0.84483816550874402</v>
      </c>
      <c r="I244" s="1">
        <v>0</v>
      </c>
    </row>
    <row r="245" spans="1:9" x14ac:dyDescent="0.25">
      <c r="A245">
        <v>-73.368651866912799</v>
      </c>
      <c r="B245">
        <v>-73.404383420506704</v>
      </c>
      <c r="C245">
        <v>9.7523088101070202E-2</v>
      </c>
      <c r="D245" s="1">
        <v>0</v>
      </c>
      <c r="E245" s="1">
        <v>0</v>
      </c>
      <c r="F245" s="1">
        <v>0</v>
      </c>
      <c r="G245" s="1">
        <v>2.5180731496377E-5</v>
      </c>
      <c r="H245">
        <v>0.85507572099533102</v>
      </c>
      <c r="I245" s="1">
        <v>0</v>
      </c>
    </row>
    <row r="246" spans="1:9" x14ac:dyDescent="0.25">
      <c r="A246">
        <v>-66.390645503997803</v>
      </c>
      <c r="B246">
        <v>-66.424028783599098</v>
      </c>
      <c r="C246">
        <v>0.107523984058843</v>
      </c>
      <c r="D246" s="1">
        <v>0</v>
      </c>
      <c r="E246" s="1">
        <v>0</v>
      </c>
      <c r="F246" s="1">
        <v>0</v>
      </c>
      <c r="G246" s="1">
        <v>3.3542293246924199E-5</v>
      </c>
      <c r="H246">
        <v>0.86030450955204696</v>
      </c>
      <c r="I246" s="1">
        <v>0</v>
      </c>
    </row>
    <row r="247" spans="1:9" x14ac:dyDescent="0.25">
      <c r="A247">
        <v>-59.988870620727504</v>
      </c>
      <c r="B247">
        <v>-60.0198600287831</v>
      </c>
      <c r="C247">
        <v>0.11960278233402701</v>
      </c>
      <c r="D247" s="1">
        <v>0</v>
      </c>
      <c r="E247" s="1">
        <v>0</v>
      </c>
      <c r="F247" s="1">
        <v>0</v>
      </c>
      <c r="G247" s="1">
        <v>4.4561188756730897E-5</v>
      </c>
      <c r="H247">
        <v>0.86251939518097398</v>
      </c>
      <c r="I247" s="1">
        <v>0</v>
      </c>
    </row>
    <row r="248" spans="1:9" x14ac:dyDescent="0.25">
      <c r="A248">
        <v>-54.115540981292703</v>
      </c>
      <c r="B248">
        <v>-54.144318908015499</v>
      </c>
      <c r="C248">
        <v>0.133934677467095</v>
      </c>
      <c r="D248" s="1">
        <v>0</v>
      </c>
      <c r="E248" s="1">
        <v>0</v>
      </c>
      <c r="F248" s="1">
        <v>0</v>
      </c>
      <c r="G248" s="1">
        <v>5.9288220271014298E-5</v>
      </c>
      <c r="H248">
        <v>0.86299454532361497</v>
      </c>
      <c r="I248" s="1">
        <v>0</v>
      </c>
    </row>
    <row r="249" spans="1:9" x14ac:dyDescent="0.25">
      <c r="A249">
        <v>-48.727247714996302</v>
      </c>
      <c r="B249">
        <v>-48.753783762017498</v>
      </c>
      <c r="C249">
        <v>0.15072780491891499</v>
      </c>
      <c r="D249" s="1">
        <v>0</v>
      </c>
      <c r="E249" s="1">
        <v>0</v>
      </c>
      <c r="F249" s="1">
        <v>0</v>
      </c>
      <c r="G249" s="1">
        <v>7.9236618436340196E-5</v>
      </c>
      <c r="H249">
        <v>0.86261297303406204</v>
      </c>
      <c r="I249" s="1">
        <v>0</v>
      </c>
    </row>
    <row r="250" spans="1:9" x14ac:dyDescent="0.25">
      <c r="A250">
        <v>-43.783864974975501</v>
      </c>
      <c r="B250">
        <v>-43.808231338421102</v>
      </c>
      <c r="C250">
        <v>0.17024024378997599</v>
      </c>
      <c r="D250" s="1">
        <v>0</v>
      </c>
      <c r="E250" s="1">
        <v>0</v>
      </c>
      <c r="F250" s="1">
        <v>0</v>
      </c>
      <c r="G250" s="1">
        <v>1.06597801057262E-4</v>
      </c>
      <c r="H250">
        <v>0.86202880619202005</v>
      </c>
      <c r="I250" s="1">
        <v>0</v>
      </c>
    </row>
    <row r="251" spans="1:9" x14ac:dyDescent="0.25">
      <c r="A251">
        <v>-39.248671531677203</v>
      </c>
      <c r="B251">
        <v>-39.2709328080809</v>
      </c>
      <c r="C251">
        <v>0.19279920032317899</v>
      </c>
      <c r="D251" s="1">
        <v>0</v>
      </c>
      <c r="E251" s="1">
        <v>0</v>
      </c>
      <c r="F251" s="1">
        <v>0</v>
      </c>
      <c r="G251" s="1">
        <v>1.4455693550985399E-4</v>
      </c>
      <c r="H251">
        <v>0.86174119415938999</v>
      </c>
      <c r="I251" s="1">
        <v>0</v>
      </c>
    </row>
    <row r="252" spans="1:9" x14ac:dyDescent="0.25">
      <c r="A252">
        <v>-35.087985992431598</v>
      </c>
      <c r="B252">
        <v>-35.108199178734999</v>
      </c>
      <c r="C252">
        <v>0.218823089261377</v>
      </c>
      <c r="D252" s="1">
        <v>0</v>
      </c>
      <c r="E252" s="1">
        <v>0</v>
      </c>
      <c r="F252" s="1">
        <v>0</v>
      </c>
      <c r="G252" s="1">
        <v>1.9774698760954799E-4</v>
      </c>
      <c r="H252">
        <v>0.86212002870183901</v>
      </c>
      <c r="I252" s="1">
        <v>0</v>
      </c>
    </row>
    <row r="253" spans="1:9" x14ac:dyDescent="0.25">
      <c r="A253">
        <v>-31.270802021026601</v>
      </c>
      <c r="B253">
        <v>-31.289107709685499</v>
      </c>
      <c r="C253">
        <v>0.24884718577595699</v>
      </c>
      <c r="D253" s="1">
        <v>0</v>
      </c>
      <c r="E253" s="1">
        <v>0</v>
      </c>
      <c r="F253" s="1">
        <v>0</v>
      </c>
      <c r="G253" s="1">
        <v>2.7289164641786101E-4</v>
      </c>
      <c r="H253">
        <v>0.86340899650945402</v>
      </c>
      <c r="I253" s="1">
        <v>0</v>
      </c>
    </row>
    <row r="254" spans="1:9" x14ac:dyDescent="0.25">
      <c r="A254">
        <v>-27.7686667442321</v>
      </c>
      <c r="B254">
        <v>-27.7852967228091</v>
      </c>
      <c r="C254">
        <v>0.28355331369311898</v>
      </c>
      <c r="D254" s="1">
        <v>0</v>
      </c>
      <c r="E254" s="1">
        <v>0</v>
      </c>
      <c r="F254" s="1">
        <v>0</v>
      </c>
      <c r="G254" s="1">
        <v>3.7970332900272302E-4</v>
      </c>
      <c r="H254">
        <v>0.86572566616077995</v>
      </c>
      <c r="I254" s="1">
        <v>0</v>
      </c>
    </row>
    <row r="255" spans="1:9" x14ac:dyDescent="0.25">
      <c r="A255">
        <v>-24.555802345275801</v>
      </c>
      <c r="B255">
        <v>-24.570745214382399</v>
      </c>
      <c r="C255">
        <v>0.32380339259816499</v>
      </c>
      <c r="D255" s="1">
        <v>0</v>
      </c>
      <c r="E255" s="1">
        <v>0</v>
      </c>
      <c r="F255" s="1">
        <v>0</v>
      </c>
      <c r="G255" s="1">
        <v>5.3212531167901001E-4</v>
      </c>
      <c r="H255">
        <v>0.86907172742129601</v>
      </c>
      <c r="I255" s="1">
        <v>0</v>
      </c>
    </row>
    <row r="256" spans="1:9" x14ac:dyDescent="0.25">
      <c r="A256">
        <v>-21.608254909515299</v>
      </c>
      <c r="B256">
        <v>-21.621573365787199</v>
      </c>
      <c r="C256">
        <v>0.37067722822712301</v>
      </c>
      <c r="D256" s="1">
        <v>0</v>
      </c>
      <c r="E256" s="1">
        <v>0</v>
      </c>
      <c r="F256" s="1">
        <v>0</v>
      </c>
      <c r="G256" s="1">
        <v>7.5004139850420805E-4</v>
      </c>
      <c r="H256">
        <v>0.87335689073566203</v>
      </c>
      <c r="I256" s="1">
        <v>0</v>
      </c>
    </row>
    <row r="257" spans="1:9" x14ac:dyDescent="0.25">
      <c r="A257">
        <v>-18.904016017913801</v>
      </c>
      <c r="B257">
        <v>-18.9158791522777</v>
      </c>
      <c r="C257">
        <v>0.42551324506803201</v>
      </c>
      <c r="D257" s="1">
        <v>0</v>
      </c>
      <c r="E257" s="1">
        <v>0</v>
      </c>
      <c r="F257" s="1">
        <v>0</v>
      </c>
      <c r="G257" s="1">
        <v>1.0616275252459601E-3</v>
      </c>
      <c r="H257">
        <v>0.87843209837086</v>
      </c>
      <c r="I257" s="1">
        <v>0</v>
      </c>
    </row>
    <row r="258" spans="1:9" x14ac:dyDescent="0.25">
      <c r="A258">
        <v>-16.423144340515101</v>
      </c>
      <c r="B258">
        <v>-16.4335616524613</v>
      </c>
      <c r="C258">
        <v>0.48995298913041502</v>
      </c>
      <c r="D258" s="1">
        <v>0</v>
      </c>
      <c r="E258" s="1">
        <v>0</v>
      </c>
      <c r="F258" s="1">
        <v>0</v>
      </c>
      <c r="G258" s="1">
        <v>1.5066013447721999E-3</v>
      </c>
      <c r="H258">
        <v>0.88412350901188497</v>
      </c>
      <c r="I258" s="1">
        <v>0</v>
      </c>
    </row>
    <row r="259" spans="1:9" x14ac:dyDescent="0.25">
      <c r="A259">
        <v>-14.147036075592</v>
      </c>
      <c r="B259">
        <v>-14.156180455843201</v>
      </c>
      <c r="C259">
        <v>0.56598906082854195</v>
      </c>
      <c r="D259" s="1">
        <v>0</v>
      </c>
      <c r="E259" s="1">
        <v>0</v>
      </c>
      <c r="F259" s="1">
        <v>0</v>
      </c>
      <c r="G259" s="1">
        <v>2.1407450109336402E-3</v>
      </c>
      <c r="H259">
        <v>0.89025961024530798</v>
      </c>
      <c r="I259" s="1">
        <v>0</v>
      </c>
    </row>
    <row r="260" spans="1:9" x14ac:dyDescent="0.25">
      <c r="A260">
        <v>-12.058911323547299</v>
      </c>
      <c r="B260">
        <v>-12.0668188701665</v>
      </c>
      <c r="C260">
        <v>0.65601718765719796</v>
      </c>
      <c r="D260" s="1">
        <v>0</v>
      </c>
      <c r="E260" s="1">
        <v>0</v>
      </c>
      <c r="F260" s="1">
        <v>0</v>
      </c>
      <c r="G260" s="1">
        <v>3.04225787658651E-3</v>
      </c>
      <c r="H260">
        <v>0.89668820151818796</v>
      </c>
      <c r="I260" s="1">
        <v>0</v>
      </c>
    </row>
    <row r="261" spans="1:9" x14ac:dyDescent="0.25">
      <c r="A261">
        <v>-10.143084526061999</v>
      </c>
      <c r="B261">
        <v>-10.1499585281408</v>
      </c>
      <c r="C261">
        <v>0.76289474311579397</v>
      </c>
      <c r="D261" s="1">
        <v>0</v>
      </c>
      <c r="E261" s="1">
        <v>0</v>
      </c>
      <c r="F261" s="1">
        <v>0</v>
      </c>
      <c r="G261">
        <v>4.32076956781202E-3</v>
      </c>
      <c r="H261">
        <v>0.90328342725734101</v>
      </c>
      <c r="I261" s="1">
        <v>0</v>
      </c>
    </row>
    <row r="262" spans="1:9" x14ac:dyDescent="0.25">
      <c r="A262">
        <v>-8.3855724334716708</v>
      </c>
      <c r="B262">
        <v>-8.3913539941704496</v>
      </c>
      <c r="C262">
        <v>0.89000872801534503</v>
      </c>
      <c r="D262" s="1">
        <v>0</v>
      </c>
      <c r="E262" s="1">
        <v>0</v>
      </c>
      <c r="F262" s="1">
        <v>0</v>
      </c>
      <c r="G262">
        <v>6.1302393642108603E-3</v>
      </c>
      <c r="H262">
        <v>0.90994547481787302</v>
      </c>
      <c r="I262" s="1">
        <v>0</v>
      </c>
    </row>
    <row r="263" spans="1:9" x14ac:dyDescent="0.25">
      <c r="A263">
        <v>-6.7732429504394496</v>
      </c>
      <c r="B263">
        <v>-6.7779434691465203</v>
      </c>
      <c r="C263">
        <v>1.0413572356810601</v>
      </c>
      <c r="D263" s="1">
        <v>0</v>
      </c>
      <c r="E263" s="1">
        <v>0</v>
      </c>
      <c r="F263" s="1">
        <v>0</v>
      </c>
      <c r="G263">
        <v>8.6875457463975094E-3</v>
      </c>
      <c r="H263">
        <v>0.91659604398541905</v>
      </c>
      <c r="I263" s="1">
        <v>0</v>
      </c>
    </row>
    <row r="264" spans="1:9" x14ac:dyDescent="0.25">
      <c r="A264">
        <v>-5.2939367294311497</v>
      </c>
      <c r="B264">
        <v>-5.2977404962575703</v>
      </c>
      <c r="C264">
        <v>1.2216501671900899</v>
      </c>
      <c r="D264" s="1">
        <v>0</v>
      </c>
      <c r="E264" s="1">
        <v>0</v>
      </c>
      <c r="F264" s="1">
        <v>0</v>
      </c>
      <c r="G264">
        <v>1.22993805725855E-2</v>
      </c>
      <c r="H264">
        <v>0.923172063948973</v>
      </c>
      <c r="I264" s="1">
        <v>0</v>
      </c>
    </row>
    <row r="265" spans="1:9" x14ac:dyDescent="0.25">
      <c r="A265">
        <v>-3.9367103576660099</v>
      </c>
      <c r="B265">
        <v>-3.9397465656793398</v>
      </c>
      <c r="C265">
        <v>1.43643726923983</v>
      </c>
      <c r="D265" s="1">
        <v>0</v>
      </c>
      <c r="E265" s="1">
        <v>0</v>
      </c>
      <c r="F265" s="1">
        <v>0</v>
      </c>
      <c r="G265">
        <v>1.74011140097718E-2</v>
      </c>
      <c r="H265">
        <v>0.92961932626605304</v>
      </c>
      <c r="I265" s="1">
        <v>0</v>
      </c>
    </row>
    <row r="266" spans="1:9" x14ac:dyDescent="0.25">
      <c r="A266">
        <v>-2.6915931701660099</v>
      </c>
      <c r="B266">
        <v>-2.6938732187545602</v>
      </c>
      <c r="C266">
        <v>1.6922697043355499</v>
      </c>
      <c r="D266" s="1">
        <v>0</v>
      </c>
      <c r="E266" s="1">
        <v>0</v>
      </c>
      <c r="F266" s="1">
        <v>0</v>
      </c>
      <c r="G266">
        <v>2.4612520026494101E-2</v>
      </c>
      <c r="H266">
        <v>0.93588691136136504</v>
      </c>
      <c r="I266" s="1">
        <v>0</v>
      </c>
    </row>
    <row r="267" spans="1:9" x14ac:dyDescent="0.25">
      <c r="A267">
        <v>-1.54934406280517</v>
      </c>
      <c r="B267">
        <v>-1.5508632022238</v>
      </c>
      <c r="C267">
        <v>1.9969048522398201</v>
      </c>
      <c r="D267" s="1">
        <v>0</v>
      </c>
      <c r="E267" s="1">
        <v>0</v>
      </c>
      <c r="F267" s="1">
        <v>0</v>
      </c>
      <c r="G267">
        <v>3.4815909706594497E-2</v>
      </c>
      <c r="H267">
        <v>0.94192244970526195</v>
      </c>
      <c r="I267" s="1">
        <v>0</v>
      </c>
    </row>
    <row r="268" spans="1:9" x14ac:dyDescent="0.25">
      <c r="A268">
        <v>-0.50145149230956998</v>
      </c>
      <c r="B268">
        <v>-0.502225396717221</v>
      </c>
      <c r="C268">
        <v>2.3595558803208401</v>
      </c>
      <c r="D268" s="1">
        <v>0</v>
      </c>
      <c r="E268" s="1">
        <v>0</v>
      </c>
      <c r="F268" s="1">
        <v>0</v>
      </c>
      <c r="G268">
        <v>5.0422118292772197E-2</v>
      </c>
      <c r="H268">
        <v>0.94887366046420096</v>
      </c>
      <c r="I268" s="1">
        <v>0</v>
      </c>
    </row>
    <row r="269" spans="1:9" x14ac:dyDescent="0.25">
      <c r="A269">
        <v>0.49999237060546797</v>
      </c>
      <c r="B269">
        <v>0.499841632758943</v>
      </c>
      <c r="C269">
        <v>2.8142368614680802</v>
      </c>
      <c r="D269" s="1">
        <v>0.249005728569544</v>
      </c>
      <c r="E269" s="1">
        <v>-4.35989941497063E-4</v>
      </c>
      <c r="F269" s="1">
        <v>1.2467269851441901E-4</v>
      </c>
      <c r="G269">
        <v>7.4277337334196294E-2</v>
      </c>
      <c r="H269">
        <v>0.95543387416333203</v>
      </c>
      <c r="I269" s="1">
        <v>1.2645313511483801E-6</v>
      </c>
    </row>
    <row r="270" spans="1:9" x14ac:dyDescent="0.25">
      <c r="A270">
        <v>1.54496669769287</v>
      </c>
      <c r="B270">
        <v>1.5432561435454699</v>
      </c>
      <c r="C270">
        <v>3.4502667760534602</v>
      </c>
      <c r="D270" s="1">
        <v>0.94358955893162</v>
      </c>
      <c r="E270" s="1">
        <v>-4.3465491691613003E-3</v>
      </c>
      <c r="F270" s="1">
        <v>4.0659591366562102E-4</v>
      </c>
      <c r="G270">
        <v>0.10214483505571199</v>
      </c>
      <c r="H270">
        <v>0.95701480934252203</v>
      </c>
      <c r="I270" s="1">
        <v>4.60874841105837E-5</v>
      </c>
    </row>
    <row r="271" spans="1:9" x14ac:dyDescent="0.25">
      <c r="A271">
        <v>2.6840543746948198</v>
      </c>
      <c r="B271">
        <v>2.6690108109914901</v>
      </c>
      <c r="C271">
        <v>4.3708222641725998</v>
      </c>
      <c r="D271" s="1">
        <v>1.97980229189664</v>
      </c>
      <c r="E271" s="1">
        <v>-1.9003505347492702E-2</v>
      </c>
      <c r="F271" s="1">
        <v>7.5126011859765298E-4</v>
      </c>
      <c r="G271">
        <v>0.12552750549019401</v>
      </c>
      <c r="H271">
        <v>0.95182996686615495</v>
      </c>
      <c r="I271" s="1">
        <v>2.4811049231038702E-4</v>
      </c>
    </row>
    <row r="272" spans="1:9" x14ac:dyDescent="0.25">
      <c r="A272">
        <v>3.9255237579345699</v>
      </c>
      <c r="B272">
        <v>3.8646088181712899</v>
      </c>
      <c r="C272">
        <v>5.6189299635661802</v>
      </c>
      <c r="D272" s="1">
        <v>3.3871698195120499</v>
      </c>
      <c r="E272" s="1">
        <v>-5.2045099263064602E-2</v>
      </c>
      <c r="F272" s="1">
        <v>1.17604631639796E-3</v>
      </c>
      <c r="G272">
        <v>0.13959400877686601</v>
      </c>
      <c r="H272">
        <v>0.93966603868875798</v>
      </c>
      <c r="I272" s="1">
        <v>6.1550351131690103E-4</v>
      </c>
    </row>
    <row r="273" spans="1:9" x14ac:dyDescent="0.25">
      <c r="A273">
        <v>5.2789807319641104</v>
      </c>
      <c r="B273">
        <v>5.1031673201077803</v>
      </c>
      <c r="C273">
        <v>7.12602071671426</v>
      </c>
      <c r="D273" s="1">
        <v>5.0726620436027297</v>
      </c>
      <c r="E273" s="1">
        <v>-0.10973791962537301</v>
      </c>
      <c r="F273" s="1">
        <v>1.6789567147202499E-3</v>
      </c>
      <c r="G273">
        <v>0.14270328699808399</v>
      </c>
      <c r="H273">
        <v>0.91960422431575695</v>
      </c>
      <c r="I273" s="1">
        <v>1.3693709238718501E-3</v>
      </c>
    </row>
    <row r="274" spans="1:9" x14ac:dyDescent="0.25">
      <c r="A274">
        <v>6.7539703845977703</v>
      </c>
      <c r="B274">
        <v>6.3438126225673797</v>
      </c>
      <c r="C274">
        <v>8.6852581887797005</v>
      </c>
      <c r="D274" s="1">
        <v>6.8010720321801204</v>
      </c>
      <c r="E274" s="1">
        <v>-0.19246203279264201</v>
      </c>
      <c r="F274" s="1">
        <v>2.23158166972899E-3</v>
      </c>
      <c r="G274">
        <v>0.13974674100179199</v>
      </c>
      <c r="H274">
        <v>0.89328203813873097</v>
      </c>
      <c r="I274" s="1">
        <v>3.5494369744137198E-3</v>
      </c>
    </row>
    <row r="275" spans="1:9" x14ac:dyDescent="0.25">
      <c r="A275">
        <v>8.3618009090423495</v>
      </c>
      <c r="B275">
        <v>7.5392021901507098</v>
      </c>
      <c r="C275">
        <v>10.023426482803099</v>
      </c>
      <c r="D275" s="1">
        <v>8.2779124973631504</v>
      </c>
      <c r="E275" s="1">
        <v>-0.29291580174021498</v>
      </c>
      <c r="F275" s="1">
        <v>2.7869467034104599E-3</v>
      </c>
      <c r="G275">
        <v>0.13718001712729799</v>
      </c>
      <c r="H275">
        <v>0.86570703056541298</v>
      </c>
      <c r="I275" s="1">
        <v>8.3197816666465904E-3</v>
      </c>
    </row>
    <row r="276" spans="1:9" x14ac:dyDescent="0.25">
      <c r="A276">
        <v>10.114449262619001</v>
      </c>
      <c r="B276">
        <v>8.6476189074755805</v>
      </c>
      <c r="C276">
        <v>10.9302501608908</v>
      </c>
      <c r="D276" s="1">
        <v>9.2853231038927309</v>
      </c>
      <c r="E276" s="1">
        <v>-0.39903623939607302</v>
      </c>
      <c r="F276" s="1">
        <v>3.3002534889213899E-3</v>
      </c>
      <c r="G276">
        <v>0.13749158051263199</v>
      </c>
      <c r="H276">
        <v>0.84108440222099701</v>
      </c>
      <c r="I276" s="1">
        <v>1.35662462530152E-2</v>
      </c>
    </row>
    <row r="277" spans="1:9" x14ac:dyDescent="0.25">
      <c r="A277">
        <v>12.0248043537139</v>
      </c>
      <c r="B277">
        <v>9.6427823011481397</v>
      </c>
      <c r="C277">
        <v>11.337100452510599</v>
      </c>
      <c r="D277" s="1">
        <v>9.7590078136102196</v>
      </c>
      <c r="E277" s="1">
        <v>-0.49957113128018199</v>
      </c>
      <c r="F277" s="1">
        <v>3.7480971702252199E-3</v>
      </c>
      <c r="G277">
        <v>0.138665881735479</v>
      </c>
      <c r="H277">
        <v>0.81933028023138899</v>
      </c>
      <c r="I277" s="1">
        <v>1.4478956923532601E-2</v>
      </c>
    </row>
    <row r="278" spans="1:9" x14ac:dyDescent="0.25">
      <c r="A278">
        <v>14.106971025466899</v>
      </c>
      <c r="B278">
        <v>10.5162098458686</v>
      </c>
      <c r="C278">
        <v>11.299788384349</v>
      </c>
      <c r="D278" s="1">
        <v>9.7645567290444308</v>
      </c>
      <c r="E278" s="1">
        <v>-0.58767627319539895</v>
      </c>
      <c r="F278" s="1">
        <v>4.11008949877979E-3</v>
      </c>
      <c r="G278">
        <v>0.137531504029519</v>
      </c>
      <c r="H278">
        <v>0.79827616087472597</v>
      </c>
      <c r="I278" s="1">
        <v>9.7440857903964492E-3</v>
      </c>
    </row>
    <row r="279" spans="1:9" x14ac:dyDescent="0.25">
      <c r="A279">
        <v>16.3765740394592</v>
      </c>
      <c r="B279">
        <v>11.273042784509901</v>
      </c>
      <c r="C279">
        <v>10.9331995856337</v>
      </c>
      <c r="D279" s="1">
        <v>9.4266094237509694</v>
      </c>
      <c r="E279" s="1">
        <v>-0.66104733559383599</v>
      </c>
      <c r="F279" s="1">
        <v>4.3578364873505301E-3</v>
      </c>
      <c r="G279">
        <v>0.13259436726436</v>
      </c>
      <c r="H279">
        <v>0.776358052005101</v>
      </c>
      <c r="I279" s="1">
        <v>2.2199703688235402E-3</v>
      </c>
    </row>
    <row r="280" spans="1:9" x14ac:dyDescent="0.25">
      <c r="A280">
        <v>18.850514888763399</v>
      </c>
      <c r="B280">
        <v>11.925754422759301</v>
      </c>
      <c r="C280">
        <v>10.356065197993299</v>
      </c>
      <c r="D280">
        <v>8.8712157200100208</v>
      </c>
      <c r="E280">
        <v>-0.72030520770769302</v>
      </c>
      <c r="F280" s="1">
        <v>4.4630508780286399E-3</v>
      </c>
      <c r="G280">
        <v>0.12435138302644</v>
      </c>
      <c r="H280">
        <v>0.75310075667780896</v>
      </c>
      <c r="I280" s="1">
        <v>-4.9554611258394998E-3</v>
      </c>
    </row>
    <row r="281" spans="1:9" x14ac:dyDescent="0.25">
      <c r="A281">
        <v>21.5470933914184</v>
      </c>
      <c r="B281">
        <v>12.489154465934</v>
      </c>
      <c r="C281">
        <v>9.6649668172176408</v>
      </c>
      <c r="D281">
        <v>8.1994737335719101</v>
      </c>
      <c r="E281">
        <v>-0.76734636374001997</v>
      </c>
      <c r="F281" s="1">
        <v>4.40720592527834E-3</v>
      </c>
      <c r="G281">
        <v>0.114194256963478</v>
      </c>
      <c r="H281">
        <v>0.72872037377468601</v>
      </c>
      <c r="I281" s="1">
        <v>-1.03154973862316E-2</v>
      </c>
    </row>
    <row r="282" spans="1:9" x14ac:dyDescent="0.25">
      <c r="A282">
        <v>24.4862508773803</v>
      </c>
      <c r="B282">
        <v>12.9776230049037</v>
      </c>
      <c r="C282">
        <v>8.9295513662364101</v>
      </c>
      <c r="D282">
        <v>7.4832997229670202</v>
      </c>
      <c r="E282">
        <v>-0.80431930600294499</v>
      </c>
      <c r="F282" s="1">
        <v>4.1955925649070896E-3</v>
      </c>
      <c r="G282">
        <v>0.103425443406016</v>
      </c>
      <c r="H282">
        <v>0.70374949734234804</v>
      </c>
      <c r="I282" s="1">
        <v>-1.37084879610636E-2</v>
      </c>
    </row>
    <row r="283" spans="1:9" x14ac:dyDescent="0.25">
      <c r="A283">
        <v>27.690056562423699</v>
      </c>
      <c r="B283">
        <v>13.404018549686</v>
      </c>
      <c r="C283">
        <v>8.1965914036118193</v>
      </c>
      <c r="D283">
        <v>6.7701415782040799</v>
      </c>
      <c r="E283">
        <v>-0.833182258959134</v>
      </c>
      <c r="F283">
        <v>3.8439074566669201E-3</v>
      </c>
      <c r="G283">
        <v>9.2887791965118705E-2</v>
      </c>
      <c r="H283">
        <v>0.678838392915464</v>
      </c>
      <c r="I283" s="1">
        <v>-1.55008202103283E-2</v>
      </c>
    </row>
    <row r="284" spans="1:9" x14ac:dyDescent="0.25">
      <c r="A284">
        <v>31.182160377502399</v>
      </c>
      <c r="B284">
        <v>13.7794393547528</v>
      </c>
      <c r="C284">
        <v>7.4957647470000603</v>
      </c>
      <c r="D284">
        <v>6.08956847276621</v>
      </c>
      <c r="E284">
        <v>-0.85557523221222598</v>
      </c>
      <c r="F284">
        <v>3.38471279795005E-3</v>
      </c>
      <c r="G284">
        <v>8.2988632061241102E-2</v>
      </c>
      <c r="H284">
        <v>0.65462020305019997</v>
      </c>
      <c r="I284">
        <v>-1.6120247880439399E-2</v>
      </c>
    </row>
    <row r="285" spans="1:9" x14ac:dyDescent="0.25">
      <c r="A285">
        <v>34.988522529602001</v>
      </c>
      <c r="B285">
        <v>14.1133117642903</v>
      </c>
      <c r="C285">
        <v>6.84448549272929</v>
      </c>
      <c r="D285">
        <v>5.4586976886362599</v>
      </c>
      <c r="E285">
        <v>-0.87280136929816599</v>
      </c>
      <c r="F285">
        <v>2.85292041042623E-3</v>
      </c>
      <c r="G285">
        <v>7.38602250704187E-2</v>
      </c>
      <c r="H285">
        <v>0.63164648335745299</v>
      </c>
      <c r="I285">
        <v>-1.5914599867829698E-2</v>
      </c>
    </row>
    <row r="286" spans="1:9" x14ac:dyDescent="0.25">
      <c r="A286">
        <v>39.137535095214801</v>
      </c>
      <c r="B286">
        <v>14.413556453278</v>
      </c>
      <c r="C286">
        <v>6.2517395926988604</v>
      </c>
      <c r="D286">
        <v>4.8862785524373802</v>
      </c>
      <c r="E286">
        <v>-0.88586846160014598</v>
      </c>
      <c r="F286" s="1">
        <v>2.2746224899045202E-3</v>
      </c>
      <c r="G286">
        <v>6.5501929390224894E-2</v>
      </c>
      <c r="H286">
        <v>0.61030159448763199</v>
      </c>
      <c r="I286">
        <v>-1.51460502007298E-2</v>
      </c>
    </row>
    <row r="287" spans="1:9" x14ac:dyDescent="0.25">
      <c r="A287">
        <v>43.659839630126903</v>
      </c>
      <c r="B287">
        <v>14.686762743135599</v>
      </c>
      <c r="C287">
        <v>5.7206368590413996</v>
      </c>
      <c r="D287">
        <v>4.3754588766069897</v>
      </c>
      <c r="E287">
        <v>-0.89552448179714195</v>
      </c>
      <c r="F287">
        <v>1.6978755456004801E-3</v>
      </c>
      <c r="G287">
        <v>5.7884929565969002E-2</v>
      </c>
      <c r="H287">
        <v>0.59078769932649899</v>
      </c>
      <c r="I287">
        <v>-1.4021479005090799E-2</v>
      </c>
    </row>
    <row r="288" spans="1:9" x14ac:dyDescent="0.25">
      <c r="A288">
        <v>48.589299917220998</v>
      </c>
      <c r="B288">
        <v>14.9383933157378</v>
      </c>
      <c r="C288">
        <v>5.2503048600556204</v>
      </c>
      <c r="D288">
        <v>3.92569214275801</v>
      </c>
      <c r="E288">
        <v>-0.90232530934794297</v>
      </c>
      <c r="F288">
        <v>1.15555311004453E-3</v>
      </c>
      <c r="G288">
        <v>5.09883076206347E-2</v>
      </c>
      <c r="H288">
        <v>0.57312960574849403</v>
      </c>
      <c r="I288">
        <v>-1.2710351395871599E-2</v>
      </c>
    </row>
    <row r="289" spans="1:9" x14ac:dyDescent="0.25">
      <c r="A289">
        <v>53.962393999099703</v>
      </c>
      <c r="B289">
        <v>15.1729647037291</v>
      </c>
      <c r="C289">
        <v>4.8372723205829899</v>
      </c>
      <c r="D289">
        <v>3.5338501312778599</v>
      </c>
      <c r="E289">
        <v>-0.90671633887334002</v>
      </c>
      <c r="F289">
        <v>6.9822225594217302E-4</v>
      </c>
      <c r="G289">
        <v>4.4808445864908897E-2</v>
      </c>
      <c r="H289">
        <v>0.55725447277476403</v>
      </c>
      <c r="I289">
        <v>-1.1351045530746499E-2</v>
      </c>
    </row>
    <row r="290" spans="1:9" x14ac:dyDescent="0.25">
      <c r="A290">
        <v>59.819004535674999</v>
      </c>
      <c r="B290">
        <v>15.394200232317401</v>
      </c>
      <c r="C290">
        <v>4.4765814251149996</v>
      </c>
      <c r="D290">
        <v>3.1952716025607901</v>
      </c>
      <c r="E290">
        <v>-0.909065642920595</v>
      </c>
      <c r="F290">
        <v>3.7758447369564698E-4</v>
      </c>
      <c r="G290">
        <v>3.93294095705084E-2</v>
      </c>
      <c r="H290">
        <v>0.54297079278983995</v>
      </c>
      <c r="I290">
        <v>-1.0037790569547501E-2</v>
      </c>
    </row>
    <row r="291" spans="1:9" x14ac:dyDescent="0.25">
      <c r="A291">
        <v>66.2026619911193</v>
      </c>
      <c r="B291">
        <v>15.6051487629019</v>
      </c>
      <c r="C291">
        <v>4.1624142275395499</v>
      </c>
      <c r="D291">
        <v>2.9042985948818201</v>
      </c>
      <c r="E291">
        <v>-0.90968279448525502</v>
      </c>
      <c r="F291">
        <v>1.43191232003362E-4</v>
      </c>
      <c r="G291">
        <v>3.4521611775014199E-2</v>
      </c>
      <c r="H291">
        <v>0.53003975908185597</v>
      </c>
      <c r="I291">
        <v>-8.8307544903527997E-3</v>
      </c>
    </row>
    <row r="292" spans="1:9" x14ac:dyDescent="0.25">
      <c r="A292">
        <v>73.160848617553697</v>
      </c>
      <c r="B292">
        <v>15.808323860605899</v>
      </c>
      <c r="C292">
        <v>3.88865921131582</v>
      </c>
      <c r="D292">
        <v>2.6549699992803601</v>
      </c>
      <c r="E292">
        <v>-0.908817227118354</v>
      </c>
      <c r="F292" s="1">
        <v>-6.0529521873128502E-5</v>
      </c>
      <c r="G292">
        <v>3.0335199842139102E-2</v>
      </c>
      <c r="H292">
        <v>0.51810106553868196</v>
      </c>
      <c r="I292">
        <v>-7.7580683652088197E-3</v>
      </c>
    </row>
    <row r="293" spans="1:9" x14ac:dyDescent="0.25">
      <c r="A293">
        <v>80.745424032211304</v>
      </c>
      <c r="B293">
        <v>16.0057897646629</v>
      </c>
      <c r="C293">
        <v>3.64936855912674</v>
      </c>
      <c r="D293">
        <v>2.4413923680436098</v>
      </c>
      <c r="E293">
        <v>-0.90667864974961498</v>
      </c>
      <c r="F293">
        <v>-2.37227581711192E-4</v>
      </c>
      <c r="G293">
        <v>2.67162443956118E-2</v>
      </c>
      <c r="H293">
        <v>0.50701052102419597</v>
      </c>
      <c r="I293">
        <v>-6.8268154984189996E-3</v>
      </c>
    </row>
    <row r="294" spans="1:9" x14ac:dyDescent="0.25">
      <c r="A294">
        <v>89.012442827224703</v>
      </c>
      <c r="B294">
        <v>16.199220285256999</v>
      </c>
      <c r="C294">
        <v>3.4391437449812599</v>
      </c>
      <c r="D294">
        <v>2.25812613875497</v>
      </c>
      <c r="E294">
        <v>-0.90340382543032305</v>
      </c>
      <c r="F294">
        <v>-3.2605727659942803E-4</v>
      </c>
      <c r="G294">
        <v>2.3597175761869899E-2</v>
      </c>
      <c r="H294">
        <v>0.49661381677621302</v>
      </c>
      <c r="I294">
        <v>-6.0259226605640301E-3</v>
      </c>
    </row>
    <row r="295" spans="1:9" x14ac:dyDescent="0.25">
      <c r="A295">
        <v>98.0235528945922</v>
      </c>
      <c r="B295">
        <v>16.389977649291701</v>
      </c>
      <c r="C295">
        <v>3.2531229965570598</v>
      </c>
      <c r="D295">
        <v>2.1002400993980901</v>
      </c>
      <c r="E295">
        <v>-0.89908229301158205</v>
      </c>
      <c r="F295">
        <v>-1.6923571081585599E-4</v>
      </c>
      <c r="G295">
        <v>2.0911351686653899E-2</v>
      </c>
      <c r="H295">
        <v>0.48675273152280202</v>
      </c>
      <c r="I295">
        <v>-5.3394149894869696E-3</v>
      </c>
    </row>
    <row r="296" spans="1:9" x14ac:dyDescent="0.25">
      <c r="A296">
        <v>107.845630645751</v>
      </c>
      <c r="B296">
        <v>16.579216994782598</v>
      </c>
      <c r="C296">
        <v>3.0870844351738902</v>
      </c>
      <c r="D296">
        <v>1.9633601909770999</v>
      </c>
      <c r="E296">
        <v>-0.89374597064537797</v>
      </c>
      <c r="F296">
        <v>2.6180353496596699E-4</v>
      </c>
      <c r="G296">
        <v>1.8601329997492599E-2</v>
      </c>
      <c r="H296">
        <v>0.47735550421451001</v>
      </c>
      <c r="I296">
        <v>-4.7528396196648099E-3</v>
      </c>
    </row>
    <row r="297" spans="1:9" x14ac:dyDescent="0.25">
      <c r="A297">
        <v>118.551753759384</v>
      </c>
      <c r="B297">
        <v>16.768045012345201</v>
      </c>
      <c r="C297">
        <v>2.9374311725405202</v>
      </c>
      <c r="D297">
        <v>1.8436148632642599</v>
      </c>
      <c r="E297">
        <v>-0.88735588872781201</v>
      </c>
      <c r="F297">
        <v>8.5204364986743799E-4</v>
      </c>
      <c r="G297">
        <v>1.6616375741945098E-2</v>
      </c>
      <c r="H297">
        <v>0.46851567079784101</v>
      </c>
      <c r="I297">
        <v>-4.2532455696945998E-3</v>
      </c>
    </row>
    <row r="298" spans="1:9" x14ac:dyDescent="0.25">
      <c r="A298">
        <v>130.22150516510001</v>
      </c>
      <c r="B298">
        <v>16.957508545806299</v>
      </c>
      <c r="C298">
        <v>2.8016585159093599</v>
      </c>
      <c r="D298">
        <v>1.73823898969712</v>
      </c>
      <c r="E298">
        <v>-0.87992092382884701</v>
      </c>
      <c r="F298">
        <v>1.5666197773745801E-3</v>
      </c>
      <c r="G298">
        <v>1.49059264618922E-2</v>
      </c>
      <c r="H298">
        <v>0.46010803301985798</v>
      </c>
      <c r="I298">
        <v>-3.8264536053242201E-3</v>
      </c>
    </row>
    <row r="299" spans="1:9" x14ac:dyDescent="0.25">
      <c r="A299">
        <v>142.941337823867</v>
      </c>
      <c r="B299">
        <v>17.148547094752701</v>
      </c>
      <c r="C299">
        <v>2.6781604623465598</v>
      </c>
      <c r="D299">
        <v>1.6451783371701201</v>
      </c>
      <c r="E299">
        <v>-0.871312568497145</v>
      </c>
      <c r="F299">
        <v>2.1149200754816402E-3</v>
      </c>
      <c r="G299">
        <v>1.34245678084438E-2</v>
      </c>
      <c r="H299">
        <v>0.45174529234295602</v>
      </c>
      <c r="I299">
        <v>-3.4575324854699799E-3</v>
      </c>
    </row>
    <row r="300" spans="1:9" x14ac:dyDescent="0.25">
      <c r="A300">
        <v>156.806094646453</v>
      </c>
      <c r="B300">
        <v>17.341882620444199</v>
      </c>
      <c r="C300">
        <v>2.5648339972576601</v>
      </c>
      <c r="D300">
        <v>1.5619884692653401</v>
      </c>
      <c r="E300">
        <v>-0.86169528294120501</v>
      </c>
      <c r="F300">
        <v>2.3727018536885401E-3</v>
      </c>
      <c r="G300">
        <v>1.2144954134008601E-2</v>
      </c>
      <c r="H300">
        <v>0.44336220286725597</v>
      </c>
      <c r="I300">
        <v>-3.1398207097642402E-3</v>
      </c>
    </row>
    <row r="301" spans="1:9" x14ac:dyDescent="0.25">
      <c r="A301">
        <v>171.91864371299701</v>
      </c>
      <c r="B301">
        <v>17.538177237352102</v>
      </c>
      <c r="C301">
        <v>2.4618177445518001</v>
      </c>
      <c r="D301">
        <v>1.48735203682796</v>
      </c>
      <c r="E301">
        <v>-0.85067942577800404</v>
      </c>
      <c r="F301">
        <v>2.5565120189602101E-3</v>
      </c>
      <c r="G301">
        <v>1.10299044173875E-2</v>
      </c>
      <c r="H301">
        <v>0.43247105113017198</v>
      </c>
      <c r="I301">
        <v>-2.8717141329737601E-3</v>
      </c>
    </row>
    <row r="302" spans="1:9" x14ac:dyDescent="0.25">
      <c r="A302">
        <v>187.726768255233</v>
      </c>
      <c r="B302">
        <v>17.729815204133899</v>
      </c>
      <c r="C302">
        <v>2.3706685027718701</v>
      </c>
      <c r="D302">
        <v>1.42234004733478</v>
      </c>
      <c r="E302">
        <v>-0.83881746908967703</v>
      </c>
      <c r="F302">
        <v>2.7133016017470198E-3</v>
      </c>
      <c r="G302">
        <v>9.9723149542176297E-3</v>
      </c>
      <c r="H302">
        <v>0.43527539009893401</v>
      </c>
      <c r="I302">
        <v>-2.5434866883752602E-3</v>
      </c>
    </row>
    <row r="303" spans="1:9" x14ac:dyDescent="0.25">
      <c r="A303">
        <v>203.579578399658</v>
      </c>
      <c r="B303">
        <v>17.910068031837898</v>
      </c>
      <c r="C303">
        <v>2.2910427874194199</v>
      </c>
      <c r="D303">
        <v>1.36633402786981</v>
      </c>
      <c r="E303">
        <v>-0.82647679788609696</v>
      </c>
      <c r="F303">
        <v>2.8643941858251302E-3</v>
      </c>
      <c r="G303">
        <v>9.0977558751860702E-3</v>
      </c>
      <c r="H303">
        <v>0.436196559160208</v>
      </c>
      <c r="I303">
        <v>-2.2781536730185998E-3</v>
      </c>
    </row>
    <row r="304" spans="1:9" x14ac:dyDescent="0.25">
      <c r="A304">
        <v>219.43238854408199</v>
      </c>
      <c r="B304">
        <v>18.080092758377699</v>
      </c>
      <c r="C304">
        <v>2.2189252363205001</v>
      </c>
      <c r="D304">
        <v>1.31647323058414</v>
      </c>
      <c r="E304">
        <v>-0.81387890679210395</v>
      </c>
      <c r="F304">
        <v>2.9861052455605898E-3</v>
      </c>
      <c r="G304">
        <v>8.3785793079463097E-3</v>
      </c>
      <c r="H304">
        <v>0.43675115321808</v>
      </c>
      <c r="I304">
        <v>-2.06338506169187E-3</v>
      </c>
    </row>
    <row r="305" spans="1:9" x14ac:dyDescent="0.25">
      <c r="A305">
        <v>235.28525948524401</v>
      </c>
      <c r="B305">
        <v>18.2412430611157</v>
      </c>
      <c r="C305">
        <v>2.1525681473576701</v>
      </c>
      <c r="D305">
        <v>1.2715307444372199</v>
      </c>
      <c r="E305">
        <v>-0.80083773902290201</v>
      </c>
      <c r="F305">
        <v>2.7400054826862302E-3</v>
      </c>
      <c r="G305">
        <v>7.7688343560040297E-3</v>
      </c>
      <c r="H305">
        <v>0.43707682189903302</v>
      </c>
      <c r="I305">
        <v>-1.88279905505687E-3</v>
      </c>
    </row>
    <row r="306" spans="1:9" x14ac:dyDescent="0.25">
      <c r="A306">
        <v>251.13806962966899</v>
      </c>
      <c r="B306">
        <v>18.394614231278801</v>
      </c>
      <c r="C306">
        <v>2.0903946144244401</v>
      </c>
      <c r="D306">
        <v>1.2305598737859</v>
      </c>
      <c r="E306">
        <v>-0.78756798166713904</v>
      </c>
      <c r="F306">
        <v>2.5128630375599601E-3</v>
      </c>
      <c r="G306">
        <v>7.24168973234059E-3</v>
      </c>
      <c r="H306">
        <v>0.437517500744663</v>
      </c>
      <c r="I306">
        <v>-1.72764087245416E-3</v>
      </c>
    </row>
    <row r="307" spans="1:9" x14ac:dyDescent="0.25">
      <c r="A307">
        <v>266.99081897735499</v>
      </c>
      <c r="B307">
        <v>18.5412578624391</v>
      </c>
      <c r="C307">
        <v>2.0317226362749299</v>
      </c>
      <c r="D307">
        <v>1.1928016453857899</v>
      </c>
      <c r="E307">
        <v>-0.77394705919000994</v>
      </c>
      <c r="F307">
        <v>2.5042894802549298E-3</v>
      </c>
      <c r="G307">
        <v>6.7780319668241497E-3</v>
      </c>
      <c r="H307">
        <v>0.438100094618256</v>
      </c>
      <c r="I307">
        <v>-1.59304550734052E-3</v>
      </c>
    </row>
    <row r="308" spans="1:9" x14ac:dyDescent="0.25">
      <c r="A308">
        <v>282.84362912178</v>
      </c>
      <c r="B308">
        <v>18.682085905661499</v>
      </c>
      <c r="C308">
        <v>1.9762301370519699</v>
      </c>
      <c r="D308">
        <v>1.15763437477279</v>
      </c>
      <c r="E308">
        <v>-0.76009261245910598</v>
      </c>
      <c r="F308" s="1">
        <v>2.7703865246274202E-3</v>
      </c>
      <c r="G308">
        <v>6.3619405505785697E-3</v>
      </c>
      <c r="H308">
        <v>0.43849232641512498</v>
      </c>
      <c r="I308">
        <v>-1.4735702394505601E-3</v>
      </c>
    </row>
    <row r="309" spans="1:9" x14ac:dyDescent="0.25">
      <c r="A309">
        <v>298.69643926620398</v>
      </c>
      <c r="B309">
        <v>18.817708228220901</v>
      </c>
      <c r="C309">
        <v>1.9232344058309501</v>
      </c>
      <c r="D309">
        <v>1.12423954116904</v>
      </c>
      <c r="E309">
        <v>-0.74599745906506898</v>
      </c>
      <c r="F309">
        <v>2.9454154750451901E-3</v>
      </c>
      <c r="G309">
        <v>5.98288111606391E-3</v>
      </c>
      <c r="H309">
        <v>0.43877999616198099</v>
      </c>
      <c r="I309">
        <v>-1.36589476706145E-3</v>
      </c>
    </row>
    <row r="310" spans="1:9" x14ac:dyDescent="0.25">
      <c r="A310">
        <v>314.54931020736598</v>
      </c>
      <c r="B310">
        <v>18.948440213193798</v>
      </c>
      <c r="C310">
        <v>1.8720689360179601</v>
      </c>
      <c r="D310">
        <v>1.09239333049964</v>
      </c>
      <c r="E310">
        <v>-0.73176586854150505</v>
      </c>
      <c r="F310">
        <v>2.81553196928034E-3</v>
      </c>
      <c r="G310">
        <v>5.6383643847842096E-3</v>
      </c>
      <c r="H310">
        <v>0.43911227943081799</v>
      </c>
      <c r="I310">
        <v>-1.2690253037450599E-3</v>
      </c>
    </row>
    <row r="311" spans="1:9" x14ac:dyDescent="0.25">
      <c r="A311">
        <v>330.40212035179098</v>
      </c>
      <c r="B311">
        <v>19.074645691057398</v>
      </c>
      <c r="C311">
        <v>1.8222943182081499</v>
      </c>
      <c r="D311">
        <v>1.0616136429633201</v>
      </c>
      <c r="E311">
        <v>-0.71734856504411804</v>
      </c>
      <c r="F311">
        <v>2.48145113974341E-3</v>
      </c>
      <c r="G311">
        <v>5.32429735181975E-3</v>
      </c>
      <c r="H311">
        <v>0.439643182427357</v>
      </c>
      <c r="I311">
        <v>-1.1820476276283901E-3</v>
      </c>
    </row>
    <row r="312" spans="1:9" x14ac:dyDescent="0.25">
      <c r="A312">
        <v>346.25493049621502</v>
      </c>
      <c r="B312">
        <v>19.196749289026201</v>
      </c>
      <c r="C312">
        <v>1.77415858511267</v>
      </c>
      <c r="D312">
        <v>1.03196994397681</v>
      </c>
      <c r="E312">
        <v>-0.70275977116104105</v>
      </c>
      <c r="F312">
        <v>2.0544809217506199E-3</v>
      </c>
      <c r="G312">
        <v>5.0312037667855801E-3</v>
      </c>
      <c r="H312">
        <v>0.43991439800580401</v>
      </c>
      <c r="I312">
        <v>-1.1003300875056399E-3</v>
      </c>
    </row>
    <row r="313" spans="1:9" x14ac:dyDescent="0.25">
      <c r="A313">
        <v>362.10780143737702</v>
      </c>
      <c r="B313">
        <v>19.314946696599598</v>
      </c>
      <c r="C313">
        <v>1.7274554567848099</v>
      </c>
      <c r="D313">
        <v>1.0033463107221201</v>
      </c>
      <c r="E313">
        <v>-0.68799733602208901</v>
      </c>
      <c r="F313">
        <v>1.83958499130052E-3</v>
      </c>
      <c r="G313">
        <v>4.7562754736144497E-3</v>
      </c>
      <c r="H313">
        <v>0.43996715130909397</v>
      </c>
      <c r="I313">
        <v>-1.0247962375382899E-3</v>
      </c>
    </row>
    <row r="314" spans="1:9" x14ac:dyDescent="0.25">
      <c r="A314">
        <v>377.96061158180203</v>
      </c>
      <c r="B314">
        <v>19.429446902563502</v>
      </c>
      <c r="C314">
        <v>1.6817754486055401</v>
      </c>
      <c r="D314">
        <v>0.97556715241776004</v>
      </c>
      <c r="E314">
        <v>-0.67312553550256204</v>
      </c>
      <c r="F314">
        <v>1.8069217293289299E-3</v>
      </c>
      <c r="G314">
        <v>4.4988990089627296E-3</v>
      </c>
      <c r="H314">
        <v>0.44016917849471698</v>
      </c>
      <c r="I314">
        <v>-9.54855722930311E-4</v>
      </c>
    </row>
    <row r="315" spans="1:9" x14ac:dyDescent="0.25">
      <c r="A315">
        <v>393.81348252296402</v>
      </c>
      <c r="B315">
        <v>19.540478844633</v>
      </c>
      <c r="C315">
        <v>1.63674799000546</v>
      </c>
      <c r="D315">
        <v>0.94819186417510404</v>
      </c>
      <c r="E315">
        <v>-0.65811312918537801</v>
      </c>
      <c r="F315">
        <v>1.8960197469237499E-3</v>
      </c>
      <c r="G315">
        <v>4.2564704281212104E-3</v>
      </c>
      <c r="H315">
        <v>0.44052689173616399</v>
      </c>
      <c r="I315">
        <v>-8.8917796754259097E-4</v>
      </c>
    </row>
    <row r="316" spans="1:9" x14ac:dyDescent="0.25">
      <c r="A316">
        <v>409.66629266738801</v>
      </c>
      <c r="B316">
        <v>19.648323707719999</v>
      </c>
      <c r="C316">
        <v>1.5924261886084401</v>
      </c>
      <c r="D316">
        <v>0.92132845456689705</v>
      </c>
      <c r="E316">
        <v>-0.64294883099120204</v>
      </c>
      <c r="F316">
        <v>2.0044762781218999E-3</v>
      </c>
      <c r="G316">
        <v>4.0277618361764696E-3</v>
      </c>
      <c r="H316">
        <v>0.440875542379768</v>
      </c>
      <c r="I316">
        <v>-8.28015541413077E-4</v>
      </c>
    </row>
    <row r="317" spans="1:9" x14ac:dyDescent="0.25">
      <c r="A317">
        <v>425.519042015075</v>
      </c>
      <c r="B317">
        <v>19.753199980100302</v>
      </c>
      <c r="C317">
        <v>1.54855633427359</v>
      </c>
      <c r="D317">
        <v>0.89499758766920701</v>
      </c>
      <c r="E317">
        <v>-0.62767702147731097</v>
      </c>
      <c r="F317">
        <v>1.9602583185048201E-3</v>
      </c>
      <c r="G317">
        <v>3.8107936307309001E-3</v>
      </c>
      <c r="H317">
        <v>0.44121323435505799</v>
      </c>
      <c r="I317">
        <v>-7.7102786017330897E-4</v>
      </c>
    </row>
    <row r="318" spans="1:9" x14ac:dyDescent="0.25">
      <c r="A318">
        <v>441.371912956237</v>
      </c>
      <c r="B318">
        <v>19.8550658640169</v>
      </c>
      <c r="C318">
        <v>1.5048397705413601</v>
      </c>
      <c r="D318">
        <v>0.86895616173434997</v>
      </c>
      <c r="E318">
        <v>-0.61228806387422996</v>
      </c>
      <c r="F318">
        <v>1.8252144587939301E-3</v>
      </c>
      <c r="G318">
        <v>3.6024757494513399E-3</v>
      </c>
      <c r="H318">
        <v>0.44138122212898601</v>
      </c>
      <c r="I318">
        <v>-7.1646116356027898E-4</v>
      </c>
    </row>
    <row r="319" spans="1:9" x14ac:dyDescent="0.25">
      <c r="A319">
        <v>457.22478389739899</v>
      </c>
      <c r="B319">
        <v>19.9539099600815</v>
      </c>
      <c r="C319">
        <v>1.46143085253243</v>
      </c>
      <c r="D319">
        <v>0.84316673758096905</v>
      </c>
      <c r="E319">
        <v>-0.59679953952838105</v>
      </c>
      <c r="F319">
        <v>1.68272865617817E-3</v>
      </c>
      <c r="G319">
        <v>3.40324344037232E-3</v>
      </c>
      <c r="H319">
        <v>0.441444526331295</v>
      </c>
      <c r="I319">
        <v>-6.6513451383455905E-4</v>
      </c>
    </row>
    <row r="320" spans="1:9" x14ac:dyDescent="0.25">
      <c r="A320">
        <v>473.07753324508599</v>
      </c>
      <c r="B320">
        <v>20.049824413349501</v>
      </c>
      <c r="C320">
        <v>1.4184082363044499</v>
      </c>
      <c r="D320">
        <v>0.81774710889584101</v>
      </c>
      <c r="E320">
        <v>-0.58119954638570104</v>
      </c>
      <c r="F320" s="1">
        <v>1.67203116195115E-3</v>
      </c>
      <c r="G320">
        <v>3.21293369442876E-3</v>
      </c>
      <c r="H320">
        <v>0.44140553051023201</v>
      </c>
      <c r="I320">
        <v>-6.1671599004869504E-4</v>
      </c>
    </row>
    <row r="321" spans="1:9" x14ac:dyDescent="0.25">
      <c r="A321">
        <v>488.93034338951099</v>
      </c>
      <c r="B321">
        <v>20.143015362759702</v>
      </c>
      <c r="C321">
        <v>1.3755450612279601</v>
      </c>
      <c r="D321">
        <v>0.79259044583120397</v>
      </c>
      <c r="E321">
        <v>-0.56547174013402202</v>
      </c>
      <c r="F321">
        <v>1.7007970321173799E-3</v>
      </c>
      <c r="G321">
        <v>3.0332639857633798E-3</v>
      </c>
      <c r="H321">
        <v>0.44162003857729798</v>
      </c>
      <c r="I321">
        <v>-5.7156282125709105E-4</v>
      </c>
    </row>
    <row r="322" spans="1:9" x14ac:dyDescent="0.25">
      <c r="A322">
        <v>504.78321433067299</v>
      </c>
      <c r="B322">
        <v>20.233597752144298</v>
      </c>
      <c r="C322">
        <v>1.33302690828713</v>
      </c>
      <c r="D322" s="1">
        <v>0.76773053730160301</v>
      </c>
      <c r="E322" s="1">
        <v>-0.549653230415724</v>
      </c>
      <c r="F322" s="1">
        <v>1.71870258104132E-3</v>
      </c>
      <c r="G322" s="1">
        <v>2.8620263726260101E-3</v>
      </c>
      <c r="H322">
        <v>0.44186748439791201</v>
      </c>
      <c r="I322" s="1">
        <v>-5.2892299646719199E-4</v>
      </c>
    </row>
    <row r="323" spans="1:9" x14ac:dyDescent="0.25">
      <c r="A323">
        <v>520.63602447509697</v>
      </c>
      <c r="B323">
        <v>20.3215867806875</v>
      </c>
      <c r="C323">
        <v>1.29077559454344</v>
      </c>
      <c r="D323" s="1">
        <v>0.74311282024198499</v>
      </c>
      <c r="E323" s="1">
        <v>-0.53374209416239704</v>
      </c>
      <c r="F323" s="1">
        <v>1.70364397069945E-3</v>
      </c>
      <c r="G323" s="1">
        <v>2.6981751582261099E-3</v>
      </c>
      <c r="H323">
        <v>0.44201319180795001</v>
      </c>
      <c r="I323" s="1">
        <v>-4.8860298299706296E-4</v>
      </c>
    </row>
    <row r="324" spans="1:9" x14ac:dyDescent="0.25">
      <c r="A324">
        <v>536.48889541625897</v>
      </c>
      <c r="B324">
        <v>20.4070840929352</v>
      </c>
      <c r="C324">
        <v>1.2489164965700099</v>
      </c>
      <c r="D324" s="1">
        <v>0.71872586842760799</v>
      </c>
      <c r="E324" s="1">
        <v>-0.51773115487065902</v>
      </c>
      <c r="F324" s="1">
        <v>1.57733410807511E-3</v>
      </c>
      <c r="G324" s="1">
        <v>2.5407576386630099E-3</v>
      </c>
      <c r="H324">
        <v>0.44205585560774302</v>
      </c>
      <c r="I324" s="1">
        <v>-4.4999096470718002E-4</v>
      </c>
    </row>
    <row r="325" spans="1:9" x14ac:dyDescent="0.25">
      <c r="A325">
        <v>552.34173595905304</v>
      </c>
      <c r="B325">
        <v>20.490148585727098</v>
      </c>
      <c r="C325">
        <v>1.20765222764021</v>
      </c>
      <c r="D325" s="1">
        <v>0.69477159170440606</v>
      </c>
      <c r="E325" s="1">
        <v>-0.50161089736532305</v>
      </c>
      <c r="F325" s="1">
        <v>1.42822983517413E-3</v>
      </c>
      <c r="G325" s="1">
        <v>2.3893856722126201E-3</v>
      </c>
      <c r="H325">
        <v>0.44203020835458401</v>
      </c>
      <c r="I325" s="1">
        <v>-4.1374760842119202E-4</v>
      </c>
    </row>
    <row r="326" spans="1:9" x14ac:dyDescent="0.25">
      <c r="A326">
        <v>568.19448530673901</v>
      </c>
      <c r="B326">
        <v>20.570799258043699</v>
      </c>
      <c r="C326">
        <v>1.1669428091863601</v>
      </c>
      <c r="D326" s="1">
        <v>0.67111822789709896</v>
      </c>
      <c r="E326" s="1">
        <v>-0.4854289290805</v>
      </c>
      <c r="F326" s="1">
        <v>1.2926775908102201E-3</v>
      </c>
      <c r="G326" s="1">
        <v>2.2454216162643699E-3</v>
      </c>
      <c r="H326">
        <v>0.44213667823785402</v>
      </c>
      <c r="I326" s="1">
        <v>-3.8000990777699198E-4</v>
      </c>
    </row>
    <row r="327" spans="1:9" x14ac:dyDescent="0.25">
      <c r="A327">
        <v>584.04732584953297</v>
      </c>
      <c r="B327">
        <v>20.649082657387201</v>
      </c>
      <c r="C327">
        <v>1.1265596063822101</v>
      </c>
      <c r="D327" s="1">
        <v>0.64748606157772404</v>
      </c>
      <c r="E327" s="1">
        <v>-0.46915595104637098</v>
      </c>
      <c r="F327" s="1">
        <v>1.0947223255414701E-3</v>
      </c>
      <c r="G327" s="1">
        <v>2.1084567909456101E-3</v>
      </c>
      <c r="H327">
        <v>0.44236881173615</v>
      </c>
      <c r="I327" s="1">
        <v>-3.48237532112227E-4</v>
      </c>
    </row>
    <row r="328" spans="1:9" x14ac:dyDescent="0.25">
      <c r="A328">
        <v>599.90016639232601</v>
      </c>
      <c r="B328">
        <v>20.724968385388799</v>
      </c>
      <c r="C328">
        <v>1.08646370517817</v>
      </c>
      <c r="D328" s="1">
        <v>0.62402994602326101</v>
      </c>
      <c r="E328" s="1">
        <v>-0.45282440467006002</v>
      </c>
      <c r="F328" s="1">
        <v>8.6971169192023498E-4</v>
      </c>
      <c r="G328" s="1">
        <v>1.9779444593809202E-3</v>
      </c>
      <c r="H328">
        <v>0.44258980110488899</v>
      </c>
      <c r="I328" s="1">
        <v>-3.18626201604701E-4</v>
      </c>
    </row>
    <row r="329" spans="1:9" x14ac:dyDescent="0.25">
      <c r="A329">
        <v>615.75300693511895</v>
      </c>
      <c r="B329">
        <v>20.7984098945462</v>
      </c>
      <c r="C329">
        <v>1.0465482989275099</v>
      </c>
      <c r="D329" s="1">
        <v>0.60077827364828196</v>
      </c>
      <c r="E329" s="1">
        <v>-0.43640037228574002</v>
      </c>
      <c r="F329" s="1">
        <v>7.0152072485038205E-4</v>
      </c>
      <c r="G329" s="1">
        <v>1.8543191235769201E-3</v>
      </c>
      <c r="H329">
        <v>0.44303034462818303</v>
      </c>
      <c r="I329" s="1">
        <v>-2.9127898038039499E-4</v>
      </c>
    </row>
    <row r="330" spans="1:9" x14ac:dyDescent="0.25">
      <c r="A330">
        <v>631.60581707954395</v>
      </c>
      <c r="B330">
        <v>20.8696114239</v>
      </c>
      <c r="C330">
        <v>1.00702652780455</v>
      </c>
      <c r="D330" s="1">
        <v>0.57774619830708795</v>
      </c>
      <c r="E330" s="1">
        <v>-0.41988107871363001</v>
      </c>
      <c r="F330" s="1">
        <v>5.5181329695901604E-4</v>
      </c>
      <c r="G330" s="1">
        <v>1.7359167820745101E-3</v>
      </c>
      <c r="H330">
        <v>0.44348449299586701</v>
      </c>
      <c r="I330" s="1">
        <v>-2.6548467172668401E-4</v>
      </c>
    </row>
    <row r="331" spans="1:9" x14ac:dyDescent="0.25">
      <c r="A331">
        <v>647.45859682559899</v>
      </c>
      <c r="B331">
        <v>20.938486528089001</v>
      </c>
      <c r="C331">
        <v>0.96795711772301696</v>
      </c>
      <c r="D331" s="1">
        <v>0.55501010939154505</v>
      </c>
      <c r="E331" s="1">
        <v>-0.403315119781608</v>
      </c>
      <c r="F331" s="1">
        <v>4.1486810357522998E-4</v>
      </c>
      <c r="G331" s="1">
        <v>1.6217485216110899E-3</v>
      </c>
      <c r="H331">
        <v>0.44369562749052399</v>
      </c>
      <c r="I331" s="1">
        <v>-2.4104442231774701E-4</v>
      </c>
    </row>
    <row r="332" spans="1:9" x14ac:dyDescent="0.25">
      <c r="A332">
        <v>663.31143736839203</v>
      </c>
      <c r="B332">
        <v>21.004890814861</v>
      </c>
      <c r="C332">
        <v>0.92911640160764297</v>
      </c>
      <c r="D332" s="1">
        <v>0.53230970235669794</v>
      </c>
      <c r="E332" s="1">
        <v>-0.38668414560007802</v>
      </c>
      <c r="F332" s="1">
        <v>3.1066405033300701E-4</v>
      </c>
      <c r="G332" s="1">
        <v>1.51257446464338E-3</v>
      </c>
      <c r="H332">
        <v>0.44376281945868501</v>
      </c>
      <c r="I332" s="1">
        <v>-2.1834167710592999E-4</v>
      </c>
    </row>
    <row r="333" spans="1:9" x14ac:dyDescent="0.25">
      <c r="A333">
        <v>679.16427791118599</v>
      </c>
      <c r="B333">
        <v>21.068822384318</v>
      </c>
      <c r="C333">
        <v>0.89051656227638798</v>
      </c>
      <c r="D333" s="1">
        <v>0.50969978642150604</v>
      </c>
      <c r="E333" s="1">
        <v>-0.36999289241879901</v>
      </c>
      <c r="F333" s="1">
        <v>2.4231094005384399E-4</v>
      </c>
      <c r="G333" s="1">
        <v>1.4090627879120301E-3</v>
      </c>
      <c r="H333">
        <v>0.443836050571568</v>
      </c>
      <c r="I333" s="1">
        <v>-1.9729195585024899E-4</v>
      </c>
    </row>
    <row r="334" spans="1:9" x14ac:dyDescent="0.25">
      <c r="A334">
        <v>695.01711845397904</v>
      </c>
      <c r="B334">
        <v>21.1303762313627</v>
      </c>
      <c r="C334">
        <v>0.85232330970938996</v>
      </c>
      <c r="D334" s="1">
        <v>0.48721146845505697</v>
      </c>
      <c r="E334" s="1">
        <v>-0.353218599875952</v>
      </c>
      <c r="F334" s="1">
        <v>1.4523458817831299E-4</v>
      </c>
      <c r="G334" s="1">
        <v>1.31150359625539E-3</v>
      </c>
      <c r="H334">
        <v>0.44420554429062598</v>
      </c>
      <c r="I334" s="1">
        <v>-1.77862569313865E-4</v>
      </c>
    </row>
    <row r="335" spans="1:9" x14ac:dyDescent="0.25">
      <c r="A335">
        <v>710.86992859840302</v>
      </c>
      <c r="B335">
        <v>21.189602703293499</v>
      </c>
      <c r="C335">
        <v>0.814783730379531</v>
      </c>
      <c r="D335" s="1">
        <v>0.465032969411108</v>
      </c>
      <c r="E335" s="1">
        <v>-0.336377456623004</v>
      </c>
      <c r="F335" s="1">
        <v>4.9336965273111899E-5</v>
      </c>
      <c r="G335" s="1">
        <v>1.21927560526575E-3</v>
      </c>
      <c r="H335">
        <v>0.44458198488381501</v>
      </c>
      <c r="I335" s="1">
        <v>-1.6001077527495299E-4</v>
      </c>
    </row>
    <row r="336" spans="1:9" x14ac:dyDescent="0.25">
      <c r="A336">
        <v>726.72273874282803</v>
      </c>
      <c r="B336">
        <v>21.2464448031687</v>
      </c>
      <c r="C336">
        <v>0.77790781892872396</v>
      </c>
      <c r="D336" s="1">
        <v>0.44311743966636402</v>
      </c>
      <c r="E336" s="1">
        <v>-0.31947850969451003</v>
      </c>
      <c r="F336" s="1">
        <v>3.5084198787558298E-5</v>
      </c>
      <c r="G336" s="1">
        <v>1.13265595232711E-3</v>
      </c>
      <c r="H336">
        <v>0.44524926900934603</v>
      </c>
      <c r="I336" s="1">
        <v>-1.4389958930770199E-4</v>
      </c>
    </row>
    <row r="337" spans="1:9" x14ac:dyDescent="0.25">
      <c r="A337">
        <v>742.57554888725201</v>
      </c>
      <c r="B337">
        <v>21.3008939814471</v>
      </c>
      <c r="C337">
        <v>0.74179280134103398</v>
      </c>
      <c r="D337" s="1">
        <v>0.42143259989436399</v>
      </c>
      <c r="E337" s="1">
        <v>-0.302524792567752</v>
      </c>
      <c r="F337" s="1">
        <v>5.9700584557421898E-5</v>
      </c>
      <c r="G337" s="1">
        <v>1.05067813567324E-3</v>
      </c>
      <c r="H337">
        <v>0.44585884960234501</v>
      </c>
      <c r="I337" s="1">
        <v>-1.29018533368639E-4</v>
      </c>
    </row>
    <row r="338" spans="1:9" x14ac:dyDescent="0.25">
      <c r="A338">
        <v>758.42838943004597</v>
      </c>
      <c r="B338">
        <v>21.352885641595002</v>
      </c>
      <c r="C338">
        <v>0.70654891437698097</v>
      </c>
      <c r="D338" s="1">
        <v>0.40006055204894903</v>
      </c>
      <c r="E338" s="1">
        <v>-0.28552781511389302</v>
      </c>
      <c r="F338" s="1">
        <v>4.3520801324207899E-5</v>
      </c>
      <c r="G338" s="1">
        <v>9.73591018319625E-4</v>
      </c>
      <c r="H338">
        <v>0.44641670454186999</v>
      </c>
      <c r="I338" s="1">
        <v>-1.15444637338659E-4</v>
      </c>
    </row>
    <row r="339" spans="1:9" x14ac:dyDescent="0.25">
      <c r="A339">
        <v>774.28122997283901</v>
      </c>
      <c r="B339">
        <v>21.4023570869767</v>
      </c>
      <c r="C339">
        <v>0.67223683556676395</v>
      </c>
      <c r="D339" s="1">
        <v>0.37906827987993602</v>
      </c>
      <c r="E339" s="1">
        <v>-0.26848363715440299</v>
      </c>
      <c r="F339" s="1">
        <v>-4.2396935119744698E-5</v>
      </c>
      <c r="G339" s="1">
        <v>9.0151238378483099E-4</v>
      </c>
      <c r="H339">
        <v>0.447095640375956</v>
      </c>
      <c r="I339" s="1">
        <v>-1.03114991057929E-4</v>
      </c>
    </row>
    <row r="340" spans="1:9" x14ac:dyDescent="0.25">
      <c r="A340">
        <v>790.13402491807904</v>
      </c>
      <c r="B340">
        <v>21.449293118407599</v>
      </c>
      <c r="C340">
        <v>0.63885147887958704</v>
      </c>
      <c r="D340" s="1">
        <v>0.35846875165311498</v>
      </c>
      <c r="E340" s="1">
        <v>-0.25138959951787598</v>
      </c>
      <c r="F340" s="1">
        <v>-1.14637430796016E-4</v>
      </c>
      <c r="G340" s="1">
        <v>8.3461271667476097E-4</v>
      </c>
      <c r="H340">
        <v>0.447961131366996</v>
      </c>
      <c r="I340" s="1">
        <v>-9.2161441942531101E-5</v>
      </c>
    </row>
    <row r="341" spans="1:9" x14ac:dyDescent="0.25">
      <c r="A341">
        <v>805.98686546087197</v>
      </c>
      <c r="B341">
        <v>21.493624389609</v>
      </c>
      <c r="C341">
        <v>0.60657026399439895</v>
      </c>
      <c r="D341" s="1">
        <v>0.33833755449977299</v>
      </c>
      <c r="E341" s="1">
        <v>-0.234254152663434</v>
      </c>
      <c r="F341" s="1">
        <v>-1.5575075102078299E-4</v>
      </c>
      <c r="G341" s="1">
        <v>7.7251501551383597E-4</v>
      </c>
      <c r="H341">
        <v>0.44882733795537699</v>
      </c>
      <c r="I341" s="1">
        <v>-8.2490840213870706E-5</v>
      </c>
    </row>
    <row r="342" spans="1:9" x14ac:dyDescent="0.25">
      <c r="A342">
        <v>821.83970600366501</v>
      </c>
      <c r="B342">
        <v>21.535228357156399</v>
      </c>
      <c r="C342">
        <v>0.57559042245429703</v>
      </c>
      <c r="D342" s="1">
        <v>0.31875640896362401</v>
      </c>
      <c r="E342" s="1">
        <v>-0.21708500926507299</v>
      </c>
      <c r="F342" s="1">
        <v>-2.3366484392382301E-4</v>
      </c>
      <c r="G342" s="1">
        <v>7.1495796668338601E-4</v>
      </c>
      <c r="H342">
        <v>0.44947965367866299</v>
      </c>
      <c r="I342" s="1">
        <v>-7.3957146435918699E-5</v>
      </c>
    </row>
    <row r="343" spans="1:9" x14ac:dyDescent="0.25">
      <c r="A343">
        <v>837.69251614809002</v>
      </c>
      <c r="B343">
        <v>21.5739435297155</v>
      </c>
      <c r="C343">
        <v>0.54598718020315495</v>
      </c>
      <c r="D343" s="1">
        <v>0.29986978373415102</v>
      </c>
      <c r="E343" s="1">
        <v>-0.19987543281567099</v>
      </c>
      <c r="F343" s="1">
        <v>-3.41009460923228E-4</v>
      </c>
      <c r="G343" s="1">
        <v>6.6218731224555098E-4</v>
      </c>
      <c r="H343">
        <v>0.45021783087504003</v>
      </c>
      <c r="I343" s="1">
        <v>-6.6477016738838201E-5</v>
      </c>
    </row>
    <row r="344" spans="1:9" x14ac:dyDescent="0.25">
      <c r="A344">
        <v>853.54535669088295</v>
      </c>
      <c r="B344">
        <v>21.6097452086114</v>
      </c>
      <c r="C344">
        <v>0.51803713452045397</v>
      </c>
      <c r="D344" s="1">
        <v>0.28190651756021001</v>
      </c>
      <c r="E344" s="1">
        <v>-0.182628621264877</v>
      </c>
      <c r="F344" s="1">
        <v>-4.2248936774471398E-4</v>
      </c>
      <c r="G344" s="1">
        <v>6.1430056911082696E-4</v>
      </c>
      <c r="H344">
        <v>0.451070358551733</v>
      </c>
      <c r="I344" s="1">
        <v>-6.0026896880226199E-5</v>
      </c>
    </row>
    <row r="345" spans="1:9" x14ac:dyDescent="0.25">
      <c r="A345">
        <v>869.39818203449204</v>
      </c>
      <c r="B345">
        <v>21.642649542977701</v>
      </c>
      <c r="C345">
        <v>0.49190513785788398</v>
      </c>
      <c r="D345" s="1">
        <v>0.26504613108798902</v>
      </c>
      <c r="E345" s="1">
        <v>-0.16534204781283399</v>
      </c>
      <c r="F345" s="1">
        <v>-4.8237151016538302E-4</v>
      </c>
      <c r="G345" s="1">
        <v>5.7126125534785201E-4</v>
      </c>
      <c r="H345">
        <v>0.45200568405913699</v>
      </c>
      <c r="I345" s="1">
        <v>-5.4649243267509399E-5</v>
      </c>
    </row>
    <row r="346" spans="1:9" x14ac:dyDescent="0.25">
      <c r="A346">
        <v>885.25099217891602</v>
      </c>
      <c r="B346">
        <v>21.672592886229701</v>
      </c>
      <c r="C346">
        <v>0.46771736517712198</v>
      </c>
      <c r="D346" s="1">
        <v>0.24932596610232399</v>
      </c>
      <c r="E346" s="1">
        <v>-0.14802723944794499</v>
      </c>
      <c r="F346" s="1">
        <v>-5.4643372430044702E-4</v>
      </c>
      <c r="G346" s="1">
        <v>5.3280785599936801E-4</v>
      </c>
      <c r="H346">
        <v>0.45304417435232802</v>
      </c>
      <c r="I346" s="1">
        <v>-5.0120048093503201E-5</v>
      </c>
    </row>
    <row r="347" spans="1:9" x14ac:dyDescent="0.25">
      <c r="A347">
        <v>901.10380992293301</v>
      </c>
      <c r="B347">
        <v>21.699448895146801</v>
      </c>
      <c r="C347">
        <v>0.445674093725756</v>
      </c>
      <c r="D347" s="1">
        <v>0.23497604420266899</v>
      </c>
      <c r="E347" s="1">
        <v>-0.13068801866698501</v>
      </c>
      <c r="F347" s="1">
        <v>-5.9753865304158305E-4</v>
      </c>
      <c r="G347" s="1">
        <v>4.9885166326005302E-4</v>
      </c>
      <c r="H347">
        <v>0.454136572494927</v>
      </c>
      <c r="I347" s="1">
        <v>-4.6339474713480803E-5</v>
      </c>
    </row>
    <row r="348" spans="1:9" x14ac:dyDescent="0.25">
      <c r="A348">
        <v>916.95665046572606</v>
      </c>
      <c r="B348">
        <v>21.7231244747245</v>
      </c>
      <c r="C348">
        <v>0.42595883459171002</v>
      </c>
      <c r="D348" s="1">
        <v>0.22214511213202201</v>
      </c>
      <c r="E348" s="1">
        <v>-0.113322109444203</v>
      </c>
      <c r="F348" s="1">
        <v>-6.0905440864796696E-4</v>
      </c>
      <c r="G348" s="1">
        <v>4.6931656893386801E-4</v>
      </c>
      <c r="H348">
        <v>0.45525633486098599</v>
      </c>
      <c r="I348" s="1">
        <v>-4.31987214407514E-5</v>
      </c>
    </row>
    <row r="349" spans="1:9" x14ac:dyDescent="0.25">
      <c r="A349">
        <v>932.80946820974305</v>
      </c>
      <c r="B349">
        <v>21.743549328734801</v>
      </c>
      <c r="C349">
        <v>0.40874717411725198</v>
      </c>
      <c r="D349" s="1">
        <v>0.210849857909269</v>
      </c>
      <c r="E349" s="1">
        <v>-9.5940189116703906E-2</v>
      </c>
      <c r="F349" s="1">
        <v>-6.2271945817031103E-4</v>
      </c>
      <c r="G349" s="1">
        <v>4.4415368711511998E-4</v>
      </c>
      <c r="H349">
        <v>0.45636035629205901</v>
      </c>
      <c r="I349" s="1">
        <v>-4.0640630104642702E-5</v>
      </c>
    </row>
    <row r="350" spans="1:9" x14ac:dyDescent="0.25">
      <c r="A350">
        <v>948.66229355335201</v>
      </c>
      <c r="B350">
        <v>21.7606560107969</v>
      </c>
      <c r="C350">
        <v>0.39416998888555099</v>
      </c>
      <c r="D350" s="1">
        <v>0.20126161761735001</v>
      </c>
      <c r="E350" s="1">
        <v>-7.8545832359328202E-2</v>
      </c>
      <c r="F350" s="1">
        <v>-6.5558519975312797E-4</v>
      </c>
      <c r="G350" s="1">
        <v>4.2326437630816401E-4</v>
      </c>
      <c r="H350">
        <v>0.457337660267226</v>
      </c>
      <c r="I350" s="1">
        <v>-3.8591929524237099E-5</v>
      </c>
    </row>
    <row r="351" spans="1:9" x14ac:dyDescent="0.25">
      <c r="A351">
        <v>964.51511889696098</v>
      </c>
      <c r="B351">
        <v>21.774408422847898</v>
      </c>
      <c r="C351">
        <v>0.38231329787094998</v>
      </c>
      <c r="D351" s="1">
        <v>0.193403492352898</v>
      </c>
      <c r="E351" s="1">
        <v>-6.1130564101700098E-2</v>
      </c>
      <c r="F351" s="1">
        <v>-6.3735179376365797E-4</v>
      </c>
      <c r="G351" s="1">
        <v>4.0659161083461898E-4</v>
      </c>
      <c r="H351">
        <v>0.458135650829262</v>
      </c>
      <c r="I351" s="1">
        <v>-3.6997003484676E-5</v>
      </c>
    </row>
    <row r="352" spans="1:9" x14ac:dyDescent="0.25">
      <c r="A352">
        <v>980.36794044077305</v>
      </c>
      <c r="B352">
        <v>21.784765717079601</v>
      </c>
      <c r="C352">
        <v>0.373272079741582</v>
      </c>
      <c r="D352" s="1">
        <v>0.187468339725605</v>
      </c>
      <c r="E352" s="1">
        <v>-4.3701529506301497E-2</v>
      </c>
      <c r="F352" s="1">
        <v>-5.6932917319119298E-4</v>
      </c>
      <c r="G352" s="1">
        <v>3.94139663637316E-4</v>
      </c>
      <c r="H352">
        <v>0.458784515468734</v>
      </c>
      <c r="I352" s="1">
        <v>-3.5874702621052E-5</v>
      </c>
    </row>
    <row r="353" spans="1:9" x14ac:dyDescent="0.25">
      <c r="A353">
        <v>996.22076388448397</v>
      </c>
      <c r="B353">
        <v>21.791637648334401</v>
      </c>
      <c r="C353">
        <v>0.367172893868428</v>
      </c>
      <c r="D353" s="1">
        <v>0.18339232023180599</v>
      </c>
      <c r="E353" s="1">
        <v>-2.6270152450320199E-2</v>
      </c>
      <c r="F353" s="1">
        <v>-4.6792785507963902E-4</v>
      </c>
      <c r="G353" s="1">
        <v>3.85884257501371E-4</v>
      </c>
      <c r="H353">
        <v>0.45931999906245002</v>
      </c>
      <c r="I353" s="1">
        <v>-3.5170522756838201E-5</v>
      </c>
    </row>
    <row r="354" spans="1:9" x14ac:dyDescent="0.25">
      <c r="A354">
        <v>1012.07358780317</v>
      </c>
      <c r="B354">
        <v>21.794988118549501</v>
      </c>
      <c r="C354">
        <v>0.36411722430784699</v>
      </c>
      <c r="D354" s="1">
        <v>0.18128508651078701</v>
      </c>
      <c r="E354" s="1">
        <v>-8.82947188461119E-3</v>
      </c>
      <c r="F354" s="1">
        <v>-3.6656783921645901E-4</v>
      </c>
      <c r="G354" s="1">
        <v>3.8175479961160701E-4</v>
      </c>
      <c r="H354">
        <v>0.459623802045041</v>
      </c>
      <c r="I354" s="1">
        <v>-3.4846360024573601E-5</v>
      </c>
    </row>
    <row r="355" spans="1:9" x14ac:dyDescent="0.25">
      <c r="A355" t="s">
        <v>501</v>
      </c>
      <c r="B355" t="s">
        <v>538</v>
      </c>
      <c r="C355" t="s">
        <v>539</v>
      </c>
      <c r="D355" t="s">
        <v>540</v>
      </c>
      <c r="E355" t="s">
        <v>541</v>
      </c>
      <c r="F355" t="s">
        <v>542</v>
      </c>
      <c r="G355" t="s">
        <v>378</v>
      </c>
      <c r="H355" t="s">
        <v>543</v>
      </c>
      <c r="I355" t="s">
        <v>537</v>
      </c>
    </row>
    <row r="356" spans="1:9" x14ac:dyDescent="0.25">
      <c r="A356">
        <v>-143.34727764129599</v>
      </c>
      <c r="B356">
        <v>-1603.9421857014399</v>
      </c>
      <c r="C356">
        <v>1.7563616762572499E-2</v>
      </c>
      <c r="D356">
        <v>0</v>
      </c>
      <c r="E356">
        <v>0</v>
      </c>
      <c r="F356">
        <v>0</v>
      </c>
      <c r="G356" s="1">
        <v>8.8480632531862098E-8</v>
      </c>
      <c r="H356">
        <v>0.15519791874261299</v>
      </c>
      <c r="I356">
        <v>0</v>
      </c>
    </row>
    <row r="357" spans="1:9" x14ac:dyDescent="0.25">
      <c r="A357">
        <v>-130.59127092361399</v>
      </c>
      <c r="B357">
        <v>-1461.30610829742</v>
      </c>
      <c r="C357">
        <v>1.7706458085342498E-2</v>
      </c>
      <c r="D357">
        <v>0</v>
      </c>
      <c r="E357">
        <v>0</v>
      </c>
      <c r="F357">
        <v>0</v>
      </c>
      <c r="G357" s="1">
        <v>1.9488458755656499E-7</v>
      </c>
      <c r="H357">
        <v>0.60378942745690101</v>
      </c>
      <c r="I357">
        <v>0</v>
      </c>
    </row>
    <row r="358" spans="1:9" x14ac:dyDescent="0.25">
      <c r="A358">
        <v>-118.88850688934301</v>
      </c>
      <c r="B358">
        <v>-1330.43103820235</v>
      </c>
      <c r="C358">
        <v>1.8102403365105602E-2</v>
      </c>
      <c r="D358">
        <v>0</v>
      </c>
      <c r="E358">
        <v>0</v>
      </c>
      <c r="F358">
        <v>0</v>
      </c>
      <c r="G358" s="1">
        <v>3.91084312956202E-7</v>
      </c>
      <c r="H358">
        <v>0.78806627034787202</v>
      </c>
      <c r="I358">
        <v>0</v>
      </c>
    </row>
    <row r="359" spans="1:9" x14ac:dyDescent="0.25">
      <c r="A359">
        <v>-108.151924610137</v>
      </c>
      <c r="B359">
        <v>-1210.34860497863</v>
      </c>
      <c r="C359">
        <v>1.8918792625299798E-2</v>
      </c>
      <c r="D359">
        <v>0</v>
      </c>
      <c r="E359">
        <v>0</v>
      </c>
      <c r="F359">
        <v>0</v>
      </c>
      <c r="G359" s="1">
        <v>6.7293861263362197E-7</v>
      </c>
      <c r="H359">
        <v>0.86138897340560305</v>
      </c>
      <c r="I359">
        <v>0</v>
      </c>
    </row>
    <row r="360" spans="1:9" x14ac:dyDescent="0.25">
      <c r="A360">
        <v>-98.302001953125</v>
      </c>
      <c r="B360">
        <v>-1100.1698387280201</v>
      </c>
      <c r="C360">
        <v>2.03302770586333E-2</v>
      </c>
      <c r="D360">
        <v>0</v>
      </c>
      <c r="E360">
        <v>0</v>
      </c>
      <c r="F360">
        <v>0</v>
      </c>
      <c r="G360" s="1">
        <v>1.05422216114536E-6</v>
      </c>
      <c r="H360">
        <v>0.89520487410816096</v>
      </c>
      <c r="I360">
        <v>0</v>
      </c>
    </row>
    <row r="361" spans="1:9" x14ac:dyDescent="0.25">
      <c r="A361">
        <v>-89.265174865722599</v>
      </c>
      <c r="B361">
        <v>-999.07872563750902</v>
      </c>
      <c r="C361">
        <v>2.2505176193021701E-2</v>
      </c>
      <c r="D361">
        <v>0</v>
      </c>
      <c r="E361">
        <v>0</v>
      </c>
      <c r="F361">
        <v>0</v>
      </c>
      <c r="G361" s="1">
        <v>1.56833143489798E-6</v>
      </c>
      <c r="H361">
        <v>0.91249520580683197</v>
      </c>
      <c r="I361">
        <v>0</v>
      </c>
    </row>
    <row r="362" spans="1:9" x14ac:dyDescent="0.25">
      <c r="A362">
        <v>-80.974688529968205</v>
      </c>
      <c r="B362">
        <v>-906.32655388267199</v>
      </c>
      <c r="C362">
        <v>2.5609460593756201E-2</v>
      </c>
      <c r="D362">
        <v>0</v>
      </c>
      <c r="E362">
        <v>0</v>
      </c>
      <c r="F362">
        <v>0</v>
      </c>
      <c r="G362" s="1">
        <v>2.2700821908916399E-6</v>
      </c>
      <c r="H362">
        <v>0.92189728000638305</v>
      </c>
      <c r="I362">
        <v>0</v>
      </c>
    </row>
    <row r="363" spans="1:9" x14ac:dyDescent="0.25">
      <c r="A363">
        <v>-73.368651866912799</v>
      </c>
      <c r="B363">
        <v>-821.226016344144</v>
      </c>
      <c r="C363">
        <v>2.9816824126527301E-2</v>
      </c>
      <c r="D363">
        <v>0</v>
      </c>
      <c r="E363">
        <v>0</v>
      </c>
      <c r="F363">
        <v>0</v>
      </c>
      <c r="G363" s="1">
        <v>3.2393791103757498E-6</v>
      </c>
      <c r="H363">
        <v>0.92716807995755202</v>
      </c>
      <c r="I363">
        <v>0</v>
      </c>
    </row>
    <row r="364" spans="1:9" x14ac:dyDescent="0.25">
      <c r="A364">
        <v>-66.390645503997803</v>
      </c>
      <c r="B364">
        <v>-743.14640766532602</v>
      </c>
      <c r="C364">
        <v>3.5319197921523902E-2</v>
      </c>
      <c r="D364">
        <v>0</v>
      </c>
      <c r="E364">
        <v>0</v>
      </c>
      <c r="F364">
        <v>0</v>
      </c>
      <c r="G364" s="1">
        <v>4.5883765509735499E-6</v>
      </c>
      <c r="H364">
        <v>0.93011321477372</v>
      </c>
      <c r="I364">
        <v>0</v>
      </c>
    </row>
    <row r="365" spans="1:9" x14ac:dyDescent="0.25">
      <c r="A365">
        <v>-59.988870620727504</v>
      </c>
      <c r="B365">
        <v>-671.50894290359201</v>
      </c>
      <c r="C365">
        <v>4.2335994677955499E-2</v>
      </c>
      <c r="D365">
        <v>0</v>
      </c>
      <c r="E365">
        <v>0</v>
      </c>
      <c r="F365">
        <v>0</v>
      </c>
      <c r="G365" s="1">
        <v>6.4739148298187296E-6</v>
      </c>
      <c r="H365">
        <v>0.93166328338030102</v>
      </c>
      <c r="I365">
        <v>0</v>
      </c>
    </row>
    <row r="366" spans="1:9" x14ac:dyDescent="0.25">
      <c r="A366">
        <v>-54.115540981292703</v>
      </c>
      <c r="B366">
        <v>-605.78238016517298</v>
      </c>
      <c r="C366">
        <v>5.11225194657072E-2</v>
      </c>
      <c r="D366">
        <v>0</v>
      </c>
      <c r="E366">
        <v>0</v>
      </c>
      <c r="F366">
        <v>0</v>
      </c>
      <c r="G366" s="1">
        <v>9.1177627586702605E-6</v>
      </c>
      <c r="H366">
        <v>0.93233433002058497</v>
      </c>
      <c r="I366">
        <v>0</v>
      </c>
    </row>
    <row r="367" spans="1:9" x14ac:dyDescent="0.25">
      <c r="A367">
        <v>-48.727247714996302</v>
      </c>
      <c r="B367">
        <v>-545.47943359763804</v>
      </c>
      <c r="C367">
        <v>6.1979132712508503E-2</v>
      </c>
      <c r="D367">
        <v>0</v>
      </c>
      <c r="E367">
        <v>0</v>
      </c>
      <c r="F367">
        <v>0</v>
      </c>
      <c r="G367" s="1">
        <v>1.2838790819102901E-5</v>
      </c>
      <c r="H367">
        <v>0.932446813194164</v>
      </c>
      <c r="I367">
        <v>0</v>
      </c>
    </row>
    <row r="368" spans="1:9" x14ac:dyDescent="0.25">
      <c r="A368">
        <v>-43.783864974975501</v>
      </c>
      <c r="B368">
        <v>-490.15270000846601</v>
      </c>
      <c r="C368">
        <v>7.5263024587002306E-2</v>
      </c>
      <c r="D368">
        <v>0</v>
      </c>
      <c r="E368">
        <v>0</v>
      </c>
      <c r="F368">
        <v>0</v>
      </c>
      <c r="G368" s="1">
        <v>1.8104105561533799E-5</v>
      </c>
      <c r="H368">
        <v>0.93223603800605404</v>
      </c>
      <c r="I368">
        <v>0</v>
      </c>
    </row>
    <row r="369" spans="1:9" x14ac:dyDescent="0.25">
      <c r="A369">
        <v>-39.248671531677203</v>
      </c>
      <c r="B369">
        <v>-439.391862215115</v>
      </c>
      <c r="C369">
        <v>9.1404822219942602E-2</v>
      </c>
      <c r="D369">
        <v>0</v>
      </c>
      <c r="E369">
        <v>0</v>
      </c>
      <c r="F369">
        <v>0</v>
      </c>
      <c r="G369" s="1">
        <v>2.5611442485740098E-5</v>
      </c>
      <c r="H369">
        <v>0.93190903940165104</v>
      </c>
      <c r="I369">
        <v>0</v>
      </c>
    </row>
    <row r="370" spans="1:9" x14ac:dyDescent="0.25">
      <c r="A370">
        <v>-35.087985992431598</v>
      </c>
      <c r="B370">
        <v>-392.82025402934698</v>
      </c>
      <c r="C370">
        <v>0.11093279270539801</v>
      </c>
      <c r="D370">
        <v>0</v>
      </c>
      <c r="E370">
        <v>0</v>
      </c>
      <c r="F370">
        <v>0</v>
      </c>
      <c r="G370" s="1">
        <v>3.6424404691359697E-5</v>
      </c>
      <c r="H370">
        <v>0.93167226565127204</v>
      </c>
      <c r="I370">
        <v>0</v>
      </c>
    </row>
    <row r="371" spans="1:9" x14ac:dyDescent="0.25">
      <c r="A371">
        <v>-31.270802021026601</v>
      </c>
      <c r="B371">
        <v>-350.09227639587101</v>
      </c>
      <c r="C371">
        <v>0.134508290074109</v>
      </c>
      <c r="D371">
        <v>0</v>
      </c>
      <c r="E371">
        <v>0</v>
      </c>
      <c r="F371">
        <v>0</v>
      </c>
      <c r="G371" s="1">
        <v>5.2199095433991201E-5</v>
      </c>
      <c r="H371">
        <v>0.93174098907720604</v>
      </c>
      <c r="I371">
        <v>0</v>
      </c>
    </row>
    <row r="372" spans="1:9" x14ac:dyDescent="0.25">
      <c r="A372">
        <v>-27.7686667442321</v>
      </c>
      <c r="B372">
        <v>-310.890874327733</v>
      </c>
      <c r="C372">
        <v>0.162977968426503</v>
      </c>
      <c r="D372">
        <v>0</v>
      </c>
      <c r="E372">
        <v>0</v>
      </c>
      <c r="F372">
        <v>0</v>
      </c>
      <c r="G372" s="1">
        <v>7.5572440258042602E-5</v>
      </c>
      <c r="H372">
        <v>0.93233492224665204</v>
      </c>
      <c r="I372">
        <v>0</v>
      </c>
    </row>
    <row r="373" spans="1:9" x14ac:dyDescent="0.25">
      <c r="A373">
        <v>-24.555802345275801</v>
      </c>
      <c r="B373">
        <v>-274.92505943925602</v>
      </c>
      <c r="C373">
        <v>0.19745135129482999</v>
      </c>
      <c r="D373">
        <v>0</v>
      </c>
      <c r="E373">
        <v>0</v>
      </c>
      <c r="F373">
        <v>0</v>
      </c>
      <c r="G373" s="1">
        <v>1.10842688025059E-4</v>
      </c>
      <c r="H373">
        <v>0.93366184806621899</v>
      </c>
      <c r="I373">
        <v>0</v>
      </c>
    </row>
    <row r="374" spans="1:9" x14ac:dyDescent="0.25">
      <c r="A374">
        <v>-21.608254909515299</v>
      </c>
      <c r="B374">
        <v>-241.92785805614199</v>
      </c>
      <c r="C374">
        <v>0.23941759596937101</v>
      </c>
      <c r="D374">
        <v>0</v>
      </c>
      <c r="E374">
        <v>0</v>
      </c>
      <c r="F374">
        <v>0</v>
      </c>
      <c r="G374">
        <v>1.6518612507070401E-4</v>
      </c>
      <c r="H374">
        <v>0.93589014514309399</v>
      </c>
      <c r="I374">
        <v>0</v>
      </c>
    </row>
    <row r="375" spans="1:9" x14ac:dyDescent="0.25">
      <c r="A375">
        <v>-18.904016017913801</v>
      </c>
      <c r="B375">
        <v>-211.654342921092</v>
      </c>
      <c r="C375">
        <v>0.29092341586647302</v>
      </c>
      <c r="D375">
        <v>0</v>
      </c>
      <c r="E375">
        <v>0</v>
      </c>
      <c r="F375">
        <v>0</v>
      </c>
      <c r="G375">
        <v>2.5086471297868201E-4</v>
      </c>
      <c r="H375">
        <v>0.93911235918809699</v>
      </c>
      <c r="I375">
        <v>0</v>
      </c>
    </row>
    <row r="376" spans="1:9" x14ac:dyDescent="0.25">
      <c r="A376">
        <v>-16.423144340515101</v>
      </c>
      <c r="B376">
        <v>-183.879756094529</v>
      </c>
      <c r="C376">
        <v>0.35484793318119001</v>
      </c>
      <c r="D376">
        <v>0</v>
      </c>
      <c r="E376">
        <v>0</v>
      </c>
      <c r="F376">
        <v>0</v>
      </c>
      <c r="G376">
        <v>3.8926994918710899E-4</v>
      </c>
      <c r="H376">
        <v>0.94330797019147705</v>
      </c>
      <c r="I376">
        <v>0</v>
      </c>
    </row>
    <row r="377" spans="1:9" x14ac:dyDescent="0.25">
      <c r="A377">
        <v>-14.147036075592</v>
      </c>
      <c r="B377">
        <v>-158.39785984308901</v>
      </c>
      <c r="C377">
        <v>0.43533096999226401</v>
      </c>
      <c r="D377">
        <v>0</v>
      </c>
      <c r="E377">
        <v>0</v>
      </c>
      <c r="F377">
        <v>0</v>
      </c>
      <c r="G377">
        <v>6.1837893853180495E-4</v>
      </c>
      <c r="H377">
        <v>0.94832236808600001</v>
      </c>
      <c r="I377">
        <v>0</v>
      </c>
    </row>
    <row r="378" spans="1:9" x14ac:dyDescent="0.25">
      <c r="A378">
        <v>-12.058911323547299</v>
      </c>
      <c r="B378">
        <v>-135.01945851893601</v>
      </c>
      <c r="C378">
        <v>0.53844400513298696</v>
      </c>
      <c r="D378">
        <v>0</v>
      </c>
      <c r="E378">
        <v>0</v>
      </c>
      <c r="F378">
        <v>0</v>
      </c>
      <c r="G378">
        <v>1.00660843812647E-3</v>
      </c>
      <c r="H378">
        <v>0.95388134044255601</v>
      </c>
      <c r="I378">
        <v>0</v>
      </c>
    </row>
    <row r="379" spans="1:9" x14ac:dyDescent="0.25">
      <c r="A379">
        <v>-10.143084526061999</v>
      </c>
      <c r="B379">
        <v>-113.570947037651</v>
      </c>
      <c r="C379">
        <v>0.67324729977826803</v>
      </c>
      <c r="D379">
        <v>0</v>
      </c>
      <c r="E379">
        <v>0</v>
      </c>
      <c r="F379">
        <v>0</v>
      </c>
      <c r="G379">
        <v>1.67889175438631E-3</v>
      </c>
      <c r="H379">
        <v>0.95964650569867005</v>
      </c>
      <c r="I379">
        <v>0</v>
      </c>
    </row>
    <row r="380" spans="1:9" x14ac:dyDescent="0.25">
      <c r="A380">
        <v>-8.3855724334716708</v>
      </c>
      <c r="B380">
        <v>-93.893042933768797</v>
      </c>
      <c r="C380">
        <v>0.85346991395454097</v>
      </c>
      <c r="D380">
        <v>0</v>
      </c>
      <c r="E380">
        <v>0</v>
      </c>
      <c r="F380">
        <v>0</v>
      </c>
      <c r="G380">
        <v>2.8668053263118001E-3</v>
      </c>
      <c r="H380">
        <v>0.96529209428005502</v>
      </c>
      <c r="I380">
        <v>0</v>
      </c>
    </row>
    <row r="381" spans="1:9" x14ac:dyDescent="0.25">
      <c r="A381">
        <v>-6.7732429504394496</v>
      </c>
      <c r="B381">
        <v>-75.839611986293605</v>
      </c>
      <c r="C381">
        <v>1.10022260128062</v>
      </c>
      <c r="D381">
        <v>0</v>
      </c>
      <c r="E381">
        <v>0</v>
      </c>
      <c r="F381">
        <v>0</v>
      </c>
      <c r="G381">
        <v>5.0079675417237001E-3</v>
      </c>
      <c r="H381">
        <v>0.97056960625046196</v>
      </c>
      <c r="I381">
        <v>0</v>
      </c>
    </row>
    <row r="382" spans="1:9" x14ac:dyDescent="0.25">
      <c r="A382">
        <v>-5.2939367294311497</v>
      </c>
      <c r="B382">
        <v>-59.276568652703602</v>
      </c>
      <c r="C382">
        <v>1.4464961370777001</v>
      </c>
      <c r="D382">
        <v>0</v>
      </c>
      <c r="E382">
        <v>0</v>
      </c>
      <c r="F382">
        <v>0</v>
      </c>
      <c r="G382">
        <v>8.95163624909401E-3</v>
      </c>
      <c r="H382">
        <v>0.97533719387524198</v>
      </c>
      <c r="I382">
        <v>0</v>
      </c>
    </row>
    <row r="383" spans="1:9" x14ac:dyDescent="0.25">
      <c r="A383">
        <v>-3.9367103576660099</v>
      </c>
      <c r="B383">
        <v>-44.080895246579502</v>
      </c>
      <c r="C383">
        <v>1.9449092948889299</v>
      </c>
      <c r="D383">
        <v>0</v>
      </c>
      <c r="E383">
        <v>0</v>
      </c>
      <c r="F383">
        <v>0</v>
      </c>
      <c r="G383">
        <v>1.6407628218257701E-2</v>
      </c>
      <c r="H383">
        <v>0.97955313226854501</v>
      </c>
      <c r="I383">
        <v>0</v>
      </c>
    </row>
    <row r="384" spans="1:9" x14ac:dyDescent="0.25">
      <c r="A384">
        <v>-2.6915931701660099</v>
      </c>
      <c r="B384">
        <v>-30.1397245243333</v>
      </c>
      <c r="C384">
        <v>2.6817535656846299</v>
      </c>
      <c r="D384">
        <v>0</v>
      </c>
      <c r="E384">
        <v>0</v>
      </c>
      <c r="F384">
        <v>0</v>
      </c>
      <c r="G384">
        <v>3.09947289868432E-2</v>
      </c>
      <c r="H384">
        <v>0.98324812517811799</v>
      </c>
      <c r="I384">
        <v>0</v>
      </c>
    </row>
    <row r="385" spans="1:9" x14ac:dyDescent="0.25">
      <c r="A385">
        <v>-1.54934406280517</v>
      </c>
      <c r="B385">
        <v>-17.349504442527099</v>
      </c>
      <c r="C385">
        <v>3.8041466483264199</v>
      </c>
      <c r="D385">
        <v>0</v>
      </c>
      <c r="E385">
        <v>0</v>
      </c>
      <c r="F385">
        <v>0</v>
      </c>
      <c r="G385">
        <v>6.0896600333944603E-2</v>
      </c>
      <c r="H385">
        <v>0.98649138735033604</v>
      </c>
      <c r="I385">
        <v>0</v>
      </c>
    </row>
    <row r="386" spans="1:9" x14ac:dyDescent="0.25">
      <c r="A386">
        <v>-0.50145149230956998</v>
      </c>
      <c r="B386">
        <v>-5.6152172997735699</v>
      </c>
      <c r="C386">
        <v>5.57682377911987</v>
      </c>
      <c r="D386">
        <v>0</v>
      </c>
      <c r="E386">
        <v>0</v>
      </c>
      <c r="F386">
        <v>0</v>
      </c>
      <c r="G386">
        <v>0.128938766973442</v>
      </c>
      <c r="H386">
        <v>0.98957858972432899</v>
      </c>
      <c r="I386">
        <v>0</v>
      </c>
    </row>
    <row r="387" spans="1:9" x14ac:dyDescent="0.25">
      <c r="A387">
        <v>0.49999237060546797</v>
      </c>
      <c r="B387">
        <v>0.50009095518362301</v>
      </c>
      <c r="C387">
        <v>7.0460195813211604</v>
      </c>
      <c r="D387">
        <v>0.402294344122198</v>
      </c>
      <c r="E387">
        <v>-6.7833648508599403E-4</v>
      </c>
      <c r="F387">
        <v>1.6932210296799699E-4</v>
      </c>
      <c r="G387">
        <v>2.6523712694543702E-2</v>
      </c>
      <c r="H387">
        <v>0.65916861745395305</v>
      </c>
      <c r="I387" s="1">
        <v>9.1649389076341502E-7</v>
      </c>
    </row>
    <row r="388" spans="1:9" x14ac:dyDescent="0.25">
      <c r="A388">
        <v>1.54496669769287</v>
      </c>
      <c r="B388">
        <v>1.54366695730459</v>
      </c>
      <c r="C388">
        <v>7.4047493979378398</v>
      </c>
      <c r="D388">
        <v>1.3272266882788699</v>
      </c>
      <c r="E388">
        <v>-5.6754348424473602E-3</v>
      </c>
      <c r="F388">
        <v>5.4060515397732903E-4</v>
      </c>
      <c r="G388">
        <v>6.2360818487522902E-2</v>
      </c>
      <c r="H388">
        <v>0.84481299351641204</v>
      </c>
      <c r="I388" s="1">
        <v>4.5248926702869902E-5</v>
      </c>
    </row>
    <row r="389" spans="1:9" x14ac:dyDescent="0.25">
      <c r="A389">
        <v>2.6840543746948198</v>
      </c>
      <c r="B389">
        <v>2.6676466449953198</v>
      </c>
      <c r="C389">
        <v>7.9231266459828404</v>
      </c>
      <c r="D389">
        <v>2.49796669347838</v>
      </c>
      <c r="E389">
        <v>-2.2223920004519799E-2</v>
      </c>
      <c r="F389">
        <v>9.6224527532407097E-4</v>
      </c>
      <c r="G389">
        <v>0.10500057153855601</v>
      </c>
      <c r="H389">
        <v>0.89805838229769996</v>
      </c>
      <c r="I389">
        <v>2.7701260630845303E-4</v>
      </c>
    </row>
    <row r="390" spans="1:9" x14ac:dyDescent="0.25">
      <c r="A390">
        <v>3.9255237579345699</v>
      </c>
      <c r="B390">
        <v>3.8590499147630899</v>
      </c>
      <c r="C390">
        <v>8.6676704577257606</v>
      </c>
      <c r="D390">
        <v>3.9489503560483801</v>
      </c>
      <c r="E390">
        <v>-5.6952058655551002E-2</v>
      </c>
      <c r="F390">
        <v>1.4409488288704001E-3</v>
      </c>
      <c r="G390">
        <v>0.13862027164468799</v>
      </c>
      <c r="H390">
        <v>0.91114662971032201</v>
      </c>
      <c r="I390">
        <v>7.3331572734534E-4</v>
      </c>
    </row>
    <row r="391" spans="1:9" x14ac:dyDescent="0.25">
      <c r="A391">
        <v>5.2789807319641104</v>
      </c>
      <c r="B391">
        <v>5.0914529844976597</v>
      </c>
      <c r="C391">
        <v>9.6255115193343901</v>
      </c>
      <c r="D391">
        <v>5.6059257133539102</v>
      </c>
      <c r="E391">
        <v>-0.115517508526299</v>
      </c>
      <c r="F391">
        <v>1.9705564239829399E-3</v>
      </c>
      <c r="G391">
        <v>0.15490851749364601</v>
      </c>
      <c r="H391">
        <v>0.90590137928423797</v>
      </c>
      <c r="I391">
        <v>1.6506226259379701E-3</v>
      </c>
    </row>
    <row r="392" spans="1:9" x14ac:dyDescent="0.25">
      <c r="A392">
        <v>6.7539703845977703</v>
      </c>
      <c r="B392">
        <v>6.3251783832765698</v>
      </c>
      <c r="C392">
        <v>10.6561012729798</v>
      </c>
      <c r="D392">
        <v>7.2628435892613803</v>
      </c>
      <c r="E392">
        <v>-0.19816001154041701</v>
      </c>
      <c r="F392">
        <v>2.52507561188723E-3</v>
      </c>
      <c r="G392">
        <v>0.15711090409013401</v>
      </c>
      <c r="H392">
        <v>0.88982376499920202</v>
      </c>
      <c r="I392">
        <v>4.0104916136445602E-3</v>
      </c>
    </row>
    <row r="393" spans="1:9" x14ac:dyDescent="0.25">
      <c r="A393">
        <v>8.3618009090423495</v>
      </c>
      <c r="B393">
        <v>7.5142181798673802</v>
      </c>
      <c r="C393">
        <v>11.536338493897301</v>
      </c>
      <c r="D393">
        <v>8.6539212101503509</v>
      </c>
      <c r="E393">
        <v>-0.29785578710441002</v>
      </c>
      <c r="F393">
        <v>3.0643215907970802E-3</v>
      </c>
      <c r="G393">
        <v>0.154027326977735</v>
      </c>
      <c r="H393">
        <v>0.86841077919578202</v>
      </c>
      <c r="I393">
        <v>8.78844842638846E-3</v>
      </c>
    </row>
    <row r="394" spans="1:9" x14ac:dyDescent="0.25">
      <c r="A394">
        <v>10.114449262619001</v>
      </c>
      <c r="B394">
        <v>8.6176105722643097</v>
      </c>
      <c r="C394">
        <v>12.0757671782484</v>
      </c>
      <c r="D394">
        <v>9.5801725184271795</v>
      </c>
      <c r="E394">
        <v>-0.40293063294072401</v>
      </c>
      <c r="F394">
        <v>3.5516341726164399E-3</v>
      </c>
      <c r="G394">
        <v>0.15147557942360099</v>
      </c>
      <c r="H394">
        <v>0.84610272745357595</v>
      </c>
      <c r="I394">
        <v>1.37429829368119E-2</v>
      </c>
    </row>
    <row r="395" spans="1:9" x14ac:dyDescent="0.25">
      <c r="A395">
        <v>12.0248043537139</v>
      </c>
      <c r="B395">
        <v>9.60903817264807</v>
      </c>
      <c r="C395">
        <v>12.200523965293501</v>
      </c>
      <c r="D395">
        <v>9.9849414012944209</v>
      </c>
      <c r="E395">
        <v>-0.50236358261388403</v>
      </c>
      <c r="F395">
        <v>3.9706390327576401E-3</v>
      </c>
      <c r="G395">
        <v>0.14954287712047001</v>
      </c>
      <c r="H395">
        <v>0.82443942062917697</v>
      </c>
      <c r="I395">
        <v>1.4233872322124501E-2</v>
      </c>
    </row>
    <row r="396" spans="1:9" x14ac:dyDescent="0.25">
      <c r="A396">
        <v>14.106971025466899</v>
      </c>
      <c r="B396">
        <v>10.4794802650667</v>
      </c>
      <c r="C396">
        <v>11.950275164053799</v>
      </c>
      <c r="D396">
        <v>9.9348209772079201</v>
      </c>
      <c r="E396">
        <v>-0.58935786913077903</v>
      </c>
      <c r="F396">
        <v>4.3048955432056103E-3</v>
      </c>
      <c r="G396">
        <v>0.14578222952518699</v>
      </c>
      <c r="H396">
        <v>0.80276386434426406</v>
      </c>
      <c r="I396">
        <v>9.1761243151276296E-3</v>
      </c>
    </row>
    <row r="397" spans="1:9" x14ac:dyDescent="0.25">
      <c r="A397">
        <v>16.3765740394592</v>
      </c>
      <c r="B397">
        <v>11.233557401583299</v>
      </c>
      <c r="C397">
        <v>11.423227061459301</v>
      </c>
      <c r="D397">
        <v>9.5529826922663599</v>
      </c>
      <c r="E397">
        <v>-0.66158500503897399</v>
      </c>
      <c r="F397">
        <v>4.5273234885488903E-3</v>
      </c>
      <c r="G397">
        <v>0.13878414681545401</v>
      </c>
      <c r="H397">
        <v>0.78017526292496497</v>
      </c>
      <c r="I397">
        <v>1.5056075677992401E-3</v>
      </c>
    </row>
    <row r="398" spans="1:9" x14ac:dyDescent="0.25">
      <c r="A398">
        <v>18.850514888763399</v>
      </c>
      <c r="B398">
        <v>11.883451728508501</v>
      </c>
      <c r="C398">
        <v>10.724671376738099</v>
      </c>
      <c r="D398">
        <v>8.9630152594440702</v>
      </c>
      <c r="E398">
        <v>-0.719654182505434</v>
      </c>
      <c r="F398">
        <v>4.6090999773915802E-3</v>
      </c>
      <c r="G398">
        <v>0.12896268198608099</v>
      </c>
      <c r="H398">
        <v>0.75635740945361696</v>
      </c>
      <c r="I398">
        <v>-5.67176210775866E-3</v>
      </c>
    </row>
    <row r="399" spans="1:9" x14ac:dyDescent="0.25">
      <c r="A399">
        <v>21.5470933914184</v>
      </c>
      <c r="B399">
        <v>12.4438380583978</v>
      </c>
      <c r="C399">
        <v>9.9411803970724506</v>
      </c>
      <c r="D399">
        <v>8.2645546966146508</v>
      </c>
      <c r="E399">
        <v>-0.76547943014890196</v>
      </c>
      <c r="F399">
        <v>4.5301946337127303E-3</v>
      </c>
      <c r="G399">
        <v>0.11761022412524</v>
      </c>
      <c r="H399">
        <v>0.73152495222379599</v>
      </c>
      <c r="I399">
        <v>-1.09501323903256E-2</v>
      </c>
    </row>
    <row r="400" spans="1:9" x14ac:dyDescent="0.25">
      <c r="A400">
        <v>24.4862508773803</v>
      </c>
      <c r="B400">
        <v>12.929110018894701</v>
      </c>
      <c r="C400">
        <v>9.1350771610450394</v>
      </c>
      <c r="D400">
        <v>7.5278898999242001</v>
      </c>
      <c r="E400">
        <v>-0.80124083801141299</v>
      </c>
      <c r="F400">
        <v>4.2941809845035697E-3</v>
      </c>
      <c r="G400">
        <v>0.105941981619877</v>
      </c>
      <c r="H400">
        <v>0.70618340751011999</v>
      </c>
      <c r="I400">
        <v>-1.42283049238109E-2</v>
      </c>
    </row>
    <row r="401" spans="1:9" x14ac:dyDescent="0.25">
      <c r="A401">
        <v>27.690056562423699</v>
      </c>
      <c r="B401">
        <v>13.352186916754301</v>
      </c>
      <c r="C401">
        <v>8.3477624324586905</v>
      </c>
      <c r="D401">
        <v>6.79863873804468</v>
      </c>
      <c r="E401">
        <v>-0.82892757772527104</v>
      </c>
      <c r="F401">
        <v>3.9162710869936499E-3</v>
      </c>
      <c r="G401">
        <v>9.4729087409797005E-2</v>
      </c>
      <c r="H401">
        <v>0.68096343209022203</v>
      </c>
      <c r="I401">
        <v>-1.59036691283896E-2</v>
      </c>
    </row>
    <row r="402" spans="1:9" x14ac:dyDescent="0.25">
      <c r="A402">
        <v>31.182160377502399</v>
      </c>
      <c r="B402">
        <v>13.7242021545625</v>
      </c>
      <c r="C402">
        <v>7.6049568604503301</v>
      </c>
      <c r="D402">
        <v>6.1058562708770099</v>
      </c>
      <c r="E402">
        <v>-0.85020229299855998</v>
      </c>
      <c r="F402">
        <v>3.4305529180228798E-3</v>
      </c>
      <c r="G402">
        <v>8.4321624815763094E-2</v>
      </c>
      <c r="H402">
        <v>0.65648518707157799</v>
      </c>
      <c r="I402">
        <v>-1.6418515243305901E-2</v>
      </c>
    </row>
    <row r="403" spans="1:9" x14ac:dyDescent="0.25">
      <c r="A403">
        <v>34.988522529602001</v>
      </c>
      <c r="B403">
        <v>14.0546172246195</v>
      </c>
      <c r="C403">
        <v>6.9211435682518596</v>
      </c>
      <c r="D403">
        <v>5.46580388419118</v>
      </c>
      <c r="E403">
        <v>-0.86638332084145897</v>
      </c>
      <c r="F403">
        <v>2.8740313944846602E-3</v>
      </c>
      <c r="G403">
        <v>7.4808572065784895E-2</v>
      </c>
      <c r="H403">
        <v>0.63329037106613795</v>
      </c>
      <c r="I403">
        <v>-1.6125547317694E-2</v>
      </c>
    </row>
    <row r="404" spans="1:9" x14ac:dyDescent="0.25">
      <c r="A404">
        <v>39.137535095214801</v>
      </c>
      <c r="B404">
        <v>14.3513888999677</v>
      </c>
      <c r="C404">
        <v>6.3031198586031598</v>
      </c>
      <c r="D404">
        <v>4.8864417441908401</v>
      </c>
      <c r="E404">
        <v>-0.878488428018384</v>
      </c>
      <c r="F404">
        <v>2.2736745677021798E-3</v>
      </c>
      <c r="G404">
        <v>6.6157921127208599E-2</v>
      </c>
      <c r="H404">
        <v>0.61175513124387104</v>
      </c>
      <c r="I404">
        <v>-1.52871975857828E-2</v>
      </c>
    </row>
    <row r="405" spans="1:9" x14ac:dyDescent="0.25">
      <c r="A405">
        <v>43.659839630126903</v>
      </c>
      <c r="B405">
        <v>14.6211212262369</v>
      </c>
      <c r="C405">
        <v>5.7523391535141801</v>
      </c>
      <c r="D405">
        <v>4.3701850742439996</v>
      </c>
      <c r="E405">
        <v>-0.88727399254454198</v>
      </c>
      <c r="F405">
        <v>1.6773602397658E-3</v>
      </c>
      <c r="G405">
        <v>5.8319039035975503E-2</v>
      </c>
      <c r="H405">
        <v>0.59207623622585503</v>
      </c>
      <c r="I405">
        <v>-1.4108828443125301E-2</v>
      </c>
    </row>
    <row r="406" spans="1:9" x14ac:dyDescent="0.25">
      <c r="A406">
        <v>48.589299917220998</v>
      </c>
      <c r="B406">
        <v>14.8692631110407</v>
      </c>
      <c r="C406">
        <v>5.2666728899566797</v>
      </c>
      <c r="D406">
        <v>3.9166431958476502</v>
      </c>
      <c r="E406">
        <v>-0.89330274814105703</v>
      </c>
      <c r="F406">
        <v>1.11993458844473E-3</v>
      </c>
      <c r="G406">
        <v>5.1255274455642597E-2</v>
      </c>
      <c r="H406">
        <v>0.57427289565110695</v>
      </c>
      <c r="I406">
        <v>-1.27576593274483E-2</v>
      </c>
    </row>
    <row r="407" spans="1:9" x14ac:dyDescent="0.25">
      <c r="A407">
        <v>53.962393999099703</v>
      </c>
      <c r="B407">
        <v>15.100374309704399</v>
      </c>
      <c r="C407">
        <v>4.8416765866932101</v>
      </c>
      <c r="D407">
        <v>3.52192769673914</v>
      </c>
      <c r="E407">
        <v>-0.89702443705659296</v>
      </c>
      <c r="F407">
        <v>6.50901401568817E-4</v>
      </c>
      <c r="G407">
        <v>4.4951550933499798E-2</v>
      </c>
      <c r="H407">
        <v>0.55827170788987601</v>
      </c>
      <c r="I407">
        <v>-1.13696604043579E-2</v>
      </c>
    </row>
    <row r="408" spans="1:9" x14ac:dyDescent="0.25">
      <c r="A408">
        <v>59.819004535674999</v>
      </c>
      <c r="B408">
        <v>15.318163423225901</v>
      </c>
      <c r="C408">
        <v>4.4716382762999203</v>
      </c>
      <c r="D408">
        <v>3.1813238771685799</v>
      </c>
      <c r="E408">
        <v>-0.89880779125211097</v>
      </c>
      <c r="F408">
        <v>3.1909911431675001E-4</v>
      </c>
      <c r="G408">
        <v>3.9382825928183401E-2</v>
      </c>
      <c r="H408">
        <v>0.543884227527903</v>
      </c>
      <c r="I408">
        <v>-1.00367633369418E-2</v>
      </c>
    </row>
    <row r="409" spans="1:9" x14ac:dyDescent="0.25">
      <c r="A409">
        <v>66.2026619911193</v>
      </c>
      <c r="B409">
        <v>15.5256854876734</v>
      </c>
      <c r="C409">
        <v>4.1501665922623898</v>
      </c>
      <c r="D409">
        <v>2.88884146884629</v>
      </c>
      <c r="E409">
        <v>-0.89896002339869596</v>
      </c>
      <c r="F409" s="1">
        <v>7.3007101894893403E-5</v>
      </c>
      <c r="G409">
        <v>3.4511477625523E-2</v>
      </c>
      <c r="H409">
        <v>0.53086509771895696</v>
      </c>
      <c r="I409">
        <v>-8.8168351475175905E-3</v>
      </c>
    </row>
    <row r="410" spans="1:9" x14ac:dyDescent="0.25">
      <c r="A410">
        <v>73.160848617553697</v>
      </c>
      <c r="B410">
        <v>15.725448368475501</v>
      </c>
      <c r="C410">
        <v>3.87070859787854</v>
      </c>
      <c r="D410">
        <v>2.6385067828195301</v>
      </c>
      <c r="E410">
        <v>-0.89772253923245704</v>
      </c>
      <c r="F410">
        <v>-1.43399852914543E-4</v>
      </c>
      <c r="G410">
        <v>3.0281239468516599E-2</v>
      </c>
      <c r="H410">
        <v>0.51884529446262295</v>
      </c>
      <c r="I410">
        <v>-7.7359965124143004E-3</v>
      </c>
    </row>
    <row r="411" spans="1:9" x14ac:dyDescent="0.25">
      <c r="A411">
        <v>80.745424032211304</v>
      </c>
      <c r="B411">
        <v>15.9195191547132</v>
      </c>
      <c r="C411">
        <v>3.6269720450945901</v>
      </c>
      <c r="D411">
        <v>2.4240509217640298</v>
      </c>
      <c r="E411">
        <v>-0.89529404777362398</v>
      </c>
      <c r="F411">
        <v>-3.3458701141470898E-4</v>
      </c>
      <c r="G411">
        <v>2.6633795984524401E-2</v>
      </c>
      <c r="H411">
        <v>0.50768361396499095</v>
      </c>
      <c r="I411">
        <v>-6.8001385072581199E-3</v>
      </c>
    </row>
    <row r="412" spans="1:9" x14ac:dyDescent="0.25">
      <c r="A412">
        <v>89.012442827224703</v>
      </c>
      <c r="B412">
        <v>16.1095393583036</v>
      </c>
      <c r="C412">
        <v>3.4133119128455198</v>
      </c>
      <c r="D412">
        <v>2.2403168316593902</v>
      </c>
      <c r="E412">
        <v>-0.89180035493039</v>
      </c>
      <c r="F412">
        <v>-4.3597738175704502E-4</v>
      </c>
      <c r="G412">
        <v>2.3497606380995E-2</v>
      </c>
      <c r="H412">
        <v>0.497219769752961</v>
      </c>
      <c r="I412">
        <v>-5.9969630332304099E-3</v>
      </c>
    </row>
    <row r="413" spans="1:9" x14ac:dyDescent="0.25">
      <c r="A413">
        <v>98.0235528945922</v>
      </c>
      <c r="B413">
        <v>16.296899704620898</v>
      </c>
      <c r="C413">
        <v>3.2246897188088002</v>
      </c>
      <c r="D413">
        <v>2.0818312402636701</v>
      </c>
      <c r="E413">
        <v>-0.88732028469906299</v>
      </c>
      <c r="F413">
        <v>-2.87692694615575E-4</v>
      </c>
      <c r="G413">
        <v>2.0803134749877501E-2</v>
      </c>
      <c r="H413">
        <v>0.48729207520381201</v>
      </c>
      <c r="I413">
        <v>-5.3098647441767203E-3</v>
      </c>
    </row>
    <row r="414" spans="1:9" x14ac:dyDescent="0.25">
      <c r="A414">
        <v>107.845630645751</v>
      </c>
      <c r="B414">
        <v>16.482686935351001</v>
      </c>
      <c r="C414">
        <v>3.05673999264399</v>
      </c>
      <c r="D414">
        <v>1.94485398448853</v>
      </c>
      <c r="E414">
        <v>-0.88187627524810197</v>
      </c>
      <c r="F414" s="1">
        <v>1.3926021652871701E-4</v>
      </c>
      <c r="G414">
        <v>1.8490810120295201E-2</v>
      </c>
      <c r="H414">
        <v>0.47782682164802798</v>
      </c>
      <c r="I414">
        <v>-4.7239036627783303E-3</v>
      </c>
    </row>
    <row r="415" spans="1:9" x14ac:dyDescent="0.25">
      <c r="A415">
        <v>118.551753759384</v>
      </c>
      <c r="B415">
        <v>16.6680257901407</v>
      </c>
      <c r="C415">
        <v>2.9057508781079302</v>
      </c>
      <c r="D415">
        <v>1.824883698784</v>
      </c>
      <c r="E415">
        <v>-0.87542196097970704</v>
      </c>
      <c r="F415">
        <v>7.2820947633153905E-4</v>
      </c>
      <c r="G415">
        <v>1.65082949718202E-2</v>
      </c>
      <c r="H415">
        <v>0.46892015452935398</v>
      </c>
      <c r="I415">
        <v>-4.22581360013296E-3</v>
      </c>
    </row>
    <row r="416" spans="1:9" x14ac:dyDescent="0.25">
      <c r="A416">
        <v>130.22150516510001</v>
      </c>
      <c r="B416">
        <v>16.8539422139383</v>
      </c>
      <c r="C416">
        <v>2.76914174683042</v>
      </c>
      <c r="D416">
        <v>1.7196074315879699</v>
      </c>
      <c r="E416">
        <v>-0.86795963381160401</v>
      </c>
      <c r="F416">
        <v>1.44657868472106E-3</v>
      </c>
      <c r="G416">
        <v>1.48037469708121E-2</v>
      </c>
      <c r="H416">
        <v>0.46044806568250501</v>
      </c>
      <c r="I416">
        <v>-3.80118295299737E-3</v>
      </c>
    </row>
    <row r="417" spans="1:9" x14ac:dyDescent="0.25">
      <c r="A417">
        <v>142.941337823867</v>
      </c>
      <c r="B417">
        <v>17.041363356993301</v>
      </c>
      <c r="C417">
        <v>2.6452370473634801</v>
      </c>
      <c r="D417">
        <v>1.6264141252320701</v>
      </c>
      <c r="E417">
        <v>-0.859358005293685</v>
      </c>
      <c r="F417">
        <v>2.0019335823550999E-3</v>
      </c>
      <c r="G417">
        <v>1.3330834777848501E-2</v>
      </c>
      <c r="H417">
        <v>0.45202380750910698</v>
      </c>
      <c r="I417">
        <v>-3.4348973169766998E-3</v>
      </c>
    </row>
    <row r="418" spans="1:9" x14ac:dyDescent="0.25">
      <c r="A418">
        <v>156.806094646453</v>
      </c>
      <c r="B418">
        <v>17.230973182604401</v>
      </c>
      <c r="C418">
        <v>2.5319058510831298</v>
      </c>
      <c r="D418">
        <v>1.5430899103870299</v>
      </c>
      <c r="E418">
        <v>-0.84977724455959502</v>
      </c>
      <c r="F418">
        <v>2.26587237404457E-3</v>
      </c>
      <c r="G418">
        <v>1.20615287723068E-2</v>
      </c>
      <c r="H418">
        <v>0.44357966040720598</v>
      </c>
      <c r="I418">
        <v>-3.1201564008908299E-3</v>
      </c>
    </row>
    <row r="419" spans="1:9" x14ac:dyDescent="0.25">
      <c r="A419">
        <v>171.91864371299701</v>
      </c>
      <c r="B419">
        <v>17.4234480544782</v>
      </c>
      <c r="C419">
        <v>2.42926076034564</v>
      </c>
      <c r="D419">
        <v>1.46855781354824</v>
      </c>
      <c r="E419">
        <v>-0.83882328480027302</v>
      </c>
      <c r="F419">
        <v>2.46101351019216E-3</v>
      </c>
      <c r="G419">
        <v>1.09584568983093E-2</v>
      </c>
      <c r="H419">
        <v>0.43262500397537701</v>
      </c>
      <c r="I419">
        <v>-2.8552812372201002E-3</v>
      </c>
    </row>
    <row r="420" spans="1:9" x14ac:dyDescent="0.25">
      <c r="A420">
        <v>187.726768255233</v>
      </c>
      <c r="B420">
        <v>17.6112719759203</v>
      </c>
      <c r="C420">
        <v>2.3388685091958901</v>
      </c>
      <c r="D420">
        <v>1.40363065685767</v>
      </c>
      <c r="E420">
        <v>-0.82705118052388704</v>
      </c>
      <c r="F420">
        <v>2.6325043783768601E-3</v>
      </c>
      <c r="G420">
        <v>9.9150440012411301E-3</v>
      </c>
      <c r="H420">
        <v>0.43537289442541899</v>
      </c>
      <c r="I420">
        <v>-2.53113724918363E-3</v>
      </c>
    </row>
    <row r="421" spans="1:9" x14ac:dyDescent="0.25">
      <c r="A421">
        <v>203.579578399658</v>
      </c>
      <c r="B421">
        <v>17.787848500893201</v>
      </c>
      <c r="C421">
        <v>2.2601651396143998</v>
      </c>
      <c r="D421">
        <v>1.34783300209943</v>
      </c>
      <c r="E421">
        <v>-0.81480846079889602</v>
      </c>
      <c r="F421">
        <v>2.7977501600934501E-3</v>
      </c>
      <c r="G421">
        <v>9.0539341781367307E-3</v>
      </c>
      <c r="H421">
        <v>0.43625765685037099</v>
      </c>
      <c r="I421">
        <v>-2.2694279527948201E-3</v>
      </c>
    </row>
    <row r="422" spans="1:9" x14ac:dyDescent="0.25">
      <c r="A422">
        <v>219.43238854408199</v>
      </c>
      <c r="B422">
        <v>17.954347966597101</v>
      </c>
      <c r="C422">
        <v>2.1890671602704899</v>
      </c>
      <c r="D422">
        <v>1.29775900331248</v>
      </c>
      <c r="E422">
        <v>-0.80232171217800796</v>
      </c>
      <c r="F422">
        <v>2.9344518341215698E-3</v>
      </c>
      <c r="G422">
        <v>8.3467421198972803E-3</v>
      </c>
      <c r="H422">
        <v>0.43678001672691102</v>
      </c>
      <c r="I422">
        <v>-2.05775163640446E-3</v>
      </c>
    </row>
    <row r="423" spans="1:9" x14ac:dyDescent="0.25">
      <c r="A423">
        <v>235.28525948524401</v>
      </c>
      <c r="B423">
        <v>18.112069903299901</v>
      </c>
      <c r="C423">
        <v>2.12378996575353</v>
      </c>
      <c r="D423">
        <v>1.2532030666609799</v>
      </c>
      <c r="E423">
        <v>-0.78940039043378896</v>
      </c>
      <c r="F423">
        <v>2.69970472021359E-3</v>
      </c>
      <c r="G423">
        <v>7.7476640330588799E-3</v>
      </c>
      <c r="H423">
        <v>0.43707483495201199</v>
      </c>
      <c r="I423">
        <v>-1.87983771243191E-3</v>
      </c>
    </row>
    <row r="424" spans="1:9" x14ac:dyDescent="0.25">
      <c r="A424">
        <v>251.13806962966899</v>
      </c>
      <c r="B424">
        <v>18.262123851463901</v>
      </c>
      <c r="C424">
        <v>2.0627386714295399</v>
      </c>
      <c r="D424">
        <v>1.2124748462870201</v>
      </c>
      <c r="E424">
        <v>-0.77626056083724504</v>
      </c>
      <c r="F424">
        <v>2.4790681550592498E-3</v>
      </c>
      <c r="G424">
        <v>7.2300218502830103E-3</v>
      </c>
      <c r="H424">
        <v>0.43748466704387101</v>
      </c>
      <c r="I424">
        <v>-1.72702592441815E-3</v>
      </c>
    </row>
    <row r="425" spans="1:9" x14ac:dyDescent="0.25">
      <c r="A425">
        <v>266.99081897735499</v>
      </c>
      <c r="B425">
        <v>18.405550955221699</v>
      </c>
      <c r="C425">
        <v>2.0052014695465901</v>
      </c>
      <c r="D425">
        <v>1.1745300038221</v>
      </c>
      <c r="E425">
        <v>-0.76277636818475103</v>
      </c>
      <c r="F425">
        <v>2.4735974652589999E-3</v>
      </c>
      <c r="G425">
        <v>6.7748532597786898E-3</v>
      </c>
      <c r="H425">
        <v>0.43803980086108202</v>
      </c>
      <c r="I425">
        <v>-1.59446616114074E-3</v>
      </c>
    </row>
    <row r="426" spans="1:9" x14ac:dyDescent="0.25">
      <c r="A426">
        <v>282.84362912178</v>
      </c>
      <c r="B426">
        <v>18.543240366861902</v>
      </c>
      <c r="C426">
        <v>1.95085900468257</v>
      </c>
      <c r="D426">
        <v>1.13967040143599</v>
      </c>
      <c r="E426">
        <v>-0.74906818788854301</v>
      </c>
      <c r="F426">
        <v>2.73799852215088E-3</v>
      </c>
      <c r="G426">
        <v>6.36637899012536E-3</v>
      </c>
      <c r="H426">
        <v>0.43840434771617098</v>
      </c>
      <c r="I426">
        <v>-1.4767738798290801E-3</v>
      </c>
    </row>
    <row r="427" spans="1:9" x14ac:dyDescent="0.25">
      <c r="A427">
        <v>298.69643926620398</v>
      </c>
      <c r="B427">
        <v>18.675792454168899</v>
      </c>
      <c r="C427">
        <v>1.8990160282555699</v>
      </c>
      <c r="D427">
        <v>1.1065138280576099</v>
      </c>
      <c r="E427">
        <v>-0.73512509700809703</v>
      </c>
      <c r="F427">
        <v>2.9058701751767E-3</v>
      </c>
      <c r="G427">
        <v>5.9941833172190697E-3</v>
      </c>
      <c r="H427">
        <v>0.438665158540614</v>
      </c>
      <c r="I427">
        <v>-1.37064625485118E-3</v>
      </c>
    </row>
    <row r="428" spans="1:9" x14ac:dyDescent="0.25">
      <c r="A428">
        <v>314.54931020736598</v>
      </c>
      <c r="B428">
        <v>18.803533999607598</v>
      </c>
      <c r="C428">
        <v>1.8489880551442099</v>
      </c>
      <c r="D428">
        <v>1.0746652749902299</v>
      </c>
      <c r="E428">
        <v>-0.72105220200611797</v>
      </c>
      <c r="F428">
        <v>2.7677080722404899E-3</v>
      </c>
      <c r="G428">
        <v>5.6558231504462196E-3</v>
      </c>
      <c r="H428">
        <v>0.438975524409565</v>
      </c>
      <c r="I428">
        <v>-1.2751289904285299E-3</v>
      </c>
    </row>
    <row r="429" spans="1:9" x14ac:dyDescent="0.25">
      <c r="A429">
        <v>330.40212035179098</v>
      </c>
      <c r="B429">
        <v>18.926814584419802</v>
      </c>
      <c r="C429">
        <v>1.8003483318807401</v>
      </c>
      <c r="D429">
        <v>1.04404651279222</v>
      </c>
      <c r="E429">
        <v>-0.70679994953990399</v>
      </c>
      <c r="F429">
        <v>2.4342025804276698E-3</v>
      </c>
      <c r="G429">
        <v>5.3472002205945598E-3</v>
      </c>
      <c r="H429">
        <v>0.43947936040942698</v>
      </c>
      <c r="I429">
        <v>-1.18931002318065E-3</v>
      </c>
    </row>
    <row r="430" spans="1:9" x14ac:dyDescent="0.25">
      <c r="A430">
        <v>346.25493049621502</v>
      </c>
      <c r="B430">
        <v>19.0460445865846</v>
      </c>
      <c r="C430">
        <v>1.75334891268903</v>
      </c>
      <c r="D430">
        <v>1.0147351480140601</v>
      </c>
      <c r="E430">
        <v>-0.69238269905231198</v>
      </c>
      <c r="F430">
        <v>2.01537099183991E-3</v>
      </c>
      <c r="G430">
        <v>5.0589523750571496E-3</v>
      </c>
      <c r="H430">
        <v>0.43972334350176201</v>
      </c>
      <c r="I430">
        <v>-1.10858145477473E-3</v>
      </c>
    </row>
    <row r="431" spans="1:9" x14ac:dyDescent="0.25">
      <c r="A431">
        <v>362.10780143737702</v>
      </c>
      <c r="B431">
        <v>19.161436794684001</v>
      </c>
      <c r="C431">
        <v>1.70778611977766</v>
      </c>
      <c r="D431">
        <v>0.98618994211921696</v>
      </c>
      <c r="E431">
        <v>-0.67779552943539301</v>
      </c>
      <c r="F431">
        <v>1.8124658225464601E-3</v>
      </c>
      <c r="G431">
        <v>4.7883381680561997E-3</v>
      </c>
      <c r="H431">
        <v>0.43974531648035398</v>
      </c>
      <c r="I431">
        <v>-1.0339072779926E-3</v>
      </c>
    </row>
    <row r="432" spans="1:9" x14ac:dyDescent="0.25">
      <c r="A432">
        <v>377.96061158180203</v>
      </c>
      <c r="B432">
        <v>19.273173598930899</v>
      </c>
      <c r="C432">
        <v>1.6632362749533001</v>
      </c>
      <c r="D432">
        <v>0.95868181685839404</v>
      </c>
      <c r="E432">
        <v>-0.66310585738498196</v>
      </c>
      <c r="F432">
        <v>1.79679260349545E-3</v>
      </c>
      <c r="G432">
        <v>4.5348282723421699E-3</v>
      </c>
      <c r="H432">
        <v>0.43991560962861698</v>
      </c>
      <c r="I432">
        <v>-9.6473013367177202E-4</v>
      </c>
    </row>
    <row r="433" spans="1:9" x14ac:dyDescent="0.25">
      <c r="A433">
        <v>393.81348252296402</v>
      </c>
      <c r="B433">
        <v>19.3814905866838</v>
      </c>
      <c r="C433">
        <v>1.61931591514985</v>
      </c>
      <c r="D433">
        <v>0.93150758727546101</v>
      </c>
      <c r="E433">
        <v>-0.648280081102804</v>
      </c>
      <c r="F433">
        <v>1.8981318495665501E-3</v>
      </c>
      <c r="G433">
        <v>4.2957824250062001E-3</v>
      </c>
      <c r="H433">
        <v>0.440241612202457</v>
      </c>
      <c r="I433">
        <v>-8.9964184887936596E-4</v>
      </c>
    </row>
    <row r="434" spans="1:9" x14ac:dyDescent="0.25">
      <c r="A434">
        <v>409.66629266738801</v>
      </c>
      <c r="B434">
        <v>19.4866841420389</v>
      </c>
      <c r="C434">
        <v>1.5760809867060701</v>
      </c>
      <c r="D434">
        <v>0.90462106453718105</v>
      </c>
      <c r="E434">
        <v>-0.63330783129508095</v>
      </c>
      <c r="F434">
        <v>2.0109142422249102E-3</v>
      </c>
      <c r="G434">
        <v>4.0700085026594097E-3</v>
      </c>
      <c r="H434">
        <v>0.44056079604982901</v>
      </c>
      <c r="I434">
        <v>-8.3893330574312595E-4</v>
      </c>
    </row>
    <row r="435" spans="1:9" x14ac:dyDescent="0.25">
      <c r="A435">
        <v>425.519042015075</v>
      </c>
      <c r="B435">
        <v>19.588929055616902</v>
      </c>
      <c r="C435">
        <v>1.53328889778094</v>
      </c>
      <c r="D435">
        <v>0.87886226219116903</v>
      </c>
      <c r="E435">
        <v>-0.61823249440421502</v>
      </c>
      <c r="F435">
        <v>1.9638207020896601E-3</v>
      </c>
      <c r="G435">
        <v>3.8555654854945899E-3</v>
      </c>
      <c r="H435">
        <v>0.440867047750098</v>
      </c>
      <c r="I435">
        <v>-7.8229111550222297E-4</v>
      </c>
    </row>
    <row r="436" spans="1:9" x14ac:dyDescent="0.25">
      <c r="A436">
        <v>441.371912956237</v>
      </c>
      <c r="B436">
        <v>19.6882253274179</v>
      </c>
      <c r="C436">
        <v>1.4906372069617599</v>
      </c>
      <c r="D436">
        <v>0.853005265935323</v>
      </c>
      <c r="E436">
        <v>-0.60304392726546396</v>
      </c>
      <c r="F436">
        <v>1.82652303947549E-3</v>
      </c>
      <c r="G436">
        <v>3.6494506063808499E-3</v>
      </c>
      <c r="H436">
        <v>0.44100891427581002</v>
      </c>
      <c r="I436">
        <v>-7.2799757048470795E-4</v>
      </c>
    </row>
    <row r="437" spans="1:9" x14ac:dyDescent="0.25">
      <c r="A437">
        <v>457.22478389739899</v>
      </c>
      <c r="B437">
        <v>19.784534959480801</v>
      </c>
      <c r="C437">
        <v>1.4482807424883499</v>
      </c>
      <c r="D437">
        <v>0.82736512513254801</v>
      </c>
      <c r="E437">
        <v>-0.58776138382086496</v>
      </c>
      <c r="F437">
        <v>1.6898076149641499E-3</v>
      </c>
      <c r="G437">
        <v>3.4521104625500898E-3</v>
      </c>
      <c r="H437">
        <v>0.441047406930129</v>
      </c>
      <c r="I437">
        <v>-6.7687808567963603E-4</v>
      </c>
    </row>
    <row r="438" spans="1:9" x14ac:dyDescent="0.25">
      <c r="A438">
        <v>473.07753324508599</v>
      </c>
      <c r="B438">
        <v>19.877964346096601</v>
      </c>
      <c r="C438">
        <v>1.40631176259375</v>
      </c>
      <c r="D438">
        <v>0.80215244517409401</v>
      </c>
      <c r="E438">
        <v>-0.57237113736693002</v>
      </c>
      <c r="F438">
        <v>1.69101429006844E-3</v>
      </c>
      <c r="G438">
        <v>3.2634017403093299E-3</v>
      </c>
      <c r="H438">
        <v>0.44098382655253898</v>
      </c>
      <c r="I438">
        <v>-6.2860132563555195E-4</v>
      </c>
    </row>
    <row r="439" spans="1:9" x14ac:dyDescent="0.25">
      <c r="A439">
        <v>488.93034338951099</v>
      </c>
      <c r="B439">
        <v>19.968711076662601</v>
      </c>
      <c r="C439">
        <v>1.36451251419202</v>
      </c>
      <c r="D439">
        <v>0.77745147715074803</v>
      </c>
      <c r="E439">
        <v>-0.55685715296618199</v>
      </c>
      <c r="F439">
        <v>1.7335640412398899E-3</v>
      </c>
      <c r="G439">
        <v>3.0850232949269098E-3</v>
      </c>
      <c r="H439">
        <v>0.44116503047215799</v>
      </c>
      <c r="I439">
        <v>-5.8350629090941995E-4</v>
      </c>
    </row>
    <row r="440" spans="1:9" x14ac:dyDescent="0.25">
      <c r="A440">
        <v>504.78321433067299</v>
      </c>
      <c r="B440">
        <v>20.0568815454698</v>
      </c>
      <c r="C440">
        <v>1.3230602986823199</v>
      </c>
      <c r="D440">
        <v>0.75296414689490998</v>
      </c>
      <c r="E440">
        <v>-0.54125682827589505</v>
      </c>
      <c r="F440">
        <v>1.7662418541155699E-3</v>
      </c>
      <c r="G440">
        <v>2.91479165461692E-3</v>
      </c>
      <c r="H440">
        <v>0.441371143697802</v>
      </c>
      <c r="I440">
        <v>-5.40851097102766E-4</v>
      </c>
    </row>
    <row r="441" spans="1:9" x14ac:dyDescent="0.25">
      <c r="A441">
        <v>520.63602447509697</v>
      </c>
      <c r="B441">
        <v>20.142513750479299</v>
      </c>
      <c r="C441">
        <v>1.28186758902302</v>
      </c>
      <c r="D441">
        <v>0.72833460865849198</v>
      </c>
      <c r="E441">
        <v>-0.52556636750478003</v>
      </c>
      <c r="F441">
        <v>1.76221684154165E-3</v>
      </c>
      <c r="G441">
        <v>2.7517167848076199E-3</v>
      </c>
      <c r="H441">
        <v>0.441477318896281</v>
      </c>
      <c r="I441">
        <v>-5.0046936766664303E-4</v>
      </c>
    </row>
    <row r="442" spans="1:9" x14ac:dyDescent="0.25">
      <c r="A442">
        <v>536.48889541625897</v>
      </c>
      <c r="B442">
        <v>20.225668488428699</v>
      </c>
      <c r="C442">
        <v>1.2410573961915301</v>
      </c>
      <c r="D442">
        <v>0.70438416303610996</v>
      </c>
      <c r="E442">
        <v>-0.50978034532420902</v>
      </c>
      <c r="F442">
        <v>1.6431701546426301E-3</v>
      </c>
      <c r="G442">
        <v>2.5948586049397999E-3</v>
      </c>
      <c r="H442">
        <v>0.44148323865688299</v>
      </c>
      <c r="I442">
        <v>-4.6173391635438103E-4</v>
      </c>
    </row>
    <row r="443" spans="1:9" x14ac:dyDescent="0.25">
      <c r="A443">
        <v>552.34173595905304</v>
      </c>
      <c r="B443">
        <v>20.306452153608902</v>
      </c>
      <c r="C443">
        <v>1.2008215700006899</v>
      </c>
      <c r="D443">
        <v>0.68087812470106002</v>
      </c>
      <c r="E443">
        <v>-0.493888039349061</v>
      </c>
      <c r="F443">
        <v>1.4994719959465501E-3</v>
      </c>
      <c r="G443">
        <v>2.44382916616379E-3</v>
      </c>
      <c r="H443">
        <v>0.44142826504969301</v>
      </c>
      <c r="I443">
        <v>-4.2531987324302499E-4</v>
      </c>
    </row>
    <row r="444" spans="1:9" x14ac:dyDescent="0.25">
      <c r="A444">
        <v>568.19448530673901</v>
      </c>
      <c r="B444">
        <v>20.384872345612099</v>
      </c>
      <c r="C444">
        <v>1.1611142178935501</v>
      </c>
      <c r="D444">
        <v>0.65756051257190096</v>
      </c>
      <c r="E444">
        <v>-0.47793883371599399</v>
      </c>
      <c r="F444">
        <v>1.36387591508699E-3</v>
      </c>
      <c r="G444">
        <v>2.3000176716809098E-3</v>
      </c>
      <c r="H444">
        <v>0.44150382985847397</v>
      </c>
      <c r="I444">
        <v>-3.9136236523027199E-4</v>
      </c>
    </row>
    <row r="445" spans="1:9" x14ac:dyDescent="0.25">
      <c r="A445">
        <v>584.04732584953297</v>
      </c>
      <c r="B445">
        <v>20.460967062399501</v>
      </c>
      <c r="C445">
        <v>1.1217180599032801</v>
      </c>
      <c r="D445">
        <v>0.63399562311550905</v>
      </c>
      <c r="E445">
        <v>-0.461900308970638</v>
      </c>
      <c r="F445">
        <v>1.1585367208369901E-3</v>
      </c>
      <c r="G445">
        <v>2.1630165456991901E-3</v>
      </c>
      <c r="H445">
        <v>0.44169696648616302</v>
      </c>
      <c r="I445">
        <v>-3.5932258398656302E-4</v>
      </c>
    </row>
    <row r="446" spans="1:9" x14ac:dyDescent="0.25">
      <c r="A446">
        <v>599.90016639232601</v>
      </c>
      <c r="B446">
        <v>20.534713505194301</v>
      </c>
      <c r="C446">
        <v>1.0826069561971901</v>
      </c>
      <c r="D446">
        <v>0.61082677106585903</v>
      </c>
      <c r="E446">
        <v>-0.44580777676313699</v>
      </c>
      <c r="F446">
        <v>9.1907304632730003E-4</v>
      </c>
      <c r="G446">
        <v>2.0322804651869602E-3</v>
      </c>
      <c r="H446">
        <v>0.441866345134455</v>
      </c>
      <c r="I446">
        <v>-3.2942031900536301E-4</v>
      </c>
    </row>
    <row r="447" spans="1:9" x14ac:dyDescent="0.25">
      <c r="A447">
        <v>615.75300693511895</v>
      </c>
      <c r="B447">
        <v>20.606035678074399</v>
      </c>
      <c r="C447">
        <v>1.0436625087095299</v>
      </c>
      <c r="D447">
        <v>0.58807368112560998</v>
      </c>
      <c r="E447">
        <v>-0.429625249973006</v>
      </c>
      <c r="F447">
        <v>7.3432894404226203E-4</v>
      </c>
      <c r="G447">
        <v>1.90833577000466E-3</v>
      </c>
      <c r="H447">
        <v>0.44225858942886698</v>
      </c>
      <c r="I447">
        <v>-3.0176988711252397E-4</v>
      </c>
    </row>
    <row r="448" spans="1:9" x14ac:dyDescent="0.25">
      <c r="A448">
        <v>631.60581707954395</v>
      </c>
      <c r="B448">
        <v>20.675176767990699</v>
      </c>
      <c r="C448">
        <v>1.00510519096133</v>
      </c>
      <c r="D448">
        <v>0.56532122828958697</v>
      </c>
      <c r="E448">
        <v>-0.41335067047652402</v>
      </c>
      <c r="F448">
        <v>5.7437811823059302E-4</v>
      </c>
      <c r="G448">
        <v>1.7894608893921501E-3</v>
      </c>
      <c r="H448">
        <v>0.44265971247562902</v>
      </c>
      <c r="I448">
        <v>-2.7563793926248199E-4</v>
      </c>
    </row>
    <row r="449" spans="1:9" x14ac:dyDescent="0.25">
      <c r="A449">
        <v>647.45859682559899</v>
      </c>
      <c r="B449">
        <v>20.742037980244199</v>
      </c>
      <c r="C449">
        <v>0.96698296540580397</v>
      </c>
      <c r="D449">
        <v>0.54309279579270597</v>
      </c>
      <c r="E449">
        <v>-0.39703175183683698</v>
      </c>
      <c r="F449">
        <v>4.3303415844042701E-4</v>
      </c>
      <c r="G449">
        <v>1.6746647958798999E-3</v>
      </c>
      <c r="H449">
        <v>0.44282150523390201</v>
      </c>
      <c r="I449">
        <v>-2.50836358329342E-4</v>
      </c>
    </row>
    <row r="450" spans="1:9" x14ac:dyDescent="0.25">
      <c r="A450">
        <v>663.31143736839203</v>
      </c>
      <c r="B450">
        <v>20.806482522175401</v>
      </c>
      <c r="C450">
        <v>0.92907216496769196</v>
      </c>
      <c r="D450">
        <v>0.520435596442411</v>
      </c>
      <c r="E450">
        <v>-0.38065013076188597</v>
      </c>
      <c r="F450">
        <v>3.2791744946861602E-4</v>
      </c>
      <c r="G450">
        <v>1.5647266032656701E-3</v>
      </c>
      <c r="H450">
        <v>0.44283695780924498</v>
      </c>
      <c r="I450">
        <v>-2.2776246394090599E-4</v>
      </c>
    </row>
    <row r="451" spans="1:9" x14ac:dyDescent="0.25">
      <c r="A451">
        <v>679.16427791118599</v>
      </c>
      <c r="B451">
        <v>20.868487595007501</v>
      </c>
      <c r="C451">
        <v>0.89139141871328298</v>
      </c>
      <c r="D451">
        <v>0.498467653003203</v>
      </c>
      <c r="E451">
        <v>-0.36421198856443598</v>
      </c>
      <c r="F451">
        <v>2.60589059222609E-4</v>
      </c>
      <c r="G451">
        <v>1.4603066261237099E-3</v>
      </c>
      <c r="H451">
        <v>0.44283318122839599</v>
      </c>
      <c r="I451">
        <v>-2.06312018921631E-4</v>
      </c>
    </row>
    <row r="452" spans="1:9" x14ac:dyDescent="0.25">
      <c r="A452">
        <v>695.01711845397904</v>
      </c>
      <c r="B452">
        <v>20.9281671926237</v>
      </c>
      <c r="C452">
        <v>0.85409230218829102</v>
      </c>
      <c r="D452">
        <v>0.47646122371185801</v>
      </c>
      <c r="E452">
        <v>-0.34769347411662699</v>
      </c>
      <c r="F452">
        <v>1.6033945509003899E-4</v>
      </c>
      <c r="G452">
        <v>1.3617771901955099E-3</v>
      </c>
      <c r="H452">
        <v>0.443120986718818</v>
      </c>
      <c r="I452">
        <v>-1.8646970673126E-4</v>
      </c>
    </row>
    <row r="453" spans="1:9" x14ac:dyDescent="0.25">
      <c r="A453">
        <v>710.86992859840302</v>
      </c>
      <c r="B453">
        <v>20.9855745121694</v>
      </c>
      <c r="C453">
        <v>0.81742994489104603</v>
      </c>
      <c r="D453">
        <v>0.45475727218046202</v>
      </c>
      <c r="E453">
        <v>-0.33110991424059499</v>
      </c>
      <c r="F453" s="1">
        <v>5.5735225727628701E-5</v>
      </c>
      <c r="G453">
        <v>1.2685457268846599E-3</v>
      </c>
      <c r="H453">
        <v>0.44343567355963998</v>
      </c>
      <c r="I453">
        <v>-1.6821315625913601E-4</v>
      </c>
    </row>
    <row r="454" spans="1:9" x14ac:dyDescent="0.25">
      <c r="A454">
        <v>726.72273874282803</v>
      </c>
      <c r="B454">
        <v>21.0406487569071</v>
      </c>
      <c r="C454">
        <v>0.78143060493403005</v>
      </c>
      <c r="D454">
        <v>0.43336317411321001</v>
      </c>
      <c r="E454">
        <v>-0.31447026065901201</v>
      </c>
      <c r="F454" s="1">
        <v>3.4975361289282803E-5</v>
      </c>
      <c r="G454">
        <v>1.1808620508156401E-3</v>
      </c>
      <c r="H454">
        <v>0.444024827619243</v>
      </c>
      <c r="I454">
        <v>-1.5169884160645301E-4</v>
      </c>
    </row>
    <row r="455" spans="1:9" x14ac:dyDescent="0.25">
      <c r="A455">
        <v>742.57554888725201</v>
      </c>
      <c r="B455">
        <v>21.093382327244299</v>
      </c>
      <c r="C455">
        <v>0.74619535239435197</v>
      </c>
      <c r="D455">
        <v>0.41235705948534102</v>
      </c>
      <c r="E455">
        <v>-0.29777803257493002</v>
      </c>
      <c r="F455" s="1">
        <v>5.5016410332760503E-5</v>
      </c>
      <c r="G455">
        <v>1.09775801438006E-3</v>
      </c>
      <c r="H455">
        <v>0.44453891166013398</v>
      </c>
      <c r="I455" s="1">
        <v>-1.36408732735889E-4</v>
      </c>
    </row>
    <row r="456" spans="1:9" x14ac:dyDescent="0.25">
      <c r="A456">
        <v>758.42838943004597</v>
      </c>
      <c r="B456">
        <v>21.143729625628101</v>
      </c>
      <c r="C456">
        <v>0.71182064443746595</v>
      </c>
      <c r="D456">
        <v>0.39136619303329201</v>
      </c>
      <c r="E456">
        <v>-0.28104425177078901</v>
      </c>
      <c r="F456" s="1">
        <v>3.3196359492990103E-5</v>
      </c>
      <c r="G456">
        <v>1.0195272067163601E-3</v>
      </c>
      <c r="H456">
        <v>0.44499687667127802</v>
      </c>
      <c r="I456" s="1">
        <v>-1.2243497674578201E-4</v>
      </c>
    </row>
    <row r="457" spans="1:9" x14ac:dyDescent="0.25">
      <c r="A457">
        <v>774.28122997283901</v>
      </c>
      <c r="B457">
        <v>21.191622255728301</v>
      </c>
      <c r="C457">
        <v>0.67836148116384698</v>
      </c>
      <c r="D457">
        <v>0.37087819154007901</v>
      </c>
      <c r="E457">
        <v>-0.264264989522977</v>
      </c>
      <c r="F457" s="1">
        <v>-5.9112901386774303E-5</v>
      </c>
      <c r="G457">
        <v>9.4627971346091997E-4</v>
      </c>
      <c r="H457">
        <v>0.44556559163148401</v>
      </c>
      <c r="I457" s="1">
        <v>-1.09701777167265E-4</v>
      </c>
    </row>
    <row r="458" spans="1:9" x14ac:dyDescent="0.25">
      <c r="A458">
        <v>790.13402491807904</v>
      </c>
      <c r="B458">
        <v>21.2370450183607</v>
      </c>
      <c r="C458">
        <v>0.645810410946978</v>
      </c>
      <c r="D458">
        <v>0.35080823880433298</v>
      </c>
      <c r="E458">
        <v>-0.24743745760869601</v>
      </c>
      <c r="F458" s="1">
        <v>-1.3239789745800399E-4</v>
      </c>
      <c r="G458">
        <v>8.7824928010020497E-4</v>
      </c>
      <c r="H458">
        <v>0.44632084915808901</v>
      </c>
      <c r="I458" s="1">
        <v>-9.83670852409107E-5</v>
      </c>
    </row>
    <row r="459" spans="1:9" x14ac:dyDescent="0.25">
      <c r="A459">
        <v>805.98686546087197</v>
      </c>
      <c r="B459">
        <v>21.279944716379699</v>
      </c>
      <c r="C459">
        <v>0.61435674058429801</v>
      </c>
      <c r="D459">
        <v>0.331095765855351</v>
      </c>
      <c r="E459">
        <v>-0.23056998886181401</v>
      </c>
      <c r="F459">
        <v>-1.64013557885839E-4</v>
      </c>
      <c r="G459">
        <v>8.1503854217722502E-4</v>
      </c>
      <c r="H459">
        <v>0.44705080126895202</v>
      </c>
      <c r="I459" s="1">
        <v>-8.8339242752446002E-5</v>
      </c>
    </row>
    <row r="460" spans="1:9" x14ac:dyDescent="0.25">
      <c r="A460">
        <v>821.83970600366501</v>
      </c>
      <c r="B460">
        <v>21.320192156717798</v>
      </c>
      <c r="C460">
        <v>0.58419273386789405</v>
      </c>
      <c r="D460">
        <v>0.31216412138199701</v>
      </c>
      <c r="E460">
        <v>-0.21367063365140199</v>
      </c>
      <c r="F460">
        <v>-2.3091650760479599E-4</v>
      </c>
      <c r="G460">
        <v>7.5638320733338702E-4</v>
      </c>
      <c r="H460">
        <v>0.44754906698328301</v>
      </c>
      <c r="I460" s="1">
        <v>-7.9460104635944794E-5</v>
      </c>
    </row>
    <row r="461" spans="1:9" x14ac:dyDescent="0.25">
      <c r="A461">
        <v>837.69251614809002</v>
      </c>
      <c r="B461">
        <v>21.3576277479387</v>
      </c>
      <c r="C461">
        <v>0.55537859520882205</v>
      </c>
      <c r="D461">
        <v>0.29366643777912299</v>
      </c>
      <c r="E461">
        <v>-0.19673203216027699</v>
      </c>
      <c r="F461">
        <v>-3.3214676254415397E-4</v>
      </c>
      <c r="G461">
        <v>7.0255485400163599E-4</v>
      </c>
      <c r="H461">
        <v>0.44811741897016499</v>
      </c>
      <c r="I461" s="1">
        <v>-7.1655452798523398E-5</v>
      </c>
    </row>
    <row r="462" spans="1:9" x14ac:dyDescent="0.25">
      <c r="A462">
        <v>853.54535669088295</v>
      </c>
      <c r="B462">
        <v>21.392221091673399</v>
      </c>
      <c r="C462">
        <v>0.52818074982496899</v>
      </c>
      <c r="D462">
        <v>0.27642889269319598</v>
      </c>
      <c r="E462">
        <v>-0.17975688789326</v>
      </c>
      <c r="F462">
        <v>-4.10700989982176E-4</v>
      </c>
      <c r="G462">
        <v>6.5366834175756402E-4</v>
      </c>
      <c r="H462">
        <v>0.44878309708478098</v>
      </c>
      <c r="I462" s="1">
        <v>-6.4911903128170301E-5</v>
      </c>
    </row>
    <row r="463" spans="1:9" x14ac:dyDescent="0.25">
      <c r="A463">
        <v>869.39818203449204</v>
      </c>
      <c r="B463">
        <v>21.4240177854753</v>
      </c>
      <c r="C463">
        <v>0.50275639155188401</v>
      </c>
      <c r="D463">
        <v>0.25974917369742201</v>
      </c>
      <c r="E463">
        <v>-0.162742512897386</v>
      </c>
      <c r="F463">
        <v>-4.6923843362133E-4</v>
      </c>
      <c r="G463">
        <v>6.0968574140533697E-4</v>
      </c>
      <c r="H463">
        <v>0.44950499939796801</v>
      </c>
      <c r="I463" s="1">
        <v>-5.9271467111116397E-5</v>
      </c>
    </row>
    <row r="464" spans="1:9" x14ac:dyDescent="0.25">
      <c r="A464">
        <v>885.25099217891602</v>
      </c>
      <c r="B464">
        <v>21.452941833422301</v>
      </c>
      <c r="C464">
        <v>0.47921954210323697</v>
      </c>
      <c r="D464">
        <v>0.244706897412754</v>
      </c>
      <c r="E464">
        <v>-0.145700220828023</v>
      </c>
      <c r="F464">
        <v>-5.3140696976254598E-4</v>
      </c>
      <c r="G464">
        <v>5.70357818314585E-4</v>
      </c>
      <c r="H464">
        <v>0.45033421197599699</v>
      </c>
      <c r="I464" s="1">
        <v>-5.45026697125287E-5</v>
      </c>
    </row>
    <row r="465" spans="1:9" x14ac:dyDescent="0.25">
      <c r="A465">
        <v>901.10380992293301</v>
      </c>
      <c r="B465">
        <v>21.4788868412233</v>
      </c>
      <c r="C465">
        <v>0.45777254862286998</v>
      </c>
      <c r="D465">
        <v>0.23064426889922601</v>
      </c>
      <c r="E465">
        <v>-0.128634587884496</v>
      </c>
      <c r="F465">
        <v>-5.8178716497193895E-4</v>
      </c>
      <c r="G465">
        <v>5.3556102531854895E-4</v>
      </c>
      <c r="H465">
        <v>0.45119834995401198</v>
      </c>
      <c r="I465" s="1">
        <v>-5.0499467663965E-5</v>
      </c>
    </row>
    <row r="466" spans="1:9" x14ac:dyDescent="0.25">
      <c r="A466">
        <v>916.95665046572606</v>
      </c>
      <c r="B466">
        <v>21.501738814995399</v>
      </c>
      <c r="C466">
        <v>0.43859309691924803</v>
      </c>
      <c r="D466">
        <v>0.21851830946376399</v>
      </c>
      <c r="E466">
        <v>-0.111542055106817</v>
      </c>
      <c r="F466">
        <v>-5.9654888840957705E-4</v>
      </c>
      <c r="G466">
        <v>5.0525038879732501E-4</v>
      </c>
      <c r="H466">
        <v>0.45208803197575598</v>
      </c>
      <c r="I466" s="1">
        <v>-4.7157469319092699E-5</v>
      </c>
    </row>
    <row r="467" spans="1:9" x14ac:dyDescent="0.25">
      <c r="A467">
        <v>932.80946820974305</v>
      </c>
      <c r="B467">
        <v>21.5214597567774</v>
      </c>
      <c r="C467">
        <v>0.42185059321582202</v>
      </c>
      <c r="D467">
        <v>0.20717741791213401</v>
      </c>
      <c r="E467">
        <v>-9.4434447920972997E-2</v>
      </c>
      <c r="F467">
        <v>-6.1583347208937701E-4</v>
      </c>
      <c r="G467">
        <v>4.7940515950402302E-4</v>
      </c>
      <c r="H467">
        <v>0.45297193020760101</v>
      </c>
      <c r="I467" s="1">
        <v>-4.4424699518700899E-5</v>
      </c>
    </row>
    <row r="468" spans="1:9" x14ac:dyDescent="0.25">
      <c r="A468">
        <v>948.66229355335201</v>
      </c>
      <c r="B468">
        <v>21.537966071054999</v>
      </c>
      <c r="C468">
        <v>0.40767606194549399</v>
      </c>
      <c r="D468">
        <v>0.19795657091218199</v>
      </c>
      <c r="E468">
        <v>-7.7315085632945202E-2</v>
      </c>
      <c r="F468">
        <v>-6.5351764312727198E-4</v>
      </c>
      <c r="G468">
        <v>4.57944378418399E-4</v>
      </c>
      <c r="H468">
        <v>0.45375218615959301</v>
      </c>
      <c r="I468" s="1">
        <v>-4.2227748596404497E-5</v>
      </c>
    </row>
    <row r="469" spans="1:9" x14ac:dyDescent="0.25">
      <c r="A469">
        <v>964.51511889696098</v>
      </c>
      <c r="B469">
        <v>21.551219759867301</v>
      </c>
      <c r="C469">
        <v>0.39615425057490899</v>
      </c>
      <c r="D469">
        <v>0.190571497380702</v>
      </c>
      <c r="E469">
        <v>-6.0174085926961697E-2</v>
      </c>
      <c r="F469">
        <v>-6.3673457032834598E-4</v>
      </c>
      <c r="G469">
        <v>4.4080951014166699E-4</v>
      </c>
      <c r="H469">
        <v>0.45437879506089002</v>
      </c>
      <c r="I469" s="1">
        <v>-4.05097061050495E-5</v>
      </c>
    </row>
    <row r="470" spans="1:9" x14ac:dyDescent="0.25">
      <c r="A470">
        <v>980.36794044077305</v>
      </c>
      <c r="B470">
        <v>21.5612208232141</v>
      </c>
      <c r="C470">
        <v>0.387368073234029</v>
      </c>
      <c r="D470">
        <v>0.184940910410546</v>
      </c>
      <c r="E470">
        <v>-4.3019860808665399E-2</v>
      </c>
      <c r="F470">
        <v>-5.6481465818430899E-4</v>
      </c>
      <c r="G470">
        <v>4.2800290725116902E-4</v>
      </c>
      <c r="H470">
        <v>0.45488371399288402</v>
      </c>
      <c r="I470" s="1">
        <v>-3.9292427639411501E-5</v>
      </c>
    </row>
    <row r="471" spans="1:9" x14ac:dyDescent="0.25">
      <c r="A471">
        <v>996.22076388448397</v>
      </c>
      <c r="B471">
        <v>21.5678476676202</v>
      </c>
      <c r="C471">
        <v>0.38143341454315299</v>
      </c>
      <c r="D471">
        <v>0.180945979519918</v>
      </c>
      <c r="E471">
        <v>-2.5864033597063799E-2</v>
      </c>
      <c r="F471">
        <v>-4.5778772744157998E-4</v>
      </c>
      <c r="G471">
        <v>4.1951735857761899E-4</v>
      </c>
      <c r="H471">
        <v>0.45532922499878398</v>
      </c>
      <c r="I471" s="1">
        <v>-3.8527493061690603E-5</v>
      </c>
    </row>
    <row r="472" spans="1:9" x14ac:dyDescent="0.25">
      <c r="A472">
        <v>1012.07358780317</v>
      </c>
      <c r="B472">
        <v>21.5710698947168</v>
      </c>
      <c r="C472">
        <v>0.37845752469820498</v>
      </c>
      <c r="D472">
        <v>0.17890660240891501</v>
      </c>
      <c r="E472">
        <v>-8.6984808393580793E-3</v>
      </c>
      <c r="F472">
        <v>-3.5370496116415802E-4</v>
      </c>
      <c r="G472">
        <v>4.1524873044149403E-4</v>
      </c>
      <c r="H472">
        <v>0.45555634582579502</v>
      </c>
      <c r="I472" s="1">
        <v>-3.81731545827217E-5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workbookViewId="0"/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17</v>
      </c>
    </row>
    <row r="2" spans="1:6" x14ac:dyDescent="0.25">
      <c r="A2" t="s">
        <v>17</v>
      </c>
    </row>
    <row r="3" spans="1:6" x14ac:dyDescent="0.25">
      <c r="A3" t="s">
        <v>18</v>
      </c>
      <c r="B3" t="s">
        <v>19</v>
      </c>
    </row>
    <row r="4" spans="1:6" x14ac:dyDescent="0.25">
      <c r="A4" t="s">
        <v>18</v>
      </c>
      <c r="B4" t="s">
        <v>20</v>
      </c>
      <c r="C4" t="s">
        <v>21</v>
      </c>
      <c r="D4" t="s">
        <v>22</v>
      </c>
      <c r="E4" t="s">
        <v>19</v>
      </c>
    </row>
    <row r="5" spans="1:6" x14ac:dyDescent="0.25">
      <c r="A5" t="s">
        <v>18</v>
      </c>
      <c r="B5" t="s">
        <v>23</v>
      </c>
      <c r="C5" t="s">
        <v>24</v>
      </c>
      <c r="D5" t="s">
        <v>19</v>
      </c>
    </row>
    <row r="6" spans="1:6" x14ac:dyDescent="0.25">
      <c r="A6" t="s">
        <v>18</v>
      </c>
      <c r="B6" t="s">
        <v>25</v>
      </c>
      <c r="C6" t="s">
        <v>26</v>
      </c>
      <c r="D6" t="s">
        <v>27</v>
      </c>
      <c r="E6" t="s">
        <v>28</v>
      </c>
      <c r="F6" t="s">
        <v>19</v>
      </c>
    </row>
    <row r="7" spans="1:6" x14ac:dyDescent="0.25">
      <c r="A7" t="s">
        <v>18</v>
      </c>
      <c r="B7" t="s">
        <v>29</v>
      </c>
      <c r="C7" t="s">
        <v>30</v>
      </c>
      <c r="D7" t="s">
        <v>31</v>
      </c>
      <c r="E7" t="s">
        <v>19</v>
      </c>
    </row>
    <row r="8" spans="1:6" x14ac:dyDescent="0.25">
      <c r="A8" t="s">
        <v>18</v>
      </c>
      <c r="B8" t="s">
        <v>19</v>
      </c>
    </row>
    <row r="9" spans="1:6" x14ac:dyDescent="0.25">
      <c r="A9" t="s">
        <v>18</v>
      </c>
      <c r="B9" t="s">
        <v>19</v>
      </c>
    </row>
    <row r="10" spans="1:6" x14ac:dyDescent="0.25">
      <c r="A10" t="s">
        <v>18</v>
      </c>
      <c r="B10" t="s">
        <v>32</v>
      </c>
      <c r="C10" t="s">
        <v>19</v>
      </c>
    </row>
    <row r="11" spans="1:6" x14ac:dyDescent="0.25">
      <c r="A11" t="s">
        <v>18</v>
      </c>
      <c r="B11" t="s">
        <v>19</v>
      </c>
    </row>
    <row r="12" spans="1:6" x14ac:dyDescent="0.25">
      <c r="A12" t="s">
        <v>18</v>
      </c>
      <c r="B12" t="s">
        <v>33</v>
      </c>
      <c r="C12" t="s">
        <v>34</v>
      </c>
      <c r="D12" t="s">
        <v>19</v>
      </c>
    </row>
    <row r="13" spans="1:6" x14ac:dyDescent="0.25">
      <c r="A13" t="s">
        <v>18</v>
      </c>
      <c r="B13" t="s">
        <v>19</v>
      </c>
    </row>
    <row r="14" spans="1:6" x14ac:dyDescent="0.25">
      <c r="A14" t="s">
        <v>18</v>
      </c>
      <c r="B14" t="s">
        <v>35</v>
      </c>
      <c r="C14" t="s">
        <v>36</v>
      </c>
      <c r="D14" t="s">
        <v>37</v>
      </c>
      <c r="E14" t="s">
        <v>38</v>
      </c>
      <c r="F14" t="s">
        <v>19</v>
      </c>
    </row>
    <row r="15" spans="1:6" x14ac:dyDescent="0.25">
      <c r="A15" t="s">
        <v>18</v>
      </c>
      <c r="B15" t="s">
        <v>19</v>
      </c>
    </row>
    <row r="16" spans="1:6" x14ac:dyDescent="0.25">
      <c r="A16" t="s">
        <v>18</v>
      </c>
      <c r="B16" t="s">
        <v>39</v>
      </c>
      <c r="C16" t="s">
        <v>36</v>
      </c>
      <c r="D16" t="s">
        <v>40</v>
      </c>
      <c r="E16" t="s">
        <v>41</v>
      </c>
      <c r="F16" t="s">
        <v>19</v>
      </c>
    </row>
    <row r="17" spans="1:10" x14ac:dyDescent="0.25">
      <c r="A17" t="s">
        <v>18</v>
      </c>
      <c r="B17" t="s">
        <v>42</v>
      </c>
      <c r="C17" t="s">
        <v>36</v>
      </c>
      <c r="D17" t="s">
        <v>43</v>
      </c>
      <c r="E17" t="s">
        <v>44</v>
      </c>
      <c r="F17" t="s">
        <v>45</v>
      </c>
      <c r="G17" t="s">
        <v>19</v>
      </c>
    </row>
    <row r="18" spans="1:10" x14ac:dyDescent="0.25">
      <c r="A18" t="s">
        <v>18</v>
      </c>
      <c r="B18" t="s">
        <v>46</v>
      </c>
      <c r="C18" t="s">
        <v>47</v>
      </c>
      <c r="D18" t="s">
        <v>36</v>
      </c>
      <c r="E18" t="s">
        <v>43</v>
      </c>
      <c r="F18" t="s">
        <v>19</v>
      </c>
    </row>
    <row r="19" spans="1:10" x14ac:dyDescent="0.25">
      <c r="A19" t="s">
        <v>18</v>
      </c>
      <c r="B19" t="s">
        <v>48</v>
      </c>
      <c r="C19" t="s">
        <v>49</v>
      </c>
      <c r="D19" t="s">
        <v>50</v>
      </c>
      <c r="E19" t="s">
        <v>19</v>
      </c>
    </row>
    <row r="20" spans="1:10" x14ac:dyDescent="0.25">
      <c r="A20" t="s">
        <v>18</v>
      </c>
      <c r="B20" t="s">
        <v>51</v>
      </c>
      <c r="C20" t="s">
        <v>19</v>
      </c>
    </row>
    <row r="21" spans="1:10" x14ac:dyDescent="0.25">
      <c r="A21" t="s">
        <v>18</v>
      </c>
      <c r="B21" t="s">
        <v>19</v>
      </c>
    </row>
    <row r="22" spans="1:10" x14ac:dyDescent="0.25">
      <c r="A22" t="s">
        <v>18</v>
      </c>
      <c r="B22" t="s">
        <v>19</v>
      </c>
    </row>
    <row r="23" spans="1:10" x14ac:dyDescent="0.25">
      <c r="A23" t="s">
        <v>18</v>
      </c>
      <c r="B23" t="s">
        <v>19</v>
      </c>
    </row>
    <row r="24" spans="1:10" x14ac:dyDescent="0.25">
      <c r="A24" t="s">
        <v>17</v>
      </c>
    </row>
    <row r="26" spans="1:10" x14ac:dyDescent="0.25">
      <c r="A26" t="s">
        <v>52</v>
      </c>
    </row>
    <row r="27" spans="1:10" x14ac:dyDescent="0.25">
      <c r="A27" t="s">
        <v>52</v>
      </c>
    </row>
    <row r="28" spans="1:10" x14ac:dyDescent="0.25">
      <c r="A28" t="s">
        <v>52</v>
      </c>
    </row>
    <row r="29" spans="1:10" x14ac:dyDescent="0.25">
      <c r="A29" t="s">
        <v>53</v>
      </c>
      <c r="B29" t="s">
        <v>54</v>
      </c>
      <c r="C29" t="s">
        <v>55</v>
      </c>
      <c r="D29" t="s">
        <v>54</v>
      </c>
      <c r="E29" t="s">
        <v>56</v>
      </c>
    </row>
    <row r="30" spans="1:10" x14ac:dyDescent="0.25">
      <c r="A30" t="s">
        <v>53</v>
      </c>
      <c r="B30" t="s">
        <v>56</v>
      </c>
    </row>
    <row r="31" spans="1:10" x14ac:dyDescent="0.25">
      <c r="A31" t="s">
        <v>53</v>
      </c>
      <c r="B31" t="s">
        <v>57</v>
      </c>
      <c r="C31" t="s">
        <v>58</v>
      </c>
      <c r="D31" t="s">
        <v>59</v>
      </c>
      <c r="E3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56</v>
      </c>
    </row>
    <row r="32" spans="1:10" x14ac:dyDescent="0.25">
      <c r="A32" t="s">
        <v>53</v>
      </c>
      <c r="B32" t="s">
        <v>56</v>
      </c>
    </row>
    <row r="33" spans="1:12" x14ac:dyDescent="0.25">
      <c r="A33" t="s">
        <v>53</v>
      </c>
      <c r="B33" t="s">
        <v>57</v>
      </c>
      <c r="C33" t="s">
        <v>62</v>
      </c>
      <c r="D33" t="s">
        <v>65</v>
      </c>
      <c r="E33" t="s">
        <v>66</v>
      </c>
      <c r="F33" t="s">
        <v>59</v>
      </c>
      <c r="G33" t="s">
        <v>67</v>
      </c>
      <c r="H33" t="s">
        <v>29</v>
      </c>
      <c r="I33" t="s">
        <v>68</v>
      </c>
      <c r="J33" t="s">
        <v>69</v>
      </c>
      <c r="K33" t="s">
        <v>56</v>
      </c>
    </row>
    <row r="34" spans="1:12" x14ac:dyDescent="0.25">
      <c r="A34" t="s">
        <v>53</v>
      </c>
      <c r="B34" t="s">
        <v>70</v>
      </c>
      <c r="C34" t="s">
        <v>62</v>
      </c>
      <c r="D34" t="s">
        <v>71</v>
      </c>
      <c r="E34" t="s">
        <v>44</v>
      </c>
      <c r="F34" t="s">
        <v>72</v>
      </c>
      <c r="G34" t="s">
        <v>73</v>
      </c>
      <c r="H34" t="s">
        <v>74</v>
      </c>
      <c r="I34" t="s">
        <v>75</v>
      </c>
      <c r="J34" t="s">
        <v>56</v>
      </c>
    </row>
    <row r="35" spans="1:12" x14ac:dyDescent="0.25">
      <c r="A35" t="s">
        <v>53</v>
      </c>
      <c r="B35" t="s">
        <v>76</v>
      </c>
      <c r="C35" t="s">
        <v>77</v>
      </c>
      <c r="D35" t="s">
        <v>78</v>
      </c>
      <c r="E35" t="s">
        <v>71</v>
      </c>
      <c r="F35" t="s">
        <v>79</v>
      </c>
      <c r="G35" t="s">
        <v>80</v>
      </c>
      <c r="H35" t="s">
        <v>81</v>
      </c>
      <c r="I35" t="s">
        <v>82</v>
      </c>
      <c r="J35" t="s">
        <v>83</v>
      </c>
      <c r="K35" t="s">
        <v>56</v>
      </c>
    </row>
    <row r="36" spans="1:12" x14ac:dyDescent="0.25">
      <c r="A36" t="s">
        <v>53</v>
      </c>
      <c r="B36" t="s">
        <v>84</v>
      </c>
      <c r="C36" t="s">
        <v>85</v>
      </c>
      <c r="D36" t="s">
        <v>86</v>
      </c>
      <c r="E36" t="s">
        <v>61</v>
      </c>
      <c r="F36" t="s">
        <v>62</v>
      </c>
      <c r="G36" t="s">
        <v>87</v>
      </c>
      <c r="H36" t="s">
        <v>88</v>
      </c>
      <c r="I36" t="s">
        <v>89</v>
      </c>
      <c r="J36" t="s">
        <v>56</v>
      </c>
    </row>
    <row r="37" spans="1:12" x14ac:dyDescent="0.25">
      <c r="A37" t="s">
        <v>53</v>
      </c>
      <c r="B37" t="s">
        <v>90</v>
      </c>
      <c r="C37" t="s">
        <v>44</v>
      </c>
      <c r="D37" t="s">
        <v>91</v>
      </c>
      <c r="E37" t="s">
        <v>92</v>
      </c>
      <c r="F37" t="s">
        <v>93</v>
      </c>
      <c r="G37" t="s">
        <v>56</v>
      </c>
    </row>
    <row r="38" spans="1:12" x14ac:dyDescent="0.25">
      <c r="A38" t="s">
        <v>53</v>
      </c>
      <c r="B38" t="s">
        <v>56</v>
      </c>
    </row>
    <row r="39" spans="1:12" x14ac:dyDescent="0.25">
      <c r="A39" t="s">
        <v>53</v>
      </c>
      <c r="B39" t="s">
        <v>94</v>
      </c>
      <c r="C39" t="s">
        <v>65</v>
      </c>
      <c r="D39" t="s">
        <v>66</v>
      </c>
      <c r="E39" t="s">
        <v>95</v>
      </c>
      <c r="F39" t="s">
        <v>80</v>
      </c>
      <c r="G39" t="s">
        <v>96</v>
      </c>
      <c r="H39" t="s">
        <v>97</v>
      </c>
      <c r="I39" t="s">
        <v>98</v>
      </c>
      <c r="J39" t="s">
        <v>56</v>
      </c>
    </row>
    <row r="40" spans="1:12" x14ac:dyDescent="0.25">
      <c r="A40" t="s">
        <v>53</v>
      </c>
      <c r="B40" t="s">
        <v>56</v>
      </c>
    </row>
    <row r="41" spans="1:12" x14ac:dyDescent="0.25">
      <c r="A41" t="s">
        <v>53</v>
      </c>
      <c r="B41" t="s">
        <v>94</v>
      </c>
      <c r="C41" t="s">
        <v>65</v>
      </c>
      <c r="D41" t="s">
        <v>66</v>
      </c>
      <c r="E41" t="s">
        <v>95</v>
      </c>
      <c r="F41" t="s">
        <v>80</v>
      </c>
      <c r="G41" t="s">
        <v>99</v>
      </c>
      <c r="H41" t="s">
        <v>97</v>
      </c>
      <c r="I41" t="s">
        <v>100</v>
      </c>
      <c r="J41" t="s">
        <v>101</v>
      </c>
      <c r="K41" t="s">
        <v>62</v>
      </c>
      <c r="L41" t="s">
        <v>56</v>
      </c>
    </row>
    <row r="42" spans="1:12" x14ac:dyDescent="0.25">
      <c r="A42" t="s">
        <v>53</v>
      </c>
      <c r="B42" t="s">
        <v>63</v>
      </c>
      <c r="C42" t="s">
        <v>102</v>
      </c>
      <c r="D42" t="s">
        <v>29</v>
      </c>
      <c r="E42" t="s">
        <v>103</v>
      </c>
      <c r="F42" t="s">
        <v>104</v>
      </c>
      <c r="G42" t="s">
        <v>105</v>
      </c>
      <c r="H42" t="s">
        <v>106</v>
      </c>
      <c r="I42" t="s">
        <v>107</v>
      </c>
      <c r="J42" t="s">
        <v>56</v>
      </c>
    </row>
    <row r="43" spans="1:12" x14ac:dyDescent="0.25">
      <c r="A43" t="s">
        <v>53</v>
      </c>
      <c r="B43" t="s">
        <v>108</v>
      </c>
      <c r="C43" t="s">
        <v>109</v>
      </c>
      <c r="D43" t="s">
        <v>77</v>
      </c>
      <c r="E43" t="s">
        <v>62</v>
      </c>
      <c r="F43" t="s">
        <v>110</v>
      </c>
      <c r="G43" t="s">
        <v>111</v>
      </c>
      <c r="H43" t="s">
        <v>107</v>
      </c>
      <c r="I43" t="s">
        <v>112</v>
      </c>
      <c r="J43" t="s">
        <v>101</v>
      </c>
      <c r="K43" t="s">
        <v>56</v>
      </c>
    </row>
    <row r="44" spans="1:12" x14ac:dyDescent="0.25">
      <c r="A44" t="s">
        <v>53</v>
      </c>
      <c r="B44" t="s">
        <v>113</v>
      </c>
      <c r="C44" t="s">
        <v>114</v>
      </c>
      <c r="D44" t="s">
        <v>56</v>
      </c>
    </row>
    <row r="45" spans="1:12" x14ac:dyDescent="0.25">
      <c r="A45" t="s">
        <v>53</v>
      </c>
      <c r="B45" t="s">
        <v>56</v>
      </c>
    </row>
    <row r="46" spans="1:12" x14ac:dyDescent="0.25">
      <c r="A46" t="s">
        <v>53</v>
      </c>
      <c r="B46" t="s">
        <v>115</v>
      </c>
      <c r="C46" t="s">
        <v>116</v>
      </c>
      <c r="D46" t="s">
        <v>117</v>
      </c>
      <c r="E46" t="s">
        <v>118</v>
      </c>
      <c r="F46" t="s">
        <v>56</v>
      </c>
    </row>
    <row r="47" spans="1:12" x14ac:dyDescent="0.25">
      <c r="A47" t="s">
        <v>53</v>
      </c>
      <c r="B47" t="s">
        <v>56</v>
      </c>
    </row>
    <row r="48" spans="1:12" x14ac:dyDescent="0.25">
      <c r="A48" t="s">
        <v>53</v>
      </c>
      <c r="B48" t="s">
        <v>119</v>
      </c>
      <c r="C48" t="s">
        <v>120</v>
      </c>
      <c r="D48">
        <v>2008</v>
      </c>
      <c r="E48" t="s">
        <v>56</v>
      </c>
    </row>
    <row r="49" spans="1:12" x14ac:dyDescent="0.25">
      <c r="A49" t="s">
        <v>52</v>
      </c>
    </row>
    <row r="50" spans="1:12" x14ac:dyDescent="0.25">
      <c r="A50" t="s">
        <v>52</v>
      </c>
    </row>
    <row r="51" spans="1:12" x14ac:dyDescent="0.25">
      <c r="A51" t="s">
        <v>121</v>
      </c>
      <c r="B51" t="s">
        <v>384</v>
      </c>
    </row>
    <row r="53" spans="1:12" x14ac:dyDescent="0.25">
      <c r="A53" t="s">
        <v>122</v>
      </c>
      <c r="B53" t="s">
        <v>36</v>
      </c>
      <c r="C53" t="s">
        <v>123</v>
      </c>
      <c r="D53" t="s">
        <v>119</v>
      </c>
      <c r="E53" t="s">
        <v>120</v>
      </c>
      <c r="F53">
        <v>2008</v>
      </c>
    </row>
    <row r="55" spans="1:12" x14ac:dyDescent="0.25">
      <c r="A55" t="s">
        <v>124</v>
      </c>
      <c r="B55" t="s">
        <v>125</v>
      </c>
      <c r="C55" t="s">
        <v>126</v>
      </c>
      <c r="D55" t="s">
        <v>127</v>
      </c>
      <c r="E55" t="s">
        <v>128</v>
      </c>
      <c r="F55" t="s">
        <v>129</v>
      </c>
      <c r="G55" t="s">
        <v>130</v>
      </c>
      <c r="H55" t="s">
        <v>131</v>
      </c>
      <c r="I55" t="s">
        <v>44</v>
      </c>
      <c r="J55" t="s">
        <v>132</v>
      </c>
      <c r="K55" t="s">
        <v>34</v>
      </c>
      <c r="L55" t="s">
        <v>131</v>
      </c>
    </row>
    <row r="57" spans="1:12" x14ac:dyDescent="0.25">
      <c r="B57" t="s">
        <v>131</v>
      </c>
      <c r="C57" t="s">
        <v>39</v>
      </c>
      <c r="D57" t="s">
        <v>36</v>
      </c>
      <c r="E57" t="s">
        <v>40</v>
      </c>
      <c r="F57" t="s">
        <v>41</v>
      </c>
    </row>
    <row r="58" spans="1:12" x14ac:dyDescent="0.25">
      <c r="B58" t="s">
        <v>42</v>
      </c>
      <c r="C58" t="s">
        <v>36</v>
      </c>
      <c r="D58" t="s">
        <v>43</v>
      </c>
      <c r="E58" t="s">
        <v>44</v>
      </c>
      <c r="F58" t="s">
        <v>45</v>
      </c>
    </row>
    <row r="59" spans="1:12" x14ac:dyDescent="0.25">
      <c r="B59" t="s">
        <v>46</v>
      </c>
      <c r="C59" t="s">
        <v>47</v>
      </c>
      <c r="D59" t="s">
        <v>36</v>
      </c>
      <c r="E59" t="s">
        <v>43</v>
      </c>
    </row>
    <row r="60" spans="1:12" x14ac:dyDescent="0.25">
      <c r="B60" t="s">
        <v>48</v>
      </c>
      <c r="C60" t="s">
        <v>49</v>
      </c>
      <c r="D60" t="s">
        <v>133</v>
      </c>
      <c r="E60" t="s">
        <v>51</v>
      </c>
    </row>
    <row r="61" spans="1:12" x14ac:dyDescent="0.25">
      <c r="B61" t="s">
        <v>134</v>
      </c>
      <c r="C61" t="s">
        <v>135</v>
      </c>
      <c r="D61" t="s">
        <v>136</v>
      </c>
    </row>
    <row r="63" spans="1:12" x14ac:dyDescent="0.25">
      <c r="A63" t="s">
        <v>137</v>
      </c>
    </row>
    <row r="64" spans="1:12" x14ac:dyDescent="0.25">
      <c r="B64" t="s">
        <v>385</v>
      </c>
      <c r="C64" t="s">
        <v>139</v>
      </c>
      <c r="D64" t="s">
        <v>386</v>
      </c>
    </row>
    <row r="65" spans="2:11" x14ac:dyDescent="0.25">
      <c r="B65" t="s">
        <v>387</v>
      </c>
      <c r="C65" t="s">
        <v>139</v>
      </c>
      <c r="D65" t="s">
        <v>388</v>
      </c>
      <c r="E65" t="s">
        <v>327</v>
      </c>
      <c r="F65" t="s">
        <v>389</v>
      </c>
    </row>
    <row r="66" spans="2:11" x14ac:dyDescent="0.25">
      <c r="B66" t="s">
        <v>138</v>
      </c>
      <c r="C66" t="s">
        <v>139</v>
      </c>
      <c r="D66" t="s">
        <v>140</v>
      </c>
      <c r="E66" t="s">
        <v>141</v>
      </c>
      <c r="F66" t="s">
        <v>142</v>
      </c>
    </row>
    <row r="67" spans="2:11" x14ac:dyDescent="0.25">
      <c r="B67" t="s">
        <v>390</v>
      </c>
      <c r="C67" t="s">
        <v>139</v>
      </c>
      <c r="D67" t="s">
        <v>391</v>
      </c>
      <c r="E67" t="s">
        <v>117</v>
      </c>
      <c r="F67" t="s">
        <v>392</v>
      </c>
      <c r="G67" t="s">
        <v>152</v>
      </c>
    </row>
    <row r="68" spans="2:11" x14ac:dyDescent="0.25">
      <c r="B68" t="s">
        <v>146</v>
      </c>
      <c r="C68" t="s">
        <v>139</v>
      </c>
      <c r="D68" t="s">
        <v>147</v>
      </c>
      <c r="E68" t="s">
        <v>148</v>
      </c>
    </row>
    <row r="69" spans="2:11" x14ac:dyDescent="0.25">
      <c r="B69" t="s">
        <v>393</v>
      </c>
      <c r="C69" t="s">
        <v>139</v>
      </c>
      <c r="D69" t="s">
        <v>394</v>
      </c>
      <c r="E69" t="s">
        <v>395</v>
      </c>
      <c r="F69" t="s">
        <v>152</v>
      </c>
    </row>
    <row r="70" spans="2:11" x14ac:dyDescent="0.25">
      <c r="B70" t="s">
        <v>396</v>
      </c>
      <c r="C70" t="s">
        <v>139</v>
      </c>
      <c r="D70" t="s">
        <v>397</v>
      </c>
      <c r="E70" t="s">
        <v>327</v>
      </c>
      <c r="F70" t="s">
        <v>328</v>
      </c>
    </row>
    <row r="71" spans="2:11" x14ac:dyDescent="0.25">
      <c r="B71" t="s">
        <v>149</v>
      </c>
      <c r="C71" t="s">
        <v>139</v>
      </c>
      <c r="D71" t="s">
        <v>150</v>
      </c>
      <c r="E71" t="s">
        <v>117</v>
      </c>
      <c r="F71" t="s">
        <v>151</v>
      </c>
      <c r="G71" t="s">
        <v>152</v>
      </c>
    </row>
    <row r="72" spans="2:11" x14ac:dyDescent="0.25">
      <c r="B72" t="s">
        <v>153</v>
      </c>
      <c r="C72" t="s">
        <v>139</v>
      </c>
      <c r="D72" t="s">
        <v>154</v>
      </c>
      <c r="E72" t="s">
        <v>117</v>
      </c>
      <c r="F72" t="s">
        <v>151</v>
      </c>
      <c r="G72" t="s">
        <v>152</v>
      </c>
    </row>
    <row r="73" spans="2:11" x14ac:dyDescent="0.25">
      <c r="B73" t="s">
        <v>398</v>
      </c>
      <c r="C73" t="s">
        <v>139</v>
      </c>
      <c r="D73" t="s">
        <v>271</v>
      </c>
      <c r="E73" t="s">
        <v>399</v>
      </c>
    </row>
    <row r="74" spans="2:11" x14ac:dyDescent="0.25">
      <c r="B74" t="s">
        <v>155</v>
      </c>
      <c r="C74" t="s">
        <v>139</v>
      </c>
      <c r="D74" t="s">
        <v>156</v>
      </c>
    </row>
    <row r="75" spans="2:11" x14ac:dyDescent="0.25">
      <c r="B75" t="s">
        <v>157</v>
      </c>
      <c r="C75" t="s">
        <v>139</v>
      </c>
      <c r="D75" t="s">
        <v>158</v>
      </c>
      <c r="E75" t="s">
        <v>159</v>
      </c>
      <c r="F75" t="s">
        <v>160</v>
      </c>
    </row>
    <row r="76" spans="2:11" x14ac:dyDescent="0.25">
      <c r="B76" t="s">
        <v>163</v>
      </c>
      <c r="C76" t="s">
        <v>164</v>
      </c>
      <c r="D76" t="s">
        <v>165</v>
      </c>
      <c r="E76" t="s">
        <v>139</v>
      </c>
      <c r="F76" t="s">
        <v>166</v>
      </c>
      <c r="G76" t="s">
        <v>167</v>
      </c>
      <c r="H76" t="s">
        <v>44</v>
      </c>
      <c r="I76" t="s">
        <v>168</v>
      </c>
      <c r="J76" t="s">
        <v>160</v>
      </c>
      <c r="K76" t="s">
        <v>169</v>
      </c>
    </row>
    <row r="77" spans="2:11" x14ac:dyDescent="0.25">
      <c r="B77" t="s">
        <v>173</v>
      </c>
      <c r="C77" t="s">
        <v>139</v>
      </c>
      <c r="D77" t="s">
        <v>174</v>
      </c>
      <c r="E77" t="s">
        <v>160</v>
      </c>
    </row>
    <row r="78" spans="2:11" x14ac:dyDescent="0.25">
      <c r="B78" t="s">
        <v>400</v>
      </c>
      <c r="C78" t="s">
        <v>139</v>
      </c>
      <c r="D78" t="s">
        <v>329</v>
      </c>
      <c r="E78" t="s">
        <v>401</v>
      </c>
    </row>
    <row r="79" spans="2:11" x14ac:dyDescent="0.25">
      <c r="B79" t="s">
        <v>402</v>
      </c>
      <c r="C79" t="s">
        <v>139</v>
      </c>
      <c r="D79" t="s">
        <v>158</v>
      </c>
      <c r="E79" t="s">
        <v>159</v>
      </c>
      <c r="F79" t="s">
        <v>329</v>
      </c>
    </row>
    <row r="80" spans="2:11" x14ac:dyDescent="0.25">
      <c r="B80" t="s">
        <v>403</v>
      </c>
      <c r="C80" t="s">
        <v>139</v>
      </c>
      <c r="D80" t="s">
        <v>159</v>
      </c>
      <c r="E80" t="s">
        <v>329</v>
      </c>
    </row>
    <row r="81" spans="1:14" x14ac:dyDescent="0.25">
      <c r="B81" t="s">
        <v>404</v>
      </c>
      <c r="C81" t="s">
        <v>139</v>
      </c>
      <c r="D81" t="s">
        <v>405</v>
      </c>
      <c r="E81" t="s">
        <v>117</v>
      </c>
      <c r="F81" t="s">
        <v>174</v>
      </c>
      <c r="G81" t="s">
        <v>329</v>
      </c>
    </row>
    <row r="82" spans="1:14" x14ac:dyDescent="0.25">
      <c r="B82" t="s">
        <v>406</v>
      </c>
      <c r="C82" t="s">
        <v>139</v>
      </c>
      <c r="D82" t="s">
        <v>5</v>
      </c>
      <c r="E82" t="s">
        <v>329</v>
      </c>
    </row>
    <row r="83" spans="1:14" x14ac:dyDescent="0.25">
      <c r="B83" t="s">
        <v>175</v>
      </c>
      <c r="C83" t="s">
        <v>176</v>
      </c>
      <c r="D83" t="s">
        <v>177</v>
      </c>
      <c r="E83" t="s">
        <v>139</v>
      </c>
      <c r="F83" t="s">
        <v>166</v>
      </c>
      <c r="G83" t="s">
        <v>167</v>
      </c>
      <c r="H83" t="s">
        <v>44</v>
      </c>
      <c r="I83" t="s">
        <v>168</v>
      </c>
      <c r="J83" t="s">
        <v>178</v>
      </c>
    </row>
    <row r="85" spans="1:14" x14ac:dyDescent="0.25">
      <c r="B85" t="s">
        <v>179</v>
      </c>
      <c r="C85" t="s">
        <v>139</v>
      </c>
      <c r="D85" t="s">
        <v>180</v>
      </c>
      <c r="E85" t="s">
        <v>61</v>
      </c>
      <c r="F85" t="s">
        <v>5</v>
      </c>
      <c r="G85" t="s">
        <v>181</v>
      </c>
      <c r="H85" t="s">
        <v>182</v>
      </c>
      <c r="I85" t="s">
        <v>407</v>
      </c>
      <c r="J85" t="s">
        <v>146</v>
      </c>
      <c r="K85" t="s">
        <v>44</v>
      </c>
      <c r="L85" t="s">
        <v>183</v>
      </c>
    </row>
    <row r="86" spans="1:14" x14ac:dyDescent="0.25">
      <c r="B86" t="s">
        <v>408</v>
      </c>
      <c r="C86" t="s">
        <v>139</v>
      </c>
      <c r="D86" t="s">
        <v>409</v>
      </c>
      <c r="E86" t="s">
        <v>410</v>
      </c>
    </row>
    <row r="89" spans="1:14" x14ac:dyDescent="0.25">
      <c r="A89">
        <v>1</v>
      </c>
      <c r="B89" t="s">
        <v>184</v>
      </c>
    </row>
    <row r="90" spans="1:14" x14ac:dyDescent="0.25">
      <c r="B90" t="s">
        <v>20</v>
      </c>
      <c r="C90" t="s">
        <v>91</v>
      </c>
      <c r="D90" t="s">
        <v>185</v>
      </c>
      <c r="E90" t="s">
        <v>186</v>
      </c>
      <c r="F90" t="s">
        <v>36</v>
      </c>
      <c r="G90" t="s">
        <v>143</v>
      </c>
      <c r="H90" t="s">
        <v>327</v>
      </c>
      <c r="I90" t="s">
        <v>411</v>
      </c>
      <c r="J90" t="s">
        <v>188</v>
      </c>
      <c r="K90" t="s">
        <v>189</v>
      </c>
      <c r="L90" t="s">
        <v>190</v>
      </c>
      <c r="M90" t="s">
        <v>191</v>
      </c>
    </row>
    <row r="91" spans="1:14" x14ac:dyDescent="0.25">
      <c r="B91" t="s">
        <v>94</v>
      </c>
      <c r="C91" t="s">
        <v>192</v>
      </c>
      <c r="D91" t="s">
        <v>193</v>
      </c>
      <c r="E91" t="s">
        <v>107</v>
      </c>
      <c r="F91" t="s">
        <v>83</v>
      </c>
      <c r="G91" t="s">
        <v>194</v>
      </c>
      <c r="H91" t="s">
        <v>195</v>
      </c>
      <c r="I91" t="s">
        <v>143</v>
      </c>
      <c r="J91" t="s">
        <v>140</v>
      </c>
      <c r="K91" t="s">
        <v>193</v>
      </c>
      <c r="L91" t="s">
        <v>196</v>
      </c>
      <c r="M91" t="s">
        <v>61</v>
      </c>
    </row>
    <row r="92" spans="1:14" x14ac:dyDescent="0.25">
      <c r="B92" t="s">
        <v>83</v>
      </c>
      <c r="C92" t="s">
        <v>162</v>
      </c>
      <c r="D92" t="s">
        <v>159</v>
      </c>
      <c r="E92" t="s">
        <v>197</v>
      </c>
      <c r="F92" t="s">
        <v>198</v>
      </c>
    </row>
    <row r="93" spans="1:14" x14ac:dyDescent="0.25">
      <c r="B93" t="s">
        <v>94</v>
      </c>
      <c r="C93" t="s">
        <v>412</v>
      </c>
      <c r="D93" t="s">
        <v>87</v>
      </c>
      <c r="E93" t="s">
        <v>199</v>
      </c>
      <c r="F93" t="s">
        <v>107</v>
      </c>
      <c r="G93" t="s">
        <v>86</v>
      </c>
      <c r="H93" t="s">
        <v>206</v>
      </c>
      <c r="I93" t="s">
        <v>62</v>
      </c>
      <c r="J93" t="s">
        <v>162</v>
      </c>
      <c r="K93" t="s">
        <v>44</v>
      </c>
      <c r="L93" t="s">
        <v>168</v>
      </c>
    </row>
    <row r="94" spans="1:14" x14ac:dyDescent="0.25">
      <c r="B94" t="s">
        <v>283</v>
      </c>
      <c r="C94" t="s">
        <v>413</v>
      </c>
      <c r="D94" t="s">
        <v>62</v>
      </c>
      <c r="E94" t="s">
        <v>414</v>
      </c>
      <c r="F94" t="s">
        <v>87</v>
      </c>
      <c r="G94" t="s">
        <v>199</v>
      </c>
      <c r="H94" t="s">
        <v>107</v>
      </c>
      <c r="I94" t="s">
        <v>200</v>
      </c>
      <c r="J94" t="s">
        <v>206</v>
      </c>
      <c r="K94" t="s">
        <v>62</v>
      </c>
      <c r="L94" t="s">
        <v>5</v>
      </c>
    </row>
    <row r="95" spans="1:14" x14ac:dyDescent="0.25">
      <c r="B95" t="e">
        <f>-normal</f>
        <v>#NAME?</v>
      </c>
      <c r="C95" t="s">
        <v>415</v>
      </c>
      <c r="D95" t="s">
        <v>416</v>
      </c>
      <c r="E95" t="s">
        <v>354</v>
      </c>
      <c r="F95" t="s">
        <v>62</v>
      </c>
      <c r="G95" t="s">
        <v>201</v>
      </c>
      <c r="H95" t="s">
        <v>44</v>
      </c>
      <c r="I95" t="s">
        <v>202</v>
      </c>
      <c r="J95" t="s">
        <v>203</v>
      </c>
    </row>
    <row r="96" spans="1:14" x14ac:dyDescent="0.25">
      <c r="B96" t="s">
        <v>94</v>
      </c>
      <c r="C96" t="s">
        <v>271</v>
      </c>
      <c r="D96" t="s">
        <v>87</v>
      </c>
      <c r="E96" t="s">
        <v>199</v>
      </c>
      <c r="F96" t="s">
        <v>107</v>
      </c>
      <c r="G96" t="s">
        <v>417</v>
      </c>
      <c r="H96" t="s">
        <v>418</v>
      </c>
      <c r="I96" t="s">
        <v>419</v>
      </c>
      <c r="J96" t="s">
        <v>70</v>
      </c>
      <c r="K96" t="s">
        <v>420</v>
      </c>
      <c r="L96" t="s">
        <v>36</v>
      </c>
      <c r="M96" t="s">
        <v>62</v>
      </c>
      <c r="N96" t="s">
        <v>203</v>
      </c>
    </row>
    <row r="97" spans="1:13" x14ac:dyDescent="0.25">
      <c r="B97" t="s">
        <v>204</v>
      </c>
      <c r="C97" t="s">
        <v>205</v>
      </c>
      <c r="D97" t="s">
        <v>59</v>
      </c>
      <c r="E97" t="s">
        <v>104</v>
      </c>
      <c r="F97" t="s">
        <v>206</v>
      </c>
      <c r="G97" t="s">
        <v>62</v>
      </c>
      <c r="H97" t="s">
        <v>207</v>
      </c>
      <c r="I97" t="s">
        <v>208</v>
      </c>
    </row>
    <row r="100" spans="1:13" x14ac:dyDescent="0.25">
      <c r="A100">
        <v>2</v>
      </c>
      <c r="B100" t="s">
        <v>421</v>
      </c>
    </row>
    <row r="102" spans="1:13" x14ac:dyDescent="0.25">
      <c r="A102" t="s">
        <v>209</v>
      </c>
      <c r="B102" t="s">
        <v>210</v>
      </c>
      <c r="C102" t="s">
        <v>211</v>
      </c>
      <c r="D102" t="s">
        <v>212</v>
      </c>
      <c r="E102" t="s">
        <v>213</v>
      </c>
      <c r="F102" t="s">
        <v>44</v>
      </c>
      <c r="G102" t="s">
        <v>214</v>
      </c>
      <c r="H102" t="s">
        <v>215</v>
      </c>
    </row>
    <row r="103" spans="1:13" x14ac:dyDescent="0.25">
      <c r="B103" t="s">
        <v>216</v>
      </c>
    </row>
    <row r="104" spans="1:13" x14ac:dyDescent="0.25">
      <c r="B104" t="s">
        <v>29</v>
      </c>
      <c r="C104" t="s">
        <v>83</v>
      </c>
      <c r="D104" t="s">
        <v>217</v>
      </c>
      <c r="E104" t="s">
        <v>218</v>
      </c>
      <c r="F104" t="s">
        <v>219</v>
      </c>
      <c r="G104" t="s">
        <v>220</v>
      </c>
      <c r="H104" t="s">
        <v>36</v>
      </c>
      <c r="I104" t="s">
        <v>62</v>
      </c>
      <c r="J104" t="s">
        <v>221</v>
      </c>
      <c r="K104" t="s">
        <v>222</v>
      </c>
      <c r="L104" t="s">
        <v>223</v>
      </c>
    </row>
    <row r="105" spans="1:13" x14ac:dyDescent="0.25">
      <c r="B105" t="s">
        <v>70</v>
      </c>
      <c r="C105" t="s">
        <v>41</v>
      </c>
      <c r="D105" t="s">
        <v>224</v>
      </c>
      <c r="E105" t="s">
        <v>225</v>
      </c>
      <c r="F105" t="s">
        <v>44</v>
      </c>
      <c r="G105" t="s">
        <v>226</v>
      </c>
      <c r="H105" t="s">
        <v>227</v>
      </c>
      <c r="I105" t="s">
        <v>228</v>
      </c>
      <c r="J105" t="s">
        <v>229</v>
      </c>
      <c r="K105" t="s">
        <v>230</v>
      </c>
      <c r="L105" t="s">
        <v>231</v>
      </c>
      <c r="M105">
        <v>2008</v>
      </c>
    </row>
    <row r="107" spans="1:13" x14ac:dyDescent="0.25">
      <c r="A107" t="s">
        <v>232</v>
      </c>
      <c r="B107" t="s">
        <v>212</v>
      </c>
      <c r="C107" t="s">
        <v>235</v>
      </c>
      <c r="D107" t="s">
        <v>246</v>
      </c>
      <c r="E107" t="s">
        <v>247</v>
      </c>
      <c r="F107" t="s">
        <v>44</v>
      </c>
      <c r="G107" t="s">
        <v>214</v>
      </c>
      <c r="H107" t="s">
        <v>215</v>
      </c>
    </row>
    <row r="108" spans="1:13" x14ac:dyDescent="0.25">
      <c r="B108" t="s">
        <v>248</v>
      </c>
    </row>
    <row r="109" spans="1:13" x14ac:dyDescent="0.25">
      <c r="B109" t="s">
        <v>249</v>
      </c>
      <c r="C109" t="s">
        <v>250</v>
      </c>
      <c r="D109" t="s">
        <v>251</v>
      </c>
      <c r="E109" t="s">
        <v>1</v>
      </c>
      <c r="F109" t="s">
        <v>36</v>
      </c>
      <c r="G109" t="s">
        <v>26</v>
      </c>
      <c r="H109" t="s">
        <v>30</v>
      </c>
      <c r="I109" t="s">
        <v>31</v>
      </c>
    </row>
    <row r="110" spans="1:13" x14ac:dyDescent="0.25">
      <c r="B110" t="s">
        <v>206</v>
      </c>
      <c r="C110" t="s">
        <v>83</v>
      </c>
      <c r="D110" t="s">
        <v>27</v>
      </c>
      <c r="E110" t="s">
        <v>422</v>
      </c>
      <c r="F110" t="s">
        <v>252</v>
      </c>
      <c r="G110" t="s">
        <v>30</v>
      </c>
      <c r="H110" t="s">
        <v>44</v>
      </c>
      <c r="I110" t="s">
        <v>253</v>
      </c>
      <c r="J110" t="s">
        <v>31</v>
      </c>
      <c r="K110">
        <v>5</v>
      </c>
    </row>
    <row r="111" spans="1:13" x14ac:dyDescent="0.25">
      <c r="B111" t="s">
        <v>254</v>
      </c>
      <c r="C111" t="s">
        <v>36</v>
      </c>
      <c r="D111" t="s">
        <v>62</v>
      </c>
      <c r="E111" t="s">
        <v>255</v>
      </c>
      <c r="F111" t="s">
        <v>222</v>
      </c>
      <c r="G111" t="s">
        <v>223</v>
      </c>
      <c r="H111" t="s">
        <v>70</v>
      </c>
      <c r="I111" t="s">
        <v>252</v>
      </c>
    </row>
    <row r="112" spans="1:13" x14ac:dyDescent="0.25">
      <c r="B112" t="s">
        <v>30</v>
      </c>
      <c r="C112" t="s">
        <v>44</v>
      </c>
      <c r="D112" t="s">
        <v>253</v>
      </c>
      <c r="E112" t="s">
        <v>256</v>
      </c>
      <c r="F112" t="s">
        <v>247</v>
      </c>
      <c r="G112" t="s">
        <v>257</v>
      </c>
      <c r="H112" t="s">
        <v>213</v>
      </c>
      <c r="I112" t="s">
        <v>258</v>
      </c>
      <c r="J112" t="s">
        <v>259</v>
      </c>
      <c r="K112" t="s">
        <v>260</v>
      </c>
      <c r="L112" t="s">
        <v>261</v>
      </c>
    </row>
    <row r="113" spans="1:14" x14ac:dyDescent="0.25">
      <c r="B113" t="s">
        <v>230</v>
      </c>
      <c r="C113" t="s">
        <v>262</v>
      </c>
      <c r="D113">
        <v>2006</v>
      </c>
    </row>
    <row r="115" spans="1:14" x14ac:dyDescent="0.25">
      <c r="A115" t="s">
        <v>245</v>
      </c>
      <c r="B115" t="s">
        <v>214</v>
      </c>
      <c r="C115" t="s">
        <v>215</v>
      </c>
      <c r="D115" t="s">
        <v>233</v>
      </c>
      <c r="E115" t="s">
        <v>33</v>
      </c>
      <c r="F115" t="s">
        <v>44</v>
      </c>
      <c r="G115" t="s">
        <v>423</v>
      </c>
      <c r="H115" t="s">
        <v>424</v>
      </c>
    </row>
    <row r="116" spans="1:14" x14ac:dyDescent="0.25">
      <c r="B116" t="s">
        <v>425</v>
      </c>
    </row>
    <row r="117" spans="1:14" x14ac:dyDescent="0.25">
      <c r="B117" t="s">
        <v>29</v>
      </c>
      <c r="C117" t="s">
        <v>426</v>
      </c>
      <c r="D117" t="s">
        <v>151</v>
      </c>
      <c r="E117" t="s">
        <v>44</v>
      </c>
      <c r="F117" t="s">
        <v>395</v>
      </c>
      <c r="G117" t="s">
        <v>427</v>
      </c>
    </row>
    <row r="118" spans="1:14" x14ac:dyDescent="0.25">
      <c r="B118" t="s">
        <v>44</v>
      </c>
      <c r="C118" t="s">
        <v>87</v>
      </c>
      <c r="D118" t="s">
        <v>428</v>
      </c>
    </row>
    <row r="119" spans="1:14" x14ac:dyDescent="0.25">
      <c r="B119" t="s">
        <v>252</v>
      </c>
      <c r="C119" t="s">
        <v>30</v>
      </c>
      <c r="D119" t="s">
        <v>44</v>
      </c>
      <c r="E119" t="s">
        <v>253</v>
      </c>
      <c r="F119" t="s">
        <v>31</v>
      </c>
      <c r="G119">
        <v>3</v>
      </c>
      <c r="H119" t="s">
        <v>254</v>
      </c>
      <c r="I119" t="s">
        <v>36</v>
      </c>
      <c r="J119" t="s">
        <v>62</v>
      </c>
      <c r="K119" t="s">
        <v>429</v>
      </c>
      <c r="L119" t="s">
        <v>222</v>
      </c>
    </row>
    <row r="120" spans="1:14" x14ac:dyDescent="0.25">
      <c r="B120" t="s">
        <v>223</v>
      </c>
      <c r="C120" t="s">
        <v>70</v>
      </c>
      <c r="D120" t="s">
        <v>252</v>
      </c>
      <c r="E120" t="s">
        <v>30</v>
      </c>
      <c r="F120" t="s">
        <v>44</v>
      </c>
      <c r="G120" t="s">
        <v>253</v>
      </c>
      <c r="H120" t="s">
        <v>430</v>
      </c>
    </row>
    <row r="121" spans="1:14" x14ac:dyDescent="0.25">
      <c r="B121" t="s">
        <v>258</v>
      </c>
      <c r="C121" t="s">
        <v>235</v>
      </c>
      <c r="D121" t="s">
        <v>257</v>
      </c>
      <c r="E121" t="s">
        <v>247</v>
      </c>
      <c r="F121" t="s">
        <v>44</v>
      </c>
      <c r="G121" t="s">
        <v>431</v>
      </c>
      <c r="H121" t="s">
        <v>432</v>
      </c>
      <c r="I121" t="s">
        <v>261</v>
      </c>
    </row>
    <row r="122" spans="1:14" x14ac:dyDescent="0.25">
      <c r="B122" t="s">
        <v>433</v>
      </c>
      <c r="C122" t="s">
        <v>434</v>
      </c>
      <c r="D122" t="s">
        <v>230</v>
      </c>
      <c r="E122" t="s">
        <v>435</v>
      </c>
      <c r="F122">
        <v>2000</v>
      </c>
    </row>
    <row r="124" spans="1:14" x14ac:dyDescent="0.25">
      <c r="A124" t="s">
        <v>436</v>
      </c>
      <c r="B124" t="s">
        <v>233</v>
      </c>
      <c r="C124" t="s">
        <v>33</v>
      </c>
      <c r="D124" t="s">
        <v>44</v>
      </c>
      <c r="E124" t="s">
        <v>214</v>
      </c>
      <c r="F124" t="s">
        <v>215</v>
      </c>
    </row>
    <row r="125" spans="1:14" x14ac:dyDescent="0.25">
      <c r="B125" t="s">
        <v>437</v>
      </c>
    </row>
    <row r="126" spans="1:14" x14ac:dyDescent="0.25">
      <c r="B126" t="s">
        <v>347</v>
      </c>
      <c r="C126" t="s">
        <v>1</v>
      </c>
      <c r="D126" t="s">
        <v>438</v>
      </c>
      <c r="E126" t="s">
        <v>101</v>
      </c>
      <c r="F126" t="s">
        <v>153</v>
      </c>
      <c r="G126" t="s">
        <v>139</v>
      </c>
      <c r="H126">
        <v>640</v>
      </c>
      <c r="I126" t="s">
        <v>29</v>
      </c>
      <c r="J126" t="s">
        <v>393</v>
      </c>
      <c r="K126" t="s">
        <v>139</v>
      </c>
      <c r="L126">
        <v>2.5000000000000001E-2</v>
      </c>
      <c r="M126" t="s">
        <v>44</v>
      </c>
      <c r="N126" t="s">
        <v>439</v>
      </c>
    </row>
    <row r="127" spans="1:14" x14ac:dyDescent="0.25">
      <c r="B127" t="s">
        <v>220</v>
      </c>
      <c r="C127" t="s">
        <v>36</v>
      </c>
      <c r="D127" t="s">
        <v>440</v>
      </c>
      <c r="E127" t="s">
        <v>441</v>
      </c>
      <c r="F127" t="s">
        <v>224</v>
      </c>
      <c r="G127" t="s">
        <v>442</v>
      </c>
      <c r="H127" t="s">
        <v>230</v>
      </c>
      <c r="I127" t="s">
        <v>443</v>
      </c>
      <c r="J127">
        <v>2002</v>
      </c>
    </row>
    <row r="129" spans="1:12" x14ac:dyDescent="0.25">
      <c r="A129" t="s">
        <v>444</v>
      </c>
      <c r="B129" t="s">
        <v>233</v>
      </c>
      <c r="C129" t="s">
        <v>215</v>
      </c>
      <c r="D129" t="s">
        <v>214</v>
      </c>
      <c r="E129" t="s">
        <v>33</v>
      </c>
      <c r="F129" t="s">
        <v>44</v>
      </c>
      <c r="G129" t="s">
        <v>234</v>
      </c>
      <c r="H129" t="s">
        <v>235</v>
      </c>
    </row>
    <row r="130" spans="1:12" x14ac:dyDescent="0.25">
      <c r="B130" t="s">
        <v>236</v>
      </c>
    </row>
    <row r="131" spans="1:12" x14ac:dyDescent="0.25">
      <c r="B131" t="s">
        <v>29</v>
      </c>
      <c r="C131" t="s">
        <v>237</v>
      </c>
      <c r="D131" t="s">
        <v>101</v>
      </c>
      <c r="E131" t="s">
        <v>151</v>
      </c>
      <c r="F131" t="s">
        <v>152</v>
      </c>
      <c r="G131" t="s">
        <v>238</v>
      </c>
    </row>
    <row r="132" spans="1:12" x14ac:dyDescent="0.25">
      <c r="B132" t="s">
        <v>239</v>
      </c>
      <c r="C132" t="s">
        <v>240</v>
      </c>
      <c r="D132" t="s">
        <v>241</v>
      </c>
      <c r="E132" t="s">
        <v>242</v>
      </c>
      <c r="F132" t="s">
        <v>228</v>
      </c>
      <c r="G132" t="s">
        <v>243</v>
      </c>
      <c r="H132" t="s">
        <v>230</v>
      </c>
      <c r="I132" t="s">
        <v>244</v>
      </c>
      <c r="J132">
        <v>2001</v>
      </c>
    </row>
    <row r="135" spans="1:12" x14ac:dyDescent="0.25">
      <c r="A135">
        <v>3</v>
      </c>
      <c r="B135" t="s">
        <v>21</v>
      </c>
      <c r="C135" t="s">
        <v>445</v>
      </c>
    </row>
    <row r="137" spans="1:12" x14ac:dyDescent="0.25">
      <c r="A137" t="s">
        <v>264</v>
      </c>
      <c r="B137" t="s">
        <v>265</v>
      </c>
      <c r="C137" t="s">
        <v>266</v>
      </c>
    </row>
    <row r="138" spans="1:12" x14ac:dyDescent="0.25">
      <c r="B138" t="s">
        <v>267</v>
      </c>
      <c r="C138" t="s">
        <v>268</v>
      </c>
      <c r="D138" t="s">
        <v>44</v>
      </c>
      <c r="E138" t="s">
        <v>62</v>
      </c>
      <c r="F138" t="s">
        <v>269</v>
      </c>
      <c r="G138" t="s">
        <v>268</v>
      </c>
      <c r="H138" t="s">
        <v>25</v>
      </c>
      <c r="I138" t="s">
        <v>193</v>
      </c>
      <c r="J138" t="s">
        <v>270</v>
      </c>
    </row>
    <row r="139" spans="1:12" x14ac:dyDescent="0.25">
      <c r="B139" t="s">
        <v>44</v>
      </c>
      <c r="C139" t="s">
        <v>62</v>
      </c>
      <c r="D139" t="s">
        <v>145</v>
      </c>
      <c r="E139" t="s">
        <v>268</v>
      </c>
      <c r="F139" t="s">
        <v>25</v>
      </c>
      <c r="G139" t="s">
        <v>271</v>
      </c>
      <c r="H139" t="s">
        <v>272</v>
      </c>
    </row>
    <row r="141" spans="1:12" x14ac:dyDescent="0.25">
      <c r="A141" t="s">
        <v>273</v>
      </c>
      <c r="B141" t="s">
        <v>274</v>
      </c>
      <c r="C141" t="s">
        <v>275</v>
      </c>
    </row>
    <row r="142" spans="1:12" x14ac:dyDescent="0.25">
      <c r="B142" t="s">
        <v>276</v>
      </c>
      <c r="C142" t="s">
        <v>277</v>
      </c>
      <c r="D142" t="s">
        <v>263</v>
      </c>
      <c r="E142" t="s">
        <v>278</v>
      </c>
      <c r="F142" t="s">
        <v>279</v>
      </c>
    </row>
    <row r="143" spans="1:12" x14ac:dyDescent="0.25">
      <c r="B143" t="s">
        <v>94</v>
      </c>
      <c r="C143" t="s">
        <v>280</v>
      </c>
      <c r="D143" t="s">
        <v>281</v>
      </c>
      <c r="E143" t="s">
        <v>282</v>
      </c>
      <c r="F143" t="s">
        <v>92</v>
      </c>
      <c r="G143" t="s">
        <v>278</v>
      </c>
      <c r="H143" t="s">
        <v>200</v>
      </c>
      <c r="I143" t="s">
        <v>206</v>
      </c>
      <c r="J143" t="s">
        <v>62</v>
      </c>
      <c r="K143" t="s">
        <v>162</v>
      </c>
      <c r="L143" t="s">
        <v>44</v>
      </c>
    </row>
    <row r="144" spans="1:12" x14ac:dyDescent="0.25">
      <c r="B144" t="s">
        <v>168</v>
      </c>
      <c r="C144" t="s">
        <v>283</v>
      </c>
      <c r="D144" t="s">
        <v>44</v>
      </c>
      <c r="E144" t="s">
        <v>62</v>
      </c>
      <c r="F144" t="s">
        <v>284</v>
      </c>
      <c r="G144" t="s">
        <v>281</v>
      </c>
      <c r="H144" t="s">
        <v>282</v>
      </c>
      <c r="I144" t="s">
        <v>92</v>
      </c>
      <c r="J144" t="s">
        <v>278</v>
      </c>
      <c r="K144" t="s">
        <v>99</v>
      </c>
    </row>
    <row r="145" spans="1:12" x14ac:dyDescent="0.25">
      <c r="B145" t="s">
        <v>206</v>
      </c>
      <c r="C145" t="s">
        <v>62</v>
      </c>
      <c r="D145" t="s">
        <v>167</v>
      </c>
      <c r="E145" t="s">
        <v>285</v>
      </c>
    </row>
    <row r="147" spans="1:12" x14ac:dyDescent="0.25">
      <c r="A147" t="s">
        <v>288</v>
      </c>
      <c r="B147" t="s">
        <v>250</v>
      </c>
      <c r="C147" t="s">
        <v>90</v>
      </c>
    </row>
    <row r="148" spans="1:12" x14ac:dyDescent="0.25">
      <c r="B148">
        <v>1.2</v>
      </c>
      <c r="C148" t="s">
        <v>44</v>
      </c>
      <c r="D148">
        <v>2.5</v>
      </c>
      <c r="E148" t="s">
        <v>5</v>
      </c>
      <c r="F148" t="s">
        <v>181</v>
      </c>
      <c r="G148" t="s">
        <v>206</v>
      </c>
      <c r="H148" t="s">
        <v>62</v>
      </c>
      <c r="I148" t="s">
        <v>289</v>
      </c>
      <c r="J148" t="s">
        <v>44</v>
      </c>
      <c r="K148" t="s">
        <v>290</v>
      </c>
      <c r="L148" t="s">
        <v>291</v>
      </c>
    </row>
    <row r="149" spans="1:12" x14ac:dyDescent="0.25">
      <c r="B149" t="s">
        <v>44</v>
      </c>
      <c r="C149">
        <v>0.11</v>
      </c>
      <c r="D149" t="s">
        <v>101</v>
      </c>
      <c r="E149">
        <v>2.1</v>
      </c>
      <c r="F149" t="s">
        <v>5</v>
      </c>
      <c r="G149" t="s">
        <v>181</v>
      </c>
      <c r="H149" t="s">
        <v>206</v>
      </c>
      <c r="I149" t="s">
        <v>62</v>
      </c>
      <c r="J149" t="s">
        <v>292</v>
      </c>
    </row>
    <row r="151" spans="1:12" x14ac:dyDescent="0.25">
      <c r="A151" t="s">
        <v>293</v>
      </c>
      <c r="B151" t="s">
        <v>294</v>
      </c>
      <c r="C151" t="s">
        <v>295</v>
      </c>
    </row>
    <row r="152" spans="1:12" x14ac:dyDescent="0.25">
      <c r="B152" t="s">
        <v>94</v>
      </c>
      <c r="C152" t="s">
        <v>296</v>
      </c>
      <c r="D152" t="s">
        <v>275</v>
      </c>
      <c r="E152" t="s">
        <v>25</v>
      </c>
      <c r="F152" t="s">
        <v>62</v>
      </c>
      <c r="G152" t="s">
        <v>297</v>
      </c>
      <c r="H152" t="s">
        <v>298</v>
      </c>
      <c r="I152" t="s">
        <v>29</v>
      </c>
      <c r="J152" t="s">
        <v>167</v>
      </c>
      <c r="K152" t="s">
        <v>299</v>
      </c>
    </row>
    <row r="153" spans="1:12" x14ac:dyDescent="0.25">
      <c r="B153" t="s">
        <v>44</v>
      </c>
      <c r="C153" t="s">
        <v>62</v>
      </c>
      <c r="D153" t="s">
        <v>284</v>
      </c>
      <c r="E153" t="s">
        <v>300</v>
      </c>
      <c r="F153" t="s">
        <v>275</v>
      </c>
      <c r="G153" t="s">
        <v>25</v>
      </c>
      <c r="H153" t="s">
        <v>62</v>
      </c>
      <c r="I153" t="s">
        <v>301</v>
      </c>
      <c r="J153" t="s">
        <v>302</v>
      </c>
    </row>
    <row r="155" spans="1:12" x14ac:dyDescent="0.25">
      <c r="A155" t="s">
        <v>303</v>
      </c>
      <c r="B155" t="s">
        <v>304</v>
      </c>
      <c r="C155" t="s">
        <v>305</v>
      </c>
    </row>
    <row r="156" spans="1:12" x14ac:dyDescent="0.25">
      <c r="B156" t="s">
        <v>306</v>
      </c>
      <c r="C156" t="s">
        <v>307</v>
      </c>
      <c r="D156" t="s">
        <v>308</v>
      </c>
      <c r="E156" t="s">
        <v>307</v>
      </c>
      <c r="F156" t="s">
        <v>309</v>
      </c>
    </row>
    <row r="158" spans="1:12" x14ac:dyDescent="0.25">
      <c r="A158" t="s">
        <v>310</v>
      </c>
      <c r="B158" t="s">
        <v>311</v>
      </c>
    </row>
    <row r="159" spans="1:12" x14ac:dyDescent="0.25">
      <c r="B159" t="s">
        <v>312</v>
      </c>
      <c r="C159" t="s">
        <v>313</v>
      </c>
    </row>
    <row r="161" spans="1:12" x14ac:dyDescent="0.25">
      <c r="A161" t="s">
        <v>314</v>
      </c>
      <c r="B161" t="s">
        <v>315</v>
      </c>
      <c r="C161" t="s">
        <v>152</v>
      </c>
    </row>
    <row r="162" spans="1:12" x14ac:dyDescent="0.25">
      <c r="B162">
        <v>2048</v>
      </c>
      <c r="C162" t="s">
        <v>307</v>
      </c>
      <c r="D162">
        <v>480</v>
      </c>
      <c r="E162" t="s">
        <v>307</v>
      </c>
      <c r="F162">
        <v>512</v>
      </c>
    </row>
    <row r="164" spans="1:12" x14ac:dyDescent="0.25">
      <c r="A164" t="s">
        <v>316</v>
      </c>
      <c r="B164" t="s">
        <v>317</v>
      </c>
      <c r="C164" t="s">
        <v>25</v>
      </c>
      <c r="D164" t="s">
        <v>318</v>
      </c>
      <c r="E164" t="s">
        <v>319</v>
      </c>
    </row>
    <row r="165" spans="1:12" x14ac:dyDescent="0.25">
      <c r="B165" t="s">
        <v>94</v>
      </c>
      <c r="C165" t="s">
        <v>320</v>
      </c>
      <c r="D165" t="s">
        <v>319</v>
      </c>
      <c r="E165" t="s">
        <v>107</v>
      </c>
      <c r="F165" t="s">
        <v>321</v>
      </c>
      <c r="G165" t="s">
        <v>61</v>
      </c>
    </row>
    <row r="166" spans="1:12" x14ac:dyDescent="0.25">
      <c r="B166" t="s">
        <v>322</v>
      </c>
      <c r="C166" t="s">
        <v>323</v>
      </c>
      <c r="D166" t="s">
        <v>324</v>
      </c>
      <c r="E166" t="s">
        <v>325</v>
      </c>
      <c r="F166" t="s">
        <v>143</v>
      </c>
      <c r="G166" t="s">
        <v>144</v>
      </c>
      <c r="H166" t="s">
        <v>145</v>
      </c>
      <c r="I166" t="s">
        <v>25</v>
      </c>
      <c r="J166" t="s">
        <v>160</v>
      </c>
      <c r="K166" t="s">
        <v>326</v>
      </c>
    </row>
    <row r="167" spans="1:12" x14ac:dyDescent="0.25">
      <c r="B167" t="s">
        <v>44</v>
      </c>
      <c r="C167" t="s">
        <v>322</v>
      </c>
      <c r="D167" t="s">
        <v>327</v>
      </c>
      <c r="E167" t="s">
        <v>328</v>
      </c>
      <c r="F167" t="s">
        <v>325</v>
      </c>
      <c r="G167" t="s">
        <v>329</v>
      </c>
      <c r="H167" t="s">
        <v>330</v>
      </c>
      <c r="I167" t="s">
        <v>25</v>
      </c>
      <c r="J167" t="s">
        <v>329</v>
      </c>
      <c r="K167" t="s">
        <v>272</v>
      </c>
    </row>
    <row r="169" spans="1:12" x14ac:dyDescent="0.25">
      <c r="A169" t="s">
        <v>331</v>
      </c>
      <c r="B169" t="s">
        <v>332</v>
      </c>
      <c r="C169" t="s">
        <v>36</v>
      </c>
      <c r="D169" t="s">
        <v>333</v>
      </c>
      <c r="E169" t="s">
        <v>334</v>
      </c>
      <c r="F169" t="s">
        <v>25</v>
      </c>
      <c r="G169" t="s">
        <v>335</v>
      </c>
      <c r="H169" t="s">
        <v>336</v>
      </c>
    </row>
    <row r="170" spans="1:12" x14ac:dyDescent="0.25">
      <c r="B170" t="s">
        <v>337</v>
      </c>
      <c r="C170">
        <v>948</v>
      </c>
      <c r="D170" t="s">
        <v>446</v>
      </c>
      <c r="E170" t="s">
        <v>338</v>
      </c>
      <c r="F170" t="s">
        <v>62</v>
      </c>
      <c r="G170" t="s">
        <v>193</v>
      </c>
      <c r="H170" t="s">
        <v>339</v>
      </c>
      <c r="I170" t="s">
        <v>62</v>
      </c>
      <c r="J170" t="s">
        <v>194</v>
      </c>
      <c r="K170" t="s">
        <v>195</v>
      </c>
      <c r="L170" t="s">
        <v>340</v>
      </c>
    </row>
    <row r="171" spans="1:12" x14ac:dyDescent="0.25">
      <c r="B171" t="s">
        <v>341</v>
      </c>
      <c r="C171" t="s">
        <v>334</v>
      </c>
      <c r="D171" t="s">
        <v>333</v>
      </c>
      <c r="E171" t="s">
        <v>342</v>
      </c>
      <c r="F171" t="s">
        <v>101</v>
      </c>
      <c r="G171" t="s">
        <v>343</v>
      </c>
      <c r="H171">
        <v>7</v>
      </c>
      <c r="I171" t="s">
        <v>344</v>
      </c>
      <c r="J171" t="s">
        <v>345</v>
      </c>
      <c r="K171" t="s">
        <v>346</v>
      </c>
      <c r="L171" t="s">
        <v>347</v>
      </c>
    </row>
    <row r="172" spans="1:12" x14ac:dyDescent="0.25">
      <c r="B172" t="s">
        <v>62</v>
      </c>
      <c r="C172" t="s">
        <v>348</v>
      </c>
      <c r="D172" t="s">
        <v>349</v>
      </c>
    </row>
    <row r="174" spans="1:12" x14ac:dyDescent="0.25">
      <c r="A174" t="s">
        <v>350</v>
      </c>
      <c r="B174" t="s">
        <v>351</v>
      </c>
    </row>
    <row r="175" spans="1:12" x14ac:dyDescent="0.25">
      <c r="B175" t="s">
        <v>352</v>
      </c>
      <c r="C175" t="s">
        <v>353</v>
      </c>
      <c r="D175" t="s">
        <v>354</v>
      </c>
      <c r="E175" t="s">
        <v>355</v>
      </c>
      <c r="F175" t="s">
        <v>356</v>
      </c>
      <c r="G175" t="s">
        <v>357</v>
      </c>
      <c r="H175" t="s">
        <v>358</v>
      </c>
      <c r="I175" t="s">
        <v>47</v>
      </c>
    </row>
    <row r="176" spans="1:12" x14ac:dyDescent="0.25">
      <c r="B176" t="s">
        <v>359</v>
      </c>
      <c r="C176" t="s">
        <v>352</v>
      </c>
      <c r="D176" t="s">
        <v>353</v>
      </c>
      <c r="E176" t="s">
        <v>354</v>
      </c>
      <c r="F176" t="s">
        <v>355</v>
      </c>
      <c r="G176" t="s">
        <v>356</v>
      </c>
      <c r="H176" t="s">
        <v>357</v>
      </c>
      <c r="I176" t="s">
        <v>358</v>
      </c>
      <c r="J176" t="s">
        <v>360</v>
      </c>
    </row>
    <row r="179" spans="1:4" x14ac:dyDescent="0.25">
      <c r="A179">
        <v>4</v>
      </c>
      <c r="B179" t="s">
        <v>361</v>
      </c>
    </row>
    <row r="181" spans="1:4" x14ac:dyDescent="0.25">
      <c r="A181" t="s">
        <v>362</v>
      </c>
      <c r="B181" t="s">
        <v>363</v>
      </c>
      <c r="C181" t="s">
        <v>364</v>
      </c>
    </row>
    <row r="183" spans="1:4" x14ac:dyDescent="0.25">
      <c r="B183" t="s">
        <v>153</v>
      </c>
      <c r="C183" t="s">
        <v>139</v>
      </c>
      <c r="D183">
        <v>395</v>
      </c>
    </row>
    <row r="184" spans="1:4" x14ac:dyDescent="0.25">
      <c r="B184" t="s">
        <v>393</v>
      </c>
      <c r="C184" t="s">
        <v>139</v>
      </c>
      <c r="D184">
        <v>0.71</v>
      </c>
    </row>
    <row r="186" spans="1:4" x14ac:dyDescent="0.25">
      <c r="A186" t="s">
        <v>365</v>
      </c>
      <c r="B186" t="s">
        <v>366</v>
      </c>
      <c r="C186" t="s">
        <v>159</v>
      </c>
      <c r="D186" t="s">
        <v>367</v>
      </c>
    </row>
    <row r="188" spans="1:4" x14ac:dyDescent="0.25">
      <c r="B188" t="s">
        <v>149</v>
      </c>
      <c r="C188" t="s">
        <v>139</v>
      </c>
      <c r="D188">
        <v>14062</v>
      </c>
    </row>
    <row r="189" spans="1:4" x14ac:dyDescent="0.25">
      <c r="B189" t="s">
        <v>390</v>
      </c>
      <c r="C189" t="s">
        <v>139</v>
      </c>
      <c r="D189">
        <v>36.65</v>
      </c>
    </row>
    <row r="192" spans="1:4" x14ac:dyDescent="0.25">
      <c r="A192">
        <v>5</v>
      </c>
      <c r="B192" t="s">
        <v>224</v>
      </c>
      <c r="C192" t="s">
        <v>368</v>
      </c>
    </row>
    <row r="194" spans="2:15" x14ac:dyDescent="0.25">
      <c r="B194" t="s">
        <v>369</v>
      </c>
      <c r="C194" t="s">
        <v>370</v>
      </c>
      <c r="D194" t="s">
        <v>447</v>
      </c>
      <c r="E194" t="s">
        <v>448</v>
      </c>
      <c r="F194" t="s">
        <v>449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369</v>
      </c>
      <c r="C436" t="s">
        <v>370</v>
      </c>
      <c r="D436" t="s">
        <v>450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375</v>
      </c>
      <c r="C679" t="s">
        <v>36</v>
      </c>
      <c r="D679" t="s">
        <v>286</v>
      </c>
      <c r="E679" t="s">
        <v>266</v>
      </c>
    </row>
    <row r="681" spans="1:7" x14ac:dyDescent="0.25">
      <c r="A681" t="s">
        <v>376</v>
      </c>
      <c r="B681" t="s">
        <v>36</v>
      </c>
      <c r="C681" t="s">
        <v>451</v>
      </c>
      <c r="D681" t="s">
        <v>117</v>
      </c>
    </row>
    <row r="682" spans="1:7" x14ac:dyDescent="0.25">
      <c r="B682" t="s">
        <v>370</v>
      </c>
      <c r="C682" t="s">
        <v>377</v>
      </c>
      <c r="D682" t="s">
        <v>378</v>
      </c>
      <c r="E682" t="s">
        <v>380</v>
      </c>
      <c r="F682" t="s">
        <v>381</v>
      </c>
      <c r="G682" t="s">
        <v>382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376</v>
      </c>
      <c r="B925" t="s">
        <v>36</v>
      </c>
      <c r="C925" t="s">
        <v>449</v>
      </c>
      <c r="D925" t="s">
        <v>117</v>
      </c>
    </row>
    <row r="926" spans="1:8" x14ac:dyDescent="0.25">
      <c r="B926" t="s">
        <v>370</v>
      </c>
      <c r="C926" t="s">
        <v>377</v>
      </c>
      <c r="D926" t="s">
        <v>378</v>
      </c>
      <c r="E926" t="s">
        <v>452</v>
      </c>
      <c r="F926" t="s">
        <v>380</v>
      </c>
      <c r="G926" t="s">
        <v>381</v>
      </c>
      <c r="H926" t="s">
        <v>382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376</v>
      </c>
      <c r="B1169" t="s">
        <v>36</v>
      </c>
      <c r="C1169" t="s">
        <v>450</v>
      </c>
      <c r="D1169" t="s">
        <v>117</v>
      </c>
    </row>
    <row r="1170" spans="1:8" x14ac:dyDescent="0.25">
      <c r="B1170" t="s">
        <v>370</v>
      </c>
      <c r="C1170" t="s">
        <v>377</v>
      </c>
      <c r="D1170" t="s">
        <v>378</v>
      </c>
      <c r="E1170" t="s">
        <v>452</v>
      </c>
      <c r="F1170" t="s">
        <v>380</v>
      </c>
      <c r="G1170" t="s">
        <v>381</v>
      </c>
      <c r="H1170" t="s">
        <v>382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</vt:lpstr>
      <vt:lpstr>scalar!_12m_1</vt:lpstr>
      <vt:lpstr>DNS!_395_1</vt:lpstr>
      <vt:lpstr>Kawamura_scalar!_395_diric</vt:lpstr>
      <vt:lpstr>scalar!diricm</vt:lpstr>
      <vt:lpstr>Diss.!diss1_1</vt:lpstr>
      <vt:lpstr>Rij!fluct1_1</vt:lpstr>
      <vt:lpstr>'&lt;U&gt;'!moy1_</vt:lpstr>
      <vt:lpstr>scalar!neumam_1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2018-01-03T12:48:57Z</dcterms:modified>
</cp:coreProperties>
</file>