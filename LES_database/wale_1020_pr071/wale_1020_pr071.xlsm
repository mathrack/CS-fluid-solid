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queryTables/queryTable2.xml" ContentType="application/vnd.openxmlformats-officedocument.spreadsheetml.query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queryTables/queryTable3.xml" ContentType="application/vnd.openxmlformats-officedocument.spreadsheetml.queryTable+xml"/>
  <Override PartName="/xl/charts/chart7.xml" ContentType="application/vnd.openxmlformats-officedocument.drawingml.chart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Flageul\Documents\stats\5.0_1020_cht_wale_pr071\"/>
    </mc:Choice>
  </mc:AlternateContent>
  <bookViews>
    <workbookView xWindow="480" yWindow="180" windowWidth="27795" windowHeight="14310"/>
  </bookViews>
  <sheets>
    <sheet name="Introduction" sheetId="8" r:id="rId1"/>
    <sheet name="&lt;U&gt;" sheetId="2" r:id="rId2"/>
    <sheet name="Rij" sheetId="3" r:id="rId3"/>
    <sheet name="Diss." sheetId="4" r:id="rId4"/>
    <sheet name="DNS" sheetId="1" r:id="rId5"/>
    <sheet name="scalar" sheetId="5" r:id="rId6"/>
    <sheet name="Kawamura_scalar" sheetId="7" r:id="rId7"/>
  </sheets>
  <definedNames>
    <definedName name="_11m_1" localSheetId="5">scalar!$A$238:$I$354</definedName>
    <definedName name="_12m" localSheetId="5">scalar!$A$356:$I$472</definedName>
    <definedName name="_395_1" localSheetId="4">DNS!$A$1:$M$837</definedName>
    <definedName name="_395_diric" localSheetId="6">Kawamura_scalar!$A$1:$N$1412</definedName>
    <definedName name="diricm_1" localSheetId="5">scalar!$A$2:$I$118</definedName>
    <definedName name="diss1" localSheetId="3">Diss.!$A$2:$C$87</definedName>
    <definedName name="fluct1" localSheetId="2">Rij!$A$2:$E$87</definedName>
    <definedName name="moy1_1" localSheetId="1">'&lt;U&gt;'!$A$2:$C$87</definedName>
    <definedName name="neumam" localSheetId="5">scalar!$A$120:$I$236</definedName>
    <definedName name="robinm" localSheetId="5">scalar!#REF!</definedName>
  </definedNames>
  <calcPr calcId="162913"/>
</workbook>
</file>

<file path=xl/calcChain.xml><?xml version="1.0" encoding="utf-8"?>
<calcChain xmlns="http://schemas.openxmlformats.org/spreadsheetml/2006/main">
  <c r="E17" i="8" l="1"/>
  <c r="C15" i="8"/>
  <c r="E18" i="8"/>
  <c r="D16" i="8"/>
  <c r="D17" i="8" s="1"/>
  <c r="E14" i="8"/>
  <c r="H2" i="4" l="1"/>
  <c r="B95" i="7" l="1"/>
  <c r="B86" i="1"/>
  <c r="C145" i="1"/>
  <c r="C149" i="1"/>
  <c r="J84" i="5" l="1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M10" i="5" l="1"/>
  <c r="M9" i="5"/>
  <c r="M8" i="5"/>
  <c r="L2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O196" i="7" l="1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195" i="7"/>
  <c r="J3" i="5" l="1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2" i="5"/>
  <c r="M2" i="5" l="1"/>
  <c r="D30" i="4" l="1"/>
  <c r="D31" i="4"/>
  <c r="D32" i="4"/>
  <c r="D33" i="4"/>
  <c r="D34" i="4"/>
  <c r="D35" i="4"/>
  <c r="D36" i="4"/>
  <c r="D37" i="4"/>
  <c r="D38" i="4"/>
  <c r="D39" i="4"/>
  <c r="D40" i="4"/>
  <c r="G4" i="3" l="1"/>
  <c r="G3" i="3"/>
  <c r="G2" i="3"/>
  <c r="N9" i="5" l="1"/>
  <c r="N10" i="5"/>
  <c r="N8" i="5"/>
  <c r="L11" i="5" l="1" a="1"/>
  <c r="L12" i="5" s="1"/>
  <c r="L11" i="5" l="1"/>
  <c r="N13" i="5"/>
  <c r="M11" i="5"/>
  <c r="N11" i="5"/>
  <c r="M12" i="5"/>
  <c r="N12" i="5"/>
  <c r="L13" i="5"/>
  <c r="M13" i="5"/>
  <c r="P12" i="5" l="1"/>
  <c r="P11" i="5"/>
  <c r="P13" i="5"/>
  <c r="P2" i="5" s="1"/>
  <c r="H2" i="3"/>
  <c r="N2" i="5"/>
  <c r="P3" i="5" l="1"/>
  <c r="P5" i="5" s="1"/>
  <c r="P6" i="5" s="1"/>
  <c r="P4" i="5" l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2" i="4" l="1"/>
  <c r="G2" i="4" s="1"/>
  <c r="I2" i="4" s="1"/>
</calcChain>
</file>

<file path=xl/connections.xml><?xml version="1.0" encoding="utf-8"?>
<connections xmlns="http://schemas.openxmlformats.org/spreadsheetml/2006/main">
  <connection id="1" name="1020" type="6" refreshedVersion="6" background="1" saveData="1">
    <textPr prompt="0" codePage="852" sourceFile="D:\Users\Flageul\Documents\stats\dns\1020.txt" thousands="'" space="1" consecutive="1">
      <textFields count="5">
        <textField/>
        <textField/>
        <textField/>
        <textField/>
        <textField/>
      </textFields>
    </textPr>
    <extLst>
      <ext xmlns:x15="http://schemas.microsoft.com/office/spreadsheetml/2010/11/main" uri="{DE250136-89BD-433C-8126-D09CA5730AF9}">
        <x15:connection id="" excludeFromRefreshAll="1"/>
      </ext>
    </extLst>
  </connection>
  <connection id="2" name="11m" type="6" refreshedVersion="6" background="1" refreshOnLoad="1" saveData="1">
    <textPr prompt="0" codePage="852" sourceFile="D:\Users\Flageul\Documents\stats\5.0_1020_cht_wale_pr071\csv\11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3" name="12m" type="6" refreshedVersion="6" background="1" refreshOnLoad="1" saveData="1">
    <textPr prompt="0" codePage="852" sourceFile="D:\Users\Flageul\Documents\stats\5.0_1020_cht_wale_pr071\csv\12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4" name="395_diric" type="6" refreshedVersion="6" background="1" saveData="1">
    <textPr prompt="0" codePage="852" sourceFile="D:\Users\Flageul\Documents\stats\dns\395_diric.txt" space="1" consecutive="1">
      <textFields count="5">
        <textField/>
        <textField/>
        <textField/>
        <textField/>
        <textField/>
      </textFields>
    </textPr>
    <extLst>
      <ext xmlns:x15="http://schemas.microsoft.com/office/spreadsheetml/2010/11/main" uri="{DE250136-89BD-433C-8126-D09CA5730AF9}">
        <x15:connection id="" excludeFromRefreshAll="1"/>
      </ext>
    </extLst>
  </connection>
  <connection id="5" name="diricm" type="6" refreshedVersion="6" background="1" refreshOnLoad="1" saveData="1">
    <textPr prompt="0" codePage="852" sourceFile="D:\Users\Flageul\Documents\stats\5.0_1020_cht_wale_pr071\csv\diric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6" name="diss1" type="6" refreshedVersion="6" background="1" refreshOnLoad="1" saveData="1">
    <textPr prompt="0" codePage="852" sourceFile="D:\Users\Flageul\Documents\stats\5.0_1020_cht_wale_pr071\csv\diss1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7" name="fluct1" type="6" refreshedVersion="6" background="1" refreshOnLoad="1" saveData="1">
    <textPr prompt="0" codePage="852" sourceFile="D:\Users\Flageul\Documents\stats\5.0_1020_cht_wale_pr071\csv\fluct1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8" name="moy1" type="6" refreshedVersion="6" background="1" refreshOnLoad="1" saveData="1">
    <textPr prompt="0" codePage="852" sourceFile="D:\Users\Flageul\Documents\stats\5.0_1020_cht_wale_pr071\csv\moy1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9" name="neumam" type="6" refreshedVersion="6" background="1" refreshOnLoad="1" saveData="1">
    <textPr prompt="0" codePage="852" sourceFile="D:\Users\Flageul\Documents\stats\5.0_1020_cht_wale_pr071\csv\neuma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<sst xmlns="http://schemas.openxmlformats.org/spreadsheetml/2006/main" count="1631" uniqueCount="545">
  <si>
    <t>diss_tot_sat</t>
  </si>
  <si>
    <t>DNS</t>
  </si>
  <si>
    <t>diss(wall)</t>
  </si>
  <si>
    <t>dns</t>
  </si>
  <si>
    <t>error in %</t>
  </si>
  <si>
    <t>wall</t>
  </si>
  <si>
    <t>erreur en %</t>
  </si>
  <si>
    <t>matrix</t>
  </si>
  <si>
    <t>inverse</t>
  </si>
  <si>
    <t>df</t>
  </si>
  <si>
    <t>f</t>
  </si>
  <si>
    <t>d2f</t>
  </si>
  <si>
    <t>diss</t>
  </si>
  <si>
    <t>error</t>
  </si>
  <si>
    <t>average</t>
  </si>
  <si>
    <t>k</t>
  </si>
  <si>
    <t>d2k</t>
  </si>
  <si>
    <t>###############################################################################</t>
  </si>
  <si>
    <t>##########</t>
  </si>
  <si>
    <t>###########</t>
  </si>
  <si>
    <t>Direct</t>
  </si>
  <si>
    <t>Numerical</t>
  </si>
  <si>
    <t>Simulation</t>
  </si>
  <si>
    <t>Data</t>
  </si>
  <si>
    <t>Base</t>
  </si>
  <si>
    <t>for</t>
  </si>
  <si>
    <t>Turbulent</t>
  </si>
  <si>
    <t>Channel</t>
  </si>
  <si>
    <t>Flow</t>
  </si>
  <si>
    <t>with</t>
  </si>
  <si>
    <t>Heat</t>
  </si>
  <si>
    <t>Transfer</t>
  </si>
  <si>
    <t>1998-2008</t>
  </si>
  <si>
    <t>H.</t>
  </si>
  <si>
    <t>Kawamura</t>
  </si>
  <si>
    <t>Laboratory</t>
  </si>
  <si>
    <t>of</t>
  </si>
  <si>
    <t>Thermo-fluid</t>
  </si>
  <si>
    <t>dynamics</t>
  </si>
  <si>
    <t>Department</t>
  </si>
  <si>
    <t>Mechanical</t>
  </si>
  <si>
    <t>Engineering</t>
  </si>
  <si>
    <t>Faculty</t>
  </si>
  <si>
    <t>Science</t>
  </si>
  <si>
    <t>and</t>
  </si>
  <si>
    <t>Technology</t>
  </si>
  <si>
    <t>Tokyo</t>
  </si>
  <si>
    <t>University</t>
  </si>
  <si>
    <t>Noda-shi,</t>
  </si>
  <si>
    <t>Chiba-ken</t>
  </si>
  <si>
    <t>278-8510</t>
  </si>
  <si>
    <t>Japan</t>
  </si>
  <si>
    <t>===============================================================================</t>
  </si>
  <si>
    <t>==========</t>
  </si>
  <si>
    <t>##</t>
  </si>
  <si>
    <t>CAUTION</t>
  </si>
  <si>
    <t>===========</t>
  </si>
  <si>
    <t>All</t>
  </si>
  <si>
    <t>rights</t>
  </si>
  <si>
    <t>are</t>
  </si>
  <si>
    <t>reserved</t>
  </si>
  <si>
    <t>by</t>
  </si>
  <si>
    <t>the</t>
  </si>
  <si>
    <t>author's</t>
  </si>
  <si>
    <t>laboratory.</t>
  </si>
  <si>
    <t>data</t>
  </si>
  <si>
    <t>base</t>
  </si>
  <si>
    <t>produced</t>
  </si>
  <si>
    <t>maximal</t>
  </si>
  <si>
    <t>caution</t>
  </si>
  <si>
    <t>on</t>
  </si>
  <si>
    <t>accuracy</t>
  </si>
  <si>
    <t>convergence;</t>
  </si>
  <si>
    <t>however</t>
  </si>
  <si>
    <t>users</t>
  </si>
  <si>
    <t>should</t>
  </si>
  <si>
    <t>remind</t>
  </si>
  <si>
    <t>that</t>
  </si>
  <si>
    <t>their</t>
  </si>
  <si>
    <t>can</t>
  </si>
  <si>
    <t>be</t>
  </si>
  <si>
    <t>guaranteed</t>
  </si>
  <si>
    <t>within</t>
  </si>
  <si>
    <t>a</t>
  </si>
  <si>
    <t>certain</t>
  </si>
  <si>
    <t>limit</t>
  </si>
  <si>
    <t>imposed</t>
  </si>
  <si>
    <t>boundary</t>
  </si>
  <si>
    <t>condition,</t>
  </si>
  <si>
    <t>mesh</t>
  </si>
  <si>
    <t>resolution</t>
  </si>
  <si>
    <t>numerical</t>
  </si>
  <si>
    <t>scheme</t>
  </si>
  <si>
    <t>employed.</t>
  </si>
  <si>
    <t>The</t>
  </si>
  <si>
    <t>may</t>
  </si>
  <si>
    <t>updated</t>
  </si>
  <si>
    <t>without</t>
  </si>
  <si>
    <t>notification.</t>
  </si>
  <si>
    <t>used</t>
  </si>
  <si>
    <t>notification</t>
  </si>
  <si>
    <t>to</t>
  </si>
  <si>
    <t>laboratory</t>
  </si>
  <si>
    <t>reference</t>
  </si>
  <si>
    <t>given</t>
  </si>
  <si>
    <t>below.</t>
  </si>
  <si>
    <t>It</t>
  </si>
  <si>
    <t>is</t>
  </si>
  <si>
    <t>highly</t>
  </si>
  <si>
    <t>appreciated</t>
  </si>
  <si>
    <t>published</t>
  </si>
  <si>
    <t>paper</t>
  </si>
  <si>
    <t>send</t>
  </si>
  <si>
    <t>Prof.</t>
  </si>
  <si>
    <t>Kawamura.</t>
  </si>
  <si>
    <t>E-mail</t>
  </si>
  <si>
    <t>address</t>
  </si>
  <si>
    <t>:</t>
  </si>
  <si>
    <t>kawa@rs.noda.tus.ac.jp</t>
  </si>
  <si>
    <t>June</t>
  </si>
  <si>
    <t>25,</t>
  </si>
  <si>
    <t>Case:</t>
  </si>
  <si>
    <t>Date</t>
  </si>
  <si>
    <t>Release:</t>
  </si>
  <si>
    <t>Computed</t>
  </si>
  <si>
    <t>by:</t>
  </si>
  <si>
    <t>Makoto</t>
  </si>
  <si>
    <t>Kozuka</t>
  </si>
  <si>
    <t>{1},</t>
  </si>
  <si>
    <t>Yohji</t>
  </si>
  <si>
    <t>Seki</t>
  </si>
  <si>
    <t>{1}</t>
  </si>
  <si>
    <t>Hiroshi</t>
  </si>
  <si>
    <t>278-8510,</t>
  </si>
  <si>
    <t>Electronic</t>
  </si>
  <si>
    <t>mail:</t>
  </si>
  <si>
    <t>a7503051@rs.noda.tus.ac.jp</t>
  </si>
  <si>
    <t>Nomenclature:</t>
  </si>
  <si>
    <t>delta</t>
  </si>
  <si>
    <t>=</t>
  </si>
  <si>
    <t>channel</t>
  </si>
  <si>
    <t>half</t>
  </si>
  <si>
    <t>width</t>
  </si>
  <si>
    <t>turbulent</t>
  </si>
  <si>
    <t>kinetic</t>
  </si>
  <si>
    <t>energy</t>
  </si>
  <si>
    <t>nu</t>
  </si>
  <si>
    <t>kinematic</t>
  </si>
  <si>
    <t>viscosity</t>
  </si>
  <si>
    <t>Re_bulk</t>
  </si>
  <si>
    <t>Um*2*delta/nu</t>
  </si>
  <si>
    <t>Reynolds</t>
  </si>
  <si>
    <t>number</t>
  </si>
  <si>
    <t>Re_tau</t>
  </si>
  <si>
    <t>u_tau*delta/nu</t>
  </si>
  <si>
    <t>rho</t>
  </si>
  <si>
    <t>density</t>
  </si>
  <si>
    <t>Um</t>
  </si>
  <si>
    <t>bulk</t>
  </si>
  <si>
    <t>mean</t>
  </si>
  <si>
    <t>velocity</t>
  </si>
  <si>
    <t>u_mean</t>
  </si>
  <si>
    <t>streamwise</t>
  </si>
  <si>
    <t>u,</t>
  </si>
  <si>
    <t>v,</t>
  </si>
  <si>
    <t>w</t>
  </si>
  <si>
    <t>streamwise,</t>
  </si>
  <si>
    <t>wall-normal</t>
  </si>
  <si>
    <t>spanwise</t>
  </si>
  <si>
    <t>fluctuations</t>
  </si>
  <si>
    <t>u_i</t>
  </si>
  <si>
    <t>ith</t>
  </si>
  <si>
    <t>component</t>
  </si>
  <si>
    <t>u_tau</t>
  </si>
  <si>
    <t>friction</t>
  </si>
  <si>
    <t>x,</t>
  </si>
  <si>
    <t>y,</t>
  </si>
  <si>
    <t>z</t>
  </si>
  <si>
    <t>directions</t>
  </si>
  <si>
    <t>+</t>
  </si>
  <si>
    <t>normalized</t>
  </si>
  <si>
    <t>units</t>
  </si>
  <si>
    <t>(u_tau,</t>
  </si>
  <si>
    <t>rho)</t>
  </si>
  <si>
    <t>Introduction</t>
  </si>
  <si>
    <t>simulation</t>
  </si>
  <si>
    <t>(DNS)</t>
  </si>
  <si>
    <t>turbulence</t>
  </si>
  <si>
    <t>has</t>
  </si>
  <si>
    <t>been</t>
  </si>
  <si>
    <t>carried</t>
  </si>
  <si>
    <t>out.</t>
  </si>
  <si>
    <t>present</t>
  </si>
  <si>
    <t>flow</t>
  </si>
  <si>
    <t>fully</t>
  </si>
  <si>
    <t>developed</t>
  </si>
  <si>
    <t>driven</t>
  </si>
  <si>
    <t>pressure</t>
  </si>
  <si>
    <t>gradient.</t>
  </si>
  <si>
    <t>condition</t>
  </si>
  <si>
    <t>adopted</t>
  </si>
  <si>
    <t>top</t>
  </si>
  <si>
    <t>bottom</t>
  </si>
  <si>
    <t>walls.</t>
  </si>
  <si>
    <t>More</t>
  </si>
  <si>
    <t>details</t>
  </si>
  <si>
    <t>in</t>
  </si>
  <si>
    <t>below</t>
  </si>
  <si>
    <t>references.</t>
  </si>
  <si>
    <t>2.1.</t>
  </si>
  <si>
    <t>Kozuka,</t>
  </si>
  <si>
    <t>M.,</t>
  </si>
  <si>
    <t>Seki,</t>
  </si>
  <si>
    <t>Y.</t>
  </si>
  <si>
    <t>Kawamura,</t>
  </si>
  <si>
    <t>H.,</t>
  </si>
  <si>
    <t xml:space="preserve">Direct numerical simulation of turbulent heat transfer </t>
  </si>
  <si>
    <t>high</t>
  </si>
  <si>
    <t>spatial</t>
  </si>
  <si>
    <t>resolution",</t>
  </si>
  <si>
    <t>Proc.</t>
  </si>
  <si>
    <t>7rd</t>
  </si>
  <si>
    <t>International</t>
  </si>
  <si>
    <t>Symposium</t>
  </si>
  <si>
    <t>Turbulence</t>
  </si>
  <si>
    <t>Modelling</t>
  </si>
  <si>
    <t>Mesurements</t>
  </si>
  <si>
    <t>-ETMM7,</t>
  </si>
  <si>
    <t>vol.</t>
  </si>
  <si>
    <t>1,</t>
  </si>
  <si>
    <t>pp.</t>
  </si>
  <si>
    <t>163-168,</t>
  </si>
  <si>
    <t>2.2.</t>
  </si>
  <si>
    <t>Abe,</t>
  </si>
  <si>
    <t>Matsuo,</t>
  </si>
  <si>
    <t>Y.,</t>
  </si>
  <si>
    <t>Direct numerical simulation of a fully developed turbulent channel flow</t>
  </si>
  <si>
    <t>respect</t>
  </si>
  <si>
    <t>dependence",</t>
  </si>
  <si>
    <t>ASME</t>
  </si>
  <si>
    <t>J.</t>
  </si>
  <si>
    <t>Fluids</t>
  </si>
  <si>
    <t>Eng.,</t>
  </si>
  <si>
    <t>123,</t>
  </si>
  <si>
    <t>382-393,</t>
  </si>
  <si>
    <t>2.3.</t>
  </si>
  <si>
    <t>Iwamoto,</t>
  </si>
  <si>
    <t>K.</t>
  </si>
  <si>
    <t>Prandtl number Effect on Turbulence Quantities through</t>
  </si>
  <si>
    <t>High</t>
  </si>
  <si>
    <t>Spatial</t>
  </si>
  <si>
    <t>Resolu-tion</t>
  </si>
  <si>
    <t>Turbulence,</t>
  </si>
  <si>
    <t>Mass</t>
  </si>
  <si>
    <t>(Proc.</t>
  </si>
  <si>
    <t>5rd</t>
  </si>
  <si>
    <t>Transfer,</t>
  </si>
  <si>
    <t>Hanjalic,</t>
  </si>
  <si>
    <t>Nagano,</t>
  </si>
  <si>
    <t>S.</t>
  </si>
  <si>
    <t>Jakirlic</t>
  </si>
  <si>
    <t>(Eds.),</t>
  </si>
  <si>
    <t>301-304,</t>
  </si>
  <si>
    <t>Method</t>
  </si>
  <si>
    <t>3.1.</t>
  </si>
  <si>
    <t>Governing</t>
  </si>
  <si>
    <t>equations</t>
  </si>
  <si>
    <t>Navier-Stokes</t>
  </si>
  <si>
    <t>equation</t>
  </si>
  <si>
    <t>continuity</t>
  </si>
  <si>
    <t>field,</t>
  </si>
  <si>
    <t>thermal</t>
  </si>
  <si>
    <t>field.</t>
  </si>
  <si>
    <t>3.2.</t>
  </si>
  <si>
    <t>Discretization</t>
  </si>
  <si>
    <t>method</t>
  </si>
  <si>
    <t>Finite</t>
  </si>
  <si>
    <t>Difference</t>
  </si>
  <si>
    <t>was</t>
  </si>
  <si>
    <t>adopted.</t>
  </si>
  <si>
    <t>fourth-order</t>
  </si>
  <si>
    <t>central</t>
  </si>
  <si>
    <t>difference</t>
  </si>
  <si>
    <t>directions,</t>
  </si>
  <si>
    <t>second-order</t>
  </si>
  <si>
    <t>direction.</t>
  </si>
  <si>
    <t>transport</t>
  </si>
  <si>
    <t>Abe</t>
  </si>
  <si>
    <t>3.3.</t>
  </si>
  <si>
    <t>x-</t>
  </si>
  <si>
    <t>z-directions,</t>
  </si>
  <si>
    <t>respectively</t>
  </si>
  <si>
    <t>y-direction.</t>
  </si>
  <si>
    <t>3.4.</t>
  </si>
  <si>
    <t>Time</t>
  </si>
  <si>
    <t>advancement</t>
  </si>
  <si>
    <t>Crank-Nicolson</t>
  </si>
  <si>
    <t>viscous</t>
  </si>
  <si>
    <t>terms</t>
  </si>
  <si>
    <t>derivatives</t>
  </si>
  <si>
    <t>Adams-Bashforth</t>
  </si>
  <si>
    <t>other</t>
  </si>
  <si>
    <t>terms.</t>
  </si>
  <si>
    <t>3.5.</t>
  </si>
  <si>
    <t>Computational</t>
  </si>
  <si>
    <t>volume</t>
  </si>
  <si>
    <t>6.4*delta</t>
  </si>
  <si>
    <t>x</t>
  </si>
  <si>
    <t>2*delta</t>
  </si>
  <si>
    <t>3.2*delta.</t>
  </si>
  <si>
    <t>3.6.</t>
  </si>
  <si>
    <t>Grid</t>
  </si>
  <si>
    <t>Staggered</t>
  </si>
  <si>
    <t>grid</t>
  </si>
  <si>
    <t>3.7.</t>
  </si>
  <si>
    <t>Mesh</t>
  </si>
  <si>
    <t>3.8.</t>
  </si>
  <si>
    <t>Criterion</t>
  </si>
  <si>
    <t>stationary</t>
  </si>
  <si>
    <t>state</t>
  </si>
  <si>
    <t>steady</t>
  </si>
  <si>
    <t>identified</t>
  </si>
  <si>
    <t>total</t>
  </si>
  <si>
    <t>shear</t>
  </si>
  <si>
    <t>stress</t>
  </si>
  <si>
    <t>&amp;</t>
  </si>
  <si>
    <t>field</t>
  </si>
  <si>
    <t>heat</t>
  </si>
  <si>
    <t>flux</t>
  </si>
  <si>
    <t>temperature</t>
  </si>
  <si>
    <t>variance</t>
  </si>
  <si>
    <t>3.9.</t>
  </si>
  <si>
    <t>Period</t>
  </si>
  <si>
    <t>time</t>
  </si>
  <si>
    <t>integration</t>
  </si>
  <si>
    <t>ensemble</t>
  </si>
  <si>
    <t>averaging</t>
  </si>
  <si>
    <t>About</t>
  </si>
  <si>
    <t>after</t>
  </si>
  <si>
    <t>reaches</t>
  </si>
  <si>
    <t>state.</t>
  </si>
  <si>
    <t>This</t>
  </si>
  <si>
    <t>corresponds</t>
  </si>
  <si>
    <t>about</t>
  </si>
  <si>
    <t>washing</t>
  </si>
  <si>
    <t>out</t>
  </si>
  <si>
    <t>times</t>
  </si>
  <si>
    <t>through</t>
  </si>
  <si>
    <t>computational</t>
  </si>
  <si>
    <t>domain.</t>
  </si>
  <si>
    <t>3.10.</t>
  </si>
  <si>
    <t>Computer</t>
  </si>
  <si>
    <t>Supercomputing</t>
  </si>
  <si>
    <t>resources</t>
  </si>
  <si>
    <t>at</t>
  </si>
  <si>
    <t>Information</t>
  </si>
  <si>
    <t>Synergy</t>
  </si>
  <si>
    <t>Center,</t>
  </si>
  <si>
    <t>Tohoku</t>
  </si>
  <si>
    <t>(Present:</t>
  </si>
  <si>
    <t>University)</t>
  </si>
  <si>
    <t>Conditions</t>
  </si>
  <si>
    <t>4.1.</t>
  </si>
  <si>
    <t>Specified</t>
  </si>
  <si>
    <t>conditions</t>
  </si>
  <si>
    <t>4.2.</t>
  </si>
  <si>
    <t>Obtained</t>
  </si>
  <si>
    <t>quantities</t>
  </si>
  <si>
    <t>statistics</t>
  </si>
  <si>
    <t>j</t>
  </si>
  <si>
    <t>y+</t>
  </si>
  <si>
    <t>uu+</t>
  </si>
  <si>
    <t>ww+</t>
  </si>
  <si>
    <t>vv+</t>
  </si>
  <si>
    <t>-uv+</t>
  </si>
  <si>
    <t>Budgets</t>
  </si>
  <si>
    <t>Budget</t>
  </si>
  <si>
    <t>Prod.</t>
  </si>
  <si>
    <t>Diss.</t>
  </si>
  <si>
    <t>vel_p_grad.</t>
  </si>
  <si>
    <t>Turb_Diff.</t>
  </si>
  <si>
    <t>Mole_Diff.</t>
  </si>
  <si>
    <t>Res.</t>
  </si>
  <si>
    <t>(EOF)</t>
  </si>
  <si>
    <t>Poi395_4th_D_uhf071</t>
  </si>
  <si>
    <t>alpha</t>
  </si>
  <si>
    <t>qw/(t_w-t_b)</t>
  </si>
  <si>
    <t>cp</t>
  </si>
  <si>
    <t>specific</t>
  </si>
  <si>
    <t>capacity</t>
  </si>
  <si>
    <t>Nu</t>
  </si>
  <si>
    <t>alpha*2delta/ramda</t>
  </si>
  <si>
    <t>Nusselt</t>
  </si>
  <si>
    <t>Pr</t>
  </si>
  <si>
    <t>molecular</t>
  </si>
  <si>
    <t>Prandtl</t>
  </si>
  <si>
    <t>qw</t>
  </si>
  <si>
    <t>surface</t>
  </si>
  <si>
    <t>ramda</t>
  </si>
  <si>
    <t>conductivity</t>
  </si>
  <si>
    <t>t</t>
  </si>
  <si>
    <t>fluctuation</t>
  </si>
  <si>
    <t>t_b</t>
  </si>
  <si>
    <t>t_mean</t>
  </si>
  <si>
    <t>t_tau</t>
  </si>
  <si>
    <t>qw/(rho*cp*u_tau)</t>
  </si>
  <si>
    <t>t_w</t>
  </si>
  <si>
    <t>t_tau,</t>
  </si>
  <si>
    <t>rms</t>
  </si>
  <si>
    <t>root-mean-square</t>
  </si>
  <si>
    <t>value</t>
  </si>
  <si>
    <t>transfer</t>
  </si>
  <si>
    <t>periodic</t>
  </si>
  <si>
    <t>whereas</t>
  </si>
  <si>
    <t>non-slip</t>
  </si>
  <si>
    <t>direction,</t>
  </si>
  <si>
    <t>i.e.</t>
  </si>
  <si>
    <t>uniform</t>
  </si>
  <si>
    <t>heat-flux</t>
  </si>
  <si>
    <t>heating</t>
  </si>
  <si>
    <t>both</t>
  </si>
  <si>
    <t>Reference</t>
  </si>
  <si>
    <t>Flow",</t>
  </si>
  <si>
    <t>Shingai,</t>
  </si>
  <si>
    <t>K.,</t>
  </si>
  <si>
    <t>DNS of turbulence and heat transport in a channel flow</t>
  </si>
  <si>
    <t>different</t>
  </si>
  <si>
    <t>numbers</t>
  </si>
  <si>
    <t>conditions",</t>
  </si>
  <si>
    <t>3rd</t>
  </si>
  <si>
    <t>Transfer),</t>
  </si>
  <si>
    <t>Tsuji,</t>
  </si>
  <si>
    <t>T.</t>
  </si>
  <si>
    <t>Aichi</t>
  </si>
  <si>
    <t>Shuppan,</t>
  </si>
  <si>
    <t>15-32,</t>
  </si>
  <si>
    <t>2.4.</t>
  </si>
  <si>
    <t>A study of turbulence thermal structure in a channel flow</t>
  </si>
  <si>
    <t>up</t>
  </si>
  <si>
    <t>0.71",</t>
  </si>
  <si>
    <t>9th</t>
  </si>
  <si>
    <t>European</t>
  </si>
  <si>
    <t>Conference,</t>
  </si>
  <si>
    <t>399-402,</t>
  </si>
  <si>
    <t>2.5.</t>
  </si>
  <si>
    <t>Methodology</t>
  </si>
  <si>
    <t>nu/u_tau^2</t>
  </si>
  <si>
    <t>t_mean+</t>
  </si>
  <si>
    <t>t_rms+</t>
  </si>
  <si>
    <t>ut+</t>
  </si>
  <si>
    <t>-vt+</t>
  </si>
  <si>
    <t>kt</t>
  </si>
  <si>
    <t>Temp_p_grad.</t>
  </si>
  <si>
    <t>1998-2006</t>
  </si>
  <si>
    <t>Chiba-ken278-8510</t>
  </si>
  <si>
    <t>November24,2006</t>
  </si>
  <si>
    <t>ch1020_4th</t>
  </si>
  <si>
    <t>Hiroyuki</t>
  </si>
  <si>
    <t>Research</t>
  </si>
  <si>
    <t>Group</t>
  </si>
  <si>
    <t>Aerospace</t>
  </si>
  <si>
    <t>Exploration</t>
  </si>
  <si>
    <t>Agency</t>
  </si>
  <si>
    <t>Jindaiji-higashi,</t>
  </si>
  <si>
    <t>Chofu,</t>
  </si>
  <si>
    <t>Tokyo182-8522,</t>
  </si>
  <si>
    <t>habe@chofu.jaxa.jp</t>
  </si>
  <si>
    <t>p</t>
  </si>
  <si>
    <t>Um*2delta/nu</t>
  </si>
  <si>
    <t>H,</t>
  </si>
  <si>
    <t>H</t>
  </si>
  <si>
    <t>Surface heat-flux fluctuations in a turbulent channel flow</t>
  </si>
  <si>
    <t>Re_tau=1020</t>
  </si>
  <si>
    <t>Pr=0.025</t>
  </si>
  <si>
    <t>0.71,"</t>
  </si>
  <si>
    <t>Int.</t>
  </si>
  <si>
    <t>Fluid</t>
  </si>
  <si>
    <t>Flow,</t>
  </si>
  <si>
    <t>vol.25,</t>
  </si>
  <si>
    <t>pp.404-419,2004.</t>
  </si>
  <si>
    <t>and4.25</t>
  </si>
  <si>
    <t>z-directions</t>
  </si>
  <si>
    <t>to7.32</t>
  </si>
  <si>
    <t>third-order</t>
  </si>
  <si>
    <t>Runge-Kutta</t>
  </si>
  <si>
    <t>12.8*delta</t>
  </si>
  <si>
    <t>x2*delta</t>
  </si>
  <si>
    <t>x6.4*delta.</t>
  </si>
  <si>
    <t>x448</t>
  </si>
  <si>
    <t>x1536</t>
  </si>
  <si>
    <t>About13,950</t>
  </si>
  <si>
    <t>about20</t>
  </si>
  <si>
    <t>Computation</t>
  </si>
  <si>
    <t>made</t>
  </si>
  <si>
    <t>Simulator</t>
  </si>
  <si>
    <t>III</t>
  </si>
  <si>
    <t>Center</t>
  </si>
  <si>
    <t>Agency.</t>
  </si>
  <si>
    <t>diricm</t>
  </si>
  <si>
    <t>neumam</t>
  </si>
  <si>
    <t>11m</t>
  </si>
  <si>
    <t>12m</t>
  </si>
  <si>
    <t>This file comes from the gitlab repository https://repo.ijs.si/CFLAG/CS-Fluid-Solid. Visit it for further information.</t>
  </si>
  <si>
    <t>Results of a wall-resolved LES of the turbulent channel flow performed with the open-source CFD code Code_Saturne version 5.0 using the WALE SGS model and a turbulent Prandtl number of 0.5</t>
  </si>
  <si>
    <t>Forcing term in the momentum equation in the fluid domain:</t>
  </si>
  <si>
    <t>Imposed pressure gradient</t>
  </si>
  <si>
    <t>Forcing term in the temperature equation in the fluid domain:</t>
  </si>
  <si>
    <t>Depends on the instantaneous streamwise velocity, as defined by Kasagi et al.</t>
  </si>
  <si>
    <t>Directions:</t>
  </si>
  <si>
    <t>X | Y | Z = Streamwise | Wall-normal | Spanwise</t>
  </si>
  <si>
    <t>Computational domain:</t>
  </si>
  <si>
    <t>&lt;= X &lt;=</t>
  </si>
  <si>
    <t xml:space="preserve">dX+ = </t>
  </si>
  <si>
    <t>Solid1</t>
  </si>
  <si>
    <t>&lt;= Y &lt;=</t>
  </si>
  <si>
    <t>&lt;= dY+ &lt;=</t>
  </si>
  <si>
    <t xml:space="preserve">dZ+ = </t>
  </si>
  <si>
    <t>Solid2</t>
  </si>
  <si>
    <t>&lt;= Z &lt;=</t>
  </si>
  <si>
    <t>Reynolds number based on the friction velocity and the channel half-height:</t>
  </si>
  <si>
    <t xml:space="preserve">Ret = </t>
  </si>
  <si>
    <t>diric</t>
  </si>
  <si>
    <t>No fluid-solid coupling, imposed temperature at the fluid boundary.</t>
  </si>
  <si>
    <t>neuma</t>
  </si>
  <si>
    <t>No fluid-solid coupling, imposed heat flux at the fluid boundary.</t>
  </si>
  <si>
    <t>Fluid-solid coupling, imposed heat flux at the outer wall, fluid-solid thermal properties ratios are equal to one.</t>
  </si>
  <si>
    <t>"11"</t>
  </si>
  <si>
    <t>"12"</t>
  </si>
  <si>
    <t>Fluid-solid coupling, imposed heat flux at the outer wall.</t>
  </si>
  <si>
    <t>Fluid-to-solid thermal diffusivity ratio G=5</t>
  </si>
  <si>
    <t>Thermal activity ratio K = 5</t>
  </si>
  <si>
    <t>U</t>
  </si>
  <si>
    <t>mu_t / mu</t>
  </si>
  <si>
    <t>Rxx</t>
  </si>
  <si>
    <t>Ryy</t>
  </si>
  <si>
    <t>Rzz</t>
  </si>
  <si>
    <t>-Rxy</t>
  </si>
  <si>
    <t>SGS Diss.</t>
  </si>
  <si>
    <t>T</t>
  </si>
  <si>
    <t>T'**2</t>
  </si>
  <si>
    <t>u'T'</t>
  </si>
  <si>
    <t>v'T'</t>
  </si>
  <si>
    <t>w'T'</t>
  </si>
  <si>
    <t>Relative y-Diss</t>
  </si>
  <si>
    <t>4 passive scalars transported with a Prandtl number of 0.71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</si>
</sst>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0E+00"/>
    <numFmt numFmtId="165" formatCode="0.00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1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'&lt;U&gt;'!$B$1</c:f>
              <c:strCache>
                <c:ptCount val="1"/>
                <c:pt idx="0">
                  <c:v>U</c:v>
                </c:pt>
              </c:strCache>
            </c:strRef>
          </c:tx>
          <c:xVal>
            <c:numRef>
              <c:f>'&lt;U&gt;'!$A$2:$A$87</c:f>
              <c:numCache>
                <c:formatCode>General</c:formatCode>
                <c:ptCount val="86"/>
                <c:pt idx="0">
                  <c:v>0.49999237060546797</c:v>
                </c:pt>
                <c:pt idx="1">
                  <c:v>1.54496669769287</c:v>
                </c:pt>
                <c:pt idx="2">
                  <c:v>2.6840543746948198</c:v>
                </c:pt>
                <c:pt idx="3">
                  <c:v>3.9255237579345699</c:v>
                </c:pt>
                <c:pt idx="4">
                  <c:v>5.2789807319641104</c:v>
                </c:pt>
                <c:pt idx="5">
                  <c:v>6.7539703845977703</c:v>
                </c:pt>
                <c:pt idx="6">
                  <c:v>8.3618009090423495</c:v>
                </c:pt>
                <c:pt idx="7">
                  <c:v>10.114449262619001</c:v>
                </c:pt>
                <c:pt idx="8">
                  <c:v>12.0248043537139</c:v>
                </c:pt>
                <c:pt idx="9">
                  <c:v>14.106971025466899</c:v>
                </c:pt>
                <c:pt idx="10">
                  <c:v>16.3765740394592</c:v>
                </c:pt>
                <c:pt idx="11">
                  <c:v>18.850514888763399</c:v>
                </c:pt>
                <c:pt idx="12">
                  <c:v>21.5470933914184</c:v>
                </c:pt>
                <c:pt idx="13">
                  <c:v>24.4862508773803</c:v>
                </c:pt>
                <c:pt idx="14">
                  <c:v>27.690056562423699</c:v>
                </c:pt>
                <c:pt idx="15">
                  <c:v>31.182160377502399</c:v>
                </c:pt>
                <c:pt idx="16">
                  <c:v>34.988522529602001</c:v>
                </c:pt>
                <c:pt idx="17">
                  <c:v>39.137535095214801</c:v>
                </c:pt>
                <c:pt idx="18">
                  <c:v>43.659839630126903</c:v>
                </c:pt>
                <c:pt idx="19">
                  <c:v>48.589299917220998</c:v>
                </c:pt>
                <c:pt idx="20">
                  <c:v>53.962393999099703</c:v>
                </c:pt>
                <c:pt idx="21">
                  <c:v>59.819004535674999</c:v>
                </c:pt>
                <c:pt idx="22">
                  <c:v>66.2026619911193</c:v>
                </c:pt>
                <c:pt idx="23">
                  <c:v>73.160848617553697</c:v>
                </c:pt>
                <c:pt idx="24">
                  <c:v>80.745424032211304</c:v>
                </c:pt>
                <c:pt idx="25">
                  <c:v>89.012442827224703</c:v>
                </c:pt>
                <c:pt idx="26">
                  <c:v>98.0235528945922</c:v>
                </c:pt>
                <c:pt idx="27">
                  <c:v>107.845630645751</c:v>
                </c:pt>
                <c:pt idx="28">
                  <c:v>118.551753759384</c:v>
                </c:pt>
                <c:pt idx="29">
                  <c:v>130.22150516510001</c:v>
                </c:pt>
                <c:pt idx="30">
                  <c:v>142.941337823867</c:v>
                </c:pt>
                <c:pt idx="31">
                  <c:v>156.806094646453</c:v>
                </c:pt>
                <c:pt idx="32">
                  <c:v>171.91864371299701</c:v>
                </c:pt>
                <c:pt idx="33">
                  <c:v>187.726768255233</c:v>
                </c:pt>
                <c:pt idx="34">
                  <c:v>203.579578399658</c:v>
                </c:pt>
                <c:pt idx="35">
                  <c:v>219.43238854408199</c:v>
                </c:pt>
                <c:pt idx="36">
                  <c:v>235.28525948524401</c:v>
                </c:pt>
                <c:pt idx="37">
                  <c:v>251.13806962966899</c:v>
                </c:pt>
                <c:pt idx="38">
                  <c:v>266.99081897735499</c:v>
                </c:pt>
                <c:pt idx="39">
                  <c:v>282.84362912178</c:v>
                </c:pt>
                <c:pt idx="40">
                  <c:v>298.69643926620398</c:v>
                </c:pt>
                <c:pt idx="41">
                  <c:v>314.54931020736598</c:v>
                </c:pt>
                <c:pt idx="42">
                  <c:v>330.40212035179098</c:v>
                </c:pt>
                <c:pt idx="43">
                  <c:v>346.25493049621502</c:v>
                </c:pt>
                <c:pt idx="44">
                  <c:v>362.10780143737702</c:v>
                </c:pt>
                <c:pt idx="45">
                  <c:v>377.96061158180203</c:v>
                </c:pt>
                <c:pt idx="46">
                  <c:v>393.81348252296402</c:v>
                </c:pt>
                <c:pt idx="47">
                  <c:v>409.66629266738801</c:v>
                </c:pt>
                <c:pt idx="48">
                  <c:v>425.519042015075</c:v>
                </c:pt>
                <c:pt idx="49">
                  <c:v>441.371912956237</c:v>
                </c:pt>
                <c:pt idx="50">
                  <c:v>457.22478389739899</c:v>
                </c:pt>
                <c:pt idx="51">
                  <c:v>473.07753324508599</c:v>
                </c:pt>
                <c:pt idx="52">
                  <c:v>488.93034338951099</c:v>
                </c:pt>
                <c:pt idx="53">
                  <c:v>504.78321433067299</c:v>
                </c:pt>
                <c:pt idx="54">
                  <c:v>520.63602447509697</c:v>
                </c:pt>
                <c:pt idx="55">
                  <c:v>536.48889541625897</c:v>
                </c:pt>
                <c:pt idx="56">
                  <c:v>552.34173595905304</c:v>
                </c:pt>
                <c:pt idx="57">
                  <c:v>568.19448530673901</c:v>
                </c:pt>
                <c:pt idx="58">
                  <c:v>584.04732584953297</c:v>
                </c:pt>
                <c:pt idx="59">
                  <c:v>599.90016639232601</c:v>
                </c:pt>
                <c:pt idx="60">
                  <c:v>615.75300693511895</c:v>
                </c:pt>
                <c:pt idx="61">
                  <c:v>631.60581707954395</c:v>
                </c:pt>
                <c:pt idx="62">
                  <c:v>647.45859682559899</c:v>
                </c:pt>
                <c:pt idx="63">
                  <c:v>663.31143736839203</c:v>
                </c:pt>
                <c:pt idx="64">
                  <c:v>679.16427791118599</c:v>
                </c:pt>
                <c:pt idx="65">
                  <c:v>695.01711845397904</c:v>
                </c:pt>
                <c:pt idx="66">
                  <c:v>710.86992859840302</c:v>
                </c:pt>
                <c:pt idx="67">
                  <c:v>726.72273874282803</c:v>
                </c:pt>
                <c:pt idx="68">
                  <c:v>742.57554888725201</c:v>
                </c:pt>
                <c:pt idx="69">
                  <c:v>758.42838943004597</c:v>
                </c:pt>
                <c:pt idx="70">
                  <c:v>774.28122997283901</c:v>
                </c:pt>
                <c:pt idx="71">
                  <c:v>790.13402491807904</c:v>
                </c:pt>
                <c:pt idx="72">
                  <c:v>805.98686546087197</c:v>
                </c:pt>
                <c:pt idx="73">
                  <c:v>821.83970600366501</c:v>
                </c:pt>
                <c:pt idx="74">
                  <c:v>837.69251614809002</c:v>
                </c:pt>
                <c:pt idx="75">
                  <c:v>853.54535669088295</c:v>
                </c:pt>
                <c:pt idx="76">
                  <c:v>869.39818203449204</c:v>
                </c:pt>
                <c:pt idx="77">
                  <c:v>885.25099217891602</c:v>
                </c:pt>
                <c:pt idx="78">
                  <c:v>901.10380992293301</c:v>
                </c:pt>
                <c:pt idx="79">
                  <c:v>916.95665046572606</c:v>
                </c:pt>
                <c:pt idx="80">
                  <c:v>932.80946820974305</c:v>
                </c:pt>
                <c:pt idx="81">
                  <c:v>948.66229355335201</c:v>
                </c:pt>
                <c:pt idx="82">
                  <c:v>964.51511889696098</c:v>
                </c:pt>
                <c:pt idx="83">
                  <c:v>980.36794044077305</c:v>
                </c:pt>
                <c:pt idx="84">
                  <c:v>996.22076388448397</c:v>
                </c:pt>
                <c:pt idx="85">
                  <c:v>1012.07358780317</c:v>
                </c:pt>
              </c:numCache>
            </c:numRef>
          </c:xVal>
          <c:yVal>
            <c:numRef>
              <c:f>'&lt;U&gt;'!$B$2:$B$87</c:f>
              <c:numCache>
                <c:formatCode>General</c:formatCode>
                <c:ptCount val="86"/>
                <c:pt idx="0">
                  <c:v>0.50009702715803495</c:v>
                </c:pt>
                <c:pt idx="1">
                  <c:v>1.5431683758602399</c:v>
                </c:pt>
                <c:pt idx="2">
                  <c:v>2.67049393198069</c:v>
                </c:pt>
                <c:pt idx="3">
                  <c:v>3.8708534882349102</c:v>
                </c:pt>
                <c:pt idx="4">
                  <c:v>5.1177850137738599</c:v>
                </c:pt>
                <c:pt idx="5">
                  <c:v>6.3703008507980998</c:v>
                </c:pt>
                <c:pt idx="6">
                  <c:v>7.5808439759647097</c:v>
                </c:pt>
                <c:pt idx="7">
                  <c:v>8.7076550301383495</c:v>
                </c:pt>
                <c:pt idx="8">
                  <c:v>9.72450896080802</c:v>
                </c:pt>
                <c:pt idx="9">
                  <c:v>10.622737127191799</c:v>
                </c:pt>
                <c:pt idx="10">
                  <c:v>11.406849236348</c:v>
                </c:pt>
                <c:pt idx="11">
                  <c:v>12.0883589071386</c:v>
                </c:pt>
                <c:pt idx="12">
                  <c:v>12.681044516142601</c:v>
                </c:pt>
                <c:pt idx="13">
                  <c:v>13.1983353173031</c:v>
                </c:pt>
                <c:pt idx="14">
                  <c:v>13.6522682007621</c:v>
                </c:pt>
                <c:pt idx="15">
                  <c:v>14.0532607218798</c:v>
                </c:pt>
                <c:pt idx="16">
                  <c:v>14.410199413579999</c:v>
                </c:pt>
                <c:pt idx="17">
                  <c:v>14.730621363134899</c:v>
                </c:pt>
                <c:pt idx="18">
                  <c:v>15.0209395324482</c:v>
                </c:pt>
                <c:pt idx="19">
                  <c:v>15.286635889726499</c:v>
                </c:pt>
                <c:pt idx="20">
                  <c:v>15.532431431377599</c:v>
                </c:pt>
                <c:pt idx="21">
                  <c:v>15.762439696929</c:v>
                </c:pt>
                <c:pt idx="22">
                  <c:v>15.9803120304556</c:v>
                </c:pt>
                <c:pt idx="23">
                  <c:v>16.189257388956399</c:v>
                </c:pt>
                <c:pt idx="24">
                  <c:v>16.392043993052301</c:v>
                </c:pt>
                <c:pt idx="25">
                  <c:v>16.591042245135501</c:v>
                </c:pt>
                <c:pt idx="26">
                  <c:v>16.788252791236399</c:v>
                </c:pt>
                <c:pt idx="27">
                  <c:v>16.985453433149001</c:v>
                </c:pt>
                <c:pt idx="28">
                  <c:v>17.1842436972786</c:v>
                </c:pt>
                <c:pt idx="29">
                  <c:v>17.386135623034299</c:v>
                </c:pt>
                <c:pt idx="30">
                  <c:v>17.5926511540132</c:v>
                </c:pt>
                <c:pt idx="31">
                  <c:v>17.8051207528394</c:v>
                </c:pt>
                <c:pt idx="32">
                  <c:v>18.024595914167499</c:v>
                </c:pt>
                <c:pt idx="33">
                  <c:v>18.242966758503599</c:v>
                </c:pt>
                <c:pt idx="34">
                  <c:v>18.4519814463222</c:v>
                </c:pt>
                <c:pt idx="35">
                  <c:v>18.652103823773999</c:v>
                </c:pt>
                <c:pt idx="36">
                  <c:v>18.844494331584201</c:v>
                </c:pt>
                <c:pt idx="37">
                  <c:v>19.0298792768927</c:v>
                </c:pt>
                <c:pt idx="38">
                  <c:v>19.2087093002655</c:v>
                </c:pt>
                <c:pt idx="39">
                  <c:v>19.381580303697</c:v>
                </c:pt>
                <c:pt idx="40">
                  <c:v>19.549060127314299</c:v>
                </c:pt>
                <c:pt idx="41">
                  <c:v>19.711546589346401</c:v>
                </c:pt>
                <c:pt idx="42">
                  <c:v>19.869383034986601</c:v>
                </c:pt>
                <c:pt idx="43">
                  <c:v>20.022802212658998</c:v>
                </c:pt>
                <c:pt idx="44">
                  <c:v>20.172144166161001</c:v>
                </c:pt>
                <c:pt idx="45">
                  <c:v>20.317498033186901</c:v>
                </c:pt>
                <c:pt idx="46">
                  <c:v>20.458835751870001</c:v>
                </c:pt>
                <c:pt idx="47">
                  <c:v>20.596312487826602</c:v>
                </c:pt>
                <c:pt idx="48">
                  <c:v>20.7301065164453</c:v>
                </c:pt>
                <c:pt idx="49">
                  <c:v>20.860308626118801</c:v>
                </c:pt>
                <c:pt idx="50">
                  <c:v>20.9870772838592</c:v>
                </c:pt>
                <c:pt idx="51">
                  <c:v>21.1105098808512</c:v>
                </c:pt>
                <c:pt idx="52">
                  <c:v>21.2306641915265</c:v>
                </c:pt>
                <c:pt idx="53">
                  <c:v>21.3475732298458</c:v>
                </c:pt>
                <c:pt idx="54">
                  <c:v>21.461349243276199</c:v>
                </c:pt>
                <c:pt idx="55">
                  <c:v>21.572015341590401</c:v>
                </c:pt>
                <c:pt idx="56">
                  <c:v>21.679624347125699</c:v>
                </c:pt>
                <c:pt idx="57">
                  <c:v>21.784201020352899</c:v>
                </c:pt>
                <c:pt idx="58">
                  <c:v>21.885849355248801</c:v>
                </c:pt>
                <c:pt idx="59">
                  <c:v>21.984587509491799</c:v>
                </c:pt>
                <c:pt idx="60">
                  <c:v>22.0803577086504</c:v>
                </c:pt>
                <c:pt idx="61">
                  <c:v>22.1731120824813</c:v>
                </c:pt>
                <c:pt idx="62">
                  <c:v>22.262883644945401</c:v>
                </c:pt>
                <c:pt idx="63">
                  <c:v>22.3496509369681</c:v>
                </c:pt>
                <c:pt idx="64">
                  <c:v>22.433423862737701</c:v>
                </c:pt>
                <c:pt idx="65">
                  <c:v>22.514235436215099</c:v>
                </c:pt>
                <c:pt idx="66">
                  <c:v>22.592080705306099</c:v>
                </c:pt>
                <c:pt idx="67">
                  <c:v>22.666958019312599</c:v>
                </c:pt>
                <c:pt idx="68">
                  <c:v>22.738725418203</c:v>
                </c:pt>
                <c:pt idx="69">
                  <c:v>22.8072293870589</c:v>
                </c:pt>
                <c:pt idx="70">
                  <c:v>22.872430309127299</c:v>
                </c:pt>
                <c:pt idx="71">
                  <c:v>22.934278663466898</c:v>
                </c:pt>
                <c:pt idx="72">
                  <c:v>22.992701819363699</c:v>
                </c:pt>
                <c:pt idx="73">
                  <c:v>23.0475792758605</c:v>
                </c:pt>
                <c:pt idx="74">
                  <c:v>23.0987987854901</c:v>
                </c:pt>
                <c:pt idx="75">
                  <c:v>23.146305875217202</c:v>
                </c:pt>
                <c:pt idx="76">
                  <c:v>23.190044421308102</c:v>
                </c:pt>
                <c:pt idx="77">
                  <c:v>23.2299054776921</c:v>
                </c:pt>
                <c:pt idx="78">
                  <c:v>23.265771844807698</c:v>
                </c:pt>
                <c:pt idx="79">
                  <c:v>23.2975296244901</c:v>
                </c:pt>
                <c:pt idx="80">
                  <c:v>23.325043459499501</c:v>
                </c:pt>
                <c:pt idx="81">
                  <c:v>23.348118567466699</c:v>
                </c:pt>
                <c:pt idx="82">
                  <c:v>23.366649303716699</c:v>
                </c:pt>
                <c:pt idx="83">
                  <c:v>23.380612558477001</c:v>
                </c:pt>
                <c:pt idx="84">
                  <c:v>23.3899835712769</c:v>
                </c:pt>
                <c:pt idx="85">
                  <c:v>23.3947375816457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78-4033-904A-D8F7AB5BEDB8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39"/>
            <c:bubble3D val="0"/>
            <c:extLst>
              <c:ext xmlns:c16="http://schemas.microsoft.com/office/drawing/2014/chart" uri="{C3380CC4-5D6E-409C-BE32-E72D297353CC}">
                <c16:uniqueId val="{00000001-1F78-4033-904A-D8F7AB5BEDB8}"/>
              </c:ext>
            </c:extLst>
          </c:dPt>
          <c:xVal>
            <c:numRef>
              <c:f>DNS!$B$155:$B$378</c:f>
              <c:numCache>
                <c:formatCode>0.00E+00</c:formatCode>
                <c:ptCount val="224"/>
                <c:pt idx="0">
                  <c:v>0.153945</c:v>
                </c:pt>
                <c:pt idx="1">
                  <c:v>0.46582699999999999</c:v>
                </c:pt>
                <c:pt idx="2">
                  <c:v>0.78633399999999998</c:v>
                </c:pt>
                <c:pt idx="3">
                  <c:v>1.11676</c:v>
                </c:pt>
                <c:pt idx="4">
                  <c:v>1.45842</c:v>
                </c:pt>
                <c:pt idx="5">
                  <c:v>1.81264</c:v>
                </c:pt>
                <c:pt idx="6">
                  <c:v>2.1807599999999998</c:v>
                </c:pt>
                <c:pt idx="7">
                  <c:v>2.5641400000000001</c:v>
                </c:pt>
                <c:pt idx="8">
                  <c:v>2.9641299999999999</c:v>
                </c:pt>
                <c:pt idx="9">
                  <c:v>3.38212</c:v>
                </c:pt>
                <c:pt idx="10">
                  <c:v>3.8194699999999999</c:v>
                </c:pt>
                <c:pt idx="11">
                  <c:v>4.2775699999999999</c:v>
                </c:pt>
                <c:pt idx="12">
                  <c:v>4.7577800000000003</c:v>
                </c:pt>
                <c:pt idx="13">
                  <c:v>5.2614799999999997</c:v>
                </c:pt>
                <c:pt idx="14">
                  <c:v>5.7900499999999999</c:v>
                </c:pt>
                <c:pt idx="15">
                  <c:v>6.3448399999999996</c:v>
                </c:pt>
                <c:pt idx="16">
                  <c:v>6.9272099999999996</c:v>
                </c:pt>
                <c:pt idx="17">
                  <c:v>7.5385099999999996</c:v>
                </c:pt>
                <c:pt idx="18">
                  <c:v>8.1800700000000006</c:v>
                </c:pt>
                <c:pt idx="19">
                  <c:v>8.8532100000000007</c:v>
                </c:pt>
                <c:pt idx="20">
                  <c:v>9.5592299999999994</c:v>
                </c:pt>
                <c:pt idx="21">
                  <c:v>10.2994</c:v>
                </c:pt>
                <c:pt idx="22">
                  <c:v>11.074999999999999</c:v>
                </c:pt>
                <c:pt idx="23">
                  <c:v>11.8874</c:v>
                </c:pt>
                <c:pt idx="24">
                  <c:v>12.7376</c:v>
                </c:pt>
                <c:pt idx="25">
                  <c:v>13.626899999999999</c:v>
                </c:pt>
                <c:pt idx="26">
                  <c:v>14.5565</c:v>
                </c:pt>
                <c:pt idx="27">
                  <c:v>15.5276</c:v>
                </c:pt>
                <c:pt idx="28">
                  <c:v>16.5412</c:v>
                </c:pt>
                <c:pt idx="29">
                  <c:v>17.598500000000001</c:v>
                </c:pt>
                <c:pt idx="30">
                  <c:v>18.700500000000002</c:v>
                </c:pt>
                <c:pt idx="31">
                  <c:v>19.848400000000002</c:v>
                </c:pt>
                <c:pt idx="32">
                  <c:v>21.042999999999999</c:v>
                </c:pt>
                <c:pt idx="33">
                  <c:v>22.285499999999999</c:v>
                </c:pt>
                <c:pt idx="34">
                  <c:v>23.576599999999999</c:v>
                </c:pt>
                <c:pt idx="35">
                  <c:v>24.9175</c:v>
                </c:pt>
                <c:pt idx="36">
                  <c:v>26.308900000000001</c:v>
                </c:pt>
                <c:pt idx="37">
                  <c:v>27.7517</c:v>
                </c:pt>
                <c:pt idx="38">
                  <c:v>29.246700000000001</c:v>
                </c:pt>
                <c:pt idx="39">
                  <c:v>30.794799999999999</c:v>
                </c:pt>
                <c:pt idx="40">
                  <c:v>32.396700000000003</c:v>
                </c:pt>
                <c:pt idx="41">
                  <c:v>34.053100000000001</c:v>
                </c:pt>
                <c:pt idx="42">
                  <c:v>35.764699999999998</c:v>
                </c:pt>
                <c:pt idx="43">
                  <c:v>37.532200000000003</c:v>
                </c:pt>
                <c:pt idx="44">
                  <c:v>39.356200000000001</c:v>
                </c:pt>
                <c:pt idx="45">
                  <c:v>41.237200000000001</c:v>
                </c:pt>
                <c:pt idx="46">
                  <c:v>43.175800000000002</c:v>
                </c:pt>
                <c:pt idx="47">
                  <c:v>45.172600000000003</c:v>
                </c:pt>
                <c:pt idx="48">
                  <c:v>47.228000000000002</c:v>
                </c:pt>
                <c:pt idx="49">
                  <c:v>49.342500000000001</c:v>
                </c:pt>
                <c:pt idx="50">
                  <c:v>51.516399999999997</c:v>
                </c:pt>
                <c:pt idx="51">
                  <c:v>53.7502</c:v>
                </c:pt>
                <c:pt idx="52">
                  <c:v>56.044199999999996</c:v>
                </c:pt>
                <c:pt idx="53">
                  <c:v>58.398600000000002</c:v>
                </c:pt>
                <c:pt idx="54">
                  <c:v>60.813899999999997</c:v>
                </c:pt>
                <c:pt idx="55">
                  <c:v>63.290100000000002</c:v>
                </c:pt>
                <c:pt idx="56">
                  <c:v>65.827600000000004</c:v>
                </c:pt>
                <c:pt idx="57">
                  <c:v>68.426400000000001</c:v>
                </c:pt>
                <c:pt idx="58">
                  <c:v>71.086799999999997</c:v>
                </c:pt>
                <c:pt idx="59">
                  <c:v>73.808800000000005</c:v>
                </c:pt>
                <c:pt idx="60">
                  <c:v>76.592399999999998</c:v>
                </c:pt>
                <c:pt idx="61">
                  <c:v>79.437799999999996</c:v>
                </c:pt>
                <c:pt idx="62">
                  <c:v>82.344899999999996</c:v>
                </c:pt>
                <c:pt idx="63">
                  <c:v>85.313800000000001</c:v>
                </c:pt>
                <c:pt idx="64">
                  <c:v>88.344200000000001</c:v>
                </c:pt>
                <c:pt idx="65">
                  <c:v>91.436199999999999</c:v>
                </c:pt>
                <c:pt idx="66">
                  <c:v>94.589699999999993</c:v>
                </c:pt>
                <c:pt idx="67">
                  <c:v>97.804400000000001</c:v>
                </c:pt>
                <c:pt idx="68">
                  <c:v>101.08</c:v>
                </c:pt>
                <c:pt idx="69">
                  <c:v>104.417</c:v>
                </c:pt>
                <c:pt idx="70">
                  <c:v>107.81399999999999</c:v>
                </c:pt>
                <c:pt idx="71">
                  <c:v>111.27200000000001</c:v>
                </c:pt>
                <c:pt idx="72">
                  <c:v>114.79</c:v>
                </c:pt>
                <c:pt idx="73">
                  <c:v>118.36799999999999</c:v>
                </c:pt>
                <c:pt idx="74">
                  <c:v>122.005</c:v>
                </c:pt>
                <c:pt idx="75">
                  <c:v>125.702</c:v>
                </c:pt>
                <c:pt idx="76">
                  <c:v>129.45699999999999</c:v>
                </c:pt>
                <c:pt idx="77">
                  <c:v>133.27000000000001</c:v>
                </c:pt>
                <c:pt idx="78">
                  <c:v>137.14099999999999</c:v>
                </c:pt>
                <c:pt idx="79">
                  <c:v>141.07</c:v>
                </c:pt>
                <c:pt idx="80">
                  <c:v>145.05500000000001</c:v>
                </c:pt>
                <c:pt idx="81">
                  <c:v>149.09700000000001</c:v>
                </c:pt>
                <c:pt idx="82">
                  <c:v>153.19499999999999</c:v>
                </c:pt>
                <c:pt idx="83">
                  <c:v>157.34899999999999</c:v>
                </c:pt>
                <c:pt idx="84">
                  <c:v>161.55699999999999</c:v>
                </c:pt>
                <c:pt idx="85">
                  <c:v>165.81899999999999</c:v>
                </c:pt>
                <c:pt idx="86">
                  <c:v>170.136</c:v>
                </c:pt>
                <c:pt idx="87">
                  <c:v>174.505</c:v>
                </c:pt>
                <c:pt idx="88">
                  <c:v>178.92699999999999</c:v>
                </c:pt>
                <c:pt idx="89">
                  <c:v>183.4</c:v>
                </c:pt>
                <c:pt idx="90">
                  <c:v>187.92500000000001</c:v>
                </c:pt>
                <c:pt idx="91">
                  <c:v>192.5</c:v>
                </c:pt>
                <c:pt idx="92">
                  <c:v>197.125</c:v>
                </c:pt>
                <c:pt idx="93">
                  <c:v>201.8</c:v>
                </c:pt>
                <c:pt idx="94">
                  <c:v>206.523</c:v>
                </c:pt>
                <c:pt idx="95">
                  <c:v>211.29400000000001</c:v>
                </c:pt>
                <c:pt idx="96">
                  <c:v>216.11099999999999</c:v>
                </c:pt>
                <c:pt idx="97">
                  <c:v>220.976</c:v>
                </c:pt>
                <c:pt idx="98">
                  <c:v>225.886</c:v>
                </c:pt>
                <c:pt idx="99">
                  <c:v>230.84100000000001</c:v>
                </c:pt>
                <c:pt idx="100">
                  <c:v>235.84</c:v>
                </c:pt>
                <c:pt idx="101">
                  <c:v>240.88300000000001</c:v>
                </c:pt>
                <c:pt idx="102">
                  <c:v>245.96799999999999</c:v>
                </c:pt>
                <c:pt idx="103">
                  <c:v>251.095</c:v>
                </c:pt>
                <c:pt idx="104">
                  <c:v>256.26400000000001</c:v>
                </c:pt>
                <c:pt idx="105">
                  <c:v>261.47300000000001</c:v>
                </c:pt>
                <c:pt idx="106">
                  <c:v>266.72199999999998</c:v>
                </c:pt>
                <c:pt idx="107">
                  <c:v>272.01</c:v>
                </c:pt>
                <c:pt idx="108">
                  <c:v>277.33699999999999</c:v>
                </c:pt>
                <c:pt idx="109">
                  <c:v>282.7</c:v>
                </c:pt>
                <c:pt idx="110">
                  <c:v>288.101</c:v>
                </c:pt>
                <c:pt idx="111">
                  <c:v>293.53800000000001</c:v>
                </c:pt>
                <c:pt idx="112">
                  <c:v>299.01</c:v>
                </c:pt>
                <c:pt idx="113">
                  <c:v>304.51600000000002</c:v>
                </c:pt>
                <c:pt idx="114">
                  <c:v>310.05599999999998</c:v>
                </c:pt>
                <c:pt idx="115">
                  <c:v>315.63</c:v>
                </c:pt>
                <c:pt idx="116">
                  <c:v>321.23500000000001</c:v>
                </c:pt>
                <c:pt idx="117">
                  <c:v>326.87299999999999</c:v>
                </c:pt>
                <c:pt idx="118">
                  <c:v>332.541</c:v>
                </c:pt>
                <c:pt idx="119">
                  <c:v>338.23899999999998</c:v>
                </c:pt>
                <c:pt idx="120">
                  <c:v>343.96699999999998</c:v>
                </c:pt>
                <c:pt idx="121">
                  <c:v>349.72399999999999</c:v>
                </c:pt>
                <c:pt idx="122">
                  <c:v>355.50799999999998</c:v>
                </c:pt>
                <c:pt idx="123">
                  <c:v>361.32</c:v>
                </c:pt>
                <c:pt idx="124">
                  <c:v>367.15899999999999</c:v>
                </c:pt>
                <c:pt idx="125">
                  <c:v>373.024</c:v>
                </c:pt>
                <c:pt idx="126">
                  <c:v>378.91500000000002</c:v>
                </c:pt>
                <c:pt idx="127">
                  <c:v>384.83</c:v>
                </c:pt>
                <c:pt idx="128">
                  <c:v>390.76900000000001</c:v>
                </c:pt>
                <c:pt idx="129">
                  <c:v>396.73099999999999</c:v>
                </c:pt>
                <c:pt idx="130">
                  <c:v>402.71699999999998</c:v>
                </c:pt>
                <c:pt idx="131">
                  <c:v>408.72500000000002</c:v>
                </c:pt>
                <c:pt idx="132">
                  <c:v>414.75400000000002</c:v>
                </c:pt>
                <c:pt idx="133">
                  <c:v>420.80399999999997</c:v>
                </c:pt>
                <c:pt idx="134">
                  <c:v>426.875</c:v>
                </c:pt>
                <c:pt idx="135">
                  <c:v>432.96600000000001</c:v>
                </c:pt>
                <c:pt idx="136">
                  <c:v>439.07600000000002</c:v>
                </c:pt>
                <c:pt idx="137">
                  <c:v>445.20499999999998</c:v>
                </c:pt>
                <c:pt idx="138">
                  <c:v>451.35199999999998</c:v>
                </c:pt>
                <c:pt idx="139">
                  <c:v>457.517</c:v>
                </c:pt>
                <c:pt idx="140">
                  <c:v>463.69900000000001</c:v>
                </c:pt>
                <c:pt idx="141">
                  <c:v>469.89800000000002</c:v>
                </c:pt>
                <c:pt idx="142">
                  <c:v>476.113</c:v>
                </c:pt>
                <c:pt idx="143">
                  <c:v>482.34399999999999</c:v>
                </c:pt>
                <c:pt idx="144">
                  <c:v>488.59</c:v>
                </c:pt>
                <c:pt idx="145">
                  <c:v>494.85199999999998</c:v>
                </c:pt>
                <c:pt idx="146">
                  <c:v>501.12700000000001</c:v>
                </c:pt>
                <c:pt idx="147">
                  <c:v>507.41699999999997</c:v>
                </c:pt>
                <c:pt idx="148">
                  <c:v>513.72</c:v>
                </c:pt>
                <c:pt idx="149">
                  <c:v>520.03700000000003</c:v>
                </c:pt>
                <c:pt idx="150">
                  <c:v>526.36599999999999</c:v>
                </c:pt>
                <c:pt idx="151">
                  <c:v>532.70799999999997</c:v>
                </c:pt>
                <c:pt idx="152">
                  <c:v>539.06200000000001</c:v>
                </c:pt>
                <c:pt idx="153">
                  <c:v>545.42700000000002</c:v>
                </c:pt>
                <c:pt idx="154">
                  <c:v>551.80499999999995</c:v>
                </c:pt>
                <c:pt idx="155">
                  <c:v>558.19299999999998</c:v>
                </c:pt>
                <c:pt idx="156">
                  <c:v>564.59199999999998</c:v>
                </c:pt>
                <c:pt idx="157">
                  <c:v>571.00199999999995</c:v>
                </c:pt>
                <c:pt idx="158">
                  <c:v>577.42200000000003</c:v>
                </c:pt>
                <c:pt idx="159">
                  <c:v>583.85299999999995</c:v>
                </c:pt>
                <c:pt idx="160">
                  <c:v>590.29300000000001</c:v>
                </c:pt>
                <c:pt idx="161">
                  <c:v>596.74199999999996</c:v>
                </c:pt>
                <c:pt idx="162">
                  <c:v>603.20100000000002</c:v>
                </c:pt>
                <c:pt idx="163">
                  <c:v>609.66999999999996</c:v>
                </c:pt>
                <c:pt idx="164">
                  <c:v>616.14700000000005</c:v>
                </c:pt>
                <c:pt idx="165">
                  <c:v>622.63300000000004</c:v>
                </c:pt>
                <c:pt idx="166">
                  <c:v>629.12800000000004</c:v>
                </c:pt>
                <c:pt idx="167">
                  <c:v>635.63099999999997</c:v>
                </c:pt>
                <c:pt idx="168">
                  <c:v>642.14300000000003</c:v>
                </c:pt>
                <c:pt idx="169">
                  <c:v>648.66300000000001</c:v>
                </c:pt>
                <c:pt idx="170">
                  <c:v>655.19100000000003</c:v>
                </c:pt>
                <c:pt idx="171">
                  <c:v>661.72699999999998</c:v>
                </c:pt>
                <c:pt idx="172">
                  <c:v>668.27200000000005</c:v>
                </c:pt>
                <c:pt idx="173">
                  <c:v>674.82399999999996</c:v>
                </c:pt>
                <c:pt idx="174">
                  <c:v>681.38499999999999</c:v>
                </c:pt>
                <c:pt idx="175">
                  <c:v>687.95299999999997</c:v>
                </c:pt>
                <c:pt idx="176">
                  <c:v>694.529</c:v>
                </c:pt>
                <c:pt idx="177">
                  <c:v>701.11300000000006</c:v>
                </c:pt>
                <c:pt idx="178">
                  <c:v>707.70500000000004</c:v>
                </c:pt>
                <c:pt idx="179">
                  <c:v>714.30600000000004</c:v>
                </c:pt>
                <c:pt idx="180">
                  <c:v>720.91399999999999</c:v>
                </c:pt>
                <c:pt idx="181">
                  <c:v>727.53</c:v>
                </c:pt>
                <c:pt idx="182">
                  <c:v>734.15499999999997</c:v>
                </c:pt>
                <c:pt idx="183">
                  <c:v>740.78700000000003</c:v>
                </c:pt>
                <c:pt idx="184">
                  <c:v>747.42899999999997</c:v>
                </c:pt>
                <c:pt idx="185">
                  <c:v>754.07899999999995</c:v>
                </c:pt>
                <c:pt idx="186">
                  <c:v>760.73699999999997</c:v>
                </c:pt>
                <c:pt idx="187">
                  <c:v>767.404</c:v>
                </c:pt>
                <c:pt idx="188">
                  <c:v>774.08100000000002</c:v>
                </c:pt>
                <c:pt idx="189">
                  <c:v>780.76700000000005</c:v>
                </c:pt>
                <c:pt idx="190">
                  <c:v>787.46199999999999</c:v>
                </c:pt>
                <c:pt idx="191">
                  <c:v>794.16700000000003</c:v>
                </c:pt>
                <c:pt idx="192">
                  <c:v>800.88099999999997</c:v>
                </c:pt>
                <c:pt idx="193">
                  <c:v>807.60599999999999</c:v>
                </c:pt>
                <c:pt idx="194">
                  <c:v>814.34199999999998</c:v>
                </c:pt>
                <c:pt idx="195">
                  <c:v>821.08799999999997</c:v>
                </c:pt>
                <c:pt idx="196">
                  <c:v>827.846</c:v>
                </c:pt>
                <c:pt idx="197">
                  <c:v>834.61500000000001</c:v>
                </c:pt>
                <c:pt idx="198">
                  <c:v>841.39599999999996</c:v>
                </c:pt>
                <c:pt idx="199">
                  <c:v>848.18899999999996</c:v>
                </c:pt>
                <c:pt idx="200">
                  <c:v>854.995</c:v>
                </c:pt>
                <c:pt idx="201">
                  <c:v>861.81399999999996</c:v>
                </c:pt>
                <c:pt idx="202">
                  <c:v>868.64599999999996</c:v>
                </c:pt>
                <c:pt idx="203">
                  <c:v>875.49300000000005</c:v>
                </c:pt>
                <c:pt idx="204">
                  <c:v>882.35400000000004</c:v>
                </c:pt>
                <c:pt idx="205">
                  <c:v>889.23</c:v>
                </c:pt>
                <c:pt idx="206">
                  <c:v>896.12099999999998</c:v>
                </c:pt>
                <c:pt idx="207">
                  <c:v>903.029</c:v>
                </c:pt>
                <c:pt idx="208">
                  <c:v>909.95399999999995</c:v>
                </c:pt>
                <c:pt idx="209">
                  <c:v>916.89599999999996</c:v>
                </c:pt>
                <c:pt idx="210">
                  <c:v>923.85699999999997</c:v>
                </c:pt>
                <c:pt idx="211">
                  <c:v>930.83600000000001</c:v>
                </c:pt>
                <c:pt idx="212">
                  <c:v>937.83399999999995</c:v>
                </c:pt>
                <c:pt idx="213">
                  <c:v>944.85299999999995</c:v>
                </c:pt>
                <c:pt idx="214">
                  <c:v>951.89300000000003</c:v>
                </c:pt>
                <c:pt idx="215">
                  <c:v>958.95500000000004</c:v>
                </c:pt>
                <c:pt idx="216">
                  <c:v>966.04</c:v>
                </c:pt>
                <c:pt idx="217">
                  <c:v>973.149</c:v>
                </c:pt>
                <c:pt idx="218">
                  <c:v>980.28200000000004</c:v>
                </c:pt>
                <c:pt idx="219">
                  <c:v>987.44100000000003</c:v>
                </c:pt>
                <c:pt idx="220">
                  <c:v>994.62699999999995</c:v>
                </c:pt>
                <c:pt idx="221">
                  <c:v>1001.84</c:v>
                </c:pt>
                <c:pt idx="222">
                  <c:v>1009.08</c:v>
                </c:pt>
                <c:pt idx="223">
                  <c:v>1016.36</c:v>
                </c:pt>
              </c:numCache>
            </c:numRef>
          </c:xVal>
          <c:yVal>
            <c:numRef>
              <c:f>DNS!$C$155:$C$378</c:f>
              <c:numCache>
                <c:formatCode>0.00E+00</c:formatCode>
                <c:ptCount val="224"/>
                <c:pt idx="0">
                  <c:v>0.153892</c:v>
                </c:pt>
                <c:pt idx="1">
                  <c:v>0.46556199999999998</c:v>
                </c:pt>
                <c:pt idx="2">
                  <c:v>0.78567699999999996</c:v>
                </c:pt>
                <c:pt idx="3">
                  <c:v>1.11537</c:v>
                </c:pt>
                <c:pt idx="4">
                  <c:v>1.4556800000000001</c:v>
                </c:pt>
                <c:pt idx="5">
                  <c:v>1.80749</c:v>
                </c:pt>
                <c:pt idx="6">
                  <c:v>2.1715100000000001</c:v>
                </c:pt>
                <c:pt idx="7">
                  <c:v>2.5482200000000002</c:v>
                </c:pt>
                <c:pt idx="8">
                  <c:v>2.9378000000000002</c:v>
                </c:pt>
                <c:pt idx="9">
                  <c:v>3.3401299999999998</c:v>
                </c:pt>
                <c:pt idx="10">
                  <c:v>3.75468</c:v>
                </c:pt>
                <c:pt idx="11">
                  <c:v>4.1805599999999998</c:v>
                </c:pt>
                <c:pt idx="12">
                  <c:v>4.6164699999999996</c:v>
                </c:pt>
                <c:pt idx="13">
                  <c:v>5.0607100000000003</c:v>
                </c:pt>
                <c:pt idx="14">
                  <c:v>5.5112399999999999</c:v>
                </c:pt>
                <c:pt idx="15">
                  <c:v>5.9656900000000004</c:v>
                </c:pt>
                <c:pt idx="16">
                  <c:v>6.4215099999999996</c:v>
                </c:pt>
                <c:pt idx="17">
                  <c:v>6.87601</c:v>
                </c:pt>
                <c:pt idx="18">
                  <c:v>7.3264500000000004</c:v>
                </c:pt>
                <c:pt idx="19">
                  <c:v>7.7701900000000004</c:v>
                </c:pt>
                <c:pt idx="20">
                  <c:v>8.2047699999999999</c:v>
                </c:pt>
                <c:pt idx="21">
                  <c:v>8.6279500000000002</c:v>
                </c:pt>
                <c:pt idx="22">
                  <c:v>9.0378399999999992</c:v>
                </c:pt>
                <c:pt idx="23">
                  <c:v>9.4328800000000008</c:v>
                </c:pt>
                <c:pt idx="24">
                  <c:v>9.8118800000000004</c:v>
                </c:pt>
                <c:pt idx="25">
                  <c:v>10.173999999999999</c:v>
                </c:pt>
                <c:pt idx="26">
                  <c:v>10.5189</c:v>
                </c:pt>
                <c:pt idx="27">
                  <c:v>10.846299999999999</c:v>
                </c:pt>
                <c:pt idx="28">
                  <c:v>11.1563</c:v>
                </c:pt>
                <c:pt idx="29">
                  <c:v>11.449299999999999</c:v>
                </c:pt>
                <c:pt idx="30">
                  <c:v>11.7258</c:v>
                </c:pt>
                <c:pt idx="31">
                  <c:v>11.9864</c:v>
                </c:pt>
                <c:pt idx="32">
                  <c:v>12.2319</c:v>
                </c:pt>
                <c:pt idx="33">
                  <c:v>12.463200000000001</c:v>
                </c:pt>
                <c:pt idx="34">
                  <c:v>12.681100000000001</c:v>
                </c:pt>
                <c:pt idx="35">
                  <c:v>12.8864</c:v>
                </c:pt>
                <c:pt idx="36">
                  <c:v>13.0801</c:v>
                </c:pt>
                <c:pt idx="37">
                  <c:v>13.263</c:v>
                </c:pt>
                <c:pt idx="38">
                  <c:v>13.4359</c:v>
                </c:pt>
                <c:pt idx="39">
                  <c:v>13.5997</c:v>
                </c:pt>
                <c:pt idx="40">
                  <c:v>13.7552</c:v>
                </c:pt>
                <c:pt idx="41">
                  <c:v>13.903</c:v>
                </c:pt>
                <c:pt idx="42">
                  <c:v>14.043799999999999</c:v>
                </c:pt>
                <c:pt idx="43">
                  <c:v>14.1784</c:v>
                </c:pt>
                <c:pt idx="44">
                  <c:v>14.3073</c:v>
                </c:pt>
                <c:pt idx="45">
                  <c:v>14.430999999999999</c:v>
                </c:pt>
                <c:pt idx="46">
                  <c:v>14.5502</c:v>
                </c:pt>
                <c:pt idx="47">
                  <c:v>14.6652</c:v>
                </c:pt>
                <c:pt idx="48">
                  <c:v>14.776400000000001</c:v>
                </c:pt>
                <c:pt idx="49">
                  <c:v>14.884399999999999</c:v>
                </c:pt>
                <c:pt idx="50">
                  <c:v>14.9894</c:v>
                </c:pt>
                <c:pt idx="51">
                  <c:v>15.091699999999999</c:v>
                </c:pt>
                <c:pt idx="52">
                  <c:v>15.191599999999999</c:v>
                </c:pt>
                <c:pt idx="53">
                  <c:v>15.289300000000001</c:v>
                </c:pt>
                <c:pt idx="54">
                  <c:v>15.3851</c:v>
                </c:pt>
                <c:pt idx="55">
                  <c:v>15.479100000000001</c:v>
                </c:pt>
                <c:pt idx="56">
                  <c:v>15.5715</c:v>
                </c:pt>
                <c:pt idx="57">
                  <c:v>15.6625</c:v>
                </c:pt>
                <c:pt idx="58">
                  <c:v>15.7521</c:v>
                </c:pt>
                <c:pt idx="59">
                  <c:v>15.8405</c:v>
                </c:pt>
                <c:pt idx="60">
                  <c:v>15.9277</c:v>
                </c:pt>
                <c:pt idx="61">
                  <c:v>16.0139</c:v>
                </c:pt>
                <c:pt idx="62">
                  <c:v>16.0991</c:v>
                </c:pt>
                <c:pt idx="63">
                  <c:v>16.183399999999999</c:v>
                </c:pt>
                <c:pt idx="64">
                  <c:v>16.2668</c:v>
                </c:pt>
                <c:pt idx="65">
                  <c:v>16.349399999999999</c:v>
                </c:pt>
                <c:pt idx="66">
                  <c:v>16.4313</c:v>
                </c:pt>
                <c:pt idx="67">
                  <c:v>16.5123</c:v>
                </c:pt>
                <c:pt idx="68">
                  <c:v>16.592700000000001</c:v>
                </c:pt>
                <c:pt idx="69">
                  <c:v>16.6723</c:v>
                </c:pt>
                <c:pt idx="70">
                  <c:v>16.751200000000001</c:v>
                </c:pt>
                <c:pt idx="71">
                  <c:v>16.8294</c:v>
                </c:pt>
                <c:pt idx="72">
                  <c:v>16.9069</c:v>
                </c:pt>
                <c:pt idx="73">
                  <c:v>16.983799999999999</c:v>
                </c:pt>
                <c:pt idx="74">
                  <c:v>17.059999999999999</c:v>
                </c:pt>
                <c:pt idx="75">
                  <c:v>17.1356</c:v>
                </c:pt>
                <c:pt idx="76">
                  <c:v>17.2105</c:v>
                </c:pt>
                <c:pt idx="77">
                  <c:v>17.2849</c:v>
                </c:pt>
                <c:pt idx="78">
                  <c:v>17.358599999999999</c:v>
                </c:pt>
                <c:pt idx="79">
                  <c:v>17.431699999999999</c:v>
                </c:pt>
                <c:pt idx="80">
                  <c:v>17.504300000000001</c:v>
                </c:pt>
                <c:pt idx="81">
                  <c:v>17.5762</c:v>
                </c:pt>
                <c:pt idx="82">
                  <c:v>17.647500000000001</c:v>
                </c:pt>
                <c:pt idx="83">
                  <c:v>17.7182</c:v>
                </c:pt>
                <c:pt idx="84">
                  <c:v>17.7883</c:v>
                </c:pt>
                <c:pt idx="85">
                  <c:v>17.857700000000001</c:v>
                </c:pt>
                <c:pt idx="86">
                  <c:v>17.926600000000001</c:v>
                </c:pt>
                <c:pt idx="87">
                  <c:v>17.994900000000001</c:v>
                </c:pt>
                <c:pt idx="88">
                  <c:v>18.0625</c:v>
                </c:pt>
                <c:pt idx="89">
                  <c:v>18.1296</c:v>
                </c:pt>
                <c:pt idx="90">
                  <c:v>18.196100000000001</c:v>
                </c:pt>
                <c:pt idx="91">
                  <c:v>18.261900000000001</c:v>
                </c:pt>
                <c:pt idx="92">
                  <c:v>18.327200000000001</c:v>
                </c:pt>
                <c:pt idx="93">
                  <c:v>18.3919</c:v>
                </c:pt>
                <c:pt idx="94">
                  <c:v>18.456</c:v>
                </c:pt>
                <c:pt idx="95">
                  <c:v>18.519500000000001</c:v>
                </c:pt>
                <c:pt idx="96">
                  <c:v>18.5825</c:v>
                </c:pt>
                <c:pt idx="97">
                  <c:v>18.6449</c:v>
                </c:pt>
                <c:pt idx="98">
                  <c:v>18.706700000000001</c:v>
                </c:pt>
                <c:pt idx="99">
                  <c:v>18.768000000000001</c:v>
                </c:pt>
                <c:pt idx="100">
                  <c:v>18.828800000000001</c:v>
                </c:pt>
                <c:pt idx="101">
                  <c:v>18.889099999999999</c:v>
                </c:pt>
                <c:pt idx="102">
                  <c:v>18.948899999999998</c:v>
                </c:pt>
                <c:pt idx="103">
                  <c:v>19.008099999999999</c:v>
                </c:pt>
                <c:pt idx="104">
                  <c:v>19.0669</c:v>
                </c:pt>
                <c:pt idx="105">
                  <c:v>19.1252</c:v>
                </c:pt>
                <c:pt idx="106">
                  <c:v>19.183</c:v>
                </c:pt>
                <c:pt idx="107">
                  <c:v>19.240400000000001</c:v>
                </c:pt>
                <c:pt idx="108">
                  <c:v>19.2972</c:v>
                </c:pt>
                <c:pt idx="109">
                  <c:v>19.3536</c:v>
                </c:pt>
                <c:pt idx="110">
                  <c:v>19.409500000000001</c:v>
                </c:pt>
                <c:pt idx="111">
                  <c:v>19.4649</c:v>
                </c:pt>
                <c:pt idx="112">
                  <c:v>19.5199</c:v>
                </c:pt>
                <c:pt idx="113">
                  <c:v>19.5745</c:v>
                </c:pt>
                <c:pt idx="114">
                  <c:v>19.628599999999999</c:v>
                </c:pt>
                <c:pt idx="115">
                  <c:v>19.682300000000001</c:v>
                </c:pt>
                <c:pt idx="116">
                  <c:v>19.735600000000002</c:v>
                </c:pt>
                <c:pt idx="117">
                  <c:v>19.788399999999999</c:v>
                </c:pt>
                <c:pt idx="118">
                  <c:v>19.840699999999998</c:v>
                </c:pt>
                <c:pt idx="119">
                  <c:v>19.892600000000002</c:v>
                </c:pt>
                <c:pt idx="120">
                  <c:v>19.943999999999999</c:v>
                </c:pt>
                <c:pt idx="121">
                  <c:v>19.995000000000001</c:v>
                </c:pt>
                <c:pt idx="122">
                  <c:v>20.0456</c:v>
                </c:pt>
                <c:pt idx="123">
                  <c:v>20.095700000000001</c:v>
                </c:pt>
                <c:pt idx="124">
                  <c:v>20.145399999999999</c:v>
                </c:pt>
                <c:pt idx="125">
                  <c:v>20.194800000000001</c:v>
                </c:pt>
                <c:pt idx="126">
                  <c:v>20.2437</c:v>
                </c:pt>
                <c:pt idx="127">
                  <c:v>20.292300000000001</c:v>
                </c:pt>
                <c:pt idx="128">
                  <c:v>20.340499999999999</c:v>
                </c:pt>
                <c:pt idx="129">
                  <c:v>20.388300000000001</c:v>
                </c:pt>
                <c:pt idx="130">
                  <c:v>20.4358</c:v>
                </c:pt>
                <c:pt idx="131">
                  <c:v>20.482900000000001</c:v>
                </c:pt>
                <c:pt idx="132">
                  <c:v>20.529499999999999</c:v>
                </c:pt>
                <c:pt idx="133">
                  <c:v>20.575800000000001</c:v>
                </c:pt>
                <c:pt idx="134">
                  <c:v>20.621700000000001</c:v>
                </c:pt>
                <c:pt idx="135">
                  <c:v>20.667100000000001</c:v>
                </c:pt>
                <c:pt idx="136">
                  <c:v>20.7121</c:v>
                </c:pt>
                <c:pt idx="137">
                  <c:v>20.756799999999998</c:v>
                </c:pt>
                <c:pt idx="138">
                  <c:v>20.800999999999998</c:v>
                </c:pt>
                <c:pt idx="139">
                  <c:v>20.844899999999999</c:v>
                </c:pt>
                <c:pt idx="140">
                  <c:v>20.888400000000001</c:v>
                </c:pt>
                <c:pt idx="141">
                  <c:v>20.9316</c:v>
                </c:pt>
                <c:pt idx="142">
                  <c:v>20.974399999999999</c:v>
                </c:pt>
                <c:pt idx="143">
                  <c:v>21.0168</c:v>
                </c:pt>
                <c:pt idx="144">
                  <c:v>21.058800000000002</c:v>
                </c:pt>
                <c:pt idx="145">
                  <c:v>21.1005</c:v>
                </c:pt>
                <c:pt idx="146">
                  <c:v>21.1418</c:v>
                </c:pt>
                <c:pt idx="147">
                  <c:v>21.1828</c:v>
                </c:pt>
                <c:pt idx="148">
                  <c:v>21.223400000000002</c:v>
                </c:pt>
                <c:pt idx="149">
                  <c:v>21.2637</c:v>
                </c:pt>
                <c:pt idx="150">
                  <c:v>21.303699999999999</c:v>
                </c:pt>
                <c:pt idx="151">
                  <c:v>21.343399999999999</c:v>
                </c:pt>
                <c:pt idx="152">
                  <c:v>21.3827</c:v>
                </c:pt>
                <c:pt idx="153">
                  <c:v>21.421600000000002</c:v>
                </c:pt>
                <c:pt idx="154">
                  <c:v>21.4602</c:v>
                </c:pt>
                <c:pt idx="155">
                  <c:v>21.4984</c:v>
                </c:pt>
                <c:pt idx="156">
                  <c:v>21.536200000000001</c:v>
                </c:pt>
                <c:pt idx="157">
                  <c:v>21.573599999999999</c:v>
                </c:pt>
                <c:pt idx="158">
                  <c:v>21.610700000000001</c:v>
                </c:pt>
                <c:pt idx="159">
                  <c:v>21.647400000000001</c:v>
                </c:pt>
                <c:pt idx="160">
                  <c:v>21.683800000000002</c:v>
                </c:pt>
                <c:pt idx="161">
                  <c:v>21.719799999999999</c:v>
                </c:pt>
                <c:pt idx="162">
                  <c:v>21.755600000000001</c:v>
                </c:pt>
                <c:pt idx="163">
                  <c:v>21.790900000000001</c:v>
                </c:pt>
                <c:pt idx="164">
                  <c:v>21.826000000000001</c:v>
                </c:pt>
                <c:pt idx="165">
                  <c:v>21.860800000000001</c:v>
                </c:pt>
                <c:pt idx="166">
                  <c:v>21.895199999999999</c:v>
                </c:pt>
                <c:pt idx="167">
                  <c:v>21.929300000000001</c:v>
                </c:pt>
                <c:pt idx="168">
                  <c:v>21.963000000000001</c:v>
                </c:pt>
                <c:pt idx="169">
                  <c:v>21.996400000000001</c:v>
                </c:pt>
                <c:pt idx="170">
                  <c:v>22.029399999999999</c:v>
                </c:pt>
                <c:pt idx="171">
                  <c:v>22.062100000000001</c:v>
                </c:pt>
                <c:pt idx="172">
                  <c:v>22.0944</c:v>
                </c:pt>
                <c:pt idx="173">
                  <c:v>22.126300000000001</c:v>
                </c:pt>
                <c:pt idx="174">
                  <c:v>22.157800000000002</c:v>
                </c:pt>
                <c:pt idx="175">
                  <c:v>22.189</c:v>
                </c:pt>
                <c:pt idx="176">
                  <c:v>22.2197</c:v>
                </c:pt>
                <c:pt idx="177">
                  <c:v>22.25</c:v>
                </c:pt>
                <c:pt idx="178">
                  <c:v>22.279900000000001</c:v>
                </c:pt>
                <c:pt idx="179">
                  <c:v>22.3094</c:v>
                </c:pt>
                <c:pt idx="180">
                  <c:v>22.3384</c:v>
                </c:pt>
                <c:pt idx="181">
                  <c:v>22.367000000000001</c:v>
                </c:pt>
                <c:pt idx="182">
                  <c:v>22.395299999999999</c:v>
                </c:pt>
                <c:pt idx="183">
                  <c:v>22.422999999999998</c:v>
                </c:pt>
                <c:pt idx="184">
                  <c:v>22.450399999999998</c:v>
                </c:pt>
                <c:pt idx="185">
                  <c:v>22.4773</c:v>
                </c:pt>
                <c:pt idx="186">
                  <c:v>22.503799999999998</c:v>
                </c:pt>
                <c:pt idx="187">
                  <c:v>22.529800000000002</c:v>
                </c:pt>
                <c:pt idx="188">
                  <c:v>22.555299999999999</c:v>
                </c:pt>
                <c:pt idx="189">
                  <c:v>22.580400000000001</c:v>
                </c:pt>
                <c:pt idx="190">
                  <c:v>22.605</c:v>
                </c:pt>
                <c:pt idx="191">
                  <c:v>22.629100000000001</c:v>
                </c:pt>
                <c:pt idx="192">
                  <c:v>22.652699999999999</c:v>
                </c:pt>
                <c:pt idx="193">
                  <c:v>22.675799999999999</c:v>
                </c:pt>
                <c:pt idx="194">
                  <c:v>22.6983</c:v>
                </c:pt>
                <c:pt idx="195">
                  <c:v>22.720300000000002</c:v>
                </c:pt>
                <c:pt idx="196">
                  <c:v>22.741599999999998</c:v>
                </c:pt>
                <c:pt idx="197">
                  <c:v>22.762499999999999</c:v>
                </c:pt>
                <c:pt idx="198">
                  <c:v>22.782699999999998</c:v>
                </c:pt>
                <c:pt idx="199">
                  <c:v>22.802199999999999</c:v>
                </c:pt>
                <c:pt idx="200">
                  <c:v>22.821200000000001</c:v>
                </c:pt>
                <c:pt idx="201">
                  <c:v>22.839500000000001</c:v>
                </c:pt>
                <c:pt idx="202">
                  <c:v>22.857199999999999</c:v>
                </c:pt>
                <c:pt idx="203">
                  <c:v>22.874199999999998</c:v>
                </c:pt>
                <c:pt idx="204">
                  <c:v>22.890499999999999</c:v>
                </c:pt>
                <c:pt idx="205">
                  <c:v>22.906199999999998</c:v>
                </c:pt>
                <c:pt idx="206">
                  <c:v>22.921199999999999</c:v>
                </c:pt>
                <c:pt idx="207">
                  <c:v>22.935400000000001</c:v>
                </c:pt>
                <c:pt idx="208">
                  <c:v>22.949000000000002</c:v>
                </c:pt>
                <c:pt idx="209">
                  <c:v>22.9619</c:v>
                </c:pt>
                <c:pt idx="210">
                  <c:v>22.9741</c:v>
                </c:pt>
                <c:pt idx="211">
                  <c:v>22.985499999999998</c:v>
                </c:pt>
                <c:pt idx="212">
                  <c:v>22.996099999999998</c:v>
                </c:pt>
                <c:pt idx="213">
                  <c:v>23.0059</c:v>
                </c:pt>
                <c:pt idx="214">
                  <c:v>23.014900000000001</c:v>
                </c:pt>
                <c:pt idx="215">
                  <c:v>23.023</c:v>
                </c:pt>
                <c:pt idx="216">
                  <c:v>23.0303</c:v>
                </c:pt>
                <c:pt idx="217">
                  <c:v>23.0367</c:v>
                </c:pt>
                <c:pt idx="218">
                  <c:v>23.042300000000001</c:v>
                </c:pt>
                <c:pt idx="219">
                  <c:v>23.047000000000001</c:v>
                </c:pt>
                <c:pt idx="220">
                  <c:v>23.050799999999999</c:v>
                </c:pt>
                <c:pt idx="221">
                  <c:v>23.053699999999999</c:v>
                </c:pt>
                <c:pt idx="222">
                  <c:v>23.055700000000002</c:v>
                </c:pt>
                <c:pt idx="223">
                  <c:v>23.056699999999999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78-4033-904A-D8F7AB5BED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024256"/>
        <c:axId val="77042432"/>
      </c:scatterChart>
      <c:valAx>
        <c:axId val="77024256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77042432"/>
        <c:crosses val="autoZero"/>
        <c:crossBetween val="midCat"/>
      </c:valAx>
      <c:valAx>
        <c:axId val="77042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7024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'&lt;U&gt;'!$C$1</c:f>
              <c:strCache>
                <c:ptCount val="1"/>
                <c:pt idx="0">
                  <c:v>mu_t / mu</c:v>
                </c:pt>
              </c:strCache>
            </c:strRef>
          </c:tx>
          <c:xVal>
            <c:numRef>
              <c:f>'&lt;U&gt;'!$A$2:$A$87</c:f>
              <c:numCache>
                <c:formatCode>General</c:formatCode>
                <c:ptCount val="86"/>
                <c:pt idx="0">
                  <c:v>0.49999237060546797</c:v>
                </c:pt>
                <c:pt idx="1">
                  <c:v>1.54496669769287</c:v>
                </c:pt>
                <c:pt idx="2">
                  <c:v>2.6840543746948198</c:v>
                </c:pt>
                <c:pt idx="3">
                  <c:v>3.9255237579345699</c:v>
                </c:pt>
                <c:pt idx="4">
                  <c:v>5.2789807319641104</c:v>
                </c:pt>
                <c:pt idx="5">
                  <c:v>6.7539703845977703</c:v>
                </c:pt>
                <c:pt idx="6">
                  <c:v>8.3618009090423495</c:v>
                </c:pt>
                <c:pt idx="7">
                  <c:v>10.114449262619001</c:v>
                </c:pt>
                <c:pt idx="8">
                  <c:v>12.0248043537139</c:v>
                </c:pt>
                <c:pt idx="9">
                  <c:v>14.106971025466899</c:v>
                </c:pt>
                <c:pt idx="10">
                  <c:v>16.3765740394592</c:v>
                </c:pt>
                <c:pt idx="11">
                  <c:v>18.850514888763399</c:v>
                </c:pt>
                <c:pt idx="12">
                  <c:v>21.5470933914184</c:v>
                </c:pt>
                <c:pt idx="13">
                  <c:v>24.4862508773803</c:v>
                </c:pt>
                <c:pt idx="14">
                  <c:v>27.690056562423699</c:v>
                </c:pt>
                <c:pt idx="15">
                  <c:v>31.182160377502399</c:v>
                </c:pt>
                <c:pt idx="16">
                  <c:v>34.988522529602001</c:v>
                </c:pt>
                <c:pt idx="17">
                  <c:v>39.137535095214801</c:v>
                </c:pt>
                <c:pt idx="18">
                  <c:v>43.659839630126903</c:v>
                </c:pt>
                <c:pt idx="19">
                  <c:v>48.589299917220998</c:v>
                </c:pt>
                <c:pt idx="20">
                  <c:v>53.962393999099703</c:v>
                </c:pt>
                <c:pt idx="21">
                  <c:v>59.819004535674999</c:v>
                </c:pt>
                <c:pt idx="22">
                  <c:v>66.2026619911193</c:v>
                </c:pt>
                <c:pt idx="23">
                  <c:v>73.160848617553697</c:v>
                </c:pt>
                <c:pt idx="24">
                  <c:v>80.745424032211304</c:v>
                </c:pt>
                <c:pt idx="25">
                  <c:v>89.012442827224703</c:v>
                </c:pt>
                <c:pt idx="26">
                  <c:v>98.0235528945922</c:v>
                </c:pt>
                <c:pt idx="27">
                  <c:v>107.845630645751</c:v>
                </c:pt>
                <c:pt idx="28">
                  <c:v>118.551753759384</c:v>
                </c:pt>
                <c:pt idx="29">
                  <c:v>130.22150516510001</c:v>
                </c:pt>
                <c:pt idx="30">
                  <c:v>142.941337823867</c:v>
                </c:pt>
                <c:pt idx="31">
                  <c:v>156.806094646453</c:v>
                </c:pt>
                <c:pt idx="32">
                  <c:v>171.91864371299701</c:v>
                </c:pt>
                <c:pt idx="33">
                  <c:v>187.726768255233</c:v>
                </c:pt>
                <c:pt idx="34">
                  <c:v>203.579578399658</c:v>
                </c:pt>
                <c:pt idx="35">
                  <c:v>219.43238854408199</c:v>
                </c:pt>
                <c:pt idx="36">
                  <c:v>235.28525948524401</c:v>
                </c:pt>
                <c:pt idx="37">
                  <c:v>251.13806962966899</c:v>
                </c:pt>
                <c:pt idx="38">
                  <c:v>266.99081897735499</c:v>
                </c:pt>
                <c:pt idx="39">
                  <c:v>282.84362912178</c:v>
                </c:pt>
                <c:pt idx="40">
                  <c:v>298.69643926620398</c:v>
                </c:pt>
                <c:pt idx="41">
                  <c:v>314.54931020736598</c:v>
                </c:pt>
                <c:pt idx="42">
                  <c:v>330.40212035179098</c:v>
                </c:pt>
                <c:pt idx="43">
                  <c:v>346.25493049621502</c:v>
                </c:pt>
                <c:pt idx="44">
                  <c:v>362.10780143737702</c:v>
                </c:pt>
                <c:pt idx="45">
                  <c:v>377.96061158180203</c:v>
                </c:pt>
                <c:pt idx="46">
                  <c:v>393.81348252296402</c:v>
                </c:pt>
                <c:pt idx="47">
                  <c:v>409.66629266738801</c:v>
                </c:pt>
                <c:pt idx="48">
                  <c:v>425.519042015075</c:v>
                </c:pt>
                <c:pt idx="49">
                  <c:v>441.371912956237</c:v>
                </c:pt>
                <c:pt idx="50">
                  <c:v>457.22478389739899</c:v>
                </c:pt>
                <c:pt idx="51">
                  <c:v>473.07753324508599</c:v>
                </c:pt>
                <c:pt idx="52">
                  <c:v>488.93034338951099</c:v>
                </c:pt>
                <c:pt idx="53">
                  <c:v>504.78321433067299</c:v>
                </c:pt>
                <c:pt idx="54">
                  <c:v>520.63602447509697</c:v>
                </c:pt>
                <c:pt idx="55">
                  <c:v>536.48889541625897</c:v>
                </c:pt>
                <c:pt idx="56">
                  <c:v>552.34173595905304</c:v>
                </c:pt>
                <c:pt idx="57">
                  <c:v>568.19448530673901</c:v>
                </c:pt>
                <c:pt idx="58">
                  <c:v>584.04732584953297</c:v>
                </c:pt>
                <c:pt idx="59">
                  <c:v>599.90016639232601</c:v>
                </c:pt>
                <c:pt idx="60">
                  <c:v>615.75300693511895</c:v>
                </c:pt>
                <c:pt idx="61">
                  <c:v>631.60581707954395</c:v>
                </c:pt>
                <c:pt idx="62">
                  <c:v>647.45859682559899</c:v>
                </c:pt>
                <c:pt idx="63">
                  <c:v>663.31143736839203</c:v>
                </c:pt>
                <c:pt idx="64">
                  <c:v>679.16427791118599</c:v>
                </c:pt>
                <c:pt idx="65">
                  <c:v>695.01711845397904</c:v>
                </c:pt>
                <c:pt idx="66">
                  <c:v>710.86992859840302</c:v>
                </c:pt>
                <c:pt idx="67">
                  <c:v>726.72273874282803</c:v>
                </c:pt>
                <c:pt idx="68">
                  <c:v>742.57554888725201</c:v>
                </c:pt>
                <c:pt idx="69">
                  <c:v>758.42838943004597</c:v>
                </c:pt>
                <c:pt idx="70">
                  <c:v>774.28122997283901</c:v>
                </c:pt>
                <c:pt idx="71">
                  <c:v>790.13402491807904</c:v>
                </c:pt>
                <c:pt idx="72">
                  <c:v>805.98686546087197</c:v>
                </c:pt>
                <c:pt idx="73">
                  <c:v>821.83970600366501</c:v>
                </c:pt>
                <c:pt idx="74">
                  <c:v>837.69251614809002</c:v>
                </c:pt>
                <c:pt idx="75">
                  <c:v>853.54535669088295</c:v>
                </c:pt>
                <c:pt idx="76">
                  <c:v>869.39818203449204</c:v>
                </c:pt>
                <c:pt idx="77">
                  <c:v>885.25099217891602</c:v>
                </c:pt>
                <c:pt idx="78">
                  <c:v>901.10380992293301</c:v>
                </c:pt>
                <c:pt idx="79">
                  <c:v>916.95665046572606</c:v>
                </c:pt>
                <c:pt idx="80">
                  <c:v>932.80946820974305</c:v>
                </c:pt>
                <c:pt idx="81">
                  <c:v>948.66229355335201</c:v>
                </c:pt>
                <c:pt idx="82">
                  <c:v>964.51511889696098</c:v>
                </c:pt>
                <c:pt idx="83">
                  <c:v>980.36794044077305</c:v>
                </c:pt>
                <c:pt idx="84">
                  <c:v>996.22076388448397</c:v>
                </c:pt>
                <c:pt idx="85">
                  <c:v>1012.07358780317</c:v>
                </c:pt>
              </c:numCache>
            </c:numRef>
          </c:xVal>
          <c:yVal>
            <c:numRef>
              <c:f>'&lt;U&gt;'!$C$2:$C$87</c:f>
              <c:numCache>
                <c:formatCode>General</c:formatCode>
                <c:ptCount val="86"/>
                <c:pt idx="0" formatCode="0.00E+00">
                  <c:v>4.3453786710223502E-5</c:v>
                </c:pt>
                <c:pt idx="1">
                  <c:v>3.53095588415897E-4</c:v>
                </c:pt>
                <c:pt idx="2">
                  <c:v>1.3842311958853701E-3</c:v>
                </c:pt>
                <c:pt idx="3">
                  <c:v>3.07969712025624E-3</c:v>
                </c:pt>
                <c:pt idx="4">
                  <c:v>5.9958431492077502E-3</c:v>
                </c:pt>
                <c:pt idx="5">
                  <c:v>1.22829056149385E-2</c:v>
                </c:pt>
                <c:pt idx="6">
                  <c:v>2.7124312409796399E-2</c:v>
                </c:pt>
                <c:pt idx="7">
                  <c:v>5.6867343444537199E-2</c:v>
                </c:pt>
                <c:pt idx="8">
                  <c:v>0.103361749466785</c:v>
                </c:pt>
                <c:pt idx="9">
                  <c:v>0.16277236229871</c:v>
                </c:pt>
                <c:pt idx="10">
                  <c:v>0.229752029539668</c:v>
                </c:pt>
                <c:pt idx="11">
                  <c:v>0.30079917307739301</c:v>
                </c:pt>
                <c:pt idx="12">
                  <c:v>0.37476419239828801</c:v>
                </c:pt>
                <c:pt idx="13">
                  <c:v>0.45181564881931902</c:v>
                </c:pt>
                <c:pt idx="14">
                  <c:v>0.53221217772806895</c:v>
                </c:pt>
                <c:pt idx="15">
                  <c:v>0.61549960644333601</c:v>
                </c:pt>
                <c:pt idx="16">
                  <c:v>0.70020699918677498</c:v>
                </c:pt>
                <c:pt idx="17">
                  <c:v>0.783998441911535</c:v>
                </c:pt>
                <c:pt idx="18">
                  <c:v>0.86417597727268003</c:v>
                </c:pt>
                <c:pt idx="19">
                  <c:v>0.93836926473886695</c:v>
                </c:pt>
                <c:pt idx="20">
                  <c:v>1.00518994071171</c:v>
                </c:pt>
                <c:pt idx="21">
                  <c:v>1.06426722681499</c:v>
                </c:pt>
                <c:pt idx="22">
                  <c:v>1.11612933836295</c:v>
                </c:pt>
                <c:pt idx="23">
                  <c:v>1.1621199359069501</c:v>
                </c:pt>
                <c:pt idx="24">
                  <c:v>1.2036882202955801</c:v>
                </c:pt>
                <c:pt idx="25">
                  <c:v>1.24217487187706</c:v>
                </c:pt>
                <c:pt idx="26">
                  <c:v>1.2787746438116301</c:v>
                </c:pt>
                <c:pt idx="27">
                  <c:v>1.31425868935184</c:v>
                </c:pt>
                <c:pt idx="28">
                  <c:v>1.3492027015308801</c:v>
                </c:pt>
                <c:pt idx="29">
                  <c:v>1.38399390122503</c:v>
                </c:pt>
                <c:pt idx="30">
                  <c:v>1.4191016190452499</c:v>
                </c:pt>
                <c:pt idx="31">
                  <c:v>1.4551580691186199</c:v>
                </c:pt>
                <c:pt idx="32">
                  <c:v>1.49403553837328</c:v>
                </c:pt>
                <c:pt idx="33">
                  <c:v>1.4522289404994799</c:v>
                </c:pt>
                <c:pt idx="34">
                  <c:v>1.4114170111133699</c:v>
                </c:pt>
                <c:pt idx="35">
                  <c:v>1.3763277911057199</c:v>
                </c:pt>
                <c:pt idx="36">
                  <c:v>1.3448081350943499</c:v>
                </c:pt>
                <c:pt idx="37">
                  <c:v>1.31565650738775</c:v>
                </c:pt>
                <c:pt idx="38">
                  <c:v>1.2878744371701001</c:v>
                </c:pt>
                <c:pt idx="39">
                  <c:v>1.26124539726879</c:v>
                </c:pt>
                <c:pt idx="40">
                  <c:v>1.23591911719995</c:v>
                </c:pt>
                <c:pt idx="41">
                  <c:v>1.21157887330628</c:v>
                </c:pt>
                <c:pt idx="42">
                  <c:v>1.18789201325853</c:v>
                </c:pt>
                <c:pt idx="43">
                  <c:v>1.1644110955239699</c:v>
                </c:pt>
                <c:pt idx="44">
                  <c:v>1.1412437157123301</c:v>
                </c:pt>
                <c:pt idx="45">
                  <c:v>1.11848739840206</c:v>
                </c:pt>
                <c:pt idx="46">
                  <c:v>1.09601553634274</c:v>
                </c:pt>
                <c:pt idx="47">
                  <c:v>1.07378332372172</c:v>
                </c:pt>
                <c:pt idx="48">
                  <c:v>1.05183433316415</c:v>
                </c:pt>
                <c:pt idx="49">
                  <c:v>1.0302514965296701</c:v>
                </c:pt>
                <c:pt idx="50">
                  <c:v>1.0088089349737801</c:v>
                </c:pt>
                <c:pt idx="51">
                  <c:v>0.98730892743333198</c:v>
                </c:pt>
                <c:pt idx="52">
                  <c:v>0.96600016672164202</c:v>
                </c:pt>
                <c:pt idx="53">
                  <c:v>0.94471216466626995</c:v>
                </c:pt>
                <c:pt idx="54">
                  <c:v>0.92336127004818902</c:v>
                </c:pt>
                <c:pt idx="55">
                  <c:v>0.90209392388351195</c:v>
                </c:pt>
                <c:pt idx="56">
                  <c:v>0.88090714596910402</c:v>
                </c:pt>
                <c:pt idx="57">
                  <c:v>0.85984610179730203</c:v>
                </c:pt>
                <c:pt idx="58">
                  <c:v>0.83894722178229097</c:v>
                </c:pt>
                <c:pt idx="59">
                  <c:v>0.81822417375224099</c:v>
                </c:pt>
                <c:pt idx="60">
                  <c:v>0.79743150201102198</c:v>
                </c:pt>
                <c:pt idx="61">
                  <c:v>0.77676523198897396</c:v>
                </c:pt>
                <c:pt idx="62">
                  <c:v>0.75634128331148498</c:v>
                </c:pt>
                <c:pt idx="63">
                  <c:v>0.73598510856390897</c:v>
                </c:pt>
                <c:pt idx="64">
                  <c:v>0.71579238254344002</c:v>
                </c:pt>
                <c:pt idx="65">
                  <c:v>0.69581382008618597</c:v>
                </c:pt>
                <c:pt idx="66">
                  <c:v>0.67605353181715999</c:v>
                </c:pt>
                <c:pt idx="67">
                  <c:v>0.65663565861177597</c:v>
                </c:pt>
                <c:pt idx="68">
                  <c:v>0.63762432622024701</c:v>
                </c:pt>
                <c:pt idx="69">
                  <c:v>0.61906680683023196</c:v>
                </c:pt>
                <c:pt idx="70">
                  <c:v>0.60095328632451095</c:v>
                </c:pt>
                <c:pt idx="71">
                  <c:v>0.583487189258448</c:v>
                </c:pt>
                <c:pt idx="72">
                  <c:v>0.56665181621792704</c:v>
                </c:pt>
                <c:pt idx="73">
                  <c:v>0.55038627856993105</c:v>
                </c:pt>
                <c:pt idx="74">
                  <c:v>0.53473111735365797</c:v>
                </c:pt>
                <c:pt idx="75">
                  <c:v>0.51974018175678705</c:v>
                </c:pt>
                <c:pt idx="76">
                  <c:v>0.50574566166323998</c:v>
                </c:pt>
                <c:pt idx="77">
                  <c:v>0.49291727450327</c:v>
                </c:pt>
                <c:pt idx="78">
                  <c:v>0.481292735261376</c:v>
                </c:pt>
                <c:pt idx="79">
                  <c:v>0.470954821648774</c:v>
                </c:pt>
                <c:pt idx="80">
                  <c:v>0.46197721661883401</c:v>
                </c:pt>
                <c:pt idx="81">
                  <c:v>0.45439599090604998</c:v>
                </c:pt>
                <c:pt idx="82">
                  <c:v>0.44812780158826998</c:v>
                </c:pt>
                <c:pt idx="83">
                  <c:v>0.44329596741590599</c:v>
                </c:pt>
                <c:pt idx="84">
                  <c:v>0.44003151456126899</c:v>
                </c:pt>
                <c:pt idx="85">
                  <c:v>0.438400983766769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C6-4386-990C-FB5A2E558B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944512"/>
        <c:axId val="76946048"/>
      </c:scatterChart>
      <c:valAx>
        <c:axId val="76944512"/>
        <c:scaling>
          <c:logBase val="10"/>
          <c:orientation val="minMax"/>
          <c:max val="1000"/>
        </c:scaling>
        <c:delete val="0"/>
        <c:axPos val="b"/>
        <c:numFmt formatCode="General" sourceLinked="1"/>
        <c:majorTickMark val="out"/>
        <c:minorTickMark val="none"/>
        <c:tickLblPos val="nextTo"/>
        <c:crossAx val="76946048"/>
        <c:crosses val="autoZero"/>
        <c:crossBetween val="midCat"/>
      </c:valAx>
      <c:valAx>
        <c:axId val="76946048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769445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Rij!$B$1</c:f>
              <c:strCache>
                <c:ptCount val="1"/>
                <c:pt idx="0">
                  <c:v>Rxx</c:v>
                </c:pt>
              </c:strCache>
            </c:strRef>
          </c:tx>
          <c:xVal>
            <c:numRef>
              <c:f>Rij!$A$2:$A$87</c:f>
              <c:numCache>
                <c:formatCode>General</c:formatCode>
                <c:ptCount val="86"/>
                <c:pt idx="0">
                  <c:v>0.49999237060546797</c:v>
                </c:pt>
                <c:pt idx="1">
                  <c:v>1.54496669769287</c:v>
                </c:pt>
                <c:pt idx="2">
                  <c:v>2.6840543746948198</c:v>
                </c:pt>
                <c:pt idx="3">
                  <c:v>3.9255237579345699</c:v>
                </c:pt>
                <c:pt idx="4">
                  <c:v>5.2789807319641104</c:v>
                </c:pt>
                <c:pt idx="5">
                  <c:v>6.7539703845977703</c:v>
                </c:pt>
                <c:pt idx="6">
                  <c:v>8.3618009090423495</c:v>
                </c:pt>
                <c:pt idx="7">
                  <c:v>10.114449262619001</c:v>
                </c:pt>
                <c:pt idx="8">
                  <c:v>12.0248043537139</c:v>
                </c:pt>
                <c:pt idx="9">
                  <c:v>14.106971025466899</c:v>
                </c:pt>
                <c:pt idx="10">
                  <c:v>16.3765740394592</c:v>
                </c:pt>
                <c:pt idx="11">
                  <c:v>18.850514888763399</c:v>
                </c:pt>
                <c:pt idx="12">
                  <c:v>21.5470933914184</c:v>
                </c:pt>
                <c:pt idx="13">
                  <c:v>24.4862508773803</c:v>
                </c:pt>
                <c:pt idx="14">
                  <c:v>27.690056562423699</c:v>
                </c:pt>
                <c:pt idx="15">
                  <c:v>31.182160377502399</c:v>
                </c:pt>
                <c:pt idx="16">
                  <c:v>34.988522529602001</c:v>
                </c:pt>
                <c:pt idx="17">
                  <c:v>39.137535095214801</c:v>
                </c:pt>
                <c:pt idx="18">
                  <c:v>43.659839630126903</c:v>
                </c:pt>
                <c:pt idx="19">
                  <c:v>48.589299917220998</c:v>
                </c:pt>
                <c:pt idx="20">
                  <c:v>53.962393999099703</c:v>
                </c:pt>
                <c:pt idx="21">
                  <c:v>59.819004535674999</c:v>
                </c:pt>
                <c:pt idx="22">
                  <c:v>66.2026619911193</c:v>
                </c:pt>
                <c:pt idx="23">
                  <c:v>73.160848617553697</c:v>
                </c:pt>
                <c:pt idx="24">
                  <c:v>80.745424032211304</c:v>
                </c:pt>
                <c:pt idx="25">
                  <c:v>89.012442827224703</c:v>
                </c:pt>
                <c:pt idx="26">
                  <c:v>98.0235528945922</c:v>
                </c:pt>
                <c:pt idx="27">
                  <c:v>107.845630645751</c:v>
                </c:pt>
                <c:pt idx="28">
                  <c:v>118.551753759384</c:v>
                </c:pt>
                <c:pt idx="29">
                  <c:v>130.22150516510001</c:v>
                </c:pt>
                <c:pt idx="30">
                  <c:v>142.941337823867</c:v>
                </c:pt>
                <c:pt idx="31">
                  <c:v>156.806094646453</c:v>
                </c:pt>
                <c:pt idx="32">
                  <c:v>171.91864371299701</c:v>
                </c:pt>
                <c:pt idx="33">
                  <c:v>187.726768255233</c:v>
                </c:pt>
                <c:pt idx="34">
                  <c:v>203.579578399658</c:v>
                </c:pt>
                <c:pt idx="35">
                  <c:v>219.43238854408199</c:v>
                </c:pt>
                <c:pt idx="36">
                  <c:v>235.28525948524401</c:v>
                </c:pt>
                <c:pt idx="37">
                  <c:v>251.13806962966899</c:v>
                </c:pt>
                <c:pt idx="38">
                  <c:v>266.99081897735499</c:v>
                </c:pt>
                <c:pt idx="39">
                  <c:v>282.84362912178</c:v>
                </c:pt>
                <c:pt idx="40">
                  <c:v>298.69643926620398</c:v>
                </c:pt>
                <c:pt idx="41">
                  <c:v>314.54931020736598</c:v>
                </c:pt>
                <c:pt idx="42">
                  <c:v>330.40212035179098</c:v>
                </c:pt>
                <c:pt idx="43">
                  <c:v>346.25493049621502</c:v>
                </c:pt>
                <c:pt idx="44">
                  <c:v>362.10780143737702</c:v>
                </c:pt>
                <c:pt idx="45">
                  <c:v>377.96061158180203</c:v>
                </c:pt>
                <c:pt idx="46">
                  <c:v>393.81348252296402</c:v>
                </c:pt>
                <c:pt idx="47">
                  <c:v>409.66629266738801</c:v>
                </c:pt>
                <c:pt idx="48">
                  <c:v>425.519042015075</c:v>
                </c:pt>
                <c:pt idx="49">
                  <c:v>441.371912956237</c:v>
                </c:pt>
                <c:pt idx="50">
                  <c:v>457.22478389739899</c:v>
                </c:pt>
                <c:pt idx="51">
                  <c:v>473.07753324508599</c:v>
                </c:pt>
                <c:pt idx="52">
                  <c:v>488.93034338951099</c:v>
                </c:pt>
                <c:pt idx="53">
                  <c:v>504.78321433067299</c:v>
                </c:pt>
                <c:pt idx="54">
                  <c:v>520.63602447509697</c:v>
                </c:pt>
                <c:pt idx="55">
                  <c:v>536.48889541625897</c:v>
                </c:pt>
                <c:pt idx="56">
                  <c:v>552.34173595905304</c:v>
                </c:pt>
                <c:pt idx="57">
                  <c:v>568.19448530673901</c:v>
                </c:pt>
                <c:pt idx="58">
                  <c:v>584.04732584953297</c:v>
                </c:pt>
                <c:pt idx="59">
                  <c:v>599.90016639232601</c:v>
                </c:pt>
                <c:pt idx="60">
                  <c:v>615.75300693511895</c:v>
                </c:pt>
                <c:pt idx="61">
                  <c:v>631.60581707954395</c:v>
                </c:pt>
                <c:pt idx="62">
                  <c:v>647.45859682559899</c:v>
                </c:pt>
                <c:pt idx="63">
                  <c:v>663.31143736839203</c:v>
                </c:pt>
                <c:pt idx="64">
                  <c:v>679.16427791118599</c:v>
                </c:pt>
                <c:pt idx="65">
                  <c:v>695.01711845397904</c:v>
                </c:pt>
                <c:pt idx="66">
                  <c:v>710.86992859840302</c:v>
                </c:pt>
                <c:pt idx="67">
                  <c:v>726.72273874282803</c:v>
                </c:pt>
                <c:pt idx="68">
                  <c:v>742.57554888725201</c:v>
                </c:pt>
                <c:pt idx="69">
                  <c:v>758.42838943004597</c:v>
                </c:pt>
                <c:pt idx="70">
                  <c:v>774.28122997283901</c:v>
                </c:pt>
                <c:pt idx="71">
                  <c:v>790.13402491807904</c:v>
                </c:pt>
                <c:pt idx="72">
                  <c:v>805.98686546087197</c:v>
                </c:pt>
                <c:pt idx="73">
                  <c:v>821.83970600366501</c:v>
                </c:pt>
                <c:pt idx="74">
                  <c:v>837.69251614809002</c:v>
                </c:pt>
                <c:pt idx="75">
                  <c:v>853.54535669088295</c:v>
                </c:pt>
                <c:pt idx="76">
                  <c:v>869.39818203449204</c:v>
                </c:pt>
                <c:pt idx="77">
                  <c:v>885.25099217891602</c:v>
                </c:pt>
                <c:pt idx="78">
                  <c:v>901.10380992293301</c:v>
                </c:pt>
                <c:pt idx="79">
                  <c:v>916.95665046572606</c:v>
                </c:pt>
                <c:pt idx="80">
                  <c:v>932.80946820974305</c:v>
                </c:pt>
                <c:pt idx="81">
                  <c:v>948.66229355335201</c:v>
                </c:pt>
                <c:pt idx="82">
                  <c:v>964.51511889696098</c:v>
                </c:pt>
                <c:pt idx="83">
                  <c:v>980.36794044077305</c:v>
                </c:pt>
                <c:pt idx="84">
                  <c:v>996.22076388448397</c:v>
                </c:pt>
                <c:pt idx="85">
                  <c:v>1012.07358780317</c:v>
                </c:pt>
              </c:numCache>
            </c:numRef>
          </c:xVal>
          <c:yVal>
            <c:numRef>
              <c:f>Rij!$B$2:$B$87</c:f>
              <c:numCache>
                <c:formatCode>General</c:formatCode>
                <c:ptCount val="86"/>
                <c:pt idx="0">
                  <c:v>4.4255697584516002E-2</c:v>
                </c:pt>
                <c:pt idx="1">
                  <c:v>0.42120295535515201</c:v>
                </c:pt>
                <c:pt idx="2">
                  <c:v>1.2526153021258699</c:v>
                </c:pt>
                <c:pt idx="3">
                  <c:v>2.5673285662866201</c:v>
                </c:pt>
                <c:pt idx="4">
                  <c:v>4.2612949201064998</c:v>
                </c:pt>
                <c:pt idx="5">
                  <c:v>6.0759637791464796</c:v>
                </c:pt>
                <c:pt idx="6">
                  <c:v>7.6873529114143597</c:v>
                </c:pt>
                <c:pt idx="7">
                  <c:v>8.8511829993695894</c:v>
                </c:pt>
                <c:pt idx="8">
                  <c:v>9.4848734285777798</c:v>
                </c:pt>
                <c:pt idx="9">
                  <c:v>9.6434160367726793</c:v>
                </c:pt>
                <c:pt idx="10">
                  <c:v>9.44591028153277</c:v>
                </c:pt>
                <c:pt idx="11">
                  <c:v>9.0159156536210308</c:v>
                </c:pt>
                <c:pt idx="12">
                  <c:v>8.4538764718138797</c:v>
                </c:pt>
                <c:pt idx="13">
                  <c:v>7.8319732731647704</c:v>
                </c:pt>
                <c:pt idx="14">
                  <c:v>7.1985449887641897</c:v>
                </c:pt>
                <c:pt idx="15">
                  <c:v>6.58435970468246</c:v>
                </c:pt>
                <c:pt idx="16">
                  <c:v>6.00795970173907</c:v>
                </c:pt>
                <c:pt idx="17">
                  <c:v>5.47975720026243</c:v>
                </c:pt>
                <c:pt idx="18">
                  <c:v>5.0047397373619198</c:v>
                </c:pt>
                <c:pt idx="19">
                  <c:v>4.5841894654344397</c:v>
                </c:pt>
                <c:pt idx="20">
                  <c:v>4.2168763753281899</c:v>
                </c:pt>
                <c:pt idx="21">
                  <c:v>3.8998322306725401</c:v>
                </c:pt>
                <c:pt idx="22">
                  <c:v>3.6286498558191198</c:v>
                </c:pt>
                <c:pt idx="23">
                  <c:v>3.3982088555271801</c:v>
                </c:pt>
                <c:pt idx="24">
                  <c:v>3.2030063317099899</c:v>
                </c:pt>
                <c:pt idx="25">
                  <c:v>3.0375436720270002</c:v>
                </c:pt>
                <c:pt idx="26">
                  <c:v>2.896800124836</c:v>
                </c:pt>
                <c:pt idx="27">
                  <c:v>2.77618101309353</c:v>
                </c:pt>
                <c:pt idx="28">
                  <c:v>2.6717602361591699</c:v>
                </c:pt>
                <c:pt idx="29">
                  <c:v>2.5804818784384902</c:v>
                </c:pt>
                <c:pt idx="30">
                  <c:v>2.5000725301592301</c:v>
                </c:pt>
                <c:pt idx="31">
                  <c:v>2.4274832400644701</c:v>
                </c:pt>
                <c:pt idx="32">
                  <c:v>2.3611664966401</c:v>
                </c:pt>
                <c:pt idx="33">
                  <c:v>2.3021535575590901</c:v>
                </c:pt>
                <c:pt idx="34">
                  <c:v>2.2496431668597698</c:v>
                </c:pt>
                <c:pt idx="35">
                  <c:v>2.20025851370296</c:v>
                </c:pt>
                <c:pt idx="36">
                  <c:v>2.1530054835491699</c:v>
                </c:pt>
                <c:pt idx="37">
                  <c:v>2.1072569288750298</c:v>
                </c:pt>
                <c:pt idx="38">
                  <c:v>2.06292642046603</c:v>
                </c:pt>
                <c:pt idx="39">
                  <c:v>2.0194662756757702</c:v>
                </c:pt>
                <c:pt idx="40">
                  <c:v>1.97615648914708</c:v>
                </c:pt>
                <c:pt idx="41">
                  <c:v>1.9324997357511</c:v>
                </c:pt>
                <c:pt idx="42">
                  <c:v>1.88874423162038</c:v>
                </c:pt>
                <c:pt idx="43">
                  <c:v>1.8449108697675001</c:v>
                </c:pt>
                <c:pt idx="44">
                  <c:v>1.8011114367384999</c:v>
                </c:pt>
                <c:pt idx="45">
                  <c:v>1.7573600397811899</c:v>
                </c:pt>
                <c:pt idx="46">
                  <c:v>1.7135739997089801</c:v>
                </c:pt>
                <c:pt idx="47">
                  <c:v>1.6696627801339601</c:v>
                </c:pt>
                <c:pt idx="48">
                  <c:v>1.6256808457470699</c:v>
                </c:pt>
                <c:pt idx="49">
                  <c:v>1.58178998346637</c:v>
                </c:pt>
                <c:pt idx="50">
                  <c:v>1.53782304919108</c:v>
                </c:pt>
                <c:pt idx="51">
                  <c:v>1.49383548976234</c:v>
                </c:pt>
                <c:pt idx="52">
                  <c:v>1.45028605859346</c:v>
                </c:pt>
                <c:pt idx="53">
                  <c:v>1.40716046986386</c:v>
                </c:pt>
                <c:pt idx="54">
                  <c:v>1.3640246132007099</c:v>
                </c:pt>
                <c:pt idx="55">
                  <c:v>1.3210064359845799</c:v>
                </c:pt>
                <c:pt idx="56">
                  <c:v>1.27813486700213</c:v>
                </c:pt>
                <c:pt idx="57">
                  <c:v>1.23533954858702</c:v>
                </c:pt>
                <c:pt idx="58">
                  <c:v>1.19291030432423</c:v>
                </c:pt>
                <c:pt idx="59">
                  <c:v>1.1510212426520401</c:v>
                </c:pt>
                <c:pt idx="60">
                  <c:v>1.10943504037612</c:v>
                </c:pt>
                <c:pt idx="61">
                  <c:v>1.0679049992323499</c:v>
                </c:pt>
                <c:pt idx="62">
                  <c:v>1.0266804067898101</c:v>
                </c:pt>
                <c:pt idx="63">
                  <c:v>0.98591206774199303</c:v>
                </c:pt>
                <c:pt idx="64">
                  <c:v>0.94575176893253199</c:v>
                </c:pt>
                <c:pt idx="65">
                  <c:v>0.90641227980166805</c:v>
                </c:pt>
                <c:pt idx="66">
                  <c:v>0.86778976029107302</c:v>
                </c:pt>
                <c:pt idx="67">
                  <c:v>0.82960385117189905</c:v>
                </c:pt>
                <c:pt idx="68">
                  <c:v>0.79195901750712605</c:v>
                </c:pt>
                <c:pt idx="69">
                  <c:v>0.75509776110106597</c:v>
                </c:pt>
                <c:pt idx="70">
                  <c:v>0.719148877554872</c:v>
                </c:pt>
                <c:pt idx="71">
                  <c:v>0.684250135750745</c:v>
                </c:pt>
                <c:pt idx="72">
                  <c:v>0.65047403622811695</c:v>
                </c:pt>
                <c:pt idx="73">
                  <c:v>0.61796102646055096</c:v>
                </c:pt>
                <c:pt idx="74">
                  <c:v>0.58695932258059003</c:v>
                </c:pt>
                <c:pt idx="75">
                  <c:v>0.55757731825187395</c:v>
                </c:pt>
                <c:pt idx="76">
                  <c:v>0.53004907771593701</c:v>
                </c:pt>
                <c:pt idx="77">
                  <c:v>0.504564825602417</c:v>
                </c:pt>
                <c:pt idx="78">
                  <c:v>0.48131661691171101</c:v>
                </c:pt>
                <c:pt idx="79">
                  <c:v>0.46047204217647902</c:v>
                </c:pt>
                <c:pt idx="80">
                  <c:v>0.44224623692598902</c:v>
                </c:pt>
                <c:pt idx="81">
                  <c:v>0.42685580991476002</c:v>
                </c:pt>
                <c:pt idx="82">
                  <c:v>0.414418529876182</c:v>
                </c:pt>
                <c:pt idx="83">
                  <c:v>0.40506292455227</c:v>
                </c:pt>
                <c:pt idx="84">
                  <c:v>0.39885060154426799</c:v>
                </c:pt>
                <c:pt idx="85">
                  <c:v>0.39585432925074598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F1-4828-996A-737A374F0CD7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DNS!$B$155:$B$378</c:f>
              <c:numCache>
                <c:formatCode>0.00E+00</c:formatCode>
                <c:ptCount val="224"/>
                <c:pt idx="0">
                  <c:v>0.153945</c:v>
                </c:pt>
                <c:pt idx="1">
                  <c:v>0.46582699999999999</c:v>
                </c:pt>
                <c:pt idx="2">
                  <c:v>0.78633399999999998</c:v>
                </c:pt>
                <c:pt idx="3">
                  <c:v>1.11676</c:v>
                </c:pt>
                <c:pt idx="4">
                  <c:v>1.45842</c:v>
                </c:pt>
                <c:pt idx="5">
                  <c:v>1.81264</c:v>
                </c:pt>
                <c:pt idx="6">
                  <c:v>2.1807599999999998</c:v>
                </c:pt>
                <c:pt idx="7">
                  <c:v>2.5641400000000001</c:v>
                </c:pt>
                <c:pt idx="8">
                  <c:v>2.9641299999999999</c:v>
                </c:pt>
                <c:pt idx="9">
                  <c:v>3.38212</c:v>
                </c:pt>
                <c:pt idx="10">
                  <c:v>3.8194699999999999</c:v>
                </c:pt>
                <c:pt idx="11">
                  <c:v>4.2775699999999999</c:v>
                </c:pt>
                <c:pt idx="12">
                  <c:v>4.7577800000000003</c:v>
                </c:pt>
                <c:pt idx="13">
                  <c:v>5.2614799999999997</c:v>
                </c:pt>
                <c:pt idx="14">
                  <c:v>5.7900499999999999</c:v>
                </c:pt>
                <c:pt idx="15">
                  <c:v>6.3448399999999996</c:v>
                </c:pt>
                <c:pt idx="16">
                  <c:v>6.9272099999999996</c:v>
                </c:pt>
                <c:pt idx="17">
                  <c:v>7.5385099999999996</c:v>
                </c:pt>
                <c:pt idx="18">
                  <c:v>8.1800700000000006</c:v>
                </c:pt>
                <c:pt idx="19">
                  <c:v>8.8532100000000007</c:v>
                </c:pt>
                <c:pt idx="20">
                  <c:v>9.5592299999999994</c:v>
                </c:pt>
                <c:pt idx="21">
                  <c:v>10.2994</c:v>
                </c:pt>
                <c:pt idx="22">
                  <c:v>11.074999999999999</c:v>
                </c:pt>
                <c:pt idx="23">
                  <c:v>11.8874</c:v>
                </c:pt>
                <c:pt idx="24">
                  <c:v>12.7376</c:v>
                </c:pt>
                <c:pt idx="25">
                  <c:v>13.626899999999999</c:v>
                </c:pt>
                <c:pt idx="26">
                  <c:v>14.5565</c:v>
                </c:pt>
                <c:pt idx="27">
                  <c:v>15.5276</c:v>
                </c:pt>
                <c:pt idx="28">
                  <c:v>16.5412</c:v>
                </c:pt>
                <c:pt idx="29">
                  <c:v>17.598500000000001</c:v>
                </c:pt>
                <c:pt idx="30">
                  <c:v>18.700500000000002</c:v>
                </c:pt>
                <c:pt idx="31">
                  <c:v>19.848400000000002</c:v>
                </c:pt>
                <c:pt idx="32">
                  <c:v>21.042999999999999</c:v>
                </c:pt>
                <c:pt idx="33">
                  <c:v>22.285499999999999</c:v>
                </c:pt>
                <c:pt idx="34">
                  <c:v>23.576599999999999</c:v>
                </c:pt>
                <c:pt idx="35">
                  <c:v>24.9175</c:v>
                </c:pt>
                <c:pt idx="36">
                  <c:v>26.308900000000001</c:v>
                </c:pt>
                <c:pt idx="37">
                  <c:v>27.7517</c:v>
                </c:pt>
                <c:pt idx="38">
                  <c:v>29.246700000000001</c:v>
                </c:pt>
                <c:pt idx="39">
                  <c:v>30.794799999999999</c:v>
                </c:pt>
                <c:pt idx="40">
                  <c:v>32.396700000000003</c:v>
                </c:pt>
                <c:pt idx="41">
                  <c:v>34.053100000000001</c:v>
                </c:pt>
                <c:pt idx="42">
                  <c:v>35.764699999999998</c:v>
                </c:pt>
                <c:pt idx="43">
                  <c:v>37.532200000000003</c:v>
                </c:pt>
                <c:pt idx="44">
                  <c:v>39.356200000000001</c:v>
                </c:pt>
                <c:pt idx="45">
                  <c:v>41.237200000000001</c:v>
                </c:pt>
                <c:pt idx="46">
                  <c:v>43.175800000000002</c:v>
                </c:pt>
                <c:pt idx="47">
                  <c:v>45.172600000000003</c:v>
                </c:pt>
                <c:pt idx="48">
                  <c:v>47.228000000000002</c:v>
                </c:pt>
                <c:pt idx="49">
                  <c:v>49.342500000000001</c:v>
                </c:pt>
                <c:pt idx="50">
                  <c:v>51.516399999999997</c:v>
                </c:pt>
                <c:pt idx="51">
                  <c:v>53.7502</c:v>
                </c:pt>
                <c:pt idx="52">
                  <c:v>56.044199999999996</c:v>
                </c:pt>
                <c:pt idx="53">
                  <c:v>58.398600000000002</c:v>
                </c:pt>
                <c:pt idx="54">
                  <c:v>60.813899999999997</c:v>
                </c:pt>
                <c:pt idx="55">
                  <c:v>63.290100000000002</c:v>
                </c:pt>
                <c:pt idx="56">
                  <c:v>65.827600000000004</c:v>
                </c:pt>
                <c:pt idx="57">
                  <c:v>68.426400000000001</c:v>
                </c:pt>
                <c:pt idx="58">
                  <c:v>71.086799999999997</c:v>
                </c:pt>
                <c:pt idx="59">
                  <c:v>73.808800000000005</c:v>
                </c:pt>
                <c:pt idx="60">
                  <c:v>76.592399999999998</c:v>
                </c:pt>
                <c:pt idx="61">
                  <c:v>79.437799999999996</c:v>
                </c:pt>
                <c:pt idx="62">
                  <c:v>82.344899999999996</c:v>
                </c:pt>
                <c:pt idx="63">
                  <c:v>85.313800000000001</c:v>
                </c:pt>
                <c:pt idx="64">
                  <c:v>88.344200000000001</c:v>
                </c:pt>
                <c:pt idx="65">
                  <c:v>91.436199999999999</c:v>
                </c:pt>
                <c:pt idx="66">
                  <c:v>94.589699999999993</c:v>
                </c:pt>
                <c:pt idx="67">
                  <c:v>97.804400000000001</c:v>
                </c:pt>
                <c:pt idx="68">
                  <c:v>101.08</c:v>
                </c:pt>
                <c:pt idx="69">
                  <c:v>104.417</c:v>
                </c:pt>
                <c:pt idx="70">
                  <c:v>107.81399999999999</c:v>
                </c:pt>
                <c:pt idx="71">
                  <c:v>111.27200000000001</c:v>
                </c:pt>
                <c:pt idx="72">
                  <c:v>114.79</c:v>
                </c:pt>
                <c:pt idx="73">
                  <c:v>118.36799999999999</c:v>
                </c:pt>
                <c:pt idx="74">
                  <c:v>122.005</c:v>
                </c:pt>
                <c:pt idx="75">
                  <c:v>125.702</c:v>
                </c:pt>
                <c:pt idx="76">
                  <c:v>129.45699999999999</c:v>
                </c:pt>
                <c:pt idx="77">
                  <c:v>133.27000000000001</c:v>
                </c:pt>
                <c:pt idx="78">
                  <c:v>137.14099999999999</c:v>
                </c:pt>
                <c:pt idx="79">
                  <c:v>141.07</c:v>
                </c:pt>
                <c:pt idx="80">
                  <c:v>145.05500000000001</c:v>
                </c:pt>
                <c:pt idx="81">
                  <c:v>149.09700000000001</c:v>
                </c:pt>
                <c:pt idx="82">
                  <c:v>153.19499999999999</c:v>
                </c:pt>
                <c:pt idx="83">
                  <c:v>157.34899999999999</c:v>
                </c:pt>
                <c:pt idx="84">
                  <c:v>161.55699999999999</c:v>
                </c:pt>
                <c:pt idx="85">
                  <c:v>165.81899999999999</c:v>
                </c:pt>
                <c:pt idx="86">
                  <c:v>170.136</c:v>
                </c:pt>
                <c:pt idx="87">
                  <c:v>174.505</c:v>
                </c:pt>
                <c:pt idx="88">
                  <c:v>178.92699999999999</c:v>
                </c:pt>
                <c:pt idx="89">
                  <c:v>183.4</c:v>
                </c:pt>
                <c:pt idx="90">
                  <c:v>187.92500000000001</c:v>
                </c:pt>
                <c:pt idx="91">
                  <c:v>192.5</c:v>
                </c:pt>
                <c:pt idx="92">
                  <c:v>197.125</c:v>
                </c:pt>
                <c:pt idx="93">
                  <c:v>201.8</c:v>
                </c:pt>
                <c:pt idx="94">
                  <c:v>206.523</c:v>
                </c:pt>
                <c:pt idx="95">
                  <c:v>211.29400000000001</c:v>
                </c:pt>
                <c:pt idx="96">
                  <c:v>216.11099999999999</c:v>
                </c:pt>
                <c:pt idx="97">
                  <c:v>220.976</c:v>
                </c:pt>
                <c:pt idx="98">
                  <c:v>225.886</c:v>
                </c:pt>
                <c:pt idx="99">
                  <c:v>230.84100000000001</c:v>
                </c:pt>
                <c:pt idx="100">
                  <c:v>235.84</c:v>
                </c:pt>
                <c:pt idx="101">
                  <c:v>240.88300000000001</c:v>
                </c:pt>
                <c:pt idx="102">
                  <c:v>245.96799999999999</c:v>
                </c:pt>
                <c:pt idx="103">
                  <c:v>251.095</c:v>
                </c:pt>
                <c:pt idx="104">
                  <c:v>256.26400000000001</c:v>
                </c:pt>
                <c:pt idx="105">
                  <c:v>261.47300000000001</c:v>
                </c:pt>
                <c:pt idx="106">
                  <c:v>266.72199999999998</c:v>
                </c:pt>
                <c:pt idx="107">
                  <c:v>272.01</c:v>
                </c:pt>
                <c:pt idx="108">
                  <c:v>277.33699999999999</c:v>
                </c:pt>
                <c:pt idx="109">
                  <c:v>282.7</c:v>
                </c:pt>
                <c:pt idx="110">
                  <c:v>288.101</c:v>
                </c:pt>
                <c:pt idx="111">
                  <c:v>293.53800000000001</c:v>
                </c:pt>
                <c:pt idx="112">
                  <c:v>299.01</c:v>
                </c:pt>
                <c:pt idx="113">
                  <c:v>304.51600000000002</c:v>
                </c:pt>
                <c:pt idx="114">
                  <c:v>310.05599999999998</c:v>
                </c:pt>
                <c:pt idx="115">
                  <c:v>315.63</c:v>
                </c:pt>
                <c:pt idx="116">
                  <c:v>321.23500000000001</c:v>
                </c:pt>
                <c:pt idx="117">
                  <c:v>326.87299999999999</c:v>
                </c:pt>
                <c:pt idx="118">
                  <c:v>332.541</c:v>
                </c:pt>
                <c:pt idx="119">
                  <c:v>338.23899999999998</c:v>
                </c:pt>
                <c:pt idx="120">
                  <c:v>343.96699999999998</c:v>
                </c:pt>
                <c:pt idx="121">
                  <c:v>349.72399999999999</c:v>
                </c:pt>
                <c:pt idx="122">
                  <c:v>355.50799999999998</c:v>
                </c:pt>
                <c:pt idx="123">
                  <c:v>361.32</c:v>
                </c:pt>
                <c:pt idx="124">
                  <c:v>367.15899999999999</c:v>
                </c:pt>
                <c:pt idx="125">
                  <c:v>373.024</c:v>
                </c:pt>
                <c:pt idx="126">
                  <c:v>378.91500000000002</c:v>
                </c:pt>
                <c:pt idx="127">
                  <c:v>384.83</c:v>
                </c:pt>
                <c:pt idx="128">
                  <c:v>390.76900000000001</c:v>
                </c:pt>
                <c:pt idx="129">
                  <c:v>396.73099999999999</c:v>
                </c:pt>
                <c:pt idx="130">
                  <c:v>402.71699999999998</c:v>
                </c:pt>
                <c:pt idx="131">
                  <c:v>408.72500000000002</c:v>
                </c:pt>
                <c:pt idx="132">
                  <c:v>414.75400000000002</c:v>
                </c:pt>
                <c:pt idx="133">
                  <c:v>420.80399999999997</c:v>
                </c:pt>
                <c:pt idx="134">
                  <c:v>426.875</c:v>
                </c:pt>
                <c:pt idx="135">
                  <c:v>432.96600000000001</c:v>
                </c:pt>
                <c:pt idx="136">
                  <c:v>439.07600000000002</c:v>
                </c:pt>
                <c:pt idx="137">
                  <c:v>445.20499999999998</c:v>
                </c:pt>
                <c:pt idx="138">
                  <c:v>451.35199999999998</c:v>
                </c:pt>
                <c:pt idx="139">
                  <c:v>457.517</c:v>
                </c:pt>
                <c:pt idx="140">
                  <c:v>463.69900000000001</c:v>
                </c:pt>
                <c:pt idx="141">
                  <c:v>469.89800000000002</c:v>
                </c:pt>
                <c:pt idx="142">
                  <c:v>476.113</c:v>
                </c:pt>
                <c:pt idx="143">
                  <c:v>482.34399999999999</c:v>
                </c:pt>
                <c:pt idx="144">
                  <c:v>488.59</c:v>
                </c:pt>
                <c:pt idx="145">
                  <c:v>494.85199999999998</c:v>
                </c:pt>
                <c:pt idx="146">
                  <c:v>501.12700000000001</c:v>
                </c:pt>
                <c:pt idx="147">
                  <c:v>507.41699999999997</c:v>
                </c:pt>
                <c:pt idx="148">
                  <c:v>513.72</c:v>
                </c:pt>
                <c:pt idx="149">
                  <c:v>520.03700000000003</c:v>
                </c:pt>
                <c:pt idx="150">
                  <c:v>526.36599999999999</c:v>
                </c:pt>
                <c:pt idx="151">
                  <c:v>532.70799999999997</c:v>
                </c:pt>
                <c:pt idx="152">
                  <c:v>539.06200000000001</c:v>
                </c:pt>
                <c:pt idx="153">
                  <c:v>545.42700000000002</c:v>
                </c:pt>
                <c:pt idx="154">
                  <c:v>551.80499999999995</c:v>
                </c:pt>
                <c:pt idx="155">
                  <c:v>558.19299999999998</c:v>
                </c:pt>
                <c:pt idx="156">
                  <c:v>564.59199999999998</c:v>
                </c:pt>
                <c:pt idx="157">
                  <c:v>571.00199999999995</c:v>
                </c:pt>
                <c:pt idx="158">
                  <c:v>577.42200000000003</c:v>
                </c:pt>
                <c:pt idx="159">
                  <c:v>583.85299999999995</c:v>
                </c:pt>
                <c:pt idx="160">
                  <c:v>590.29300000000001</c:v>
                </c:pt>
                <c:pt idx="161">
                  <c:v>596.74199999999996</c:v>
                </c:pt>
                <c:pt idx="162">
                  <c:v>603.20100000000002</c:v>
                </c:pt>
                <c:pt idx="163">
                  <c:v>609.66999999999996</c:v>
                </c:pt>
                <c:pt idx="164">
                  <c:v>616.14700000000005</c:v>
                </c:pt>
                <c:pt idx="165">
                  <c:v>622.63300000000004</c:v>
                </c:pt>
                <c:pt idx="166">
                  <c:v>629.12800000000004</c:v>
                </c:pt>
                <c:pt idx="167">
                  <c:v>635.63099999999997</c:v>
                </c:pt>
                <c:pt idx="168">
                  <c:v>642.14300000000003</c:v>
                </c:pt>
                <c:pt idx="169">
                  <c:v>648.66300000000001</c:v>
                </c:pt>
                <c:pt idx="170">
                  <c:v>655.19100000000003</c:v>
                </c:pt>
                <c:pt idx="171">
                  <c:v>661.72699999999998</c:v>
                </c:pt>
                <c:pt idx="172">
                  <c:v>668.27200000000005</c:v>
                </c:pt>
                <c:pt idx="173">
                  <c:v>674.82399999999996</c:v>
                </c:pt>
                <c:pt idx="174">
                  <c:v>681.38499999999999</c:v>
                </c:pt>
                <c:pt idx="175">
                  <c:v>687.95299999999997</c:v>
                </c:pt>
                <c:pt idx="176">
                  <c:v>694.529</c:v>
                </c:pt>
                <c:pt idx="177">
                  <c:v>701.11300000000006</c:v>
                </c:pt>
                <c:pt idx="178">
                  <c:v>707.70500000000004</c:v>
                </c:pt>
                <c:pt idx="179">
                  <c:v>714.30600000000004</c:v>
                </c:pt>
                <c:pt idx="180">
                  <c:v>720.91399999999999</c:v>
                </c:pt>
                <c:pt idx="181">
                  <c:v>727.53</c:v>
                </c:pt>
                <c:pt idx="182">
                  <c:v>734.15499999999997</c:v>
                </c:pt>
                <c:pt idx="183">
                  <c:v>740.78700000000003</c:v>
                </c:pt>
                <c:pt idx="184">
                  <c:v>747.42899999999997</c:v>
                </c:pt>
                <c:pt idx="185">
                  <c:v>754.07899999999995</c:v>
                </c:pt>
                <c:pt idx="186">
                  <c:v>760.73699999999997</c:v>
                </c:pt>
                <c:pt idx="187">
                  <c:v>767.404</c:v>
                </c:pt>
                <c:pt idx="188">
                  <c:v>774.08100000000002</c:v>
                </c:pt>
                <c:pt idx="189">
                  <c:v>780.76700000000005</c:v>
                </c:pt>
                <c:pt idx="190">
                  <c:v>787.46199999999999</c:v>
                </c:pt>
                <c:pt idx="191">
                  <c:v>794.16700000000003</c:v>
                </c:pt>
                <c:pt idx="192">
                  <c:v>800.88099999999997</c:v>
                </c:pt>
                <c:pt idx="193">
                  <c:v>807.60599999999999</c:v>
                </c:pt>
                <c:pt idx="194">
                  <c:v>814.34199999999998</c:v>
                </c:pt>
                <c:pt idx="195">
                  <c:v>821.08799999999997</c:v>
                </c:pt>
                <c:pt idx="196">
                  <c:v>827.846</c:v>
                </c:pt>
                <c:pt idx="197">
                  <c:v>834.61500000000001</c:v>
                </c:pt>
                <c:pt idx="198">
                  <c:v>841.39599999999996</c:v>
                </c:pt>
                <c:pt idx="199">
                  <c:v>848.18899999999996</c:v>
                </c:pt>
                <c:pt idx="200">
                  <c:v>854.995</c:v>
                </c:pt>
                <c:pt idx="201">
                  <c:v>861.81399999999996</c:v>
                </c:pt>
                <c:pt idx="202">
                  <c:v>868.64599999999996</c:v>
                </c:pt>
                <c:pt idx="203">
                  <c:v>875.49300000000005</c:v>
                </c:pt>
                <c:pt idx="204">
                  <c:v>882.35400000000004</c:v>
                </c:pt>
                <c:pt idx="205">
                  <c:v>889.23</c:v>
                </c:pt>
                <c:pt idx="206">
                  <c:v>896.12099999999998</c:v>
                </c:pt>
                <c:pt idx="207">
                  <c:v>903.029</c:v>
                </c:pt>
                <c:pt idx="208">
                  <c:v>909.95399999999995</c:v>
                </c:pt>
                <c:pt idx="209">
                  <c:v>916.89599999999996</c:v>
                </c:pt>
                <c:pt idx="210">
                  <c:v>923.85699999999997</c:v>
                </c:pt>
                <c:pt idx="211">
                  <c:v>930.83600000000001</c:v>
                </c:pt>
                <c:pt idx="212">
                  <c:v>937.83399999999995</c:v>
                </c:pt>
                <c:pt idx="213">
                  <c:v>944.85299999999995</c:v>
                </c:pt>
                <c:pt idx="214">
                  <c:v>951.89300000000003</c:v>
                </c:pt>
                <c:pt idx="215">
                  <c:v>958.95500000000004</c:v>
                </c:pt>
                <c:pt idx="216">
                  <c:v>966.04</c:v>
                </c:pt>
                <c:pt idx="217">
                  <c:v>973.149</c:v>
                </c:pt>
                <c:pt idx="218">
                  <c:v>980.28200000000004</c:v>
                </c:pt>
                <c:pt idx="219">
                  <c:v>987.44100000000003</c:v>
                </c:pt>
                <c:pt idx="220">
                  <c:v>994.62699999999995</c:v>
                </c:pt>
                <c:pt idx="221">
                  <c:v>1001.84</c:v>
                </c:pt>
                <c:pt idx="222">
                  <c:v>1009.08</c:v>
                </c:pt>
                <c:pt idx="223">
                  <c:v>1016.36</c:v>
                </c:pt>
              </c:numCache>
            </c:numRef>
          </c:xVal>
          <c:yVal>
            <c:numRef>
              <c:f>DNS!$D$155:$D$378</c:f>
              <c:numCache>
                <c:formatCode>0.00E+00</c:formatCode>
                <c:ptCount val="224"/>
                <c:pt idx="0">
                  <c:v>4.1021299999999998E-3</c:v>
                </c:pt>
                <c:pt idx="1">
                  <c:v>3.7274700000000001E-2</c:v>
                </c:pt>
                <c:pt idx="2">
                  <c:v>0.105683</c:v>
                </c:pt>
                <c:pt idx="3">
                  <c:v>0.212148</c:v>
                </c:pt>
                <c:pt idx="4">
                  <c:v>0.35984899999999997</c:v>
                </c:pt>
                <c:pt idx="5">
                  <c:v>0.55200400000000005</c:v>
                </c:pt>
                <c:pt idx="6">
                  <c:v>0.79148399999999997</c:v>
                </c:pt>
                <c:pt idx="7">
                  <c:v>1.0803499999999999</c:v>
                </c:pt>
                <c:pt idx="8">
                  <c:v>1.4193499999999999</c:v>
                </c:pt>
                <c:pt idx="9">
                  <c:v>1.8075000000000001</c:v>
                </c:pt>
                <c:pt idx="10">
                  <c:v>2.2416800000000001</c:v>
                </c:pt>
                <c:pt idx="11">
                  <c:v>2.71644</c:v>
                </c:pt>
                <c:pt idx="12">
                  <c:v>3.2240500000000001</c:v>
                </c:pt>
                <c:pt idx="13">
                  <c:v>3.7546900000000001</c:v>
                </c:pt>
                <c:pt idx="14">
                  <c:v>4.29697</c:v>
                </c:pt>
                <c:pt idx="15">
                  <c:v>4.8385699999999998</c:v>
                </c:pt>
                <c:pt idx="16">
                  <c:v>5.3669500000000001</c:v>
                </c:pt>
                <c:pt idx="17">
                  <c:v>5.87019</c:v>
                </c:pt>
                <c:pt idx="18">
                  <c:v>6.3376200000000003</c:v>
                </c:pt>
                <c:pt idx="19">
                  <c:v>6.7603799999999996</c:v>
                </c:pt>
                <c:pt idx="20">
                  <c:v>7.1317599999999999</c:v>
                </c:pt>
                <c:pt idx="21">
                  <c:v>7.4473799999999999</c:v>
                </c:pt>
                <c:pt idx="22">
                  <c:v>7.7050799999999997</c:v>
                </c:pt>
                <c:pt idx="23">
                  <c:v>7.9047900000000002</c:v>
                </c:pt>
                <c:pt idx="24">
                  <c:v>8.0481499999999997</c:v>
                </c:pt>
                <c:pt idx="25">
                  <c:v>8.1382200000000005</c:v>
                </c:pt>
                <c:pt idx="26">
                  <c:v>8.1790900000000004</c:v>
                </c:pt>
                <c:pt idx="27">
                  <c:v>8.1755499999999994</c:v>
                </c:pt>
                <c:pt idx="28">
                  <c:v>8.1327700000000007</c:v>
                </c:pt>
                <c:pt idx="29">
                  <c:v>8.0560700000000001</c:v>
                </c:pt>
                <c:pt idx="30">
                  <c:v>7.9507399999999997</c:v>
                </c:pt>
                <c:pt idx="31">
                  <c:v>7.82186</c:v>
                </c:pt>
                <c:pt idx="32">
                  <c:v>7.6742100000000004</c:v>
                </c:pt>
                <c:pt idx="33">
                  <c:v>7.5122200000000001</c:v>
                </c:pt>
                <c:pt idx="34">
                  <c:v>7.33988</c:v>
                </c:pt>
                <c:pt idx="35">
                  <c:v>7.1607500000000002</c:v>
                </c:pt>
                <c:pt idx="36">
                  <c:v>6.9779499999999999</c:v>
                </c:pt>
                <c:pt idx="37">
                  <c:v>6.7941700000000003</c:v>
                </c:pt>
                <c:pt idx="38">
                  <c:v>6.6116799999999998</c:v>
                </c:pt>
                <c:pt idx="39">
                  <c:v>6.4323399999999999</c:v>
                </c:pt>
                <c:pt idx="40">
                  <c:v>6.2576799999999997</c:v>
                </c:pt>
                <c:pt idx="41">
                  <c:v>6.0888499999999999</c:v>
                </c:pt>
                <c:pt idx="42">
                  <c:v>5.9267700000000003</c:v>
                </c:pt>
                <c:pt idx="43">
                  <c:v>5.7720599999999997</c:v>
                </c:pt>
                <c:pt idx="44">
                  <c:v>5.6251199999999999</c:v>
                </c:pt>
                <c:pt idx="45">
                  <c:v>5.4861399999999998</c:v>
                </c:pt>
                <c:pt idx="46">
                  <c:v>5.3551900000000003</c:v>
                </c:pt>
                <c:pt idx="47">
                  <c:v>5.2321999999999997</c:v>
                </c:pt>
                <c:pt idx="48">
                  <c:v>5.1170099999999996</c:v>
                </c:pt>
                <c:pt idx="49">
                  <c:v>5.0093899999999998</c:v>
                </c:pt>
                <c:pt idx="50">
                  <c:v>4.9090600000000002</c:v>
                </c:pt>
                <c:pt idx="51">
                  <c:v>4.8157300000000003</c:v>
                </c:pt>
                <c:pt idx="52">
                  <c:v>4.7290400000000004</c:v>
                </c:pt>
                <c:pt idx="53">
                  <c:v>4.6486400000000003</c:v>
                </c:pt>
                <c:pt idx="54">
                  <c:v>4.5741300000000003</c:v>
                </c:pt>
                <c:pt idx="55">
                  <c:v>4.5050699999999999</c:v>
                </c:pt>
                <c:pt idx="56">
                  <c:v>4.4410499999999997</c:v>
                </c:pt>
                <c:pt idx="57">
                  <c:v>4.3816600000000001</c:v>
                </c:pt>
                <c:pt idx="58">
                  <c:v>4.3265200000000004</c:v>
                </c:pt>
                <c:pt idx="59">
                  <c:v>4.2752400000000002</c:v>
                </c:pt>
                <c:pt idx="60">
                  <c:v>4.2274500000000002</c:v>
                </c:pt>
                <c:pt idx="61">
                  <c:v>4.1828099999999999</c:v>
                </c:pt>
                <c:pt idx="62">
                  <c:v>4.141</c:v>
                </c:pt>
                <c:pt idx="63">
                  <c:v>4.1017400000000004</c:v>
                </c:pt>
                <c:pt idx="64">
                  <c:v>4.0647599999999997</c:v>
                </c:pt>
                <c:pt idx="65">
                  <c:v>4.0297900000000002</c:v>
                </c:pt>
                <c:pt idx="66">
                  <c:v>3.9965999999999999</c:v>
                </c:pt>
                <c:pt idx="67">
                  <c:v>3.9649800000000002</c:v>
                </c:pt>
                <c:pt idx="68">
                  <c:v>3.9347099999999999</c:v>
                </c:pt>
                <c:pt idx="69">
                  <c:v>3.9056199999999999</c:v>
                </c:pt>
                <c:pt idx="70">
                  <c:v>3.8775599999999999</c:v>
                </c:pt>
                <c:pt idx="71">
                  <c:v>3.8504</c:v>
                </c:pt>
                <c:pt idx="72">
                  <c:v>3.8240500000000002</c:v>
                </c:pt>
                <c:pt idx="73">
                  <c:v>3.7984300000000002</c:v>
                </c:pt>
                <c:pt idx="74">
                  <c:v>3.77346</c:v>
                </c:pt>
                <c:pt idx="75">
                  <c:v>3.7490600000000001</c:v>
                </c:pt>
                <c:pt idx="76">
                  <c:v>3.7251099999999999</c:v>
                </c:pt>
                <c:pt idx="77">
                  <c:v>3.70153</c:v>
                </c:pt>
                <c:pt idx="78">
                  <c:v>3.6782699999999999</c:v>
                </c:pt>
                <c:pt idx="79">
                  <c:v>3.65523</c:v>
                </c:pt>
                <c:pt idx="80">
                  <c:v>3.6323599999999998</c:v>
                </c:pt>
                <c:pt idx="81">
                  <c:v>3.6095600000000001</c:v>
                </c:pt>
                <c:pt idx="82">
                  <c:v>3.5868000000000002</c:v>
                </c:pt>
                <c:pt idx="83">
                  <c:v>3.5640700000000001</c:v>
                </c:pt>
                <c:pt idx="84">
                  <c:v>3.5413999999999999</c:v>
                </c:pt>
                <c:pt idx="85">
                  <c:v>3.5188299999999999</c:v>
                </c:pt>
                <c:pt idx="86">
                  <c:v>3.4963299999999999</c:v>
                </c:pt>
                <c:pt idx="87">
                  <c:v>3.4738699999999998</c:v>
                </c:pt>
                <c:pt idx="88">
                  <c:v>3.4514</c:v>
                </c:pt>
                <c:pt idx="89">
                  <c:v>3.4288500000000002</c:v>
                </c:pt>
                <c:pt idx="90">
                  <c:v>3.4061900000000001</c:v>
                </c:pt>
                <c:pt idx="91">
                  <c:v>3.3833899999999999</c:v>
                </c:pt>
                <c:pt idx="92">
                  <c:v>3.3604400000000001</c:v>
                </c:pt>
                <c:pt idx="93">
                  <c:v>3.3374000000000001</c:v>
                </c:pt>
                <c:pt idx="94">
                  <c:v>3.3143199999999999</c:v>
                </c:pt>
                <c:pt idx="95">
                  <c:v>3.2912699999999999</c:v>
                </c:pt>
                <c:pt idx="96">
                  <c:v>3.2682699999999998</c:v>
                </c:pt>
                <c:pt idx="97">
                  <c:v>3.2453099999999999</c:v>
                </c:pt>
                <c:pt idx="98">
                  <c:v>3.2223799999999998</c:v>
                </c:pt>
                <c:pt idx="99">
                  <c:v>3.1994099999999999</c:v>
                </c:pt>
                <c:pt idx="100">
                  <c:v>3.1763599999999999</c:v>
                </c:pt>
                <c:pt idx="101">
                  <c:v>3.1532100000000001</c:v>
                </c:pt>
                <c:pt idx="102">
                  <c:v>3.1299800000000002</c:v>
                </c:pt>
                <c:pt idx="103">
                  <c:v>3.1066799999999999</c:v>
                </c:pt>
                <c:pt idx="104">
                  <c:v>3.08331</c:v>
                </c:pt>
                <c:pt idx="105">
                  <c:v>3.05992</c:v>
                </c:pt>
                <c:pt idx="106">
                  <c:v>3.0365000000000002</c:v>
                </c:pt>
                <c:pt idx="107">
                  <c:v>3.0130699999999999</c:v>
                </c:pt>
                <c:pt idx="108">
                  <c:v>2.9895900000000002</c:v>
                </c:pt>
                <c:pt idx="109">
                  <c:v>2.96604</c:v>
                </c:pt>
                <c:pt idx="110">
                  <c:v>2.9423499999999998</c:v>
                </c:pt>
                <c:pt idx="111">
                  <c:v>2.91852</c:v>
                </c:pt>
                <c:pt idx="112">
                  <c:v>2.8946000000000001</c:v>
                </c:pt>
                <c:pt idx="113">
                  <c:v>2.8706</c:v>
                </c:pt>
                <c:pt idx="114">
                  <c:v>2.8465500000000001</c:v>
                </c:pt>
                <c:pt idx="115">
                  <c:v>2.8224499999999999</c:v>
                </c:pt>
                <c:pt idx="116">
                  <c:v>2.7982999999999998</c:v>
                </c:pt>
                <c:pt idx="117">
                  <c:v>2.7740900000000002</c:v>
                </c:pt>
                <c:pt idx="118">
                  <c:v>2.7498300000000002</c:v>
                </c:pt>
                <c:pt idx="119">
                  <c:v>2.7255199999999999</c:v>
                </c:pt>
                <c:pt idx="120">
                  <c:v>2.70112</c:v>
                </c:pt>
                <c:pt idx="121">
                  <c:v>2.6766299999999998</c:v>
                </c:pt>
                <c:pt idx="122">
                  <c:v>2.65205</c:v>
                </c:pt>
                <c:pt idx="123">
                  <c:v>2.6274199999999999</c:v>
                </c:pt>
                <c:pt idx="124">
                  <c:v>2.60276</c:v>
                </c:pt>
                <c:pt idx="125">
                  <c:v>2.5781000000000001</c:v>
                </c:pt>
                <c:pt idx="126">
                  <c:v>2.5534500000000002</c:v>
                </c:pt>
                <c:pt idx="127">
                  <c:v>2.5287999999999999</c:v>
                </c:pt>
                <c:pt idx="128">
                  <c:v>2.50414</c:v>
                </c:pt>
                <c:pt idx="129">
                  <c:v>2.4794700000000001</c:v>
                </c:pt>
                <c:pt idx="130">
                  <c:v>2.4548299999999998</c:v>
                </c:pt>
                <c:pt idx="131">
                  <c:v>2.4302600000000001</c:v>
                </c:pt>
                <c:pt idx="132">
                  <c:v>2.4057599999999999</c:v>
                </c:pt>
                <c:pt idx="133">
                  <c:v>2.3812899999999999</c:v>
                </c:pt>
                <c:pt idx="134">
                  <c:v>2.3568500000000001</c:v>
                </c:pt>
                <c:pt idx="135">
                  <c:v>2.3325300000000002</c:v>
                </c:pt>
                <c:pt idx="136">
                  <c:v>2.3083499999999999</c:v>
                </c:pt>
                <c:pt idx="137">
                  <c:v>2.2842899999999999</c:v>
                </c:pt>
                <c:pt idx="138">
                  <c:v>2.2603</c:v>
                </c:pt>
                <c:pt idx="139">
                  <c:v>2.2363400000000002</c:v>
                </c:pt>
                <c:pt idx="140">
                  <c:v>2.2124000000000001</c:v>
                </c:pt>
                <c:pt idx="141">
                  <c:v>2.18851</c:v>
                </c:pt>
                <c:pt idx="142">
                  <c:v>2.1647099999999999</c:v>
                </c:pt>
                <c:pt idx="143">
                  <c:v>2.1410300000000002</c:v>
                </c:pt>
                <c:pt idx="144">
                  <c:v>2.1174400000000002</c:v>
                </c:pt>
                <c:pt idx="145">
                  <c:v>2.09395</c:v>
                </c:pt>
                <c:pt idx="146">
                  <c:v>2.0705399999999998</c:v>
                </c:pt>
                <c:pt idx="147">
                  <c:v>2.0471599999999999</c:v>
                </c:pt>
                <c:pt idx="148">
                  <c:v>2.0237699999999998</c:v>
                </c:pt>
                <c:pt idx="149">
                  <c:v>2.0003600000000001</c:v>
                </c:pt>
                <c:pt idx="150">
                  <c:v>1.9770000000000001</c:v>
                </c:pt>
                <c:pt idx="151">
                  <c:v>1.9537500000000001</c:v>
                </c:pt>
                <c:pt idx="152">
                  <c:v>1.93065</c:v>
                </c:pt>
                <c:pt idx="153">
                  <c:v>1.90771</c:v>
                </c:pt>
                <c:pt idx="154">
                  <c:v>1.8849400000000001</c:v>
                </c:pt>
                <c:pt idx="155">
                  <c:v>1.86236</c:v>
                </c:pt>
                <c:pt idx="156">
                  <c:v>1.8399700000000001</c:v>
                </c:pt>
                <c:pt idx="157">
                  <c:v>1.81776</c:v>
                </c:pt>
                <c:pt idx="158">
                  <c:v>1.79573</c:v>
                </c:pt>
                <c:pt idx="159">
                  <c:v>1.77386</c:v>
                </c:pt>
                <c:pt idx="160">
                  <c:v>1.7521500000000001</c:v>
                </c:pt>
                <c:pt idx="161">
                  <c:v>1.7305699999999999</c:v>
                </c:pt>
                <c:pt idx="162">
                  <c:v>1.7090700000000001</c:v>
                </c:pt>
                <c:pt idx="163">
                  <c:v>1.6876500000000001</c:v>
                </c:pt>
                <c:pt idx="164">
                  <c:v>1.6662999999999999</c:v>
                </c:pt>
                <c:pt idx="165">
                  <c:v>1.64506</c:v>
                </c:pt>
                <c:pt idx="166">
                  <c:v>1.6239300000000001</c:v>
                </c:pt>
                <c:pt idx="167">
                  <c:v>1.60293</c:v>
                </c:pt>
                <c:pt idx="168">
                  <c:v>1.5820000000000001</c:v>
                </c:pt>
                <c:pt idx="169">
                  <c:v>1.56114</c:v>
                </c:pt>
                <c:pt idx="170">
                  <c:v>1.5403500000000001</c:v>
                </c:pt>
                <c:pt idx="171">
                  <c:v>1.51966</c:v>
                </c:pt>
                <c:pt idx="172">
                  <c:v>1.4990699999999999</c:v>
                </c:pt>
                <c:pt idx="173">
                  <c:v>1.47855</c:v>
                </c:pt>
                <c:pt idx="174">
                  <c:v>1.4580900000000001</c:v>
                </c:pt>
                <c:pt idx="175">
                  <c:v>1.4376800000000001</c:v>
                </c:pt>
                <c:pt idx="176">
                  <c:v>1.41734</c:v>
                </c:pt>
                <c:pt idx="177">
                  <c:v>1.39706</c:v>
                </c:pt>
                <c:pt idx="178">
                  <c:v>1.3768400000000001</c:v>
                </c:pt>
                <c:pt idx="179">
                  <c:v>1.35666</c:v>
                </c:pt>
                <c:pt idx="180">
                  <c:v>1.3364799999999999</c:v>
                </c:pt>
                <c:pt idx="181">
                  <c:v>1.3163199999999999</c:v>
                </c:pt>
                <c:pt idx="182">
                  <c:v>1.2962</c:v>
                </c:pt>
                <c:pt idx="183">
                  <c:v>1.27613</c:v>
                </c:pt>
                <c:pt idx="184">
                  <c:v>1.2561</c:v>
                </c:pt>
                <c:pt idx="185">
                  <c:v>1.2360899999999999</c:v>
                </c:pt>
                <c:pt idx="186">
                  <c:v>1.2161200000000001</c:v>
                </c:pt>
                <c:pt idx="187">
                  <c:v>1.1962200000000001</c:v>
                </c:pt>
                <c:pt idx="188">
                  <c:v>1.17645</c:v>
                </c:pt>
                <c:pt idx="189">
                  <c:v>1.1568499999999999</c:v>
                </c:pt>
                <c:pt idx="190">
                  <c:v>1.1374299999999999</c:v>
                </c:pt>
                <c:pt idx="191">
                  <c:v>1.11819</c:v>
                </c:pt>
                <c:pt idx="192">
                  <c:v>1.0991200000000001</c:v>
                </c:pt>
                <c:pt idx="193">
                  <c:v>1.08023</c:v>
                </c:pt>
                <c:pt idx="194">
                  <c:v>1.06155</c:v>
                </c:pt>
                <c:pt idx="195">
                  <c:v>1.0431299999999999</c:v>
                </c:pt>
                <c:pt idx="196">
                  <c:v>1.02505</c:v>
                </c:pt>
                <c:pt idx="197">
                  <c:v>1.00732</c:v>
                </c:pt>
                <c:pt idx="198">
                  <c:v>0.989923</c:v>
                </c:pt>
                <c:pt idx="199">
                  <c:v>0.97286399999999995</c:v>
                </c:pt>
                <c:pt idx="200">
                  <c:v>0.95613700000000001</c:v>
                </c:pt>
                <c:pt idx="201">
                  <c:v>0.93973899999999999</c:v>
                </c:pt>
                <c:pt idx="202">
                  <c:v>0.92369699999999999</c:v>
                </c:pt>
                <c:pt idx="203">
                  <c:v>0.90807700000000002</c:v>
                </c:pt>
                <c:pt idx="204">
                  <c:v>0.89295400000000003</c:v>
                </c:pt>
                <c:pt idx="205">
                  <c:v>0.87837399999999999</c:v>
                </c:pt>
                <c:pt idx="206">
                  <c:v>0.86435099999999998</c:v>
                </c:pt>
                <c:pt idx="207">
                  <c:v>0.85089599999999999</c:v>
                </c:pt>
                <c:pt idx="208">
                  <c:v>0.83802900000000002</c:v>
                </c:pt>
                <c:pt idx="209">
                  <c:v>0.82578700000000005</c:v>
                </c:pt>
                <c:pt idx="210">
                  <c:v>0.81420599999999999</c:v>
                </c:pt>
                <c:pt idx="211">
                  <c:v>0.80330199999999996</c:v>
                </c:pt>
                <c:pt idx="212">
                  <c:v>0.79309200000000002</c:v>
                </c:pt>
                <c:pt idx="213">
                  <c:v>0.78359299999999998</c:v>
                </c:pt>
                <c:pt idx="214">
                  <c:v>0.77483199999999997</c:v>
                </c:pt>
                <c:pt idx="215">
                  <c:v>0.76683900000000005</c:v>
                </c:pt>
                <c:pt idx="216">
                  <c:v>0.75965199999999999</c:v>
                </c:pt>
                <c:pt idx="217">
                  <c:v>0.753305</c:v>
                </c:pt>
                <c:pt idx="218">
                  <c:v>0.74782400000000004</c:v>
                </c:pt>
                <c:pt idx="219">
                  <c:v>0.74322900000000003</c:v>
                </c:pt>
                <c:pt idx="220">
                  <c:v>0.739541</c:v>
                </c:pt>
                <c:pt idx="221">
                  <c:v>0.73677599999999999</c:v>
                </c:pt>
                <c:pt idx="222">
                  <c:v>0.73493299999999995</c:v>
                </c:pt>
                <c:pt idx="223">
                  <c:v>0.73401099999999997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F1-4828-996A-737A374F0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99296"/>
        <c:axId val="78600832"/>
      </c:scatterChart>
      <c:valAx>
        <c:axId val="78599296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78600832"/>
        <c:crosses val="autoZero"/>
        <c:crossBetween val="midCat"/>
      </c:valAx>
      <c:valAx>
        <c:axId val="78600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85992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Rij!$C$1</c:f>
              <c:strCache>
                <c:ptCount val="1"/>
                <c:pt idx="0">
                  <c:v>Ryy</c:v>
                </c:pt>
              </c:strCache>
            </c:strRef>
          </c:tx>
          <c:xVal>
            <c:numRef>
              <c:f>Rij!$A$2:$A$87</c:f>
              <c:numCache>
                <c:formatCode>General</c:formatCode>
                <c:ptCount val="86"/>
                <c:pt idx="0">
                  <c:v>0.49999237060546797</c:v>
                </c:pt>
                <c:pt idx="1">
                  <c:v>1.54496669769287</c:v>
                </c:pt>
                <c:pt idx="2">
                  <c:v>2.6840543746948198</c:v>
                </c:pt>
                <c:pt idx="3">
                  <c:v>3.9255237579345699</c:v>
                </c:pt>
                <c:pt idx="4">
                  <c:v>5.2789807319641104</c:v>
                </c:pt>
                <c:pt idx="5">
                  <c:v>6.7539703845977703</c:v>
                </c:pt>
                <c:pt idx="6">
                  <c:v>8.3618009090423495</c:v>
                </c:pt>
                <c:pt idx="7">
                  <c:v>10.114449262619001</c:v>
                </c:pt>
                <c:pt idx="8">
                  <c:v>12.0248043537139</c:v>
                </c:pt>
                <c:pt idx="9">
                  <c:v>14.106971025466899</c:v>
                </c:pt>
                <c:pt idx="10">
                  <c:v>16.3765740394592</c:v>
                </c:pt>
                <c:pt idx="11">
                  <c:v>18.850514888763399</c:v>
                </c:pt>
                <c:pt idx="12">
                  <c:v>21.5470933914184</c:v>
                </c:pt>
                <c:pt idx="13">
                  <c:v>24.4862508773803</c:v>
                </c:pt>
                <c:pt idx="14">
                  <c:v>27.690056562423699</c:v>
                </c:pt>
                <c:pt idx="15">
                  <c:v>31.182160377502399</c:v>
                </c:pt>
                <c:pt idx="16">
                  <c:v>34.988522529602001</c:v>
                </c:pt>
                <c:pt idx="17">
                  <c:v>39.137535095214801</c:v>
                </c:pt>
                <c:pt idx="18">
                  <c:v>43.659839630126903</c:v>
                </c:pt>
                <c:pt idx="19">
                  <c:v>48.589299917220998</c:v>
                </c:pt>
                <c:pt idx="20">
                  <c:v>53.962393999099703</c:v>
                </c:pt>
                <c:pt idx="21">
                  <c:v>59.819004535674999</c:v>
                </c:pt>
                <c:pt idx="22">
                  <c:v>66.2026619911193</c:v>
                </c:pt>
                <c:pt idx="23">
                  <c:v>73.160848617553697</c:v>
                </c:pt>
                <c:pt idx="24">
                  <c:v>80.745424032211304</c:v>
                </c:pt>
                <c:pt idx="25">
                  <c:v>89.012442827224703</c:v>
                </c:pt>
                <c:pt idx="26">
                  <c:v>98.0235528945922</c:v>
                </c:pt>
                <c:pt idx="27">
                  <c:v>107.845630645751</c:v>
                </c:pt>
                <c:pt idx="28">
                  <c:v>118.551753759384</c:v>
                </c:pt>
                <c:pt idx="29">
                  <c:v>130.22150516510001</c:v>
                </c:pt>
                <c:pt idx="30">
                  <c:v>142.941337823867</c:v>
                </c:pt>
                <c:pt idx="31">
                  <c:v>156.806094646453</c:v>
                </c:pt>
                <c:pt idx="32">
                  <c:v>171.91864371299701</c:v>
                </c:pt>
                <c:pt idx="33">
                  <c:v>187.726768255233</c:v>
                </c:pt>
                <c:pt idx="34">
                  <c:v>203.579578399658</c:v>
                </c:pt>
                <c:pt idx="35">
                  <c:v>219.43238854408199</c:v>
                </c:pt>
                <c:pt idx="36">
                  <c:v>235.28525948524401</c:v>
                </c:pt>
                <c:pt idx="37">
                  <c:v>251.13806962966899</c:v>
                </c:pt>
                <c:pt idx="38">
                  <c:v>266.99081897735499</c:v>
                </c:pt>
                <c:pt idx="39">
                  <c:v>282.84362912178</c:v>
                </c:pt>
                <c:pt idx="40">
                  <c:v>298.69643926620398</c:v>
                </c:pt>
                <c:pt idx="41">
                  <c:v>314.54931020736598</c:v>
                </c:pt>
                <c:pt idx="42">
                  <c:v>330.40212035179098</c:v>
                </c:pt>
                <c:pt idx="43">
                  <c:v>346.25493049621502</c:v>
                </c:pt>
                <c:pt idx="44">
                  <c:v>362.10780143737702</c:v>
                </c:pt>
                <c:pt idx="45">
                  <c:v>377.96061158180203</c:v>
                </c:pt>
                <c:pt idx="46">
                  <c:v>393.81348252296402</c:v>
                </c:pt>
                <c:pt idx="47">
                  <c:v>409.66629266738801</c:v>
                </c:pt>
                <c:pt idx="48">
                  <c:v>425.519042015075</c:v>
                </c:pt>
                <c:pt idx="49">
                  <c:v>441.371912956237</c:v>
                </c:pt>
                <c:pt idx="50">
                  <c:v>457.22478389739899</c:v>
                </c:pt>
                <c:pt idx="51">
                  <c:v>473.07753324508599</c:v>
                </c:pt>
                <c:pt idx="52">
                  <c:v>488.93034338951099</c:v>
                </c:pt>
                <c:pt idx="53">
                  <c:v>504.78321433067299</c:v>
                </c:pt>
                <c:pt idx="54">
                  <c:v>520.63602447509697</c:v>
                </c:pt>
                <c:pt idx="55">
                  <c:v>536.48889541625897</c:v>
                </c:pt>
                <c:pt idx="56">
                  <c:v>552.34173595905304</c:v>
                </c:pt>
                <c:pt idx="57">
                  <c:v>568.19448530673901</c:v>
                </c:pt>
                <c:pt idx="58">
                  <c:v>584.04732584953297</c:v>
                </c:pt>
                <c:pt idx="59">
                  <c:v>599.90016639232601</c:v>
                </c:pt>
                <c:pt idx="60">
                  <c:v>615.75300693511895</c:v>
                </c:pt>
                <c:pt idx="61">
                  <c:v>631.60581707954395</c:v>
                </c:pt>
                <c:pt idx="62">
                  <c:v>647.45859682559899</c:v>
                </c:pt>
                <c:pt idx="63">
                  <c:v>663.31143736839203</c:v>
                </c:pt>
                <c:pt idx="64">
                  <c:v>679.16427791118599</c:v>
                </c:pt>
                <c:pt idx="65">
                  <c:v>695.01711845397904</c:v>
                </c:pt>
                <c:pt idx="66">
                  <c:v>710.86992859840302</c:v>
                </c:pt>
                <c:pt idx="67">
                  <c:v>726.72273874282803</c:v>
                </c:pt>
                <c:pt idx="68">
                  <c:v>742.57554888725201</c:v>
                </c:pt>
                <c:pt idx="69">
                  <c:v>758.42838943004597</c:v>
                </c:pt>
                <c:pt idx="70">
                  <c:v>774.28122997283901</c:v>
                </c:pt>
                <c:pt idx="71">
                  <c:v>790.13402491807904</c:v>
                </c:pt>
                <c:pt idx="72">
                  <c:v>805.98686546087197</c:v>
                </c:pt>
                <c:pt idx="73">
                  <c:v>821.83970600366501</c:v>
                </c:pt>
                <c:pt idx="74">
                  <c:v>837.69251614809002</c:v>
                </c:pt>
                <c:pt idx="75">
                  <c:v>853.54535669088295</c:v>
                </c:pt>
                <c:pt idx="76">
                  <c:v>869.39818203449204</c:v>
                </c:pt>
                <c:pt idx="77">
                  <c:v>885.25099217891602</c:v>
                </c:pt>
                <c:pt idx="78">
                  <c:v>901.10380992293301</c:v>
                </c:pt>
                <c:pt idx="79">
                  <c:v>916.95665046572606</c:v>
                </c:pt>
                <c:pt idx="80">
                  <c:v>932.80946820974305</c:v>
                </c:pt>
                <c:pt idx="81">
                  <c:v>948.66229355335201</c:v>
                </c:pt>
                <c:pt idx="82">
                  <c:v>964.51511889696098</c:v>
                </c:pt>
                <c:pt idx="83">
                  <c:v>980.36794044077305</c:v>
                </c:pt>
                <c:pt idx="84">
                  <c:v>996.22076388448397</c:v>
                </c:pt>
                <c:pt idx="85">
                  <c:v>1012.07358780317</c:v>
                </c:pt>
              </c:numCache>
            </c:numRef>
          </c:xVal>
          <c:yVal>
            <c:numRef>
              <c:f>Rij!$C$2:$C$87</c:f>
              <c:numCache>
                <c:formatCode>General</c:formatCode>
                <c:ptCount val="86"/>
                <c:pt idx="0" formatCode="0.00E+00">
                  <c:v>8.0429396286531004E-6</c:v>
                </c:pt>
                <c:pt idx="1">
                  <c:v>1.4410916331448499E-4</c:v>
                </c:pt>
                <c:pt idx="2">
                  <c:v>1.0162051579511301E-3</c:v>
                </c:pt>
                <c:pt idx="3">
                  <c:v>3.6819606403085299E-3</c:v>
                </c:pt>
                <c:pt idx="4">
                  <c:v>9.5139986620228004E-3</c:v>
                </c:pt>
                <c:pt idx="5">
                  <c:v>2.0002346091465999E-2</c:v>
                </c:pt>
                <c:pt idx="6">
                  <c:v>3.6534270156180097E-2</c:v>
                </c:pt>
                <c:pt idx="7">
                  <c:v>6.0233874504565597E-2</c:v>
                </c:pt>
                <c:pt idx="8">
                  <c:v>9.1981610721033502E-2</c:v>
                </c:pt>
                <c:pt idx="9">
                  <c:v>0.13241983570552401</c:v>
                </c:pt>
                <c:pt idx="10">
                  <c:v>0.18183665428022999</c:v>
                </c:pt>
                <c:pt idx="11">
                  <c:v>0.240075000544371</c:v>
                </c:pt>
                <c:pt idx="12">
                  <c:v>0.30650978056127398</c:v>
                </c:pt>
                <c:pt idx="13">
                  <c:v>0.38006077424007501</c:v>
                </c:pt>
                <c:pt idx="14">
                  <c:v>0.45922814899282099</c:v>
                </c:pt>
                <c:pt idx="15">
                  <c:v>0.54214952489119395</c:v>
                </c:pt>
                <c:pt idx="16">
                  <c:v>0.62668310028500795</c:v>
                </c:pt>
                <c:pt idx="17">
                  <c:v>0.71051242936750503</c:v>
                </c:pt>
                <c:pt idx="18">
                  <c:v>0.79130169118777105</c:v>
                </c:pt>
                <c:pt idx="19">
                  <c:v>0.866880557097649</c:v>
                </c:pt>
                <c:pt idx="20">
                  <c:v>0.93544365652156802</c:v>
                </c:pt>
                <c:pt idx="21">
                  <c:v>0.995705622753005</c:v>
                </c:pt>
                <c:pt idx="22">
                  <c:v>1.04701511165997</c:v>
                </c:pt>
                <c:pt idx="23">
                  <c:v>1.0893506945116</c:v>
                </c:pt>
                <c:pt idx="24">
                  <c:v>1.12320826785471</c:v>
                </c:pt>
                <c:pt idx="25">
                  <c:v>1.14940623063568</c:v>
                </c:pt>
                <c:pt idx="26">
                  <c:v>1.1689488760411499</c:v>
                </c:pt>
                <c:pt idx="27">
                  <c:v>1.1827539787569099</c:v>
                </c:pt>
                <c:pt idx="28">
                  <c:v>1.1916744022714501</c:v>
                </c:pt>
                <c:pt idx="29">
                  <c:v>1.1963620264350601</c:v>
                </c:pt>
                <c:pt idx="30">
                  <c:v>1.19760694641207</c:v>
                </c:pt>
                <c:pt idx="31">
                  <c:v>1.1960118452581301</c:v>
                </c:pt>
                <c:pt idx="32">
                  <c:v>1.1909831471282299</c:v>
                </c:pt>
                <c:pt idx="33">
                  <c:v>1.1804211042564801</c:v>
                </c:pt>
                <c:pt idx="34">
                  <c:v>1.16787136802404</c:v>
                </c:pt>
                <c:pt idx="35">
                  <c:v>1.1550485940458</c:v>
                </c:pt>
                <c:pt idx="36">
                  <c:v>1.1416034940086199</c:v>
                </c:pt>
                <c:pt idx="37">
                  <c:v>1.12736258447885</c:v>
                </c:pt>
                <c:pt idx="38">
                  <c:v>1.1121394354979599</c:v>
                </c:pt>
                <c:pt idx="39">
                  <c:v>1.0960168155389001</c:v>
                </c:pt>
                <c:pt idx="40">
                  <c:v>1.0791606186931599</c:v>
                </c:pt>
                <c:pt idx="41">
                  <c:v>1.0616855779572401</c:v>
                </c:pt>
                <c:pt idx="42">
                  <c:v>1.0435389250814</c:v>
                </c:pt>
                <c:pt idx="43">
                  <c:v>1.0246869098144999</c:v>
                </c:pt>
                <c:pt idx="44">
                  <c:v>1.00535256953033</c:v>
                </c:pt>
                <c:pt idx="45">
                  <c:v>0.98563367281347503</c:v>
                </c:pt>
                <c:pt idx="46">
                  <c:v>0.96557682715356297</c:v>
                </c:pt>
                <c:pt idx="47">
                  <c:v>0.94523230078175702</c:v>
                </c:pt>
                <c:pt idx="48">
                  <c:v>0.92467402281955002</c:v>
                </c:pt>
                <c:pt idx="49">
                  <c:v>0.90396619017316404</c:v>
                </c:pt>
                <c:pt idx="50">
                  <c:v>0.88307826690111502</c:v>
                </c:pt>
                <c:pt idx="51">
                  <c:v>0.86199721719212397</c:v>
                </c:pt>
                <c:pt idx="52">
                  <c:v>0.84077509500492298</c:v>
                </c:pt>
                <c:pt idx="53">
                  <c:v>0.81940350741992296</c:v>
                </c:pt>
                <c:pt idx="54">
                  <c:v>0.79792352617128504</c:v>
                </c:pt>
                <c:pt idx="55">
                  <c:v>0.77639604456922495</c:v>
                </c:pt>
                <c:pt idx="56">
                  <c:v>0.75493204558235905</c:v>
                </c:pt>
                <c:pt idx="57">
                  <c:v>0.73355670796945704</c:v>
                </c:pt>
                <c:pt idx="58">
                  <c:v>0.71229529977566597</c:v>
                </c:pt>
                <c:pt idx="59">
                  <c:v>0.69113808878571703</c:v>
                </c:pt>
                <c:pt idx="60">
                  <c:v>0.67007382491590495</c:v>
                </c:pt>
                <c:pt idx="61">
                  <c:v>0.64912474047450597</c:v>
                </c:pt>
                <c:pt idx="62">
                  <c:v>0.62832503214452695</c:v>
                </c:pt>
                <c:pt idx="63">
                  <c:v>0.60772724495978303</c:v>
                </c:pt>
                <c:pt idx="64">
                  <c:v>0.58737575425044497</c:v>
                </c:pt>
                <c:pt idx="65">
                  <c:v>0.56736471250276199</c:v>
                </c:pt>
                <c:pt idx="66">
                  <c:v>0.54769648580576602</c:v>
                </c:pt>
                <c:pt idx="67">
                  <c:v>0.52844013717331595</c:v>
                </c:pt>
                <c:pt idx="68">
                  <c:v>0.50963664905319495</c:v>
                </c:pt>
                <c:pt idx="69">
                  <c:v>0.49135637911175101</c:v>
                </c:pt>
                <c:pt idx="70">
                  <c:v>0.47365401525588502</c:v>
                </c:pt>
                <c:pt idx="71">
                  <c:v>0.45659786156523702</c:v>
                </c:pt>
                <c:pt idx="72">
                  <c:v>0.44024711490882601</c:v>
                </c:pt>
                <c:pt idx="73">
                  <c:v>0.42463967735437602</c:v>
                </c:pt>
                <c:pt idx="74">
                  <c:v>0.40982112959816802</c:v>
                </c:pt>
                <c:pt idx="75">
                  <c:v>0.39586861507132398</c:v>
                </c:pt>
                <c:pt idx="76">
                  <c:v>0.38289235780824399</c:v>
                </c:pt>
                <c:pt idx="77">
                  <c:v>0.37100889885461302</c:v>
                </c:pt>
                <c:pt idx="78">
                  <c:v>0.36030977907010497</c:v>
                </c:pt>
                <c:pt idx="79">
                  <c:v>0.35085006582872902</c:v>
                </c:pt>
                <c:pt idx="80">
                  <c:v>0.342657705766993</c:v>
                </c:pt>
                <c:pt idx="81">
                  <c:v>0.33575102491410602</c:v>
                </c:pt>
                <c:pt idx="82">
                  <c:v>0.33015828240889999</c:v>
                </c:pt>
                <c:pt idx="83">
                  <c:v>0.32593059470313102</c:v>
                </c:pt>
                <c:pt idx="84">
                  <c:v>0.32311430142729902</c:v>
                </c:pt>
                <c:pt idx="85">
                  <c:v>0.32173940280461999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1A-4F42-B13A-46E0A1B79EFF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DNS!$B$381:$B$604</c:f>
              <c:numCache>
                <c:formatCode>0.00E+00</c:formatCode>
                <c:ptCount val="224"/>
                <c:pt idx="0">
                  <c:v>0.30789100000000003</c:v>
                </c:pt>
                <c:pt idx="1">
                  <c:v>0.62376399999999999</c:v>
                </c:pt>
                <c:pt idx="2">
                  <c:v>0.94890399999999997</c:v>
                </c:pt>
                <c:pt idx="3">
                  <c:v>1.2846200000000001</c:v>
                </c:pt>
                <c:pt idx="4">
                  <c:v>1.63222</c:v>
                </c:pt>
                <c:pt idx="5">
                  <c:v>1.99305</c:v>
                </c:pt>
                <c:pt idx="6">
                  <c:v>2.3684599999999998</c:v>
                </c:pt>
                <c:pt idx="7">
                  <c:v>2.7598099999999999</c:v>
                </c:pt>
                <c:pt idx="8">
                  <c:v>3.1684600000000001</c:v>
                </c:pt>
                <c:pt idx="9">
                  <c:v>3.59579</c:v>
                </c:pt>
                <c:pt idx="10">
                  <c:v>4.0431600000000003</c:v>
                </c:pt>
                <c:pt idx="11">
                  <c:v>4.5119699999999998</c:v>
                </c:pt>
                <c:pt idx="12">
                  <c:v>5.0035800000000004</c:v>
                </c:pt>
                <c:pt idx="13">
                  <c:v>5.51938</c:v>
                </c:pt>
                <c:pt idx="14">
                  <c:v>6.0607199999999999</c:v>
                </c:pt>
                <c:pt idx="15">
                  <c:v>6.6289600000000002</c:v>
                </c:pt>
                <c:pt idx="16">
                  <c:v>7.22546</c:v>
                </c:pt>
                <c:pt idx="17">
                  <c:v>7.8515600000000001</c:v>
                </c:pt>
                <c:pt idx="18">
                  <c:v>8.5085899999999999</c:v>
                </c:pt>
                <c:pt idx="19">
                  <c:v>9.1978399999999993</c:v>
                </c:pt>
                <c:pt idx="20">
                  <c:v>9.9206299999999992</c:v>
                </c:pt>
                <c:pt idx="21">
                  <c:v>10.6782</c:v>
                </c:pt>
                <c:pt idx="22">
                  <c:v>11.4719</c:v>
                </c:pt>
                <c:pt idx="23">
                  <c:v>12.3028</c:v>
                </c:pt>
                <c:pt idx="24">
                  <c:v>13.1723</c:v>
                </c:pt>
                <c:pt idx="25">
                  <c:v>14.0815</c:v>
                </c:pt>
                <c:pt idx="26">
                  <c:v>15.031499999999999</c:v>
                </c:pt>
                <c:pt idx="27">
                  <c:v>16.023599999999998</c:v>
                </c:pt>
                <c:pt idx="28">
                  <c:v>17.058800000000002</c:v>
                </c:pt>
                <c:pt idx="29">
                  <c:v>18.138200000000001</c:v>
                </c:pt>
                <c:pt idx="30">
                  <c:v>19.262899999999998</c:v>
                </c:pt>
                <c:pt idx="31">
                  <c:v>20.433900000000001</c:v>
                </c:pt>
                <c:pt idx="32">
                  <c:v>21.652200000000001</c:v>
                </c:pt>
                <c:pt idx="33">
                  <c:v>22.918700000000001</c:v>
                </c:pt>
                <c:pt idx="34">
                  <c:v>24.234500000000001</c:v>
                </c:pt>
                <c:pt idx="35">
                  <c:v>25.6004</c:v>
                </c:pt>
                <c:pt idx="36">
                  <c:v>27.017299999999999</c:v>
                </c:pt>
                <c:pt idx="37">
                  <c:v>28.4861</c:v>
                </c:pt>
                <c:pt idx="38">
                  <c:v>30.007400000000001</c:v>
                </c:pt>
                <c:pt idx="39">
                  <c:v>31.5822</c:v>
                </c:pt>
                <c:pt idx="40">
                  <c:v>33.211199999999998</c:v>
                </c:pt>
                <c:pt idx="41">
                  <c:v>34.895000000000003</c:v>
                </c:pt>
                <c:pt idx="42">
                  <c:v>36.634399999999999</c:v>
                </c:pt>
                <c:pt idx="43">
                  <c:v>38.43</c:v>
                </c:pt>
                <c:pt idx="44">
                  <c:v>40.282299999999999</c:v>
                </c:pt>
                <c:pt idx="45">
                  <c:v>42.192</c:v>
                </c:pt>
                <c:pt idx="46">
                  <c:v>44.159599999999998</c:v>
                </c:pt>
                <c:pt idx="47">
                  <c:v>46.185600000000001</c:v>
                </c:pt>
                <c:pt idx="48">
                  <c:v>48.270400000000002</c:v>
                </c:pt>
                <c:pt idx="49">
                  <c:v>50.414499999999997</c:v>
                </c:pt>
                <c:pt idx="50">
                  <c:v>52.618299999999998</c:v>
                </c:pt>
                <c:pt idx="51">
                  <c:v>54.882100000000001</c:v>
                </c:pt>
                <c:pt idx="52">
                  <c:v>57.206200000000003</c:v>
                </c:pt>
                <c:pt idx="53">
                  <c:v>59.591000000000001</c:v>
                </c:pt>
                <c:pt idx="54">
                  <c:v>62.036700000000003</c:v>
                </c:pt>
                <c:pt idx="55">
                  <c:v>64.543499999999995</c:v>
                </c:pt>
                <c:pt idx="56">
                  <c:v>67.111699999999999</c:v>
                </c:pt>
                <c:pt idx="57">
                  <c:v>69.741200000000006</c:v>
                </c:pt>
                <c:pt idx="58">
                  <c:v>72.432400000000001</c:v>
                </c:pt>
                <c:pt idx="59">
                  <c:v>75.185199999999995</c:v>
                </c:pt>
                <c:pt idx="60">
                  <c:v>77.999700000000004</c:v>
                </c:pt>
                <c:pt idx="61">
                  <c:v>80.876000000000005</c:v>
                </c:pt>
                <c:pt idx="62">
                  <c:v>83.813900000000004</c:v>
                </c:pt>
                <c:pt idx="63">
                  <c:v>86.813599999999994</c:v>
                </c:pt>
                <c:pt idx="64">
                  <c:v>89.874899999999997</c:v>
                </c:pt>
                <c:pt idx="65">
                  <c:v>92.997600000000006</c:v>
                </c:pt>
                <c:pt idx="66">
                  <c:v>96.181799999999996</c:v>
                </c:pt>
                <c:pt idx="67">
                  <c:v>99.427099999999996</c:v>
                </c:pt>
                <c:pt idx="68">
                  <c:v>102.733</c:v>
                </c:pt>
                <c:pt idx="69">
                  <c:v>106.101</c:v>
                </c:pt>
                <c:pt idx="70">
                  <c:v>109.52800000000001</c:v>
                </c:pt>
                <c:pt idx="71">
                  <c:v>113.01600000000001</c:v>
                </c:pt>
                <c:pt idx="72">
                  <c:v>116.56399999999999</c:v>
                </c:pt>
                <c:pt idx="73">
                  <c:v>120.172</c:v>
                </c:pt>
                <c:pt idx="74">
                  <c:v>123.839</c:v>
                </c:pt>
                <c:pt idx="75">
                  <c:v>127.56399999999999</c:v>
                </c:pt>
                <c:pt idx="76">
                  <c:v>131.34899999999999</c:v>
                </c:pt>
                <c:pt idx="77">
                  <c:v>135.191</c:v>
                </c:pt>
                <c:pt idx="78">
                  <c:v>139.09100000000001</c:v>
                </c:pt>
                <c:pt idx="79">
                  <c:v>143.048</c:v>
                </c:pt>
                <c:pt idx="80">
                  <c:v>147.06200000000001</c:v>
                </c:pt>
                <c:pt idx="81">
                  <c:v>151.13200000000001</c:v>
                </c:pt>
                <c:pt idx="82">
                  <c:v>155.25800000000001</c:v>
                </c:pt>
                <c:pt idx="83">
                  <c:v>159.43899999999999</c:v>
                </c:pt>
                <c:pt idx="84">
                  <c:v>163.67500000000001</c:v>
                </c:pt>
                <c:pt idx="85">
                  <c:v>167.964</c:v>
                </c:pt>
                <c:pt idx="86">
                  <c:v>172.30699999999999</c:v>
                </c:pt>
                <c:pt idx="87">
                  <c:v>176.703</c:v>
                </c:pt>
                <c:pt idx="88">
                  <c:v>181.15</c:v>
                </c:pt>
                <c:pt idx="89">
                  <c:v>185.65</c:v>
                </c:pt>
                <c:pt idx="90">
                  <c:v>190.2</c:v>
                </c:pt>
                <c:pt idx="91">
                  <c:v>194.8</c:v>
                </c:pt>
                <c:pt idx="92">
                  <c:v>199.45</c:v>
                </c:pt>
                <c:pt idx="93">
                  <c:v>204.149</c:v>
                </c:pt>
                <c:pt idx="94">
                  <c:v>208.89599999999999</c:v>
                </c:pt>
                <c:pt idx="95">
                  <c:v>213.691</c:v>
                </c:pt>
                <c:pt idx="96">
                  <c:v>218.53200000000001</c:v>
                </c:pt>
                <c:pt idx="97">
                  <c:v>223.41900000000001</c:v>
                </c:pt>
                <c:pt idx="98">
                  <c:v>228.352</c:v>
                </c:pt>
                <c:pt idx="99">
                  <c:v>233.32900000000001</c:v>
                </c:pt>
                <c:pt idx="100">
                  <c:v>238.35</c:v>
                </c:pt>
                <c:pt idx="101">
                  <c:v>243.41499999999999</c:v>
                </c:pt>
                <c:pt idx="102">
                  <c:v>248.52099999999999</c:v>
                </c:pt>
                <c:pt idx="103">
                  <c:v>253.67</c:v>
                </c:pt>
                <c:pt idx="104">
                  <c:v>258.85899999999998</c:v>
                </c:pt>
                <c:pt idx="105">
                  <c:v>264.08800000000002</c:v>
                </c:pt>
                <c:pt idx="106">
                  <c:v>269.35700000000003</c:v>
                </c:pt>
                <c:pt idx="107">
                  <c:v>274.66399999999999</c:v>
                </c:pt>
                <c:pt idx="108">
                  <c:v>280.00900000000001</c:v>
                </c:pt>
                <c:pt idx="109">
                  <c:v>285.392</c:v>
                </c:pt>
                <c:pt idx="110">
                  <c:v>290.81</c:v>
                </c:pt>
                <c:pt idx="111">
                  <c:v>296.26499999999999</c:v>
                </c:pt>
                <c:pt idx="112">
                  <c:v>301.75400000000002</c:v>
                </c:pt>
                <c:pt idx="113">
                  <c:v>307.27800000000002</c:v>
                </c:pt>
                <c:pt idx="114">
                  <c:v>312.83499999999998</c:v>
                </c:pt>
                <c:pt idx="115">
                  <c:v>318.42399999999998</c:v>
                </c:pt>
                <c:pt idx="116">
                  <c:v>324.04599999999999</c:v>
                </c:pt>
                <c:pt idx="117">
                  <c:v>329.69900000000001</c:v>
                </c:pt>
                <c:pt idx="118">
                  <c:v>335.38200000000001</c:v>
                </c:pt>
                <c:pt idx="119">
                  <c:v>341.096</c:v>
                </c:pt>
                <c:pt idx="120">
                  <c:v>346.83800000000002</c:v>
                </c:pt>
                <c:pt idx="121">
                  <c:v>352.60899999999998</c:v>
                </c:pt>
                <c:pt idx="122">
                  <c:v>358.40800000000002</c:v>
                </c:pt>
                <c:pt idx="123">
                  <c:v>364.233</c:v>
                </c:pt>
                <c:pt idx="124">
                  <c:v>370.08499999999998</c:v>
                </c:pt>
                <c:pt idx="125">
                  <c:v>375.96300000000002</c:v>
                </c:pt>
                <c:pt idx="126">
                  <c:v>381.86599999999999</c:v>
                </c:pt>
                <c:pt idx="127">
                  <c:v>387.79300000000001</c:v>
                </c:pt>
                <c:pt idx="128">
                  <c:v>393.74400000000003</c:v>
                </c:pt>
                <c:pt idx="129">
                  <c:v>399.71800000000002</c:v>
                </c:pt>
                <c:pt idx="130">
                  <c:v>405.71499999999997</c:v>
                </c:pt>
                <c:pt idx="131">
                  <c:v>411.73399999999998</c:v>
                </c:pt>
                <c:pt idx="132">
                  <c:v>417.774</c:v>
                </c:pt>
                <c:pt idx="133">
                  <c:v>423.83499999999998</c:v>
                </c:pt>
                <c:pt idx="134">
                  <c:v>429.916</c:v>
                </c:pt>
                <c:pt idx="135">
                  <c:v>436.01600000000002</c:v>
                </c:pt>
                <c:pt idx="136">
                  <c:v>442.13600000000002</c:v>
                </c:pt>
                <c:pt idx="137">
                  <c:v>448.274</c:v>
                </c:pt>
                <c:pt idx="138">
                  <c:v>454.43</c:v>
                </c:pt>
                <c:pt idx="139">
                  <c:v>460.60399999999998</c:v>
                </c:pt>
                <c:pt idx="140">
                  <c:v>466.79500000000002</c:v>
                </c:pt>
                <c:pt idx="141">
                  <c:v>473.00200000000001</c:v>
                </c:pt>
                <c:pt idx="142">
                  <c:v>479.22500000000002</c:v>
                </c:pt>
                <c:pt idx="143">
                  <c:v>485.464</c:v>
                </c:pt>
                <c:pt idx="144">
                  <c:v>491.71699999999998</c:v>
                </c:pt>
                <c:pt idx="145">
                  <c:v>497.98599999999999</c:v>
                </c:pt>
                <c:pt idx="146">
                  <c:v>504.26900000000001</c:v>
                </c:pt>
                <c:pt idx="147">
                  <c:v>510.565</c:v>
                </c:pt>
                <c:pt idx="148">
                  <c:v>516.875</c:v>
                </c:pt>
                <c:pt idx="149">
                  <c:v>523.19799999999998</c:v>
                </c:pt>
                <c:pt idx="150">
                  <c:v>529.53399999999999</c:v>
                </c:pt>
                <c:pt idx="151">
                  <c:v>535.88199999999995</c:v>
                </c:pt>
                <c:pt idx="152">
                  <c:v>542.24199999999996</c:v>
                </c:pt>
                <c:pt idx="153">
                  <c:v>548.61300000000006</c:v>
                </c:pt>
                <c:pt idx="154">
                  <c:v>554.99599999999998</c:v>
                </c:pt>
                <c:pt idx="155">
                  <c:v>561.39</c:v>
                </c:pt>
                <c:pt idx="156">
                  <c:v>567.79499999999996</c:v>
                </c:pt>
                <c:pt idx="157">
                  <c:v>574.21</c:v>
                </c:pt>
                <c:pt idx="158">
                  <c:v>580.63499999999999</c:v>
                </c:pt>
                <c:pt idx="159">
                  <c:v>587.07000000000005</c:v>
                </c:pt>
                <c:pt idx="160">
                  <c:v>593.51499999999999</c:v>
                </c:pt>
                <c:pt idx="161">
                  <c:v>599.97</c:v>
                </c:pt>
                <c:pt idx="162">
                  <c:v>606.43299999999999</c:v>
                </c:pt>
                <c:pt idx="163">
                  <c:v>612.90599999999995</c:v>
                </c:pt>
                <c:pt idx="164">
                  <c:v>619.38800000000003</c:v>
                </c:pt>
                <c:pt idx="165">
                  <c:v>625.87800000000004</c:v>
                </c:pt>
                <c:pt idx="166">
                  <c:v>632.37699999999995</c:v>
                </c:pt>
                <c:pt idx="167">
                  <c:v>638.88499999999999</c:v>
                </c:pt>
                <c:pt idx="168">
                  <c:v>645.40099999999995</c:v>
                </c:pt>
                <c:pt idx="169">
                  <c:v>651.92499999999995</c:v>
                </c:pt>
                <c:pt idx="170">
                  <c:v>658.45699999999999</c:v>
                </c:pt>
                <c:pt idx="171">
                  <c:v>664.99800000000005</c:v>
                </c:pt>
                <c:pt idx="172">
                  <c:v>671.54600000000005</c:v>
                </c:pt>
                <c:pt idx="173">
                  <c:v>678.10199999999998</c:v>
                </c:pt>
                <c:pt idx="174">
                  <c:v>684.66700000000003</c:v>
                </c:pt>
                <c:pt idx="175">
                  <c:v>691.23900000000003</c:v>
                </c:pt>
                <c:pt idx="176">
                  <c:v>697.81899999999996</c:v>
                </c:pt>
                <c:pt idx="177">
                  <c:v>704.40700000000004</c:v>
                </c:pt>
                <c:pt idx="178">
                  <c:v>711.00300000000004</c:v>
                </c:pt>
                <c:pt idx="179">
                  <c:v>717.60799999999995</c:v>
                </c:pt>
                <c:pt idx="180">
                  <c:v>724.22</c:v>
                </c:pt>
                <c:pt idx="181">
                  <c:v>730.84</c:v>
                </c:pt>
                <c:pt idx="182">
                  <c:v>737.46900000000005</c:v>
                </c:pt>
                <c:pt idx="183">
                  <c:v>744.10599999999999</c:v>
                </c:pt>
                <c:pt idx="184">
                  <c:v>750.75099999999998</c:v>
                </c:pt>
                <c:pt idx="185">
                  <c:v>757.40599999999995</c:v>
                </c:pt>
                <c:pt idx="186">
                  <c:v>764.06899999999996</c:v>
                </c:pt>
                <c:pt idx="187">
                  <c:v>770.74</c:v>
                </c:pt>
                <c:pt idx="188">
                  <c:v>777.42100000000005</c:v>
                </c:pt>
                <c:pt idx="189">
                  <c:v>784.11199999999997</c:v>
                </c:pt>
                <c:pt idx="190">
                  <c:v>790.81200000000001</c:v>
                </c:pt>
                <c:pt idx="191">
                  <c:v>797.52099999999996</c:v>
                </c:pt>
                <c:pt idx="192">
                  <c:v>804.24099999999999</c:v>
                </c:pt>
                <c:pt idx="193">
                  <c:v>810.97199999999998</c:v>
                </c:pt>
                <c:pt idx="194">
                  <c:v>817.71199999999999</c:v>
                </c:pt>
                <c:pt idx="195">
                  <c:v>824.46400000000006</c:v>
                </c:pt>
                <c:pt idx="196">
                  <c:v>831.22699999999998</c:v>
                </c:pt>
                <c:pt idx="197">
                  <c:v>838.00199999999995</c:v>
                </c:pt>
                <c:pt idx="198">
                  <c:v>844.78899999999999</c:v>
                </c:pt>
                <c:pt idx="199">
                  <c:v>851.58900000000006</c:v>
                </c:pt>
                <c:pt idx="200">
                  <c:v>858.40099999999995</c:v>
                </c:pt>
                <c:pt idx="201">
                  <c:v>865.226</c:v>
                </c:pt>
                <c:pt idx="202">
                  <c:v>872.06600000000003</c:v>
                </c:pt>
                <c:pt idx="203">
                  <c:v>878.91899999999998</c:v>
                </c:pt>
                <c:pt idx="204">
                  <c:v>885.78800000000001</c:v>
                </c:pt>
                <c:pt idx="205">
                  <c:v>892.67200000000003</c:v>
                </c:pt>
                <c:pt idx="206">
                  <c:v>899.57100000000003</c:v>
                </c:pt>
                <c:pt idx="207">
                  <c:v>906.48699999999997</c:v>
                </c:pt>
                <c:pt idx="208">
                  <c:v>913.42100000000005</c:v>
                </c:pt>
                <c:pt idx="209">
                  <c:v>920.37199999999996</c:v>
                </c:pt>
                <c:pt idx="210">
                  <c:v>927.34100000000001</c:v>
                </c:pt>
                <c:pt idx="211">
                  <c:v>934.33</c:v>
                </c:pt>
                <c:pt idx="212">
                  <c:v>941.33900000000006</c:v>
                </c:pt>
                <c:pt idx="213">
                  <c:v>948.36800000000005</c:v>
                </c:pt>
                <c:pt idx="214">
                  <c:v>955.41899999999998</c:v>
                </c:pt>
                <c:pt idx="215">
                  <c:v>962.49199999999996</c:v>
                </c:pt>
                <c:pt idx="216">
                  <c:v>969.58799999999997</c:v>
                </c:pt>
                <c:pt idx="217">
                  <c:v>976.70899999999995</c:v>
                </c:pt>
                <c:pt idx="218">
                  <c:v>983.85500000000002</c:v>
                </c:pt>
                <c:pt idx="219">
                  <c:v>991.02700000000004</c:v>
                </c:pt>
                <c:pt idx="220">
                  <c:v>998.226</c:v>
                </c:pt>
                <c:pt idx="221">
                  <c:v>1005.45</c:v>
                </c:pt>
                <c:pt idx="222">
                  <c:v>1012.71</c:v>
                </c:pt>
                <c:pt idx="223">
                  <c:v>1020</c:v>
                </c:pt>
              </c:numCache>
            </c:numRef>
          </c:xVal>
          <c:yVal>
            <c:numRef>
              <c:f>DNS!$C$381:$C$604</c:f>
              <c:numCache>
                <c:formatCode>0.00E+00</c:formatCode>
                <c:ptCount val="224"/>
                <c:pt idx="0">
                  <c:v>1.2763E-6</c:v>
                </c:pt>
                <c:pt idx="1">
                  <c:v>1.87046E-5</c:v>
                </c:pt>
                <c:pt idx="2">
                  <c:v>8.9758400000000004E-5</c:v>
                </c:pt>
                <c:pt idx="3">
                  <c:v>2.7177000000000001E-4</c:v>
                </c:pt>
                <c:pt idx="4">
                  <c:v>6.3922100000000004E-4</c:v>
                </c:pt>
                <c:pt idx="5">
                  <c:v>1.2817499999999999E-3</c:v>
                </c:pt>
                <c:pt idx="6">
                  <c:v>2.3025400000000001E-3</c:v>
                </c:pt>
                <c:pt idx="7">
                  <c:v>3.8168199999999998E-3</c:v>
                </c:pt>
                <c:pt idx="8">
                  <c:v>5.9504299999999996E-3</c:v>
                </c:pt>
                <c:pt idx="9">
                  <c:v>8.8381399999999995E-3</c:v>
                </c:pt>
                <c:pt idx="10">
                  <c:v>1.26219E-2</c:v>
                </c:pt>
                <c:pt idx="11">
                  <c:v>1.7448999999999999E-2</c:v>
                </c:pt>
                <c:pt idx="12">
                  <c:v>2.34696E-2</c:v>
                </c:pt>
                <c:pt idx="13">
                  <c:v>3.0834799999999999E-2</c:v>
                </c:pt>
                <c:pt idx="14">
                  <c:v>3.9694100000000003E-2</c:v>
                </c:pt>
                <c:pt idx="15">
                  <c:v>5.0192199999999999E-2</c:v>
                </c:pt>
                <c:pt idx="16">
                  <c:v>6.2466800000000003E-2</c:v>
                </c:pt>
                <c:pt idx="17">
                  <c:v>7.6644900000000002E-2</c:v>
                </c:pt>
                <c:pt idx="18">
                  <c:v>9.2838699999999996E-2</c:v>
                </c:pt>
                <c:pt idx="19">
                  <c:v>0.111142</c:v>
                </c:pt>
                <c:pt idx="20">
                  <c:v>0.13162599999999999</c:v>
                </c:pt>
                <c:pt idx="21">
                  <c:v>0.154332</c:v>
                </c:pt>
                <c:pt idx="22">
                  <c:v>0.17927199999999999</c:v>
                </c:pt>
                <c:pt idx="23">
                  <c:v>0.20641899999999999</c:v>
                </c:pt>
                <c:pt idx="24">
                  <c:v>0.23571</c:v>
                </c:pt>
                <c:pt idx="25">
                  <c:v>0.26704</c:v>
                </c:pt>
                <c:pt idx="26">
                  <c:v>0.300265</c:v>
                </c:pt>
                <c:pt idx="27">
                  <c:v>0.33520299999999997</c:v>
                </c:pt>
                <c:pt idx="28">
                  <c:v>0.37164000000000003</c:v>
                </c:pt>
                <c:pt idx="29">
                  <c:v>0.409333</c:v>
                </c:pt>
                <c:pt idx="30">
                  <c:v>0.448015</c:v>
                </c:pt>
                <c:pt idx="31">
                  <c:v>0.48740800000000001</c:v>
                </c:pt>
                <c:pt idx="32">
                  <c:v>0.52722500000000005</c:v>
                </c:pt>
                <c:pt idx="33">
                  <c:v>0.56717600000000001</c:v>
                </c:pt>
                <c:pt idx="34">
                  <c:v>0.60698200000000002</c:v>
                </c:pt>
                <c:pt idx="35">
                  <c:v>0.64637100000000003</c:v>
                </c:pt>
                <c:pt idx="36">
                  <c:v>0.68509399999999998</c:v>
                </c:pt>
                <c:pt idx="37">
                  <c:v>0.72291700000000003</c:v>
                </c:pt>
                <c:pt idx="38">
                  <c:v>0.75963499999999995</c:v>
                </c:pt>
                <c:pt idx="39">
                  <c:v>0.79506600000000005</c:v>
                </c:pt>
                <c:pt idx="40">
                  <c:v>0.82905499999999999</c:v>
                </c:pt>
                <c:pt idx="41">
                  <c:v>0.86147799999999997</c:v>
                </c:pt>
                <c:pt idx="42">
                  <c:v>0.892235</c:v>
                </c:pt>
                <c:pt idx="43">
                  <c:v>0.92125400000000002</c:v>
                </c:pt>
                <c:pt idx="44">
                  <c:v>0.948488</c:v>
                </c:pt>
                <c:pt idx="45">
                  <c:v>0.97391099999999997</c:v>
                </c:pt>
                <c:pt idx="46">
                  <c:v>0.99751599999999996</c:v>
                </c:pt>
                <c:pt idx="47">
                  <c:v>1.0193099999999999</c:v>
                </c:pt>
                <c:pt idx="48">
                  <c:v>1.0393300000000001</c:v>
                </c:pt>
                <c:pt idx="49">
                  <c:v>1.05762</c:v>
                </c:pt>
                <c:pt idx="50">
                  <c:v>1.0742100000000001</c:v>
                </c:pt>
                <c:pt idx="51">
                  <c:v>1.08918</c:v>
                </c:pt>
                <c:pt idx="52">
                  <c:v>1.1026100000000001</c:v>
                </c:pt>
                <c:pt idx="53">
                  <c:v>1.1145700000000001</c:v>
                </c:pt>
                <c:pt idx="54">
                  <c:v>1.12514</c:v>
                </c:pt>
                <c:pt idx="55">
                  <c:v>1.1344099999999999</c:v>
                </c:pt>
                <c:pt idx="56">
                  <c:v>1.14249</c:v>
                </c:pt>
                <c:pt idx="57">
                  <c:v>1.1494500000000001</c:v>
                </c:pt>
                <c:pt idx="58">
                  <c:v>1.1553899999999999</c:v>
                </c:pt>
                <c:pt idx="59">
                  <c:v>1.16039</c:v>
                </c:pt>
                <c:pt idx="60">
                  <c:v>1.16455</c:v>
                </c:pt>
                <c:pt idx="61">
                  <c:v>1.1679299999999999</c:v>
                </c:pt>
                <c:pt idx="62">
                  <c:v>1.1706000000000001</c:v>
                </c:pt>
                <c:pt idx="63">
                  <c:v>1.1726300000000001</c:v>
                </c:pt>
                <c:pt idx="64">
                  <c:v>1.17408</c:v>
                </c:pt>
                <c:pt idx="65">
                  <c:v>1.175</c:v>
                </c:pt>
                <c:pt idx="66">
                  <c:v>1.17544</c:v>
                </c:pt>
                <c:pt idx="67">
                  <c:v>1.1754500000000001</c:v>
                </c:pt>
                <c:pt idx="68">
                  <c:v>1.1750799999999999</c:v>
                </c:pt>
                <c:pt idx="69">
                  <c:v>1.17435</c:v>
                </c:pt>
                <c:pt idx="70">
                  <c:v>1.1733100000000001</c:v>
                </c:pt>
                <c:pt idx="71">
                  <c:v>1.1719900000000001</c:v>
                </c:pt>
                <c:pt idx="72">
                  <c:v>1.1704000000000001</c:v>
                </c:pt>
                <c:pt idx="73">
                  <c:v>1.16856</c:v>
                </c:pt>
                <c:pt idx="74">
                  <c:v>1.16649</c:v>
                </c:pt>
                <c:pt idx="75">
                  <c:v>1.16421</c:v>
                </c:pt>
                <c:pt idx="76">
                  <c:v>1.16174</c:v>
                </c:pt>
                <c:pt idx="77">
                  <c:v>1.15909</c:v>
                </c:pt>
                <c:pt idx="78">
                  <c:v>1.1562699999999999</c:v>
                </c:pt>
                <c:pt idx="79">
                  <c:v>1.1533100000000001</c:v>
                </c:pt>
                <c:pt idx="80">
                  <c:v>1.1501999999999999</c:v>
                </c:pt>
                <c:pt idx="81">
                  <c:v>1.14697</c:v>
                </c:pt>
                <c:pt idx="82">
                  <c:v>1.1436200000000001</c:v>
                </c:pt>
                <c:pt idx="83">
                  <c:v>1.1401699999999999</c:v>
                </c:pt>
                <c:pt idx="84">
                  <c:v>1.13662</c:v>
                </c:pt>
                <c:pt idx="85">
                  <c:v>1.13297</c:v>
                </c:pt>
                <c:pt idx="86">
                  <c:v>1.1292199999999999</c:v>
                </c:pt>
                <c:pt idx="87">
                  <c:v>1.12537</c:v>
                </c:pt>
                <c:pt idx="88">
                  <c:v>1.1214200000000001</c:v>
                </c:pt>
                <c:pt idx="89">
                  <c:v>1.1173900000000001</c:v>
                </c:pt>
                <c:pt idx="90">
                  <c:v>1.1132899999999999</c:v>
                </c:pt>
                <c:pt idx="91">
                  <c:v>1.1091200000000001</c:v>
                </c:pt>
                <c:pt idx="92">
                  <c:v>1.1048899999999999</c:v>
                </c:pt>
                <c:pt idx="93">
                  <c:v>1.1006100000000001</c:v>
                </c:pt>
                <c:pt idx="94">
                  <c:v>1.0962799999999999</c:v>
                </c:pt>
                <c:pt idx="95">
                  <c:v>1.09188</c:v>
                </c:pt>
                <c:pt idx="96">
                  <c:v>1.08741</c:v>
                </c:pt>
                <c:pt idx="97">
                  <c:v>1.0828599999999999</c:v>
                </c:pt>
                <c:pt idx="98">
                  <c:v>1.0782400000000001</c:v>
                </c:pt>
                <c:pt idx="99">
                  <c:v>1.0735300000000001</c:v>
                </c:pt>
                <c:pt idx="100">
                  <c:v>1.0687500000000001</c:v>
                </c:pt>
                <c:pt idx="101">
                  <c:v>1.0638799999999999</c:v>
                </c:pt>
                <c:pt idx="102">
                  <c:v>1.0589200000000001</c:v>
                </c:pt>
                <c:pt idx="103">
                  <c:v>1.0538799999999999</c:v>
                </c:pt>
                <c:pt idx="104">
                  <c:v>1.0487299999999999</c:v>
                </c:pt>
                <c:pt idx="105">
                  <c:v>1.04349</c:v>
                </c:pt>
                <c:pt idx="106">
                  <c:v>1.03816</c:v>
                </c:pt>
                <c:pt idx="107">
                  <c:v>1.0327299999999999</c:v>
                </c:pt>
                <c:pt idx="108">
                  <c:v>1.02722</c:v>
                </c:pt>
                <c:pt idx="109">
                  <c:v>1.0216499999999999</c:v>
                </c:pt>
                <c:pt idx="110">
                  <c:v>1.0160100000000001</c:v>
                </c:pt>
                <c:pt idx="111">
                  <c:v>1.0102899999999999</c:v>
                </c:pt>
                <c:pt idx="112">
                  <c:v>1.00451</c:v>
                </c:pt>
                <c:pt idx="113">
                  <c:v>0.99867600000000001</c:v>
                </c:pt>
                <c:pt idx="114">
                  <c:v>0.99278299999999997</c:v>
                </c:pt>
                <c:pt idx="115">
                  <c:v>0.98684300000000003</c:v>
                </c:pt>
                <c:pt idx="116">
                  <c:v>0.98086600000000002</c:v>
                </c:pt>
                <c:pt idx="117">
                  <c:v>0.97485999999999995</c:v>
                </c:pt>
                <c:pt idx="118">
                  <c:v>0.968831</c:v>
                </c:pt>
                <c:pt idx="119">
                  <c:v>0.962781</c:v>
                </c:pt>
                <c:pt idx="120">
                  <c:v>0.95670699999999997</c:v>
                </c:pt>
                <c:pt idx="121">
                  <c:v>0.9506</c:v>
                </c:pt>
                <c:pt idx="122">
                  <c:v>0.94444700000000004</c:v>
                </c:pt>
                <c:pt idx="123">
                  <c:v>0.93824099999999999</c:v>
                </c:pt>
                <c:pt idx="124">
                  <c:v>0.93198000000000003</c:v>
                </c:pt>
                <c:pt idx="125">
                  <c:v>0.92566599999999999</c:v>
                </c:pt>
                <c:pt idx="126">
                  <c:v>0.91930000000000001</c:v>
                </c:pt>
                <c:pt idx="127">
                  <c:v>0.91288599999999998</c:v>
                </c:pt>
                <c:pt idx="128">
                  <c:v>0.90642599999999995</c:v>
                </c:pt>
                <c:pt idx="129">
                  <c:v>0.89992000000000005</c:v>
                </c:pt>
                <c:pt idx="130">
                  <c:v>0.89337299999999997</c:v>
                </c:pt>
                <c:pt idx="131">
                  <c:v>0.88678699999999999</c:v>
                </c:pt>
                <c:pt idx="132">
                  <c:v>0.880166</c:v>
                </c:pt>
                <c:pt idx="133">
                  <c:v>0.87351800000000002</c:v>
                </c:pt>
                <c:pt idx="134">
                  <c:v>0.86685400000000001</c:v>
                </c:pt>
                <c:pt idx="135">
                  <c:v>0.86018099999999997</c:v>
                </c:pt>
                <c:pt idx="136">
                  <c:v>0.85350700000000002</c:v>
                </c:pt>
                <c:pt idx="137">
                  <c:v>0.84684400000000004</c:v>
                </c:pt>
                <c:pt idx="138">
                  <c:v>0.84020099999999998</c:v>
                </c:pt>
                <c:pt idx="139">
                  <c:v>0.83357199999999998</c:v>
                </c:pt>
                <c:pt idx="140">
                  <c:v>0.82694800000000002</c:v>
                </c:pt>
                <c:pt idx="141">
                  <c:v>0.82031900000000002</c:v>
                </c:pt>
                <c:pt idx="142">
                  <c:v>0.81368700000000005</c:v>
                </c:pt>
                <c:pt idx="143">
                  <c:v>0.80705800000000005</c:v>
                </c:pt>
                <c:pt idx="144">
                  <c:v>0.80043200000000003</c:v>
                </c:pt>
                <c:pt idx="145">
                  <c:v>0.79380399999999995</c:v>
                </c:pt>
                <c:pt idx="146">
                  <c:v>0.78716900000000001</c:v>
                </c:pt>
                <c:pt idx="147">
                  <c:v>0.78052999999999995</c:v>
                </c:pt>
                <c:pt idx="148">
                  <c:v>0.77388900000000005</c:v>
                </c:pt>
                <c:pt idx="149">
                  <c:v>0.76725299999999996</c:v>
                </c:pt>
                <c:pt idx="150">
                  <c:v>0.760633</c:v>
                </c:pt>
                <c:pt idx="151">
                  <c:v>0.75404099999999996</c:v>
                </c:pt>
                <c:pt idx="152">
                  <c:v>0.74748700000000001</c:v>
                </c:pt>
                <c:pt idx="153">
                  <c:v>0.740977</c:v>
                </c:pt>
                <c:pt idx="154">
                  <c:v>0.73451200000000005</c:v>
                </c:pt>
                <c:pt idx="155">
                  <c:v>0.72809500000000005</c:v>
                </c:pt>
                <c:pt idx="156">
                  <c:v>0.72172800000000004</c:v>
                </c:pt>
                <c:pt idx="157">
                  <c:v>0.71541100000000002</c:v>
                </c:pt>
                <c:pt idx="158">
                  <c:v>0.70914500000000003</c:v>
                </c:pt>
                <c:pt idx="159">
                  <c:v>0.70293099999999997</c:v>
                </c:pt>
                <c:pt idx="160">
                  <c:v>0.69676800000000005</c:v>
                </c:pt>
                <c:pt idx="161">
                  <c:v>0.69065500000000002</c:v>
                </c:pt>
                <c:pt idx="162">
                  <c:v>0.68458300000000005</c:v>
                </c:pt>
                <c:pt idx="163">
                  <c:v>0.67854400000000004</c:v>
                </c:pt>
                <c:pt idx="164">
                  <c:v>0.67252299999999998</c:v>
                </c:pt>
                <c:pt idx="165">
                  <c:v>0.66650699999999996</c:v>
                </c:pt>
                <c:pt idx="166">
                  <c:v>0.66049100000000005</c:v>
                </c:pt>
                <c:pt idx="167">
                  <c:v>0.65448200000000001</c:v>
                </c:pt>
                <c:pt idx="168">
                  <c:v>0.64849699999999999</c:v>
                </c:pt>
                <c:pt idx="169">
                  <c:v>0.64255399999999996</c:v>
                </c:pt>
                <c:pt idx="170">
                  <c:v>0.63666999999999996</c:v>
                </c:pt>
                <c:pt idx="171">
                  <c:v>0.63085500000000005</c:v>
                </c:pt>
                <c:pt idx="172">
                  <c:v>0.62511499999999998</c:v>
                </c:pt>
                <c:pt idx="173">
                  <c:v>0.61945899999999998</c:v>
                </c:pt>
                <c:pt idx="174">
                  <c:v>0.61389899999999997</c:v>
                </c:pt>
                <c:pt idx="175">
                  <c:v>0.60844799999999999</c:v>
                </c:pt>
                <c:pt idx="176">
                  <c:v>0.60310799999999998</c:v>
                </c:pt>
                <c:pt idx="177">
                  <c:v>0.597881</c:v>
                </c:pt>
                <c:pt idx="178">
                  <c:v>0.59276099999999998</c:v>
                </c:pt>
                <c:pt idx="179">
                  <c:v>0.58773900000000001</c:v>
                </c:pt>
                <c:pt idx="180">
                  <c:v>0.58281099999999997</c:v>
                </c:pt>
                <c:pt idx="181">
                  <c:v>0.57797299999999996</c:v>
                </c:pt>
                <c:pt idx="182">
                  <c:v>0.57322499999999998</c:v>
                </c:pt>
                <c:pt idx="183">
                  <c:v>0.56856899999999999</c:v>
                </c:pt>
                <c:pt idx="184">
                  <c:v>0.56401000000000001</c:v>
                </c:pt>
                <c:pt idx="185">
                  <c:v>0.55954700000000002</c:v>
                </c:pt>
                <c:pt idx="186">
                  <c:v>0.55517700000000003</c:v>
                </c:pt>
                <c:pt idx="187">
                  <c:v>0.55089600000000005</c:v>
                </c:pt>
                <c:pt idx="188">
                  <c:v>0.54670600000000003</c:v>
                </c:pt>
                <c:pt idx="189">
                  <c:v>0.54261099999999995</c:v>
                </c:pt>
                <c:pt idx="190">
                  <c:v>0.53861999999999999</c:v>
                </c:pt>
                <c:pt idx="191">
                  <c:v>0.53473999999999999</c:v>
                </c:pt>
                <c:pt idx="192">
                  <c:v>0.53097799999999995</c:v>
                </c:pt>
                <c:pt idx="193">
                  <c:v>0.527335</c:v>
                </c:pt>
                <c:pt idx="194">
                  <c:v>0.52380400000000005</c:v>
                </c:pt>
                <c:pt idx="195">
                  <c:v>0.52037800000000001</c:v>
                </c:pt>
                <c:pt idx="196">
                  <c:v>0.51705599999999996</c:v>
                </c:pt>
                <c:pt idx="197">
                  <c:v>0.51383999999999996</c:v>
                </c:pt>
                <c:pt idx="198">
                  <c:v>0.51073500000000005</c:v>
                </c:pt>
                <c:pt idx="199">
                  <c:v>0.50774200000000003</c:v>
                </c:pt>
                <c:pt idx="200">
                  <c:v>0.50485999999999998</c:v>
                </c:pt>
                <c:pt idx="201">
                  <c:v>0.50208299999999995</c:v>
                </c:pt>
                <c:pt idx="202">
                  <c:v>0.49940499999999999</c:v>
                </c:pt>
                <c:pt idx="203">
                  <c:v>0.49682500000000002</c:v>
                </c:pt>
                <c:pt idx="204">
                  <c:v>0.494342</c:v>
                </c:pt>
                <c:pt idx="205">
                  <c:v>0.49196400000000001</c:v>
                </c:pt>
                <c:pt idx="206">
                  <c:v>0.48970000000000002</c:v>
                </c:pt>
                <c:pt idx="207">
                  <c:v>0.48755500000000002</c:v>
                </c:pt>
                <c:pt idx="208">
                  <c:v>0.48553299999999999</c:v>
                </c:pt>
                <c:pt idx="209">
                  <c:v>0.48363600000000001</c:v>
                </c:pt>
                <c:pt idx="210">
                  <c:v>0.48186499999999999</c:v>
                </c:pt>
                <c:pt idx="211">
                  <c:v>0.48021900000000001</c:v>
                </c:pt>
                <c:pt idx="212">
                  <c:v>0.47869699999999998</c:v>
                </c:pt>
                <c:pt idx="213">
                  <c:v>0.4773</c:v>
                </c:pt>
                <c:pt idx="214">
                  <c:v>0.47602800000000001</c:v>
                </c:pt>
                <c:pt idx="215">
                  <c:v>0.474885</c:v>
                </c:pt>
                <c:pt idx="216">
                  <c:v>0.47387299999999999</c:v>
                </c:pt>
                <c:pt idx="217">
                  <c:v>0.47299400000000003</c:v>
                </c:pt>
                <c:pt idx="218">
                  <c:v>0.47224500000000003</c:v>
                </c:pt>
                <c:pt idx="219">
                  <c:v>0.47162999999999999</c:v>
                </c:pt>
                <c:pt idx="220">
                  <c:v>0.47114600000000001</c:v>
                </c:pt>
                <c:pt idx="221">
                  <c:v>0.47079599999999999</c:v>
                </c:pt>
                <c:pt idx="222">
                  <c:v>0.470582</c:v>
                </c:pt>
                <c:pt idx="223">
                  <c:v>0.47050900000000001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1A-4F42-B13A-46E0A1B79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84992"/>
        <c:axId val="80086528"/>
      </c:scatterChart>
      <c:valAx>
        <c:axId val="80084992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80086528"/>
        <c:crosses val="autoZero"/>
        <c:crossBetween val="midCat"/>
      </c:valAx>
      <c:valAx>
        <c:axId val="80086528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800849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Rij!$D$1</c:f>
              <c:strCache>
                <c:ptCount val="1"/>
                <c:pt idx="0">
                  <c:v>Rzz</c:v>
                </c:pt>
              </c:strCache>
            </c:strRef>
          </c:tx>
          <c:xVal>
            <c:numRef>
              <c:f>Rij!$A$2:$A$87</c:f>
              <c:numCache>
                <c:formatCode>General</c:formatCode>
                <c:ptCount val="86"/>
                <c:pt idx="0">
                  <c:v>0.49999237060546797</c:v>
                </c:pt>
                <c:pt idx="1">
                  <c:v>1.54496669769287</c:v>
                </c:pt>
                <c:pt idx="2">
                  <c:v>2.6840543746948198</c:v>
                </c:pt>
                <c:pt idx="3">
                  <c:v>3.9255237579345699</c:v>
                </c:pt>
                <c:pt idx="4">
                  <c:v>5.2789807319641104</c:v>
                </c:pt>
                <c:pt idx="5">
                  <c:v>6.7539703845977703</c:v>
                </c:pt>
                <c:pt idx="6">
                  <c:v>8.3618009090423495</c:v>
                </c:pt>
                <c:pt idx="7">
                  <c:v>10.114449262619001</c:v>
                </c:pt>
                <c:pt idx="8">
                  <c:v>12.0248043537139</c:v>
                </c:pt>
                <c:pt idx="9">
                  <c:v>14.106971025466899</c:v>
                </c:pt>
                <c:pt idx="10">
                  <c:v>16.3765740394592</c:v>
                </c:pt>
                <c:pt idx="11">
                  <c:v>18.850514888763399</c:v>
                </c:pt>
                <c:pt idx="12">
                  <c:v>21.5470933914184</c:v>
                </c:pt>
                <c:pt idx="13">
                  <c:v>24.4862508773803</c:v>
                </c:pt>
                <c:pt idx="14">
                  <c:v>27.690056562423699</c:v>
                </c:pt>
                <c:pt idx="15">
                  <c:v>31.182160377502399</c:v>
                </c:pt>
                <c:pt idx="16">
                  <c:v>34.988522529602001</c:v>
                </c:pt>
                <c:pt idx="17">
                  <c:v>39.137535095214801</c:v>
                </c:pt>
                <c:pt idx="18">
                  <c:v>43.659839630126903</c:v>
                </c:pt>
                <c:pt idx="19">
                  <c:v>48.589299917220998</c:v>
                </c:pt>
                <c:pt idx="20">
                  <c:v>53.962393999099703</c:v>
                </c:pt>
                <c:pt idx="21">
                  <c:v>59.819004535674999</c:v>
                </c:pt>
                <c:pt idx="22">
                  <c:v>66.2026619911193</c:v>
                </c:pt>
                <c:pt idx="23">
                  <c:v>73.160848617553697</c:v>
                </c:pt>
                <c:pt idx="24">
                  <c:v>80.745424032211304</c:v>
                </c:pt>
                <c:pt idx="25">
                  <c:v>89.012442827224703</c:v>
                </c:pt>
                <c:pt idx="26">
                  <c:v>98.0235528945922</c:v>
                </c:pt>
                <c:pt idx="27">
                  <c:v>107.845630645751</c:v>
                </c:pt>
                <c:pt idx="28">
                  <c:v>118.551753759384</c:v>
                </c:pt>
                <c:pt idx="29">
                  <c:v>130.22150516510001</c:v>
                </c:pt>
                <c:pt idx="30">
                  <c:v>142.941337823867</c:v>
                </c:pt>
                <c:pt idx="31">
                  <c:v>156.806094646453</c:v>
                </c:pt>
                <c:pt idx="32">
                  <c:v>171.91864371299701</c:v>
                </c:pt>
                <c:pt idx="33">
                  <c:v>187.726768255233</c:v>
                </c:pt>
                <c:pt idx="34">
                  <c:v>203.579578399658</c:v>
                </c:pt>
                <c:pt idx="35">
                  <c:v>219.43238854408199</c:v>
                </c:pt>
                <c:pt idx="36">
                  <c:v>235.28525948524401</c:v>
                </c:pt>
                <c:pt idx="37">
                  <c:v>251.13806962966899</c:v>
                </c:pt>
                <c:pt idx="38">
                  <c:v>266.99081897735499</c:v>
                </c:pt>
                <c:pt idx="39">
                  <c:v>282.84362912178</c:v>
                </c:pt>
                <c:pt idx="40">
                  <c:v>298.69643926620398</c:v>
                </c:pt>
                <c:pt idx="41">
                  <c:v>314.54931020736598</c:v>
                </c:pt>
                <c:pt idx="42">
                  <c:v>330.40212035179098</c:v>
                </c:pt>
                <c:pt idx="43">
                  <c:v>346.25493049621502</c:v>
                </c:pt>
                <c:pt idx="44">
                  <c:v>362.10780143737702</c:v>
                </c:pt>
                <c:pt idx="45">
                  <c:v>377.96061158180203</c:v>
                </c:pt>
                <c:pt idx="46">
                  <c:v>393.81348252296402</c:v>
                </c:pt>
                <c:pt idx="47">
                  <c:v>409.66629266738801</c:v>
                </c:pt>
                <c:pt idx="48">
                  <c:v>425.519042015075</c:v>
                </c:pt>
                <c:pt idx="49">
                  <c:v>441.371912956237</c:v>
                </c:pt>
                <c:pt idx="50">
                  <c:v>457.22478389739899</c:v>
                </c:pt>
                <c:pt idx="51">
                  <c:v>473.07753324508599</c:v>
                </c:pt>
                <c:pt idx="52">
                  <c:v>488.93034338951099</c:v>
                </c:pt>
                <c:pt idx="53">
                  <c:v>504.78321433067299</c:v>
                </c:pt>
                <c:pt idx="54">
                  <c:v>520.63602447509697</c:v>
                </c:pt>
                <c:pt idx="55">
                  <c:v>536.48889541625897</c:v>
                </c:pt>
                <c:pt idx="56">
                  <c:v>552.34173595905304</c:v>
                </c:pt>
                <c:pt idx="57">
                  <c:v>568.19448530673901</c:v>
                </c:pt>
                <c:pt idx="58">
                  <c:v>584.04732584953297</c:v>
                </c:pt>
                <c:pt idx="59">
                  <c:v>599.90016639232601</c:v>
                </c:pt>
                <c:pt idx="60">
                  <c:v>615.75300693511895</c:v>
                </c:pt>
                <c:pt idx="61">
                  <c:v>631.60581707954395</c:v>
                </c:pt>
                <c:pt idx="62">
                  <c:v>647.45859682559899</c:v>
                </c:pt>
                <c:pt idx="63">
                  <c:v>663.31143736839203</c:v>
                </c:pt>
                <c:pt idx="64">
                  <c:v>679.16427791118599</c:v>
                </c:pt>
                <c:pt idx="65">
                  <c:v>695.01711845397904</c:v>
                </c:pt>
                <c:pt idx="66">
                  <c:v>710.86992859840302</c:v>
                </c:pt>
                <c:pt idx="67">
                  <c:v>726.72273874282803</c:v>
                </c:pt>
                <c:pt idx="68">
                  <c:v>742.57554888725201</c:v>
                </c:pt>
                <c:pt idx="69">
                  <c:v>758.42838943004597</c:v>
                </c:pt>
                <c:pt idx="70">
                  <c:v>774.28122997283901</c:v>
                </c:pt>
                <c:pt idx="71">
                  <c:v>790.13402491807904</c:v>
                </c:pt>
                <c:pt idx="72">
                  <c:v>805.98686546087197</c:v>
                </c:pt>
                <c:pt idx="73">
                  <c:v>821.83970600366501</c:v>
                </c:pt>
                <c:pt idx="74">
                  <c:v>837.69251614809002</c:v>
                </c:pt>
                <c:pt idx="75">
                  <c:v>853.54535669088295</c:v>
                </c:pt>
                <c:pt idx="76">
                  <c:v>869.39818203449204</c:v>
                </c:pt>
                <c:pt idx="77">
                  <c:v>885.25099217891602</c:v>
                </c:pt>
                <c:pt idx="78">
                  <c:v>901.10380992293301</c:v>
                </c:pt>
                <c:pt idx="79">
                  <c:v>916.95665046572606</c:v>
                </c:pt>
                <c:pt idx="80">
                  <c:v>932.80946820974305</c:v>
                </c:pt>
                <c:pt idx="81">
                  <c:v>948.66229355335201</c:v>
                </c:pt>
                <c:pt idx="82">
                  <c:v>964.51511889696098</c:v>
                </c:pt>
                <c:pt idx="83">
                  <c:v>980.36794044077305</c:v>
                </c:pt>
                <c:pt idx="84">
                  <c:v>996.22076388448397</c:v>
                </c:pt>
                <c:pt idx="85">
                  <c:v>1012.07358780317</c:v>
                </c:pt>
              </c:numCache>
            </c:numRef>
          </c:xVal>
          <c:yVal>
            <c:numRef>
              <c:f>Rij!$D$2:$D$87</c:f>
              <c:numCache>
                <c:formatCode>General</c:formatCode>
                <c:ptCount val="86"/>
                <c:pt idx="0">
                  <c:v>1.38138388298596E-2</c:v>
                </c:pt>
                <c:pt idx="1">
                  <c:v>0.102654134325512</c:v>
                </c:pt>
                <c:pt idx="2">
                  <c:v>0.24931727913222801</c:v>
                </c:pt>
                <c:pt idx="3">
                  <c:v>0.42639433326689402</c:v>
                </c:pt>
                <c:pt idx="4">
                  <c:v>0.61126280698013202</c:v>
                </c:pt>
                <c:pt idx="5">
                  <c:v>0.78928372974472005</c:v>
                </c:pt>
                <c:pt idx="6">
                  <c:v>0.953569327098443</c:v>
                </c:pt>
                <c:pt idx="7">
                  <c:v>1.1017358759482501</c:v>
                </c:pt>
                <c:pt idx="8">
                  <c:v>1.2330467636706</c:v>
                </c:pt>
                <c:pt idx="9">
                  <c:v>1.34739395374735</c:v>
                </c:pt>
                <c:pt idx="10">
                  <c:v>1.44521218155597</c:v>
                </c:pt>
                <c:pt idx="11">
                  <c:v>1.5274244003922099</c:v>
                </c:pt>
                <c:pt idx="12">
                  <c:v>1.5952409764045401</c:v>
                </c:pt>
                <c:pt idx="13">
                  <c:v>1.6499967409532399</c:v>
                </c:pt>
                <c:pt idx="14">
                  <c:v>1.6930840258264199</c:v>
                </c:pt>
                <c:pt idx="15">
                  <c:v>1.7259226630167901</c:v>
                </c:pt>
                <c:pt idx="16">
                  <c:v>1.7499844491894201</c:v>
                </c:pt>
                <c:pt idx="17">
                  <c:v>1.7667929671089899</c:v>
                </c:pt>
                <c:pt idx="18">
                  <c:v>1.77778697748046</c:v>
                </c:pt>
                <c:pt idx="19">
                  <c:v>1.78414345334673</c:v>
                </c:pt>
                <c:pt idx="20">
                  <c:v>1.7866507934309701</c:v>
                </c:pt>
                <c:pt idx="21">
                  <c:v>1.7857772155026099</c:v>
                </c:pt>
                <c:pt idx="22">
                  <c:v>1.7817157567122199</c:v>
                </c:pt>
                <c:pt idx="23">
                  <c:v>1.7743414161297499</c:v>
                </c:pt>
                <c:pt idx="24">
                  <c:v>1.7636045505286899</c:v>
                </c:pt>
                <c:pt idx="25">
                  <c:v>1.7495748032843399</c:v>
                </c:pt>
                <c:pt idx="26">
                  <c:v>1.7324802118077001</c:v>
                </c:pt>
                <c:pt idx="27">
                  <c:v>1.71270667182713</c:v>
                </c:pt>
                <c:pt idx="28">
                  <c:v>1.69066436496598</c:v>
                </c:pt>
                <c:pt idx="29">
                  <c:v>1.6666902580171501</c:v>
                </c:pt>
                <c:pt idx="30">
                  <c:v>1.64147935615175</c:v>
                </c:pt>
                <c:pt idx="31">
                  <c:v>1.61515094597163</c:v>
                </c:pt>
                <c:pt idx="32">
                  <c:v>1.58676216331861</c:v>
                </c:pt>
                <c:pt idx="33">
                  <c:v>1.55756248177502</c:v>
                </c:pt>
                <c:pt idx="34">
                  <c:v>1.52873851731264</c:v>
                </c:pt>
                <c:pt idx="35">
                  <c:v>1.5006972372451901</c:v>
                </c:pt>
                <c:pt idx="36">
                  <c:v>1.4733157835157</c:v>
                </c:pt>
                <c:pt idx="37">
                  <c:v>1.4458756686354499</c:v>
                </c:pt>
                <c:pt idx="38">
                  <c:v>1.4188719855738701</c:v>
                </c:pt>
                <c:pt idx="39">
                  <c:v>1.3923404488824001</c:v>
                </c:pt>
                <c:pt idx="40">
                  <c:v>1.36547748115351</c:v>
                </c:pt>
                <c:pt idx="41">
                  <c:v>1.33804040201014</c:v>
                </c:pt>
                <c:pt idx="42">
                  <c:v>1.3099583180676599</c:v>
                </c:pt>
                <c:pt idx="43">
                  <c:v>1.2812636402815201</c:v>
                </c:pt>
                <c:pt idx="44">
                  <c:v>1.2521628880454301</c:v>
                </c:pt>
                <c:pt idx="45">
                  <c:v>1.22275561567157</c:v>
                </c:pt>
                <c:pt idx="46">
                  <c:v>1.19334441469705</c:v>
                </c:pt>
                <c:pt idx="47">
                  <c:v>1.1637000869879599</c:v>
                </c:pt>
                <c:pt idx="48">
                  <c:v>1.13343977255282</c:v>
                </c:pt>
                <c:pt idx="49">
                  <c:v>1.10269704381403</c:v>
                </c:pt>
                <c:pt idx="50">
                  <c:v>1.07162181260128</c:v>
                </c:pt>
                <c:pt idx="51">
                  <c:v>1.04043086624185</c:v>
                </c:pt>
                <c:pt idx="52">
                  <c:v>1.0093670636855601</c:v>
                </c:pt>
                <c:pt idx="53">
                  <c:v>0.97838397601554905</c:v>
                </c:pt>
                <c:pt idx="54">
                  <c:v>0.94728624463538902</c:v>
                </c:pt>
                <c:pt idx="55">
                  <c:v>0.91604886935907803</c:v>
                </c:pt>
                <c:pt idx="56">
                  <c:v>0.88444791994905103</c:v>
                </c:pt>
                <c:pt idx="57">
                  <c:v>0.85272143389069299</c:v>
                </c:pt>
                <c:pt idx="58">
                  <c:v>0.82120762798619296</c:v>
                </c:pt>
                <c:pt idx="59">
                  <c:v>0.78992373450662401</c:v>
                </c:pt>
                <c:pt idx="60">
                  <c:v>0.75916993425688495</c:v>
                </c:pt>
                <c:pt idx="61">
                  <c:v>0.72897689710803004</c:v>
                </c:pt>
                <c:pt idx="62">
                  <c:v>0.69913140718792899</c:v>
                </c:pt>
                <c:pt idx="63">
                  <c:v>0.66956489255780705</c:v>
                </c:pt>
                <c:pt idx="64">
                  <c:v>0.64046757784730002</c:v>
                </c:pt>
                <c:pt idx="65">
                  <c:v>0.61195044602502602</c:v>
                </c:pt>
                <c:pt idx="66">
                  <c:v>0.584210596771775</c:v>
                </c:pt>
                <c:pt idx="67">
                  <c:v>0.55741495097236404</c:v>
                </c:pt>
                <c:pt idx="68">
                  <c:v>0.53156801758891503</c:v>
                </c:pt>
                <c:pt idx="69">
                  <c:v>0.50655082252192396</c:v>
                </c:pt>
                <c:pt idx="70">
                  <c:v>0.48230358854090799</c:v>
                </c:pt>
                <c:pt idx="71">
                  <c:v>0.45906395134255001</c:v>
                </c:pt>
                <c:pt idx="72">
                  <c:v>0.43711151122147701</c:v>
                </c:pt>
                <c:pt idx="73">
                  <c:v>0.41650466146930398</c:v>
                </c:pt>
                <c:pt idx="74">
                  <c:v>0.39726764333782399</c:v>
                </c:pt>
                <c:pt idx="75">
                  <c:v>0.37943965354724801</c:v>
                </c:pt>
                <c:pt idx="76">
                  <c:v>0.36301125006303803</c:v>
                </c:pt>
                <c:pt idx="77">
                  <c:v>0.34799959819148302</c:v>
                </c:pt>
                <c:pt idx="78">
                  <c:v>0.33447688596969199</c:v>
                </c:pt>
                <c:pt idx="79">
                  <c:v>0.32249768969659198</c:v>
                </c:pt>
                <c:pt idx="80">
                  <c:v>0.31205997810706998</c:v>
                </c:pt>
                <c:pt idx="81">
                  <c:v>0.30322562666150599</c:v>
                </c:pt>
                <c:pt idx="82">
                  <c:v>0.29608564050130098</c:v>
                </c:pt>
                <c:pt idx="83">
                  <c:v>0.29070173883567302</c:v>
                </c:pt>
                <c:pt idx="84">
                  <c:v>0.28713740427981499</c:v>
                </c:pt>
                <c:pt idx="85">
                  <c:v>0.285415471825059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BC-4D20-A196-AF34A23F27E0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DNS!$B$155:$B$378</c:f>
              <c:numCache>
                <c:formatCode>0.00E+00</c:formatCode>
                <c:ptCount val="224"/>
                <c:pt idx="0">
                  <c:v>0.153945</c:v>
                </c:pt>
                <c:pt idx="1">
                  <c:v>0.46582699999999999</c:v>
                </c:pt>
                <c:pt idx="2">
                  <c:v>0.78633399999999998</c:v>
                </c:pt>
                <c:pt idx="3">
                  <c:v>1.11676</c:v>
                </c:pt>
                <c:pt idx="4">
                  <c:v>1.45842</c:v>
                </c:pt>
                <c:pt idx="5">
                  <c:v>1.81264</c:v>
                </c:pt>
                <c:pt idx="6">
                  <c:v>2.1807599999999998</c:v>
                </c:pt>
                <c:pt idx="7">
                  <c:v>2.5641400000000001</c:v>
                </c:pt>
                <c:pt idx="8">
                  <c:v>2.9641299999999999</c:v>
                </c:pt>
                <c:pt idx="9">
                  <c:v>3.38212</c:v>
                </c:pt>
                <c:pt idx="10">
                  <c:v>3.8194699999999999</c:v>
                </c:pt>
                <c:pt idx="11">
                  <c:v>4.2775699999999999</c:v>
                </c:pt>
                <c:pt idx="12">
                  <c:v>4.7577800000000003</c:v>
                </c:pt>
                <c:pt idx="13">
                  <c:v>5.2614799999999997</c:v>
                </c:pt>
                <c:pt idx="14">
                  <c:v>5.7900499999999999</c:v>
                </c:pt>
                <c:pt idx="15">
                  <c:v>6.3448399999999996</c:v>
                </c:pt>
                <c:pt idx="16">
                  <c:v>6.9272099999999996</c:v>
                </c:pt>
                <c:pt idx="17">
                  <c:v>7.5385099999999996</c:v>
                </c:pt>
                <c:pt idx="18">
                  <c:v>8.1800700000000006</c:v>
                </c:pt>
                <c:pt idx="19">
                  <c:v>8.8532100000000007</c:v>
                </c:pt>
                <c:pt idx="20">
                  <c:v>9.5592299999999994</c:v>
                </c:pt>
                <c:pt idx="21">
                  <c:v>10.2994</c:v>
                </c:pt>
                <c:pt idx="22">
                  <c:v>11.074999999999999</c:v>
                </c:pt>
                <c:pt idx="23">
                  <c:v>11.8874</c:v>
                </c:pt>
                <c:pt idx="24">
                  <c:v>12.7376</c:v>
                </c:pt>
                <c:pt idx="25">
                  <c:v>13.626899999999999</c:v>
                </c:pt>
                <c:pt idx="26">
                  <c:v>14.5565</c:v>
                </c:pt>
                <c:pt idx="27">
                  <c:v>15.5276</c:v>
                </c:pt>
                <c:pt idx="28">
                  <c:v>16.5412</c:v>
                </c:pt>
                <c:pt idx="29">
                  <c:v>17.598500000000001</c:v>
                </c:pt>
                <c:pt idx="30">
                  <c:v>18.700500000000002</c:v>
                </c:pt>
                <c:pt idx="31">
                  <c:v>19.848400000000002</c:v>
                </c:pt>
                <c:pt idx="32">
                  <c:v>21.042999999999999</c:v>
                </c:pt>
                <c:pt idx="33">
                  <c:v>22.285499999999999</c:v>
                </c:pt>
                <c:pt idx="34">
                  <c:v>23.576599999999999</c:v>
                </c:pt>
                <c:pt idx="35">
                  <c:v>24.9175</c:v>
                </c:pt>
                <c:pt idx="36">
                  <c:v>26.308900000000001</c:v>
                </c:pt>
                <c:pt idx="37">
                  <c:v>27.7517</c:v>
                </c:pt>
                <c:pt idx="38">
                  <c:v>29.246700000000001</c:v>
                </c:pt>
                <c:pt idx="39">
                  <c:v>30.794799999999999</c:v>
                </c:pt>
                <c:pt idx="40">
                  <c:v>32.396700000000003</c:v>
                </c:pt>
                <c:pt idx="41">
                  <c:v>34.053100000000001</c:v>
                </c:pt>
                <c:pt idx="42">
                  <c:v>35.764699999999998</c:v>
                </c:pt>
                <c:pt idx="43">
                  <c:v>37.532200000000003</c:v>
                </c:pt>
                <c:pt idx="44">
                  <c:v>39.356200000000001</c:v>
                </c:pt>
                <c:pt idx="45">
                  <c:v>41.237200000000001</c:v>
                </c:pt>
                <c:pt idx="46">
                  <c:v>43.175800000000002</c:v>
                </c:pt>
                <c:pt idx="47">
                  <c:v>45.172600000000003</c:v>
                </c:pt>
                <c:pt idx="48">
                  <c:v>47.228000000000002</c:v>
                </c:pt>
                <c:pt idx="49">
                  <c:v>49.342500000000001</c:v>
                </c:pt>
                <c:pt idx="50">
                  <c:v>51.516399999999997</c:v>
                </c:pt>
                <c:pt idx="51">
                  <c:v>53.7502</c:v>
                </c:pt>
                <c:pt idx="52">
                  <c:v>56.044199999999996</c:v>
                </c:pt>
                <c:pt idx="53">
                  <c:v>58.398600000000002</c:v>
                </c:pt>
                <c:pt idx="54">
                  <c:v>60.813899999999997</c:v>
                </c:pt>
                <c:pt idx="55">
                  <c:v>63.290100000000002</c:v>
                </c:pt>
                <c:pt idx="56">
                  <c:v>65.827600000000004</c:v>
                </c:pt>
                <c:pt idx="57">
                  <c:v>68.426400000000001</c:v>
                </c:pt>
                <c:pt idx="58">
                  <c:v>71.086799999999997</c:v>
                </c:pt>
                <c:pt idx="59">
                  <c:v>73.808800000000005</c:v>
                </c:pt>
                <c:pt idx="60">
                  <c:v>76.592399999999998</c:v>
                </c:pt>
                <c:pt idx="61">
                  <c:v>79.437799999999996</c:v>
                </c:pt>
                <c:pt idx="62">
                  <c:v>82.344899999999996</c:v>
                </c:pt>
                <c:pt idx="63">
                  <c:v>85.313800000000001</c:v>
                </c:pt>
                <c:pt idx="64">
                  <c:v>88.344200000000001</c:v>
                </c:pt>
                <c:pt idx="65">
                  <c:v>91.436199999999999</c:v>
                </c:pt>
                <c:pt idx="66">
                  <c:v>94.589699999999993</c:v>
                </c:pt>
                <c:pt idx="67">
                  <c:v>97.804400000000001</c:v>
                </c:pt>
                <c:pt idx="68">
                  <c:v>101.08</c:v>
                </c:pt>
                <c:pt idx="69">
                  <c:v>104.417</c:v>
                </c:pt>
                <c:pt idx="70">
                  <c:v>107.81399999999999</c:v>
                </c:pt>
                <c:pt idx="71">
                  <c:v>111.27200000000001</c:v>
                </c:pt>
                <c:pt idx="72">
                  <c:v>114.79</c:v>
                </c:pt>
                <c:pt idx="73">
                  <c:v>118.36799999999999</c:v>
                </c:pt>
                <c:pt idx="74">
                  <c:v>122.005</c:v>
                </c:pt>
                <c:pt idx="75">
                  <c:v>125.702</c:v>
                </c:pt>
                <c:pt idx="76">
                  <c:v>129.45699999999999</c:v>
                </c:pt>
                <c:pt idx="77">
                  <c:v>133.27000000000001</c:v>
                </c:pt>
                <c:pt idx="78">
                  <c:v>137.14099999999999</c:v>
                </c:pt>
                <c:pt idx="79">
                  <c:v>141.07</c:v>
                </c:pt>
                <c:pt idx="80">
                  <c:v>145.05500000000001</c:v>
                </c:pt>
                <c:pt idx="81">
                  <c:v>149.09700000000001</c:v>
                </c:pt>
                <c:pt idx="82">
                  <c:v>153.19499999999999</c:v>
                </c:pt>
                <c:pt idx="83">
                  <c:v>157.34899999999999</c:v>
                </c:pt>
                <c:pt idx="84">
                  <c:v>161.55699999999999</c:v>
                </c:pt>
                <c:pt idx="85">
                  <c:v>165.81899999999999</c:v>
                </c:pt>
                <c:pt idx="86">
                  <c:v>170.136</c:v>
                </c:pt>
                <c:pt idx="87">
                  <c:v>174.505</c:v>
                </c:pt>
                <c:pt idx="88">
                  <c:v>178.92699999999999</c:v>
                </c:pt>
                <c:pt idx="89">
                  <c:v>183.4</c:v>
                </c:pt>
                <c:pt idx="90">
                  <c:v>187.92500000000001</c:v>
                </c:pt>
                <c:pt idx="91">
                  <c:v>192.5</c:v>
                </c:pt>
                <c:pt idx="92">
                  <c:v>197.125</c:v>
                </c:pt>
                <c:pt idx="93">
                  <c:v>201.8</c:v>
                </c:pt>
                <c:pt idx="94">
                  <c:v>206.523</c:v>
                </c:pt>
                <c:pt idx="95">
                  <c:v>211.29400000000001</c:v>
                </c:pt>
                <c:pt idx="96">
                  <c:v>216.11099999999999</c:v>
                </c:pt>
                <c:pt idx="97">
                  <c:v>220.976</c:v>
                </c:pt>
                <c:pt idx="98">
                  <c:v>225.886</c:v>
                </c:pt>
                <c:pt idx="99">
                  <c:v>230.84100000000001</c:v>
                </c:pt>
                <c:pt idx="100">
                  <c:v>235.84</c:v>
                </c:pt>
                <c:pt idx="101">
                  <c:v>240.88300000000001</c:v>
                </c:pt>
                <c:pt idx="102">
                  <c:v>245.96799999999999</c:v>
                </c:pt>
                <c:pt idx="103">
                  <c:v>251.095</c:v>
                </c:pt>
                <c:pt idx="104">
                  <c:v>256.26400000000001</c:v>
                </c:pt>
                <c:pt idx="105">
                  <c:v>261.47300000000001</c:v>
                </c:pt>
                <c:pt idx="106">
                  <c:v>266.72199999999998</c:v>
                </c:pt>
                <c:pt idx="107">
                  <c:v>272.01</c:v>
                </c:pt>
                <c:pt idx="108">
                  <c:v>277.33699999999999</c:v>
                </c:pt>
                <c:pt idx="109">
                  <c:v>282.7</c:v>
                </c:pt>
                <c:pt idx="110">
                  <c:v>288.101</c:v>
                </c:pt>
                <c:pt idx="111">
                  <c:v>293.53800000000001</c:v>
                </c:pt>
                <c:pt idx="112">
                  <c:v>299.01</c:v>
                </c:pt>
                <c:pt idx="113">
                  <c:v>304.51600000000002</c:v>
                </c:pt>
                <c:pt idx="114">
                  <c:v>310.05599999999998</c:v>
                </c:pt>
                <c:pt idx="115">
                  <c:v>315.63</c:v>
                </c:pt>
                <c:pt idx="116">
                  <c:v>321.23500000000001</c:v>
                </c:pt>
                <c:pt idx="117">
                  <c:v>326.87299999999999</c:v>
                </c:pt>
                <c:pt idx="118">
                  <c:v>332.541</c:v>
                </c:pt>
                <c:pt idx="119">
                  <c:v>338.23899999999998</c:v>
                </c:pt>
                <c:pt idx="120">
                  <c:v>343.96699999999998</c:v>
                </c:pt>
                <c:pt idx="121">
                  <c:v>349.72399999999999</c:v>
                </c:pt>
                <c:pt idx="122">
                  <c:v>355.50799999999998</c:v>
                </c:pt>
                <c:pt idx="123">
                  <c:v>361.32</c:v>
                </c:pt>
                <c:pt idx="124">
                  <c:v>367.15899999999999</c:v>
                </c:pt>
                <c:pt idx="125">
                  <c:v>373.024</c:v>
                </c:pt>
                <c:pt idx="126">
                  <c:v>378.91500000000002</c:v>
                </c:pt>
                <c:pt idx="127">
                  <c:v>384.83</c:v>
                </c:pt>
                <c:pt idx="128">
                  <c:v>390.76900000000001</c:v>
                </c:pt>
                <c:pt idx="129">
                  <c:v>396.73099999999999</c:v>
                </c:pt>
                <c:pt idx="130">
                  <c:v>402.71699999999998</c:v>
                </c:pt>
                <c:pt idx="131">
                  <c:v>408.72500000000002</c:v>
                </c:pt>
                <c:pt idx="132">
                  <c:v>414.75400000000002</c:v>
                </c:pt>
                <c:pt idx="133">
                  <c:v>420.80399999999997</c:v>
                </c:pt>
                <c:pt idx="134">
                  <c:v>426.875</c:v>
                </c:pt>
                <c:pt idx="135">
                  <c:v>432.96600000000001</c:v>
                </c:pt>
                <c:pt idx="136">
                  <c:v>439.07600000000002</c:v>
                </c:pt>
                <c:pt idx="137">
                  <c:v>445.20499999999998</c:v>
                </c:pt>
                <c:pt idx="138">
                  <c:v>451.35199999999998</c:v>
                </c:pt>
                <c:pt idx="139">
                  <c:v>457.517</c:v>
                </c:pt>
                <c:pt idx="140">
                  <c:v>463.69900000000001</c:v>
                </c:pt>
                <c:pt idx="141">
                  <c:v>469.89800000000002</c:v>
                </c:pt>
                <c:pt idx="142">
                  <c:v>476.113</c:v>
                </c:pt>
                <c:pt idx="143">
                  <c:v>482.34399999999999</c:v>
                </c:pt>
                <c:pt idx="144">
                  <c:v>488.59</c:v>
                </c:pt>
                <c:pt idx="145">
                  <c:v>494.85199999999998</c:v>
                </c:pt>
                <c:pt idx="146">
                  <c:v>501.12700000000001</c:v>
                </c:pt>
                <c:pt idx="147">
                  <c:v>507.41699999999997</c:v>
                </c:pt>
                <c:pt idx="148">
                  <c:v>513.72</c:v>
                </c:pt>
                <c:pt idx="149">
                  <c:v>520.03700000000003</c:v>
                </c:pt>
                <c:pt idx="150">
                  <c:v>526.36599999999999</c:v>
                </c:pt>
                <c:pt idx="151">
                  <c:v>532.70799999999997</c:v>
                </c:pt>
                <c:pt idx="152">
                  <c:v>539.06200000000001</c:v>
                </c:pt>
                <c:pt idx="153">
                  <c:v>545.42700000000002</c:v>
                </c:pt>
                <c:pt idx="154">
                  <c:v>551.80499999999995</c:v>
                </c:pt>
                <c:pt idx="155">
                  <c:v>558.19299999999998</c:v>
                </c:pt>
                <c:pt idx="156">
                  <c:v>564.59199999999998</c:v>
                </c:pt>
                <c:pt idx="157">
                  <c:v>571.00199999999995</c:v>
                </c:pt>
                <c:pt idx="158">
                  <c:v>577.42200000000003</c:v>
                </c:pt>
                <c:pt idx="159">
                  <c:v>583.85299999999995</c:v>
                </c:pt>
                <c:pt idx="160">
                  <c:v>590.29300000000001</c:v>
                </c:pt>
                <c:pt idx="161">
                  <c:v>596.74199999999996</c:v>
                </c:pt>
                <c:pt idx="162">
                  <c:v>603.20100000000002</c:v>
                </c:pt>
                <c:pt idx="163">
                  <c:v>609.66999999999996</c:v>
                </c:pt>
                <c:pt idx="164">
                  <c:v>616.14700000000005</c:v>
                </c:pt>
                <c:pt idx="165">
                  <c:v>622.63300000000004</c:v>
                </c:pt>
                <c:pt idx="166">
                  <c:v>629.12800000000004</c:v>
                </c:pt>
                <c:pt idx="167">
                  <c:v>635.63099999999997</c:v>
                </c:pt>
                <c:pt idx="168">
                  <c:v>642.14300000000003</c:v>
                </c:pt>
                <c:pt idx="169">
                  <c:v>648.66300000000001</c:v>
                </c:pt>
                <c:pt idx="170">
                  <c:v>655.19100000000003</c:v>
                </c:pt>
                <c:pt idx="171">
                  <c:v>661.72699999999998</c:v>
                </c:pt>
                <c:pt idx="172">
                  <c:v>668.27200000000005</c:v>
                </c:pt>
                <c:pt idx="173">
                  <c:v>674.82399999999996</c:v>
                </c:pt>
                <c:pt idx="174">
                  <c:v>681.38499999999999</c:v>
                </c:pt>
                <c:pt idx="175">
                  <c:v>687.95299999999997</c:v>
                </c:pt>
                <c:pt idx="176">
                  <c:v>694.529</c:v>
                </c:pt>
                <c:pt idx="177">
                  <c:v>701.11300000000006</c:v>
                </c:pt>
                <c:pt idx="178">
                  <c:v>707.70500000000004</c:v>
                </c:pt>
                <c:pt idx="179">
                  <c:v>714.30600000000004</c:v>
                </c:pt>
                <c:pt idx="180">
                  <c:v>720.91399999999999</c:v>
                </c:pt>
                <c:pt idx="181">
                  <c:v>727.53</c:v>
                </c:pt>
                <c:pt idx="182">
                  <c:v>734.15499999999997</c:v>
                </c:pt>
                <c:pt idx="183">
                  <c:v>740.78700000000003</c:v>
                </c:pt>
                <c:pt idx="184">
                  <c:v>747.42899999999997</c:v>
                </c:pt>
                <c:pt idx="185">
                  <c:v>754.07899999999995</c:v>
                </c:pt>
                <c:pt idx="186">
                  <c:v>760.73699999999997</c:v>
                </c:pt>
                <c:pt idx="187">
                  <c:v>767.404</c:v>
                </c:pt>
                <c:pt idx="188">
                  <c:v>774.08100000000002</c:v>
                </c:pt>
                <c:pt idx="189">
                  <c:v>780.76700000000005</c:v>
                </c:pt>
                <c:pt idx="190">
                  <c:v>787.46199999999999</c:v>
                </c:pt>
                <c:pt idx="191">
                  <c:v>794.16700000000003</c:v>
                </c:pt>
                <c:pt idx="192">
                  <c:v>800.88099999999997</c:v>
                </c:pt>
                <c:pt idx="193">
                  <c:v>807.60599999999999</c:v>
                </c:pt>
                <c:pt idx="194">
                  <c:v>814.34199999999998</c:v>
                </c:pt>
                <c:pt idx="195">
                  <c:v>821.08799999999997</c:v>
                </c:pt>
                <c:pt idx="196">
                  <c:v>827.846</c:v>
                </c:pt>
                <c:pt idx="197">
                  <c:v>834.61500000000001</c:v>
                </c:pt>
                <c:pt idx="198">
                  <c:v>841.39599999999996</c:v>
                </c:pt>
                <c:pt idx="199">
                  <c:v>848.18899999999996</c:v>
                </c:pt>
                <c:pt idx="200">
                  <c:v>854.995</c:v>
                </c:pt>
                <c:pt idx="201">
                  <c:v>861.81399999999996</c:v>
                </c:pt>
                <c:pt idx="202">
                  <c:v>868.64599999999996</c:v>
                </c:pt>
                <c:pt idx="203">
                  <c:v>875.49300000000005</c:v>
                </c:pt>
                <c:pt idx="204">
                  <c:v>882.35400000000004</c:v>
                </c:pt>
                <c:pt idx="205">
                  <c:v>889.23</c:v>
                </c:pt>
                <c:pt idx="206">
                  <c:v>896.12099999999998</c:v>
                </c:pt>
                <c:pt idx="207">
                  <c:v>903.029</c:v>
                </c:pt>
                <c:pt idx="208">
                  <c:v>909.95399999999995</c:v>
                </c:pt>
                <c:pt idx="209">
                  <c:v>916.89599999999996</c:v>
                </c:pt>
                <c:pt idx="210">
                  <c:v>923.85699999999997</c:v>
                </c:pt>
                <c:pt idx="211">
                  <c:v>930.83600000000001</c:v>
                </c:pt>
                <c:pt idx="212">
                  <c:v>937.83399999999995</c:v>
                </c:pt>
                <c:pt idx="213">
                  <c:v>944.85299999999995</c:v>
                </c:pt>
                <c:pt idx="214">
                  <c:v>951.89300000000003</c:v>
                </c:pt>
                <c:pt idx="215">
                  <c:v>958.95500000000004</c:v>
                </c:pt>
                <c:pt idx="216">
                  <c:v>966.04</c:v>
                </c:pt>
                <c:pt idx="217">
                  <c:v>973.149</c:v>
                </c:pt>
                <c:pt idx="218">
                  <c:v>980.28200000000004</c:v>
                </c:pt>
                <c:pt idx="219">
                  <c:v>987.44100000000003</c:v>
                </c:pt>
                <c:pt idx="220">
                  <c:v>994.62699999999995</c:v>
                </c:pt>
                <c:pt idx="221">
                  <c:v>1001.84</c:v>
                </c:pt>
                <c:pt idx="222">
                  <c:v>1009.08</c:v>
                </c:pt>
                <c:pt idx="223">
                  <c:v>1016.36</c:v>
                </c:pt>
              </c:numCache>
            </c:numRef>
          </c:xVal>
          <c:yVal>
            <c:numRef>
              <c:f>DNS!$E$155:$E$378</c:f>
              <c:numCache>
                <c:formatCode>0.00E+00</c:formatCode>
                <c:ptCount val="224"/>
                <c:pt idx="0">
                  <c:v>1.7276500000000001E-3</c:v>
                </c:pt>
                <c:pt idx="1">
                  <c:v>1.4319800000000001E-2</c:v>
                </c:pt>
                <c:pt idx="2">
                  <c:v>3.7686699999999997E-2</c:v>
                </c:pt>
                <c:pt idx="3">
                  <c:v>7.0357000000000003E-2</c:v>
                </c:pt>
                <c:pt idx="4">
                  <c:v>0.111056</c:v>
                </c:pt>
                <c:pt idx="5">
                  <c:v>0.15865299999999999</c:v>
                </c:pt>
                <c:pt idx="6">
                  <c:v>0.212121</c:v>
                </c:pt>
                <c:pt idx="7">
                  <c:v>0.27052500000000002</c:v>
                </c:pt>
                <c:pt idx="8">
                  <c:v>0.333007</c:v>
                </c:pt>
                <c:pt idx="9">
                  <c:v>0.39878599999999997</c:v>
                </c:pt>
                <c:pt idx="10">
                  <c:v>0.46716200000000002</c:v>
                </c:pt>
                <c:pt idx="11">
                  <c:v>0.53752</c:v>
                </c:pt>
                <c:pt idx="12">
                  <c:v>0.60933400000000004</c:v>
                </c:pt>
                <c:pt idx="13">
                  <c:v>0.68216600000000005</c:v>
                </c:pt>
                <c:pt idx="14">
                  <c:v>0.75565800000000005</c:v>
                </c:pt>
                <c:pt idx="15">
                  <c:v>0.82952300000000001</c:v>
                </c:pt>
                <c:pt idx="16">
                  <c:v>0.90352699999999997</c:v>
                </c:pt>
                <c:pt idx="17">
                  <c:v>0.977464</c:v>
                </c:pt>
                <c:pt idx="18">
                  <c:v>1.05114</c:v>
                </c:pt>
                <c:pt idx="19">
                  <c:v>1.12435</c:v>
                </c:pt>
                <c:pt idx="20">
                  <c:v>1.19686</c:v>
                </c:pt>
                <c:pt idx="21">
                  <c:v>1.2683899999999999</c:v>
                </c:pt>
                <c:pt idx="22">
                  <c:v>1.3386499999999999</c:v>
                </c:pt>
                <c:pt idx="23">
                  <c:v>1.4072800000000001</c:v>
                </c:pt>
                <c:pt idx="24">
                  <c:v>1.47393</c:v>
                </c:pt>
                <c:pt idx="25">
                  <c:v>1.5382199999999999</c:v>
                </c:pt>
                <c:pt idx="26">
                  <c:v>1.59981</c:v>
                </c:pt>
                <c:pt idx="27">
                  <c:v>1.6583600000000001</c:v>
                </c:pt>
                <c:pt idx="28">
                  <c:v>1.7135800000000001</c:v>
                </c:pt>
                <c:pt idx="29">
                  <c:v>1.76525</c:v>
                </c:pt>
                <c:pt idx="30">
                  <c:v>1.8131999999999999</c:v>
                </c:pt>
                <c:pt idx="31">
                  <c:v>1.8573299999999999</c:v>
                </c:pt>
                <c:pt idx="32">
                  <c:v>1.8975900000000001</c:v>
                </c:pt>
                <c:pt idx="33">
                  <c:v>1.93401</c:v>
                </c:pt>
                <c:pt idx="34">
                  <c:v>1.9666600000000001</c:v>
                </c:pt>
                <c:pt idx="35">
                  <c:v>1.9956400000000001</c:v>
                </c:pt>
                <c:pt idx="36">
                  <c:v>2.0211000000000001</c:v>
                </c:pt>
                <c:pt idx="37">
                  <c:v>2.0431900000000001</c:v>
                </c:pt>
                <c:pt idx="38">
                  <c:v>2.0621</c:v>
                </c:pt>
                <c:pt idx="39">
                  <c:v>2.0779999999999998</c:v>
                </c:pt>
                <c:pt idx="40">
                  <c:v>2.0910799999999998</c:v>
                </c:pt>
                <c:pt idx="41">
                  <c:v>2.1014900000000001</c:v>
                </c:pt>
                <c:pt idx="42">
                  <c:v>2.10941</c:v>
                </c:pt>
                <c:pt idx="43">
                  <c:v>2.1150099999999998</c:v>
                </c:pt>
                <c:pt idx="44">
                  <c:v>2.11843</c:v>
                </c:pt>
                <c:pt idx="45">
                  <c:v>2.1198399999999999</c:v>
                </c:pt>
                <c:pt idx="46">
                  <c:v>2.1193499999999998</c:v>
                </c:pt>
                <c:pt idx="47">
                  <c:v>2.1171000000000002</c:v>
                </c:pt>
                <c:pt idx="48">
                  <c:v>2.1131899999999999</c:v>
                </c:pt>
                <c:pt idx="49">
                  <c:v>2.1077400000000002</c:v>
                </c:pt>
                <c:pt idx="50">
                  <c:v>2.1008599999999999</c:v>
                </c:pt>
                <c:pt idx="51">
                  <c:v>2.0926800000000001</c:v>
                </c:pt>
                <c:pt idx="52">
                  <c:v>2.0833200000000001</c:v>
                </c:pt>
                <c:pt idx="53">
                  <c:v>2.07294</c:v>
                </c:pt>
                <c:pt idx="54">
                  <c:v>2.0616300000000001</c:v>
                </c:pt>
                <c:pt idx="55">
                  <c:v>2.0495199999999998</c:v>
                </c:pt>
                <c:pt idx="56">
                  <c:v>2.0366900000000001</c:v>
                </c:pt>
                <c:pt idx="57">
                  <c:v>2.0232399999999999</c:v>
                </c:pt>
                <c:pt idx="58">
                  <c:v>2.0092599999999998</c:v>
                </c:pt>
                <c:pt idx="59">
                  <c:v>1.9948399999999999</c:v>
                </c:pt>
                <c:pt idx="60">
                  <c:v>1.98003</c:v>
                </c:pt>
                <c:pt idx="61">
                  <c:v>1.96489</c:v>
                </c:pt>
                <c:pt idx="62">
                  <c:v>1.9494899999999999</c:v>
                </c:pt>
                <c:pt idx="63">
                  <c:v>1.9339</c:v>
                </c:pt>
                <c:pt idx="64">
                  <c:v>1.91818</c:v>
                </c:pt>
                <c:pt idx="65">
                  <c:v>1.9024000000000001</c:v>
                </c:pt>
                <c:pt idx="66">
                  <c:v>1.8866400000000001</c:v>
                </c:pt>
                <c:pt idx="67">
                  <c:v>1.87093</c:v>
                </c:pt>
                <c:pt idx="68">
                  <c:v>1.8552999999999999</c:v>
                </c:pt>
                <c:pt idx="69">
                  <c:v>1.8397699999999999</c:v>
                </c:pt>
                <c:pt idx="70">
                  <c:v>1.8244</c:v>
                </c:pt>
                <c:pt idx="71">
                  <c:v>1.8092299999999999</c:v>
                </c:pt>
                <c:pt idx="72">
                  <c:v>1.79427</c:v>
                </c:pt>
                <c:pt idx="73">
                  <c:v>1.7795700000000001</c:v>
                </c:pt>
                <c:pt idx="74">
                  <c:v>1.7651399999999999</c:v>
                </c:pt>
                <c:pt idx="75">
                  <c:v>1.75101</c:v>
                </c:pt>
                <c:pt idx="76">
                  <c:v>1.73716</c:v>
                </c:pt>
                <c:pt idx="77">
                  <c:v>1.72357</c:v>
                </c:pt>
                <c:pt idx="78">
                  <c:v>1.7102299999999999</c:v>
                </c:pt>
                <c:pt idx="79">
                  <c:v>1.6970700000000001</c:v>
                </c:pt>
                <c:pt idx="80">
                  <c:v>1.68407</c:v>
                </c:pt>
                <c:pt idx="81">
                  <c:v>1.6711800000000001</c:v>
                </c:pt>
                <c:pt idx="82">
                  <c:v>1.6584099999999999</c:v>
                </c:pt>
                <c:pt idx="83">
                  <c:v>1.64578</c:v>
                </c:pt>
                <c:pt idx="84">
                  <c:v>1.63327</c:v>
                </c:pt>
                <c:pt idx="85">
                  <c:v>1.6208800000000001</c:v>
                </c:pt>
                <c:pt idx="86">
                  <c:v>1.6086100000000001</c:v>
                </c:pt>
                <c:pt idx="87">
                  <c:v>1.59646</c:v>
                </c:pt>
                <c:pt idx="88">
                  <c:v>1.58447</c:v>
                </c:pt>
                <c:pt idx="89">
                  <c:v>1.57264</c:v>
                </c:pt>
                <c:pt idx="90">
                  <c:v>1.5609599999999999</c:v>
                </c:pt>
                <c:pt idx="91">
                  <c:v>1.54942</c:v>
                </c:pt>
                <c:pt idx="92">
                  <c:v>1.5379799999999999</c:v>
                </c:pt>
                <c:pt idx="93">
                  <c:v>1.5266500000000001</c:v>
                </c:pt>
                <c:pt idx="94">
                  <c:v>1.51542</c:v>
                </c:pt>
                <c:pt idx="95">
                  <c:v>1.50431</c:v>
                </c:pt>
                <c:pt idx="96">
                  <c:v>1.49336</c:v>
                </c:pt>
                <c:pt idx="97">
                  <c:v>1.4825699999999999</c:v>
                </c:pt>
                <c:pt idx="98">
                  <c:v>1.4719</c:v>
                </c:pt>
                <c:pt idx="99">
                  <c:v>1.4613400000000001</c:v>
                </c:pt>
                <c:pt idx="100">
                  <c:v>1.45089</c:v>
                </c:pt>
                <c:pt idx="101">
                  <c:v>1.44052</c:v>
                </c:pt>
                <c:pt idx="102">
                  <c:v>1.4301600000000001</c:v>
                </c:pt>
                <c:pt idx="103">
                  <c:v>1.41978</c:v>
                </c:pt>
                <c:pt idx="104">
                  <c:v>1.4093800000000001</c:v>
                </c:pt>
                <c:pt idx="105">
                  <c:v>1.39896</c:v>
                </c:pt>
                <c:pt idx="106">
                  <c:v>1.38853</c:v>
                </c:pt>
                <c:pt idx="107">
                  <c:v>1.3780699999999999</c:v>
                </c:pt>
                <c:pt idx="108">
                  <c:v>1.3675600000000001</c:v>
                </c:pt>
                <c:pt idx="109">
                  <c:v>1.3569800000000001</c:v>
                </c:pt>
                <c:pt idx="110">
                  <c:v>1.34639</c:v>
                </c:pt>
                <c:pt idx="111">
                  <c:v>1.33582</c:v>
                </c:pt>
                <c:pt idx="112">
                  <c:v>1.32525</c:v>
                </c:pt>
                <c:pt idx="113">
                  <c:v>1.3146500000000001</c:v>
                </c:pt>
                <c:pt idx="114">
                  <c:v>1.304</c:v>
                </c:pt>
                <c:pt idx="115">
                  <c:v>1.2932699999999999</c:v>
                </c:pt>
                <c:pt idx="116">
                  <c:v>1.2824599999999999</c:v>
                </c:pt>
                <c:pt idx="117">
                  <c:v>1.2715700000000001</c:v>
                </c:pt>
                <c:pt idx="118">
                  <c:v>1.26064</c:v>
                </c:pt>
                <c:pt idx="119">
                  <c:v>1.2496799999999999</c:v>
                </c:pt>
                <c:pt idx="120">
                  <c:v>1.23874</c:v>
                </c:pt>
                <c:pt idx="121">
                  <c:v>1.22786</c:v>
                </c:pt>
                <c:pt idx="122">
                  <c:v>1.21705</c:v>
                </c:pt>
                <c:pt idx="123">
                  <c:v>1.20631</c:v>
                </c:pt>
                <c:pt idx="124">
                  <c:v>1.19563</c:v>
                </c:pt>
                <c:pt idx="125">
                  <c:v>1.1850000000000001</c:v>
                </c:pt>
                <c:pt idx="126">
                  <c:v>1.17442</c:v>
                </c:pt>
                <c:pt idx="127">
                  <c:v>1.16384</c:v>
                </c:pt>
                <c:pt idx="128">
                  <c:v>1.1531899999999999</c:v>
                </c:pt>
                <c:pt idx="129">
                  <c:v>1.14249</c:v>
                </c:pt>
                <c:pt idx="130">
                  <c:v>1.1317900000000001</c:v>
                </c:pt>
                <c:pt idx="131">
                  <c:v>1.12113</c:v>
                </c:pt>
                <c:pt idx="132">
                  <c:v>1.11052</c:v>
                </c:pt>
                <c:pt idx="133">
                  <c:v>1.0999000000000001</c:v>
                </c:pt>
                <c:pt idx="134">
                  <c:v>1.0892599999999999</c:v>
                </c:pt>
                <c:pt idx="135">
                  <c:v>1.0786</c:v>
                </c:pt>
                <c:pt idx="136">
                  <c:v>1.06795</c:v>
                </c:pt>
                <c:pt idx="137">
                  <c:v>1.05731</c:v>
                </c:pt>
                <c:pt idx="138">
                  <c:v>1.0466899999999999</c:v>
                </c:pt>
                <c:pt idx="139">
                  <c:v>1.03609</c:v>
                </c:pt>
                <c:pt idx="140">
                  <c:v>1.02556</c:v>
                </c:pt>
                <c:pt idx="141">
                  <c:v>1.01509</c:v>
                </c:pt>
                <c:pt idx="142">
                  <c:v>1.0046600000000001</c:v>
                </c:pt>
                <c:pt idx="143">
                  <c:v>0.99425399999999997</c:v>
                </c:pt>
                <c:pt idx="144">
                  <c:v>0.98384700000000003</c:v>
                </c:pt>
                <c:pt idx="145">
                  <c:v>0.97342200000000001</c:v>
                </c:pt>
                <c:pt idx="146">
                  <c:v>0.96294800000000003</c:v>
                </c:pt>
                <c:pt idx="147">
                  <c:v>0.95240800000000003</c:v>
                </c:pt>
                <c:pt idx="148">
                  <c:v>0.94181300000000001</c:v>
                </c:pt>
                <c:pt idx="149">
                  <c:v>0.93122700000000003</c:v>
                </c:pt>
                <c:pt idx="150">
                  <c:v>0.92070700000000005</c:v>
                </c:pt>
                <c:pt idx="151">
                  <c:v>0.91027800000000003</c:v>
                </c:pt>
                <c:pt idx="152">
                  <c:v>0.89990700000000001</c:v>
                </c:pt>
                <c:pt idx="153">
                  <c:v>0.88953800000000005</c:v>
                </c:pt>
                <c:pt idx="154">
                  <c:v>0.87914999999999999</c:v>
                </c:pt>
                <c:pt idx="155">
                  <c:v>0.86876799999999998</c:v>
                </c:pt>
                <c:pt idx="156">
                  <c:v>0.85841699999999999</c:v>
                </c:pt>
                <c:pt idx="157">
                  <c:v>0.84811000000000003</c:v>
                </c:pt>
                <c:pt idx="158">
                  <c:v>0.83785100000000001</c:v>
                </c:pt>
                <c:pt idx="159">
                  <c:v>0.82763299999999995</c:v>
                </c:pt>
                <c:pt idx="160">
                  <c:v>0.81743699999999997</c:v>
                </c:pt>
                <c:pt idx="161">
                  <c:v>0.80726399999999998</c:v>
                </c:pt>
                <c:pt idx="162">
                  <c:v>0.79715400000000003</c:v>
                </c:pt>
                <c:pt idx="163">
                  <c:v>0.78717099999999995</c:v>
                </c:pt>
                <c:pt idx="164">
                  <c:v>0.77734999999999999</c:v>
                </c:pt>
                <c:pt idx="165">
                  <c:v>0.76769100000000001</c:v>
                </c:pt>
                <c:pt idx="166">
                  <c:v>0.75817100000000004</c:v>
                </c:pt>
                <c:pt idx="167">
                  <c:v>0.74873900000000004</c:v>
                </c:pt>
                <c:pt idx="168">
                  <c:v>0.73933300000000002</c:v>
                </c:pt>
                <c:pt idx="169">
                  <c:v>0.72992100000000004</c:v>
                </c:pt>
                <c:pt idx="170">
                  <c:v>0.72050199999999998</c:v>
                </c:pt>
                <c:pt idx="171">
                  <c:v>0.71108300000000002</c:v>
                </c:pt>
                <c:pt idx="172">
                  <c:v>0.70168900000000001</c:v>
                </c:pt>
                <c:pt idx="173">
                  <c:v>0.69236200000000003</c:v>
                </c:pt>
                <c:pt idx="174">
                  <c:v>0.68314200000000003</c:v>
                </c:pt>
                <c:pt idx="175">
                  <c:v>0.67406100000000002</c:v>
                </c:pt>
                <c:pt idx="176">
                  <c:v>0.66513800000000001</c:v>
                </c:pt>
                <c:pt idx="177">
                  <c:v>0.65637999999999996</c:v>
                </c:pt>
                <c:pt idx="178">
                  <c:v>0.64777099999999999</c:v>
                </c:pt>
                <c:pt idx="179">
                  <c:v>0.63929100000000005</c:v>
                </c:pt>
                <c:pt idx="180">
                  <c:v>0.63092499999999996</c:v>
                </c:pt>
                <c:pt idx="181">
                  <c:v>0.622664</c:v>
                </c:pt>
                <c:pt idx="182">
                  <c:v>0.61449500000000001</c:v>
                </c:pt>
                <c:pt idx="183">
                  <c:v>0.606406</c:v>
                </c:pt>
                <c:pt idx="184">
                  <c:v>0.59840099999999996</c:v>
                </c:pt>
                <c:pt idx="185">
                  <c:v>0.59048699999999998</c:v>
                </c:pt>
                <c:pt idx="186">
                  <c:v>0.582673</c:v>
                </c:pt>
                <c:pt idx="187">
                  <c:v>0.57498899999999997</c:v>
                </c:pt>
                <c:pt idx="188">
                  <c:v>0.56746399999999997</c:v>
                </c:pt>
                <c:pt idx="189">
                  <c:v>0.56011900000000003</c:v>
                </c:pt>
                <c:pt idx="190">
                  <c:v>0.55295399999999995</c:v>
                </c:pt>
                <c:pt idx="191">
                  <c:v>0.54596</c:v>
                </c:pt>
                <c:pt idx="192">
                  <c:v>0.53912899999999997</c:v>
                </c:pt>
                <c:pt idx="193">
                  <c:v>0.532443</c:v>
                </c:pt>
                <c:pt idx="194">
                  <c:v>0.52589900000000001</c:v>
                </c:pt>
                <c:pt idx="195">
                  <c:v>0.51951000000000003</c:v>
                </c:pt>
                <c:pt idx="196">
                  <c:v>0.51328399999999996</c:v>
                </c:pt>
                <c:pt idx="197">
                  <c:v>0.50722999999999996</c:v>
                </c:pt>
                <c:pt idx="198">
                  <c:v>0.50134000000000001</c:v>
                </c:pt>
                <c:pt idx="199">
                  <c:v>0.49559900000000001</c:v>
                </c:pt>
                <c:pt idx="200">
                  <c:v>0.49000899999999997</c:v>
                </c:pt>
                <c:pt idx="201">
                  <c:v>0.48458200000000001</c:v>
                </c:pt>
                <c:pt idx="202">
                  <c:v>0.47933999999999999</c:v>
                </c:pt>
                <c:pt idx="203">
                  <c:v>0.47429900000000003</c:v>
                </c:pt>
                <c:pt idx="204">
                  <c:v>0.46946599999999999</c:v>
                </c:pt>
                <c:pt idx="205">
                  <c:v>0.46483400000000002</c:v>
                </c:pt>
                <c:pt idx="206">
                  <c:v>0.46038699999999999</c:v>
                </c:pt>
                <c:pt idx="207">
                  <c:v>0.45611200000000002</c:v>
                </c:pt>
                <c:pt idx="208">
                  <c:v>0.45200200000000001</c:v>
                </c:pt>
                <c:pt idx="209">
                  <c:v>0.448046</c:v>
                </c:pt>
                <c:pt idx="210">
                  <c:v>0.44424200000000003</c:v>
                </c:pt>
                <c:pt idx="211">
                  <c:v>0.44060199999999999</c:v>
                </c:pt>
                <c:pt idx="212">
                  <c:v>0.43713999999999997</c:v>
                </c:pt>
                <c:pt idx="213">
                  <c:v>0.43387900000000001</c:v>
                </c:pt>
                <c:pt idx="214">
                  <c:v>0.43083900000000003</c:v>
                </c:pt>
                <c:pt idx="215">
                  <c:v>0.42802400000000002</c:v>
                </c:pt>
                <c:pt idx="216">
                  <c:v>0.42542999999999997</c:v>
                </c:pt>
                <c:pt idx="217">
                  <c:v>0.42307400000000001</c:v>
                </c:pt>
                <c:pt idx="218">
                  <c:v>0.42097299999999999</c:v>
                </c:pt>
                <c:pt idx="219">
                  <c:v>0.419153</c:v>
                </c:pt>
                <c:pt idx="220">
                  <c:v>0.417657</c:v>
                </c:pt>
                <c:pt idx="221">
                  <c:v>0.416522</c:v>
                </c:pt>
                <c:pt idx="222">
                  <c:v>0.41576999999999997</c:v>
                </c:pt>
                <c:pt idx="223">
                  <c:v>0.41540300000000002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BC-4D20-A196-AF34A23F2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118144"/>
        <c:axId val="80119680"/>
      </c:scatterChart>
      <c:valAx>
        <c:axId val="80118144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80119680"/>
        <c:crosses val="autoZero"/>
        <c:crossBetween val="midCat"/>
      </c:valAx>
      <c:valAx>
        <c:axId val="80119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01181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Rij!$E$1</c:f>
              <c:strCache>
                <c:ptCount val="1"/>
                <c:pt idx="0">
                  <c:v>-Rxy</c:v>
                </c:pt>
              </c:strCache>
            </c:strRef>
          </c:tx>
          <c:xVal>
            <c:numRef>
              <c:f>Rij!$A$2:$A$87</c:f>
              <c:numCache>
                <c:formatCode>General</c:formatCode>
                <c:ptCount val="86"/>
                <c:pt idx="0">
                  <c:v>0.49999237060546797</c:v>
                </c:pt>
                <c:pt idx="1">
                  <c:v>1.54496669769287</c:v>
                </c:pt>
                <c:pt idx="2">
                  <c:v>2.6840543746948198</c:v>
                </c:pt>
                <c:pt idx="3">
                  <c:v>3.9255237579345699</c:v>
                </c:pt>
                <c:pt idx="4">
                  <c:v>5.2789807319641104</c:v>
                </c:pt>
                <c:pt idx="5">
                  <c:v>6.7539703845977703</c:v>
                </c:pt>
                <c:pt idx="6">
                  <c:v>8.3618009090423495</c:v>
                </c:pt>
                <c:pt idx="7">
                  <c:v>10.114449262619001</c:v>
                </c:pt>
                <c:pt idx="8">
                  <c:v>12.0248043537139</c:v>
                </c:pt>
                <c:pt idx="9">
                  <c:v>14.106971025466899</c:v>
                </c:pt>
                <c:pt idx="10">
                  <c:v>16.3765740394592</c:v>
                </c:pt>
                <c:pt idx="11">
                  <c:v>18.850514888763399</c:v>
                </c:pt>
                <c:pt idx="12">
                  <c:v>21.5470933914184</c:v>
                </c:pt>
                <c:pt idx="13">
                  <c:v>24.4862508773803</c:v>
                </c:pt>
                <c:pt idx="14">
                  <c:v>27.690056562423699</c:v>
                </c:pt>
                <c:pt idx="15">
                  <c:v>31.182160377502399</c:v>
                </c:pt>
                <c:pt idx="16">
                  <c:v>34.988522529602001</c:v>
                </c:pt>
                <c:pt idx="17">
                  <c:v>39.137535095214801</c:v>
                </c:pt>
                <c:pt idx="18">
                  <c:v>43.659839630126903</c:v>
                </c:pt>
                <c:pt idx="19">
                  <c:v>48.589299917220998</c:v>
                </c:pt>
                <c:pt idx="20">
                  <c:v>53.962393999099703</c:v>
                </c:pt>
                <c:pt idx="21">
                  <c:v>59.819004535674999</c:v>
                </c:pt>
                <c:pt idx="22">
                  <c:v>66.2026619911193</c:v>
                </c:pt>
                <c:pt idx="23">
                  <c:v>73.160848617553697</c:v>
                </c:pt>
                <c:pt idx="24">
                  <c:v>80.745424032211304</c:v>
                </c:pt>
                <c:pt idx="25">
                  <c:v>89.012442827224703</c:v>
                </c:pt>
                <c:pt idx="26">
                  <c:v>98.0235528945922</c:v>
                </c:pt>
                <c:pt idx="27">
                  <c:v>107.845630645751</c:v>
                </c:pt>
                <c:pt idx="28">
                  <c:v>118.551753759384</c:v>
                </c:pt>
                <c:pt idx="29">
                  <c:v>130.22150516510001</c:v>
                </c:pt>
                <c:pt idx="30">
                  <c:v>142.941337823867</c:v>
                </c:pt>
                <c:pt idx="31">
                  <c:v>156.806094646453</c:v>
                </c:pt>
                <c:pt idx="32">
                  <c:v>171.91864371299701</c:v>
                </c:pt>
                <c:pt idx="33">
                  <c:v>187.726768255233</c:v>
                </c:pt>
                <c:pt idx="34">
                  <c:v>203.579578399658</c:v>
                </c:pt>
                <c:pt idx="35">
                  <c:v>219.43238854408199</c:v>
                </c:pt>
                <c:pt idx="36">
                  <c:v>235.28525948524401</c:v>
                </c:pt>
                <c:pt idx="37">
                  <c:v>251.13806962966899</c:v>
                </c:pt>
                <c:pt idx="38">
                  <c:v>266.99081897735499</c:v>
                </c:pt>
                <c:pt idx="39">
                  <c:v>282.84362912178</c:v>
                </c:pt>
                <c:pt idx="40">
                  <c:v>298.69643926620398</c:v>
                </c:pt>
                <c:pt idx="41">
                  <c:v>314.54931020736598</c:v>
                </c:pt>
                <c:pt idx="42">
                  <c:v>330.40212035179098</c:v>
                </c:pt>
                <c:pt idx="43">
                  <c:v>346.25493049621502</c:v>
                </c:pt>
                <c:pt idx="44">
                  <c:v>362.10780143737702</c:v>
                </c:pt>
                <c:pt idx="45">
                  <c:v>377.96061158180203</c:v>
                </c:pt>
                <c:pt idx="46">
                  <c:v>393.81348252296402</c:v>
                </c:pt>
                <c:pt idx="47">
                  <c:v>409.66629266738801</c:v>
                </c:pt>
                <c:pt idx="48">
                  <c:v>425.519042015075</c:v>
                </c:pt>
                <c:pt idx="49">
                  <c:v>441.371912956237</c:v>
                </c:pt>
                <c:pt idx="50">
                  <c:v>457.22478389739899</c:v>
                </c:pt>
                <c:pt idx="51">
                  <c:v>473.07753324508599</c:v>
                </c:pt>
                <c:pt idx="52">
                  <c:v>488.93034338951099</c:v>
                </c:pt>
                <c:pt idx="53">
                  <c:v>504.78321433067299</c:v>
                </c:pt>
                <c:pt idx="54">
                  <c:v>520.63602447509697</c:v>
                </c:pt>
                <c:pt idx="55">
                  <c:v>536.48889541625897</c:v>
                </c:pt>
                <c:pt idx="56">
                  <c:v>552.34173595905304</c:v>
                </c:pt>
                <c:pt idx="57">
                  <c:v>568.19448530673901</c:v>
                </c:pt>
                <c:pt idx="58">
                  <c:v>584.04732584953297</c:v>
                </c:pt>
                <c:pt idx="59">
                  <c:v>599.90016639232601</c:v>
                </c:pt>
                <c:pt idx="60">
                  <c:v>615.75300693511895</c:v>
                </c:pt>
                <c:pt idx="61">
                  <c:v>631.60581707954395</c:v>
                </c:pt>
                <c:pt idx="62">
                  <c:v>647.45859682559899</c:v>
                </c:pt>
                <c:pt idx="63">
                  <c:v>663.31143736839203</c:v>
                </c:pt>
                <c:pt idx="64">
                  <c:v>679.16427791118599</c:v>
                </c:pt>
                <c:pt idx="65">
                  <c:v>695.01711845397904</c:v>
                </c:pt>
                <c:pt idx="66">
                  <c:v>710.86992859840302</c:v>
                </c:pt>
                <c:pt idx="67">
                  <c:v>726.72273874282803</c:v>
                </c:pt>
                <c:pt idx="68">
                  <c:v>742.57554888725201</c:v>
                </c:pt>
                <c:pt idx="69">
                  <c:v>758.42838943004597</c:v>
                </c:pt>
                <c:pt idx="70">
                  <c:v>774.28122997283901</c:v>
                </c:pt>
                <c:pt idx="71">
                  <c:v>790.13402491807904</c:v>
                </c:pt>
                <c:pt idx="72">
                  <c:v>805.98686546087197</c:v>
                </c:pt>
                <c:pt idx="73">
                  <c:v>821.83970600366501</c:v>
                </c:pt>
                <c:pt idx="74">
                  <c:v>837.69251614809002</c:v>
                </c:pt>
                <c:pt idx="75">
                  <c:v>853.54535669088295</c:v>
                </c:pt>
                <c:pt idx="76">
                  <c:v>869.39818203449204</c:v>
                </c:pt>
                <c:pt idx="77">
                  <c:v>885.25099217891602</c:v>
                </c:pt>
                <c:pt idx="78">
                  <c:v>901.10380992293301</c:v>
                </c:pt>
                <c:pt idx="79">
                  <c:v>916.95665046572606</c:v>
                </c:pt>
                <c:pt idx="80">
                  <c:v>932.80946820974305</c:v>
                </c:pt>
                <c:pt idx="81">
                  <c:v>948.66229355335201</c:v>
                </c:pt>
                <c:pt idx="82">
                  <c:v>964.51511889696098</c:v>
                </c:pt>
                <c:pt idx="83">
                  <c:v>980.36794044077305</c:v>
                </c:pt>
                <c:pt idx="84">
                  <c:v>996.22076388448397</c:v>
                </c:pt>
                <c:pt idx="85">
                  <c:v>1012.07358780317</c:v>
                </c:pt>
              </c:numCache>
            </c:numRef>
          </c:xVal>
          <c:yVal>
            <c:numRef>
              <c:f>Rij!$E$2:$E$87</c:f>
              <c:numCache>
                <c:formatCode>General</c:formatCode>
                <c:ptCount val="86"/>
                <c:pt idx="0">
                  <c:v>1.4734387627719501E-4</c:v>
                </c:pt>
                <c:pt idx="1">
                  <c:v>2.8014828977787299E-3</c:v>
                </c:pt>
                <c:pt idx="2">
                  <c:v>1.5220729878076E-2</c:v>
                </c:pt>
                <c:pt idx="3">
                  <c:v>4.6073518029505101E-2</c:v>
                </c:pt>
                <c:pt idx="4">
                  <c:v>0.102153818102949</c:v>
                </c:pt>
                <c:pt idx="5">
                  <c:v>0.18396853398159399</c:v>
                </c:pt>
                <c:pt idx="6">
                  <c:v>0.28402526058844701</c:v>
                </c:pt>
                <c:pt idx="7">
                  <c:v>0.389976205157895</c:v>
                </c:pt>
                <c:pt idx="8">
                  <c:v>0.49038797904930598</c:v>
                </c:pt>
                <c:pt idx="9">
                  <c:v>0.57836408005695406</c:v>
                </c:pt>
                <c:pt idx="10">
                  <c:v>0.65158011588638498</c:v>
                </c:pt>
                <c:pt idx="11">
                  <c:v>0.71062238554276802</c:v>
                </c:pt>
                <c:pt idx="12">
                  <c:v>0.75736465296769195</c:v>
                </c:pt>
                <c:pt idx="13">
                  <c:v>0.793960371683754</c:v>
                </c:pt>
                <c:pt idx="14">
                  <c:v>0.82237995813739195</c:v>
                </c:pt>
                <c:pt idx="15">
                  <c:v>0.84426556740407199</c:v>
                </c:pt>
                <c:pt idx="16">
                  <c:v>0.860916762724518</c:v>
                </c:pt>
                <c:pt idx="17">
                  <c:v>0.87332024786879103</c:v>
                </c:pt>
                <c:pt idx="18">
                  <c:v>0.88221584977008405</c:v>
                </c:pt>
                <c:pt idx="19">
                  <c:v>0.88816580475453</c:v>
                </c:pt>
                <c:pt idx="20">
                  <c:v>0.89161609828330302</c:v>
                </c:pt>
                <c:pt idx="21">
                  <c:v>0.89291423294196903</c:v>
                </c:pt>
                <c:pt idx="22">
                  <c:v>0.89234726443777102</c:v>
                </c:pt>
                <c:pt idx="23">
                  <c:v>0.89016421248066402</c:v>
                </c:pt>
                <c:pt idx="24">
                  <c:v>0.88658213225705695</c:v>
                </c:pt>
                <c:pt idx="25">
                  <c:v>0.88172495326046596</c:v>
                </c:pt>
                <c:pt idx="26">
                  <c:v>0.87570606919173</c:v>
                </c:pt>
                <c:pt idx="27">
                  <c:v>0.86854128373986605</c:v>
                </c:pt>
                <c:pt idx="28">
                  <c:v>0.86024729345767204</c:v>
                </c:pt>
                <c:pt idx="29">
                  <c:v>0.85081383041160896</c:v>
                </c:pt>
                <c:pt idx="30">
                  <c:v>0.84013982242108598</c:v>
                </c:pt>
                <c:pt idx="31">
                  <c:v>0.828434199612059</c:v>
                </c:pt>
                <c:pt idx="32">
                  <c:v>0.815215886976557</c:v>
                </c:pt>
                <c:pt idx="33">
                  <c:v>0.80038416947950297</c:v>
                </c:pt>
                <c:pt idx="34">
                  <c:v>0.78544245116399702</c:v>
                </c:pt>
                <c:pt idx="35">
                  <c:v>0.77063876958982802</c:v>
                </c:pt>
                <c:pt idx="36">
                  <c:v>0.75562919362657599</c:v>
                </c:pt>
                <c:pt idx="37">
                  <c:v>0.740630689174271</c:v>
                </c:pt>
                <c:pt idx="38">
                  <c:v>0.72557164855726697</c:v>
                </c:pt>
                <c:pt idx="39">
                  <c:v>0.71044385742872995</c:v>
                </c:pt>
                <c:pt idx="40">
                  <c:v>0.69530289655934696</c:v>
                </c:pt>
                <c:pt idx="41">
                  <c:v>0.68011631035049303</c:v>
                </c:pt>
                <c:pt idx="42">
                  <c:v>0.66491905441939503</c:v>
                </c:pt>
                <c:pt idx="43">
                  <c:v>0.64966751237009901</c:v>
                </c:pt>
                <c:pt idx="44">
                  <c:v>0.63442467574271799</c:v>
                </c:pt>
                <c:pt idx="45">
                  <c:v>0.619198267809002</c:v>
                </c:pt>
                <c:pt idx="46">
                  <c:v>0.60394498467532298</c:v>
                </c:pt>
                <c:pt idx="47">
                  <c:v>0.58867893358950296</c:v>
                </c:pt>
                <c:pt idx="48">
                  <c:v>0.57340431101133504</c:v>
                </c:pt>
                <c:pt idx="49">
                  <c:v>0.55813080451290098</c:v>
                </c:pt>
                <c:pt idx="50">
                  <c:v>0.54283060138726003</c:v>
                </c:pt>
                <c:pt idx="51">
                  <c:v>0.52752200534202998</c:v>
                </c:pt>
                <c:pt idx="52">
                  <c:v>0.51222166828682203</c:v>
                </c:pt>
                <c:pt idx="53">
                  <c:v>0.496910706152559</c:v>
                </c:pt>
                <c:pt idx="54">
                  <c:v>0.48159336004222503</c:v>
                </c:pt>
                <c:pt idx="55">
                  <c:v>0.46627766572989499</c:v>
                </c:pt>
                <c:pt idx="56">
                  <c:v>0.45095831067604197</c:v>
                </c:pt>
                <c:pt idx="57">
                  <c:v>0.43562833054313399</c:v>
                </c:pt>
                <c:pt idx="58">
                  <c:v>0.42029236822285898</c:v>
                </c:pt>
                <c:pt idx="59">
                  <c:v>0.404961450582976</c:v>
                </c:pt>
                <c:pt idx="60">
                  <c:v>0.38964008658560401</c:v>
                </c:pt>
                <c:pt idx="61">
                  <c:v>0.37431376719421899</c:v>
                </c:pt>
                <c:pt idx="62">
                  <c:v>0.35898418885001498</c:v>
                </c:pt>
                <c:pt idx="63">
                  <c:v>0.34366389628918598</c:v>
                </c:pt>
                <c:pt idx="64">
                  <c:v>0.32833476437687498</c:v>
                </c:pt>
                <c:pt idx="65">
                  <c:v>0.31300536460542799</c:v>
                </c:pt>
                <c:pt idx="66">
                  <c:v>0.297672973740298</c:v>
                </c:pt>
                <c:pt idx="67">
                  <c:v>0.28234511415888203</c:v>
                </c:pt>
                <c:pt idx="68">
                  <c:v>0.26704020117676902</c:v>
                </c:pt>
                <c:pt idx="69">
                  <c:v>0.25173562301857699</c:v>
                </c:pt>
                <c:pt idx="70">
                  <c:v>0.236429281454407</c:v>
                </c:pt>
                <c:pt idx="71">
                  <c:v>0.221127024742059</c:v>
                </c:pt>
                <c:pt idx="72">
                  <c:v>0.20582653143568799</c:v>
                </c:pt>
                <c:pt idx="73">
                  <c:v>0.190540926632951</c:v>
                </c:pt>
                <c:pt idx="74">
                  <c:v>0.175260578565755</c:v>
                </c:pt>
                <c:pt idx="75">
                  <c:v>0.15997546483809999</c:v>
                </c:pt>
                <c:pt idx="76">
                  <c:v>0.14469873286923801</c:v>
                </c:pt>
                <c:pt idx="77">
                  <c:v>0.12942502547645199</c:v>
                </c:pt>
                <c:pt idx="78">
                  <c:v>0.114157579290965</c:v>
                </c:pt>
                <c:pt idx="79">
                  <c:v>9.8898403256298506E-2</c:v>
                </c:pt>
                <c:pt idx="80">
                  <c:v>8.3647949384742099E-2</c:v>
                </c:pt>
                <c:pt idx="81">
                  <c:v>6.8412010130109099E-2</c:v>
                </c:pt>
                <c:pt idx="82">
                  <c:v>5.3176132259861397E-2</c:v>
                </c:pt>
                <c:pt idx="83">
                  <c:v>3.7938315201078203E-2</c:v>
                </c:pt>
                <c:pt idx="84">
                  <c:v>2.27016016661306E-2</c:v>
                </c:pt>
                <c:pt idx="85">
                  <c:v>7.4640740905281104E-3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E9-4F02-A897-5356D8EC9776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DNS!$B$381:$B$604</c:f>
              <c:numCache>
                <c:formatCode>0.00E+00</c:formatCode>
                <c:ptCount val="224"/>
                <c:pt idx="0">
                  <c:v>0.30789100000000003</c:v>
                </c:pt>
                <c:pt idx="1">
                  <c:v>0.62376399999999999</c:v>
                </c:pt>
                <c:pt idx="2">
                  <c:v>0.94890399999999997</c:v>
                </c:pt>
                <c:pt idx="3">
                  <c:v>1.2846200000000001</c:v>
                </c:pt>
                <c:pt idx="4">
                  <c:v>1.63222</c:v>
                </c:pt>
                <c:pt idx="5">
                  <c:v>1.99305</c:v>
                </c:pt>
                <c:pt idx="6">
                  <c:v>2.3684599999999998</c:v>
                </c:pt>
                <c:pt idx="7">
                  <c:v>2.7598099999999999</c:v>
                </c:pt>
                <c:pt idx="8">
                  <c:v>3.1684600000000001</c:v>
                </c:pt>
                <c:pt idx="9">
                  <c:v>3.59579</c:v>
                </c:pt>
                <c:pt idx="10">
                  <c:v>4.0431600000000003</c:v>
                </c:pt>
                <c:pt idx="11">
                  <c:v>4.5119699999999998</c:v>
                </c:pt>
                <c:pt idx="12">
                  <c:v>5.0035800000000004</c:v>
                </c:pt>
                <c:pt idx="13">
                  <c:v>5.51938</c:v>
                </c:pt>
                <c:pt idx="14">
                  <c:v>6.0607199999999999</c:v>
                </c:pt>
                <c:pt idx="15">
                  <c:v>6.6289600000000002</c:v>
                </c:pt>
                <c:pt idx="16">
                  <c:v>7.22546</c:v>
                </c:pt>
                <c:pt idx="17">
                  <c:v>7.8515600000000001</c:v>
                </c:pt>
                <c:pt idx="18">
                  <c:v>8.5085899999999999</c:v>
                </c:pt>
                <c:pt idx="19">
                  <c:v>9.1978399999999993</c:v>
                </c:pt>
                <c:pt idx="20">
                  <c:v>9.9206299999999992</c:v>
                </c:pt>
                <c:pt idx="21">
                  <c:v>10.6782</c:v>
                </c:pt>
                <c:pt idx="22">
                  <c:v>11.4719</c:v>
                </c:pt>
                <c:pt idx="23">
                  <c:v>12.3028</c:v>
                </c:pt>
                <c:pt idx="24">
                  <c:v>13.1723</c:v>
                </c:pt>
                <c:pt idx="25">
                  <c:v>14.0815</c:v>
                </c:pt>
                <c:pt idx="26">
                  <c:v>15.031499999999999</c:v>
                </c:pt>
                <c:pt idx="27">
                  <c:v>16.023599999999998</c:v>
                </c:pt>
                <c:pt idx="28">
                  <c:v>17.058800000000002</c:v>
                </c:pt>
                <c:pt idx="29">
                  <c:v>18.138200000000001</c:v>
                </c:pt>
                <c:pt idx="30">
                  <c:v>19.262899999999998</c:v>
                </c:pt>
                <c:pt idx="31">
                  <c:v>20.433900000000001</c:v>
                </c:pt>
                <c:pt idx="32">
                  <c:v>21.652200000000001</c:v>
                </c:pt>
                <c:pt idx="33">
                  <c:v>22.918700000000001</c:v>
                </c:pt>
                <c:pt idx="34">
                  <c:v>24.234500000000001</c:v>
                </c:pt>
                <c:pt idx="35">
                  <c:v>25.6004</c:v>
                </c:pt>
                <c:pt idx="36">
                  <c:v>27.017299999999999</c:v>
                </c:pt>
                <c:pt idx="37">
                  <c:v>28.4861</c:v>
                </c:pt>
                <c:pt idx="38">
                  <c:v>30.007400000000001</c:v>
                </c:pt>
                <c:pt idx="39">
                  <c:v>31.5822</c:v>
                </c:pt>
                <c:pt idx="40">
                  <c:v>33.211199999999998</c:v>
                </c:pt>
                <c:pt idx="41">
                  <c:v>34.895000000000003</c:v>
                </c:pt>
                <c:pt idx="42">
                  <c:v>36.634399999999999</c:v>
                </c:pt>
                <c:pt idx="43">
                  <c:v>38.43</c:v>
                </c:pt>
                <c:pt idx="44">
                  <c:v>40.282299999999999</c:v>
                </c:pt>
                <c:pt idx="45">
                  <c:v>42.192</c:v>
                </c:pt>
                <c:pt idx="46">
                  <c:v>44.159599999999998</c:v>
                </c:pt>
                <c:pt idx="47">
                  <c:v>46.185600000000001</c:v>
                </c:pt>
                <c:pt idx="48">
                  <c:v>48.270400000000002</c:v>
                </c:pt>
                <c:pt idx="49">
                  <c:v>50.414499999999997</c:v>
                </c:pt>
                <c:pt idx="50">
                  <c:v>52.618299999999998</c:v>
                </c:pt>
                <c:pt idx="51">
                  <c:v>54.882100000000001</c:v>
                </c:pt>
                <c:pt idx="52">
                  <c:v>57.206200000000003</c:v>
                </c:pt>
                <c:pt idx="53">
                  <c:v>59.591000000000001</c:v>
                </c:pt>
                <c:pt idx="54">
                  <c:v>62.036700000000003</c:v>
                </c:pt>
                <c:pt idx="55">
                  <c:v>64.543499999999995</c:v>
                </c:pt>
                <c:pt idx="56">
                  <c:v>67.111699999999999</c:v>
                </c:pt>
                <c:pt idx="57">
                  <c:v>69.741200000000006</c:v>
                </c:pt>
                <c:pt idx="58">
                  <c:v>72.432400000000001</c:v>
                </c:pt>
                <c:pt idx="59">
                  <c:v>75.185199999999995</c:v>
                </c:pt>
                <c:pt idx="60">
                  <c:v>77.999700000000004</c:v>
                </c:pt>
                <c:pt idx="61">
                  <c:v>80.876000000000005</c:v>
                </c:pt>
                <c:pt idx="62">
                  <c:v>83.813900000000004</c:v>
                </c:pt>
                <c:pt idx="63">
                  <c:v>86.813599999999994</c:v>
                </c:pt>
                <c:pt idx="64">
                  <c:v>89.874899999999997</c:v>
                </c:pt>
                <c:pt idx="65">
                  <c:v>92.997600000000006</c:v>
                </c:pt>
                <c:pt idx="66">
                  <c:v>96.181799999999996</c:v>
                </c:pt>
                <c:pt idx="67">
                  <c:v>99.427099999999996</c:v>
                </c:pt>
                <c:pt idx="68">
                  <c:v>102.733</c:v>
                </c:pt>
                <c:pt idx="69">
                  <c:v>106.101</c:v>
                </c:pt>
                <c:pt idx="70">
                  <c:v>109.52800000000001</c:v>
                </c:pt>
                <c:pt idx="71">
                  <c:v>113.01600000000001</c:v>
                </c:pt>
                <c:pt idx="72">
                  <c:v>116.56399999999999</c:v>
                </c:pt>
                <c:pt idx="73">
                  <c:v>120.172</c:v>
                </c:pt>
                <c:pt idx="74">
                  <c:v>123.839</c:v>
                </c:pt>
                <c:pt idx="75">
                  <c:v>127.56399999999999</c:v>
                </c:pt>
                <c:pt idx="76">
                  <c:v>131.34899999999999</c:v>
                </c:pt>
                <c:pt idx="77">
                  <c:v>135.191</c:v>
                </c:pt>
                <c:pt idx="78">
                  <c:v>139.09100000000001</c:v>
                </c:pt>
                <c:pt idx="79">
                  <c:v>143.048</c:v>
                </c:pt>
                <c:pt idx="80">
                  <c:v>147.06200000000001</c:v>
                </c:pt>
                <c:pt idx="81">
                  <c:v>151.13200000000001</c:v>
                </c:pt>
                <c:pt idx="82">
                  <c:v>155.25800000000001</c:v>
                </c:pt>
                <c:pt idx="83">
                  <c:v>159.43899999999999</c:v>
                </c:pt>
                <c:pt idx="84">
                  <c:v>163.67500000000001</c:v>
                </c:pt>
                <c:pt idx="85">
                  <c:v>167.964</c:v>
                </c:pt>
                <c:pt idx="86">
                  <c:v>172.30699999999999</c:v>
                </c:pt>
                <c:pt idx="87">
                  <c:v>176.703</c:v>
                </c:pt>
                <c:pt idx="88">
                  <c:v>181.15</c:v>
                </c:pt>
                <c:pt idx="89">
                  <c:v>185.65</c:v>
                </c:pt>
                <c:pt idx="90">
                  <c:v>190.2</c:v>
                </c:pt>
                <c:pt idx="91">
                  <c:v>194.8</c:v>
                </c:pt>
                <c:pt idx="92">
                  <c:v>199.45</c:v>
                </c:pt>
                <c:pt idx="93">
                  <c:v>204.149</c:v>
                </c:pt>
                <c:pt idx="94">
                  <c:v>208.89599999999999</c:v>
                </c:pt>
                <c:pt idx="95">
                  <c:v>213.691</c:v>
                </c:pt>
                <c:pt idx="96">
                  <c:v>218.53200000000001</c:v>
                </c:pt>
                <c:pt idx="97">
                  <c:v>223.41900000000001</c:v>
                </c:pt>
                <c:pt idx="98">
                  <c:v>228.352</c:v>
                </c:pt>
                <c:pt idx="99">
                  <c:v>233.32900000000001</c:v>
                </c:pt>
                <c:pt idx="100">
                  <c:v>238.35</c:v>
                </c:pt>
                <c:pt idx="101">
                  <c:v>243.41499999999999</c:v>
                </c:pt>
                <c:pt idx="102">
                  <c:v>248.52099999999999</c:v>
                </c:pt>
                <c:pt idx="103">
                  <c:v>253.67</c:v>
                </c:pt>
                <c:pt idx="104">
                  <c:v>258.85899999999998</c:v>
                </c:pt>
                <c:pt idx="105">
                  <c:v>264.08800000000002</c:v>
                </c:pt>
                <c:pt idx="106">
                  <c:v>269.35700000000003</c:v>
                </c:pt>
                <c:pt idx="107">
                  <c:v>274.66399999999999</c:v>
                </c:pt>
                <c:pt idx="108">
                  <c:v>280.00900000000001</c:v>
                </c:pt>
                <c:pt idx="109">
                  <c:v>285.392</c:v>
                </c:pt>
                <c:pt idx="110">
                  <c:v>290.81</c:v>
                </c:pt>
                <c:pt idx="111">
                  <c:v>296.26499999999999</c:v>
                </c:pt>
                <c:pt idx="112">
                  <c:v>301.75400000000002</c:v>
                </c:pt>
                <c:pt idx="113">
                  <c:v>307.27800000000002</c:v>
                </c:pt>
                <c:pt idx="114">
                  <c:v>312.83499999999998</c:v>
                </c:pt>
                <c:pt idx="115">
                  <c:v>318.42399999999998</c:v>
                </c:pt>
                <c:pt idx="116">
                  <c:v>324.04599999999999</c:v>
                </c:pt>
                <c:pt idx="117">
                  <c:v>329.69900000000001</c:v>
                </c:pt>
                <c:pt idx="118">
                  <c:v>335.38200000000001</c:v>
                </c:pt>
                <c:pt idx="119">
                  <c:v>341.096</c:v>
                </c:pt>
                <c:pt idx="120">
                  <c:v>346.83800000000002</c:v>
                </c:pt>
                <c:pt idx="121">
                  <c:v>352.60899999999998</c:v>
                </c:pt>
                <c:pt idx="122">
                  <c:v>358.40800000000002</c:v>
                </c:pt>
                <c:pt idx="123">
                  <c:v>364.233</c:v>
                </c:pt>
                <c:pt idx="124">
                  <c:v>370.08499999999998</c:v>
                </c:pt>
                <c:pt idx="125">
                  <c:v>375.96300000000002</c:v>
                </c:pt>
                <c:pt idx="126">
                  <c:v>381.86599999999999</c:v>
                </c:pt>
                <c:pt idx="127">
                  <c:v>387.79300000000001</c:v>
                </c:pt>
                <c:pt idx="128">
                  <c:v>393.74400000000003</c:v>
                </c:pt>
                <c:pt idx="129">
                  <c:v>399.71800000000002</c:v>
                </c:pt>
                <c:pt idx="130">
                  <c:v>405.71499999999997</c:v>
                </c:pt>
                <c:pt idx="131">
                  <c:v>411.73399999999998</c:v>
                </c:pt>
                <c:pt idx="132">
                  <c:v>417.774</c:v>
                </c:pt>
                <c:pt idx="133">
                  <c:v>423.83499999999998</c:v>
                </c:pt>
                <c:pt idx="134">
                  <c:v>429.916</c:v>
                </c:pt>
                <c:pt idx="135">
                  <c:v>436.01600000000002</c:v>
                </c:pt>
                <c:pt idx="136">
                  <c:v>442.13600000000002</c:v>
                </c:pt>
                <c:pt idx="137">
                  <c:v>448.274</c:v>
                </c:pt>
                <c:pt idx="138">
                  <c:v>454.43</c:v>
                </c:pt>
                <c:pt idx="139">
                  <c:v>460.60399999999998</c:v>
                </c:pt>
                <c:pt idx="140">
                  <c:v>466.79500000000002</c:v>
                </c:pt>
                <c:pt idx="141">
                  <c:v>473.00200000000001</c:v>
                </c:pt>
                <c:pt idx="142">
                  <c:v>479.22500000000002</c:v>
                </c:pt>
                <c:pt idx="143">
                  <c:v>485.464</c:v>
                </c:pt>
                <c:pt idx="144">
                  <c:v>491.71699999999998</c:v>
                </c:pt>
                <c:pt idx="145">
                  <c:v>497.98599999999999</c:v>
                </c:pt>
                <c:pt idx="146">
                  <c:v>504.26900000000001</c:v>
                </c:pt>
                <c:pt idx="147">
                  <c:v>510.565</c:v>
                </c:pt>
                <c:pt idx="148">
                  <c:v>516.875</c:v>
                </c:pt>
                <c:pt idx="149">
                  <c:v>523.19799999999998</c:v>
                </c:pt>
                <c:pt idx="150">
                  <c:v>529.53399999999999</c:v>
                </c:pt>
                <c:pt idx="151">
                  <c:v>535.88199999999995</c:v>
                </c:pt>
                <c:pt idx="152">
                  <c:v>542.24199999999996</c:v>
                </c:pt>
                <c:pt idx="153">
                  <c:v>548.61300000000006</c:v>
                </c:pt>
                <c:pt idx="154">
                  <c:v>554.99599999999998</c:v>
                </c:pt>
                <c:pt idx="155">
                  <c:v>561.39</c:v>
                </c:pt>
                <c:pt idx="156">
                  <c:v>567.79499999999996</c:v>
                </c:pt>
                <c:pt idx="157">
                  <c:v>574.21</c:v>
                </c:pt>
                <c:pt idx="158">
                  <c:v>580.63499999999999</c:v>
                </c:pt>
                <c:pt idx="159">
                  <c:v>587.07000000000005</c:v>
                </c:pt>
                <c:pt idx="160">
                  <c:v>593.51499999999999</c:v>
                </c:pt>
                <c:pt idx="161">
                  <c:v>599.97</c:v>
                </c:pt>
                <c:pt idx="162">
                  <c:v>606.43299999999999</c:v>
                </c:pt>
                <c:pt idx="163">
                  <c:v>612.90599999999995</c:v>
                </c:pt>
                <c:pt idx="164">
                  <c:v>619.38800000000003</c:v>
                </c:pt>
                <c:pt idx="165">
                  <c:v>625.87800000000004</c:v>
                </c:pt>
                <c:pt idx="166">
                  <c:v>632.37699999999995</c:v>
                </c:pt>
                <c:pt idx="167">
                  <c:v>638.88499999999999</c:v>
                </c:pt>
                <c:pt idx="168">
                  <c:v>645.40099999999995</c:v>
                </c:pt>
                <c:pt idx="169">
                  <c:v>651.92499999999995</c:v>
                </c:pt>
                <c:pt idx="170">
                  <c:v>658.45699999999999</c:v>
                </c:pt>
                <c:pt idx="171">
                  <c:v>664.99800000000005</c:v>
                </c:pt>
                <c:pt idx="172">
                  <c:v>671.54600000000005</c:v>
                </c:pt>
                <c:pt idx="173">
                  <c:v>678.10199999999998</c:v>
                </c:pt>
                <c:pt idx="174">
                  <c:v>684.66700000000003</c:v>
                </c:pt>
                <c:pt idx="175">
                  <c:v>691.23900000000003</c:v>
                </c:pt>
                <c:pt idx="176">
                  <c:v>697.81899999999996</c:v>
                </c:pt>
                <c:pt idx="177">
                  <c:v>704.40700000000004</c:v>
                </c:pt>
                <c:pt idx="178">
                  <c:v>711.00300000000004</c:v>
                </c:pt>
                <c:pt idx="179">
                  <c:v>717.60799999999995</c:v>
                </c:pt>
                <c:pt idx="180">
                  <c:v>724.22</c:v>
                </c:pt>
                <c:pt idx="181">
                  <c:v>730.84</c:v>
                </c:pt>
                <c:pt idx="182">
                  <c:v>737.46900000000005</c:v>
                </c:pt>
                <c:pt idx="183">
                  <c:v>744.10599999999999</c:v>
                </c:pt>
                <c:pt idx="184">
                  <c:v>750.75099999999998</c:v>
                </c:pt>
                <c:pt idx="185">
                  <c:v>757.40599999999995</c:v>
                </c:pt>
                <c:pt idx="186">
                  <c:v>764.06899999999996</c:v>
                </c:pt>
                <c:pt idx="187">
                  <c:v>770.74</c:v>
                </c:pt>
                <c:pt idx="188">
                  <c:v>777.42100000000005</c:v>
                </c:pt>
                <c:pt idx="189">
                  <c:v>784.11199999999997</c:v>
                </c:pt>
                <c:pt idx="190">
                  <c:v>790.81200000000001</c:v>
                </c:pt>
                <c:pt idx="191">
                  <c:v>797.52099999999996</c:v>
                </c:pt>
                <c:pt idx="192">
                  <c:v>804.24099999999999</c:v>
                </c:pt>
                <c:pt idx="193">
                  <c:v>810.97199999999998</c:v>
                </c:pt>
                <c:pt idx="194">
                  <c:v>817.71199999999999</c:v>
                </c:pt>
                <c:pt idx="195">
                  <c:v>824.46400000000006</c:v>
                </c:pt>
                <c:pt idx="196">
                  <c:v>831.22699999999998</c:v>
                </c:pt>
                <c:pt idx="197">
                  <c:v>838.00199999999995</c:v>
                </c:pt>
                <c:pt idx="198">
                  <c:v>844.78899999999999</c:v>
                </c:pt>
                <c:pt idx="199">
                  <c:v>851.58900000000006</c:v>
                </c:pt>
                <c:pt idx="200">
                  <c:v>858.40099999999995</c:v>
                </c:pt>
                <c:pt idx="201">
                  <c:v>865.226</c:v>
                </c:pt>
                <c:pt idx="202">
                  <c:v>872.06600000000003</c:v>
                </c:pt>
                <c:pt idx="203">
                  <c:v>878.91899999999998</c:v>
                </c:pt>
                <c:pt idx="204">
                  <c:v>885.78800000000001</c:v>
                </c:pt>
                <c:pt idx="205">
                  <c:v>892.67200000000003</c:v>
                </c:pt>
                <c:pt idx="206">
                  <c:v>899.57100000000003</c:v>
                </c:pt>
                <c:pt idx="207">
                  <c:v>906.48699999999997</c:v>
                </c:pt>
                <c:pt idx="208">
                  <c:v>913.42100000000005</c:v>
                </c:pt>
                <c:pt idx="209">
                  <c:v>920.37199999999996</c:v>
                </c:pt>
                <c:pt idx="210">
                  <c:v>927.34100000000001</c:v>
                </c:pt>
                <c:pt idx="211">
                  <c:v>934.33</c:v>
                </c:pt>
                <c:pt idx="212">
                  <c:v>941.33900000000006</c:v>
                </c:pt>
                <c:pt idx="213">
                  <c:v>948.36800000000005</c:v>
                </c:pt>
                <c:pt idx="214">
                  <c:v>955.41899999999998</c:v>
                </c:pt>
                <c:pt idx="215">
                  <c:v>962.49199999999996</c:v>
                </c:pt>
                <c:pt idx="216">
                  <c:v>969.58799999999997</c:v>
                </c:pt>
                <c:pt idx="217">
                  <c:v>976.70899999999995</c:v>
                </c:pt>
                <c:pt idx="218">
                  <c:v>983.85500000000002</c:v>
                </c:pt>
                <c:pt idx="219">
                  <c:v>991.02700000000004</c:v>
                </c:pt>
                <c:pt idx="220">
                  <c:v>998.226</c:v>
                </c:pt>
                <c:pt idx="221">
                  <c:v>1005.45</c:v>
                </c:pt>
                <c:pt idx="222">
                  <c:v>1012.71</c:v>
                </c:pt>
                <c:pt idx="223">
                  <c:v>1020</c:v>
                </c:pt>
              </c:numCache>
            </c:numRef>
          </c:xVal>
          <c:yVal>
            <c:numRef>
              <c:f>DNS!$D$381:$D$604</c:f>
              <c:numCache>
                <c:formatCode>0.00E+00</c:formatCode>
                <c:ptCount val="224"/>
                <c:pt idx="0">
                  <c:v>3.1108600000000002E-5</c:v>
                </c:pt>
                <c:pt idx="1">
                  <c:v>2.6180000000000002E-4</c:v>
                </c:pt>
                <c:pt idx="2">
                  <c:v>9.3496900000000001E-4</c:v>
                </c:pt>
                <c:pt idx="3">
                  <c:v>2.3458799999999998E-3</c:v>
                </c:pt>
                <c:pt idx="4">
                  <c:v>4.8421899999999997E-3</c:v>
                </c:pt>
                <c:pt idx="5">
                  <c:v>8.8182799999999995E-3</c:v>
                </c:pt>
                <c:pt idx="6">
                  <c:v>1.47029E-2</c:v>
                </c:pt>
                <c:pt idx="7">
                  <c:v>2.29404E-2</c:v>
                </c:pt>
                <c:pt idx="8">
                  <c:v>3.39654E-2</c:v>
                </c:pt>
                <c:pt idx="9">
                  <c:v>4.8173300000000002E-2</c:v>
                </c:pt>
                <c:pt idx="10">
                  <c:v>6.5888600000000005E-2</c:v>
                </c:pt>
                <c:pt idx="11">
                  <c:v>8.7334099999999998E-2</c:v>
                </c:pt>
                <c:pt idx="12">
                  <c:v>0.112605</c:v>
                </c:pt>
                <c:pt idx="13">
                  <c:v>0.14165</c:v>
                </c:pt>
                <c:pt idx="14">
                  <c:v>0.174266</c:v>
                </c:pt>
                <c:pt idx="15">
                  <c:v>0.21009800000000001</c:v>
                </c:pt>
                <c:pt idx="16">
                  <c:v>0.24865999999999999</c:v>
                </c:pt>
                <c:pt idx="17">
                  <c:v>0.28935699999999998</c:v>
                </c:pt>
                <c:pt idx="18">
                  <c:v>0.33152500000000001</c:v>
                </c:pt>
                <c:pt idx="19">
                  <c:v>0.37446299999999999</c:v>
                </c:pt>
                <c:pt idx="20">
                  <c:v>0.41747800000000002</c:v>
                </c:pt>
                <c:pt idx="21">
                  <c:v>0.45992</c:v>
                </c:pt>
                <c:pt idx="22">
                  <c:v>0.50120799999999999</c:v>
                </c:pt>
                <c:pt idx="23">
                  <c:v>0.54085300000000003</c:v>
                </c:pt>
                <c:pt idx="24">
                  <c:v>0.57846900000000001</c:v>
                </c:pt>
                <c:pt idx="25">
                  <c:v>0.61377599999999999</c:v>
                </c:pt>
                <c:pt idx="26">
                  <c:v>0.64659299999999997</c:v>
                </c:pt>
                <c:pt idx="27">
                  <c:v>0.67683000000000004</c:v>
                </c:pt>
                <c:pt idx="28">
                  <c:v>0.70447300000000002</c:v>
                </c:pt>
                <c:pt idx="29">
                  <c:v>0.72956799999999999</c:v>
                </c:pt>
                <c:pt idx="30">
                  <c:v>0.75220799999999999</c:v>
                </c:pt>
                <c:pt idx="31">
                  <c:v>0.77251999999999998</c:v>
                </c:pt>
                <c:pt idx="32">
                  <c:v>0.79064900000000005</c:v>
                </c:pt>
                <c:pt idx="33">
                  <c:v>0.80675200000000002</c:v>
                </c:pt>
                <c:pt idx="34">
                  <c:v>0.82099200000000006</c:v>
                </c:pt>
                <c:pt idx="35">
                  <c:v>0.83352800000000005</c:v>
                </c:pt>
                <c:pt idx="36">
                  <c:v>0.84451600000000004</c:v>
                </c:pt>
                <c:pt idx="37">
                  <c:v>0.85409900000000005</c:v>
                </c:pt>
                <c:pt idx="38">
                  <c:v>0.86241599999999996</c:v>
                </c:pt>
                <c:pt idx="39">
                  <c:v>0.869591</c:v>
                </c:pt>
                <c:pt idx="40">
                  <c:v>0.87573999999999996</c:v>
                </c:pt>
                <c:pt idx="41">
                  <c:v>0.88097000000000003</c:v>
                </c:pt>
                <c:pt idx="42">
                  <c:v>0.88537699999999997</c:v>
                </c:pt>
                <c:pt idx="43">
                  <c:v>0.88904499999999997</c:v>
                </c:pt>
                <c:pt idx="44">
                  <c:v>0.89205199999999996</c:v>
                </c:pt>
                <c:pt idx="45">
                  <c:v>0.89446899999999996</c:v>
                </c:pt>
                <c:pt idx="46">
                  <c:v>0.89635900000000002</c:v>
                </c:pt>
                <c:pt idx="47">
                  <c:v>0.89778199999999997</c:v>
                </c:pt>
                <c:pt idx="48">
                  <c:v>0.89878800000000003</c:v>
                </c:pt>
                <c:pt idx="49">
                  <c:v>0.89942299999999997</c:v>
                </c:pt>
                <c:pt idx="50">
                  <c:v>0.89972700000000005</c:v>
                </c:pt>
                <c:pt idx="51">
                  <c:v>0.899733</c:v>
                </c:pt>
                <c:pt idx="52">
                  <c:v>0.89947100000000002</c:v>
                </c:pt>
                <c:pt idx="53">
                  <c:v>0.89896500000000001</c:v>
                </c:pt>
                <c:pt idx="54">
                  <c:v>0.89823799999999998</c:v>
                </c:pt>
                <c:pt idx="55">
                  <c:v>0.89730900000000002</c:v>
                </c:pt>
                <c:pt idx="56">
                  <c:v>0.89619800000000005</c:v>
                </c:pt>
                <c:pt idx="57">
                  <c:v>0.89491900000000002</c:v>
                </c:pt>
                <c:pt idx="58">
                  <c:v>0.893486</c:v>
                </c:pt>
                <c:pt idx="59">
                  <c:v>0.89190800000000003</c:v>
                </c:pt>
                <c:pt idx="60">
                  <c:v>0.89019300000000001</c:v>
                </c:pt>
                <c:pt idx="61">
                  <c:v>0.888347</c:v>
                </c:pt>
                <c:pt idx="62">
                  <c:v>0.886378</c:v>
                </c:pt>
                <c:pt idx="63">
                  <c:v>0.884293</c:v>
                </c:pt>
                <c:pt idx="64">
                  <c:v>0.88209800000000005</c:v>
                </c:pt>
                <c:pt idx="65">
                  <c:v>0.87980000000000003</c:v>
                </c:pt>
                <c:pt idx="66">
                  <c:v>0.87740399999999996</c:v>
                </c:pt>
                <c:pt idx="67">
                  <c:v>0.87491399999999997</c:v>
                </c:pt>
                <c:pt idx="68">
                  <c:v>0.872332</c:v>
                </c:pt>
                <c:pt idx="69">
                  <c:v>0.86965999999999999</c:v>
                </c:pt>
                <c:pt idx="70">
                  <c:v>0.86690100000000003</c:v>
                </c:pt>
                <c:pt idx="71">
                  <c:v>0.86405500000000002</c:v>
                </c:pt>
                <c:pt idx="72">
                  <c:v>0.86112500000000003</c:v>
                </c:pt>
                <c:pt idx="73">
                  <c:v>0.85811400000000004</c:v>
                </c:pt>
                <c:pt idx="74">
                  <c:v>0.85502299999999998</c:v>
                </c:pt>
                <c:pt idx="75">
                  <c:v>0.85185200000000005</c:v>
                </c:pt>
                <c:pt idx="76">
                  <c:v>0.848603</c:v>
                </c:pt>
                <c:pt idx="77">
                  <c:v>0.845279</c:v>
                </c:pt>
                <c:pt idx="78">
                  <c:v>0.84188099999999999</c:v>
                </c:pt>
                <c:pt idx="79">
                  <c:v>0.83841399999999999</c:v>
                </c:pt>
                <c:pt idx="80">
                  <c:v>0.83487900000000004</c:v>
                </c:pt>
                <c:pt idx="81">
                  <c:v>0.83127300000000004</c:v>
                </c:pt>
                <c:pt idx="82">
                  <c:v>0.82759899999999997</c:v>
                </c:pt>
                <c:pt idx="83">
                  <c:v>0.82386000000000004</c:v>
                </c:pt>
                <c:pt idx="84">
                  <c:v>0.82005600000000001</c:v>
                </c:pt>
                <c:pt idx="85">
                  <c:v>0.81618500000000005</c:v>
                </c:pt>
                <c:pt idx="86">
                  <c:v>0.81225099999999995</c:v>
                </c:pt>
                <c:pt idx="87">
                  <c:v>0.80825400000000003</c:v>
                </c:pt>
                <c:pt idx="88">
                  <c:v>0.80419499999999999</c:v>
                </c:pt>
                <c:pt idx="89">
                  <c:v>0.80007600000000001</c:v>
                </c:pt>
                <c:pt idx="90">
                  <c:v>0.79589900000000002</c:v>
                </c:pt>
                <c:pt idx="91">
                  <c:v>0.79166499999999995</c:v>
                </c:pt>
                <c:pt idx="92">
                  <c:v>0.78737199999999996</c:v>
                </c:pt>
                <c:pt idx="93">
                  <c:v>0.78302099999999997</c:v>
                </c:pt>
                <c:pt idx="94">
                  <c:v>0.778613</c:v>
                </c:pt>
                <c:pt idx="95">
                  <c:v>0.77415100000000003</c:v>
                </c:pt>
                <c:pt idx="96">
                  <c:v>0.76963599999999999</c:v>
                </c:pt>
                <c:pt idx="97">
                  <c:v>0.76506799999999997</c:v>
                </c:pt>
                <c:pt idx="98">
                  <c:v>0.76044599999999996</c:v>
                </c:pt>
                <c:pt idx="99">
                  <c:v>0.75577099999999997</c:v>
                </c:pt>
                <c:pt idx="100">
                  <c:v>0.75104599999999999</c:v>
                </c:pt>
                <c:pt idx="101">
                  <c:v>0.74627399999999999</c:v>
                </c:pt>
                <c:pt idx="102">
                  <c:v>0.74145700000000003</c:v>
                </c:pt>
                <c:pt idx="103">
                  <c:v>0.736595</c:v>
                </c:pt>
                <c:pt idx="104">
                  <c:v>0.73168599999999995</c:v>
                </c:pt>
                <c:pt idx="105">
                  <c:v>0.72673500000000002</c:v>
                </c:pt>
                <c:pt idx="106">
                  <c:v>0.72174199999999999</c:v>
                </c:pt>
                <c:pt idx="107">
                  <c:v>0.71670900000000004</c:v>
                </c:pt>
                <c:pt idx="108">
                  <c:v>0.71163500000000002</c:v>
                </c:pt>
                <c:pt idx="109">
                  <c:v>0.70651900000000001</c:v>
                </c:pt>
                <c:pt idx="110">
                  <c:v>0.70136299999999996</c:v>
                </c:pt>
                <c:pt idx="111">
                  <c:v>0.69616599999999995</c:v>
                </c:pt>
                <c:pt idx="112">
                  <c:v>0.69093099999999996</c:v>
                </c:pt>
                <c:pt idx="113">
                  <c:v>0.68566099999999996</c:v>
                </c:pt>
                <c:pt idx="114">
                  <c:v>0.68035599999999996</c:v>
                </c:pt>
                <c:pt idx="115">
                  <c:v>0.67502099999999998</c:v>
                </c:pt>
                <c:pt idx="116">
                  <c:v>0.66965600000000003</c:v>
                </c:pt>
                <c:pt idx="117">
                  <c:v>0.66425800000000002</c:v>
                </c:pt>
                <c:pt idx="118">
                  <c:v>0.65882600000000002</c:v>
                </c:pt>
                <c:pt idx="119">
                  <c:v>0.65335799999999999</c:v>
                </c:pt>
                <c:pt idx="120">
                  <c:v>0.64785599999999999</c:v>
                </c:pt>
                <c:pt idx="121">
                  <c:v>0.64232400000000001</c:v>
                </c:pt>
                <c:pt idx="122">
                  <c:v>0.63675999999999999</c:v>
                </c:pt>
                <c:pt idx="123">
                  <c:v>0.63116499999999998</c:v>
                </c:pt>
                <c:pt idx="124">
                  <c:v>0.62553499999999995</c:v>
                </c:pt>
                <c:pt idx="125">
                  <c:v>0.61987599999999998</c:v>
                </c:pt>
                <c:pt idx="126">
                  <c:v>0.61418799999999996</c:v>
                </c:pt>
                <c:pt idx="127">
                  <c:v>0.60847300000000004</c:v>
                </c:pt>
                <c:pt idx="128">
                  <c:v>0.60273299999999996</c:v>
                </c:pt>
                <c:pt idx="129">
                  <c:v>0.59697</c:v>
                </c:pt>
                <c:pt idx="130">
                  <c:v>0.59118499999999996</c:v>
                </c:pt>
                <c:pt idx="131">
                  <c:v>0.58537899999999998</c:v>
                </c:pt>
                <c:pt idx="132">
                  <c:v>0.57955199999999996</c:v>
                </c:pt>
                <c:pt idx="133">
                  <c:v>0.57370500000000002</c:v>
                </c:pt>
                <c:pt idx="134">
                  <c:v>0.56783799999999995</c:v>
                </c:pt>
                <c:pt idx="135">
                  <c:v>0.56194999999999995</c:v>
                </c:pt>
                <c:pt idx="136">
                  <c:v>0.55604100000000001</c:v>
                </c:pt>
                <c:pt idx="137">
                  <c:v>0.55011100000000002</c:v>
                </c:pt>
                <c:pt idx="138">
                  <c:v>0.54415999999999998</c:v>
                </c:pt>
                <c:pt idx="139">
                  <c:v>0.53819099999999997</c:v>
                </c:pt>
                <c:pt idx="140">
                  <c:v>0.53220400000000001</c:v>
                </c:pt>
                <c:pt idx="141">
                  <c:v>0.52620100000000003</c:v>
                </c:pt>
                <c:pt idx="142">
                  <c:v>0.52018399999999998</c:v>
                </c:pt>
                <c:pt idx="143">
                  <c:v>0.51415100000000002</c:v>
                </c:pt>
                <c:pt idx="144">
                  <c:v>0.50810200000000005</c:v>
                </c:pt>
                <c:pt idx="145">
                  <c:v>0.50203699999999996</c:v>
                </c:pt>
                <c:pt idx="146">
                  <c:v>0.49595400000000001</c:v>
                </c:pt>
                <c:pt idx="147">
                  <c:v>0.48985299999999998</c:v>
                </c:pt>
                <c:pt idx="148">
                  <c:v>0.483736</c:v>
                </c:pt>
                <c:pt idx="149">
                  <c:v>0.477607</c:v>
                </c:pt>
                <c:pt idx="150">
                  <c:v>0.471466</c:v>
                </c:pt>
                <c:pt idx="151">
                  <c:v>0.46531600000000001</c:v>
                </c:pt>
                <c:pt idx="152">
                  <c:v>0.45915600000000001</c:v>
                </c:pt>
                <c:pt idx="153">
                  <c:v>0.452986</c:v>
                </c:pt>
                <c:pt idx="154">
                  <c:v>0.44680500000000001</c:v>
                </c:pt>
                <c:pt idx="155">
                  <c:v>0.440612</c:v>
                </c:pt>
                <c:pt idx="156">
                  <c:v>0.43440800000000002</c:v>
                </c:pt>
                <c:pt idx="157">
                  <c:v>0.42819200000000002</c:v>
                </c:pt>
                <c:pt idx="158">
                  <c:v>0.42196499999999998</c:v>
                </c:pt>
                <c:pt idx="159">
                  <c:v>0.41572700000000001</c:v>
                </c:pt>
                <c:pt idx="160">
                  <c:v>0.40948000000000001</c:v>
                </c:pt>
                <c:pt idx="161">
                  <c:v>0.40322400000000003</c:v>
                </c:pt>
                <c:pt idx="162">
                  <c:v>0.39695900000000001</c:v>
                </c:pt>
                <c:pt idx="163">
                  <c:v>0.39068599999999998</c:v>
                </c:pt>
                <c:pt idx="164">
                  <c:v>0.384405</c:v>
                </c:pt>
                <c:pt idx="165">
                  <c:v>0.37811899999999998</c:v>
                </c:pt>
                <c:pt idx="166">
                  <c:v>0.37182700000000002</c:v>
                </c:pt>
                <c:pt idx="167">
                  <c:v>0.36552800000000002</c:v>
                </c:pt>
                <c:pt idx="168">
                  <c:v>0.35922100000000001</c:v>
                </c:pt>
                <c:pt idx="169">
                  <c:v>0.35290700000000003</c:v>
                </c:pt>
                <c:pt idx="170">
                  <c:v>0.34658800000000001</c:v>
                </c:pt>
                <c:pt idx="171">
                  <c:v>0.34026299999999998</c:v>
                </c:pt>
                <c:pt idx="172">
                  <c:v>0.33393400000000001</c:v>
                </c:pt>
                <c:pt idx="173">
                  <c:v>0.32760099999999998</c:v>
                </c:pt>
                <c:pt idx="174">
                  <c:v>0.32126199999999999</c:v>
                </c:pt>
                <c:pt idx="175">
                  <c:v>0.314919</c:v>
                </c:pt>
                <c:pt idx="176">
                  <c:v>0.30857200000000001</c:v>
                </c:pt>
                <c:pt idx="177">
                  <c:v>0.30221900000000002</c:v>
                </c:pt>
                <c:pt idx="178">
                  <c:v>0.29586099999999999</c:v>
                </c:pt>
                <c:pt idx="179">
                  <c:v>0.28949799999999998</c:v>
                </c:pt>
                <c:pt idx="180">
                  <c:v>0.28312900000000002</c:v>
                </c:pt>
                <c:pt idx="181">
                  <c:v>0.27675499999999997</c:v>
                </c:pt>
                <c:pt idx="182">
                  <c:v>0.27037499999999998</c:v>
                </c:pt>
                <c:pt idx="183">
                  <c:v>0.263988</c:v>
                </c:pt>
                <c:pt idx="184">
                  <c:v>0.25759500000000002</c:v>
                </c:pt>
                <c:pt idx="185">
                  <c:v>0.251195</c:v>
                </c:pt>
                <c:pt idx="186">
                  <c:v>0.24478800000000001</c:v>
                </c:pt>
                <c:pt idx="187">
                  <c:v>0.238374</c:v>
                </c:pt>
                <c:pt idx="188">
                  <c:v>0.23195299999999999</c:v>
                </c:pt>
                <c:pt idx="189">
                  <c:v>0.225526</c:v>
                </c:pt>
                <c:pt idx="190">
                  <c:v>0.21909100000000001</c:v>
                </c:pt>
                <c:pt idx="191">
                  <c:v>0.212649</c:v>
                </c:pt>
                <c:pt idx="192">
                  <c:v>0.20619699999999999</c:v>
                </c:pt>
                <c:pt idx="193">
                  <c:v>0.199736</c:v>
                </c:pt>
                <c:pt idx="194">
                  <c:v>0.19326699999999999</c:v>
                </c:pt>
                <c:pt idx="195">
                  <c:v>0.18679000000000001</c:v>
                </c:pt>
                <c:pt idx="196">
                  <c:v>0.18030399999999999</c:v>
                </c:pt>
                <c:pt idx="197">
                  <c:v>0.17380899999999999</c:v>
                </c:pt>
                <c:pt idx="198">
                  <c:v>0.16730500000000001</c:v>
                </c:pt>
                <c:pt idx="199">
                  <c:v>0.16078999999999999</c:v>
                </c:pt>
                <c:pt idx="200">
                  <c:v>0.15426400000000001</c:v>
                </c:pt>
                <c:pt idx="201">
                  <c:v>0.147727</c:v>
                </c:pt>
                <c:pt idx="202">
                  <c:v>0.14118</c:v>
                </c:pt>
                <c:pt idx="203">
                  <c:v>0.13462199999999999</c:v>
                </c:pt>
                <c:pt idx="204">
                  <c:v>0.128052</c:v>
                </c:pt>
                <c:pt idx="205">
                  <c:v>0.12146800000000001</c:v>
                </c:pt>
                <c:pt idx="206">
                  <c:v>0.11487</c:v>
                </c:pt>
                <c:pt idx="207">
                  <c:v>0.10825600000000001</c:v>
                </c:pt>
                <c:pt idx="208">
                  <c:v>0.101628</c:v>
                </c:pt>
                <c:pt idx="209">
                  <c:v>9.4985399999999998E-2</c:v>
                </c:pt>
                <c:pt idx="210">
                  <c:v>8.8329299999999999E-2</c:v>
                </c:pt>
                <c:pt idx="211">
                  <c:v>8.1658900000000006E-2</c:v>
                </c:pt>
                <c:pt idx="212">
                  <c:v>7.4972200000000003E-2</c:v>
                </c:pt>
                <c:pt idx="213">
                  <c:v>6.8266900000000005E-2</c:v>
                </c:pt>
                <c:pt idx="214">
                  <c:v>6.1541999999999999E-2</c:v>
                </c:pt>
                <c:pt idx="215">
                  <c:v>5.4796900000000003E-2</c:v>
                </c:pt>
                <c:pt idx="216">
                  <c:v>4.80306E-2</c:v>
                </c:pt>
                <c:pt idx="217">
                  <c:v>4.1241800000000002E-2</c:v>
                </c:pt>
                <c:pt idx="218">
                  <c:v>3.4430299999999997E-2</c:v>
                </c:pt>
                <c:pt idx="219">
                  <c:v>2.75953E-2</c:v>
                </c:pt>
                <c:pt idx="220">
                  <c:v>2.0735300000000002E-2</c:v>
                </c:pt>
                <c:pt idx="221">
                  <c:v>1.38485E-2</c:v>
                </c:pt>
                <c:pt idx="222">
                  <c:v>6.9358199999999997E-3</c:v>
                </c:pt>
                <c:pt idx="22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E9-4F02-A897-5356D8EC9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137600"/>
        <c:axId val="80168064"/>
      </c:scatterChart>
      <c:valAx>
        <c:axId val="80137600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80168064"/>
        <c:crosses val="autoZero"/>
        <c:crossBetween val="midCat"/>
      </c:valAx>
      <c:valAx>
        <c:axId val="80168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01376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Diss.!$D$1</c:f>
              <c:strCache>
                <c:ptCount val="1"/>
                <c:pt idx="0">
                  <c:v>diss_tot_sat</c:v>
                </c:pt>
              </c:strCache>
            </c:strRef>
          </c:tx>
          <c:xVal>
            <c:numRef>
              <c:f>Diss.!$A$2:$A$87</c:f>
              <c:numCache>
                <c:formatCode>General</c:formatCode>
                <c:ptCount val="86"/>
                <c:pt idx="0">
                  <c:v>0.49999237060546797</c:v>
                </c:pt>
                <c:pt idx="1">
                  <c:v>1.54496669769287</c:v>
                </c:pt>
                <c:pt idx="2">
                  <c:v>2.6840543746948198</c:v>
                </c:pt>
                <c:pt idx="3">
                  <c:v>3.9255237579345699</c:v>
                </c:pt>
                <c:pt idx="4">
                  <c:v>5.2789807319641104</c:v>
                </c:pt>
                <c:pt idx="5">
                  <c:v>6.7539703845977703</c:v>
                </c:pt>
                <c:pt idx="6">
                  <c:v>8.3618009090423495</c:v>
                </c:pt>
                <c:pt idx="7">
                  <c:v>10.114449262619001</c:v>
                </c:pt>
                <c:pt idx="8">
                  <c:v>12.0248043537139</c:v>
                </c:pt>
                <c:pt idx="9">
                  <c:v>14.106971025466899</c:v>
                </c:pt>
                <c:pt idx="10">
                  <c:v>16.3765740394592</c:v>
                </c:pt>
                <c:pt idx="11">
                  <c:v>18.850514888763399</c:v>
                </c:pt>
                <c:pt idx="12">
                  <c:v>21.5470933914184</c:v>
                </c:pt>
                <c:pt idx="13">
                  <c:v>24.4862508773803</c:v>
                </c:pt>
                <c:pt idx="14">
                  <c:v>27.690056562423699</c:v>
                </c:pt>
                <c:pt idx="15">
                  <c:v>31.182160377502399</c:v>
                </c:pt>
                <c:pt idx="16">
                  <c:v>34.988522529602001</c:v>
                </c:pt>
                <c:pt idx="17">
                  <c:v>39.137535095214801</c:v>
                </c:pt>
                <c:pt idx="18">
                  <c:v>43.659839630126903</c:v>
                </c:pt>
                <c:pt idx="19">
                  <c:v>48.589299917220998</c:v>
                </c:pt>
                <c:pt idx="20">
                  <c:v>53.962393999099703</c:v>
                </c:pt>
                <c:pt idx="21">
                  <c:v>59.819004535674999</c:v>
                </c:pt>
                <c:pt idx="22">
                  <c:v>66.2026619911193</c:v>
                </c:pt>
                <c:pt idx="23">
                  <c:v>73.160848617553697</c:v>
                </c:pt>
                <c:pt idx="24">
                  <c:v>80.745424032211304</c:v>
                </c:pt>
                <c:pt idx="25">
                  <c:v>89.012442827224703</c:v>
                </c:pt>
                <c:pt idx="26">
                  <c:v>98.0235528945922</c:v>
                </c:pt>
                <c:pt idx="27">
                  <c:v>107.845630645751</c:v>
                </c:pt>
                <c:pt idx="28">
                  <c:v>118.551753759384</c:v>
                </c:pt>
                <c:pt idx="29">
                  <c:v>130.22150516510001</c:v>
                </c:pt>
                <c:pt idx="30">
                  <c:v>142.941337823867</c:v>
                </c:pt>
                <c:pt idx="31">
                  <c:v>156.806094646453</c:v>
                </c:pt>
                <c:pt idx="32">
                  <c:v>171.91864371299701</c:v>
                </c:pt>
                <c:pt idx="33">
                  <c:v>187.726768255233</c:v>
                </c:pt>
                <c:pt idx="34">
                  <c:v>203.579578399658</c:v>
                </c:pt>
                <c:pt idx="35">
                  <c:v>219.43238854408199</c:v>
                </c:pt>
                <c:pt idx="36">
                  <c:v>235.28525948524401</c:v>
                </c:pt>
                <c:pt idx="37">
                  <c:v>251.13806962966899</c:v>
                </c:pt>
                <c:pt idx="38">
                  <c:v>266.99081897735499</c:v>
                </c:pt>
                <c:pt idx="39">
                  <c:v>282.84362912178</c:v>
                </c:pt>
                <c:pt idx="40">
                  <c:v>298.69643926620398</c:v>
                </c:pt>
                <c:pt idx="41">
                  <c:v>314.54931020736598</c:v>
                </c:pt>
                <c:pt idx="42">
                  <c:v>330.40212035179098</c:v>
                </c:pt>
                <c:pt idx="43">
                  <c:v>346.25493049621502</c:v>
                </c:pt>
                <c:pt idx="44">
                  <c:v>362.10780143737702</c:v>
                </c:pt>
                <c:pt idx="45">
                  <c:v>377.96061158180203</c:v>
                </c:pt>
                <c:pt idx="46">
                  <c:v>393.81348252296402</c:v>
                </c:pt>
                <c:pt idx="47">
                  <c:v>409.66629266738801</c:v>
                </c:pt>
                <c:pt idx="48">
                  <c:v>425.519042015075</c:v>
                </c:pt>
                <c:pt idx="49">
                  <c:v>441.371912956237</c:v>
                </c:pt>
                <c:pt idx="50">
                  <c:v>457.22478389739899</c:v>
                </c:pt>
                <c:pt idx="51">
                  <c:v>473.07753324508599</c:v>
                </c:pt>
                <c:pt idx="52">
                  <c:v>488.93034338951099</c:v>
                </c:pt>
                <c:pt idx="53">
                  <c:v>504.78321433067299</c:v>
                </c:pt>
                <c:pt idx="54">
                  <c:v>520.63602447509697</c:v>
                </c:pt>
                <c:pt idx="55">
                  <c:v>536.48889541625897</c:v>
                </c:pt>
                <c:pt idx="56">
                  <c:v>552.34173595905304</c:v>
                </c:pt>
                <c:pt idx="57">
                  <c:v>568.19448530673901</c:v>
                </c:pt>
                <c:pt idx="58">
                  <c:v>584.04732584953297</c:v>
                </c:pt>
                <c:pt idx="59">
                  <c:v>599.90016639232601</c:v>
                </c:pt>
                <c:pt idx="60">
                  <c:v>615.75300693511895</c:v>
                </c:pt>
                <c:pt idx="61">
                  <c:v>631.60581707954395</c:v>
                </c:pt>
                <c:pt idx="62">
                  <c:v>647.45859682559899</c:v>
                </c:pt>
                <c:pt idx="63">
                  <c:v>663.31143736839203</c:v>
                </c:pt>
                <c:pt idx="64">
                  <c:v>679.16427791118599</c:v>
                </c:pt>
                <c:pt idx="65">
                  <c:v>695.01711845397904</c:v>
                </c:pt>
                <c:pt idx="66">
                  <c:v>710.86992859840302</c:v>
                </c:pt>
                <c:pt idx="67">
                  <c:v>726.72273874282803</c:v>
                </c:pt>
                <c:pt idx="68">
                  <c:v>742.57554888725201</c:v>
                </c:pt>
                <c:pt idx="69">
                  <c:v>758.42838943004597</c:v>
                </c:pt>
                <c:pt idx="70">
                  <c:v>774.28122997283901</c:v>
                </c:pt>
                <c:pt idx="71">
                  <c:v>790.13402491807904</c:v>
                </c:pt>
                <c:pt idx="72">
                  <c:v>805.98686546087197</c:v>
                </c:pt>
                <c:pt idx="73">
                  <c:v>821.83970600366501</c:v>
                </c:pt>
                <c:pt idx="74">
                  <c:v>837.69251614809002</c:v>
                </c:pt>
                <c:pt idx="75">
                  <c:v>853.54535669088295</c:v>
                </c:pt>
                <c:pt idx="76">
                  <c:v>869.39818203449204</c:v>
                </c:pt>
                <c:pt idx="77">
                  <c:v>885.25099217891602</c:v>
                </c:pt>
                <c:pt idx="78">
                  <c:v>901.10380992293301</c:v>
                </c:pt>
                <c:pt idx="79">
                  <c:v>916.95665046572606</c:v>
                </c:pt>
                <c:pt idx="80">
                  <c:v>932.80946820974305</c:v>
                </c:pt>
                <c:pt idx="81">
                  <c:v>948.66229355335201</c:v>
                </c:pt>
                <c:pt idx="82">
                  <c:v>964.51511889696098</c:v>
                </c:pt>
                <c:pt idx="83">
                  <c:v>980.36794044077305</c:v>
                </c:pt>
                <c:pt idx="84">
                  <c:v>996.22076388448397</c:v>
                </c:pt>
                <c:pt idx="85">
                  <c:v>1012.07358780317</c:v>
                </c:pt>
              </c:numCache>
            </c:numRef>
          </c:xVal>
          <c:yVal>
            <c:numRef>
              <c:f>Diss.!$D$2:$D$87</c:f>
              <c:numCache>
                <c:formatCode>0.00E+00</c:formatCode>
                <c:ptCount val="86"/>
                <c:pt idx="0">
                  <c:v>-0.22256501015474492</c:v>
                </c:pt>
                <c:pt idx="1">
                  <c:v>-0.20667782405874094</c:v>
                </c:pt>
                <c:pt idx="2">
                  <c:v>-0.19005573054866451</c:v>
                </c:pt>
                <c:pt idx="3">
                  <c:v>-0.16919151549986067</c:v>
                </c:pt>
                <c:pt idx="4">
                  <c:v>-0.14631237706739156</c:v>
                </c:pt>
                <c:pt idx="5">
                  <c:v>-0.12815065535964343</c:v>
                </c:pt>
                <c:pt idx="6">
                  <c:v>-0.11985138241016272</c:v>
                </c:pt>
                <c:pt idx="7">
                  <c:v>-0.119752417632615</c:v>
                </c:pt>
                <c:pt idx="8">
                  <c:v>-0.12123893993958244</c:v>
                </c:pt>
                <c:pt idx="9">
                  <c:v>-0.1193504009007436</c:v>
                </c:pt>
                <c:pt idx="10">
                  <c:v>-0.11339103026922714</c:v>
                </c:pt>
                <c:pt idx="11">
                  <c:v>-0.10495200612905616</c:v>
                </c:pt>
                <c:pt idx="12">
                  <c:v>-9.577641466172622E-2</c:v>
                </c:pt>
                <c:pt idx="13">
                  <c:v>-8.6990617727268335E-2</c:v>
                </c:pt>
                <c:pt idx="14">
                  <c:v>-7.9115000698102664E-2</c:v>
                </c:pt>
                <c:pt idx="15">
                  <c:v>-7.2271736638017614E-2</c:v>
                </c:pt>
                <c:pt idx="16">
                  <c:v>-6.6365535270517015E-2</c:v>
                </c:pt>
                <c:pt idx="17">
                  <c:v>-6.1201061718356708E-2</c:v>
                </c:pt>
                <c:pt idx="18">
                  <c:v>-5.656875026782885E-2</c:v>
                </c:pt>
                <c:pt idx="19">
                  <c:v>-5.2297079357409168E-2</c:v>
                </c:pt>
                <c:pt idx="20">
                  <c:v>-4.8279862549994321E-2</c:v>
                </c:pt>
                <c:pt idx="21">
                  <c:v>-4.4464455616036791E-2</c:v>
                </c:pt>
                <c:pt idx="22">
                  <c:v>-4.0838623462110098E-2</c:v>
                </c:pt>
                <c:pt idx="23">
                  <c:v>-3.7425317391452877E-2</c:v>
                </c:pt>
                <c:pt idx="24">
                  <c:v>-3.4243824777979881E-2</c:v>
                </c:pt>
                <c:pt idx="25">
                  <c:v>-3.1311379713652568E-2</c:v>
                </c:pt>
                <c:pt idx="26">
                  <c:v>-2.8636096863881671E-2</c:v>
                </c:pt>
                <c:pt idx="27">
                  <c:v>-2.621404544936428E-2</c:v>
                </c:pt>
                <c:pt idx="28">
                  <c:v>-2.4030682195443201E-2</c:v>
                </c:pt>
                <c:pt idx="29">
                  <c:v>-2.207318043483399E-2</c:v>
                </c:pt>
                <c:pt idx="30">
                  <c:v>-2.032815107955761E-2</c:v>
                </c:pt>
                <c:pt idx="31">
                  <c:v>-1.8766383453845278E-2</c:v>
                </c:pt>
                <c:pt idx="32">
                  <c:v>-1.7473665882134389E-2</c:v>
                </c:pt>
                <c:pt idx="33">
                  <c:v>-1.5919360760441321E-2</c:v>
                </c:pt>
                <c:pt idx="34">
                  <c:v>-1.469246617997285E-2</c:v>
                </c:pt>
                <c:pt idx="35">
                  <c:v>-1.368695458629462E-2</c:v>
                </c:pt>
                <c:pt idx="36">
                  <c:v>-1.282943215665178E-2</c:v>
                </c:pt>
                <c:pt idx="37">
                  <c:v>-1.207808563915656E-2</c:v>
                </c:pt>
                <c:pt idx="38">
                  <c:v>-1.140059812370187E-2</c:v>
                </c:pt>
                <c:pt idx="39">
                  <c:v>-1.0782726940487861E-2</c:v>
                </c:pt>
                <c:pt idx="40">
                  <c:v>-1.0219066338421181E-2</c:v>
                </c:pt>
                <c:pt idx="41">
                  <c:v>-9.6990478750961697E-3</c:v>
                </c:pt>
                <c:pt idx="42">
                  <c:v>-9.2121881242661907E-3</c:v>
                </c:pt>
                <c:pt idx="43">
                  <c:v>-8.74991185124987E-3</c:v>
                </c:pt>
                <c:pt idx="44">
                  <c:v>-8.3139892004058004E-3</c:v>
                </c:pt>
                <c:pt idx="45">
                  <c:v>-7.8999914810101799E-3</c:v>
                </c:pt>
                <c:pt idx="46">
                  <c:v>-7.5040096112980294E-3</c:v>
                </c:pt>
                <c:pt idx="47">
                  <c:v>-7.1263041922574903E-3</c:v>
                </c:pt>
                <c:pt idx="48">
                  <c:v>-6.7673126174287307E-3</c:v>
                </c:pt>
                <c:pt idx="49">
                  <c:v>-6.4248225076475995E-3</c:v>
                </c:pt>
                <c:pt idx="50">
                  <c:v>-6.0961717901094085E-3</c:v>
                </c:pt>
                <c:pt idx="51">
                  <c:v>-5.7798426286927761E-3</c:v>
                </c:pt>
                <c:pt idx="52">
                  <c:v>-5.4765984213418946E-3</c:v>
                </c:pt>
                <c:pt idx="53">
                  <c:v>-5.1848069317224077E-3</c:v>
                </c:pt>
                <c:pt idx="54">
                  <c:v>-4.9033563666950972E-3</c:v>
                </c:pt>
                <c:pt idx="55">
                  <c:v>-4.6326773917362467E-3</c:v>
                </c:pt>
                <c:pt idx="56">
                  <c:v>-4.3745686710575183E-3</c:v>
                </c:pt>
                <c:pt idx="57">
                  <c:v>-4.1276106599224061E-3</c:v>
                </c:pt>
                <c:pt idx="58">
                  <c:v>-3.8908254546714542E-3</c:v>
                </c:pt>
                <c:pt idx="59">
                  <c:v>-3.6641487897969552E-3</c:v>
                </c:pt>
                <c:pt idx="60">
                  <c:v>-3.4447246510999128E-3</c:v>
                </c:pt>
                <c:pt idx="61">
                  <c:v>-3.2334388837422291E-3</c:v>
                </c:pt>
                <c:pt idx="62">
                  <c:v>-3.0329231888280269E-3</c:v>
                </c:pt>
                <c:pt idx="63">
                  <c:v>-2.842348035906472E-3</c:v>
                </c:pt>
                <c:pt idx="64">
                  <c:v>-2.660878329888163E-3</c:v>
                </c:pt>
                <c:pt idx="65">
                  <c:v>-2.4895890878361532E-3</c:v>
                </c:pt>
                <c:pt idx="66">
                  <c:v>-2.3269296942222458E-3</c:v>
                </c:pt>
                <c:pt idx="67">
                  <c:v>-2.1727793017232702E-3</c:v>
                </c:pt>
                <c:pt idx="68">
                  <c:v>-2.0271041398519938E-3</c:v>
                </c:pt>
                <c:pt idx="69">
                  <c:v>-1.8901930495517731E-3</c:v>
                </c:pt>
                <c:pt idx="70">
                  <c:v>-1.7618057055720639E-3</c:v>
                </c:pt>
                <c:pt idx="71">
                  <c:v>-1.6418328386495881E-3</c:v>
                </c:pt>
                <c:pt idx="72">
                  <c:v>-1.5300660502596492E-3</c:v>
                </c:pt>
                <c:pt idx="73">
                  <c:v>-1.426712908386293E-3</c:v>
                </c:pt>
                <c:pt idx="74">
                  <c:v>-1.3311005963993969E-3</c:v>
                </c:pt>
                <c:pt idx="75">
                  <c:v>-1.242882879297203E-3</c:v>
                </c:pt>
                <c:pt idx="76">
                  <c:v>-1.162846922695507E-3</c:v>
                </c:pt>
                <c:pt idx="77">
                  <c:v>-1.091263103230717E-3</c:v>
                </c:pt>
                <c:pt idx="78">
                  <c:v>-1.028097129544321E-3</c:v>
                </c:pt>
                <c:pt idx="79">
                  <c:v>-9.7339099334070502E-4</c:v>
                </c:pt>
                <c:pt idx="80">
                  <c:v>-9.2680438400578999E-4</c:v>
                </c:pt>
                <c:pt idx="81">
                  <c:v>-8.8799196224139103E-4</c:v>
                </c:pt>
                <c:pt idx="82">
                  <c:v>-8.5678161682735572E-4</c:v>
                </c:pt>
                <c:pt idx="83">
                  <c:v>-8.3329143533348096E-4</c:v>
                </c:pt>
                <c:pt idx="84">
                  <c:v>-8.1760516277154429E-4</c:v>
                </c:pt>
                <c:pt idx="85">
                  <c:v>-8.0983142972480588E-4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7A-410B-AF7A-EEC3ECD2EFD0}"/>
            </c:ext>
          </c:extLst>
        </c:ser>
        <c:ser>
          <c:idx val="1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DNS!$B$612:$B$835</c:f>
              <c:numCache>
                <c:formatCode>0.00E+00</c:formatCode>
                <c:ptCount val="224"/>
                <c:pt idx="0">
                  <c:v>0.153945</c:v>
                </c:pt>
                <c:pt idx="1">
                  <c:v>0.46582699999999999</c:v>
                </c:pt>
                <c:pt idx="2">
                  <c:v>0.78633399999999998</c:v>
                </c:pt>
                <c:pt idx="3">
                  <c:v>1.11676</c:v>
                </c:pt>
                <c:pt idx="4">
                  <c:v>1.45842</c:v>
                </c:pt>
                <c:pt idx="5">
                  <c:v>1.81264</c:v>
                </c:pt>
                <c:pt idx="6">
                  <c:v>2.1807599999999998</c:v>
                </c:pt>
                <c:pt idx="7">
                  <c:v>2.5641400000000001</c:v>
                </c:pt>
                <c:pt idx="8">
                  <c:v>2.9641299999999999</c:v>
                </c:pt>
                <c:pt idx="9">
                  <c:v>3.38212</c:v>
                </c:pt>
                <c:pt idx="10">
                  <c:v>3.8194699999999999</c:v>
                </c:pt>
                <c:pt idx="11">
                  <c:v>4.2775699999999999</c:v>
                </c:pt>
                <c:pt idx="12">
                  <c:v>4.7577800000000003</c:v>
                </c:pt>
                <c:pt idx="13">
                  <c:v>5.2614799999999997</c:v>
                </c:pt>
                <c:pt idx="14">
                  <c:v>5.7900499999999999</c:v>
                </c:pt>
                <c:pt idx="15">
                  <c:v>6.3448399999999996</c:v>
                </c:pt>
                <c:pt idx="16">
                  <c:v>6.9272099999999996</c:v>
                </c:pt>
                <c:pt idx="17">
                  <c:v>7.5385099999999996</c:v>
                </c:pt>
                <c:pt idx="18">
                  <c:v>8.1800700000000006</c:v>
                </c:pt>
                <c:pt idx="19">
                  <c:v>8.8532100000000007</c:v>
                </c:pt>
                <c:pt idx="20">
                  <c:v>9.5592299999999994</c:v>
                </c:pt>
                <c:pt idx="21">
                  <c:v>10.2994</c:v>
                </c:pt>
                <c:pt idx="22">
                  <c:v>11.074999999999999</c:v>
                </c:pt>
                <c:pt idx="23">
                  <c:v>11.8874</c:v>
                </c:pt>
                <c:pt idx="24">
                  <c:v>12.7376</c:v>
                </c:pt>
                <c:pt idx="25">
                  <c:v>13.626899999999999</c:v>
                </c:pt>
                <c:pt idx="26">
                  <c:v>14.5565</c:v>
                </c:pt>
                <c:pt idx="27">
                  <c:v>15.5276</c:v>
                </c:pt>
                <c:pt idx="28">
                  <c:v>16.5412</c:v>
                </c:pt>
                <c:pt idx="29">
                  <c:v>17.598500000000001</c:v>
                </c:pt>
                <c:pt idx="30">
                  <c:v>18.700500000000002</c:v>
                </c:pt>
                <c:pt idx="31">
                  <c:v>19.848400000000002</c:v>
                </c:pt>
                <c:pt idx="32">
                  <c:v>21.042999999999999</c:v>
                </c:pt>
                <c:pt idx="33">
                  <c:v>22.285499999999999</c:v>
                </c:pt>
                <c:pt idx="34">
                  <c:v>23.576599999999999</c:v>
                </c:pt>
                <c:pt idx="35">
                  <c:v>24.9175</c:v>
                </c:pt>
                <c:pt idx="36">
                  <c:v>26.308900000000001</c:v>
                </c:pt>
                <c:pt idx="37">
                  <c:v>27.7517</c:v>
                </c:pt>
                <c:pt idx="38">
                  <c:v>29.246700000000001</c:v>
                </c:pt>
                <c:pt idx="39">
                  <c:v>30.794799999999999</c:v>
                </c:pt>
                <c:pt idx="40">
                  <c:v>32.396700000000003</c:v>
                </c:pt>
                <c:pt idx="41">
                  <c:v>34.053100000000001</c:v>
                </c:pt>
                <c:pt idx="42">
                  <c:v>35.764699999999998</c:v>
                </c:pt>
                <c:pt idx="43">
                  <c:v>37.532200000000003</c:v>
                </c:pt>
                <c:pt idx="44">
                  <c:v>39.356200000000001</c:v>
                </c:pt>
                <c:pt idx="45">
                  <c:v>41.237200000000001</c:v>
                </c:pt>
                <c:pt idx="46">
                  <c:v>43.175800000000002</c:v>
                </c:pt>
                <c:pt idx="47">
                  <c:v>45.172600000000003</c:v>
                </c:pt>
                <c:pt idx="48">
                  <c:v>47.228000000000002</c:v>
                </c:pt>
                <c:pt idx="49">
                  <c:v>49.342500000000001</c:v>
                </c:pt>
                <c:pt idx="50">
                  <c:v>51.516399999999997</c:v>
                </c:pt>
                <c:pt idx="51">
                  <c:v>53.7502</c:v>
                </c:pt>
                <c:pt idx="52">
                  <c:v>56.044199999999996</c:v>
                </c:pt>
                <c:pt idx="53">
                  <c:v>58.398600000000002</c:v>
                </c:pt>
                <c:pt idx="54">
                  <c:v>60.813899999999997</c:v>
                </c:pt>
                <c:pt idx="55">
                  <c:v>63.290100000000002</c:v>
                </c:pt>
                <c:pt idx="56">
                  <c:v>65.827600000000004</c:v>
                </c:pt>
                <c:pt idx="57">
                  <c:v>68.426400000000001</c:v>
                </c:pt>
                <c:pt idx="58">
                  <c:v>71.086799999999997</c:v>
                </c:pt>
                <c:pt idx="59">
                  <c:v>73.808800000000005</c:v>
                </c:pt>
                <c:pt idx="60">
                  <c:v>76.592399999999998</c:v>
                </c:pt>
                <c:pt idx="61">
                  <c:v>79.437799999999996</c:v>
                </c:pt>
                <c:pt idx="62">
                  <c:v>82.344899999999996</c:v>
                </c:pt>
                <c:pt idx="63">
                  <c:v>85.313800000000001</c:v>
                </c:pt>
                <c:pt idx="64">
                  <c:v>88.344200000000001</c:v>
                </c:pt>
                <c:pt idx="65">
                  <c:v>91.436199999999999</c:v>
                </c:pt>
                <c:pt idx="66">
                  <c:v>94.589699999999993</c:v>
                </c:pt>
                <c:pt idx="67">
                  <c:v>97.804400000000001</c:v>
                </c:pt>
                <c:pt idx="68">
                  <c:v>101.08</c:v>
                </c:pt>
                <c:pt idx="69">
                  <c:v>104.417</c:v>
                </c:pt>
                <c:pt idx="70">
                  <c:v>107.81399999999999</c:v>
                </c:pt>
                <c:pt idx="71">
                  <c:v>111.27200000000001</c:v>
                </c:pt>
                <c:pt idx="72">
                  <c:v>114.79</c:v>
                </c:pt>
                <c:pt idx="73">
                  <c:v>118.36799999999999</c:v>
                </c:pt>
                <c:pt idx="74">
                  <c:v>122.005</c:v>
                </c:pt>
                <c:pt idx="75">
                  <c:v>125.702</c:v>
                </c:pt>
                <c:pt idx="76">
                  <c:v>129.45699999999999</c:v>
                </c:pt>
                <c:pt idx="77">
                  <c:v>133.27000000000001</c:v>
                </c:pt>
                <c:pt idx="78">
                  <c:v>137.14099999999999</c:v>
                </c:pt>
                <c:pt idx="79">
                  <c:v>141.07</c:v>
                </c:pt>
                <c:pt idx="80">
                  <c:v>145.05500000000001</c:v>
                </c:pt>
                <c:pt idx="81">
                  <c:v>149.09700000000001</c:v>
                </c:pt>
                <c:pt idx="82">
                  <c:v>153.19499999999999</c:v>
                </c:pt>
                <c:pt idx="83">
                  <c:v>157.34899999999999</c:v>
                </c:pt>
                <c:pt idx="84">
                  <c:v>161.55699999999999</c:v>
                </c:pt>
                <c:pt idx="85">
                  <c:v>165.81899999999999</c:v>
                </c:pt>
                <c:pt idx="86">
                  <c:v>170.136</c:v>
                </c:pt>
                <c:pt idx="87">
                  <c:v>174.505</c:v>
                </c:pt>
                <c:pt idx="88">
                  <c:v>178.92699999999999</c:v>
                </c:pt>
                <c:pt idx="89">
                  <c:v>183.4</c:v>
                </c:pt>
                <c:pt idx="90">
                  <c:v>187.92500000000001</c:v>
                </c:pt>
                <c:pt idx="91">
                  <c:v>192.5</c:v>
                </c:pt>
                <c:pt idx="92">
                  <c:v>197.125</c:v>
                </c:pt>
                <c:pt idx="93">
                  <c:v>201.8</c:v>
                </c:pt>
                <c:pt idx="94">
                  <c:v>206.523</c:v>
                </c:pt>
                <c:pt idx="95">
                  <c:v>211.29400000000001</c:v>
                </c:pt>
                <c:pt idx="96">
                  <c:v>216.11099999999999</c:v>
                </c:pt>
                <c:pt idx="97">
                  <c:v>220.976</c:v>
                </c:pt>
                <c:pt idx="98">
                  <c:v>225.886</c:v>
                </c:pt>
                <c:pt idx="99">
                  <c:v>230.84100000000001</c:v>
                </c:pt>
                <c:pt idx="100">
                  <c:v>235.84</c:v>
                </c:pt>
                <c:pt idx="101">
                  <c:v>240.88300000000001</c:v>
                </c:pt>
                <c:pt idx="102">
                  <c:v>245.96799999999999</c:v>
                </c:pt>
                <c:pt idx="103">
                  <c:v>251.095</c:v>
                </c:pt>
                <c:pt idx="104">
                  <c:v>256.26400000000001</c:v>
                </c:pt>
                <c:pt idx="105">
                  <c:v>261.47300000000001</c:v>
                </c:pt>
                <c:pt idx="106">
                  <c:v>266.72199999999998</c:v>
                </c:pt>
                <c:pt idx="107">
                  <c:v>272.01</c:v>
                </c:pt>
                <c:pt idx="108">
                  <c:v>277.33699999999999</c:v>
                </c:pt>
                <c:pt idx="109">
                  <c:v>282.7</c:v>
                </c:pt>
                <c:pt idx="110">
                  <c:v>288.101</c:v>
                </c:pt>
                <c:pt idx="111">
                  <c:v>293.53800000000001</c:v>
                </c:pt>
                <c:pt idx="112">
                  <c:v>299.01</c:v>
                </c:pt>
                <c:pt idx="113">
                  <c:v>304.51600000000002</c:v>
                </c:pt>
                <c:pt idx="114">
                  <c:v>310.05599999999998</c:v>
                </c:pt>
                <c:pt idx="115">
                  <c:v>315.63</c:v>
                </c:pt>
                <c:pt idx="116">
                  <c:v>321.23500000000001</c:v>
                </c:pt>
                <c:pt idx="117">
                  <c:v>326.87299999999999</c:v>
                </c:pt>
                <c:pt idx="118">
                  <c:v>332.541</c:v>
                </c:pt>
                <c:pt idx="119">
                  <c:v>338.23899999999998</c:v>
                </c:pt>
                <c:pt idx="120">
                  <c:v>343.96699999999998</c:v>
                </c:pt>
                <c:pt idx="121">
                  <c:v>349.72399999999999</c:v>
                </c:pt>
                <c:pt idx="122">
                  <c:v>355.50799999999998</c:v>
                </c:pt>
                <c:pt idx="123">
                  <c:v>361.32</c:v>
                </c:pt>
                <c:pt idx="124">
                  <c:v>367.15899999999999</c:v>
                </c:pt>
                <c:pt idx="125">
                  <c:v>373.024</c:v>
                </c:pt>
                <c:pt idx="126">
                  <c:v>378.91500000000002</c:v>
                </c:pt>
                <c:pt idx="127">
                  <c:v>384.83</c:v>
                </c:pt>
                <c:pt idx="128">
                  <c:v>390.76900000000001</c:v>
                </c:pt>
                <c:pt idx="129">
                  <c:v>396.73099999999999</c:v>
                </c:pt>
                <c:pt idx="130">
                  <c:v>402.71699999999998</c:v>
                </c:pt>
                <c:pt idx="131">
                  <c:v>408.72500000000002</c:v>
                </c:pt>
                <c:pt idx="132">
                  <c:v>414.75400000000002</c:v>
                </c:pt>
                <c:pt idx="133">
                  <c:v>420.80399999999997</c:v>
                </c:pt>
                <c:pt idx="134">
                  <c:v>426.875</c:v>
                </c:pt>
                <c:pt idx="135">
                  <c:v>432.96600000000001</c:v>
                </c:pt>
                <c:pt idx="136">
                  <c:v>439.07600000000002</c:v>
                </c:pt>
                <c:pt idx="137">
                  <c:v>445.20499999999998</c:v>
                </c:pt>
                <c:pt idx="138">
                  <c:v>451.35199999999998</c:v>
                </c:pt>
                <c:pt idx="139">
                  <c:v>457.517</c:v>
                </c:pt>
                <c:pt idx="140">
                  <c:v>463.69900000000001</c:v>
                </c:pt>
                <c:pt idx="141">
                  <c:v>469.89800000000002</c:v>
                </c:pt>
                <c:pt idx="142">
                  <c:v>476.113</c:v>
                </c:pt>
                <c:pt idx="143">
                  <c:v>482.34399999999999</c:v>
                </c:pt>
                <c:pt idx="144">
                  <c:v>488.59</c:v>
                </c:pt>
                <c:pt idx="145">
                  <c:v>494.85199999999998</c:v>
                </c:pt>
                <c:pt idx="146">
                  <c:v>501.12700000000001</c:v>
                </c:pt>
                <c:pt idx="147">
                  <c:v>507.41699999999997</c:v>
                </c:pt>
                <c:pt idx="148">
                  <c:v>513.72</c:v>
                </c:pt>
                <c:pt idx="149">
                  <c:v>520.03700000000003</c:v>
                </c:pt>
                <c:pt idx="150">
                  <c:v>526.36599999999999</c:v>
                </c:pt>
                <c:pt idx="151">
                  <c:v>532.70799999999997</c:v>
                </c:pt>
                <c:pt idx="152">
                  <c:v>539.06200000000001</c:v>
                </c:pt>
                <c:pt idx="153">
                  <c:v>545.42700000000002</c:v>
                </c:pt>
                <c:pt idx="154">
                  <c:v>551.80499999999995</c:v>
                </c:pt>
                <c:pt idx="155">
                  <c:v>558.19299999999998</c:v>
                </c:pt>
                <c:pt idx="156">
                  <c:v>564.59199999999998</c:v>
                </c:pt>
                <c:pt idx="157">
                  <c:v>571.00199999999995</c:v>
                </c:pt>
                <c:pt idx="158">
                  <c:v>577.42200000000003</c:v>
                </c:pt>
                <c:pt idx="159">
                  <c:v>583.85299999999995</c:v>
                </c:pt>
                <c:pt idx="160">
                  <c:v>590.29300000000001</c:v>
                </c:pt>
                <c:pt idx="161">
                  <c:v>596.74199999999996</c:v>
                </c:pt>
                <c:pt idx="162">
                  <c:v>603.20100000000002</c:v>
                </c:pt>
                <c:pt idx="163">
                  <c:v>609.66999999999996</c:v>
                </c:pt>
                <c:pt idx="164">
                  <c:v>616.14700000000005</c:v>
                </c:pt>
                <c:pt idx="165">
                  <c:v>622.63300000000004</c:v>
                </c:pt>
                <c:pt idx="166">
                  <c:v>629.12800000000004</c:v>
                </c:pt>
                <c:pt idx="167">
                  <c:v>635.63099999999997</c:v>
                </c:pt>
                <c:pt idx="168">
                  <c:v>642.14300000000003</c:v>
                </c:pt>
                <c:pt idx="169">
                  <c:v>648.66300000000001</c:v>
                </c:pt>
                <c:pt idx="170">
                  <c:v>655.19100000000003</c:v>
                </c:pt>
                <c:pt idx="171">
                  <c:v>661.72699999999998</c:v>
                </c:pt>
                <c:pt idx="172">
                  <c:v>668.27200000000005</c:v>
                </c:pt>
                <c:pt idx="173">
                  <c:v>674.82399999999996</c:v>
                </c:pt>
                <c:pt idx="174">
                  <c:v>681.38499999999999</c:v>
                </c:pt>
                <c:pt idx="175">
                  <c:v>687.95299999999997</c:v>
                </c:pt>
                <c:pt idx="176">
                  <c:v>694.529</c:v>
                </c:pt>
                <c:pt idx="177">
                  <c:v>701.11300000000006</c:v>
                </c:pt>
                <c:pt idx="178">
                  <c:v>707.70500000000004</c:v>
                </c:pt>
                <c:pt idx="179">
                  <c:v>714.30600000000004</c:v>
                </c:pt>
                <c:pt idx="180">
                  <c:v>720.91399999999999</c:v>
                </c:pt>
                <c:pt idx="181">
                  <c:v>727.53</c:v>
                </c:pt>
                <c:pt idx="182">
                  <c:v>734.15499999999997</c:v>
                </c:pt>
                <c:pt idx="183">
                  <c:v>740.78700000000003</c:v>
                </c:pt>
                <c:pt idx="184">
                  <c:v>747.42899999999997</c:v>
                </c:pt>
                <c:pt idx="185">
                  <c:v>754.07899999999995</c:v>
                </c:pt>
                <c:pt idx="186">
                  <c:v>760.73699999999997</c:v>
                </c:pt>
                <c:pt idx="187">
                  <c:v>767.404</c:v>
                </c:pt>
                <c:pt idx="188">
                  <c:v>774.08100000000002</c:v>
                </c:pt>
                <c:pt idx="189">
                  <c:v>780.76700000000005</c:v>
                </c:pt>
                <c:pt idx="190">
                  <c:v>787.46199999999999</c:v>
                </c:pt>
                <c:pt idx="191">
                  <c:v>794.16700000000003</c:v>
                </c:pt>
                <c:pt idx="192">
                  <c:v>800.88099999999997</c:v>
                </c:pt>
                <c:pt idx="193">
                  <c:v>807.60599999999999</c:v>
                </c:pt>
                <c:pt idx="194">
                  <c:v>814.34199999999998</c:v>
                </c:pt>
                <c:pt idx="195">
                  <c:v>821.08799999999997</c:v>
                </c:pt>
                <c:pt idx="196">
                  <c:v>827.846</c:v>
                </c:pt>
                <c:pt idx="197">
                  <c:v>834.61500000000001</c:v>
                </c:pt>
                <c:pt idx="198">
                  <c:v>841.39599999999996</c:v>
                </c:pt>
                <c:pt idx="199">
                  <c:v>848.18899999999996</c:v>
                </c:pt>
                <c:pt idx="200">
                  <c:v>854.995</c:v>
                </c:pt>
                <c:pt idx="201">
                  <c:v>861.81399999999996</c:v>
                </c:pt>
                <c:pt idx="202">
                  <c:v>868.64599999999996</c:v>
                </c:pt>
                <c:pt idx="203">
                  <c:v>875.49300000000005</c:v>
                </c:pt>
                <c:pt idx="204">
                  <c:v>882.35400000000004</c:v>
                </c:pt>
                <c:pt idx="205">
                  <c:v>889.23</c:v>
                </c:pt>
                <c:pt idx="206">
                  <c:v>896.12099999999998</c:v>
                </c:pt>
                <c:pt idx="207">
                  <c:v>903.029</c:v>
                </c:pt>
                <c:pt idx="208">
                  <c:v>909.95399999999995</c:v>
                </c:pt>
                <c:pt idx="209">
                  <c:v>916.89599999999996</c:v>
                </c:pt>
                <c:pt idx="210">
                  <c:v>923.85699999999997</c:v>
                </c:pt>
                <c:pt idx="211">
                  <c:v>930.83600000000001</c:v>
                </c:pt>
                <c:pt idx="212">
                  <c:v>937.83399999999995</c:v>
                </c:pt>
                <c:pt idx="213">
                  <c:v>944.85299999999995</c:v>
                </c:pt>
                <c:pt idx="214">
                  <c:v>951.89300000000003</c:v>
                </c:pt>
                <c:pt idx="215">
                  <c:v>958.95500000000004</c:v>
                </c:pt>
                <c:pt idx="216">
                  <c:v>966.04</c:v>
                </c:pt>
                <c:pt idx="217">
                  <c:v>973.149</c:v>
                </c:pt>
                <c:pt idx="218">
                  <c:v>980.28200000000004</c:v>
                </c:pt>
                <c:pt idx="219">
                  <c:v>987.44100000000003</c:v>
                </c:pt>
                <c:pt idx="220">
                  <c:v>994.62699999999995</c:v>
                </c:pt>
                <c:pt idx="221">
                  <c:v>1001.84</c:v>
                </c:pt>
                <c:pt idx="222">
                  <c:v>1009.08</c:v>
                </c:pt>
                <c:pt idx="223">
                  <c:v>1016.36</c:v>
                </c:pt>
              </c:numCache>
            </c:numRef>
          </c:xVal>
          <c:yVal>
            <c:numRef>
              <c:f>DNS!$D$612:$D$835</c:f>
              <c:numCache>
                <c:formatCode>0.00E+00</c:formatCode>
                <c:ptCount val="224"/>
                <c:pt idx="0">
                  <c:v>-0.24029700000000001</c:v>
                </c:pt>
                <c:pt idx="1">
                  <c:v>-0.22986000000000001</c:v>
                </c:pt>
                <c:pt idx="2">
                  <c:v>-0.221469</c:v>
                </c:pt>
                <c:pt idx="3">
                  <c:v>-0.21437500000000001</c:v>
                </c:pt>
                <c:pt idx="4">
                  <c:v>-0.20802999999999999</c:v>
                </c:pt>
                <c:pt idx="5">
                  <c:v>-0.20197499999999999</c:v>
                </c:pt>
                <c:pt idx="6">
                  <c:v>-0.19586400000000001</c:v>
                </c:pt>
                <c:pt idx="7">
                  <c:v>-0.18948499999999999</c:v>
                </c:pt>
                <c:pt idx="8">
                  <c:v>-0.18277499999999999</c:v>
                </c:pt>
                <c:pt idx="9">
                  <c:v>-0.175815</c:v>
                </c:pt>
                <c:pt idx="10">
                  <c:v>-0.16881199999999999</c:v>
                </c:pt>
                <c:pt idx="11">
                  <c:v>-0.162049</c:v>
                </c:pt>
                <c:pt idx="12">
                  <c:v>-0.155829</c:v>
                </c:pt>
                <c:pt idx="13">
                  <c:v>-0.150421</c:v>
                </c:pt>
                <c:pt idx="14">
                  <c:v>-0.146005</c:v>
                </c:pt>
                <c:pt idx="15">
                  <c:v>-0.142651</c:v>
                </c:pt>
                <c:pt idx="16">
                  <c:v>-0.14030899999999999</c:v>
                </c:pt>
                <c:pt idx="17">
                  <c:v>-0.138824</c:v>
                </c:pt>
                <c:pt idx="18">
                  <c:v>-0.13797300000000001</c:v>
                </c:pt>
                <c:pt idx="19">
                  <c:v>-0.13749600000000001</c:v>
                </c:pt>
                <c:pt idx="20">
                  <c:v>-0.13714000000000001</c:v>
                </c:pt>
                <c:pt idx="21">
                  <c:v>-0.136685</c:v>
                </c:pt>
                <c:pt idx="22">
                  <c:v>-0.135961</c:v>
                </c:pt>
                <c:pt idx="23">
                  <c:v>-0.134856</c:v>
                </c:pt>
                <c:pt idx="24">
                  <c:v>-0.13331200000000001</c:v>
                </c:pt>
                <c:pt idx="25">
                  <c:v>-0.13131599999999999</c:v>
                </c:pt>
                <c:pt idx="26">
                  <c:v>-0.12889</c:v>
                </c:pt>
                <c:pt idx="27">
                  <c:v>-0.12607399999999999</c:v>
                </c:pt>
                <c:pt idx="28">
                  <c:v>-0.12292</c:v>
                </c:pt>
                <c:pt idx="29">
                  <c:v>-0.11948599999999999</c:v>
                </c:pt>
                <c:pt idx="30">
                  <c:v>-0.115825</c:v>
                </c:pt>
                <c:pt idx="31">
                  <c:v>-0.11199000000000001</c:v>
                </c:pt>
                <c:pt idx="32">
                  <c:v>-0.108027</c:v>
                </c:pt>
                <c:pt idx="33">
                  <c:v>-0.10398</c:v>
                </c:pt>
                <c:pt idx="34">
                  <c:v>-9.9885799999999997E-2</c:v>
                </c:pt>
                <c:pt idx="35">
                  <c:v>-9.5780599999999994E-2</c:v>
                </c:pt>
                <c:pt idx="36">
                  <c:v>-9.1695200000000004E-2</c:v>
                </c:pt>
                <c:pt idx="37">
                  <c:v>-8.7658100000000003E-2</c:v>
                </c:pt>
                <c:pt idx="38">
                  <c:v>-8.3694000000000005E-2</c:v>
                </c:pt>
                <c:pt idx="39">
                  <c:v>-7.9824900000000004E-2</c:v>
                </c:pt>
                <c:pt idx="40">
                  <c:v>-7.6069399999999995E-2</c:v>
                </c:pt>
                <c:pt idx="41">
                  <c:v>-7.2442300000000001E-2</c:v>
                </c:pt>
                <c:pt idx="42">
                  <c:v>-6.8955100000000005E-2</c:v>
                </c:pt>
                <c:pt idx="43">
                  <c:v>-6.56162E-2</c:v>
                </c:pt>
                <c:pt idx="44">
                  <c:v>-6.2431500000000001E-2</c:v>
                </c:pt>
                <c:pt idx="45">
                  <c:v>-5.9403900000000003E-2</c:v>
                </c:pt>
                <c:pt idx="46">
                  <c:v>-5.6533100000000003E-2</c:v>
                </c:pt>
                <c:pt idx="47">
                  <c:v>-5.3816200000000002E-2</c:v>
                </c:pt>
                <c:pt idx="48">
                  <c:v>-5.12489E-2</c:v>
                </c:pt>
                <c:pt idx="49">
                  <c:v>-4.8825899999999998E-2</c:v>
                </c:pt>
                <c:pt idx="50">
                  <c:v>-4.6541100000000002E-2</c:v>
                </c:pt>
                <c:pt idx="51">
                  <c:v>-4.4388200000000003E-2</c:v>
                </c:pt>
                <c:pt idx="52">
                  <c:v>-4.2360799999999997E-2</c:v>
                </c:pt>
                <c:pt idx="53">
                  <c:v>-4.0451899999999999E-2</c:v>
                </c:pt>
                <c:pt idx="54">
                  <c:v>-3.8654500000000001E-2</c:v>
                </c:pt>
                <c:pt idx="55">
                  <c:v>-3.6962000000000002E-2</c:v>
                </c:pt>
                <c:pt idx="56">
                  <c:v>-3.5367900000000001E-2</c:v>
                </c:pt>
                <c:pt idx="57">
                  <c:v>-3.3864999999999999E-2</c:v>
                </c:pt>
                <c:pt idx="58">
                  <c:v>-3.2446700000000002E-2</c:v>
                </c:pt>
                <c:pt idx="59">
                  <c:v>-3.1108500000000001E-2</c:v>
                </c:pt>
                <c:pt idx="60">
                  <c:v>-2.9846000000000001E-2</c:v>
                </c:pt>
                <c:pt idx="61">
                  <c:v>-2.8654200000000001E-2</c:v>
                </c:pt>
                <c:pt idx="62">
                  <c:v>-2.7528E-2</c:v>
                </c:pt>
                <c:pt idx="63">
                  <c:v>-2.6463299999999999E-2</c:v>
                </c:pt>
                <c:pt idx="64">
                  <c:v>-2.5456099999999999E-2</c:v>
                </c:pt>
                <c:pt idx="65">
                  <c:v>-2.4502400000000001E-2</c:v>
                </c:pt>
                <c:pt idx="66">
                  <c:v>-2.3597900000000002E-2</c:v>
                </c:pt>
                <c:pt idx="67">
                  <c:v>-2.2739100000000002E-2</c:v>
                </c:pt>
                <c:pt idx="68">
                  <c:v>-2.1923700000000001E-2</c:v>
                </c:pt>
                <c:pt idx="69">
                  <c:v>-2.1149500000000002E-2</c:v>
                </c:pt>
                <c:pt idx="70">
                  <c:v>-2.0413799999999999E-2</c:v>
                </c:pt>
                <c:pt idx="71">
                  <c:v>-1.9714300000000001E-2</c:v>
                </c:pt>
                <c:pt idx="72">
                  <c:v>-1.9049E-2</c:v>
                </c:pt>
                <c:pt idx="73">
                  <c:v>-1.8415600000000001E-2</c:v>
                </c:pt>
                <c:pt idx="74">
                  <c:v>-1.7812000000000001E-2</c:v>
                </c:pt>
                <c:pt idx="75">
                  <c:v>-1.7236399999999999E-2</c:v>
                </c:pt>
                <c:pt idx="76">
                  <c:v>-1.6687500000000001E-2</c:v>
                </c:pt>
                <c:pt idx="77">
                  <c:v>-1.6163E-2</c:v>
                </c:pt>
                <c:pt idx="78">
                  <c:v>-1.56607E-2</c:v>
                </c:pt>
                <c:pt idx="79">
                  <c:v>-1.51796E-2</c:v>
                </c:pt>
                <c:pt idx="80">
                  <c:v>-1.4719299999999999E-2</c:v>
                </c:pt>
                <c:pt idx="81">
                  <c:v>-1.4279200000000001E-2</c:v>
                </c:pt>
                <c:pt idx="82">
                  <c:v>-1.38583E-2</c:v>
                </c:pt>
                <c:pt idx="83">
                  <c:v>-1.34552E-2</c:v>
                </c:pt>
                <c:pt idx="84">
                  <c:v>-1.30688E-2</c:v>
                </c:pt>
                <c:pt idx="85">
                  <c:v>-1.26985E-2</c:v>
                </c:pt>
                <c:pt idx="86">
                  <c:v>-1.2343700000000001E-2</c:v>
                </c:pt>
                <c:pt idx="87">
                  <c:v>-1.20032E-2</c:v>
                </c:pt>
                <c:pt idx="88">
                  <c:v>-1.1676000000000001E-2</c:v>
                </c:pt>
                <c:pt idx="89">
                  <c:v>-1.1361599999999999E-2</c:v>
                </c:pt>
                <c:pt idx="90">
                  <c:v>-1.10597E-2</c:v>
                </c:pt>
                <c:pt idx="91">
                  <c:v>-1.07698E-2</c:v>
                </c:pt>
                <c:pt idx="92">
                  <c:v>-1.04911E-2</c:v>
                </c:pt>
                <c:pt idx="93">
                  <c:v>-1.0223400000000001E-2</c:v>
                </c:pt>
                <c:pt idx="94">
                  <c:v>-9.9659699999999993E-3</c:v>
                </c:pt>
                <c:pt idx="95">
                  <c:v>-9.7181000000000003E-3</c:v>
                </c:pt>
                <c:pt idx="96">
                  <c:v>-9.4788700000000004E-3</c:v>
                </c:pt>
                <c:pt idx="97">
                  <c:v>-9.2478899999999999E-3</c:v>
                </c:pt>
                <c:pt idx="98">
                  <c:v>-9.0249600000000003E-3</c:v>
                </c:pt>
                <c:pt idx="99">
                  <c:v>-8.8098099999999995E-3</c:v>
                </c:pt>
                <c:pt idx="100">
                  <c:v>-8.60204E-3</c:v>
                </c:pt>
                <c:pt idx="101">
                  <c:v>-8.4011599999999995E-3</c:v>
                </c:pt>
                <c:pt idx="102">
                  <c:v>-8.2066599999999993E-3</c:v>
                </c:pt>
                <c:pt idx="103">
                  <c:v>-8.01813E-3</c:v>
                </c:pt>
                <c:pt idx="104">
                  <c:v>-7.835E-3</c:v>
                </c:pt>
                <c:pt idx="105">
                  <c:v>-7.6569100000000003E-3</c:v>
                </c:pt>
                <c:pt idx="106">
                  <c:v>-7.4838500000000002E-3</c:v>
                </c:pt>
                <c:pt idx="107">
                  <c:v>-7.3159799999999997E-3</c:v>
                </c:pt>
                <c:pt idx="108">
                  <c:v>-7.1536200000000003E-3</c:v>
                </c:pt>
                <c:pt idx="109">
                  <c:v>-6.9968199999999999E-3</c:v>
                </c:pt>
                <c:pt idx="110">
                  <c:v>-6.8450999999999998E-3</c:v>
                </c:pt>
                <c:pt idx="111">
                  <c:v>-6.6978300000000001E-3</c:v>
                </c:pt>
                <c:pt idx="112">
                  <c:v>-6.5549099999999997E-3</c:v>
                </c:pt>
                <c:pt idx="113">
                  <c:v>-6.4163900000000001E-3</c:v>
                </c:pt>
                <c:pt idx="114">
                  <c:v>-6.28175E-3</c:v>
                </c:pt>
                <c:pt idx="115">
                  <c:v>-6.1505300000000004E-3</c:v>
                </c:pt>
                <c:pt idx="116">
                  <c:v>-6.0226899999999998E-3</c:v>
                </c:pt>
                <c:pt idx="117">
                  <c:v>-5.8981499999999996E-3</c:v>
                </c:pt>
                <c:pt idx="118">
                  <c:v>-5.7768000000000003E-3</c:v>
                </c:pt>
                <c:pt idx="119">
                  <c:v>-5.6587900000000003E-3</c:v>
                </c:pt>
                <c:pt idx="120">
                  <c:v>-5.5441300000000004E-3</c:v>
                </c:pt>
                <c:pt idx="121">
                  <c:v>-5.4325900000000002E-3</c:v>
                </c:pt>
                <c:pt idx="122">
                  <c:v>-5.3240199999999996E-3</c:v>
                </c:pt>
                <c:pt idx="123">
                  <c:v>-5.2183899999999998E-3</c:v>
                </c:pt>
                <c:pt idx="124">
                  <c:v>-5.1156500000000002E-3</c:v>
                </c:pt>
                <c:pt idx="125">
                  <c:v>-5.0156100000000002E-3</c:v>
                </c:pt>
                <c:pt idx="126">
                  <c:v>-4.9180500000000002E-3</c:v>
                </c:pt>
                <c:pt idx="127">
                  <c:v>-4.8227900000000004E-3</c:v>
                </c:pt>
                <c:pt idx="128">
                  <c:v>-4.7297099999999998E-3</c:v>
                </c:pt>
                <c:pt idx="129">
                  <c:v>-4.6386099999999996E-3</c:v>
                </c:pt>
                <c:pt idx="130">
                  <c:v>-4.5493799999999996E-3</c:v>
                </c:pt>
                <c:pt idx="131">
                  <c:v>-4.4619999999999998E-3</c:v>
                </c:pt>
                <c:pt idx="132">
                  <c:v>-4.3763200000000004E-3</c:v>
                </c:pt>
                <c:pt idx="133">
                  <c:v>-4.2923500000000003E-3</c:v>
                </c:pt>
                <c:pt idx="134">
                  <c:v>-4.2101400000000002E-3</c:v>
                </c:pt>
                <c:pt idx="135">
                  <c:v>-4.1295699999999999E-3</c:v>
                </c:pt>
                <c:pt idx="136">
                  <c:v>-4.0504499999999997E-3</c:v>
                </c:pt>
                <c:pt idx="137">
                  <c:v>-3.9729800000000001E-3</c:v>
                </c:pt>
                <c:pt idx="138">
                  <c:v>-3.89741E-3</c:v>
                </c:pt>
                <c:pt idx="139">
                  <c:v>-3.8237800000000001E-3</c:v>
                </c:pt>
                <c:pt idx="140">
                  <c:v>-3.7519300000000001E-3</c:v>
                </c:pt>
                <c:pt idx="141">
                  <c:v>-3.6814999999999999E-3</c:v>
                </c:pt>
                <c:pt idx="142">
                  <c:v>-3.6123499999999998E-3</c:v>
                </c:pt>
                <c:pt idx="143">
                  <c:v>-3.5446900000000001E-3</c:v>
                </c:pt>
                <c:pt idx="144">
                  <c:v>-3.4786800000000001E-3</c:v>
                </c:pt>
                <c:pt idx="145">
                  <c:v>-3.41407E-3</c:v>
                </c:pt>
                <c:pt idx="146">
                  <c:v>-3.35039E-3</c:v>
                </c:pt>
                <c:pt idx="147">
                  <c:v>-3.2877200000000001E-3</c:v>
                </c:pt>
                <c:pt idx="148">
                  <c:v>-3.22632E-3</c:v>
                </c:pt>
                <c:pt idx="149">
                  <c:v>-3.1660999999999998E-3</c:v>
                </c:pt>
                <c:pt idx="150">
                  <c:v>-3.10692E-3</c:v>
                </c:pt>
                <c:pt idx="151">
                  <c:v>-3.0486599999999999E-3</c:v>
                </c:pt>
                <c:pt idx="152">
                  <c:v>-2.9913700000000001E-3</c:v>
                </c:pt>
                <c:pt idx="153">
                  <c:v>-2.9352499999999999E-3</c:v>
                </c:pt>
                <c:pt idx="154">
                  <c:v>-2.8802599999999999E-3</c:v>
                </c:pt>
                <c:pt idx="155">
                  <c:v>-2.8263699999999999E-3</c:v>
                </c:pt>
                <c:pt idx="156">
                  <c:v>-2.7736800000000002E-3</c:v>
                </c:pt>
                <c:pt idx="157">
                  <c:v>-2.72222E-3</c:v>
                </c:pt>
                <c:pt idx="158">
                  <c:v>-2.67199E-3</c:v>
                </c:pt>
                <c:pt idx="159">
                  <c:v>-2.6230099999999998E-3</c:v>
                </c:pt>
                <c:pt idx="160">
                  <c:v>-2.5751400000000001E-3</c:v>
                </c:pt>
                <c:pt idx="161">
                  <c:v>-2.5283100000000002E-3</c:v>
                </c:pt>
                <c:pt idx="162">
                  <c:v>-2.4824399999999998E-3</c:v>
                </c:pt>
                <c:pt idx="163">
                  <c:v>-2.4373900000000002E-3</c:v>
                </c:pt>
                <c:pt idx="164">
                  <c:v>-2.3931199999999999E-3</c:v>
                </c:pt>
                <c:pt idx="165">
                  <c:v>-2.3494200000000001E-3</c:v>
                </c:pt>
                <c:pt idx="166">
                  <c:v>-2.30613E-3</c:v>
                </c:pt>
                <c:pt idx="167">
                  <c:v>-2.2635400000000001E-3</c:v>
                </c:pt>
                <c:pt idx="168">
                  <c:v>-2.222E-3</c:v>
                </c:pt>
                <c:pt idx="169">
                  <c:v>-2.1815599999999999E-3</c:v>
                </c:pt>
                <c:pt idx="170">
                  <c:v>-2.1420599999999999E-3</c:v>
                </c:pt>
                <c:pt idx="171">
                  <c:v>-2.10341E-3</c:v>
                </c:pt>
                <c:pt idx="172">
                  <c:v>-2.0655000000000001E-3</c:v>
                </c:pt>
                <c:pt idx="173">
                  <c:v>-2.0283800000000002E-3</c:v>
                </c:pt>
                <c:pt idx="174">
                  <c:v>-1.9920799999999998E-3</c:v>
                </c:pt>
                <c:pt idx="175">
                  <c:v>-1.95655E-3</c:v>
                </c:pt>
                <c:pt idx="176">
                  <c:v>-1.9217800000000001E-3</c:v>
                </c:pt>
                <c:pt idx="177">
                  <c:v>-1.8879000000000001E-3</c:v>
                </c:pt>
                <c:pt idx="178">
                  <c:v>-1.85502E-3</c:v>
                </c:pt>
                <c:pt idx="179">
                  <c:v>-1.8230399999999999E-3</c:v>
                </c:pt>
                <c:pt idx="180">
                  <c:v>-1.79178E-3</c:v>
                </c:pt>
                <c:pt idx="181">
                  <c:v>-1.7611199999999999E-3</c:v>
                </c:pt>
                <c:pt idx="182">
                  <c:v>-1.7309999999999999E-3</c:v>
                </c:pt>
                <c:pt idx="183">
                  <c:v>-1.7014700000000001E-3</c:v>
                </c:pt>
                <c:pt idx="184">
                  <c:v>-1.67263E-3</c:v>
                </c:pt>
                <c:pt idx="185">
                  <c:v>-1.64467E-3</c:v>
                </c:pt>
                <c:pt idx="186">
                  <c:v>-1.6176700000000001E-3</c:v>
                </c:pt>
                <c:pt idx="187">
                  <c:v>-1.5914E-3</c:v>
                </c:pt>
                <c:pt idx="188">
                  <c:v>-1.56569E-3</c:v>
                </c:pt>
                <c:pt idx="189">
                  <c:v>-1.54053E-3</c:v>
                </c:pt>
                <c:pt idx="190">
                  <c:v>-1.51592E-3</c:v>
                </c:pt>
                <c:pt idx="191">
                  <c:v>-1.49197E-3</c:v>
                </c:pt>
                <c:pt idx="192">
                  <c:v>-1.46883E-3</c:v>
                </c:pt>
                <c:pt idx="193">
                  <c:v>-1.4465999999999999E-3</c:v>
                </c:pt>
                <c:pt idx="194">
                  <c:v>-1.42519E-3</c:v>
                </c:pt>
                <c:pt idx="195">
                  <c:v>-1.4044000000000001E-3</c:v>
                </c:pt>
                <c:pt idx="196">
                  <c:v>-1.3842100000000001E-3</c:v>
                </c:pt>
                <c:pt idx="197">
                  <c:v>-1.3646299999999999E-3</c:v>
                </c:pt>
                <c:pt idx="198">
                  <c:v>-1.3457199999999999E-3</c:v>
                </c:pt>
                <c:pt idx="199">
                  <c:v>-1.3275299999999999E-3</c:v>
                </c:pt>
                <c:pt idx="200">
                  <c:v>-1.31007E-3</c:v>
                </c:pt>
                <c:pt idx="201">
                  <c:v>-1.2932600000000001E-3</c:v>
                </c:pt>
                <c:pt idx="202">
                  <c:v>-1.27706E-3</c:v>
                </c:pt>
                <c:pt idx="203">
                  <c:v>-1.26144E-3</c:v>
                </c:pt>
                <c:pt idx="204">
                  <c:v>-1.2463800000000001E-3</c:v>
                </c:pt>
                <c:pt idx="205">
                  <c:v>-1.23197E-3</c:v>
                </c:pt>
                <c:pt idx="206">
                  <c:v>-1.21839E-3</c:v>
                </c:pt>
                <c:pt idx="207">
                  <c:v>-1.2056600000000001E-3</c:v>
                </c:pt>
                <c:pt idx="208">
                  <c:v>-1.19378E-3</c:v>
                </c:pt>
                <c:pt idx="209">
                  <c:v>-1.18271E-3</c:v>
                </c:pt>
                <c:pt idx="210">
                  <c:v>-1.1723599999999999E-3</c:v>
                </c:pt>
                <c:pt idx="211">
                  <c:v>-1.1626500000000001E-3</c:v>
                </c:pt>
                <c:pt idx="212">
                  <c:v>-1.15365E-3</c:v>
                </c:pt>
                <c:pt idx="213">
                  <c:v>-1.1453699999999999E-3</c:v>
                </c:pt>
                <c:pt idx="214">
                  <c:v>-1.13776E-3</c:v>
                </c:pt>
                <c:pt idx="215">
                  <c:v>-1.13086E-3</c:v>
                </c:pt>
                <c:pt idx="216">
                  <c:v>-1.12469E-3</c:v>
                </c:pt>
                <c:pt idx="217">
                  <c:v>-1.11918E-3</c:v>
                </c:pt>
                <c:pt idx="218">
                  <c:v>-1.1143699999999999E-3</c:v>
                </c:pt>
                <c:pt idx="219">
                  <c:v>-1.11031E-3</c:v>
                </c:pt>
                <c:pt idx="220">
                  <c:v>-1.1070400000000001E-3</c:v>
                </c:pt>
                <c:pt idx="221">
                  <c:v>-1.10461E-3</c:v>
                </c:pt>
                <c:pt idx="222">
                  <c:v>-1.10304E-3</c:v>
                </c:pt>
                <c:pt idx="223">
                  <c:v>-1.1023000000000001E-3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57A-410B-AF7A-EEC3ECD2EFD0}"/>
            </c:ext>
          </c:extLst>
        </c:ser>
        <c:ser>
          <c:idx val="2"/>
          <c:order val="2"/>
          <c:tx>
            <c:strRef>
              <c:f>Diss.!$C$1</c:f>
              <c:strCache>
                <c:ptCount val="1"/>
                <c:pt idx="0">
                  <c:v>SGS Diss.</c:v>
                </c:pt>
              </c:strCache>
            </c:strRef>
          </c:tx>
          <c:xVal>
            <c:numRef>
              <c:f>Diss.!$A$2:$A$87</c:f>
              <c:numCache>
                <c:formatCode>General</c:formatCode>
                <c:ptCount val="86"/>
                <c:pt idx="0">
                  <c:v>0.49999237060546797</c:v>
                </c:pt>
                <c:pt idx="1">
                  <c:v>1.54496669769287</c:v>
                </c:pt>
                <c:pt idx="2">
                  <c:v>2.6840543746948198</c:v>
                </c:pt>
                <c:pt idx="3">
                  <c:v>3.9255237579345699</c:v>
                </c:pt>
                <c:pt idx="4">
                  <c:v>5.2789807319641104</c:v>
                </c:pt>
                <c:pt idx="5">
                  <c:v>6.7539703845977703</c:v>
                </c:pt>
                <c:pt idx="6">
                  <c:v>8.3618009090423495</c:v>
                </c:pt>
                <c:pt idx="7">
                  <c:v>10.114449262619001</c:v>
                </c:pt>
                <c:pt idx="8">
                  <c:v>12.0248043537139</c:v>
                </c:pt>
                <c:pt idx="9">
                  <c:v>14.106971025466899</c:v>
                </c:pt>
                <c:pt idx="10">
                  <c:v>16.3765740394592</c:v>
                </c:pt>
                <c:pt idx="11">
                  <c:v>18.850514888763399</c:v>
                </c:pt>
                <c:pt idx="12">
                  <c:v>21.5470933914184</c:v>
                </c:pt>
                <c:pt idx="13">
                  <c:v>24.4862508773803</c:v>
                </c:pt>
                <c:pt idx="14">
                  <c:v>27.690056562423699</c:v>
                </c:pt>
                <c:pt idx="15">
                  <c:v>31.182160377502399</c:v>
                </c:pt>
                <c:pt idx="16">
                  <c:v>34.988522529602001</c:v>
                </c:pt>
                <c:pt idx="17">
                  <c:v>39.137535095214801</c:v>
                </c:pt>
                <c:pt idx="18">
                  <c:v>43.659839630126903</c:v>
                </c:pt>
                <c:pt idx="19">
                  <c:v>48.589299917220998</c:v>
                </c:pt>
                <c:pt idx="20">
                  <c:v>53.962393999099703</c:v>
                </c:pt>
                <c:pt idx="21">
                  <c:v>59.819004535674999</c:v>
                </c:pt>
                <c:pt idx="22">
                  <c:v>66.2026619911193</c:v>
                </c:pt>
                <c:pt idx="23">
                  <c:v>73.160848617553697</c:v>
                </c:pt>
                <c:pt idx="24">
                  <c:v>80.745424032211304</c:v>
                </c:pt>
                <c:pt idx="25">
                  <c:v>89.012442827224703</c:v>
                </c:pt>
                <c:pt idx="26">
                  <c:v>98.0235528945922</c:v>
                </c:pt>
                <c:pt idx="27">
                  <c:v>107.845630645751</c:v>
                </c:pt>
                <c:pt idx="28">
                  <c:v>118.551753759384</c:v>
                </c:pt>
                <c:pt idx="29">
                  <c:v>130.22150516510001</c:v>
                </c:pt>
                <c:pt idx="30">
                  <c:v>142.941337823867</c:v>
                </c:pt>
                <c:pt idx="31">
                  <c:v>156.806094646453</c:v>
                </c:pt>
                <c:pt idx="32">
                  <c:v>171.91864371299701</c:v>
                </c:pt>
                <c:pt idx="33">
                  <c:v>187.726768255233</c:v>
                </c:pt>
                <c:pt idx="34">
                  <c:v>203.579578399658</c:v>
                </c:pt>
                <c:pt idx="35">
                  <c:v>219.43238854408199</c:v>
                </c:pt>
                <c:pt idx="36">
                  <c:v>235.28525948524401</c:v>
                </c:pt>
                <c:pt idx="37">
                  <c:v>251.13806962966899</c:v>
                </c:pt>
                <c:pt idx="38">
                  <c:v>266.99081897735499</c:v>
                </c:pt>
                <c:pt idx="39">
                  <c:v>282.84362912178</c:v>
                </c:pt>
                <c:pt idx="40">
                  <c:v>298.69643926620398</c:v>
                </c:pt>
                <c:pt idx="41">
                  <c:v>314.54931020736598</c:v>
                </c:pt>
                <c:pt idx="42">
                  <c:v>330.40212035179098</c:v>
                </c:pt>
                <c:pt idx="43">
                  <c:v>346.25493049621502</c:v>
                </c:pt>
                <c:pt idx="44">
                  <c:v>362.10780143737702</c:v>
                </c:pt>
                <c:pt idx="45">
                  <c:v>377.96061158180203</c:v>
                </c:pt>
                <c:pt idx="46">
                  <c:v>393.81348252296402</c:v>
                </c:pt>
                <c:pt idx="47">
                  <c:v>409.66629266738801</c:v>
                </c:pt>
                <c:pt idx="48">
                  <c:v>425.519042015075</c:v>
                </c:pt>
                <c:pt idx="49">
                  <c:v>441.371912956237</c:v>
                </c:pt>
                <c:pt idx="50">
                  <c:v>457.22478389739899</c:v>
                </c:pt>
                <c:pt idx="51">
                  <c:v>473.07753324508599</c:v>
                </c:pt>
                <c:pt idx="52">
                  <c:v>488.93034338951099</c:v>
                </c:pt>
                <c:pt idx="53">
                  <c:v>504.78321433067299</c:v>
                </c:pt>
                <c:pt idx="54">
                  <c:v>520.63602447509697</c:v>
                </c:pt>
                <c:pt idx="55">
                  <c:v>536.48889541625897</c:v>
                </c:pt>
                <c:pt idx="56">
                  <c:v>552.34173595905304</c:v>
                </c:pt>
                <c:pt idx="57">
                  <c:v>568.19448530673901</c:v>
                </c:pt>
                <c:pt idx="58">
                  <c:v>584.04732584953297</c:v>
                </c:pt>
                <c:pt idx="59">
                  <c:v>599.90016639232601</c:v>
                </c:pt>
                <c:pt idx="60">
                  <c:v>615.75300693511895</c:v>
                </c:pt>
                <c:pt idx="61">
                  <c:v>631.60581707954395</c:v>
                </c:pt>
                <c:pt idx="62">
                  <c:v>647.45859682559899</c:v>
                </c:pt>
                <c:pt idx="63">
                  <c:v>663.31143736839203</c:v>
                </c:pt>
                <c:pt idx="64">
                  <c:v>679.16427791118599</c:v>
                </c:pt>
                <c:pt idx="65">
                  <c:v>695.01711845397904</c:v>
                </c:pt>
                <c:pt idx="66">
                  <c:v>710.86992859840302</c:v>
                </c:pt>
                <c:pt idx="67">
                  <c:v>726.72273874282803</c:v>
                </c:pt>
                <c:pt idx="68">
                  <c:v>742.57554888725201</c:v>
                </c:pt>
                <c:pt idx="69">
                  <c:v>758.42838943004597</c:v>
                </c:pt>
                <c:pt idx="70">
                  <c:v>774.28122997283901</c:v>
                </c:pt>
                <c:pt idx="71">
                  <c:v>790.13402491807904</c:v>
                </c:pt>
                <c:pt idx="72">
                  <c:v>805.98686546087197</c:v>
                </c:pt>
                <c:pt idx="73">
                  <c:v>821.83970600366501</c:v>
                </c:pt>
                <c:pt idx="74">
                  <c:v>837.69251614809002</c:v>
                </c:pt>
                <c:pt idx="75">
                  <c:v>853.54535669088295</c:v>
                </c:pt>
                <c:pt idx="76">
                  <c:v>869.39818203449204</c:v>
                </c:pt>
                <c:pt idx="77">
                  <c:v>885.25099217891602</c:v>
                </c:pt>
                <c:pt idx="78">
                  <c:v>901.10380992293301</c:v>
                </c:pt>
                <c:pt idx="79">
                  <c:v>916.95665046572606</c:v>
                </c:pt>
                <c:pt idx="80">
                  <c:v>932.80946820974305</c:v>
                </c:pt>
                <c:pt idx="81">
                  <c:v>948.66229355335201</c:v>
                </c:pt>
                <c:pt idx="82">
                  <c:v>964.51511889696098</c:v>
                </c:pt>
                <c:pt idx="83">
                  <c:v>980.36794044077305</c:v>
                </c:pt>
                <c:pt idx="84">
                  <c:v>996.22076388448397</c:v>
                </c:pt>
                <c:pt idx="85">
                  <c:v>1012.07358780317</c:v>
                </c:pt>
              </c:numCache>
            </c:numRef>
          </c:xVal>
          <c:yVal>
            <c:numRef>
              <c:f>Diss.!$C$2:$C$87</c:f>
              <c:numCache>
                <c:formatCode>0.00E+00</c:formatCode>
                <c:ptCount val="86"/>
                <c:pt idx="0">
                  <c:v>2.1500973489252701E-6</c:v>
                </c:pt>
                <c:pt idx="1">
                  <c:v>2.7150950551949001E-5</c:v>
                </c:pt>
                <c:pt idx="2">
                  <c:v>1.13294229987506E-4</c:v>
                </c:pt>
                <c:pt idx="3" formatCode="General">
                  <c:v>2.4909721347067E-4</c:v>
                </c:pt>
                <c:pt idx="4" formatCode="General">
                  <c:v>5.0109508133054702E-4</c:v>
                </c:pt>
                <c:pt idx="5" formatCode="General">
                  <c:v>1.3823268909564301E-3</c:v>
                </c:pt>
                <c:pt idx="6" formatCode="General">
                  <c:v>3.7926563145837099E-3</c:v>
                </c:pt>
                <c:pt idx="7" formatCode="General">
                  <c:v>7.3547145457180003E-3</c:v>
                </c:pt>
                <c:pt idx="8" formatCode="General">
                  <c:v>9.8769978228244407E-3</c:v>
                </c:pt>
                <c:pt idx="9" formatCode="General">
                  <c:v>1.0058754869568601E-2</c:v>
                </c:pt>
                <c:pt idx="10" formatCode="General">
                  <c:v>8.5706842159621408E-3</c:v>
                </c:pt>
                <c:pt idx="11" formatCode="General">
                  <c:v>6.6646126082566598E-3</c:v>
                </c:pt>
                <c:pt idx="12" formatCode="General">
                  <c:v>5.1254339086534203E-3</c:v>
                </c:pt>
                <c:pt idx="13" formatCode="General">
                  <c:v>4.2020700118433297E-3</c:v>
                </c:pt>
                <c:pt idx="14" formatCode="General">
                  <c:v>3.8579305187276701E-3</c:v>
                </c:pt>
                <c:pt idx="15" formatCode="General">
                  <c:v>3.95678942211522E-3</c:v>
                </c:pt>
                <c:pt idx="16">
                  <c:v>4.3420482003819101E-3</c:v>
                </c:pt>
                <c:pt idx="17" formatCode="General">
                  <c:v>4.8636788494789097E-3</c:v>
                </c:pt>
                <c:pt idx="18" formatCode="General">
                  <c:v>5.38946083877225E-3</c:v>
                </c:pt>
                <c:pt idx="19" formatCode="General">
                  <c:v>5.8178970517855696E-3</c:v>
                </c:pt>
                <c:pt idx="20" formatCode="General">
                  <c:v>6.0893214380428199E-3</c:v>
                </c:pt>
                <c:pt idx="21" formatCode="General">
                  <c:v>6.1822449691593898E-3</c:v>
                </c:pt>
                <c:pt idx="22" formatCode="General">
                  <c:v>6.1057631854887001E-3</c:v>
                </c:pt>
                <c:pt idx="23" formatCode="General">
                  <c:v>5.8992011845271797E-3</c:v>
                </c:pt>
                <c:pt idx="24" formatCode="General">
                  <c:v>5.6004241420830802E-3</c:v>
                </c:pt>
                <c:pt idx="25" formatCode="General">
                  <c:v>5.2507123644135699E-3</c:v>
                </c:pt>
                <c:pt idx="26" formatCode="General">
                  <c:v>4.8836889821137703E-3</c:v>
                </c:pt>
                <c:pt idx="27" formatCode="General">
                  <c:v>4.5214752282896802E-3</c:v>
                </c:pt>
                <c:pt idx="28" formatCode="General">
                  <c:v>4.1750807116964E-3</c:v>
                </c:pt>
                <c:pt idx="29" formatCode="General">
                  <c:v>3.85352351531299E-3</c:v>
                </c:pt>
                <c:pt idx="30" formatCode="General">
                  <c:v>3.5638401056934102E-3</c:v>
                </c:pt>
                <c:pt idx="31" formatCode="General">
                  <c:v>3.31082124974128E-3</c:v>
                </c:pt>
                <c:pt idx="32" formatCode="General">
                  <c:v>3.1163559142787902E-3</c:v>
                </c:pt>
                <c:pt idx="33" formatCode="General">
                  <c:v>2.8010258228365198E-3</c:v>
                </c:pt>
                <c:pt idx="34" formatCode="General">
                  <c:v>2.5569405851774501E-3</c:v>
                </c:pt>
                <c:pt idx="35" formatCode="General">
                  <c:v>2.3656164485174199E-3</c:v>
                </c:pt>
                <c:pt idx="36" formatCode="General">
                  <c:v>2.2053300187784802E-3</c:v>
                </c:pt>
                <c:pt idx="37" formatCode="General">
                  <c:v>2.06830273168536E-3</c:v>
                </c:pt>
                <c:pt idx="38" formatCode="General">
                  <c:v>1.9443048445437899E-3</c:v>
                </c:pt>
                <c:pt idx="39" formatCode="General">
                  <c:v>1.8310652635865599E-3</c:v>
                </c:pt>
                <c:pt idx="40" formatCode="General">
                  <c:v>1.7292118227684101E-3</c:v>
                </c:pt>
                <c:pt idx="41" formatCode="General">
                  <c:v>1.63637883666298E-3</c:v>
                </c:pt>
                <c:pt idx="42">
                  <c:v>1.54929455671361E-3</c:v>
                </c:pt>
                <c:pt idx="43">
                  <c:v>1.46429069427046E-3</c:v>
                </c:pt>
                <c:pt idx="44">
                  <c:v>1.3856078091129E-3</c:v>
                </c:pt>
                <c:pt idx="45">
                  <c:v>1.3116835755900801E-3</c:v>
                </c:pt>
                <c:pt idx="46">
                  <c:v>1.2401432139850599E-3</c:v>
                </c:pt>
                <c:pt idx="47">
                  <c:v>1.1716568595398901E-3</c:v>
                </c:pt>
                <c:pt idx="48">
                  <c:v>1.1073583316156799E-3</c:v>
                </c:pt>
                <c:pt idx="49">
                  <c:v>1.0464359691767799E-3</c:v>
                </c:pt>
                <c:pt idx="50">
                  <c:v>9.8813124674239903E-4</c:v>
                </c:pt>
                <c:pt idx="51">
                  <c:v>9.3202060989869598E-4</c:v>
                </c:pt>
                <c:pt idx="52">
                  <c:v>8.7889229007731497E-4</c:v>
                </c:pt>
                <c:pt idx="53">
                  <c:v>8.2778372321978702E-4</c:v>
                </c:pt>
                <c:pt idx="54">
                  <c:v>7.7793820128155701E-4</c:v>
                </c:pt>
                <c:pt idx="55">
                  <c:v>7.3028486096100701E-4</c:v>
                </c:pt>
                <c:pt idx="56">
                  <c:v>6.8594041063289803E-4</c:v>
                </c:pt>
                <c:pt idx="57">
                  <c:v>6.4315112102355599E-4</c:v>
                </c:pt>
                <c:pt idx="58">
                  <c:v>6.0221901220808402E-4</c:v>
                </c:pt>
                <c:pt idx="59">
                  <c:v>5.6423042795120495E-4</c:v>
                </c:pt>
                <c:pt idx="60">
                  <c:v>5.2686938930906297E-4</c:v>
                </c:pt>
                <c:pt idx="61">
                  <c:v>4.9013713183921899E-4</c:v>
                </c:pt>
                <c:pt idx="62">
                  <c:v>4.5616736605469702E-4</c:v>
                </c:pt>
                <c:pt idx="63">
                  <c:v>4.2401649712809199E-4</c:v>
                </c:pt>
                <c:pt idx="64">
                  <c:v>3.9321082762413297E-4</c:v>
                </c:pt>
                <c:pt idx="65">
                  <c:v>3.64984685100553E-4</c:v>
                </c:pt>
                <c:pt idx="66">
                  <c:v>3.3807675517929598E-4</c:v>
                </c:pt>
                <c:pt idx="67">
                  <c:v>3.1239567957112001E-4</c:v>
                </c:pt>
                <c:pt idx="68">
                  <c:v>2.8793729535341403E-4</c:v>
                </c:pt>
                <c:pt idx="69">
                  <c:v>2.6478199444013301E-4</c:v>
                </c:pt>
                <c:pt idx="70">
                  <c:v>2.4319846758185401E-4</c:v>
                </c:pt>
                <c:pt idx="71">
                  <c:v>2.23411356571718E-4</c:v>
                </c:pt>
                <c:pt idx="72">
                  <c:v>2.0490187591715899E-4</c:v>
                </c:pt>
                <c:pt idx="73">
                  <c:v>1.8781532282674299E-4</c:v>
                </c:pt>
                <c:pt idx="74">
                  <c:v>1.71770241533997E-4</c:v>
                </c:pt>
                <c:pt idx="75">
                  <c:v>1.5636239869995299E-4</c:v>
                </c:pt>
                <c:pt idx="76">
                  <c:v>1.4221230181096699E-4</c:v>
                </c:pt>
                <c:pt idx="77">
                  <c:v>1.2971291587741799E-4</c:v>
                </c:pt>
                <c:pt idx="78">
                  <c:v>1.1876188958229599E-4</c:v>
                </c:pt>
                <c:pt idx="79">
                  <c:v>1.0933147491092E-4</c:v>
                </c:pt>
                <c:pt idx="80">
                  <c:v>1.0125490978619599E-4</c:v>
                </c:pt>
                <c:pt idx="81">
                  <c:v>9.4461218904152999E-5</c:v>
                </c:pt>
                <c:pt idx="82">
                  <c:v>8.8909839188535704E-5</c:v>
                </c:pt>
                <c:pt idx="83">
                  <c:v>8.4672147346872894E-5</c:v>
                </c:pt>
                <c:pt idx="84">
                  <c:v>8.1799462760505297E-5</c:v>
                </c:pt>
                <c:pt idx="85">
                  <c:v>8.0406697475154904E-5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57A-410B-AF7A-EEC3ECD2E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839616"/>
        <c:axId val="79841152"/>
      </c:scatterChart>
      <c:valAx>
        <c:axId val="79839616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79841152"/>
        <c:crosses val="autoZero"/>
        <c:crossBetween val="midCat"/>
      </c:valAx>
      <c:valAx>
        <c:axId val="79841152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798396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352425</xdr:colOff>
      <xdr:row>0</xdr:row>
      <xdr:rowOff>85725</xdr:rowOff>
    </xdr:from>
    <xdr:to>
      <xdr:col>21</xdr:col>
      <xdr:colOff>219075</xdr:colOff>
      <xdr:row>20</xdr:row>
      <xdr:rowOff>176214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342900</xdr:colOff>
      <xdr:row>22</xdr:row>
      <xdr:rowOff>23812</xdr:rowOff>
    </xdr:from>
    <xdr:to>
      <xdr:col>21</xdr:col>
      <xdr:colOff>228600</xdr:colOff>
      <xdr:row>43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361949</xdr:colOff>
      <xdr:row>6</xdr:row>
      <xdr:rowOff>33336</xdr:rowOff>
    </xdr:from>
    <xdr:to>
      <xdr:col>11</xdr:col>
      <xdr:colOff>380999</xdr:colOff>
      <xdr:row>24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47624</xdr:colOff>
      <xdr:row>6</xdr:row>
      <xdr:rowOff>33337</xdr:rowOff>
    </xdr:from>
    <xdr:to>
      <xdr:col>22</xdr:col>
      <xdr:colOff>409575</xdr:colOff>
      <xdr:row>24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438150</xdr:colOff>
      <xdr:row>25</xdr:row>
      <xdr:rowOff>95250</xdr:rowOff>
    </xdr:from>
    <xdr:to>
      <xdr:col>11</xdr:col>
      <xdr:colOff>457200</xdr:colOff>
      <xdr:row>43</xdr:row>
      <xdr:rowOff>119063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66675</xdr:colOff>
      <xdr:row>25</xdr:row>
      <xdr:rowOff>133350</xdr:rowOff>
    </xdr:from>
    <xdr:to>
      <xdr:col>22</xdr:col>
      <xdr:colOff>428626</xdr:colOff>
      <xdr:row>43</xdr:row>
      <xdr:rowOff>109538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619124</xdr:colOff>
      <xdr:row>5</xdr:row>
      <xdr:rowOff>61912</xdr:rowOff>
    </xdr:from>
    <xdr:to>
      <xdr:col>16</xdr:col>
      <xdr:colOff>542924</xdr:colOff>
      <xdr:row>29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moy1_1" refreshOnLoad="1" growShrinkType="overwriteClear" connectionId="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fluct1" refreshOnLoad="1" growShrinkType="overwriteClear" connectionId="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iss1" refreshOnLoad="1" growShrinkType="overwriteClear" connectionId="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395_1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12m" refreshOnLoad="1" growShrinkType="overwriteClear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11m_1" refreshOnLoad="1" growShrinkType="overwriteClear" connectionId="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neumam" refreshOnLoad="1" growShrinkType="overwriteClear" connectionId="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iricm_1" refreshOnLoad="1" growShrinkType="overwriteClear" connectionId="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395_diric" connectionId="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queryTable" Target="../queryTables/queryTable5.xml"/><Relationship Id="rId4" Type="http://schemas.openxmlformats.org/officeDocument/2006/relationships/queryTable" Target="../queryTables/query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29"/>
  <sheetViews>
    <sheetView tabSelected="1" workbookViewId="0"/>
  </sheetViews>
  <sheetFormatPr defaultRowHeight="15" x14ac:dyDescent="0.25"/>
  <cols>
    <col min="3" max="3" width="6.7109375" customWidth="1"/>
    <col min="4" max="5" width="7" bestFit="1" customWidth="1"/>
  </cols>
  <sheetData>
    <row r="1" spans="1:9" x14ac:dyDescent="0.25">
      <c r="A1" t="s">
        <v>502</v>
      </c>
    </row>
    <row r="3" spans="1:9" x14ac:dyDescent="0.25">
      <c r="A3" t="s">
        <v>503</v>
      </c>
    </row>
    <row r="5" spans="1:9" x14ac:dyDescent="0.25">
      <c r="A5" t="s">
        <v>504</v>
      </c>
    </row>
    <row r="6" spans="1:9" x14ac:dyDescent="0.25">
      <c r="B6" t="s">
        <v>505</v>
      </c>
    </row>
    <row r="7" spans="1:9" x14ac:dyDescent="0.25">
      <c r="A7" t="s">
        <v>506</v>
      </c>
    </row>
    <row r="8" spans="1:9" x14ac:dyDescent="0.25">
      <c r="B8" t="s">
        <v>507</v>
      </c>
    </row>
    <row r="10" spans="1:9" x14ac:dyDescent="0.25">
      <c r="A10" t="s">
        <v>508</v>
      </c>
    </row>
    <row r="11" spans="1:9" x14ac:dyDescent="0.25">
      <c r="B11" t="s">
        <v>509</v>
      </c>
    </row>
    <row r="13" spans="1:9" x14ac:dyDescent="0.25">
      <c r="A13" t="s">
        <v>510</v>
      </c>
    </row>
    <row r="14" spans="1:9" x14ac:dyDescent="0.25">
      <c r="C14" s="4">
        <v>0</v>
      </c>
      <c r="D14" s="4" t="s">
        <v>511</v>
      </c>
      <c r="E14" s="4">
        <f>12.566/2</f>
        <v>6.2830000000000004</v>
      </c>
      <c r="H14" s="5" t="s">
        <v>512</v>
      </c>
      <c r="I14">
        <v>30</v>
      </c>
    </row>
    <row r="15" spans="1:9" x14ac:dyDescent="0.25">
      <c r="B15" s="5" t="s">
        <v>513</v>
      </c>
      <c r="C15" s="4">
        <f>E15-150/1020</f>
        <v>-1.1470588235294117</v>
      </c>
      <c r="D15" s="4" t="s">
        <v>514</v>
      </c>
      <c r="E15" s="4">
        <v>-1</v>
      </c>
      <c r="G15">
        <v>1</v>
      </c>
      <c r="H15" s="6" t="s">
        <v>515</v>
      </c>
      <c r="I15">
        <v>15</v>
      </c>
    </row>
    <row r="16" spans="1:9" x14ac:dyDescent="0.25">
      <c r="B16" s="5" t="s">
        <v>476</v>
      </c>
      <c r="C16" s="4">
        <v>-1</v>
      </c>
      <c r="D16" s="4" t="str">
        <f>D15</f>
        <v>&lt;= Y &lt;=</v>
      </c>
      <c r="E16" s="4">
        <v>1</v>
      </c>
      <c r="H16" s="5" t="s">
        <v>516</v>
      </c>
      <c r="I16">
        <v>15</v>
      </c>
    </row>
    <row r="17" spans="1:5" x14ac:dyDescent="0.25">
      <c r="B17" s="5" t="s">
        <v>517</v>
      </c>
      <c r="C17" s="4">
        <v>1</v>
      </c>
      <c r="D17" s="4" t="str">
        <f>D16</f>
        <v>&lt;= Y &lt;=</v>
      </c>
      <c r="E17" s="4">
        <f>C17+150/1020</f>
        <v>1.1470588235294117</v>
      </c>
    </row>
    <row r="18" spans="1:5" x14ac:dyDescent="0.25">
      <c r="C18" s="4">
        <v>0</v>
      </c>
      <c r="D18" s="4" t="s">
        <v>518</v>
      </c>
      <c r="E18" s="4">
        <f>6.284/2</f>
        <v>3.1419999999999999</v>
      </c>
    </row>
    <row r="20" spans="1:5" x14ac:dyDescent="0.25">
      <c r="A20" t="s">
        <v>519</v>
      </c>
    </row>
    <row r="21" spans="1:5" x14ac:dyDescent="0.25">
      <c r="B21" s="5" t="s">
        <v>520</v>
      </c>
      <c r="C21">
        <v>1020</v>
      </c>
    </row>
    <row r="23" spans="1:5" x14ac:dyDescent="0.25">
      <c r="A23" s="7" t="s">
        <v>544</v>
      </c>
      <c r="B23" s="7"/>
    </row>
    <row r="24" spans="1:5" x14ac:dyDescent="0.25">
      <c r="A24" s="7">
        <v>1</v>
      </c>
      <c r="B24" s="7" t="s">
        <v>521</v>
      </c>
      <c r="C24" t="s">
        <v>522</v>
      </c>
    </row>
    <row r="25" spans="1:5" x14ac:dyDescent="0.25">
      <c r="A25">
        <v>1</v>
      </c>
      <c r="B25" t="s">
        <v>523</v>
      </c>
      <c r="C25" t="s">
        <v>524</v>
      </c>
    </row>
    <row r="26" spans="1:5" x14ac:dyDescent="0.25">
      <c r="A26">
        <v>1</v>
      </c>
      <c r="B26" t="s">
        <v>526</v>
      </c>
      <c r="C26" t="s">
        <v>525</v>
      </c>
    </row>
    <row r="27" spans="1:5" x14ac:dyDescent="0.25">
      <c r="A27">
        <v>1</v>
      </c>
      <c r="B27" t="s">
        <v>527</v>
      </c>
      <c r="C27" t="s">
        <v>528</v>
      </c>
    </row>
    <row r="28" spans="1:5" x14ac:dyDescent="0.25">
      <c r="D28" t="s">
        <v>529</v>
      </c>
    </row>
    <row r="29" spans="1:5" x14ac:dyDescent="0.25">
      <c r="D29" t="s">
        <v>530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87"/>
  <sheetViews>
    <sheetView workbookViewId="0"/>
  </sheetViews>
  <sheetFormatPr defaultRowHeight="15" x14ac:dyDescent="0.25"/>
  <cols>
    <col min="1" max="2" width="12" bestFit="1" customWidth="1"/>
    <col min="3" max="3" width="12" customWidth="1"/>
    <col min="4" max="4" width="12.7109375" bestFit="1" customWidth="1"/>
    <col min="5" max="5" width="8.28515625" customWidth="1"/>
  </cols>
  <sheetData>
    <row r="1" spans="1:6" x14ac:dyDescent="0.25">
      <c r="A1" t="s">
        <v>370</v>
      </c>
      <c r="B1" t="s">
        <v>531</v>
      </c>
      <c r="C1" t="s">
        <v>532</v>
      </c>
    </row>
    <row r="2" spans="1:6" x14ac:dyDescent="0.25">
      <c r="A2">
        <v>0.49999237060546797</v>
      </c>
      <c r="B2">
        <v>0.50009702715803495</v>
      </c>
      <c r="C2" s="1">
        <v>4.3453786710223502E-5</v>
      </c>
      <c r="E2" s="1"/>
      <c r="F2" s="1"/>
    </row>
    <row r="3" spans="1:6" x14ac:dyDescent="0.25">
      <c r="A3">
        <v>1.54496669769287</v>
      </c>
      <c r="B3">
        <v>1.5431683758602399</v>
      </c>
      <c r="C3">
        <v>3.53095588415897E-4</v>
      </c>
      <c r="E3" s="1"/>
      <c r="F3" s="1"/>
    </row>
    <row r="4" spans="1:6" x14ac:dyDescent="0.25">
      <c r="A4">
        <v>2.6840543746948198</v>
      </c>
      <c r="B4">
        <v>2.67049393198069</v>
      </c>
      <c r="C4">
        <v>1.3842311958853701E-3</v>
      </c>
      <c r="E4" s="1"/>
      <c r="F4" s="1"/>
    </row>
    <row r="5" spans="1:6" x14ac:dyDescent="0.25">
      <c r="A5">
        <v>3.9255237579345699</v>
      </c>
      <c r="B5">
        <v>3.8708534882349102</v>
      </c>
      <c r="C5">
        <v>3.07969712025624E-3</v>
      </c>
      <c r="E5" s="1"/>
      <c r="F5" s="1"/>
    </row>
    <row r="6" spans="1:6" x14ac:dyDescent="0.25">
      <c r="A6">
        <v>5.2789807319641104</v>
      </c>
      <c r="B6">
        <v>5.1177850137738599</v>
      </c>
      <c r="C6">
        <v>5.9958431492077502E-3</v>
      </c>
      <c r="E6" s="1"/>
      <c r="F6" s="1"/>
    </row>
    <row r="7" spans="1:6" x14ac:dyDescent="0.25">
      <c r="A7">
        <v>6.7539703845977703</v>
      </c>
      <c r="B7">
        <v>6.3703008507980998</v>
      </c>
      <c r="C7">
        <v>1.22829056149385E-2</v>
      </c>
      <c r="E7" s="1"/>
      <c r="F7" s="1"/>
    </row>
    <row r="8" spans="1:6" x14ac:dyDescent="0.25">
      <c r="A8">
        <v>8.3618009090423495</v>
      </c>
      <c r="B8">
        <v>7.5808439759647097</v>
      </c>
      <c r="C8">
        <v>2.7124312409796399E-2</v>
      </c>
      <c r="E8" s="1"/>
      <c r="F8" s="1"/>
    </row>
    <row r="9" spans="1:6" x14ac:dyDescent="0.25">
      <c r="A9">
        <v>10.114449262619001</v>
      </c>
      <c r="B9">
        <v>8.7076550301383495</v>
      </c>
      <c r="C9">
        <v>5.6867343444537199E-2</v>
      </c>
      <c r="E9" s="1"/>
      <c r="F9" s="1"/>
    </row>
    <row r="10" spans="1:6" x14ac:dyDescent="0.25">
      <c r="A10">
        <v>12.0248043537139</v>
      </c>
      <c r="B10">
        <v>9.72450896080802</v>
      </c>
      <c r="C10">
        <v>0.103361749466785</v>
      </c>
      <c r="E10" s="1"/>
      <c r="F10" s="1"/>
    </row>
    <row r="11" spans="1:6" x14ac:dyDescent="0.25">
      <c r="A11">
        <v>14.106971025466899</v>
      </c>
      <c r="B11">
        <v>10.622737127191799</v>
      </c>
      <c r="C11">
        <v>0.16277236229871</v>
      </c>
      <c r="E11" s="1"/>
      <c r="F11" s="1"/>
    </row>
    <row r="12" spans="1:6" x14ac:dyDescent="0.25">
      <c r="A12">
        <v>16.3765740394592</v>
      </c>
      <c r="B12">
        <v>11.406849236348</v>
      </c>
      <c r="C12">
        <v>0.229752029539668</v>
      </c>
      <c r="E12" s="1"/>
      <c r="F12" s="1"/>
    </row>
    <row r="13" spans="1:6" x14ac:dyDescent="0.25">
      <c r="A13">
        <v>18.850514888763399</v>
      </c>
      <c r="B13">
        <v>12.0883589071386</v>
      </c>
      <c r="C13">
        <v>0.30079917307739301</v>
      </c>
      <c r="E13" s="1"/>
      <c r="F13" s="1"/>
    </row>
    <row r="14" spans="1:6" x14ac:dyDescent="0.25">
      <c r="A14">
        <v>21.5470933914184</v>
      </c>
      <c r="B14">
        <v>12.681044516142601</v>
      </c>
      <c r="C14">
        <v>0.37476419239828801</v>
      </c>
      <c r="E14" s="1"/>
      <c r="F14" s="1"/>
    </row>
    <row r="15" spans="1:6" x14ac:dyDescent="0.25">
      <c r="A15">
        <v>24.4862508773803</v>
      </c>
      <c r="B15">
        <v>13.1983353173031</v>
      </c>
      <c r="C15">
        <v>0.45181564881931902</v>
      </c>
      <c r="E15" s="1"/>
      <c r="F15" s="1"/>
    </row>
    <row r="16" spans="1:6" x14ac:dyDescent="0.25">
      <c r="A16">
        <v>27.690056562423699</v>
      </c>
      <c r="B16">
        <v>13.6522682007621</v>
      </c>
      <c r="C16">
        <v>0.53221217772806895</v>
      </c>
      <c r="E16" s="1"/>
      <c r="F16" s="1"/>
    </row>
    <row r="17" spans="1:6" x14ac:dyDescent="0.25">
      <c r="A17">
        <v>31.182160377502399</v>
      </c>
      <c r="B17">
        <v>14.0532607218798</v>
      </c>
      <c r="C17">
        <v>0.61549960644333601</v>
      </c>
      <c r="E17" s="1"/>
      <c r="F17" s="1"/>
    </row>
    <row r="18" spans="1:6" x14ac:dyDescent="0.25">
      <c r="A18">
        <v>34.988522529602001</v>
      </c>
      <c r="B18">
        <v>14.410199413579999</v>
      </c>
      <c r="C18">
        <v>0.70020699918677498</v>
      </c>
      <c r="E18" s="1"/>
      <c r="F18" s="1"/>
    </row>
    <row r="19" spans="1:6" x14ac:dyDescent="0.25">
      <c r="A19">
        <v>39.137535095214801</v>
      </c>
      <c r="B19">
        <v>14.730621363134899</v>
      </c>
      <c r="C19">
        <v>0.783998441911535</v>
      </c>
      <c r="E19" s="1"/>
      <c r="F19" s="1"/>
    </row>
    <row r="20" spans="1:6" x14ac:dyDescent="0.25">
      <c r="A20">
        <v>43.659839630126903</v>
      </c>
      <c r="B20">
        <v>15.0209395324482</v>
      </c>
      <c r="C20">
        <v>0.86417597727268003</v>
      </c>
      <c r="E20" s="1"/>
      <c r="F20" s="1"/>
    </row>
    <row r="21" spans="1:6" x14ac:dyDescent="0.25">
      <c r="A21">
        <v>48.589299917220998</v>
      </c>
      <c r="B21">
        <v>15.286635889726499</v>
      </c>
      <c r="C21">
        <v>0.93836926473886695</v>
      </c>
      <c r="E21" s="1"/>
      <c r="F21" s="1"/>
    </row>
    <row r="22" spans="1:6" x14ac:dyDescent="0.25">
      <c r="A22">
        <v>53.962393999099703</v>
      </c>
      <c r="B22">
        <v>15.532431431377599</v>
      </c>
      <c r="C22">
        <v>1.00518994071171</v>
      </c>
      <c r="E22" s="1"/>
      <c r="F22" s="1"/>
    </row>
    <row r="23" spans="1:6" x14ac:dyDescent="0.25">
      <c r="A23">
        <v>59.819004535674999</v>
      </c>
      <c r="B23">
        <v>15.762439696929</v>
      </c>
      <c r="C23">
        <v>1.06426722681499</v>
      </c>
      <c r="E23" s="1"/>
      <c r="F23" s="1"/>
    </row>
    <row r="24" spans="1:6" x14ac:dyDescent="0.25">
      <c r="A24">
        <v>66.2026619911193</v>
      </c>
      <c r="B24">
        <v>15.9803120304556</v>
      </c>
      <c r="C24">
        <v>1.11612933836295</v>
      </c>
      <c r="E24" s="1"/>
      <c r="F24" s="1"/>
    </row>
    <row r="25" spans="1:6" x14ac:dyDescent="0.25">
      <c r="A25">
        <v>73.160848617553697</v>
      </c>
      <c r="B25">
        <v>16.189257388956399</v>
      </c>
      <c r="C25">
        <v>1.1621199359069501</v>
      </c>
      <c r="E25" s="1"/>
      <c r="F25" s="1"/>
    </row>
    <row r="26" spans="1:6" x14ac:dyDescent="0.25">
      <c r="A26">
        <v>80.745424032211304</v>
      </c>
      <c r="B26">
        <v>16.392043993052301</v>
      </c>
      <c r="C26">
        <v>1.2036882202955801</v>
      </c>
      <c r="E26" s="1"/>
      <c r="F26" s="1"/>
    </row>
    <row r="27" spans="1:6" x14ac:dyDescent="0.25">
      <c r="A27">
        <v>89.012442827224703</v>
      </c>
      <c r="B27">
        <v>16.591042245135501</v>
      </c>
      <c r="C27">
        <v>1.24217487187706</v>
      </c>
      <c r="E27" s="1"/>
      <c r="F27" s="1"/>
    </row>
    <row r="28" spans="1:6" x14ac:dyDescent="0.25">
      <c r="A28">
        <v>98.0235528945922</v>
      </c>
      <c r="B28">
        <v>16.788252791236399</v>
      </c>
      <c r="C28">
        <v>1.2787746438116301</v>
      </c>
      <c r="E28" s="1"/>
      <c r="F28" s="1"/>
    </row>
    <row r="29" spans="1:6" x14ac:dyDescent="0.25">
      <c r="A29">
        <v>107.845630645751</v>
      </c>
      <c r="B29">
        <v>16.985453433149001</v>
      </c>
      <c r="C29">
        <v>1.31425868935184</v>
      </c>
      <c r="E29" s="1"/>
      <c r="F29" s="1"/>
    </row>
    <row r="30" spans="1:6" x14ac:dyDescent="0.25">
      <c r="A30">
        <v>118.551753759384</v>
      </c>
      <c r="B30">
        <v>17.1842436972786</v>
      </c>
      <c r="C30">
        <v>1.3492027015308801</v>
      </c>
      <c r="E30" s="1"/>
      <c r="F30" s="1"/>
    </row>
    <row r="31" spans="1:6" x14ac:dyDescent="0.25">
      <c r="A31">
        <v>130.22150516510001</v>
      </c>
      <c r="B31">
        <v>17.386135623034299</v>
      </c>
      <c r="C31">
        <v>1.38399390122503</v>
      </c>
      <c r="E31" s="1"/>
      <c r="F31" s="1"/>
    </row>
    <row r="32" spans="1:6" x14ac:dyDescent="0.25">
      <c r="A32">
        <v>142.941337823867</v>
      </c>
      <c r="B32">
        <v>17.5926511540132</v>
      </c>
      <c r="C32">
        <v>1.4191016190452499</v>
      </c>
      <c r="E32" s="1"/>
      <c r="F32" s="1"/>
    </row>
    <row r="33" spans="1:6" x14ac:dyDescent="0.25">
      <c r="A33">
        <v>156.806094646453</v>
      </c>
      <c r="B33">
        <v>17.8051207528394</v>
      </c>
      <c r="C33">
        <v>1.4551580691186199</v>
      </c>
      <c r="E33" s="1"/>
      <c r="F33" s="1"/>
    </row>
    <row r="34" spans="1:6" x14ac:dyDescent="0.25">
      <c r="A34">
        <v>171.91864371299701</v>
      </c>
      <c r="B34">
        <v>18.024595914167499</v>
      </c>
      <c r="C34">
        <v>1.49403553837328</v>
      </c>
      <c r="E34" s="1"/>
      <c r="F34" s="1"/>
    </row>
    <row r="35" spans="1:6" x14ac:dyDescent="0.25">
      <c r="A35">
        <v>187.726768255233</v>
      </c>
      <c r="B35">
        <v>18.242966758503599</v>
      </c>
      <c r="C35">
        <v>1.4522289404994799</v>
      </c>
      <c r="E35" s="1"/>
      <c r="F35" s="1"/>
    </row>
    <row r="36" spans="1:6" x14ac:dyDescent="0.25">
      <c r="A36">
        <v>203.579578399658</v>
      </c>
      <c r="B36">
        <v>18.4519814463222</v>
      </c>
      <c r="C36">
        <v>1.4114170111133699</v>
      </c>
      <c r="E36" s="1"/>
      <c r="F36" s="1"/>
    </row>
    <row r="37" spans="1:6" x14ac:dyDescent="0.25">
      <c r="A37">
        <v>219.43238854408199</v>
      </c>
      <c r="B37">
        <v>18.652103823773999</v>
      </c>
      <c r="C37">
        <v>1.3763277911057199</v>
      </c>
      <c r="E37" s="1"/>
      <c r="F37" s="1"/>
    </row>
    <row r="38" spans="1:6" x14ac:dyDescent="0.25">
      <c r="A38">
        <v>235.28525948524401</v>
      </c>
      <c r="B38">
        <v>18.844494331584201</v>
      </c>
      <c r="C38">
        <v>1.3448081350943499</v>
      </c>
      <c r="E38" s="1"/>
      <c r="F38" s="1"/>
    </row>
    <row r="39" spans="1:6" x14ac:dyDescent="0.25">
      <c r="A39">
        <v>251.13806962966899</v>
      </c>
      <c r="B39">
        <v>19.0298792768927</v>
      </c>
      <c r="C39">
        <v>1.31565650738775</v>
      </c>
      <c r="E39" s="1"/>
      <c r="F39" s="1"/>
    </row>
    <row r="40" spans="1:6" x14ac:dyDescent="0.25">
      <c r="A40">
        <v>266.99081897735499</v>
      </c>
      <c r="B40">
        <v>19.2087093002655</v>
      </c>
      <c r="C40">
        <v>1.2878744371701001</v>
      </c>
      <c r="E40" s="1"/>
      <c r="F40" s="1"/>
    </row>
    <row r="41" spans="1:6" x14ac:dyDescent="0.25">
      <c r="A41">
        <v>282.84362912178</v>
      </c>
      <c r="B41">
        <v>19.381580303697</v>
      </c>
      <c r="C41">
        <v>1.26124539726879</v>
      </c>
      <c r="E41" s="1"/>
      <c r="F41" s="1"/>
    </row>
    <row r="42" spans="1:6" x14ac:dyDescent="0.25">
      <c r="A42">
        <v>298.69643926620398</v>
      </c>
      <c r="B42">
        <v>19.549060127314299</v>
      </c>
      <c r="C42">
        <v>1.23591911719995</v>
      </c>
      <c r="E42" s="1"/>
      <c r="F42" s="1"/>
    </row>
    <row r="43" spans="1:6" x14ac:dyDescent="0.25">
      <c r="A43">
        <v>314.54931020736598</v>
      </c>
      <c r="B43">
        <v>19.711546589346401</v>
      </c>
      <c r="C43">
        <v>1.21157887330628</v>
      </c>
      <c r="E43" s="1"/>
      <c r="F43" s="1"/>
    </row>
    <row r="44" spans="1:6" x14ac:dyDescent="0.25">
      <c r="A44">
        <v>330.40212035179098</v>
      </c>
      <c r="B44">
        <v>19.869383034986601</v>
      </c>
      <c r="C44">
        <v>1.18789201325853</v>
      </c>
      <c r="E44" s="1"/>
      <c r="F44" s="1"/>
    </row>
    <row r="45" spans="1:6" x14ac:dyDescent="0.25">
      <c r="A45">
        <v>346.25493049621502</v>
      </c>
      <c r="B45">
        <v>20.022802212658998</v>
      </c>
      <c r="C45">
        <v>1.1644110955239699</v>
      </c>
      <c r="E45" s="1"/>
      <c r="F45" s="1"/>
    </row>
    <row r="46" spans="1:6" x14ac:dyDescent="0.25">
      <c r="A46">
        <v>362.10780143737702</v>
      </c>
      <c r="B46">
        <v>20.172144166161001</v>
      </c>
      <c r="C46">
        <v>1.1412437157123301</v>
      </c>
      <c r="E46" s="1"/>
      <c r="F46" s="1"/>
    </row>
    <row r="47" spans="1:6" x14ac:dyDescent="0.25">
      <c r="A47">
        <v>377.96061158180203</v>
      </c>
      <c r="B47">
        <v>20.317498033186901</v>
      </c>
      <c r="C47">
        <v>1.11848739840206</v>
      </c>
      <c r="E47" s="1"/>
      <c r="F47" s="1"/>
    </row>
    <row r="48" spans="1:6" x14ac:dyDescent="0.25">
      <c r="A48">
        <v>393.81348252296402</v>
      </c>
      <c r="B48">
        <v>20.458835751870001</v>
      </c>
      <c r="C48">
        <v>1.09601553634274</v>
      </c>
      <c r="E48" s="1"/>
      <c r="F48" s="1"/>
    </row>
    <row r="49" spans="1:6" x14ac:dyDescent="0.25">
      <c r="A49">
        <v>409.66629266738801</v>
      </c>
      <c r="B49">
        <v>20.596312487826602</v>
      </c>
      <c r="C49">
        <v>1.07378332372172</v>
      </c>
      <c r="E49" s="1"/>
      <c r="F49" s="1"/>
    </row>
    <row r="50" spans="1:6" x14ac:dyDescent="0.25">
      <c r="A50">
        <v>425.519042015075</v>
      </c>
      <c r="B50">
        <v>20.7301065164453</v>
      </c>
      <c r="C50">
        <v>1.05183433316415</v>
      </c>
      <c r="E50" s="1"/>
      <c r="F50" s="1"/>
    </row>
    <row r="51" spans="1:6" x14ac:dyDescent="0.25">
      <c r="A51">
        <v>441.371912956237</v>
      </c>
      <c r="B51">
        <v>20.860308626118801</v>
      </c>
      <c r="C51">
        <v>1.0302514965296701</v>
      </c>
      <c r="E51" s="1"/>
      <c r="F51" s="1"/>
    </row>
    <row r="52" spans="1:6" x14ac:dyDescent="0.25">
      <c r="A52">
        <v>457.22478389739899</v>
      </c>
      <c r="B52">
        <v>20.9870772838592</v>
      </c>
      <c r="C52">
        <v>1.0088089349737801</v>
      </c>
    </row>
    <row r="53" spans="1:6" x14ac:dyDescent="0.25">
      <c r="A53">
        <v>473.07753324508599</v>
      </c>
      <c r="B53">
        <v>21.1105098808512</v>
      </c>
      <c r="C53">
        <v>0.98730892743333198</v>
      </c>
    </row>
    <row r="54" spans="1:6" x14ac:dyDescent="0.25">
      <c r="A54">
        <v>488.93034338951099</v>
      </c>
      <c r="B54">
        <v>21.2306641915265</v>
      </c>
      <c r="C54">
        <v>0.96600016672164202</v>
      </c>
    </row>
    <row r="55" spans="1:6" x14ac:dyDescent="0.25">
      <c r="A55">
        <v>504.78321433067299</v>
      </c>
      <c r="B55">
        <v>21.3475732298458</v>
      </c>
      <c r="C55">
        <v>0.94471216466626995</v>
      </c>
    </row>
    <row r="56" spans="1:6" x14ac:dyDescent="0.25">
      <c r="A56">
        <v>520.63602447509697</v>
      </c>
      <c r="B56">
        <v>21.461349243276199</v>
      </c>
      <c r="C56">
        <v>0.92336127004818902</v>
      </c>
    </row>
    <row r="57" spans="1:6" x14ac:dyDescent="0.25">
      <c r="A57">
        <v>536.48889541625897</v>
      </c>
      <c r="B57">
        <v>21.572015341590401</v>
      </c>
      <c r="C57">
        <v>0.90209392388351195</v>
      </c>
    </row>
    <row r="58" spans="1:6" x14ac:dyDescent="0.25">
      <c r="A58">
        <v>552.34173595905304</v>
      </c>
      <c r="B58">
        <v>21.679624347125699</v>
      </c>
      <c r="C58">
        <v>0.88090714596910402</v>
      </c>
    </row>
    <row r="59" spans="1:6" x14ac:dyDescent="0.25">
      <c r="A59">
        <v>568.19448530673901</v>
      </c>
      <c r="B59">
        <v>21.784201020352899</v>
      </c>
      <c r="C59">
        <v>0.85984610179730203</v>
      </c>
    </row>
    <row r="60" spans="1:6" x14ac:dyDescent="0.25">
      <c r="A60">
        <v>584.04732584953297</v>
      </c>
      <c r="B60">
        <v>21.885849355248801</v>
      </c>
      <c r="C60">
        <v>0.83894722178229097</v>
      </c>
    </row>
    <row r="61" spans="1:6" x14ac:dyDescent="0.25">
      <c r="A61">
        <v>599.90016639232601</v>
      </c>
      <c r="B61">
        <v>21.984587509491799</v>
      </c>
      <c r="C61">
        <v>0.81822417375224099</v>
      </c>
    </row>
    <row r="62" spans="1:6" x14ac:dyDescent="0.25">
      <c r="A62">
        <v>615.75300693511895</v>
      </c>
      <c r="B62">
        <v>22.0803577086504</v>
      </c>
      <c r="C62">
        <v>0.79743150201102198</v>
      </c>
    </row>
    <row r="63" spans="1:6" x14ac:dyDescent="0.25">
      <c r="A63">
        <v>631.60581707954395</v>
      </c>
      <c r="B63">
        <v>22.1731120824813</v>
      </c>
      <c r="C63">
        <v>0.77676523198897396</v>
      </c>
    </row>
    <row r="64" spans="1:6" x14ac:dyDescent="0.25">
      <c r="A64">
        <v>647.45859682559899</v>
      </c>
      <c r="B64">
        <v>22.262883644945401</v>
      </c>
      <c r="C64">
        <v>0.75634128331148498</v>
      </c>
    </row>
    <row r="65" spans="1:3" x14ac:dyDescent="0.25">
      <c r="A65">
        <v>663.31143736839203</v>
      </c>
      <c r="B65">
        <v>22.3496509369681</v>
      </c>
      <c r="C65">
        <v>0.73598510856390897</v>
      </c>
    </row>
    <row r="66" spans="1:3" x14ac:dyDescent="0.25">
      <c r="A66">
        <v>679.16427791118599</v>
      </c>
      <c r="B66">
        <v>22.433423862737701</v>
      </c>
      <c r="C66">
        <v>0.71579238254344002</v>
      </c>
    </row>
    <row r="67" spans="1:3" x14ac:dyDescent="0.25">
      <c r="A67">
        <v>695.01711845397904</v>
      </c>
      <c r="B67">
        <v>22.514235436215099</v>
      </c>
      <c r="C67">
        <v>0.69581382008618597</v>
      </c>
    </row>
    <row r="68" spans="1:3" x14ac:dyDescent="0.25">
      <c r="A68">
        <v>710.86992859840302</v>
      </c>
      <c r="B68">
        <v>22.592080705306099</v>
      </c>
      <c r="C68">
        <v>0.67605353181715999</v>
      </c>
    </row>
    <row r="69" spans="1:3" x14ac:dyDescent="0.25">
      <c r="A69">
        <v>726.72273874282803</v>
      </c>
      <c r="B69">
        <v>22.666958019312599</v>
      </c>
      <c r="C69">
        <v>0.65663565861177597</v>
      </c>
    </row>
    <row r="70" spans="1:3" x14ac:dyDescent="0.25">
      <c r="A70">
        <v>742.57554888725201</v>
      </c>
      <c r="B70">
        <v>22.738725418203</v>
      </c>
      <c r="C70">
        <v>0.63762432622024701</v>
      </c>
    </row>
    <row r="71" spans="1:3" x14ac:dyDescent="0.25">
      <c r="A71">
        <v>758.42838943004597</v>
      </c>
      <c r="B71">
        <v>22.8072293870589</v>
      </c>
      <c r="C71">
        <v>0.61906680683023196</v>
      </c>
    </row>
    <row r="72" spans="1:3" x14ac:dyDescent="0.25">
      <c r="A72">
        <v>774.28122997283901</v>
      </c>
      <c r="B72">
        <v>22.872430309127299</v>
      </c>
      <c r="C72">
        <v>0.60095328632451095</v>
      </c>
    </row>
    <row r="73" spans="1:3" x14ac:dyDescent="0.25">
      <c r="A73">
        <v>790.13402491807904</v>
      </c>
      <c r="B73">
        <v>22.934278663466898</v>
      </c>
      <c r="C73">
        <v>0.583487189258448</v>
      </c>
    </row>
    <row r="74" spans="1:3" x14ac:dyDescent="0.25">
      <c r="A74">
        <v>805.98686546087197</v>
      </c>
      <c r="B74">
        <v>22.992701819363699</v>
      </c>
      <c r="C74">
        <v>0.56665181621792704</v>
      </c>
    </row>
    <row r="75" spans="1:3" x14ac:dyDescent="0.25">
      <c r="A75">
        <v>821.83970600366501</v>
      </c>
      <c r="B75">
        <v>23.0475792758605</v>
      </c>
      <c r="C75">
        <v>0.55038627856993105</v>
      </c>
    </row>
    <row r="76" spans="1:3" x14ac:dyDescent="0.25">
      <c r="A76">
        <v>837.69251614809002</v>
      </c>
      <c r="B76">
        <v>23.0987987854901</v>
      </c>
      <c r="C76">
        <v>0.53473111735365797</v>
      </c>
    </row>
    <row r="77" spans="1:3" x14ac:dyDescent="0.25">
      <c r="A77">
        <v>853.54535669088295</v>
      </c>
      <c r="B77">
        <v>23.146305875217202</v>
      </c>
      <c r="C77">
        <v>0.51974018175678705</v>
      </c>
    </row>
    <row r="78" spans="1:3" x14ac:dyDescent="0.25">
      <c r="A78">
        <v>869.39818203449204</v>
      </c>
      <c r="B78">
        <v>23.190044421308102</v>
      </c>
      <c r="C78">
        <v>0.50574566166323998</v>
      </c>
    </row>
    <row r="79" spans="1:3" x14ac:dyDescent="0.25">
      <c r="A79">
        <v>885.25099217891602</v>
      </c>
      <c r="B79">
        <v>23.2299054776921</v>
      </c>
      <c r="C79">
        <v>0.49291727450327</v>
      </c>
    </row>
    <row r="80" spans="1:3" x14ac:dyDescent="0.25">
      <c r="A80">
        <v>901.10380992293301</v>
      </c>
      <c r="B80">
        <v>23.265771844807698</v>
      </c>
      <c r="C80">
        <v>0.481292735261376</v>
      </c>
    </row>
    <row r="81" spans="1:3" x14ac:dyDescent="0.25">
      <c r="A81">
        <v>916.95665046572606</v>
      </c>
      <c r="B81">
        <v>23.2975296244901</v>
      </c>
      <c r="C81">
        <v>0.470954821648774</v>
      </c>
    </row>
    <row r="82" spans="1:3" x14ac:dyDescent="0.25">
      <c r="A82">
        <v>932.80946820974305</v>
      </c>
      <c r="B82">
        <v>23.325043459499501</v>
      </c>
      <c r="C82">
        <v>0.46197721661883401</v>
      </c>
    </row>
    <row r="83" spans="1:3" x14ac:dyDescent="0.25">
      <c r="A83">
        <v>948.66229355335201</v>
      </c>
      <c r="B83">
        <v>23.348118567466699</v>
      </c>
      <c r="C83">
        <v>0.45439599090604998</v>
      </c>
    </row>
    <row r="84" spans="1:3" x14ac:dyDescent="0.25">
      <c r="A84">
        <v>964.51511889696098</v>
      </c>
      <c r="B84">
        <v>23.366649303716699</v>
      </c>
      <c r="C84">
        <v>0.44812780158826998</v>
      </c>
    </row>
    <row r="85" spans="1:3" x14ac:dyDescent="0.25">
      <c r="A85">
        <v>980.36794044077305</v>
      </c>
      <c r="B85">
        <v>23.380612558477001</v>
      </c>
      <c r="C85">
        <v>0.44329596741590599</v>
      </c>
    </row>
    <row r="86" spans="1:3" x14ac:dyDescent="0.25">
      <c r="A86">
        <v>996.22076388448397</v>
      </c>
      <c r="B86">
        <v>23.3899835712769</v>
      </c>
      <c r="C86">
        <v>0.44003151456126899</v>
      </c>
    </row>
    <row r="87" spans="1:3" x14ac:dyDescent="0.25">
      <c r="A87">
        <v>1012.07358780317</v>
      </c>
      <c r="B87">
        <v>23.3947375816457</v>
      </c>
      <c r="C87">
        <v>0.438400983766769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87"/>
  <sheetViews>
    <sheetView workbookViewId="0"/>
  </sheetViews>
  <sheetFormatPr defaultRowHeight="15" x14ac:dyDescent="0.25"/>
  <cols>
    <col min="1" max="5" width="12" bestFit="1" customWidth="1"/>
    <col min="9" max="9" width="11" bestFit="1" customWidth="1"/>
    <col min="11" max="11" width="14" customWidth="1"/>
    <col min="13" max="13" width="12.7109375" bestFit="1" customWidth="1"/>
    <col min="14" max="14" width="12" bestFit="1" customWidth="1"/>
    <col min="15" max="15" width="12.7109375" bestFit="1" customWidth="1"/>
    <col min="16" max="16" width="12" bestFit="1" customWidth="1"/>
    <col min="17" max="17" width="12.7109375" bestFit="1" customWidth="1"/>
    <col min="18" max="18" width="12" bestFit="1" customWidth="1"/>
    <col min="19" max="20" width="12.7109375" bestFit="1" customWidth="1"/>
  </cols>
  <sheetData>
    <row r="1" spans="1:20" x14ac:dyDescent="0.25">
      <c r="A1" t="s">
        <v>370</v>
      </c>
      <c r="B1" t="s">
        <v>533</v>
      </c>
      <c r="C1" t="s">
        <v>534</v>
      </c>
      <c r="D1" t="s">
        <v>535</v>
      </c>
      <c r="E1" t="s">
        <v>536</v>
      </c>
      <c r="G1" t="s">
        <v>15</v>
      </c>
      <c r="H1" t="s">
        <v>16</v>
      </c>
    </row>
    <row r="2" spans="1:20" x14ac:dyDescent="0.25">
      <c r="A2">
        <v>0.49999237060546797</v>
      </c>
      <c r="B2">
        <v>4.4255697584516002E-2</v>
      </c>
      <c r="C2" s="1">
        <v>8.0429396286531004E-6</v>
      </c>
      <c r="D2">
        <v>1.38138388298596E-2</v>
      </c>
      <c r="E2">
        <v>1.4734387627719501E-4</v>
      </c>
      <c r="G2">
        <f>(D2+C2+B2)/2</f>
        <v>2.9038789677002127E-2</v>
      </c>
      <c r="H2">
        <f>scalar!L13*Rij!G2+scalar!M13*Rij!G3+scalar!N13*Rij!G4</f>
        <v>2.8441282562144989E-2</v>
      </c>
      <c r="K2" s="1"/>
      <c r="T2" s="1"/>
    </row>
    <row r="3" spans="1:20" x14ac:dyDescent="0.25">
      <c r="A3">
        <v>1.54496669769287</v>
      </c>
      <c r="B3">
        <v>0.42120295535515201</v>
      </c>
      <c r="C3">
        <v>1.4410916331448499E-4</v>
      </c>
      <c r="D3">
        <v>0.102654134325512</v>
      </c>
      <c r="E3">
        <v>2.8014828977787299E-3</v>
      </c>
      <c r="G3">
        <f>(D3+C3+B3)/2</f>
        <v>0.26200059942198928</v>
      </c>
      <c r="K3" s="1"/>
      <c r="T3" s="1"/>
    </row>
    <row r="4" spans="1:20" x14ac:dyDescent="0.25">
      <c r="A4">
        <v>2.6840543746948198</v>
      </c>
      <c r="B4">
        <v>1.2526153021258699</v>
      </c>
      <c r="C4">
        <v>1.0162051579511301E-3</v>
      </c>
      <c r="D4">
        <v>0.24931727913222801</v>
      </c>
      <c r="E4">
        <v>1.5220729878076E-2</v>
      </c>
      <c r="G4">
        <f>(D4+C4+B4)/2</f>
        <v>0.75147439320802456</v>
      </c>
      <c r="K4" s="1"/>
    </row>
    <row r="5" spans="1:20" x14ac:dyDescent="0.25">
      <c r="A5">
        <v>3.9255237579345699</v>
      </c>
      <c r="B5">
        <v>2.5673285662866201</v>
      </c>
      <c r="C5">
        <v>3.6819606403085299E-3</v>
      </c>
      <c r="D5">
        <v>0.42639433326689402</v>
      </c>
      <c r="E5">
        <v>4.6073518029505101E-2</v>
      </c>
      <c r="G5" s="1"/>
      <c r="K5" s="1"/>
    </row>
    <row r="6" spans="1:20" x14ac:dyDescent="0.25">
      <c r="A6">
        <v>5.2789807319641104</v>
      </c>
      <c r="B6">
        <v>4.2612949201064998</v>
      </c>
      <c r="C6">
        <v>9.5139986620228004E-3</v>
      </c>
      <c r="D6">
        <v>0.61126280698013202</v>
      </c>
      <c r="E6">
        <v>0.102153818102949</v>
      </c>
      <c r="K6" s="1"/>
    </row>
    <row r="7" spans="1:20" x14ac:dyDescent="0.25">
      <c r="A7">
        <v>6.7539703845977703</v>
      </c>
      <c r="B7">
        <v>6.0759637791464796</v>
      </c>
      <c r="C7">
        <v>2.0002346091465999E-2</v>
      </c>
      <c r="D7">
        <v>0.78928372974472005</v>
      </c>
      <c r="E7">
        <v>0.18396853398159399</v>
      </c>
      <c r="K7" s="1"/>
    </row>
    <row r="8" spans="1:20" x14ac:dyDescent="0.25">
      <c r="A8">
        <v>8.3618009090423495</v>
      </c>
      <c r="B8">
        <v>7.6873529114143597</v>
      </c>
      <c r="C8">
        <v>3.6534270156180097E-2</v>
      </c>
      <c r="D8">
        <v>0.953569327098443</v>
      </c>
      <c r="E8">
        <v>0.28402526058844701</v>
      </c>
      <c r="K8" s="1"/>
    </row>
    <row r="9" spans="1:20" x14ac:dyDescent="0.25">
      <c r="A9">
        <v>10.114449262619001</v>
      </c>
      <c r="B9">
        <v>8.8511829993695894</v>
      </c>
      <c r="C9">
        <v>6.0233874504565597E-2</v>
      </c>
      <c r="D9">
        <v>1.1017358759482501</v>
      </c>
      <c r="E9">
        <v>0.389976205157895</v>
      </c>
      <c r="K9" s="1"/>
    </row>
    <row r="10" spans="1:20" x14ac:dyDescent="0.25">
      <c r="A10">
        <v>12.0248043537139</v>
      </c>
      <c r="B10">
        <v>9.4848734285777798</v>
      </c>
      <c r="C10">
        <v>9.1981610721033502E-2</v>
      </c>
      <c r="D10">
        <v>1.2330467636706</v>
      </c>
      <c r="E10">
        <v>0.49038797904930598</v>
      </c>
      <c r="K10" s="1"/>
    </row>
    <row r="11" spans="1:20" x14ac:dyDescent="0.25">
      <c r="A11">
        <v>14.106971025466899</v>
      </c>
      <c r="B11">
        <v>9.6434160367726793</v>
      </c>
      <c r="C11">
        <v>0.13241983570552401</v>
      </c>
      <c r="D11">
        <v>1.34739395374735</v>
      </c>
      <c r="E11">
        <v>0.57836408005695406</v>
      </c>
      <c r="K11" s="1"/>
    </row>
    <row r="12" spans="1:20" x14ac:dyDescent="0.25">
      <c r="A12">
        <v>16.3765740394592</v>
      </c>
      <c r="B12">
        <v>9.44591028153277</v>
      </c>
      <c r="C12">
        <v>0.18183665428022999</v>
      </c>
      <c r="D12">
        <v>1.44521218155597</v>
      </c>
      <c r="E12">
        <v>0.65158011588638498</v>
      </c>
      <c r="K12" s="1"/>
    </row>
    <row r="13" spans="1:20" x14ac:dyDescent="0.25">
      <c r="A13">
        <v>18.850514888763399</v>
      </c>
      <c r="B13">
        <v>9.0159156536210308</v>
      </c>
      <c r="C13">
        <v>0.240075000544371</v>
      </c>
      <c r="D13">
        <v>1.5274244003922099</v>
      </c>
      <c r="E13">
        <v>0.71062238554276802</v>
      </c>
      <c r="K13" s="1"/>
    </row>
    <row r="14" spans="1:20" x14ac:dyDescent="0.25">
      <c r="A14">
        <v>21.5470933914184</v>
      </c>
      <c r="B14">
        <v>8.4538764718138797</v>
      </c>
      <c r="C14">
        <v>0.30650978056127398</v>
      </c>
      <c r="D14">
        <v>1.5952409764045401</v>
      </c>
      <c r="E14">
        <v>0.75736465296769195</v>
      </c>
      <c r="K14" s="1"/>
    </row>
    <row r="15" spans="1:20" x14ac:dyDescent="0.25">
      <c r="A15">
        <v>24.4862508773803</v>
      </c>
      <c r="B15">
        <v>7.8319732731647704</v>
      </c>
      <c r="C15">
        <v>0.38006077424007501</v>
      </c>
      <c r="D15">
        <v>1.6499967409532399</v>
      </c>
      <c r="E15">
        <v>0.793960371683754</v>
      </c>
      <c r="K15" s="1"/>
    </row>
    <row r="16" spans="1:20" x14ac:dyDescent="0.25">
      <c r="A16">
        <v>27.690056562423699</v>
      </c>
      <c r="B16">
        <v>7.1985449887641897</v>
      </c>
      <c r="C16">
        <v>0.45922814899282099</v>
      </c>
      <c r="D16">
        <v>1.6930840258264199</v>
      </c>
      <c r="E16">
        <v>0.82237995813739195</v>
      </c>
      <c r="K16" s="1"/>
    </row>
    <row r="17" spans="1:11" x14ac:dyDescent="0.25">
      <c r="A17">
        <v>31.182160377502399</v>
      </c>
      <c r="B17">
        <v>6.58435970468246</v>
      </c>
      <c r="C17">
        <v>0.54214952489119395</v>
      </c>
      <c r="D17">
        <v>1.7259226630167901</v>
      </c>
      <c r="E17">
        <v>0.84426556740407199</v>
      </c>
      <c r="K17" s="1"/>
    </row>
    <row r="18" spans="1:11" x14ac:dyDescent="0.25">
      <c r="A18">
        <v>34.988522529602001</v>
      </c>
      <c r="B18">
        <v>6.00795970173907</v>
      </c>
      <c r="C18">
        <v>0.62668310028500795</v>
      </c>
      <c r="D18">
        <v>1.7499844491894201</v>
      </c>
      <c r="E18">
        <v>0.860916762724518</v>
      </c>
      <c r="K18" s="1"/>
    </row>
    <row r="19" spans="1:11" x14ac:dyDescent="0.25">
      <c r="A19">
        <v>39.137535095214801</v>
      </c>
      <c r="B19">
        <v>5.47975720026243</v>
      </c>
      <c r="C19">
        <v>0.71051242936750503</v>
      </c>
      <c r="D19">
        <v>1.7667929671089899</v>
      </c>
      <c r="E19">
        <v>0.87332024786879103</v>
      </c>
      <c r="K19" s="1"/>
    </row>
    <row r="20" spans="1:11" x14ac:dyDescent="0.25">
      <c r="A20">
        <v>43.659839630126903</v>
      </c>
      <c r="B20">
        <v>5.0047397373619198</v>
      </c>
      <c r="C20">
        <v>0.79130169118777105</v>
      </c>
      <c r="D20">
        <v>1.77778697748046</v>
      </c>
      <c r="E20">
        <v>0.88221584977008405</v>
      </c>
      <c r="K20" s="1"/>
    </row>
    <row r="21" spans="1:11" x14ac:dyDescent="0.25">
      <c r="A21">
        <v>48.589299917220998</v>
      </c>
      <c r="B21">
        <v>4.5841894654344397</v>
      </c>
      <c r="C21">
        <v>0.866880557097649</v>
      </c>
      <c r="D21">
        <v>1.78414345334673</v>
      </c>
      <c r="E21">
        <v>0.88816580475453</v>
      </c>
      <c r="K21" s="1"/>
    </row>
    <row r="22" spans="1:11" x14ac:dyDescent="0.25">
      <c r="A22">
        <v>53.962393999099703</v>
      </c>
      <c r="B22">
        <v>4.2168763753281899</v>
      </c>
      <c r="C22">
        <v>0.93544365652156802</v>
      </c>
      <c r="D22">
        <v>1.7866507934309701</v>
      </c>
      <c r="E22">
        <v>0.89161609828330302</v>
      </c>
      <c r="K22" s="1"/>
    </row>
    <row r="23" spans="1:11" x14ac:dyDescent="0.25">
      <c r="A23">
        <v>59.819004535674999</v>
      </c>
      <c r="B23">
        <v>3.8998322306725401</v>
      </c>
      <c r="C23">
        <v>0.995705622753005</v>
      </c>
      <c r="D23">
        <v>1.7857772155026099</v>
      </c>
      <c r="E23">
        <v>0.89291423294196903</v>
      </c>
      <c r="K23" s="1"/>
    </row>
    <row r="24" spans="1:11" x14ac:dyDescent="0.25">
      <c r="A24">
        <v>66.2026619911193</v>
      </c>
      <c r="B24">
        <v>3.6286498558191198</v>
      </c>
      <c r="C24">
        <v>1.04701511165997</v>
      </c>
      <c r="D24">
        <v>1.7817157567122199</v>
      </c>
      <c r="E24">
        <v>0.89234726443777102</v>
      </c>
      <c r="K24" s="1"/>
    </row>
    <row r="25" spans="1:11" x14ac:dyDescent="0.25">
      <c r="A25">
        <v>73.160848617553697</v>
      </c>
      <c r="B25">
        <v>3.3982088555271801</v>
      </c>
      <c r="C25">
        <v>1.0893506945116</v>
      </c>
      <c r="D25">
        <v>1.7743414161297499</v>
      </c>
      <c r="E25">
        <v>0.89016421248066402</v>
      </c>
      <c r="K25" s="1"/>
    </row>
    <row r="26" spans="1:11" x14ac:dyDescent="0.25">
      <c r="A26">
        <v>80.745424032211304</v>
      </c>
      <c r="B26">
        <v>3.2030063317099899</v>
      </c>
      <c r="C26">
        <v>1.12320826785471</v>
      </c>
      <c r="D26">
        <v>1.7636045505286899</v>
      </c>
      <c r="E26">
        <v>0.88658213225705695</v>
      </c>
      <c r="K26" s="1"/>
    </row>
    <row r="27" spans="1:11" x14ac:dyDescent="0.25">
      <c r="A27">
        <v>89.012442827224703</v>
      </c>
      <c r="B27">
        <v>3.0375436720270002</v>
      </c>
      <c r="C27">
        <v>1.14940623063568</v>
      </c>
      <c r="D27">
        <v>1.7495748032843399</v>
      </c>
      <c r="E27">
        <v>0.88172495326046596</v>
      </c>
      <c r="K27" s="1"/>
    </row>
    <row r="28" spans="1:11" x14ac:dyDescent="0.25">
      <c r="A28">
        <v>98.0235528945922</v>
      </c>
      <c r="B28">
        <v>2.896800124836</v>
      </c>
      <c r="C28">
        <v>1.1689488760411499</v>
      </c>
      <c r="D28">
        <v>1.7324802118077001</v>
      </c>
      <c r="E28">
        <v>0.87570606919173</v>
      </c>
      <c r="K28" s="1"/>
    </row>
    <row r="29" spans="1:11" x14ac:dyDescent="0.25">
      <c r="A29">
        <v>107.845630645751</v>
      </c>
      <c r="B29">
        <v>2.77618101309353</v>
      </c>
      <c r="C29">
        <v>1.1827539787569099</v>
      </c>
      <c r="D29">
        <v>1.71270667182713</v>
      </c>
      <c r="E29">
        <v>0.86854128373986605</v>
      </c>
      <c r="K29" s="1"/>
    </row>
    <row r="30" spans="1:11" x14ac:dyDescent="0.25">
      <c r="A30">
        <v>118.551753759384</v>
      </c>
      <c r="B30">
        <v>2.6717602361591699</v>
      </c>
      <c r="C30">
        <v>1.1916744022714501</v>
      </c>
      <c r="D30">
        <v>1.69066436496598</v>
      </c>
      <c r="E30">
        <v>0.86024729345767204</v>
      </c>
      <c r="K30" s="1"/>
    </row>
    <row r="31" spans="1:11" x14ac:dyDescent="0.25">
      <c r="A31">
        <v>130.22150516510001</v>
      </c>
      <c r="B31">
        <v>2.5804818784384902</v>
      </c>
      <c r="C31">
        <v>1.1963620264350601</v>
      </c>
      <c r="D31">
        <v>1.6666902580171501</v>
      </c>
      <c r="E31">
        <v>0.85081383041160896</v>
      </c>
      <c r="K31" s="1"/>
    </row>
    <row r="32" spans="1:11" x14ac:dyDescent="0.25">
      <c r="A32">
        <v>142.941337823867</v>
      </c>
      <c r="B32">
        <v>2.5000725301592301</v>
      </c>
      <c r="C32">
        <v>1.19760694641207</v>
      </c>
      <c r="D32">
        <v>1.64147935615175</v>
      </c>
      <c r="E32">
        <v>0.84013982242108598</v>
      </c>
      <c r="K32" s="1"/>
    </row>
    <row r="33" spans="1:11" x14ac:dyDescent="0.25">
      <c r="A33">
        <v>156.806094646453</v>
      </c>
      <c r="B33">
        <v>2.4274832400644701</v>
      </c>
      <c r="C33">
        <v>1.1960118452581301</v>
      </c>
      <c r="D33">
        <v>1.61515094597163</v>
      </c>
      <c r="E33">
        <v>0.828434199612059</v>
      </c>
      <c r="K33" s="1"/>
    </row>
    <row r="34" spans="1:11" x14ac:dyDescent="0.25">
      <c r="A34">
        <v>171.91864371299701</v>
      </c>
      <c r="B34">
        <v>2.3611664966401</v>
      </c>
      <c r="C34">
        <v>1.1909831471282299</v>
      </c>
      <c r="D34">
        <v>1.58676216331861</v>
      </c>
      <c r="E34">
        <v>0.815215886976557</v>
      </c>
      <c r="K34" s="1"/>
    </row>
    <row r="35" spans="1:11" x14ac:dyDescent="0.25">
      <c r="A35">
        <v>187.726768255233</v>
      </c>
      <c r="B35">
        <v>2.3021535575590901</v>
      </c>
      <c r="C35">
        <v>1.1804211042564801</v>
      </c>
      <c r="D35">
        <v>1.55756248177502</v>
      </c>
      <c r="E35">
        <v>0.80038416947950297</v>
      </c>
      <c r="K35" s="1"/>
    </row>
    <row r="36" spans="1:11" x14ac:dyDescent="0.25">
      <c r="A36">
        <v>203.579578399658</v>
      </c>
      <c r="B36">
        <v>2.2496431668597698</v>
      </c>
      <c r="C36">
        <v>1.16787136802404</v>
      </c>
      <c r="D36">
        <v>1.52873851731264</v>
      </c>
      <c r="E36">
        <v>0.78544245116399702</v>
      </c>
      <c r="K36" s="1"/>
    </row>
    <row r="37" spans="1:11" x14ac:dyDescent="0.25">
      <c r="A37">
        <v>219.43238854408199</v>
      </c>
      <c r="B37">
        <v>2.20025851370296</v>
      </c>
      <c r="C37">
        <v>1.1550485940458</v>
      </c>
      <c r="D37">
        <v>1.5006972372451901</v>
      </c>
      <c r="E37">
        <v>0.77063876958982802</v>
      </c>
      <c r="K37" s="1"/>
    </row>
    <row r="38" spans="1:11" x14ac:dyDescent="0.25">
      <c r="A38">
        <v>235.28525948524401</v>
      </c>
      <c r="B38">
        <v>2.1530054835491699</v>
      </c>
      <c r="C38">
        <v>1.1416034940086199</v>
      </c>
      <c r="D38">
        <v>1.4733157835157</v>
      </c>
      <c r="E38">
        <v>0.75562919362657599</v>
      </c>
      <c r="K38" s="1"/>
    </row>
    <row r="39" spans="1:11" x14ac:dyDescent="0.25">
      <c r="A39">
        <v>251.13806962966899</v>
      </c>
      <c r="B39">
        <v>2.1072569288750298</v>
      </c>
      <c r="C39">
        <v>1.12736258447885</v>
      </c>
      <c r="D39">
        <v>1.4458756686354499</v>
      </c>
      <c r="E39">
        <v>0.740630689174271</v>
      </c>
      <c r="K39" s="1"/>
    </row>
    <row r="40" spans="1:11" x14ac:dyDescent="0.25">
      <c r="A40">
        <v>266.99081897735499</v>
      </c>
      <c r="B40">
        <v>2.06292642046603</v>
      </c>
      <c r="C40">
        <v>1.1121394354979599</v>
      </c>
      <c r="D40">
        <v>1.4188719855738701</v>
      </c>
      <c r="E40">
        <v>0.72557164855726697</v>
      </c>
      <c r="K40" s="1"/>
    </row>
    <row r="41" spans="1:11" x14ac:dyDescent="0.25">
      <c r="A41">
        <v>282.84362912178</v>
      </c>
      <c r="B41">
        <v>2.0194662756757702</v>
      </c>
      <c r="C41">
        <v>1.0960168155389001</v>
      </c>
      <c r="D41">
        <v>1.3923404488824001</v>
      </c>
      <c r="E41">
        <v>0.71044385742872995</v>
      </c>
      <c r="K41" s="1"/>
    </row>
    <row r="42" spans="1:11" x14ac:dyDescent="0.25">
      <c r="A42">
        <v>298.69643926620398</v>
      </c>
      <c r="B42">
        <v>1.97615648914708</v>
      </c>
      <c r="C42">
        <v>1.0791606186931599</v>
      </c>
      <c r="D42">
        <v>1.36547748115351</v>
      </c>
      <c r="E42">
        <v>0.69530289655934696</v>
      </c>
      <c r="K42" s="1"/>
    </row>
    <row r="43" spans="1:11" x14ac:dyDescent="0.25">
      <c r="A43">
        <v>314.54931020736598</v>
      </c>
      <c r="B43">
        <v>1.9324997357511</v>
      </c>
      <c r="C43">
        <v>1.0616855779572401</v>
      </c>
      <c r="D43">
        <v>1.33804040201014</v>
      </c>
      <c r="E43">
        <v>0.68011631035049303</v>
      </c>
      <c r="K43" s="1"/>
    </row>
    <row r="44" spans="1:11" x14ac:dyDescent="0.25">
      <c r="A44">
        <v>330.40212035179098</v>
      </c>
      <c r="B44">
        <v>1.88874423162038</v>
      </c>
      <c r="C44">
        <v>1.0435389250814</v>
      </c>
      <c r="D44">
        <v>1.3099583180676599</v>
      </c>
      <c r="E44">
        <v>0.66491905441939503</v>
      </c>
      <c r="K44" s="1"/>
    </row>
    <row r="45" spans="1:11" x14ac:dyDescent="0.25">
      <c r="A45">
        <v>346.25493049621502</v>
      </c>
      <c r="B45">
        <v>1.8449108697675001</v>
      </c>
      <c r="C45">
        <v>1.0246869098144999</v>
      </c>
      <c r="D45">
        <v>1.2812636402815201</v>
      </c>
      <c r="E45">
        <v>0.64966751237009901</v>
      </c>
      <c r="K45" s="1"/>
    </row>
    <row r="46" spans="1:11" x14ac:dyDescent="0.25">
      <c r="A46">
        <v>362.10780143737702</v>
      </c>
      <c r="B46">
        <v>1.8011114367384999</v>
      </c>
      <c r="C46">
        <v>1.00535256953033</v>
      </c>
      <c r="D46">
        <v>1.2521628880454301</v>
      </c>
      <c r="E46">
        <v>0.63442467574271799</v>
      </c>
      <c r="K46" s="1"/>
    </row>
    <row r="47" spans="1:11" x14ac:dyDescent="0.25">
      <c r="A47">
        <v>377.96061158180203</v>
      </c>
      <c r="B47">
        <v>1.7573600397811899</v>
      </c>
      <c r="C47">
        <v>0.98563367281347503</v>
      </c>
      <c r="D47">
        <v>1.22275561567157</v>
      </c>
      <c r="E47">
        <v>0.619198267809002</v>
      </c>
      <c r="K47" s="1"/>
    </row>
    <row r="48" spans="1:11" x14ac:dyDescent="0.25">
      <c r="A48">
        <v>393.81348252296402</v>
      </c>
      <c r="B48">
        <v>1.7135739997089801</v>
      </c>
      <c r="C48">
        <v>0.96557682715356297</v>
      </c>
      <c r="D48">
        <v>1.19334441469705</v>
      </c>
      <c r="E48">
        <v>0.60394498467532298</v>
      </c>
      <c r="K48" s="1"/>
    </row>
    <row r="49" spans="1:20" x14ac:dyDescent="0.25">
      <c r="A49">
        <v>409.66629266738801</v>
      </c>
      <c r="B49">
        <v>1.6696627801339601</v>
      </c>
      <c r="C49">
        <v>0.94523230078175702</v>
      </c>
      <c r="D49">
        <v>1.1637000869879599</v>
      </c>
      <c r="E49">
        <v>0.58867893358950296</v>
      </c>
      <c r="K49" s="1"/>
    </row>
    <row r="50" spans="1:20" x14ac:dyDescent="0.25">
      <c r="A50">
        <v>425.519042015075</v>
      </c>
      <c r="B50">
        <v>1.6256808457470699</v>
      </c>
      <c r="C50">
        <v>0.92467402281955002</v>
      </c>
      <c r="D50">
        <v>1.13343977255282</v>
      </c>
      <c r="E50">
        <v>0.57340431101133504</v>
      </c>
      <c r="K50" s="1"/>
    </row>
    <row r="51" spans="1:20" x14ac:dyDescent="0.25">
      <c r="A51">
        <v>441.371912956237</v>
      </c>
      <c r="B51">
        <v>1.58178998346637</v>
      </c>
      <c r="C51">
        <v>0.90396619017316404</v>
      </c>
      <c r="D51">
        <v>1.10269704381403</v>
      </c>
      <c r="E51">
        <v>0.55813080451290098</v>
      </c>
      <c r="K51" s="1"/>
      <c r="T51" s="1"/>
    </row>
    <row r="52" spans="1:20" x14ac:dyDescent="0.25">
      <c r="A52">
        <v>457.22478389739899</v>
      </c>
      <c r="B52">
        <v>1.53782304919108</v>
      </c>
      <c r="C52">
        <v>0.88307826690111502</v>
      </c>
      <c r="D52">
        <v>1.07162181260128</v>
      </c>
      <c r="E52">
        <v>0.54283060138726003</v>
      </c>
    </row>
    <row r="53" spans="1:20" x14ac:dyDescent="0.25">
      <c r="A53">
        <v>473.07753324508599</v>
      </c>
      <c r="B53">
        <v>1.49383548976234</v>
      </c>
      <c r="C53">
        <v>0.86199721719212397</v>
      </c>
      <c r="D53">
        <v>1.04043086624185</v>
      </c>
      <c r="E53">
        <v>0.52752200534202998</v>
      </c>
    </row>
    <row r="54" spans="1:20" x14ac:dyDescent="0.25">
      <c r="A54">
        <v>488.93034338951099</v>
      </c>
      <c r="B54">
        <v>1.45028605859346</v>
      </c>
      <c r="C54">
        <v>0.84077509500492298</v>
      </c>
      <c r="D54">
        <v>1.0093670636855601</v>
      </c>
      <c r="E54">
        <v>0.51222166828682203</v>
      </c>
    </row>
    <row r="55" spans="1:20" x14ac:dyDescent="0.25">
      <c r="A55">
        <v>504.78321433067299</v>
      </c>
      <c r="B55">
        <v>1.40716046986386</v>
      </c>
      <c r="C55">
        <v>0.81940350741992296</v>
      </c>
      <c r="D55">
        <v>0.97838397601554905</v>
      </c>
      <c r="E55">
        <v>0.496910706152559</v>
      </c>
    </row>
    <row r="56" spans="1:20" x14ac:dyDescent="0.25">
      <c r="A56">
        <v>520.63602447509697</v>
      </c>
      <c r="B56">
        <v>1.3640246132007099</v>
      </c>
      <c r="C56">
        <v>0.79792352617128504</v>
      </c>
      <c r="D56">
        <v>0.94728624463538902</v>
      </c>
      <c r="E56">
        <v>0.48159336004222503</v>
      </c>
    </row>
    <row r="57" spans="1:20" x14ac:dyDescent="0.25">
      <c r="A57">
        <v>536.48889541625897</v>
      </c>
      <c r="B57">
        <v>1.3210064359845799</v>
      </c>
      <c r="C57">
        <v>0.77639604456922495</v>
      </c>
      <c r="D57">
        <v>0.91604886935907803</v>
      </c>
      <c r="E57">
        <v>0.46627766572989499</v>
      </c>
    </row>
    <row r="58" spans="1:20" x14ac:dyDescent="0.25">
      <c r="A58">
        <v>552.34173595905304</v>
      </c>
      <c r="B58">
        <v>1.27813486700213</v>
      </c>
      <c r="C58">
        <v>0.75493204558235905</v>
      </c>
      <c r="D58">
        <v>0.88444791994905103</v>
      </c>
      <c r="E58">
        <v>0.45095831067604197</v>
      </c>
    </row>
    <row r="59" spans="1:20" x14ac:dyDescent="0.25">
      <c r="A59">
        <v>568.19448530673901</v>
      </c>
      <c r="B59">
        <v>1.23533954858702</v>
      </c>
      <c r="C59">
        <v>0.73355670796945704</v>
      </c>
      <c r="D59">
        <v>0.85272143389069299</v>
      </c>
      <c r="E59">
        <v>0.43562833054313399</v>
      </c>
    </row>
    <row r="60" spans="1:20" x14ac:dyDescent="0.25">
      <c r="A60">
        <v>584.04732584953297</v>
      </c>
      <c r="B60">
        <v>1.19291030432423</v>
      </c>
      <c r="C60">
        <v>0.71229529977566597</v>
      </c>
      <c r="D60">
        <v>0.82120762798619296</v>
      </c>
      <c r="E60">
        <v>0.42029236822285898</v>
      </c>
    </row>
    <row r="61" spans="1:20" x14ac:dyDescent="0.25">
      <c r="A61">
        <v>599.90016639232601</v>
      </c>
      <c r="B61">
        <v>1.1510212426520401</v>
      </c>
      <c r="C61">
        <v>0.69113808878571703</v>
      </c>
      <c r="D61">
        <v>0.78992373450662401</v>
      </c>
      <c r="E61">
        <v>0.404961450582976</v>
      </c>
    </row>
    <row r="62" spans="1:20" x14ac:dyDescent="0.25">
      <c r="A62">
        <v>615.75300693511895</v>
      </c>
      <c r="B62">
        <v>1.10943504037612</v>
      </c>
      <c r="C62">
        <v>0.67007382491590495</v>
      </c>
      <c r="D62">
        <v>0.75916993425688495</v>
      </c>
      <c r="E62">
        <v>0.38964008658560401</v>
      </c>
    </row>
    <row r="63" spans="1:20" x14ac:dyDescent="0.25">
      <c r="A63">
        <v>631.60581707954395</v>
      </c>
      <c r="B63">
        <v>1.0679049992323499</v>
      </c>
      <c r="C63">
        <v>0.64912474047450597</v>
      </c>
      <c r="D63">
        <v>0.72897689710803004</v>
      </c>
      <c r="E63">
        <v>0.37431376719421899</v>
      </c>
    </row>
    <row r="64" spans="1:20" x14ac:dyDescent="0.25">
      <c r="A64">
        <v>647.45859682559899</v>
      </c>
      <c r="B64">
        <v>1.0266804067898101</v>
      </c>
      <c r="C64">
        <v>0.62832503214452695</v>
      </c>
      <c r="D64">
        <v>0.69913140718792899</v>
      </c>
      <c r="E64">
        <v>0.35898418885001498</v>
      </c>
    </row>
    <row r="65" spans="1:5" x14ac:dyDescent="0.25">
      <c r="A65">
        <v>663.31143736839203</v>
      </c>
      <c r="B65">
        <v>0.98591206774199303</v>
      </c>
      <c r="C65">
        <v>0.60772724495978303</v>
      </c>
      <c r="D65">
        <v>0.66956489255780705</v>
      </c>
      <c r="E65">
        <v>0.34366389628918598</v>
      </c>
    </row>
    <row r="66" spans="1:5" x14ac:dyDescent="0.25">
      <c r="A66">
        <v>679.16427791118599</v>
      </c>
      <c r="B66">
        <v>0.94575176893253199</v>
      </c>
      <c r="C66">
        <v>0.58737575425044497</v>
      </c>
      <c r="D66">
        <v>0.64046757784730002</v>
      </c>
      <c r="E66">
        <v>0.32833476437687498</v>
      </c>
    </row>
    <row r="67" spans="1:5" x14ac:dyDescent="0.25">
      <c r="A67">
        <v>695.01711845397904</v>
      </c>
      <c r="B67">
        <v>0.90641227980166805</v>
      </c>
      <c r="C67">
        <v>0.56736471250276199</v>
      </c>
      <c r="D67">
        <v>0.61195044602502602</v>
      </c>
      <c r="E67">
        <v>0.31300536460542799</v>
      </c>
    </row>
    <row r="68" spans="1:5" x14ac:dyDescent="0.25">
      <c r="A68">
        <v>710.86992859840302</v>
      </c>
      <c r="B68">
        <v>0.86778976029107302</v>
      </c>
      <c r="C68">
        <v>0.54769648580576602</v>
      </c>
      <c r="D68">
        <v>0.584210596771775</v>
      </c>
      <c r="E68">
        <v>0.297672973740298</v>
      </c>
    </row>
    <row r="69" spans="1:5" x14ac:dyDescent="0.25">
      <c r="A69">
        <v>726.72273874282803</v>
      </c>
      <c r="B69">
        <v>0.82960385117189905</v>
      </c>
      <c r="C69">
        <v>0.52844013717331595</v>
      </c>
      <c r="D69">
        <v>0.55741495097236404</v>
      </c>
      <c r="E69">
        <v>0.28234511415888203</v>
      </c>
    </row>
    <row r="70" spans="1:5" x14ac:dyDescent="0.25">
      <c r="A70">
        <v>742.57554888725201</v>
      </c>
      <c r="B70">
        <v>0.79195901750712605</v>
      </c>
      <c r="C70">
        <v>0.50963664905319495</v>
      </c>
      <c r="D70">
        <v>0.53156801758891503</v>
      </c>
      <c r="E70">
        <v>0.26704020117676902</v>
      </c>
    </row>
    <row r="71" spans="1:5" x14ac:dyDescent="0.25">
      <c r="A71">
        <v>758.42838943004597</v>
      </c>
      <c r="B71">
        <v>0.75509776110106597</v>
      </c>
      <c r="C71">
        <v>0.49135637911175101</v>
      </c>
      <c r="D71">
        <v>0.50655082252192396</v>
      </c>
      <c r="E71">
        <v>0.25173562301857699</v>
      </c>
    </row>
    <row r="72" spans="1:5" x14ac:dyDescent="0.25">
      <c r="A72">
        <v>774.28122997283901</v>
      </c>
      <c r="B72">
        <v>0.719148877554872</v>
      </c>
      <c r="C72">
        <v>0.47365401525588502</v>
      </c>
      <c r="D72">
        <v>0.48230358854090799</v>
      </c>
      <c r="E72">
        <v>0.236429281454407</v>
      </c>
    </row>
    <row r="73" spans="1:5" x14ac:dyDescent="0.25">
      <c r="A73">
        <v>790.13402491807904</v>
      </c>
      <c r="B73">
        <v>0.684250135750745</v>
      </c>
      <c r="C73">
        <v>0.45659786156523702</v>
      </c>
      <c r="D73">
        <v>0.45906395134255001</v>
      </c>
      <c r="E73">
        <v>0.221127024742059</v>
      </c>
    </row>
    <row r="74" spans="1:5" x14ac:dyDescent="0.25">
      <c r="A74">
        <v>805.98686546087197</v>
      </c>
      <c r="B74">
        <v>0.65047403622811695</v>
      </c>
      <c r="C74">
        <v>0.44024711490882601</v>
      </c>
      <c r="D74">
        <v>0.43711151122147701</v>
      </c>
      <c r="E74">
        <v>0.20582653143568799</v>
      </c>
    </row>
    <row r="75" spans="1:5" x14ac:dyDescent="0.25">
      <c r="A75">
        <v>821.83970600366501</v>
      </c>
      <c r="B75">
        <v>0.61796102646055096</v>
      </c>
      <c r="C75">
        <v>0.42463967735437602</v>
      </c>
      <c r="D75">
        <v>0.41650466146930398</v>
      </c>
      <c r="E75">
        <v>0.190540926632951</v>
      </c>
    </row>
    <row r="76" spans="1:5" x14ac:dyDescent="0.25">
      <c r="A76">
        <v>837.69251614809002</v>
      </c>
      <c r="B76">
        <v>0.58695932258059003</v>
      </c>
      <c r="C76">
        <v>0.40982112959816802</v>
      </c>
      <c r="D76">
        <v>0.39726764333782399</v>
      </c>
      <c r="E76">
        <v>0.175260578565755</v>
      </c>
    </row>
    <row r="77" spans="1:5" x14ac:dyDescent="0.25">
      <c r="A77">
        <v>853.54535669088295</v>
      </c>
      <c r="B77">
        <v>0.55757731825187395</v>
      </c>
      <c r="C77">
        <v>0.39586861507132398</v>
      </c>
      <c r="D77">
        <v>0.37943965354724801</v>
      </c>
      <c r="E77">
        <v>0.15997546483809999</v>
      </c>
    </row>
    <row r="78" spans="1:5" x14ac:dyDescent="0.25">
      <c r="A78">
        <v>869.39818203449204</v>
      </c>
      <c r="B78">
        <v>0.53004907771593701</v>
      </c>
      <c r="C78">
        <v>0.38289235780824399</v>
      </c>
      <c r="D78">
        <v>0.36301125006303803</v>
      </c>
      <c r="E78">
        <v>0.14469873286923801</v>
      </c>
    </row>
    <row r="79" spans="1:5" x14ac:dyDescent="0.25">
      <c r="A79">
        <v>885.25099217891602</v>
      </c>
      <c r="B79">
        <v>0.504564825602417</v>
      </c>
      <c r="C79">
        <v>0.37100889885461302</v>
      </c>
      <c r="D79">
        <v>0.34799959819148302</v>
      </c>
      <c r="E79">
        <v>0.12942502547645199</v>
      </c>
    </row>
    <row r="80" spans="1:5" x14ac:dyDescent="0.25">
      <c r="A80">
        <v>901.10380992293301</v>
      </c>
      <c r="B80">
        <v>0.48131661691171101</v>
      </c>
      <c r="C80">
        <v>0.36030977907010497</v>
      </c>
      <c r="D80">
        <v>0.33447688596969199</v>
      </c>
      <c r="E80">
        <v>0.114157579290965</v>
      </c>
    </row>
    <row r="81" spans="1:5" x14ac:dyDescent="0.25">
      <c r="A81">
        <v>916.95665046572606</v>
      </c>
      <c r="B81">
        <v>0.46047204217647902</v>
      </c>
      <c r="C81">
        <v>0.35085006582872902</v>
      </c>
      <c r="D81">
        <v>0.32249768969659198</v>
      </c>
      <c r="E81">
        <v>9.8898403256298506E-2</v>
      </c>
    </row>
    <row r="82" spans="1:5" x14ac:dyDescent="0.25">
      <c r="A82">
        <v>932.80946820974305</v>
      </c>
      <c r="B82">
        <v>0.44224623692598902</v>
      </c>
      <c r="C82">
        <v>0.342657705766993</v>
      </c>
      <c r="D82">
        <v>0.31205997810706998</v>
      </c>
      <c r="E82">
        <v>8.3647949384742099E-2</v>
      </c>
    </row>
    <row r="83" spans="1:5" x14ac:dyDescent="0.25">
      <c r="A83">
        <v>948.66229355335201</v>
      </c>
      <c r="B83">
        <v>0.42685580991476002</v>
      </c>
      <c r="C83">
        <v>0.33575102491410602</v>
      </c>
      <c r="D83">
        <v>0.30322562666150599</v>
      </c>
      <c r="E83">
        <v>6.8412010130109099E-2</v>
      </c>
    </row>
    <row r="84" spans="1:5" x14ac:dyDescent="0.25">
      <c r="A84">
        <v>964.51511889696098</v>
      </c>
      <c r="B84">
        <v>0.414418529876182</v>
      </c>
      <c r="C84">
        <v>0.33015828240889999</v>
      </c>
      <c r="D84">
        <v>0.29608564050130098</v>
      </c>
      <c r="E84">
        <v>5.3176132259861397E-2</v>
      </c>
    </row>
    <row r="85" spans="1:5" x14ac:dyDescent="0.25">
      <c r="A85">
        <v>980.36794044077305</v>
      </c>
      <c r="B85">
        <v>0.40506292455227</v>
      </c>
      <c r="C85">
        <v>0.32593059470313102</v>
      </c>
      <c r="D85">
        <v>0.29070173883567302</v>
      </c>
      <c r="E85">
        <v>3.7938315201078203E-2</v>
      </c>
    </row>
    <row r="86" spans="1:5" x14ac:dyDescent="0.25">
      <c r="A86">
        <v>996.22076388448397</v>
      </c>
      <c r="B86">
        <v>0.39885060154426799</v>
      </c>
      <c r="C86">
        <v>0.32311430142729902</v>
      </c>
      <c r="D86">
        <v>0.28713740427981499</v>
      </c>
      <c r="E86">
        <v>2.27016016661306E-2</v>
      </c>
    </row>
    <row r="87" spans="1:5" x14ac:dyDescent="0.25">
      <c r="A87">
        <v>1012.07358780317</v>
      </c>
      <c r="B87">
        <v>0.39585432925074598</v>
      </c>
      <c r="C87">
        <v>0.32173940280461999</v>
      </c>
      <c r="D87">
        <v>0.285415471825059</v>
      </c>
      <c r="E87">
        <v>7.4640740905281104E-3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87"/>
  <sheetViews>
    <sheetView workbookViewId="0"/>
  </sheetViews>
  <sheetFormatPr defaultRowHeight="15" x14ac:dyDescent="0.25"/>
  <cols>
    <col min="1" max="2" width="12" bestFit="1" customWidth="1"/>
    <col min="3" max="3" width="12" customWidth="1"/>
    <col min="7" max="7" width="12" bestFit="1" customWidth="1"/>
    <col min="8" max="8" width="12.7109375" bestFit="1" customWidth="1"/>
    <col min="9" max="9" width="11.28515625" bestFit="1" customWidth="1"/>
    <col min="14" max="14" width="11.28515625" bestFit="1" customWidth="1"/>
    <col min="15" max="15" width="13" customWidth="1"/>
  </cols>
  <sheetData>
    <row r="1" spans="1:9" x14ac:dyDescent="0.25">
      <c r="A1" t="s">
        <v>370</v>
      </c>
      <c r="B1" t="s">
        <v>378</v>
      </c>
      <c r="C1" t="s">
        <v>537</v>
      </c>
      <c r="D1" t="s">
        <v>0</v>
      </c>
      <c r="G1" t="s">
        <v>2</v>
      </c>
      <c r="H1" t="s">
        <v>3</v>
      </c>
      <c r="I1" t="s">
        <v>4</v>
      </c>
    </row>
    <row r="2" spans="1:9" x14ac:dyDescent="0.25">
      <c r="A2">
        <v>0.49999237060546797</v>
      </c>
      <c r="B2">
        <v>0.22256286005739601</v>
      </c>
      <c r="C2" s="1">
        <v>2.1500973489252701E-6</v>
      </c>
      <c r="D2" s="1">
        <f>-B2-C2</f>
        <v>-0.22256501015474492</v>
      </c>
      <c r="F2" s="1"/>
      <c r="G2" s="2">
        <f>D2-A2*(D3-D2)/(A3-A2)</f>
        <v>-0.23016660536381733</v>
      </c>
      <c r="H2" s="1">
        <f>DNS!D612-DNS!B612*(DNS!D613-DNS!D612)/(DNS!B613-DNS!B612)</f>
        <v>-0.24544870469921318</v>
      </c>
      <c r="I2" s="1">
        <f>100*(H2-G2)/H2</f>
        <v>6.2261886263051975</v>
      </c>
    </row>
    <row r="3" spans="1:9" x14ac:dyDescent="0.25">
      <c r="A3">
        <v>1.54496669769287</v>
      </c>
      <c r="B3">
        <v>0.20665067310818899</v>
      </c>
      <c r="C3" s="1">
        <v>2.7150950551949001E-5</v>
      </c>
      <c r="D3" s="1">
        <f t="shared" ref="D3:D66" si="0">-B3-C3</f>
        <v>-0.20667782405874094</v>
      </c>
    </row>
    <row r="4" spans="1:9" x14ac:dyDescent="0.25">
      <c r="A4">
        <v>2.6840543746948198</v>
      </c>
      <c r="B4">
        <v>0.18994243631867699</v>
      </c>
      <c r="C4" s="1">
        <v>1.13294229987506E-4</v>
      </c>
      <c r="D4" s="1">
        <f t="shared" si="0"/>
        <v>-0.19005573054866451</v>
      </c>
    </row>
    <row r="5" spans="1:9" x14ac:dyDescent="0.25">
      <c r="A5">
        <v>3.9255237579345699</v>
      </c>
      <c r="B5">
        <v>0.16894241828639001</v>
      </c>
      <c r="C5">
        <v>2.4909721347067E-4</v>
      </c>
      <c r="D5" s="1">
        <f t="shared" si="0"/>
        <v>-0.16919151549986067</v>
      </c>
    </row>
    <row r="6" spans="1:9" x14ac:dyDescent="0.25">
      <c r="A6">
        <v>5.2789807319641104</v>
      </c>
      <c r="B6">
        <v>0.145811281986061</v>
      </c>
      <c r="C6">
        <v>5.0109508133054702E-4</v>
      </c>
      <c r="D6" s="1">
        <f t="shared" si="0"/>
        <v>-0.14631237706739156</v>
      </c>
    </row>
    <row r="7" spans="1:9" x14ac:dyDescent="0.25">
      <c r="A7">
        <v>6.7539703845977703</v>
      </c>
      <c r="B7">
        <v>0.12676832846868699</v>
      </c>
      <c r="C7">
        <v>1.3823268909564301E-3</v>
      </c>
      <c r="D7" s="1">
        <f t="shared" si="0"/>
        <v>-0.12815065535964343</v>
      </c>
    </row>
    <row r="8" spans="1:9" x14ac:dyDescent="0.25">
      <c r="A8">
        <v>8.3618009090423495</v>
      </c>
      <c r="B8">
        <v>0.116058726095579</v>
      </c>
      <c r="C8">
        <v>3.7926563145837099E-3</v>
      </c>
      <c r="D8" s="1">
        <f t="shared" si="0"/>
        <v>-0.11985138241016272</v>
      </c>
    </row>
    <row r="9" spans="1:9" x14ac:dyDescent="0.25">
      <c r="A9">
        <v>10.114449262619001</v>
      </c>
      <c r="B9">
        <v>0.11239770308689701</v>
      </c>
      <c r="C9">
        <v>7.3547145457180003E-3</v>
      </c>
      <c r="D9" s="1">
        <f t="shared" si="0"/>
        <v>-0.119752417632615</v>
      </c>
    </row>
    <row r="10" spans="1:9" x14ac:dyDescent="0.25">
      <c r="A10">
        <v>12.0248043537139</v>
      </c>
      <c r="B10">
        <v>0.111361942116758</v>
      </c>
      <c r="C10">
        <v>9.8769978228244407E-3</v>
      </c>
      <c r="D10" s="1">
        <f t="shared" si="0"/>
        <v>-0.12123893993958244</v>
      </c>
    </row>
    <row r="11" spans="1:9" x14ac:dyDescent="0.25">
      <c r="A11">
        <v>14.106971025466899</v>
      </c>
      <c r="B11">
        <v>0.109291646031175</v>
      </c>
      <c r="C11">
        <v>1.0058754869568601E-2</v>
      </c>
      <c r="D11" s="1">
        <f t="shared" si="0"/>
        <v>-0.1193504009007436</v>
      </c>
    </row>
    <row r="12" spans="1:9" x14ac:dyDescent="0.25">
      <c r="A12">
        <v>16.3765740394592</v>
      </c>
      <c r="B12">
        <v>0.104820346053265</v>
      </c>
      <c r="C12">
        <v>8.5706842159621408E-3</v>
      </c>
      <c r="D12" s="1">
        <f t="shared" si="0"/>
        <v>-0.11339103026922714</v>
      </c>
    </row>
    <row r="13" spans="1:9" x14ac:dyDescent="0.25">
      <c r="A13">
        <v>18.850514888763399</v>
      </c>
      <c r="B13">
        <v>9.8287393520799501E-2</v>
      </c>
      <c r="C13">
        <v>6.6646126082566598E-3</v>
      </c>
      <c r="D13" s="1">
        <f t="shared" si="0"/>
        <v>-0.10495200612905616</v>
      </c>
    </row>
    <row r="14" spans="1:9" x14ac:dyDescent="0.25">
      <c r="A14">
        <v>21.5470933914184</v>
      </c>
      <c r="B14">
        <v>9.0650980753072805E-2</v>
      </c>
      <c r="C14">
        <v>5.1254339086534203E-3</v>
      </c>
      <c r="D14" s="1">
        <f t="shared" si="0"/>
        <v>-9.577641466172622E-2</v>
      </c>
    </row>
    <row r="15" spans="1:9" x14ac:dyDescent="0.25">
      <c r="A15">
        <v>24.4862508773803</v>
      </c>
      <c r="B15">
        <v>8.2788547715425001E-2</v>
      </c>
      <c r="C15">
        <v>4.2020700118433297E-3</v>
      </c>
      <c r="D15" s="1">
        <f t="shared" si="0"/>
        <v>-8.6990617727268335E-2</v>
      </c>
    </row>
    <row r="16" spans="1:9" x14ac:dyDescent="0.25">
      <c r="A16">
        <v>27.690056562423699</v>
      </c>
      <c r="B16">
        <v>7.5257070179374996E-2</v>
      </c>
      <c r="C16">
        <v>3.8579305187276701E-3</v>
      </c>
      <c r="D16" s="1">
        <f t="shared" si="0"/>
        <v>-7.9115000698102664E-2</v>
      </c>
    </row>
    <row r="17" spans="1:16" x14ac:dyDescent="0.25">
      <c r="A17">
        <v>31.182160377502399</v>
      </c>
      <c r="B17">
        <v>6.8314947215902394E-2</v>
      </c>
      <c r="C17">
        <v>3.95678942211522E-3</v>
      </c>
      <c r="D17" s="1">
        <f t="shared" si="0"/>
        <v>-7.2271736638017614E-2</v>
      </c>
    </row>
    <row r="18" spans="1:16" x14ac:dyDescent="0.25">
      <c r="A18">
        <v>34.988522529602001</v>
      </c>
      <c r="B18">
        <v>6.2023487070135101E-2</v>
      </c>
      <c r="C18" s="1">
        <v>4.3420482003819101E-3</v>
      </c>
      <c r="D18" s="1">
        <f t="shared" si="0"/>
        <v>-6.6365535270517015E-2</v>
      </c>
    </row>
    <row r="19" spans="1:16" x14ac:dyDescent="0.25">
      <c r="A19">
        <v>39.137535095214801</v>
      </c>
      <c r="B19">
        <v>5.6337382868877801E-2</v>
      </c>
      <c r="C19">
        <v>4.8636788494789097E-3</v>
      </c>
      <c r="D19" s="1">
        <f t="shared" si="0"/>
        <v>-6.1201061718356708E-2</v>
      </c>
    </row>
    <row r="20" spans="1:16" x14ac:dyDescent="0.25">
      <c r="A20">
        <v>43.659839630126903</v>
      </c>
      <c r="B20">
        <v>5.1179289429056599E-2</v>
      </c>
      <c r="C20">
        <v>5.38946083877225E-3</v>
      </c>
      <c r="D20" s="1">
        <f t="shared" si="0"/>
        <v>-5.656875026782885E-2</v>
      </c>
    </row>
    <row r="21" spans="1:16" x14ac:dyDescent="0.25">
      <c r="A21">
        <v>48.589299917220998</v>
      </c>
      <c r="B21">
        <v>4.6479182305623597E-2</v>
      </c>
      <c r="C21">
        <v>5.8178970517855696E-3</v>
      </c>
      <c r="D21" s="1">
        <f t="shared" si="0"/>
        <v>-5.2297079357409168E-2</v>
      </c>
    </row>
    <row r="22" spans="1:16" x14ac:dyDescent="0.25">
      <c r="A22">
        <v>53.962393999099703</v>
      </c>
      <c r="B22">
        <v>4.2190541111951502E-2</v>
      </c>
      <c r="C22">
        <v>6.0893214380428199E-3</v>
      </c>
      <c r="D22" s="1">
        <f t="shared" si="0"/>
        <v>-4.8279862549994321E-2</v>
      </c>
    </row>
    <row r="23" spans="1:16" x14ac:dyDescent="0.25">
      <c r="A23">
        <v>59.819004535674999</v>
      </c>
      <c r="B23">
        <v>3.8282210646877403E-2</v>
      </c>
      <c r="C23">
        <v>6.1822449691593898E-3</v>
      </c>
      <c r="D23" s="1">
        <f t="shared" si="0"/>
        <v>-4.4464455616036791E-2</v>
      </c>
    </row>
    <row r="24" spans="1:16" x14ac:dyDescent="0.25">
      <c r="A24">
        <v>66.2026619911193</v>
      </c>
      <c r="B24">
        <v>3.4732860276621397E-2</v>
      </c>
      <c r="C24">
        <v>6.1057631854887001E-3</v>
      </c>
      <c r="D24" s="1">
        <f t="shared" si="0"/>
        <v>-4.0838623462110098E-2</v>
      </c>
    </row>
    <row r="25" spans="1:16" x14ac:dyDescent="0.25">
      <c r="A25">
        <v>73.160848617553697</v>
      </c>
      <c r="B25">
        <v>3.1526116206925699E-2</v>
      </c>
      <c r="C25">
        <v>5.8992011845271797E-3</v>
      </c>
      <c r="D25" s="1">
        <f t="shared" si="0"/>
        <v>-3.7425317391452877E-2</v>
      </c>
    </row>
    <row r="26" spans="1:16" x14ac:dyDescent="0.25">
      <c r="A26">
        <v>80.745424032211304</v>
      </c>
      <c r="B26">
        <v>2.86434006358968E-2</v>
      </c>
      <c r="C26">
        <v>5.6004241420830802E-3</v>
      </c>
      <c r="D26" s="1">
        <f t="shared" si="0"/>
        <v>-3.4243824777979881E-2</v>
      </c>
    </row>
    <row r="27" spans="1:16" x14ac:dyDescent="0.25">
      <c r="A27">
        <v>89.012442827224703</v>
      </c>
      <c r="B27">
        <v>2.6060667349239001E-2</v>
      </c>
      <c r="C27">
        <v>5.2507123644135699E-3</v>
      </c>
      <c r="D27" s="1">
        <f t="shared" si="0"/>
        <v>-3.1311379713652568E-2</v>
      </c>
    </row>
    <row r="28" spans="1:16" x14ac:dyDescent="0.25">
      <c r="A28">
        <v>98.0235528945922</v>
      </c>
      <c r="B28">
        <v>2.3752407881767901E-2</v>
      </c>
      <c r="C28">
        <v>4.8836889821137703E-3</v>
      </c>
      <c r="D28" s="1">
        <f t="shared" si="0"/>
        <v>-2.8636096863881671E-2</v>
      </c>
    </row>
    <row r="29" spans="1:16" x14ac:dyDescent="0.25">
      <c r="A29">
        <v>107.845630645751</v>
      </c>
      <c r="B29">
        <v>2.1692570221074601E-2</v>
      </c>
      <c r="C29">
        <v>4.5214752282896802E-3</v>
      </c>
      <c r="D29" s="1">
        <f t="shared" si="0"/>
        <v>-2.621404544936428E-2</v>
      </c>
    </row>
    <row r="30" spans="1:16" x14ac:dyDescent="0.25">
      <c r="A30">
        <v>118.551753759384</v>
      </c>
      <c r="B30">
        <v>1.98556014837468E-2</v>
      </c>
      <c r="C30">
        <v>4.1750807116964E-3</v>
      </c>
      <c r="D30" s="1">
        <f t="shared" si="0"/>
        <v>-2.4030682195443201E-2</v>
      </c>
    </row>
    <row r="31" spans="1:16" x14ac:dyDescent="0.25">
      <c r="A31">
        <v>130.22150516510001</v>
      </c>
      <c r="B31">
        <v>1.8219656919520998E-2</v>
      </c>
      <c r="C31">
        <v>3.85352351531299E-3</v>
      </c>
      <c r="D31" s="1">
        <f t="shared" si="0"/>
        <v>-2.207318043483399E-2</v>
      </c>
    </row>
    <row r="32" spans="1:16" x14ac:dyDescent="0.25">
      <c r="A32">
        <v>142.941337823867</v>
      </c>
      <c r="B32">
        <v>1.6764310973864199E-2</v>
      </c>
      <c r="C32">
        <v>3.5638401056934102E-3</v>
      </c>
      <c r="D32" s="1">
        <f t="shared" si="0"/>
        <v>-2.032815107955761E-2</v>
      </c>
      <c r="L32" s="1"/>
      <c r="M32" s="1"/>
      <c r="P32" s="1"/>
    </row>
    <row r="33" spans="1:16" x14ac:dyDescent="0.25">
      <c r="A33">
        <v>156.806094646453</v>
      </c>
      <c r="B33">
        <v>1.5455562204104E-2</v>
      </c>
      <c r="C33">
        <v>3.31082124974128E-3</v>
      </c>
      <c r="D33" s="1">
        <f t="shared" si="0"/>
        <v>-1.8766383453845278E-2</v>
      </c>
      <c r="L33" s="1"/>
      <c r="M33" s="1"/>
    </row>
    <row r="34" spans="1:16" x14ac:dyDescent="0.25">
      <c r="A34">
        <v>171.91864371299701</v>
      </c>
      <c r="B34">
        <v>1.43573099678556E-2</v>
      </c>
      <c r="C34">
        <v>3.1163559142787902E-3</v>
      </c>
      <c r="D34" s="1">
        <f t="shared" si="0"/>
        <v>-1.7473665882134389E-2</v>
      </c>
      <c r="K34" s="1"/>
      <c r="L34" s="1"/>
      <c r="M34" s="1"/>
      <c r="N34" s="1"/>
    </row>
    <row r="35" spans="1:16" x14ac:dyDescent="0.25">
      <c r="A35">
        <v>187.726768255233</v>
      </c>
      <c r="B35">
        <v>1.31183349376048E-2</v>
      </c>
      <c r="C35">
        <v>2.8010258228365198E-3</v>
      </c>
      <c r="D35" s="1">
        <f t="shared" si="0"/>
        <v>-1.5919360760441321E-2</v>
      </c>
      <c r="L35" s="1"/>
    </row>
    <row r="36" spans="1:16" x14ac:dyDescent="0.25">
      <c r="A36">
        <v>203.579578399658</v>
      </c>
      <c r="B36">
        <v>1.21355255947954E-2</v>
      </c>
      <c r="C36">
        <v>2.5569405851774501E-3</v>
      </c>
      <c r="D36" s="1">
        <f t="shared" si="0"/>
        <v>-1.469246617997285E-2</v>
      </c>
      <c r="L36" s="1"/>
      <c r="M36" s="1"/>
    </row>
    <row r="37" spans="1:16" x14ac:dyDescent="0.25">
      <c r="A37">
        <v>219.43238854408199</v>
      </c>
      <c r="B37">
        <v>1.13213381377772E-2</v>
      </c>
      <c r="C37">
        <v>2.3656164485174199E-3</v>
      </c>
      <c r="D37" s="1">
        <f t="shared" si="0"/>
        <v>-1.368695458629462E-2</v>
      </c>
      <c r="L37" s="1"/>
      <c r="N37" s="2"/>
      <c r="O37" s="2"/>
      <c r="P37" s="1"/>
    </row>
    <row r="38" spans="1:16" x14ac:dyDescent="0.25">
      <c r="A38">
        <v>235.28525948524401</v>
      </c>
      <c r="B38">
        <v>1.0624102137873299E-2</v>
      </c>
      <c r="C38">
        <v>2.2053300187784802E-3</v>
      </c>
      <c r="D38" s="1">
        <f t="shared" si="0"/>
        <v>-1.282943215665178E-2</v>
      </c>
      <c r="N38" s="2"/>
      <c r="O38" s="2"/>
      <c r="P38" s="1"/>
    </row>
    <row r="39" spans="1:16" x14ac:dyDescent="0.25">
      <c r="A39">
        <v>251.13806962966899</v>
      </c>
      <c r="B39">
        <v>1.0009782907471201E-2</v>
      </c>
      <c r="C39">
        <v>2.06830273168536E-3</v>
      </c>
      <c r="D39" s="1">
        <f t="shared" si="0"/>
        <v>-1.207808563915656E-2</v>
      </c>
      <c r="O39" s="1"/>
    </row>
    <row r="40" spans="1:16" x14ac:dyDescent="0.25">
      <c r="A40">
        <v>266.99081897735499</v>
      </c>
      <c r="B40">
        <v>9.4562932791580796E-3</v>
      </c>
      <c r="C40">
        <v>1.9443048445437899E-3</v>
      </c>
      <c r="D40" s="1">
        <f t="shared" si="0"/>
        <v>-1.140059812370187E-2</v>
      </c>
    </row>
    <row r="41" spans="1:16" x14ac:dyDescent="0.25">
      <c r="A41">
        <v>282.84362912178</v>
      </c>
      <c r="B41">
        <v>8.9516616769013003E-3</v>
      </c>
      <c r="C41">
        <v>1.8310652635865599E-3</v>
      </c>
      <c r="D41" s="1">
        <f t="shared" si="0"/>
        <v>-1.0782726940487861E-2</v>
      </c>
    </row>
    <row r="42" spans="1:16" x14ac:dyDescent="0.25">
      <c r="A42">
        <v>298.69643926620398</v>
      </c>
      <c r="B42">
        <v>8.4898545156527703E-3</v>
      </c>
      <c r="C42">
        <v>1.7292118227684101E-3</v>
      </c>
      <c r="D42" s="1">
        <f t="shared" si="0"/>
        <v>-1.0219066338421181E-2</v>
      </c>
    </row>
    <row r="43" spans="1:16" x14ac:dyDescent="0.25">
      <c r="A43">
        <v>314.54931020736598</v>
      </c>
      <c r="B43">
        <v>8.0626690384331904E-3</v>
      </c>
      <c r="C43">
        <v>1.63637883666298E-3</v>
      </c>
      <c r="D43" s="1">
        <f t="shared" si="0"/>
        <v>-9.6990478750961697E-3</v>
      </c>
    </row>
    <row r="44" spans="1:16" x14ac:dyDescent="0.25">
      <c r="A44">
        <v>330.40212035179098</v>
      </c>
      <c r="B44">
        <v>7.6628935675525801E-3</v>
      </c>
      <c r="C44" s="1">
        <v>1.54929455671361E-3</v>
      </c>
      <c r="D44" s="1">
        <f t="shared" si="0"/>
        <v>-9.2121881242661907E-3</v>
      </c>
    </row>
    <row r="45" spans="1:16" x14ac:dyDescent="0.25">
      <c r="A45">
        <v>346.25493049621502</v>
      </c>
      <c r="B45">
        <v>7.2856211569794103E-3</v>
      </c>
      <c r="C45" s="1">
        <v>1.46429069427046E-3</v>
      </c>
      <c r="D45" s="1">
        <f t="shared" si="0"/>
        <v>-8.74991185124987E-3</v>
      </c>
    </row>
    <row r="46" spans="1:16" x14ac:dyDescent="0.25">
      <c r="A46">
        <v>362.10780143737702</v>
      </c>
      <c r="B46">
        <v>6.9283813912928999E-3</v>
      </c>
      <c r="C46" s="1">
        <v>1.3856078091129E-3</v>
      </c>
      <c r="D46" s="1">
        <f t="shared" si="0"/>
        <v>-8.3139892004058004E-3</v>
      </c>
    </row>
    <row r="47" spans="1:16" x14ac:dyDescent="0.25">
      <c r="A47">
        <v>377.96061158180203</v>
      </c>
      <c r="B47">
        <v>6.5883079054200998E-3</v>
      </c>
      <c r="C47" s="1">
        <v>1.3116835755900801E-3</v>
      </c>
      <c r="D47" s="1">
        <f t="shared" si="0"/>
        <v>-7.8999914810101799E-3</v>
      </c>
    </row>
    <row r="48" spans="1:16" x14ac:dyDescent="0.25">
      <c r="A48">
        <v>393.81348252296402</v>
      </c>
      <c r="B48">
        <v>6.2638663973129697E-3</v>
      </c>
      <c r="C48" s="1">
        <v>1.2401432139850599E-3</v>
      </c>
      <c r="D48" s="1">
        <f t="shared" si="0"/>
        <v>-7.5040096112980294E-3</v>
      </c>
    </row>
    <row r="49" spans="1:4" x14ac:dyDescent="0.25">
      <c r="A49">
        <v>409.66629266738801</v>
      </c>
      <c r="B49">
        <v>5.9546473327176004E-3</v>
      </c>
      <c r="C49" s="1">
        <v>1.1716568595398901E-3</v>
      </c>
      <c r="D49" s="1">
        <f t="shared" si="0"/>
        <v>-7.1263041922574903E-3</v>
      </c>
    </row>
    <row r="50" spans="1:4" x14ac:dyDescent="0.25">
      <c r="A50">
        <v>425.519042015075</v>
      </c>
      <c r="B50">
        <v>5.6599542858130503E-3</v>
      </c>
      <c r="C50" s="1">
        <v>1.1073583316156799E-3</v>
      </c>
      <c r="D50" s="1">
        <f t="shared" si="0"/>
        <v>-6.7673126174287307E-3</v>
      </c>
    </row>
    <row r="51" spans="1:4" x14ac:dyDescent="0.25">
      <c r="A51">
        <v>441.371912956237</v>
      </c>
      <c r="B51">
        <v>5.3783865384708198E-3</v>
      </c>
      <c r="C51" s="1">
        <v>1.0464359691767799E-3</v>
      </c>
      <c r="D51" s="1">
        <f t="shared" si="0"/>
        <v>-6.4248225076475995E-3</v>
      </c>
    </row>
    <row r="52" spans="1:4" x14ac:dyDescent="0.25">
      <c r="A52">
        <v>457.22478389739899</v>
      </c>
      <c r="B52">
        <v>5.1080405433670097E-3</v>
      </c>
      <c r="C52" s="1">
        <v>9.8813124674239903E-4</v>
      </c>
      <c r="D52" s="1">
        <f t="shared" si="0"/>
        <v>-6.0961717901094085E-3</v>
      </c>
    </row>
    <row r="53" spans="1:4" x14ac:dyDescent="0.25">
      <c r="A53">
        <v>473.07753324508599</v>
      </c>
      <c r="B53">
        <v>4.8478220187940799E-3</v>
      </c>
      <c r="C53" s="1">
        <v>9.3202060989869598E-4</v>
      </c>
      <c r="D53" s="1">
        <f t="shared" si="0"/>
        <v>-5.7798426286927761E-3</v>
      </c>
    </row>
    <row r="54" spans="1:4" x14ac:dyDescent="0.25">
      <c r="A54">
        <v>488.93034338951099</v>
      </c>
      <c r="B54">
        <v>4.5977061312645799E-3</v>
      </c>
      <c r="C54" s="1">
        <v>8.7889229007731497E-4</v>
      </c>
      <c r="D54" s="1">
        <f t="shared" si="0"/>
        <v>-5.4765984213418946E-3</v>
      </c>
    </row>
    <row r="55" spans="1:4" x14ac:dyDescent="0.25">
      <c r="A55">
        <v>504.78321433067299</v>
      </c>
      <c r="B55">
        <v>4.3570232085026203E-3</v>
      </c>
      <c r="C55" s="1">
        <v>8.2778372321978702E-4</v>
      </c>
      <c r="D55" s="1">
        <f t="shared" si="0"/>
        <v>-5.1848069317224077E-3</v>
      </c>
    </row>
    <row r="56" spans="1:4" x14ac:dyDescent="0.25">
      <c r="A56">
        <v>520.63602447509697</v>
      </c>
      <c r="B56">
        <v>4.1254181654135401E-3</v>
      </c>
      <c r="C56" s="1">
        <v>7.7793820128155701E-4</v>
      </c>
      <c r="D56" s="1">
        <f t="shared" si="0"/>
        <v>-4.9033563666950972E-3</v>
      </c>
    </row>
    <row r="57" spans="1:4" x14ac:dyDescent="0.25">
      <c r="A57">
        <v>536.48889541625897</v>
      </c>
      <c r="B57">
        <v>3.9023925307752399E-3</v>
      </c>
      <c r="C57" s="1">
        <v>7.3028486096100701E-4</v>
      </c>
      <c r="D57" s="1">
        <f t="shared" si="0"/>
        <v>-4.6326773917362467E-3</v>
      </c>
    </row>
    <row r="58" spans="1:4" x14ac:dyDescent="0.25">
      <c r="A58">
        <v>552.34173595905304</v>
      </c>
      <c r="B58">
        <v>3.68862826042462E-3</v>
      </c>
      <c r="C58" s="1">
        <v>6.8594041063289803E-4</v>
      </c>
      <c r="D58" s="1">
        <f t="shared" si="0"/>
        <v>-4.3745686710575183E-3</v>
      </c>
    </row>
    <row r="59" spans="1:4" x14ac:dyDescent="0.25">
      <c r="A59">
        <v>568.19448530673901</v>
      </c>
      <c r="B59">
        <v>3.4844595388988501E-3</v>
      </c>
      <c r="C59" s="1">
        <v>6.4315112102355599E-4</v>
      </c>
      <c r="D59" s="1">
        <f t="shared" si="0"/>
        <v>-4.1276106599224061E-3</v>
      </c>
    </row>
    <row r="60" spans="1:4" x14ac:dyDescent="0.25">
      <c r="A60">
        <v>584.04732584953297</v>
      </c>
      <c r="B60">
        <v>3.2886064424633701E-3</v>
      </c>
      <c r="C60" s="1">
        <v>6.0221901220808402E-4</v>
      </c>
      <c r="D60" s="1">
        <f t="shared" si="0"/>
        <v>-3.8908254546714542E-3</v>
      </c>
    </row>
    <row r="61" spans="1:4" x14ac:dyDescent="0.25">
      <c r="A61">
        <v>599.90016639232601</v>
      </c>
      <c r="B61">
        <v>3.0999183618457501E-3</v>
      </c>
      <c r="C61" s="1">
        <v>5.6423042795120495E-4</v>
      </c>
      <c r="D61" s="1">
        <f t="shared" si="0"/>
        <v>-3.6641487897969552E-3</v>
      </c>
    </row>
    <row r="62" spans="1:4" x14ac:dyDescent="0.25">
      <c r="A62">
        <v>615.75300693511895</v>
      </c>
      <c r="B62">
        <v>2.9178552617908499E-3</v>
      </c>
      <c r="C62" s="1">
        <v>5.2686938930906297E-4</v>
      </c>
      <c r="D62" s="1">
        <f t="shared" si="0"/>
        <v>-3.4447246510999128E-3</v>
      </c>
    </row>
    <row r="63" spans="1:4" x14ac:dyDescent="0.25">
      <c r="A63">
        <v>631.60581707954395</v>
      </c>
      <c r="B63">
        <v>2.74330175190301E-3</v>
      </c>
      <c r="C63" s="1">
        <v>4.9013713183921899E-4</v>
      </c>
      <c r="D63" s="1">
        <f t="shared" si="0"/>
        <v>-3.2334388837422291E-3</v>
      </c>
    </row>
    <row r="64" spans="1:4" x14ac:dyDescent="0.25">
      <c r="A64">
        <v>647.45859682559899</v>
      </c>
      <c r="B64">
        <v>2.57675582277333E-3</v>
      </c>
      <c r="C64" s="1">
        <v>4.5616736605469702E-4</v>
      </c>
      <c r="D64" s="1">
        <f t="shared" si="0"/>
        <v>-3.0329231888280269E-3</v>
      </c>
    </row>
    <row r="65" spans="1:4" x14ac:dyDescent="0.25">
      <c r="A65">
        <v>663.31143736839203</v>
      </c>
      <c r="B65">
        <v>2.4183315387783801E-3</v>
      </c>
      <c r="C65" s="1">
        <v>4.2401649712809199E-4</v>
      </c>
      <c r="D65" s="1">
        <f t="shared" si="0"/>
        <v>-2.842348035906472E-3</v>
      </c>
    </row>
    <row r="66" spans="1:4" x14ac:dyDescent="0.25">
      <c r="A66">
        <v>679.16427791118599</v>
      </c>
      <c r="B66">
        <v>2.26766750226403E-3</v>
      </c>
      <c r="C66" s="1">
        <v>3.9321082762413297E-4</v>
      </c>
      <c r="D66" s="1">
        <f t="shared" si="0"/>
        <v>-2.660878329888163E-3</v>
      </c>
    </row>
    <row r="67" spans="1:4" x14ac:dyDescent="0.25">
      <c r="A67">
        <v>695.01711845397904</v>
      </c>
      <c r="B67">
        <v>2.1246044027356001E-3</v>
      </c>
      <c r="C67" s="1">
        <v>3.64984685100553E-4</v>
      </c>
      <c r="D67" s="1">
        <f t="shared" ref="D67:D87" si="1">-B67-C67</f>
        <v>-2.4895890878361532E-3</v>
      </c>
    </row>
    <row r="68" spans="1:4" x14ac:dyDescent="0.25">
      <c r="A68">
        <v>710.86992859840302</v>
      </c>
      <c r="B68">
        <v>1.9888529390429499E-3</v>
      </c>
      <c r="C68" s="1">
        <v>3.3807675517929598E-4</v>
      </c>
      <c r="D68" s="1">
        <f t="shared" si="1"/>
        <v>-2.3269296942222458E-3</v>
      </c>
    </row>
    <row r="69" spans="1:4" x14ac:dyDescent="0.25">
      <c r="A69">
        <v>726.72273874282803</v>
      </c>
      <c r="B69">
        <v>1.8603836221521501E-3</v>
      </c>
      <c r="C69" s="1">
        <v>3.1239567957112001E-4</v>
      </c>
      <c r="D69" s="1">
        <f t="shared" si="1"/>
        <v>-2.1727793017232702E-3</v>
      </c>
    </row>
    <row r="70" spans="1:4" x14ac:dyDescent="0.25">
      <c r="A70">
        <v>742.57554888725201</v>
      </c>
      <c r="B70">
        <v>1.7391668444985799E-3</v>
      </c>
      <c r="C70" s="1">
        <v>2.8793729535341403E-4</v>
      </c>
      <c r="D70" s="1">
        <f t="shared" si="1"/>
        <v>-2.0271041398519938E-3</v>
      </c>
    </row>
    <row r="71" spans="1:4" x14ac:dyDescent="0.25">
      <c r="A71">
        <v>758.42838943004597</v>
      </c>
      <c r="B71">
        <v>1.6254110551116401E-3</v>
      </c>
      <c r="C71" s="1">
        <v>2.6478199444013301E-4</v>
      </c>
      <c r="D71" s="1">
        <f t="shared" si="1"/>
        <v>-1.8901930495517731E-3</v>
      </c>
    </row>
    <row r="72" spans="1:4" x14ac:dyDescent="0.25">
      <c r="A72">
        <v>774.28122997283901</v>
      </c>
      <c r="B72">
        <v>1.5186072379902099E-3</v>
      </c>
      <c r="C72" s="1">
        <v>2.4319846758185401E-4</v>
      </c>
      <c r="D72" s="1">
        <f t="shared" si="1"/>
        <v>-1.7618057055720639E-3</v>
      </c>
    </row>
    <row r="73" spans="1:4" x14ac:dyDescent="0.25">
      <c r="A73">
        <v>790.13402491807904</v>
      </c>
      <c r="B73">
        <v>1.41842148207787E-3</v>
      </c>
      <c r="C73" s="1">
        <v>2.23411356571718E-4</v>
      </c>
      <c r="D73" s="1">
        <f t="shared" si="1"/>
        <v>-1.6418328386495881E-3</v>
      </c>
    </row>
    <row r="74" spans="1:4" x14ac:dyDescent="0.25">
      <c r="A74">
        <v>805.98686546087197</v>
      </c>
      <c r="B74">
        <v>1.3251641743424901E-3</v>
      </c>
      <c r="C74" s="1">
        <v>2.0490187591715899E-4</v>
      </c>
      <c r="D74" s="1">
        <f t="shared" si="1"/>
        <v>-1.5300660502596492E-3</v>
      </c>
    </row>
    <row r="75" spans="1:4" x14ac:dyDescent="0.25">
      <c r="A75">
        <v>821.83970600366501</v>
      </c>
      <c r="B75">
        <v>1.2388975855595499E-3</v>
      </c>
      <c r="C75" s="1">
        <v>1.8781532282674299E-4</v>
      </c>
      <c r="D75" s="1">
        <f t="shared" si="1"/>
        <v>-1.426712908386293E-3</v>
      </c>
    </row>
    <row r="76" spans="1:4" x14ac:dyDescent="0.25">
      <c r="A76">
        <v>837.69251614809002</v>
      </c>
      <c r="B76">
        <v>1.1593303548654E-3</v>
      </c>
      <c r="C76" s="1">
        <v>1.71770241533997E-4</v>
      </c>
      <c r="D76" s="1">
        <f t="shared" si="1"/>
        <v>-1.3311005963993969E-3</v>
      </c>
    </row>
    <row r="77" spans="1:4" x14ac:dyDescent="0.25">
      <c r="A77">
        <v>853.54535669088295</v>
      </c>
      <c r="B77">
        <v>1.08652048059725E-3</v>
      </c>
      <c r="C77" s="1">
        <v>1.5636239869995299E-4</v>
      </c>
      <c r="D77" s="1">
        <f t="shared" si="1"/>
        <v>-1.242882879297203E-3</v>
      </c>
    </row>
    <row r="78" spans="1:4" x14ac:dyDescent="0.25">
      <c r="A78">
        <v>869.39818203449204</v>
      </c>
      <c r="B78">
        <v>1.02063462088454E-3</v>
      </c>
      <c r="C78" s="1">
        <v>1.4221230181096699E-4</v>
      </c>
      <c r="D78" s="1">
        <f t="shared" si="1"/>
        <v>-1.162846922695507E-3</v>
      </c>
    </row>
    <row r="79" spans="1:4" x14ac:dyDescent="0.25">
      <c r="A79">
        <v>885.25099217891602</v>
      </c>
      <c r="B79">
        <v>9.6155018735329903E-4</v>
      </c>
      <c r="C79" s="1">
        <v>1.2971291587741799E-4</v>
      </c>
      <c r="D79" s="1">
        <f t="shared" si="1"/>
        <v>-1.091263103230717E-3</v>
      </c>
    </row>
    <row r="80" spans="1:4" x14ac:dyDescent="0.25">
      <c r="A80">
        <v>901.10380992293301</v>
      </c>
      <c r="B80">
        <v>9.0933523996202502E-4</v>
      </c>
      <c r="C80" s="1">
        <v>1.1876188958229599E-4</v>
      </c>
      <c r="D80" s="1">
        <f t="shared" si="1"/>
        <v>-1.028097129544321E-3</v>
      </c>
    </row>
    <row r="81" spans="1:4" x14ac:dyDescent="0.25">
      <c r="A81">
        <v>916.95665046572606</v>
      </c>
      <c r="B81">
        <v>8.6405951842978502E-4</v>
      </c>
      <c r="C81" s="1">
        <v>1.0933147491092E-4</v>
      </c>
      <c r="D81" s="1">
        <f t="shared" si="1"/>
        <v>-9.7339099334070502E-4</v>
      </c>
    </row>
    <row r="82" spans="1:4" x14ac:dyDescent="0.25">
      <c r="A82">
        <v>932.80946820974305</v>
      </c>
      <c r="B82">
        <v>8.2554947421959401E-4</v>
      </c>
      <c r="C82" s="1">
        <v>1.0125490978619599E-4</v>
      </c>
      <c r="D82" s="1">
        <f t="shared" si="1"/>
        <v>-9.2680438400578999E-4</v>
      </c>
    </row>
    <row r="83" spans="1:4" x14ac:dyDescent="0.25">
      <c r="A83">
        <v>948.66229355335201</v>
      </c>
      <c r="B83">
        <v>7.9353074333723798E-4</v>
      </c>
      <c r="C83" s="1">
        <v>9.4461218904152999E-5</v>
      </c>
      <c r="D83" s="1">
        <f t="shared" si="1"/>
        <v>-8.8799196224139103E-4</v>
      </c>
    </row>
    <row r="84" spans="1:4" x14ac:dyDescent="0.25">
      <c r="A84">
        <v>964.51511889696098</v>
      </c>
      <c r="B84">
        <v>7.6787177763882003E-4</v>
      </c>
      <c r="C84" s="1">
        <v>8.8909839188535704E-5</v>
      </c>
      <c r="D84" s="1">
        <f t="shared" si="1"/>
        <v>-8.5678161682735572E-4</v>
      </c>
    </row>
    <row r="85" spans="1:4" x14ac:dyDescent="0.25">
      <c r="A85">
        <v>980.36794044077305</v>
      </c>
      <c r="B85">
        <v>7.4861928798660804E-4</v>
      </c>
      <c r="C85" s="1">
        <v>8.4672147346872894E-5</v>
      </c>
      <c r="D85" s="1">
        <f t="shared" si="1"/>
        <v>-8.3329143533348096E-4</v>
      </c>
    </row>
    <row r="86" spans="1:4" x14ac:dyDescent="0.25">
      <c r="A86">
        <v>996.22076388448397</v>
      </c>
      <c r="B86">
        <v>7.3580570001103901E-4</v>
      </c>
      <c r="C86" s="1">
        <v>8.1799462760505297E-5</v>
      </c>
      <c r="D86" s="1">
        <f t="shared" si="1"/>
        <v>-8.1760516277154429E-4</v>
      </c>
    </row>
    <row r="87" spans="1:4" x14ac:dyDescent="0.25">
      <c r="A87">
        <v>1012.07358780317</v>
      </c>
      <c r="B87">
        <v>7.29424732249651E-4</v>
      </c>
      <c r="C87" s="1">
        <v>8.0406697475154904E-5</v>
      </c>
      <c r="D87" s="1">
        <f t="shared" si="1"/>
        <v>-8.0983142972480588E-4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837"/>
  <sheetViews>
    <sheetView topLeftCell="A588" workbookViewId="0">
      <selection activeCell="A14" sqref="A14"/>
    </sheetView>
  </sheetViews>
  <sheetFormatPr defaultRowHeight="15" x14ac:dyDescent="0.25"/>
  <cols>
    <col min="1" max="1" width="81.140625" bestFit="1" customWidth="1"/>
    <col min="2" max="2" width="52.85546875" customWidth="1"/>
    <col min="3" max="3" width="18" bestFit="1" customWidth="1"/>
    <col min="4" max="4" width="19" customWidth="1"/>
    <col min="5" max="5" width="22.42578125" bestFit="1" customWidth="1"/>
    <col min="6" max="6" width="12.85546875" bestFit="1" customWidth="1"/>
    <col min="7" max="7" width="12.28515625" customWidth="1"/>
    <col min="8" max="8" width="11.5703125" customWidth="1"/>
    <col min="9" max="9" width="15.85546875" bestFit="1" customWidth="1"/>
    <col min="10" max="10" width="14" bestFit="1" customWidth="1"/>
    <col min="11" max="12" width="12" customWidth="1"/>
    <col min="13" max="13" width="3.140625" customWidth="1"/>
    <col min="14" max="15" width="12.7109375" customWidth="1"/>
    <col min="17" max="17" width="19" customWidth="1"/>
    <col min="18" max="20" width="12" customWidth="1"/>
    <col min="21" max="21" width="12.7109375" customWidth="1"/>
    <col min="22" max="22" width="12" customWidth="1"/>
    <col min="23" max="23" width="12.7109375" customWidth="1"/>
    <col min="24" max="24" width="12" customWidth="1"/>
    <col min="25" max="25" width="5.28515625" customWidth="1"/>
    <col min="26" max="29" width="12" customWidth="1"/>
    <col min="30" max="30" width="12.7109375" customWidth="1"/>
    <col min="31" max="40" width="12" customWidth="1"/>
    <col min="41" max="41" width="12.7109375" customWidth="1"/>
    <col min="42" max="43" width="12" customWidth="1"/>
    <col min="44" max="44" width="6.28515625" customWidth="1"/>
    <col min="45" max="45" width="12" customWidth="1"/>
    <col min="46" max="46" width="13.7109375" customWidth="1"/>
    <col min="47" max="47" width="14.140625" customWidth="1"/>
    <col min="48" max="48" width="12" customWidth="1"/>
    <col min="50" max="50" width="12" customWidth="1"/>
    <col min="51" max="51" width="12.7109375" bestFit="1" customWidth="1"/>
    <col min="52" max="52" width="12" customWidth="1"/>
    <col min="53" max="56" width="12.7109375" customWidth="1"/>
    <col min="57" max="57" width="12.7109375" bestFit="1" customWidth="1"/>
    <col min="58" max="58" width="12" customWidth="1"/>
    <col min="59" max="59" width="12.7109375" bestFit="1" customWidth="1"/>
    <col min="60" max="63" width="12.7109375" customWidth="1"/>
    <col min="65" max="65" width="12" customWidth="1"/>
    <col min="66" max="66" width="12.7109375" bestFit="1" customWidth="1"/>
    <col min="67" max="67" width="12" customWidth="1"/>
    <col min="68" max="70" width="12.7109375" customWidth="1"/>
  </cols>
  <sheetData>
    <row r="1" spans="1:6" x14ac:dyDescent="0.25">
      <c r="A1" t="s">
        <v>17</v>
      </c>
    </row>
    <row r="2" spans="1:6" x14ac:dyDescent="0.25">
      <c r="A2" t="s">
        <v>17</v>
      </c>
      <c r="B2" s="1"/>
      <c r="C2" s="1"/>
      <c r="D2" s="1"/>
      <c r="E2" s="1"/>
    </row>
    <row r="3" spans="1:6" x14ac:dyDescent="0.25">
      <c r="A3" t="s">
        <v>18</v>
      </c>
      <c r="B3" s="1" t="s">
        <v>19</v>
      </c>
      <c r="C3" s="1"/>
      <c r="D3" s="1"/>
      <c r="E3" s="1"/>
    </row>
    <row r="4" spans="1:6" x14ac:dyDescent="0.25">
      <c r="A4" t="s">
        <v>18</v>
      </c>
      <c r="B4" s="1" t="s">
        <v>20</v>
      </c>
      <c r="C4" s="1" t="s">
        <v>21</v>
      </c>
      <c r="D4" s="1" t="s">
        <v>22</v>
      </c>
      <c r="E4" s="1" t="s">
        <v>19</v>
      </c>
    </row>
    <row r="5" spans="1:6" x14ac:dyDescent="0.25">
      <c r="A5" t="s">
        <v>18</v>
      </c>
      <c r="B5" s="1" t="s">
        <v>23</v>
      </c>
      <c r="C5" s="1" t="s">
        <v>24</v>
      </c>
      <c r="D5" s="1" t="s">
        <v>19</v>
      </c>
      <c r="E5" s="1"/>
    </row>
    <row r="6" spans="1:6" x14ac:dyDescent="0.25">
      <c r="A6" t="s">
        <v>18</v>
      </c>
      <c r="B6" s="1" t="s">
        <v>25</v>
      </c>
      <c r="C6" s="1" t="s">
        <v>26</v>
      </c>
      <c r="D6" s="1" t="s">
        <v>27</v>
      </c>
      <c r="E6" s="1" t="s">
        <v>28</v>
      </c>
      <c r="F6" t="s">
        <v>19</v>
      </c>
    </row>
    <row r="7" spans="1:6" x14ac:dyDescent="0.25">
      <c r="A7" t="s">
        <v>18</v>
      </c>
      <c r="B7" s="1" t="s">
        <v>29</v>
      </c>
      <c r="C7" s="1" t="s">
        <v>30</v>
      </c>
      <c r="D7" s="1" t="s">
        <v>31</v>
      </c>
      <c r="E7" s="1" t="s">
        <v>19</v>
      </c>
    </row>
    <row r="8" spans="1:6" x14ac:dyDescent="0.25">
      <c r="A8" t="s">
        <v>18</v>
      </c>
      <c r="B8" s="1" t="s">
        <v>19</v>
      </c>
      <c r="C8" s="1"/>
      <c r="D8" s="1"/>
      <c r="E8" s="1"/>
    </row>
    <row r="9" spans="1:6" x14ac:dyDescent="0.25">
      <c r="A9" t="s">
        <v>18</v>
      </c>
      <c r="B9" s="1" t="s">
        <v>19</v>
      </c>
      <c r="C9" s="1"/>
      <c r="D9" s="1"/>
      <c r="E9" s="1"/>
    </row>
    <row r="10" spans="1:6" x14ac:dyDescent="0.25">
      <c r="A10" t="s">
        <v>18</v>
      </c>
      <c r="B10" s="1" t="s">
        <v>453</v>
      </c>
      <c r="C10" s="1" t="s">
        <v>19</v>
      </c>
      <c r="D10" s="1"/>
      <c r="E10" s="1"/>
    </row>
    <row r="11" spans="1:6" x14ac:dyDescent="0.25">
      <c r="A11" t="s">
        <v>18</v>
      </c>
      <c r="B11" s="1" t="s">
        <v>19</v>
      </c>
      <c r="C11" s="1"/>
      <c r="D11" s="1"/>
      <c r="E11" s="1"/>
    </row>
    <row r="12" spans="1:6" x14ac:dyDescent="0.25">
      <c r="A12" t="s">
        <v>18</v>
      </c>
      <c r="B12" s="1" t="s">
        <v>33</v>
      </c>
      <c r="C12" s="1" t="s">
        <v>34</v>
      </c>
      <c r="D12" s="1" t="s">
        <v>19</v>
      </c>
      <c r="E12" s="1"/>
    </row>
    <row r="13" spans="1:6" x14ac:dyDescent="0.25">
      <c r="A13" t="s">
        <v>18</v>
      </c>
      <c r="B13" s="1" t="s">
        <v>19</v>
      </c>
      <c r="C13" s="1"/>
      <c r="D13" s="1"/>
      <c r="E13" s="1"/>
    </row>
    <row r="14" spans="1:6" x14ac:dyDescent="0.25">
      <c r="A14" t="s">
        <v>18</v>
      </c>
      <c r="B14" s="1" t="s">
        <v>35</v>
      </c>
      <c r="C14" s="1" t="s">
        <v>36</v>
      </c>
      <c r="D14" s="1" t="s">
        <v>37</v>
      </c>
      <c r="E14" s="1" t="s">
        <v>38</v>
      </c>
      <c r="F14" t="s">
        <v>19</v>
      </c>
    </row>
    <row r="15" spans="1:6" x14ac:dyDescent="0.25">
      <c r="A15" t="s">
        <v>18</v>
      </c>
      <c r="B15" s="1" t="s">
        <v>19</v>
      </c>
      <c r="C15" s="1"/>
      <c r="D15" s="1"/>
      <c r="E15" s="1"/>
    </row>
    <row r="16" spans="1:6" x14ac:dyDescent="0.25">
      <c r="A16" t="s">
        <v>18</v>
      </c>
      <c r="B16" s="1" t="s">
        <v>39</v>
      </c>
      <c r="C16" s="1" t="s">
        <v>36</v>
      </c>
      <c r="D16" s="1" t="s">
        <v>40</v>
      </c>
      <c r="E16" s="1" t="s">
        <v>41</v>
      </c>
      <c r="F16" t="s">
        <v>19</v>
      </c>
    </row>
    <row r="17" spans="1:10" x14ac:dyDescent="0.25">
      <c r="A17" t="s">
        <v>18</v>
      </c>
      <c r="B17" s="1" t="s">
        <v>42</v>
      </c>
      <c r="C17" s="1" t="s">
        <v>36</v>
      </c>
      <c r="D17" s="1" t="s">
        <v>43</v>
      </c>
      <c r="E17" s="1" t="s">
        <v>44</v>
      </c>
      <c r="F17" t="s">
        <v>45</v>
      </c>
      <c r="G17" t="s">
        <v>19</v>
      </c>
    </row>
    <row r="18" spans="1:10" x14ac:dyDescent="0.25">
      <c r="A18" t="s">
        <v>18</v>
      </c>
      <c r="B18" s="1" t="s">
        <v>46</v>
      </c>
      <c r="C18" s="1" t="s">
        <v>47</v>
      </c>
      <c r="D18" s="1" t="s">
        <v>36</v>
      </c>
      <c r="E18" s="1" t="s">
        <v>43</v>
      </c>
      <c r="F18" t="s">
        <v>19</v>
      </c>
    </row>
    <row r="19" spans="1:10" x14ac:dyDescent="0.25">
      <c r="A19" t="s">
        <v>18</v>
      </c>
      <c r="B19" s="1" t="s">
        <v>48</v>
      </c>
      <c r="C19" s="1" t="s">
        <v>454</v>
      </c>
      <c r="D19" s="1" t="s">
        <v>19</v>
      </c>
      <c r="E19" s="1"/>
    </row>
    <row r="20" spans="1:10" x14ac:dyDescent="0.25">
      <c r="A20" t="s">
        <v>18</v>
      </c>
      <c r="B20" s="1" t="s">
        <v>51</v>
      </c>
      <c r="C20" s="1" t="s">
        <v>19</v>
      </c>
      <c r="D20" s="1"/>
      <c r="E20" s="1"/>
    </row>
    <row r="21" spans="1:10" x14ac:dyDescent="0.25">
      <c r="A21" t="s">
        <v>18</v>
      </c>
      <c r="B21" s="1" t="s">
        <v>19</v>
      </c>
      <c r="C21" s="1"/>
      <c r="D21" s="1"/>
      <c r="E21" s="1"/>
    </row>
    <row r="22" spans="1:10" x14ac:dyDescent="0.25">
      <c r="A22" t="s">
        <v>18</v>
      </c>
      <c r="B22" s="1" t="s">
        <v>19</v>
      </c>
      <c r="C22" s="1"/>
      <c r="D22" s="1"/>
      <c r="E22" s="1"/>
    </row>
    <row r="23" spans="1:10" x14ac:dyDescent="0.25">
      <c r="A23" t="s">
        <v>18</v>
      </c>
      <c r="B23" s="1" t="s">
        <v>19</v>
      </c>
      <c r="C23" s="1"/>
      <c r="D23" s="1"/>
      <c r="E23" s="1"/>
    </row>
    <row r="24" spans="1:10" x14ac:dyDescent="0.25">
      <c r="A24" t="s">
        <v>17</v>
      </c>
      <c r="B24" s="1"/>
      <c r="C24" s="1"/>
      <c r="D24" s="1"/>
      <c r="E24" s="1"/>
    </row>
    <row r="25" spans="1:10" x14ac:dyDescent="0.25">
      <c r="B25" s="1"/>
      <c r="C25" s="1"/>
      <c r="D25" s="1"/>
      <c r="E25" s="1"/>
    </row>
    <row r="26" spans="1:10" x14ac:dyDescent="0.25">
      <c r="A26" t="s">
        <v>52</v>
      </c>
      <c r="B26" s="1"/>
      <c r="C26" s="1"/>
      <c r="D26" s="1"/>
      <c r="E26" s="1"/>
    </row>
    <row r="27" spans="1:10" x14ac:dyDescent="0.25">
      <c r="A27" t="s">
        <v>52</v>
      </c>
      <c r="B27" s="1"/>
      <c r="C27" s="1"/>
      <c r="D27" s="1"/>
      <c r="E27" s="1"/>
    </row>
    <row r="28" spans="1:10" x14ac:dyDescent="0.25">
      <c r="A28" t="s">
        <v>52</v>
      </c>
      <c r="B28" s="1"/>
      <c r="C28" s="1"/>
      <c r="D28" s="1"/>
      <c r="E28" s="1"/>
    </row>
    <row r="29" spans="1:10" x14ac:dyDescent="0.25">
      <c r="A29" t="s">
        <v>53</v>
      </c>
      <c r="B29" s="1" t="s">
        <v>54</v>
      </c>
      <c r="C29" s="1" t="s">
        <v>55</v>
      </c>
      <c r="D29" s="1" t="s">
        <v>54</v>
      </c>
      <c r="E29" s="1" t="s">
        <v>56</v>
      </c>
    </row>
    <row r="30" spans="1:10" x14ac:dyDescent="0.25">
      <c r="A30" t="s">
        <v>53</v>
      </c>
      <c r="B30" s="1" t="s">
        <v>56</v>
      </c>
      <c r="C30" s="1"/>
      <c r="D30" s="1"/>
      <c r="E30" s="1"/>
    </row>
    <row r="31" spans="1:10" x14ac:dyDescent="0.25">
      <c r="A31" t="s">
        <v>53</v>
      </c>
      <c r="B31" s="1" t="s">
        <v>57</v>
      </c>
      <c r="C31" s="1" t="s">
        <v>58</v>
      </c>
      <c r="D31" s="1" t="s">
        <v>59</v>
      </c>
      <c r="E31" s="1" t="s">
        <v>60</v>
      </c>
      <c r="F31" t="s">
        <v>61</v>
      </c>
      <c r="G31" t="s">
        <v>62</v>
      </c>
      <c r="H31" t="s">
        <v>63</v>
      </c>
      <c r="I31" t="s">
        <v>64</v>
      </c>
      <c r="J31" t="s">
        <v>56</v>
      </c>
    </row>
    <row r="32" spans="1:10" x14ac:dyDescent="0.25">
      <c r="A32" t="s">
        <v>53</v>
      </c>
      <c r="B32" s="1" t="s">
        <v>56</v>
      </c>
      <c r="C32" s="1"/>
      <c r="D32" s="1"/>
      <c r="E32" s="1"/>
    </row>
    <row r="33" spans="1:12" x14ac:dyDescent="0.25">
      <c r="A33" t="s">
        <v>53</v>
      </c>
      <c r="B33" s="1" t="s">
        <v>57</v>
      </c>
      <c r="C33" s="1" t="s">
        <v>62</v>
      </c>
      <c r="D33" s="1" t="s">
        <v>65</v>
      </c>
      <c r="E33" s="1" t="s">
        <v>66</v>
      </c>
      <c r="F33" t="s">
        <v>59</v>
      </c>
      <c r="G33" t="s">
        <v>67</v>
      </c>
      <c r="H33" t="s">
        <v>29</v>
      </c>
      <c r="I33" t="s">
        <v>68</v>
      </c>
      <c r="J33" t="s">
        <v>69</v>
      </c>
      <c r="K33" t="s">
        <v>56</v>
      </c>
    </row>
    <row r="34" spans="1:12" x14ac:dyDescent="0.25">
      <c r="A34" t="s">
        <v>53</v>
      </c>
      <c r="B34" s="1" t="s">
        <v>70</v>
      </c>
      <c r="C34" s="1" t="s">
        <v>62</v>
      </c>
      <c r="D34" s="1" t="s">
        <v>71</v>
      </c>
      <c r="E34" s="1" t="s">
        <v>44</v>
      </c>
      <c r="F34" t="s">
        <v>72</v>
      </c>
      <c r="G34" t="s">
        <v>73</v>
      </c>
      <c r="H34" t="s">
        <v>74</v>
      </c>
      <c r="I34" t="s">
        <v>75</v>
      </c>
      <c r="J34" t="s">
        <v>56</v>
      </c>
    </row>
    <row r="35" spans="1:12" x14ac:dyDescent="0.25">
      <c r="A35" t="s">
        <v>53</v>
      </c>
      <c r="B35" s="1" t="s">
        <v>76</v>
      </c>
      <c r="C35" s="1" t="s">
        <v>77</v>
      </c>
      <c r="D35" s="1" t="s">
        <v>78</v>
      </c>
      <c r="E35" s="1" t="s">
        <v>71</v>
      </c>
      <c r="F35" t="s">
        <v>79</v>
      </c>
      <c r="G35" t="s">
        <v>80</v>
      </c>
      <c r="H35" t="s">
        <v>81</v>
      </c>
      <c r="I35" t="s">
        <v>82</v>
      </c>
      <c r="J35" t="s">
        <v>83</v>
      </c>
      <c r="K35" t="s">
        <v>56</v>
      </c>
    </row>
    <row r="36" spans="1:12" x14ac:dyDescent="0.25">
      <c r="A36" t="s">
        <v>53</v>
      </c>
      <c r="B36" s="1" t="s">
        <v>84</v>
      </c>
      <c r="C36" s="1" t="s">
        <v>85</v>
      </c>
      <c r="D36" s="1" t="s">
        <v>86</v>
      </c>
      <c r="E36" s="1" t="s">
        <v>61</v>
      </c>
      <c r="F36" t="s">
        <v>62</v>
      </c>
      <c r="G36" t="s">
        <v>87</v>
      </c>
      <c r="H36" t="s">
        <v>88</v>
      </c>
      <c r="I36" t="s">
        <v>89</v>
      </c>
      <c r="J36" t="s">
        <v>56</v>
      </c>
    </row>
    <row r="37" spans="1:12" x14ac:dyDescent="0.25">
      <c r="A37" t="s">
        <v>53</v>
      </c>
      <c r="B37" s="1" t="s">
        <v>90</v>
      </c>
      <c r="C37" s="1" t="s">
        <v>44</v>
      </c>
      <c r="D37" s="1" t="s">
        <v>91</v>
      </c>
      <c r="E37" s="1" t="s">
        <v>92</v>
      </c>
      <c r="F37" t="s">
        <v>93</v>
      </c>
      <c r="G37" t="s">
        <v>56</v>
      </c>
    </row>
    <row r="38" spans="1:12" x14ac:dyDescent="0.25">
      <c r="A38" t="s">
        <v>53</v>
      </c>
      <c r="B38" s="1" t="s">
        <v>56</v>
      </c>
      <c r="C38" s="1"/>
      <c r="D38" s="1"/>
      <c r="E38" s="1"/>
    </row>
    <row r="39" spans="1:12" x14ac:dyDescent="0.25">
      <c r="A39" t="s">
        <v>53</v>
      </c>
      <c r="B39" s="1" t="s">
        <v>94</v>
      </c>
      <c r="C39" s="1" t="s">
        <v>65</v>
      </c>
      <c r="D39" s="1" t="s">
        <v>66</v>
      </c>
      <c r="E39" s="1" t="s">
        <v>95</v>
      </c>
      <c r="F39" t="s">
        <v>80</v>
      </c>
      <c r="G39" t="s">
        <v>96</v>
      </c>
      <c r="H39" t="s">
        <v>97</v>
      </c>
      <c r="I39" t="s">
        <v>98</v>
      </c>
      <c r="J39" t="s">
        <v>56</v>
      </c>
    </row>
    <row r="40" spans="1:12" x14ac:dyDescent="0.25">
      <c r="A40" t="s">
        <v>53</v>
      </c>
      <c r="B40" s="1" t="s">
        <v>56</v>
      </c>
      <c r="C40" s="1"/>
      <c r="D40" s="1"/>
      <c r="E40" s="1"/>
    </row>
    <row r="41" spans="1:12" x14ac:dyDescent="0.25">
      <c r="A41" t="s">
        <v>53</v>
      </c>
      <c r="B41" s="1" t="s">
        <v>94</v>
      </c>
      <c r="C41" s="1" t="s">
        <v>65</v>
      </c>
      <c r="D41" s="1" t="s">
        <v>66</v>
      </c>
      <c r="E41" s="1" t="s">
        <v>95</v>
      </c>
      <c r="F41" t="s">
        <v>80</v>
      </c>
      <c r="G41" t="s">
        <v>99</v>
      </c>
      <c r="H41" t="s">
        <v>97</v>
      </c>
      <c r="I41" t="s">
        <v>100</v>
      </c>
      <c r="J41" t="s">
        <v>101</v>
      </c>
      <c r="K41" t="s">
        <v>62</v>
      </c>
      <c r="L41" t="s">
        <v>56</v>
      </c>
    </row>
    <row r="42" spans="1:12" x14ac:dyDescent="0.25">
      <c r="A42" t="s">
        <v>53</v>
      </c>
      <c r="B42" s="1" t="s">
        <v>63</v>
      </c>
      <c r="C42" s="1" t="s">
        <v>102</v>
      </c>
      <c r="D42" s="1" t="s">
        <v>29</v>
      </c>
      <c r="E42" s="1" t="s">
        <v>103</v>
      </c>
      <c r="F42" t="s">
        <v>104</v>
      </c>
      <c r="G42" t="s">
        <v>105</v>
      </c>
      <c r="H42" t="s">
        <v>106</v>
      </c>
      <c r="I42" t="s">
        <v>107</v>
      </c>
      <c r="J42" t="s">
        <v>56</v>
      </c>
    </row>
    <row r="43" spans="1:12" x14ac:dyDescent="0.25">
      <c r="A43" t="s">
        <v>53</v>
      </c>
      <c r="B43" s="1" t="s">
        <v>108</v>
      </c>
      <c r="C43" s="1" t="s">
        <v>109</v>
      </c>
      <c r="D43" s="1" t="s">
        <v>77</v>
      </c>
      <c r="E43" s="1" t="s">
        <v>62</v>
      </c>
      <c r="F43" t="s">
        <v>110</v>
      </c>
      <c r="G43" t="s">
        <v>111</v>
      </c>
      <c r="H43" t="s">
        <v>107</v>
      </c>
      <c r="I43" t="s">
        <v>112</v>
      </c>
      <c r="J43" t="s">
        <v>101</v>
      </c>
      <c r="K43" t="s">
        <v>56</v>
      </c>
    </row>
    <row r="44" spans="1:12" x14ac:dyDescent="0.25">
      <c r="A44" t="s">
        <v>53</v>
      </c>
      <c r="B44" s="1" t="s">
        <v>113</v>
      </c>
      <c r="C44" s="1" t="s">
        <v>114</v>
      </c>
      <c r="D44" s="1" t="s">
        <v>56</v>
      </c>
      <c r="E44" s="1"/>
    </row>
    <row r="45" spans="1:12" x14ac:dyDescent="0.25">
      <c r="A45" t="s">
        <v>53</v>
      </c>
      <c r="B45" s="1" t="s">
        <v>56</v>
      </c>
      <c r="C45" s="1"/>
      <c r="D45" s="1"/>
      <c r="E45" s="1"/>
    </row>
    <row r="46" spans="1:12" x14ac:dyDescent="0.25">
      <c r="A46" t="s">
        <v>53</v>
      </c>
      <c r="B46" s="1" t="s">
        <v>115</v>
      </c>
      <c r="C46" s="1" t="s">
        <v>116</v>
      </c>
      <c r="D46" s="1" t="s">
        <v>117</v>
      </c>
      <c r="E46" s="1" t="s">
        <v>118</v>
      </c>
      <c r="F46" t="s">
        <v>56</v>
      </c>
    </row>
    <row r="47" spans="1:12" x14ac:dyDescent="0.25">
      <c r="A47" t="s">
        <v>53</v>
      </c>
      <c r="B47" s="1" t="s">
        <v>56</v>
      </c>
      <c r="C47" s="1"/>
      <c r="D47" s="1"/>
      <c r="E47" s="1"/>
    </row>
    <row r="48" spans="1:12" x14ac:dyDescent="0.25">
      <c r="A48" t="s">
        <v>53</v>
      </c>
      <c r="B48" s="1" t="s">
        <v>455</v>
      </c>
      <c r="C48" s="1" t="s">
        <v>56</v>
      </c>
      <c r="D48" s="1"/>
      <c r="E48" s="1"/>
    </row>
    <row r="49" spans="1:6" x14ac:dyDescent="0.25">
      <c r="A49" t="s">
        <v>52</v>
      </c>
      <c r="B49" s="1"/>
      <c r="C49" s="1"/>
      <c r="D49" s="1"/>
      <c r="E49" s="1"/>
    </row>
    <row r="50" spans="1:6" x14ac:dyDescent="0.25">
      <c r="A50" t="s">
        <v>52</v>
      </c>
      <c r="B50" s="1"/>
      <c r="C50" s="1"/>
      <c r="D50" s="1"/>
      <c r="E50" s="1"/>
    </row>
    <row r="51" spans="1:6" x14ac:dyDescent="0.25">
      <c r="A51" t="s">
        <v>121</v>
      </c>
      <c r="B51" s="1" t="s">
        <v>456</v>
      </c>
      <c r="C51" s="1"/>
      <c r="D51" s="1"/>
      <c r="E51" s="1"/>
    </row>
    <row r="52" spans="1:6" x14ac:dyDescent="0.25">
      <c r="B52" s="1"/>
      <c r="C52" s="1"/>
      <c r="D52" s="1"/>
      <c r="E52" s="1"/>
    </row>
    <row r="53" spans="1:6" x14ac:dyDescent="0.25">
      <c r="A53" t="s">
        <v>122</v>
      </c>
      <c r="B53" s="1" t="s">
        <v>36</v>
      </c>
      <c r="C53" s="1" t="s">
        <v>123</v>
      </c>
      <c r="D53" s="1" t="s">
        <v>455</v>
      </c>
      <c r="E53" s="1"/>
    </row>
    <row r="54" spans="1:6" x14ac:dyDescent="0.25">
      <c r="B54" s="1"/>
      <c r="C54" s="1"/>
      <c r="D54" s="1"/>
      <c r="E54" s="1"/>
    </row>
    <row r="55" spans="1:6" x14ac:dyDescent="0.25">
      <c r="A55" t="s">
        <v>124</v>
      </c>
      <c r="B55" s="1" t="s">
        <v>125</v>
      </c>
      <c r="C55" s="1" t="s">
        <v>457</v>
      </c>
      <c r="D55" s="1" t="s">
        <v>287</v>
      </c>
      <c r="E55" s="1" t="s">
        <v>131</v>
      </c>
    </row>
    <row r="56" spans="1:6" x14ac:dyDescent="0.25">
      <c r="B56" s="1"/>
      <c r="C56" s="1"/>
      <c r="D56" s="1"/>
      <c r="E56" s="1"/>
    </row>
    <row r="57" spans="1:6" x14ac:dyDescent="0.25">
      <c r="B57" s="1" t="s">
        <v>131</v>
      </c>
      <c r="C57" s="1" t="s">
        <v>304</v>
      </c>
      <c r="D57" s="1" t="s">
        <v>43</v>
      </c>
      <c r="E57" s="1" t="s">
        <v>458</v>
      </c>
      <c r="F57" t="s">
        <v>459</v>
      </c>
    </row>
    <row r="58" spans="1:6" x14ac:dyDescent="0.25">
      <c r="B58" s="1" t="s">
        <v>51</v>
      </c>
      <c r="C58" s="1" t="s">
        <v>460</v>
      </c>
      <c r="D58" s="1" t="s">
        <v>461</v>
      </c>
      <c r="E58" s="1" t="s">
        <v>462</v>
      </c>
    </row>
    <row r="59" spans="1:6" x14ac:dyDescent="0.25">
      <c r="B59" s="1" t="s">
        <v>463</v>
      </c>
      <c r="C59" s="1" t="s">
        <v>464</v>
      </c>
      <c r="D59" s="1" t="s">
        <v>465</v>
      </c>
      <c r="E59" s="1" t="s">
        <v>51</v>
      </c>
    </row>
    <row r="60" spans="1:6" x14ac:dyDescent="0.25">
      <c r="B60" s="1" t="s">
        <v>134</v>
      </c>
      <c r="C60" s="1" t="s">
        <v>135</v>
      </c>
      <c r="D60" s="1" t="s">
        <v>466</v>
      </c>
      <c r="E60" s="1"/>
    </row>
    <row r="61" spans="1:6" x14ac:dyDescent="0.25">
      <c r="B61" s="1"/>
      <c r="C61" s="1"/>
      <c r="D61" s="1"/>
      <c r="E61" s="1"/>
    </row>
    <row r="62" spans="1:6" x14ac:dyDescent="0.25">
      <c r="A62" t="s">
        <v>137</v>
      </c>
      <c r="B62" s="1"/>
      <c r="C62" s="1"/>
      <c r="D62" s="1"/>
      <c r="E62" s="1"/>
    </row>
    <row r="63" spans="1:6" x14ac:dyDescent="0.25">
      <c r="B63" s="1" t="s">
        <v>138</v>
      </c>
      <c r="C63" s="1" t="s">
        <v>139</v>
      </c>
      <c r="D63" s="1" t="s">
        <v>140</v>
      </c>
      <c r="E63" s="1" t="s">
        <v>141</v>
      </c>
      <c r="F63" t="s">
        <v>142</v>
      </c>
    </row>
    <row r="64" spans="1:6" x14ac:dyDescent="0.25">
      <c r="B64" s="1" t="s">
        <v>146</v>
      </c>
      <c r="C64" s="1" t="s">
        <v>139</v>
      </c>
      <c r="D64" s="1" t="s">
        <v>147</v>
      </c>
      <c r="E64" s="1" t="s">
        <v>148</v>
      </c>
    </row>
    <row r="65" spans="1:11" x14ac:dyDescent="0.25">
      <c r="B65" s="1" t="s">
        <v>467</v>
      </c>
      <c r="C65" s="1" t="s">
        <v>139</v>
      </c>
      <c r="D65" s="1" t="s">
        <v>197</v>
      </c>
      <c r="E65" s="1" t="s">
        <v>401</v>
      </c>
    </row>
    <row r="66" spans="1:11" x14ac:dyDescent="0.25">
      <c r="B66" s="1" t="s">
        <v>149</v>
      </c>
      <c r="C66" s="1" t="s">
        <v>139</v>
      </c>
      <c r="D66" s="1" t="s">
        <v>468</v>
      </c>
      <c r="E66" s="1" t="s">
        <v>117</v>
      </c>
      <c r="F66" t="s">
        <v>151</v>
      </c>
      <c r="G66" t="s">
        <v>152</v>
      </c>
    </row>
    <row r="67" spans="1:11" x14ac:dyDescent="0.25">
      <c r="B67" s="1" t="s">
        <v>153</v>
      </c>
      <c r="C67" s="1" t="s">
        <v>139</v>
      </c>
      <c r="D67" s="1" t="s">
        <v>154</v>
      </c>
      <c r="E67" s="1" t="s">
        <v>117</v>
      </c>
      <c r="F67" t="s">
        <v>151</v>
      </c>
      <c r="G67" t="s">
        <v>152</v>
      </c>
    </row>
    <row r="68" spans="1:11" x14ac:dyDescent="0.25">
      <c r="B68" s="1" t="s">
        <v>155</v>
      </c>
      <c r="C68" s="1" t="s">
        <v>139</v>
      </c>
      <c r="D68" s="1" t="s">
        <v>156</v>
      </c>
      <c r="E68" s="1"/>
    </row>
    <row r="69" spans="1:11" x14ac:dyDescent="0.25">
      <c r="B69" s="1" t="s">
        <v>157</v>
      </c>
      <c r="C69" s="1" t="s">
        <v>139</v>
      </c>
      <c r="D69" s="1" t="s">
        <v>158</v>
      </c>
      <c r="E69" s="1" t="s">
        <v>159</v>
      </c>
      <c r="F69" t="s">
        <v>160</v>
      </c>
    </row>
    <row r="70" spans="1:11" x14ac:dyDescent="0.25">
      <c r="B70" s="1" t="s">
        <v>161</v>
      </c>
      <c r="C70" s="1" t="s">
        <v>139</v>
      </c>
      <c r="D70" s="1" t="s">
        <v>162</v>
      </c>
      <c r="E70" s="1" t="s">
        <v>159</v>
      </c>
      <c r="F70" t="s">
        <v>160</v>
      </c>
    </row>
    <row r="71" spans="1:11" x14ac:dyDescent="0.25">
      <c r="B71" s="1" t="s">
        <v>163</v>
      </c>
      <c r="C71" s="1" t="s">
        <v>164</v>
      </c>
      <c r="D71" s="1" t="s">
        <v>165</v>
      </c>
      <c r="E71" s="1" t="s">
        <v>139</v>
      </c>
      <c r="F71" t="s">
        <v>166</v>
      </c>
      <c r="G71" t="s">
        <v>167</v>
      </c>
      <c r="H71" t="s">
        <v>44</v>
      </c>
      <c r="I71" t="s">
        <v>168</v>
      </c>
      <c r="J71" t="s">
        <v>160</v>
      </c>
      <c r="K71" t="s">
        <v>169</v>
      </c>
    </row>
    <row r="72" spans="1:11" x14ac:dyDescent="0.25">
      <c r="B72" s="1" t="s">
        <v>170</v>
      </c>
      <c r="C72" s="1" t="s">
        <v>139</v>
      </c>
      <c r="D72" s="1" t="s">
        <v>171</v>
      </c>
      <c r="E72" s="1" t="s">
        <v>172</v>
      </c>
      <c r="F72" t="s">
        <v>36</v>
      </c>
      <c r="G72" t="s">
        <v>160</v>
      </c>
      <c r="H72" t="s">
        <v>169</v>
      </c>
    </row>
    <row r="73" spans="1:11" x14ac:dyDescent="0.25">
      <c r="B73" s="1" t="s">
        <v>173</v>
      </c>
      <c r="C73" s="1" t="s">
        <v>139</v>
      </c>
      <c r="D73" s="1" t="s">
        <v>174</v>
      </c>
      <c r="E73" s="1" t="s">
        <v>160</v>
      </c>
    </row>
    <row r="74" spans="1:11" x14ac:dyDescent="0.25">
      <c r="B74" s="1" t="s">
        <v>175</v>
      </c>
      <c r="C74" s="1" t="s">
        <v>176</v>
      </c>
      <c r="D74" s="1" t="s">
        <v>177</v>
      </c>
      <c r="E74" s="1" t="s">
        <v>139</v>
      </c>
      <c r="F74" t="s">
        <v>166</v>
      </c>
      <c r="G74" t="s">
        <v>167</v>
      </c>
      <c r="H74" t="s">
        <v>44</v>
      </c>
      <c r="I74" t="s">
        <v>168</v>
      </c>
      <c r="J74" t="s">
        <v>178</v>
      </c>
    </row>
    <row r="75" spans="1:11" x14ac:dyDescent="0.25">
      <c r="B75" s="1"/>
      <c r="C75" s="1"/>
      <c r="D75" s="1"/>
      <c r="E75" s="1"/>
    </row>
    <row r="76" spans="1:11" x14ac:dyDescent="0.25">
      <c r="B76" s="1" t="s">
        <v>179</v>
      </c>
      <c r="C76" s="1" t="s">
        <v>139</v>
      </c>
      <c r="D76" s="1" t="s">
        <v>180</v>
      </c>
      <c r="E76" s="1" t="s">
        <v>61</v>
      </c>
      <c r="F76" t="s">
        <v>5</v>
      </c>
      <c r="G76" t="s">
        <v>181</v>
      </c>
      <c r="H76" t="s">
        <v>182</v>
      </c>
      <c r="I76" t="s">
        <v>146</v>
      </c>
      <c r="J76" t="s">
        <v>44</v>
      </c>
      <c r="K76" t="s">
        <v>183</v>
      </c>
    </row>
    <row r="77" spans="1:11" x14ac:dyDescent="0.25">
      <c r="B77" s="1" t="s">
        <v>408</v>
      </c>
      <c r="C77" s="1" t="s">
        <v>139</v>
      </c>
      <c r="D77" s="1" t="s">
        <v>409</v>
      </c>
      <c r="E77" s="1" t="s">
        <v>410</v>
      </c>
    </row>
    <row r="78" spans="1:11" x14ac:dyDescent="0.25">
      <c r="B78" s="1"/>
      <c r="C78" s="1"/>
      <c r="D78" s="1"/>
      <c r="E78" s="1"/>
    </row>
    <row r="79" spans="1:11" x14ac:dyDescent="0.25">
      <c r="B79" s="1"/>
      <c r="C79" s="1"/>
      <c r="D79" s="1"/>
      <c r="E79" s="1"/>
    </row>
    <row r="80" spans="1:11" x14ac:dyDescent="0.25">
      <c r="A80">
        <v>1</v>
      </c>
      <c r="B80" s="1" t="s">
        <v>184</v>
      </c>
      <c r="C80" s="1"/>
      <c r="D80" s="1"/>
      <c r="E80" s="1"/>
    </row>
    <row r="81" spans="1:13" x14ac:dyDescent="0.25">
      <c r="B81" s="1" t="s">
        <v>20</v>
      </c>
      <c r="C81" s="1" t="s">
        <v>91</v>
      </c>
      <c r="D81" s="1" t="s">
        <v>185</v>
      </c>
      <c r="E81" s="1" t="s">
        <v>186</v>
      </c>
      <c r="F81" t="s">
        <v>36</v>
      </c>
      <c r="G81" t="s">
        <v>187</v>
      </c>
      <c r="H81" t="s">
        <v>188</v>
      </c>
      <c r="I81" t="s">
        <v>189</v>
      </c>
      <c r="J81" t="s">
        <v>190</v>
      </c>
      <c r="K81" t="s">
        <v>191</v>
      </c>
    </row>
    <row r="82" spans="1:13" x14ac:dyDescent="0.25">
      <c r="B82" s="1" t="s">
        <v>94</v>
      </c>
      <c r="C82" s="1" t="s">
        <v>192</v>
      </c>
      <c r="D82" s="1" t="s">
        <v>193</v>
      </c>
      <c r="E82" s="1" t="s">
        <v>107</v>
      </c>
      <c r="F82" t="s">
        <v>83</v>
      </c>
      <c r="G82" t="s">
        <v>194</v>
      </c>
      <c r="H82" t="s">
        <v>195</v>
      </c>
      <c r="I82" t="s">
        <v>143</v>
      </c>
      <c r="J82" t="s">
        <v>140</v>
      </c>
      <c r="K82" t="s">
        <v>193</v>
      </c>
      <c r="L82" t="s">
        <v>196</v>
      </c>
      <c r="M82" t="s">
        <v>61</v>
      </c>
    </row>
    <row r="83" spans="1:13" x14ac:dyDescent="0.25">
      <c r="B83" s="1" t="s">
        <v>83</v>
      </c>
      <c r="C83" s="1" t="s">
        <v>162</v>
      </c>
      <c r="D83" s="1" t="s">
        <v>159</v>
      </c>
      <c r="E83" s="1" t="s">
        <v>197</v>
      </c>
      <c r="F83" t="s">
        <v>198</v>
      </c>
    </row>
    <row r="84" spans="1:13" x14ac:dyDescent="0.25">
      <c r="B84" s="1" t="s">
        <v>94</v>
      </c>
      <c r="C84" s="1" t="s">
        <v>412</v>
      </c>
      <c r="D84" s="1" t="s">
        <v>87</v>
      </c>
      <c r="E84" s="1" t="s">
        <v>199</v>
      </c>
      <c r="F84" t="s">
        <v>107</v>
      </c>
      <c r="G84" t="s">
        <v>86</v>
      </c>
      <c r="H84" t="s">
        <v>206</v>
      </c>
      <c r="I84" t="s">
        <v>62</v>
      </c>
      <c r="J84" t="s">
        <v>162</v>
      </c>
      <c r="K84" t="s">
        <v>44</v>
      </c>
      <c r="L84" t="s">
        <v>168</v>
      </c>
    </row>
    <row r="85" spans="1:13" x14ac:dyDescent="0.25">
      <c r="B85" s="1" t="s">
        <v>283</v>
      </c>
      <c r="C85" s="1" t="s">
        <v>413</v>
      </c>
      <c r="D85" s="1" t="s">
        <v>62</v>
      </c>
      <c r="E85" s="1" t="s">
        <v>414</v>
      </c>
      <c r="F85" t="s">
        <v>87</v>
      </c>
      <c r="G85" t="s">
        <v>199</v>
      </c>
      <c r="H85" t="s">
        <v>107</v>
      </c>
      <c r="I85" t="s">
        <v>200</v>
      </c>
      <c r="J85" t="s">
        <v>206</v>
      </c>
      <c r="K85" t="s">
        <v>62</v>
      </c>
      <c r="L85" t="s">
        <v>5</v>
      </c>
    </row>
    <row r="86" spans="1:13" x14ac:dyDescent="0.25">
      <c r="B86" s="1" t="e">
        <f>-normal</f>
        <v>#NAME?</v>
      </c>
      <c r="C86" s="1" t="s">
        <v>415</v>
      </c>
      <c r="D86" s="1" t="s">
        <v>416</v>
      </c>
      <c r="E86" s="1" t="s">
        <v>354</v>
      </c>
      <c r="F86" t="s">
        <v>62</v>
      </c>
      <c r="G86" t="s">
        <v>201</v>
      </c>
      <c r="H86" t="s">
        <v>44</v>
      </c>
      <c r="I86" t="s">
        <v>202</v>
      </c>
      <c r="J86" t="s">
        <v>203</v>
      </c>
    </row>
    <row r="87" spans="1:13" x14ac:dyDescent="0.25">
      <c r="B87" s="1" t="s">
        <v>204</v>
      </c>
      <c r="C87" s="1" t="s">
        <v>205</v>
      </c>
      <c r="D87" s="1" t="s">
        <v>59</v>
      </c>
      <c r="E87" s="1" t="s">
        <v>104</v>
      </c>
      <c r="F87" t="s">
        <v>206</v>
      </c>
      <c r="G87" t="s">
        <v>62</v>
      </c>
      <c r="H87" t="s">
        <v>207</v>
      </c>
      <c r="I87" t="s">
        <v>208</v>
      </c>
    </row>
    <row r="88" spans="1:13" x14ac:dyDescent="0.25">
      <c r="B88" s="1"/>
      <c r="C88" s="1"/>
      <c r="D88" s="1"/>
      <c r="E88" s="1"/>
    </row>
    <row r="89" spans="1:13" x14ac:dyDescent="0.25">
      <c r="B89" s="1"/>
      <c r="C89" s="1"/>
      <c r="D89" s="1"/>
      <c r="E89" s="1"/>
    </row>
    <row r="90" spans="1:13" x14ac:dyDescent="0.25">
      <c r="A90">
        <v>2</v>
      </c>
      <c r="B90" s="1" t="s">
        <v>421</v>
      </c>
      <c r="C90" s="1"/>
      <c r="D90" s="1"/>
      <c r="E90" s="1"/>
    </row>
    <row r="91" spans="1:13" x14ac:dyDescent="0.25">
      <c r="B91" s="1" t="s">
        <v>233</v>
      </c>
      <c r="C91" s="1" t="s">
        <v>469</v>
      </c>
      <c r="D91" s="1" t="s">
        <v>214</v>
      </c>
      <c r="E91" s="1" t="s">
        <v>470</v>
      </c>
      <c r="F91" t="s">
        <v>44</v>
      </c>
      <c r="G91" t="s">
        <v>234</v>
      </c>
      <c r="H91" t="s">
        <v>235</v>
      </c>
    </row>
    <row r="92" spans="1:13" x14ac:dyDescent="0.25">
      <c r="B92" s="1" t="s">
        <v>471</v>
      </c>
      <c r="C92" s="1"/>
      <c r="D92" s="1"/>
      <c r="E92" s="1"/>
    </row>
    <row r="93" spans="1:13" x14ac:dyDescent="0.25">
      <c r="B93" s="1" t="s">
        <v>438</v>
      </c>
      <c r="C93" s="1" t="s">
        <v>101</v>
      </c>
      <c r="D93" s="1" t="s">
        <v>472</v>
      </c>
      <c r="E93" s="1" t="s">
        <v>29</v>
      </c>
      <c r="F93" t="s">
        <v>473</v>
      </c>
      <c r="G93" t="s">
        <v>44</v>
      </c>
      <c r="H93" t="s">
        <v>474</v>
      </c>
    </row>
    <row r="94" spans="1:13" x14ac:dyDescent="0.25">
      <c r="B94" s="1" t="s">
        <v>475</v>
      </c>
      <c r="C94" s="1" t="s">
        <v>240</v>
      </c>
      <c r="D94" s="1" t="s">
        <v>30</v>
      </c>
      <c r="E94" s="1" t="s">
        <v>44</v>
      </c>
      <c r="F94" t="s">
        <v>476</v>
      </c>
      <c r="G94" t="s">
        <v>477</v>
      </c>
      <c r="H94" t="s">
        <v>478</v>
      </c>
      <c r="I94" t="s">
        <v>479</v>
      </c>
    </row>
    <row r="95" spans="1:13" x14ac:dyDescent="0.25">
      <c r="B95" s="1"/>
      <c r="C95" s="1"/>
      <c r="D95" s="1"/>
      <c r="E95" s="1"/>
    </row>
    <row r="96" spans="1:13" x14ac:dyDescent="0.25">
      <c r="B96" s="1"/>
      <c r="C96" s="1"/>
      <c r="D96" s="1"/>
      <c r="E96" s="1"/>
    </row>
    <row r="97" spans="1:12" x14ac:dyDescent="0.25">
      <c r="A97">
        <v>3</v>
      </c>
      <c r="B97" s="1" t="s">
        <v>21</v>
      </c>
      <c r="C97" s="1" t="s">
        <v>445</v>
      </c>
      <c r="D97" s="1"/>
      <c r="E97" s="1"/>
    </row>
    <row r="98" spans="1:12" x14ac:dyDescent="0.25">
      <c r="B98" s="1"/>
      <c r="C98" s="1"/>
      <c r="D98" s="1"/>
      <c r="E98" s="1"/>
    </row>
    <row r="99" spans="1:12" x14ac:dyDescent="0.25">
      <c r="A99" t="s">
        <v>264</v>
      </c>
      <c r="B99" s="1" t="s">
        <v>265</v>
      </c>
      <c r="C99" s="1" t="s">
        <v>266</v>
      </c>
      <c r="D99" s="1"/>
      <c r="E99" s="1"/>
    </row>
    <row r="100" spans="1:12" x14ac:dyDescent="0.25">
      <c r="B100" s="1" t="s">
        <v>267</v>
      </c>
      <c r="C100" s="1" t="s">
        <v>268</v>
      </c>
      <c r="D100" s="1" t="s">
        <v>44</v>
      </c>
      <c r="E100" s="1" t="s">
        <v>62</v>
      </c>
      <c r="F100" t="s">
        <v>269</v>
      </c>
      <c r="G100" t="s">
        <v>268</v>
      </c>
      <c r="H100" t="s">
        <v>25</v>
      </c>
      <c r="I100" t="s">
        <v>193</v>
      </c>
      <c r="J100" t="s">
        <v>270</v>
      </c>
    </row>
    <row r="101" spans="1:12" x14ac:dyDescent="0.25">
      <c r="B101" s="1" t="s">
        <v>44</v>
      </c>
      <c r="C101" s="1" t="s">
        <v>62</v>
      </c>
      <c r="D101" s="1" t="s">
        <v>145</v>
      </c>
      <c r="E101" s="1" t="s">
        <v>268</v>
      </c>
      <c r="F101" t="s">
        <v>25</v>
      </c>
      <c r="G101" t="s">
        <v>271</v>
      </c>
      <c r="H101" t="s">
        <v>272</v>
      </c>
    </row>
    <row r="102" spans="1:12" x14ac:dyDescent="0.25">
      <c r="B102" s="1"/>
      <c r="C102" s="1"/>
      <c r="D102" s="1"/>
      <c r="E102" s="1"/>
    </row>
    <row r="103" spans="1:12" x14ac:dyDescent="0.25">
      <c r="A103" t="s">
        <v>273</v>
      </c>
      <c r="B103" s="1" t="s">
        <v>274</v>
      </c>
      <c r="C103" s="1" t="s">
        <v>275</v>
      </c>
      <c r="D103" s="1"/>
      <c r="E103" s="1"/>
    </row>
    <row r="104" spans="1:12" x14ac:dyDescent="0.25">
      <c r="B104" s="1" t="s">
        <v>276</v>
      </c>
      <c r="C104" s="1" t="s">
        <v>277</v>
      </c>
      <c r="D104" s="1" t="s">
        <v>263</v>
      </c>
      <c r="E104" s="1" t="s">
        <v>278</v>
      </c>
      <c r="F104" t="s">
        <v>279</v>
      </c>
    </row>
    <row r="105" spans="1:12" x14ac:dyDescent="0.25">
      <c r="B105" s="1" t="s">
        <v>94</v>
      </c>
      <c r="C105" s="1" t="s">
        <v>280</v>
      </c>
      <c r="D105" s="1" t="s">
        <v>281</v>
      </c>
      <c r="E105" s="1" t="s">
        <v>282</v>
      </c>
      <c r="F105" t="s">
        <v>92</v>
      </c>
      <c r="G105" t="s">
        <v>278</v>
      </c>
      <c r="H105" t="s">
        <v>200</v>
      </c>
      <c r="I105" t="s">
        <v>206</v>
      </c>
      <c r="J105" t="s">
        <v>62</v>
      </c>
      <c r="K105" t="s">
        <v>162</v>
      </c>
      <c r="L105" t="s">
        <v>44</v>
      </c>
    </row>
    <row r="106" spans="1:12" x14ac:dyDescent="0.25">
      <c r="B106" s="1" t="s">
        <v>168</v>
      </c>
      <c r="C106" s="1" t="s">
        <v>283</v>
      </c>
      <c r="D106" s="1" t="s">
        <v>44</v>
      </c>
      <c r="E106" s="1" t="s">
        <v>62</v>
      </c>
      <c r="F106" t="s">
        <v>284</v>
      </c>
      <c r="G106" t="s">
        <v>281</v>
      </c>
      <c r="H106" t="s">
        <v>282</v>
      </c>
      <c r="I106" t="s">
        <v>92</v>
      </c>
      <c r="J106" t="s">
        <v>278</v>
      </c>
      <c r="K106" t="s">
        <v>99</v>
      </c>
    </row>
    <row r="107" spans="1:12" x14ac:dyDescent="0.25">
      <c r="B107" s="1" t="s">
        <v>206</v>
      </c>
      <c r="C107" s="1" t="s">
        <v>62</v>
      </c>
      <c r="D107" s="1" t="s">
        <v>167</v>
      </c>
      <c r="E107" s="1" t="s">
        <v>285</v>
      </c>
    </row>
    <row r="108" spans="1:12" x14ac:dyDescent="0.25">
      <c r="B108" s="1"/>
      <c r="C108" s="1"/>
      <c r="D108" s="1"/>
      <c r="E108" s="1"/>
    </row>
    <row r="109" spans="1:12" x14ac:dyDescent="0.25">
      <c r="A109" t="s">
        <v>288</v>
      </c>
      <c r="B109" s="1" t="s">
        <v>250</v>
      </c>
      <c r="C109" s="1" t="s">
        <v>90</v>
      </c>
      <c r="D109" s="1"/>
      <c r="E109" s="1"/>
    </row>
    <row r="110" spans="1:12" x14ac:dyDescent="0.25">
      <c r="B110" s="1">
        <v>6.38</v>
      </c>
      <c r="C110" s="1" t="s">
        <v>480</v>
      </c>
      <c r="D110" s="1" t="s">
        <v>5</v>
      </c>
      <c r="E110" s="1" t="s">
        <v>181</v>
      </c>
      <c r="F110" t="s">
        <v>206</v>
      </c>
      <c r="G110" t="s">
        <v>62</v>
      </c>
      <c r="H110" t="s">
        <v>289</v>
      </c>
      <c r="I110" t="s">
        <v>44</v>
      </c>
      <c r="J110" t="s">
        <v>481</v>
      </c>
    </row>
    <row r="111" spans="1:12" x14ac:dyDescent="0.25">
      <c r="B111" s="1" t="s">
        <v>44</v>
      </c>
      <c r="C111" s="1">
        <v>0.15</v>
      </c>
      <c r="D111" s="1" t="s">
        <v>482</v>
      </c>
      <c r="E111" s="1" t="s">
        <v>5</v>
      </c>
      <c r="F111" t="s">
        <v>181</v>
      </c>
      <c r="G111" t="s">
        <v>206</v>
      </c>
      <c r="H111" t="s">
        <v>62</v>
      </c>
      <c r="I111" t="s">
        <v>292</v>
      </c>
    </row>
    <row r="112" spans="1:12" x14ac:dyDescent="0.25">
      <c r="B112" s="1"/>
      <c r="C112" s="1"/>
      <c r="D112" s="1"/>
      <c r="E112" s="1"/>
    </row>
    <row r="113" spans="1:11" x14ac:dyDescent="0.25">
      <c r="A113" t="s">
        <v>293</v>
      </c>
      <c r="B113" s="1" t="s">
        <v>294</v>
      </c>
      <c r="C113" s="1" t="s">
        <v>295</v>
      </c>
      <c r="D113" s="1"/>
      <c r="E113" s="1"/>
    </row>
    <row r="114" spans="1:11" x14ac:dyDescent="0.25">
      <c r="B114" s="1" t="s">
        <v>94</v>
      </c>
      <c r="C114" s="1" t="s">
        <v>296</v>
      </c>
      <c r="D114" s="1" t="s">
        <v>275</v>
      </c>
      <c r="E114" s="1" t="s">
        <v>25</v>
      </c>
      <c r="F114" t="s">
        <v>62</v>
      </c>
      <c r="G114" t="s">
        <v>297</v>
      </c>
      <c r="H114" t="s">
        <v>298</v>
      </c>
      <c r="I114" t="s">
        <v>29</v>
      </c>
      <c r="J114" t="s">
        <v>167</v>
      </c>
      <c r="K114" t="s">
        <v>299</v>
      </c>
    </row>
    <row r="115" spans="1:11" x14ac:dyDescent="0.25">
      <c r="B115" s="1" t="s">
        <v>44</v>
      </c>
      <c r="C115" s="1" t="s">
        <v>62</v>
      </c>
      <c r="D115" s="1" t="s">
        <v>483</v>
      </c>
      <c r="E115" s="1" t="s">
        <v>484</v>
      </c>
      <c r="F115" t="s">
        <v>275</v>
      </c>
      <c r="G115" t="s">
        <v>25</v>
      </c>
      <c r="H115" t="s">
        <v>62</v>
      </c>
      <c r="I115" t="s">
        <v>301</v>
      </c>
      <c r="J115" t="s">
        <v>302</v>
      </c>
    </row>
    <row r="116" spans="1:11" x14ac:dyDescent="0.25">
      <c r="B116" s="1"/>
      <c r="C116" s="1"/>
      <c r="D116" s="1"/>
      <c r="E116" s="1"/>
    </row>
    <row r="117" spans="1:11" x14ac:dyDescent="0.25">
      <c r="A117" t="s">
        <v>303</v>
      </c>
      <c r="B117" s="1" t="s">
        <v>304</v>
      </c>
      <c r="C117" s="1" t="s">
        <v>305</v>
      </c>
      <c r="D117" s="1"/>
      <c r="E117" s="1"/>
    </row>
    <row r="118" spans="1:11" x14ac:dyDescent="0.25">
      <c r="B118" s="1" t="s">
        <v>485</v>
      </c>
      <c r="C118" s="1" t="s">
        <v>486</v>
      </c>
      <c r="D118" s="1" t="s">
        <v>487</v>
      </c>
      <c r="E118" s="1"/>
    </row>
    <row r="119" spans="1:11" x14ac:dyDescent="0.25">
      <c r="B119" s="1"/>
      <c r="C119" s="1"/>
      <c r="D119" s="1"/>
      <c r="E119" s="1"/>
    </row>
    <row r="120" spans="1:11" x14ac:dyDescent="0.25">
      <c r="A120" t="s">
        <v>310</v>
      </c>
      <c r="B120" s="1" t="s">
        <v>311</v>
      </c>
      <c r="C120" s="1"/>
      <c r="D120" s="1"/>
      <c r="E120" s="1"/>
    </row>
    <row r="121" spans="1:11" x14ac:dyDescent="0.25">
      <c r="B121" s="1" t="s">
        <v>312</v>
      </c>
      <c r="C121" s="1" t="s">
        <v>313</v>
      </c>
      <c r="D121" s="1"/>
      <c r="E121" s="1"/>
    </row>
    <row r="122" spans="1:11" x14ac:dyDescent="0.25">
      <c r="B122" s="1"/>
      <c r="C122" s="1"/>
      <c r="D122" s="1"/>
      <c r="E122" s="1"/>
    </row>
    <row r="123" spans="1:11" x14ac:dyDescent="0.25">
      <c r="A123" t="s">
        <v>314</v>
      </c>
      <c r="B123" s="1" t="s">
        <v>315</v>
      </c>
      <c r="C123" s="1" t="s">
        <v>152</v>
      </c>
      <c r="D123" s="1"/>
      <c r="E123" s="1"/>
    </row>
    <row r="124" spans="1:11" x14ac:dyDescent="0.25">
      <c r="B124" s="1">
        <v>2048</v>
      </c>
      <c r="C124" s="1" t="s">
        <v>488</v>
      </c>
      <c r="D124" s="1" t="s">
        <v>489</v>
      </c>
      <c r="E124" s="1"/>
    </row>
    <row r="125" spans="1:11" x14ac:dyDescent="0.25">
      <c r="B125" s="1"/>
      <c r="C125" s="1"/>
      <c r="D125" s="1"/>
      <c r="E125" s="1"/>
    </row>
    <row r="126" spans="1:11" x14ac:dyDescent="0.25">
      <c r="A126" t="s">
        <v>316</v>
      </c>
      <c r="B126" s="1" t="s">
        <v>317</v>
      </c>
      <c r="C126" s="1" t="s">
        <v>25</v>
      </c>
      <c r="D126" s="1" t="s">
        <v>318</v>
      </c>
      <c r="E126" s="1" t="s">
        <v>319</v>
      </c>
    </row>
    <row r="127" spans="1:11" x14ac:dyDescent="0.25">
      <c r="B127" s="1" t="s">
        <v>94</v>
      </c>
      <c r="C127" s="1" t="s">
        <v>320</v>
      </c>
      <c r="D127" s="1" t="s">
        <v>319</v>
      </c>
      <c r="E127" s="1" t="s">
        <v>107</v>
      </c>
      <c r="F127" t="s">
        <v>321</v>
      </c>
      <c r="G127" t="s">
        <v>61</v>
      </c>
    </row>
    <row r="128" spans="1:11" x14ac:dyDescent="0.25">
      <c r="B128" s="1" t="s">
        <v>322</v>
      </c>
      <c r="C128" s="1" t="s">
        <v>323</v>
      </c>
      <c r="D128" s="1" t="s">
        <v>324</v>
      </c>
      <c r="E128" s="1" t="s">
        <v>325</v>
      </c>
      <c r="F128" t="s">
        <v>143</v>
      </c>
      <c r="G128" t="s">
        <v>144</v>
      </c>
      <c r="H128" t="s">
        <v>145</v>
      </c>
      <c r="I128" t="s">
        <v>25</v>
      </c>
      <c r="J128" t="s">
        <v>160</v>
      </c>
      <c r="K128" t="s">
        <v>326</v>
      </c>
    </row>
    <row r="129" spans="1:12" x14ac:dyDescent="0.25">
      <c r="B129" s="1" t="s">
        <v>44</v>
      </c>
      <c r="C129" s="1" t="s">
        <v>322</v>
      </c>
      <c r="D129" s="1" t="s">
        <v>327</v>
      </c>
      <c r="E129" s="1" t="s">
        <v>328</v>
      </c>
      <c r="F129" t="s">
        <v>325</v>
      </c>
      <c r="G129" t="s">
        <v>329</v>
      </c>
      <c r="H129" t="s">
        <v>330</v>
      </c>
      <c r="I129" t="s">
        <v>25</v>
      </c>
      <c r="J129" t="s">
        <v>329</v>
      </c>
      <c r="K129" t="s">
        <v>272</v>
      </c>
    </row>
    <row r="130" spans="1:12" x14ac:dyDescent="0.25">
      <c r="B130" s="1"/>
      <c r="C130" s="1"/>
      <c r="D130" s="1"/>
      <c r="E130" s="1"/>
    </row>
    <row r="131" spans="1:12" x14ac:dyDescent="0.25">
      <c r="A131" t="s">
        <v>331</v>
      </c>
      <c r="B131" s="1" t="s">
        <v>332</v>
      </c>
      <c r="C131" s="1" t="s">
        <v>36</v>
      </c>
      <c r="D131" s="1" t="s">
        <v>333</v>
      </c>
      <c r="E131" s="1" t="s">
        <v>334</v>
      </c>
      <c r="F131" t="s">
        <v>25</v>
      </c>
      <c r="G131" t="s">
        <v>335</v>
      </c>
      <c r="H131" t="s">
        <v>336</v>
      </c>
    </row>
    <row r="132" spans="1:12" x14ac:dyDescent="0.25">
      <c r="B132" s="1" t="s">
        <v>490</v>
      </c>
      <c r="C132" s="1" t="s">
        <v>446</v>
      </c>
      <c r="D132" s="1"/>
      <c r="E132" s="1"/>
    </row>
    <row r="133" spans="1:12" x14ac:dyDescent="0.25">
      <c r="B133" s="1" t="s">
        <v>338</v>
      </c>
      <c r="C133" s="1" t="s">
        <v>62</v>
      </c>
      <c r="D133" s="1" t="s">
        <v>193</v>
      </c>
      <c r="E133" s="1" t="s">
        <v>339</v>
      </c>
      <c r="F133" t="s">
        <v>62</v>
      </c>
      <c r="G133" t="s">
        <v>194</v>
      </c>
      <c r="H133" t="s">
        <v>195</v>
      </c>
      <c r="I133" t="s">
        <v>340</v>
      </c>
      <c r="J133" t="s">
        <v>341</v>
      </c>
      <c r="K133" t="s">
        <v>334</v>
      </c>
      <c r="L133" t="s">
        <v>333</v>
      </c>
    </row>
    <row r="134" spans="1:12" x14ac:dyDescent="0.25">
      <c r="B134" s="1" t="s">
        <v>342</v>
      </c>
      <c r="C134" s="1" t="s">
        <v>101</v>
      </c>
      <c r="D134" s="1" t="s">
        <v>491</v>
      </c>
      <c r="E134" s="1" t="s">
        <v>344</v>
      </c>
      <c r="F134" t="s">
        <v>345</v>
      </c>
      <c r="G134" t="s">
        <v>346</v>
      </c>
      <c r="H134" t="s">
        <v>347</v>
      </c>
      <c r="I134" t="s">
        <v>62</v>
      </c>
      <c r="J134" t="s">
        <v>348</v>
      </c>
      <c r="K134" t="s">
        <v>349</v>
      </c>
    </row>
    <row r="135" spans="1:12" x14ac:dyDescent="0.25">
      <c r="B135" s="1"/>
      <c r="C135" s="1"/>
      <c r="D135" s="1"/>
      <c r="E135" s="1"/>
    </row>
    <row r="136" spans="1:12" x14ac:dyDescent="0.25">
      <c r="A136" t="s">
        <v>350</v>
      </c>
      <c r="B136" s="1" t="s">
        <v>351</v>
      </c>
      <c r="C136" s="1"/>
      <c r="D136" s="1"/>
      <c r="E136" s="1"/>
    </row>
    <row r="137" spans="1:12" x14ac:dyDescent="0.25">
      <c r="B137" s="1" t="s">
        <v>492</v>
      </c>
      <c r="C137" s="1" t="s">
        <v>278</v>
      </c>
      <c r="D137" s="1" t="s">
        <v>493</v>
      </c>
      <c r="E137" s="1" t="s">
        <v>29</v>
      </c>
      <c r="F137" t="s">
        <v>21</v>
      </c>
      <c r="G137" t="s">
        <v>494</v>
      </c>
      <c r="H137" t="s">
        <v>495</v>
      </c>
    </row>
    <row r="138" spans="1:12" x14ac:dyDescent="0.25">
      <c r="B138" s="1" t="s">
        <v>354</v>
      </c>
      <c r="C138" s="1" t="s">
        <v>351</v>
      </c>
      <c r="D138" s="1" t="s">
        <v>496</v>
      </c>
      <c r="E138" s="1" t="s">
        <v>36</v>
      </c>
      <c r="F138" t="s">
        <v>51</v>
      </c>
      <c r="G138" t="s">
        <v>460</v>
      </c>
      <c r="H138" t="s">
        <v>461</v>
      </c>
      <c r="I138" t="s">
        <v>497</v>
      </c>
    </row>
    <row r="139" spans="1:12" x14ac:dyDescent="0.25">
      <c r="B139" s="1"/>
      <c r="C139" s="1"/>
      <c r="D139" s="1"/>
      <c r="E139" s="1"/>
    </row>
    <row r="140" spans="1:12" x14ac:dyDescent="0.25">
      <c r="B140" s="1"/>
      <c r="C140" s="1"/>
      <c r="D140" s="1"/>
      <c r="E140" s="1"/>
    </row>
    <row r="141" spans="1:12" x14ac:dyDescent="0.25">
      <c r="A141">
        <v>4</v>
      </c>
      <c r="B141" s="1" t="s">
        <v>361</v>
      </c>
      <c r="C141" s="1"/>
      <c r="D141" s="1"/>
      <c r="E141" s="1"/>
    </row>
    <row r="142" spans="1:12" x14ac:dyDescent="0.25">
      <c r="B142" s="1"/>
      <c r="C142" s="1"/>
      <c r="D142" s="1"/>
      <c r="E142" s="1"/>
    </row>
    <row r="143" spans="1:12" x14ac:dyDescent="0.25">
      <c r="A143" t="s">
        <v>362</v>
      </c>
      <c r="B143" s="1" t="s">
        <v>363</v>
      </c>
      <c r="C143" s="1" t="s">
        <v>364</v>
      </c>
      <c r="D143" s="1"/>
      <c r="E143" s="1"/>
    </row>
    <row r="144" spans="1:12" x14ac:dyDescent="0.25">
      <c r="B144" s="1"/>
      <c r="C144" s="1"/>
      <c r="D144" s="1"/>
      <c r="E144" s="1"/>
    </row>
    <row r="145" spans="1:6" x14ac:dyDescent="0.25">
      <c r="B145" s="1" t="s">
        <v>153</v>
      </c>
      <c r="C145" s="1">
        <f>1020</f>
        <v>1020</v>
      </c>
      <c r="D145" s="1"/>
      <c r="E145" s="1"/>
    </row>
    <row r="146" spans="1:6" x14ac:dyDescent="0.25">
      <c r="B146" s="1"/>
      <c r="C146" s="1"/>
      <c r="D146" s="1"/>
      <c r="E146" s="1"/>
    </row>
    <row r="147" spans="1:6" x14ac:dyDescent="0.25">
      <c r="A147" t="s">
        <v>365</v>
      </c>
      <c r="B147" s="1" t="s">
        <v>366</v>
      </c>
      <c r="C147" s="1" t="s">
        <v>159</v>
      </c>
      <c r="D147" s="1" t="s">
        <v>367</v>
      </c>
      <c r="E147" s="1"/>
    </row>
    <row r="148" spans="1:6" x14ac:dyDescent="0.25">
      <c r="B148" s="1"/>
      <c r="C148" s="1"/>
      <c r="D148" s="1"/>
      <c r="E148" s="1"/>
    </row>
    <row r="149" spans="1:6" x14ac:dyDescent="0.25">
      <c r="B149" s="1" t="s">
        <v>149</v>
      </c>
      <c r="C149" s="1">
        <f>41441</f>
        <v>41441</v>
      </c>
      <c r="D149" s="1"/>
      <c r="E149" s="1"/>
    </row>
    <row r="150" spans="1:6" x14ac:dyDescent="0.25">
      <c r="B150" s="1"/>
      <c r="C150" s="1"/>
      <c r="D150" s="1"/>
      <c r="E150" s="1"/>
    </row>
    <row r="151" spans="1:6" x14ac:dyDescent="0.25">
      <c r="B151" s="1"/>
      <c r="C151" s="1"/>
      <c r="D151" s="1"/>
      <c r="E151" s="1"/>
    </row>
    <row r="152" spans="1:6" x14ac:dyDescent="0.25">
      <c r="A152">
        <v>5</v>
      </c>
      <c r="B152" s="1" t="s">
        <v>224</v>
      </c>
      <c r="C152" s="1" t="s">
        <v>368</v>
      </c>
      <c r="D152" s="1"/>
      <c r="E152" s="1"/>
    </row>
    <row r="153" spans="1:6" x14ac:dyDescent="0.25">
      <c r="B153" s="1"/>
      <c r="C153" s="1"/>
      <c r="D153" s="1"/>
      <c r="E153" s="1"/>
    </row>
    <row r="154" spans="1:6" x14ac:dyDescent="0.25">
      <c r="B154" s="1" t="s">
        <v>369</v>
      </c>
      <c r="C154" s="1" t="s">
        <v>370</v>
      </c>
      <c r="D154" s="1" t="s">
        <v>161</v>
      </c>
      <c r="E154" s="1" t="s">
        <v>371</v>
      </c>
      <c r="F154" t="s">
        <v>372</v>
      </c>
    </row>
    <row r="155" spans="1:6" x14ac:dyDescent="0.25">
      <c r="A155">
        <v>1</v>
      </c>
      <c r="B155" s="1">
        <v>0.153945</v>
      </c>
      <c r="C155" s="1">
        <v>0.153892</v>
      </c>
      <c r="D155" s="1">
        <v>4.1021299999999998E-3</v>
      </c>
      <c r="E155" s="1">
        <v>1.7276500000000001E-3</v>
      </c>
    </row>
    <row r="156" spans="1:6" x14ac:dyDescent="0.25">
      <c r="A156">
        <v>2</v>
      </c>
      <c r="B156" s="1">
        <v>0.46582699999999999</v>
      </c>
      <c r="C156" s="1">
        <v>0.46556199999999998</v>
      </c>
      <c r="D156" s="1">
        <v>3.7274700000000001E-2</v>
      </c>
      <c r="E156" s="1">
        <v>1.4319800000000001E-2</v>
      </c>
    </row>
    <row r="157" spans="1:6" x14ac:dyDescent="0.25">
      <c r="A157">
        <v>3</v>
      </c>
      <c r="B157" s="1">
        <v>0.78633399999999998</v>
      </c>
      <c r="C157" s="1">
        <v>0.78567699999999996</v>
      </c>
      <c r="D157" s="1">
        <v>0.105683</v>
      </c>
      <c r="E157" s="1">
        <v>3.7686699999999997E-2</v>
      </c>
    </row>
    <row r="158" spans="1:6" x14ac:dyDescent="0.25">
      <c r="A158">
        <v>4</v>
      </c>
      <c r="B158" s="1">
        <v>1.11676</v>
      </c>
      <c r="C158" s="1">
        <v>1.11537</v>
      </c>
      <c r="D158" s="1">
        <v>0.212148</v>
      </c>
      <c r="E158" s="1">
        <v>7.0357000000000003E-2</v>
      </c>
    </row>
    <row r="159" spans="1:6" x14ac:dyDescent="0.25">
      <c r="A159">
        <v>5</v>
      </c>
      <c r="B159" s="1">
        <v>1.45842</v>
      </c>
      <c r="C159" s="1">
        <v>1.4556800000000001</v>
      </c>
      <c r="D159" s="1">
        <v>0.35984899999999997</v>
      </c>
      <c r="E159" s="1">
        <v>0.111056</v>
      </c>
    </row>
    <row r="160" spans="1:6" x14ac:dyDescent="0.25">
      <c r="A160">
        <v>6</v>
      </c>
      <c r="B160" s="1">
        <v>1.81264</v>
      </c>
      <c r="C160" s="1">
        <v>1.80749</v>
      </c>
      <c r="D160" s="1">
        <v>0.55200400000000005</v>
      </c>
      <c r="E160" s="1">
        <v>0.15865299999999999</v>
      </c>
    </row>
    <row r="161" spans="1:6" x14ac:dyDescent="0.25">
      <c r="A161">
        <v>7</v>
      </c>
      <c r="B161" s="1">
        <v>2.1807599999999998</v>
      </c>
      <c r="C161" s="1">
        <v>2.1715100000000001</v>
      </c>
      <c r="D161" s="1">
        <v>0.79148399999999997</v>
      </c>
      <c r="E161" s="1">
        <v>0.212121</v>
      </c>
    </row>
    <row r="162" spans="1:6" x14ac:dyDescent="0.25">
      <c r="A162">
        <v>8</v>
      </c>
      <c r="B162" s="1">
        <v>2.5641400000000001</v>
      </c>
      <c r="C162" s="1">
        <v>2.5482200000000002</v>
      </c>
      <c r="D162" s="1">
        <v>1.0803499999999999</v>
      </c>
      <c r="E162" s="1">
        <v>0.27052500000000002</v>
      </c>
    </row>
    <row r="163" spans="1:6" x14ac:dyDescent="0.25">
      <c r="A163">
        <v>9</v>
      </c>
      <c r="B163" s="1">
        <v>2.9641299999999999</v>
      </c>
      <c r="C163" s="1">
        <v>2.9378000000000002</v>
      </c>
      <c r="D163" s="1">
        <v>1.4193499999999999</v>
      </c>
      <c r="E163" s="1">
        <v>0.333007</v>
      </c>
    </row>
    <row r="164" spans="1:6" x14ac:dyDescent="0.25">
      <c r="A164">
        <v>10</v>
      </c>
      <c r="B164" s="1">
        <v>3.38212</v>
      </c>
      <c r="C164" s="1">
        <v>3.3401299999999998</v>
      </c>
      <c r="D164" s="1">
        <v>1.8075000000000001</v>
      </c>
      <c r="E164" s="1">
        <v>0.39878599999999997</v>
      </c>
    </row>
    <row r="165" spans="1:6" x14ac:dyDescent="0.25">
      <c r="A165">
        <v>11</v>
      </c>
      <c r="B165" s="1">
        <v>3.8194699999999999</v>
      </c>
      <c r="C165" s="1">
        <v>3.75468</v>
      </c>
      <c r="D165" s="1">
        <v>2.2416800000000001</v>
      </c>
      <c r="E165" s="1">
        <v>0.46716200000000002</v>
      </c>
    </row>
    <row r="166" spans="1:6" x14ac:dyDescent="0.25">
      <c r="A166">
        <v>12</v>
      </c>
      <c r="B166" s="1">
        <v>4.2775699999999999</v>
      </c>
      <c r="C166" s="1">
        <v>4.1805599999999998</v>
      </c>
      <c r="D166" s="1">
        <v>2.71644</v>
      </c>
      <c r="E166" s="1">
        <v>0.53752</v>
      </c>
    </row>
    <row r="167" spans="1:6" x14ac:dyDescent="0.25">
      <c r="A167">
        <v>13</v>
      </c>
      <c r="B167" s="1">
        <v>4.7577800000000003</v>
      </c>
      <c r="C167" s="1">
        <v>4.6164699999999996</v>
      </c>
      <c r="D167" s="1">
        <v>3.2240500000000001</v>
      </c>
      <c r="E167" s="1">
        <v>0.60933400000000004</v>
      </c>
    </row>
    <row r="168" spans="1:6" x14ac:dyDescent="0.25">
      <c r="A168">
        <v>14</v>
      </c>
      <c r="B168" s="1">
        <v>5.2614799999999997</v>
      </c>
      <c r="C168" s="1">
        <v>5.0607100000000003</v>
      </c>
      <c r="D168" s="1">
        <v>3.7546900000000001</v>
      </c>
      <c r="E168" s="1">
        <v>0.68216600000000005</v>
      </c>
    </row>
    <row r="169" spans="1:6" x14ac:dyDescent="0.25">
      <c r="A169">
        <v>15</v>
      </c>
      <c r="B169" s="1">
        <v>5.7900499999999999</v>
      </c>
      <c r="C169" s="1">
        <v>5.5112399999999999</v>
      </c>
      <c r="D169" s="1">
        <v>4.29697</v>
      </c>
      <c r="E169" s="1">
        <v>0.75565800000000005</v>
      </c>
    </row>
    <row r="170" spans="1:6" x14ac:dyDescent="0.25">
      <c r="A170">
        <v>16</v>
      </c>
      <c r="B170" s="1">
        <v>6.3448399999999996</v>
      </c>
      <c r="C170" s="1">
        <v>5.9656900000000004</v>
      </c>
      <c r="D170" s="1">
        <v>4.8385699999999998</v>
      </c>
      <c r="E170" s="1">
        <v>0.82952300000000001</v>
      </c>
    </row>
    <row r="171" spans="1:6" x14ac:dyDescent="0.25">
      <c r="A171">
        <v>17</v>
      </c>
      <c r="B171" s="1">
        <v>6.9272099999999996</v>
      </c>
      <c r="C171" s="1">
        <v>6.4215099999999996</v>
      </c>
      <c r="D171" s="1">
        <v>5.3669500000000001</v>
      </c>
      <c r="E171" s="1">
        <v>0.90352699999999997</v>
      </c>
    </row>
    <row r="172" spans="1:6" x14ac:dyDescent="0.25">
      <c r="A172">
        <v>18</v>
      </c>
      <c r="B172" s="1">
        <v>7.5385099999999996</v>
      </c>
      <c r="C172" s="1">
        <v>6.87601</v>
      </c>
      <c r="D172" s="1">
        <v>5.87019</v>
      </c>
      <c r="E172" s="1">
        <v>0.977464</v>
      </c>
      <c r="F172" s="1"/>
    </row>
    <row r="173" spans="1:6" x14ac:dyDescent="0.25">
      <c r="A173">
        <v>19</v>
      </c>
      <c r="B173" s="1">
        <v>8.1800700000000006</v>
      </c>
      <c r="C173" s="1">
        <v>7.3264500000000004</v>
      </c>
      <c r="D173" s="1">
        <v>6.3376200000000003</v>
      </c>
      <c r="E173" s="1">
        <v>1.05114</v>
      </c>
      <c r="F173" s="1"/>
    </row>
    <row r="174" spans="1:6" x14ac:dyDescent="0.25">
      <c r="A174">
        <v>20</v>
      </c>
      <c r="B174" s="1">
        <v>8.8532100000000007</v>
      </c>
      <c r="C174" s="1">
        <v>7.7701900000000004</v>
      </c>
      <c r="D174" s="1">
        <v>6.7603799999999996</v>
      </c>
      <c r="E174" s="1">
        <v>1.12435</v>
      </c>
      <c r="F174" s="1"/>
    </row>
    <row r="175" spans="1:6" x14ac:dyDescent="0.25">
      <c r="A175">
        <v>21</v>
      </c>
      <c r="B175" s="1">
        <v>9.5592299999999994</v>
      </c>
      <c r="C175" s="1">
        <v>8.2047699999999999</v>
      </c>
      <c r="D175" s="1">
        <v>7.1317599999999999</v>
      </c>
      <c r="E175" s="1">
        <v>1.19686</v>
      </c>
      <c r="F175" s="1"/>
    </row>
    <row r="176" spans="1:6" x14ac:dyDescent="0.25">
      <c r="A176">
        <v>22</v>
      </c>
      <c r="B176" s="1">
        <v>10.2994</v>
      </c>
      <c r="C176" s="1">
        <v>8.6279500000000002</v>
      </c>
      <c r="D176" s="1">
        <v>7.4473799999999999</v>
      </c>
      <c r="E176" s="1">
        <v>1.2683899999999999</v>
      </c>
      <c r="F176" s="1"/>
    </row>
    <row r="177" spans="1:6" x14ac:dyDescent="0.25">
      <c r="A177">
        <v>23</v>
      </c>
      <c r="B177" s="1">
        <v>11.074999999999999</v>
      </c>
      <c r="C177" s="1">
        <v>9.0378399999999992</v>
      </c>
      <c r="D177" s="1">
        <v>7.7050799999999997</v>
      </c>
      <c r="E177" s="1">
        <v>1.3386499999999999</v>
      </c>
      <c r="F177" s="1"/>
    </row>
    <row r="178" spans="1:6" x14ac:dyDescent="0.25">
      <c r="A178">
        <v>24</v>
      </c>
      <c r="B178" s="1">
        <v>11.8874</v>
      </c>
      <c r="C178" s="1">
        <v>9.4328800000000008</v>
      </c>
      <c r="D178" s="1">
        <v>7.9047900000000002</v>
      </c>
      <c r="E178" s="1">
        <v>1.4072800000000001</v>
      </c>
      <c r="F178" s="1"/>
    </row>
    <row r="179" spans="1:6" x14ac:dyDescent="0.25">
      <c r="A179">
        <v>25</v>
      </c>
      <c r="B179" s="1">
        <v>12.7376</v>
      </c>
      <c r="C179" s="1">
        <v>9.8118800000000004</v>
      </c>
      <c r="D179" s="1">
        <v>8.0481499999999997</v>
      </c>
      <c r="E179" s="1">
        <v>1.47393</v>
      </c>
      <c r="F179" s="1"/>
    </row>
    <row r="180" spans="1:6" x14ac:dyDescent="0.25">
      <c r="A180">
        <v>26</v>
      </c>
      <c r="B180" s="1">
        <v>13.626899999999999</v>
      </c>
      <c r="C180" s="1">
        <v>10.173999999999999</v>
      </c>
      <c r="D180" s="1">
        <v>8.1382200000000005</v>
      </c>
      <c r="E180" s="1">
        <v>1.5382199999999999</v>
      </c>
      <c r="F180" s="1"/>
    </row>
    <row r="181" spans="1:6" x14ac:dyDescent="0.25">
      <c r="A181">
        <v>27</v>
      </c>
      <c r="B181" s="1">
        <v>14.5565</v>
      </c>
      <c r="C181" s="1">
        <v>10.5189</v>
      </c>
      <c r="D181" s="1">
        <v>8.1790900000000004</v>
      </c>
      <c r="E181" s="1">
        <v>1.59981</v>
      </c>
      <c r="F181" s="1"/>
    </row>
    <row r="182" spans="1:6" x14ac:dyDescent="0.25">
      <c r="A182">
        <v>28</v>
      </c>
      <c r="B182" s="1">
        <v>15.5276</v>
      </c>
      <c r="C182" s="1">
        <v>10.846299999999999</v>
      </c>
      <c r="D182" s="1">
        <v>8.1755499999999994</v>
      </c>
      <c r="E182" s="1">
        <v>1.6583600000000001</v>
      </c>
      <c r="F182" s="1"/>
    </row>
    <row r="183" spans="1:6" x14ac:dyDescent="0.25">
      <c r="A183">
        <v>29</v>
      </c>
      <c r="B183" s="1">
        <v>16.5412</v>
      </c>
      <c r="C183" s="1">
        <v>11.1563</v>
      </c>
      <c r="D183" s="1">
        <v>8.1327700000000007</v>
      </c>
      <c r="E183" s="1">
        <v>1.7135800000000001</v>
      </c>
      <c r="F183" s="1"/>
    </row>
    <row r="184" spans="1:6" x14ac:dyDescent="0.25">
      <c r="A184">
        <v>30</v>
      </c>
      <c r="B184" s="1">
        <v>17.598500000000001</v>
      </c>
      <c r="C184" s="1">
        <v>11.449299999999999</v>
      </c>
      <c r="D184" s="1">
        <v>8.0560700000000001</v>
      </c>
      <c r="E184" s="1">
        <v>1.76525</v>
      </c>
      <c r="F184" s="1"/>
    </row>
    <row r="185" spans="1:6" x14ac:dyDescent="0.25">
      <c r="A185">
        <v>31</v>
      </c>
      <c r="B185" s="1">
        <v>18.700500000000002</v>
      </c>
      <c r="C185" s="1">
        <v>11.7258</v>
      </c>
      <c r="D185" s="1">
        <v>7.9507399999999997</v>
      </c>
      <c r="E185" s="1">
        <v>1.8131999999999999</v>
      </c>
      <c r="F185" s="1"/>
    </row>
    <row r="186" spans="1:6" x14ac:dyDescent="0.25">
      <c r="A186">
        <v>32</v>
      </c>
      <c r="B186" s="1">
        <v>19.848400000000002</v>
      </c>
      <c r="C186" s="1">
        <v>11.9864</v>
      </c>
      <c r="D186" s="1">
        <v>7.82186</v>
      </c>
      <c r="E186" s="1">
        <v>1.8573299999999999</v>
      </c>
      <c r="F186" s="1"/>
    </row>
    <row r="187" spans="1:6" x14ac:dyDescent="0.25">
      <c r="A187">
        <v>33</v>
      </c>
      <c r="B187" s="1">
        <v>21.042999999999999</v>
      </c>
      <c r="C187" s="1">
        <v>12.2319</v>
      </c>
      <c r="D187" s="1">
        <v>7.6742100000000004</v>
      </c>
      <c r="E187" s="1">
        <v>1.8975900000000001</v>
      </c>
      <c r="F187" s="1"/>
    </row>
    <row r="188" spans="1:6" x14ac:dyDescent="0.25">
      <c r="A188">
        <v>34</v>
      </c>
      <c r="B188" s="1">
        <v>22.285499999999999</v>
      </c>
      <c r="C188" s="1">
        <v>12.463200000000001</v>
      </c>
      <c r="D188" s="1">
        <v>7.5122200000000001</v>
      </c>
      <c r="E188" s="1">
        <v>1.93401</v>
      </c>
      <c r="F188" s="1"/>
    </row>
    <row r="189" spans="1:6" x14ac:dyDescent="0.25">
      <c r="A189">
        <v>35</v>
      </c>
      <c r="B189" s="1">
        <v>23.576599999999999</v>
      </c>
      <c r="C189" s="1">
        <v>12.681100000000001</v>
      </c>
      <c r="D189" s="1">
        <v>7.33988</v>
      </c>
      <c r="E189" s="1">
        <v>1.9666600000000001</v>
      </c>
      <c r="F189" s="1"/>
    </row>
    <row r="190" spans="1:6" x14ac:dyDescent="0.25">
      <c r="A190">
        <v>36</v>
      </c>
      <c r="B190" s="1">
        <v>24.9175</v>
      </c>
      <c r="C190" s="1">
        <v>12.8864</v>
      </c>
      <c r="D190" s="1">
        <v>7.1607500000000002</v>
      </c>
      <c r="E190" s="1">
        <v>1.9956400000000001</v>
      </c>
      <c r="F190" s="1"/>
    </row>
    <row r="191" spans="1:6" x14ac:dyDescent="0.25">
      <c r="A191">
        <v>37</v>
      </c>
      <c r="B191" s="1">
        <v>26.308900000000001</v>
      </c>
      <c r="C191" s="1">
        <v>13.0801</v>
      </c>
      <c r="D191" s="1">
        <v>6.9779499999999999</v>
      </c>
      <c r="E191" s="1">
        <v>2.0211000000000001</v>
      </c>
      <c r="F191" s="1"/>
    </row>
    <row r="192" spans="1:6" x14ac:dyDescent="0.25">
      <c r="A192">
        <v>38</v>
      </c>
      <c r="B192" s="1">
        <v>27.7517</v>
      </c>
      <c r="C192" s="1">
        <v>13.263</v>
      </c>
      <c r="D192" s="1">
        <v>6.7941700000000003</v>
      </c>
      <c r="E192" s="1">
        <v>2.0431900000000001</v>
      </c>
      <c r="F192" s="1"/>
    </row>
    <row r="193" spans="1:6" x14ac:dyDescent="0.25">
      <c r="A193">
        <v>39</v>
      </c>
      <c r="B193" s="1">
        <v>29.246700000000001</v>
      </c>
      <c r="C193" s="1">
        <v>13.4359</v>
      </c>
      <c r="D193" s="1">
        <v>6.6116799999999998</v>
      </c>
      <c r="E193" s="1">
        <v>2.0621</v>
      </c>
      <c r="F193" s="1"/>
    </row>
    <row r="194" spans="1:6" x14ac:dyDescent="0.25">
      <c r="A194">
        <v>40</v>
      </c>
      <c r="B194" s="1">
        <v>30.794799999999999</v>
      </c>
      <c r="C194" s="1">
        <v>13.5997</v>
      </c>
      <c r="D194" s="1">
        <v>6.4323399999999999</v>
      </c>
      <c r="E194" s="1">
        <v>2.0779999999999998</v>
      </c>
      <c r="F194" s="1"/>
    </row>
    <row r="195" spans="1:6" x14ac:dyDescent="0.25">
      <c r="A195">
        <v>41</v>
      </c>
      <c r="B195" s="1">
        <v>32.396700000000003</v>
      </c>
      <c r="C195" s="1">
        <v>13.7552</v>
      </c>
      <c r="D195" s="1">
        <v>6.2576799999999997</v>
      </c>
      <c r="E195" s="1">
        <v>2.0910799999999998</v>
      </c>
      <c r="F195" s="1"/>
    </row>
    <row r="196" spans="1:6" x14ac:dyDescent="0.25">
      <c r="A196">
        <v>42</v>
      </c>
      <c r="B196" s="1">
        <v>34.053100000000001</v>
      </c>
      <c r="C196" s="1">
        <v>13.903</v>
      </c>
      <c r="D196" s="1">
        <v>6.0888499999999999</v>
      </c>
      <c r="E196" s="1">
        <v>2.1014900000000001</v>
      </c>
      <c r="F196" s="1"/>
    </row>
    <row r="197" spans="1:6" x14ac:dyDescent="0.25">
      <c r="A197">
        <v>43</v>
      </c>
      <c r="B197" s="1">
        <v>35.764699999999998</v>
      </c>
      <c r="C197" s="1">
        <v>14.043799999999999</v>
      </c>
      <c r="D197" s="1">
        <v>5.9267700000000003</v>
      </c>
      <c r="E197" s="1">
        <v>2.10941</v>
      </c>
      <c r="F197" s="1"/>
    </row>
    <row r="198" spans="1:6" x14ac:dyDescent="0.25">
      <c r="A198">
        <v>44</v>
      </c>
      <c r="B198" s="1">
        <v>37.532200000000003</v>
      </c>
      <c r="C198" s="1">
        <v>14.1784</v>
      </c>
      <c r="D198" s="1">
        <v>5.7720599999999997</v>
      </c>
      <c r="E198" s="1">
        <v>2.1150099999999998</v>
      </c>
      <c r="F198" s="1"/>
    </row>
    <row r="199" spans="1:6" x14ac:dyDescent="0.25">
      <c r="A199">
        <v>45</v>
      </c>
      <c r="B199" s="1">
        <v>39.356200000000001</v>
      </c>
      <c r="C199" s="1">
        <v>14.3073</v>
      </c>
      <c r="D199" s="1">
        <v>5.6251199999999999</v>
      </c>
      <c r="E199" s="1">
        <v>2.11843</v>
      </c>
      <c r="F199" s="1"/>
    </row>
    <row r="200" spans="1:6" x14ac:dyDescent="0.25">
      <c r="A200">
        <v>46</v>
      </c>
      <c r="B200" s="1">
        <v>41.237200000000001</v>
      </c>
      <c r="C200" s="1">
        <v>14.430999999999999</v>
      </c>
      <c r="D200" s="1">
        <v>5.4861399999999998</v>
      </c>
      <c r="E200" s="1">
        <v>2.1198399999999999</v>
      </c>
      <c r="F200" s="1"/>
    </row>
    <row r="201" spans="1:6" x14ac:dyDescent="0.25">
      <c r="A201">
        <v>47</v>
      </c>
      <c r="B201" s="1">
        <v>43.175800000000002</v>
      </c>
      <c r="C201" s="1">
        <v>14.5502</v>
      </c>
      <c r="D201" s="1">
        <v>5.3551900000000003</v>
      </c>
      <c r="E201" s="1">
        <v>2.1193499999999998</v>
      </c>
      <c r="F201" s="1"/>
    </row>
    <row r="202" spans="1:6" x14ac:dyDescent="0.25">
      <c r="A202">
        <v>48</v>
      </c>
      <c r="B202" s="1">
        <v>45.172600000000003</v>
      </c>
      <c r="C202" s="1">
        <v>14.6652</v>
      </c>
      <c r="D202" s="1">
        <v>5.2321999999999997</v>
      </c>
      <c r="E202" s="1">
        <v>2.1171000000000002</v>
      </c>
      <c r="F202" s="1"/>
    </row>
    <row r="203" spans="1:6" x14ac:dyDescent="0.25">
      <c r="A203">
        <v>49</v>
      </c>
      <c r="B203" s="1">
        <v>47.228000000000002</v>
      </c>
      <c r="C203" s="1">
        <v>14.776400000000001</v>
      </c>
      <c r="D203" s="1">
        <v>5.1170099999999996</v>
      </c>
      <c r="E203" s="1">
        <v>2.1131899999999999</v>
      </c>
      <c r="F203" s="1"/>
    </row>
    <row r="204" spans="1:6" x14ac:dyDescent="0.25">
      <c r="A204">
        <v>50</v>
      </c>
      <c r="B204" s="1">
        <v>49.342500000000001</v>
      </c>
      <c r="C204" s="1">
        <v>14.884399999999999</v>
      </c>
      <c r="D204" s="1">
        <v>5.0093899999999998</v>
      </c>
      <c r="E204" s="1">
        <v>2.1077400000000002</v>
      </c>
      <c r="F204" s="1"/>
    </row>
    <row r="205" spans="1:6" x14ac:dyDescent="0.25">
      <c r="A205">
        <v>51</v>
      </c>
      <c r="B205" s="1">
        <v>51.516399999999997</v>
      </c>
      <c r="C205" s="1">
        <v>14.9894</v>
      </c>
      <c r="D205" s="1">
        <v>4.9090600000000002</v>
      </c>
      <c r="E205" s="1">
        <v>2.1008599999999999</v>
      </c>
      <c r="F205" s="1"/>
    </row>
    <row r="206" spans="1:6" x14ac:dyDescent="0.25">
      <c r="A206">
        <v>52</v>
      </c>
      <c r="B206" s="1">
        <v>53.7502</v>
      </c>
      <c r="C206" s="1">
        <v>15.091699999999999</v>
      </c>
      <c r="D206" s="1">
        <v>4.8157300000000003</v>
      </c>
      <c r="E206" s="1">
        <v>2.0926800000000001</v>
      </c>
      <c r="F206" s="1"/>
    </row>
    <row r="207" spans="1:6" x14ac:dyDescent="0.25">
      <c r="A207">
        <v>53</v>
      </c>
      <c r="B207" s="1">
        <v>56.044199999999996</v>
      </c>
      <c r="C207" s="1">
        <v>15.191599999999999</v>
      </c>
      <c r="D207" s="1">
        <v>4.7290400000000004</v>
      </c>
      <c r="E207" s="1">
        <v>2.0833200000000001</v>
      </c>
      <c r="F207" s="1"/>
    </row>
    <row r="208" spans="1:6" x14ac:dyDescent="0.25">
      <c r="A208">
        <v>54</v>
      </c>
      <c r="B208" s="1">
        <v>58.398600000000002</v>
      </c>
      <c r="C208" s="1">
        <v>15.289300000000001</v>
      </c>
      <c r="D208" s="1">
        <v>4.6486400000000003</v>
      </c>
      <c r="E208" s="1">
        <v>2.07294</v>
      </c>
      <c r="F208" s="1"/>
    </row>
    <row r="209" spans="1:6" x14ac:dyDescent="0.25">
      <c r="A209">
        <v>55</v>
      </c>
      <c r="B209" s="1">
        <v>60.813899999999997</v>
      </c>
      <c r="C209" s="1">
        <v>15.3851</v>
      </c>
      <c r="D209" s="1">
        <v>4.5741300000000003</v>
      </c>
      <c r="E209" s="1">
        <v>2.0616300000000001</v>
      </c>
      <c r="F209" s="1"/>
    </row>
    <row r="210" spans="1:6" x14ac:dyDescent="0.25">
      <c r="A210">
        <v>56</v>
      </c>
      <c r="B210" s="1">
        <v>63.290100000000002</v>
      </c>
      <c r="C210" s="1">
        <v>15.479100000000001</v>
      </c>
      <c r="D210" s="1">
        <v>4.5050699999999999</v>
      </c>
      <c r="E210" s="1">
        <v>2.0495199999999998</v>
      </c>
      <c r="F210" s="1"/>
    </row>
    <row r="211" spans="1:6" x14ac:dyDescent="0.25">
      <c r="A211">
        <v>57</v>
      </c>
      <c r="B211" s="1">
        <v>65.827600000000004</v>
      </c>
      <c r="C211" s="1">
        <v>15.5715</v>
      </c>
      <c r="D211" s="1">
        <v>4.4410499999999997</v>
      </c>
      <c r="E211" s="1">
        <v>2.0366900000000001</v>
      </c>
      <c r="F211" s="1"/>
    </row>
    <row r="212" spans="1:6" x14ac:dyDescent="0.25">
      <c r="A212">
        <v>58</v>
      </c>
      <c r="B212" s="1">
        <v>68.426400000000001</v>
      </c>
      <c r="C212" s="1">
        <v>15.6625</v>
      </c>
      <c r="D212" s="1">
        <v>4.3816600000000001</v>
      </c>
      <c r="E212" s="1">
        <v>2.0232399999999999</v>
      </c>
      <c r="F212" s="1"/>
    </row>
    <row r="213" spans="1:6" x14ac:dyDescent="0.25">
      <c r="A213">
        <v>59</v>
      </c>
      <c r="B213" s="1">
        <v>71.086799999999997</v>
      </c>
      <c r="C213" s="1">
        <v>15.7521</v>
      </c>
      <c r="D213" s="1">
        <v>4.3265200000000004</v>
      </c>
      <c r="E213" s="1">
        <v>2.0092599999999998</v>
      </c>
      <c r="F213" s="1"/>
    </row>
    <row r="214" spans="1:6" x14ac:dyDescent="0.25">
      <c r="A214">
        <v>60</v>
      </c>
      <c r="B214" s="1">
        <v>73.808800000000005</v>
      </c>
      <c r="C214" s="1">
        <v>15.8405</v>
      </c>
      <c r="D214" s="1">
        <v>4.2752400000000002</v>
      </c>
      <c r="E214" s="1">
        <v>1.9948399999999999</v>
      </c>
      <c r="F214" s="1"/>
    </row>
    <row r="215" spans="1:6" x14ac:dyDescent="0.25">
      <c r="A215">
        <v>61</v>
      </c>
      <c r="B215" s="1">
        <v>76.592399999999998</v>
      </c>
      <c r="C215" s="1">
        <v>15.9277</v>
      </c>
      <c r="D215" s="1">
        <v>4.2274500000000002</v>
      </c>
      <c r="E215" s="1">
        <v>1.98003</v>
      </c>
      <c r="F215" s="1"/>
    </row>
    <row r="216" spans="1:6" x14ac:dyDescent="0.25">
      <c r="A216">
        <v>62</v>
      </c>
      <c r="B216" s="1">
        <v>79.437799999999996</v>
      </c>
      <c r="C216" s="1">
        <v>16.0139</v>
      </c>
      <c r="D216" s="1">
        <v>4.1828099999999999</v>
      </c>
      <c r="E216" s="1">
        <v>1.96489</v>
      </c>
      <c r="F216" s="1"/>
    </row>
    <row r="217" spans="1:6" x14ac:dyDescent="0.25">
      <c r="A217">
        <v>63</v>
      </c>
      <c r="B217" s="1">
        <v>82.344899999999996</v>
      </c>
      <c r="C217" s="1">
        <v>16.0991</v>
      </c>
      <c r="D217" s="1">
        <v>4.141</v>
      </c>
      <c r="E217" s="1">
        <v>1.9494899999999999</v>
      </c>
      <c r="F217" s="1"/>
    </row>
    <row r="218" spans="1:6" x14ac:dyDescent="0.25">
      <c r="A218">
        <v>64</v>
      </c>
      <c r="B218" s="1">
        <v>85.313800000000001</v>
      </c>
      <c r="C218" s="1">
        <v>16.183399999999999</v>
      </c>
      <c r="D218" s="1">
        <v>4.1017400000000004</v>
      </c>
      <c r="E218" s="1">
        <v>1.9339</v>
      </c>
      <c r="F218" s="1"/>
    </row>
    <row r="219" spans="1:6" x14ac:dyDescent="0.25">
      <c r="A219">
        <v>65</v>
      </c>
      <c r="B219" s="1">
        <v>88.344200000000001</v>
      </c>
      <c r="C219" s="1">
        <v>16.2668</v>
      </c>
      <c r="D219" s="1">
        <v>4.0647599999999997</v>
      </c>
      <c r="E219" s="1">
        <v>1.91818</v>
      </c>
      <c r="F219" s="1"/>
    </row>
    <row r="220" spans="1:6" x14ac:dyDescent="0.25">
      <c r="A220">
        <v>66</v>
      </c>
      <c r="B220" s="1">
        <v>91.436199999999999</v>
      </c>
      <c r="C220" s="1">
        <v>16.349399999999999</v>
      </c>
      <c r="D220" s="1">
        <v>4.0297900000000002</v>
      </c>
      <c r="E220" s="1">
        <v>1.9024000000000001</v>
      </c>
      <c r="F220" s="1"/>
    </row>
    <row r="221" spans="1:6" x14ac:dyDescent="0.25">
      <c r="A221">
        <v>67</v>
      </c>
      <c r="B221" s="1">
        <v>94.589699999999993</v>
      </c>
      <c r="C221" s="1">
        <v>16.4313</v>
      </c>
      <c r="D221" s="1">
        <v>3.9965999999999999</v>
      </c>
      <c r="E221" s="1">
        <v>1.8866400000000001</v>
      </c>
      <c r="F221" s="1"/>
    </row>
    <row r="222" spans="1:6" x14ac:dyDescent="0.25">
      <c r="A222">
        <v>68</v>
      </c>
      <c r="B222" s="1">
        <v>97.804400000000001</v>
      </c>
      <c r="C222" s="1">
        <v>16.5123</v>
      </c>
      <c r="D222" s="1">
        <v>3.9649800000000002</v>
      </c>
      <c r="E222" s="1">
        <v>1.87093</v>
      </c>
      <c r="F222" s="1"/>
    </row>
    <row r="223" spans="1:6" x14ac:dyDescent="0.25">
      <c r="A223">
        <v>69</v>
      </c>
      <c r="B223" s="1">
        <v>101.08</v>
      </c>
      <c r="C223" s="1">
        <v>16.592700000000001</v>
      </c>
      <c r="D223" s="1">
        <v>3.9347099999999999</v>
      </c>
      <c r="E223" s="1">
        <v>1.8552999999999999</v>
      </c>
      <c r="F223" s="1"/>
    </row>
    <row r="224" spans="1:6" x14ac:dyDescent="0.25">
      <c r="A224">
        <v>70</v>
      </c>
      <c r="B224" s="1">
        <v>104.417</v>
      </c>
      <c r="C224" s="1">
        <v>16.6723</v>
      </c>
      <c r="D224" s="1">
        <v>3.9056199999999999</v>
      </c>
      <c r="E224" s="1">
        <v>1.8397699999999999</v>
      </c>
      <c r="F224" s="1"/>
    </row>
    <row r="225" spans="1:6" x14ac:dyDescent="0.25">
      <c r="A225">
        <v>71</v>
      </c>
      <c r="B225" s="1">
        <v>107.81399999999999</v>
      </c>
      <c r="C225" s="1">
        <v>16.751200000000001</v>
      </c>
      <c r="D225" s="1">
        <v>3.8775599999999999</v>
      </c>
      <c r="E225" s="1">
        <v>1.8244</v>
      </c>
      <c r="F225" s="1"/>
    </row>
    <row r="226" spans="1:6" x14ac:dyDescent="0.25">
      <c r="A226">
        <v>72</v>
      </c>
      <c r="B226" s="1">
        <v>111.27200000000001</v>
      </c>
      <c r="C226" s="1">
        <v>16.8294</v>
      </c>
      <c r="D226" s="1">
        <v>3.8504</v>
      </c>
      <c r="E226" s="1">
        <v>1.8092299999999999</v>
      </c>
      <c r="F226" s="1"/>
    </row>
    <row r="227" spans="1:6" x14ac:dyDescent="0.25">
      <c r="A227">
        <v>73</v>
      </c>
      <c r="B227" s="1">
        <v>114.79</v>
      </c>
      <c r="C227" s="1">
        <v>16.9069</v>
      </c>
      <c r="D227" s="1">
        <v>3.8240500000000002</v>
      </c>
      <c r="E227" s="1">
        <v>1.79427</v>
      </c>
      <c r="F227" s="1"/>
    </row>
    <row r="228" spans="1:6" x14ac:dyDescent="0.25">
      <c r="A228">
        <v>74</v>
      </c>
      <c r="B228" s="1">
        <v>118.36799999999999</v>
      </c>
      <c r="C228" s="1">
        <v>16.983799999999999</v>
      </c>
      <c r="D228" s="1">
        <v>3.7984300000000002</v>
      </c>
      <c r="E228" s="1">
        <v>1.7795700000000001</v>
      </c>
      <c r="F228" s="1"/>
    </row>
    <row r="229" spans="1:6" x14ac:dyDescent="0.25">
      <c r="A229">
        <v>75</v>
      </c>
      <c r="B229" s="1">
        <v>122.005</v>
      </c>
      <c r="C229" s="1">
        <v>17.059999999999999</v>
      </c>
      <c r="D229" s="1">
        <v>3.77346</v>
      </c>
      <c r="E229" s="1">
        <v>1.7651399999999999</v>
      </c>
      <c r="F229" s="1"/>
    </row>
    <row r="230" spans="1:6" x14ac:dyDescent="0.25">
      <c r="A230">
        <v>76</v>
      </c>
      <c r="B230" s="1">
        <v>125.702</v>
      </c>
      <c r="C230" s="1">
        <v>17.1356</v>
      </c>
      <c r="D230" s="1">
        <v>3.7490600000000001</v>
      </c>
      <c r="E230" s="1">
        <v>1.75101</v>
      </c>
      <c r="F230" s="1"/>
    </row>
    <row r="231" spans="1:6" x14ac:dyDescent="0.25">
      <c r="A231">
        <v>77</v>
      </c>
      <c r="B231" s="1">
        <v>129.45699999999999</v>
      </c>
      <c r="C231" s="1">
        <v>17.2105</v>
      </c>
      <c r="D231" s="1">
        <v>3.7251099999999999</v>
      </c>
      <c r="E231" s="1">
        <v>1.73716</v>
      </c>
      <c r="F231" s="1"/>
    </row>
    <row r="232" spans="1:6" x14ac:dyDescent="0.25">
      <c r="A232">
        <v>78</v>
      </c>
      <c r="B232" s="1">
        <v>133.27000000000001</v>
      </c>
      <c r="C232" s="1">
        <v>17.2849</v>
      </c>
      <c r="D232" s="1">
        <v>3.70153</v>
      </c>
      <c r="E232" s="1">
        <v>1.72357</v>
      </c>
      <c r="F232" s="1"/>
    </row>
    <row r="233" spans="1:6" x14ac:dyDescent="0.25">
      <c r="A233">
        <v>79</v>
      </c>
      <c r="B233" s="1">
        <v>137.14099999999999</v>
      </c>
      <c r="C233" s="1">
        <v>17.358599999999999</v>
      </c>
      <c r="D233" s="1">
        <v>3.6782699999999999</v>
      </c>
      <c r="E233" s="1">
        <v>1.7102299999999999</v>
      </c>
      <c r="F233" s="1"/>
    </row>
    <row r="234" spans="1:6" x14ac:dyDescent="0.25">
      <c r="A234">
        <v>80</v>
      </c>
      <c r="B234" s="1">
        <v>141.07</v>
      </c>
      <c r="C234" s="1">
        <v>17.431699999999999</v>
      </c>
      <c r="D234" s="1">
        <v>3.65523</v>
      </c>
      <c r="E234" s="1">
        <v>1.6970700000000001</v>
      </c>
      <c r="F234" s="1"/>
    </row>
    <row r="235" spans="1:6" x14ac:dyDescent="0.25">
      <c r="A235">
        <v>81</v>
      </c>
      <c r="B235" s="1">
        <v>145.05500000000001</v>
      </c>
      <c r="C235" s="1">
        <v>17.504300000000001</v>
      </c>
      <c r="D235" s="1">
        <v>3.6323599999999998</v>
      </c>
      <c r="E235" s="1">
        <v>1.68407</v>
      </c>
      <c r="F235" s="1"/>
    </row>
    <row r="236" spans="1:6" x14ac:dyDescent="0.25">
      <c r="A236">
        <v>82</v>
      </c>
      <c r="B236" s="1">
        <v>149.09700000000001</v>
      </c>
      <c r="C236" s="1">
        <v>17.5762</v>
      </c>
      <c r="D236" s="1">
        <v>3.6095600000000001</v>
      </c>
      <c r="E236" s="1">
        <v>1.6711800000000001</v>
      </c>
      <c r="F236" s="1"/>
    </row>
    <row r="237" spans="1:6" x14ac:dyDescent="0.25">
      <c r="A237">
        <v>83</v>
      </c>
      <c r="B237" s="1">
        <v>153.19499999999999</v>
      </c>
      <c r="C237" s="1">
        <v>17.647500000000001</v>
      </c>
      <c r="D237" s="1">
        <v>3.5868000000000002</v>
      </c>
      <c r="E237" s="1">
        <v>1.6584099999999999</v>
      </c>
      <c r="F237" s="1"/>
    </row>
    <row r="238" spans="1:6" x14ac:dyDescent="0.25">
      <c r="A238">
        <v>84</v>
      </c>
      <c r="B238" s="1">
        <v>157.34899999999999</v>
      </c>
      <c r="C238" s="1">
        <v>17.7182</v>
      </c>
      <c r="D238" s="1">
        <v>3.5640700000000001</v>
      </c>
      <c r="E238" s="1">
        <v>1.64578</v>
      </c>
      <c r="F238" s="1"/>
    </row>
    <row r="239" spans="1:6" x14ac:dyDescent="0.25">
      <c r="A239">
        <v>85</v>
      </c>
      <c r="B239" s="1">
        <v>161.55699999999999</v>
      </c>
      <c r="C239" s="1">
        <v>17.7883</v>
      </c>
      <c r="D239" s="1">
        <v>3.5413999999999999</v>
      </c>
      <c r="E239" s="1">
        <v>1.63327</v>
      </c>
      <c r="F239" s="1"/>
    </row>
    <row r="240" spans="1:6" x14ac:dyDescent="0.25">
      <c r="A240">
        <v>86</v>
      </c>
      <c r="B240" s="1">
        <v>165.81899999999999</v>
      </c>
      <c r="C240" s="1">
        <v>17.857700000000001</v>
      </c>
      <c r="D240" s="1">
        <v>3.5188299999999999</v>
      </c>
      <c r="E240" s="1">
        <v>1.6208800000000001</v>
      </c>
      <c r="F240" s="1"/>
    </row>
    <row r="241" spans="1:6" x14ac:dyDescent="0.25">
      <c r="A241">
        <v>87</v>
      </c>
      <c r="B241" s="1">
        <v>170.136</v>
      </c>
      <c r="C241" s="1">
        <v>17.926600000000001</v>
      </c>
      <c r="D241" s="1">
        <v>3.4963299999999999</v>
      </c>
      <c r="E241" s="1">
        <v>1.6086100000000001</v>
      </c>
      <c r="F241" s="1"/>
    </row>
    <row r="242" spans="1:6" x14ac:dyDescent="0.25">
      <c r="A242">
        <v>88</v>
      </c>
      <c r="B242" s="1">
        <v>174.505</v>
      </c>
      <c r="C242" s="1">
        <v>17.994900000000001</v>
      </c>
      <c r="D242" s="1">
        <v>3.4738699999999998</v>
      </c>
      <c r="E242" s="1">
        <v>1.59646</v>
      </c>
      <c r="F242" s="1"/>
    </row>
    <row r="243" spans="1:6" x14ac:dyDescent="0.25">
      <c r="A243">
        <v>89</v>
      </c>
      <c r="B243" s="1">
        <v>178.92699999999999</v>
      </c>
      <c r="C243" s="1">
        <v>18.0625</v>
      </c>
      <c r="D243" s="1">
        <v>3.4514</v>
      </c>
      <c r="E243" s="1">
        <v>1.58447</v>
      </c>
      <c r="F243" s="1"/>
    </row>
    <row r="244" spans="1:6" x14ac:dyDescent="0.25">
      <c r="A244">
        <v>90</v>
      </c>
      <c r="B244" s="1">
        <v>183.4</v>
      </c>
      <c r="C244" s="1">
        <v>18.1296</v>
      </c>
      <c r="D244" s="1">
        <v>3.4288500000000002</v>
      </c>
      <c r="E244" s="1">
        <v>1.57264</v>
      </c>
      <c r="F244" s="1"/>
    </row>
    <row r="245" spans="1:6" x14ac:dyDescent="0.25">
      <c r="A245">
        <v>91</v>
      </c>
      <c r="B245" s="1">
        <v>187.92500000000001</v>
      </c>
      <c r="C245" s="1">
        <v>18.196100000000001</v>
      </c>
      <c r="D245" s="1">
        <v>3.4061900000000001</v>
      </c>
      <c r="E245" s="1">
        <v>1.5609599999999999</v>
      </c>
      <c r="F245" s="1"/>
    </row>
    <row r="246" spans="1:6" x14ac:dyDescent="0.25">
      <c r="A246">
        <v>92</v>
      </c>
      <c r="B246" s="1">
        <v>192.5</v>
      </c>
      <c r="C246" s="1">
        <v>18.261900000000001</v>
      </c>
      <c r="D246" s="1">
        <v>3.3833899999999999</v>
      </c>
      <c r="E246" s="1">
        <v>1.54942</v>
      </c>
      <c r="F246" s="1"/>
    </row>
    <row r="247" spans="1:6" x14ac:dyDescent="0.25">
      <c r="A247">
        <v>93</v>
      </c>
      <c r="B247" s="1">
        <v>197.125</v>
      </c>
      <c r="C247" s="1">
        <v>18.327200000000001</v>
      </c>
      <c r="D247" s="1">
        <v>3.3604400000000001</v>
      </c>
      <c r="E247" s="1">
        <v>1.5379799999999999</v>
      </c>
      <c r="F247" s="1"/>
    </row>
    <row r="248" spans="1:6" x14ac:dyDescent="0.25">
      <c r="A248">
        <v>94</v>
      </c>
      <c r="B248" s="1">
        <v>201.8</v>
      </c>
      <c r="C248" s="1">
        <v>18.3919</v>
      </c>
      <c r="D248" s="1">
        <v>3.3374000000000001</v>
      </c>
      <c r="E248" s="1">
        <v>1.5266500000000001</v>
      </c>
      <c r="F248" s="1"/>
    </row>
    <row r="249" spans="1:6" x14ac:dyDescent="0.25">
      <c r="A249">
        <v>95</v>
      </c>
      <c r="B249" s="1">
        <v>206.523</v>
      </c>
      <c r="C249" s="1">
        <v>18.456</v>
      </c>
      <c r="D249" s="1">
        <v>3.3143199999999999</v>
      </c>
      <c r="E249" s="1">
        <v>1.51542</v>
      </c>
      <c r="F249" s="1"/>
    </row>
    <row r="250" spans="1:6" x14ac:dyDescent="0.25">
      <c r="A250">
        <v>96</v>
      </c>
      <c r="B250" s="1">
        <v>211.29400000000001</v>
      </c>
      <c r="C250" s="1">
        <v>18.519500000000001</v>
      </c>
      <c r="D250" s="1">
        <v>3.2912699999999999</v>
      </c>
      <c r="E250" s="1">
        <v>1.50431</v>
      </c>
      <c r="F250" s="1"/>
    </row>
    <row r="251" spans="1:6" x14ac:dyDescent="0.25">
      <c r="A251">
        <v>97</v>
      </c>
      <c r="B251" s="1">
        <v>216.11099999999999</v>
      </c>
      <c r="C251" s="1">
        <v>18.5825</v>
      </c>
      <c r="D251" s="1">
        <v>3.2682699999999998</v>
      </c>
      <c r="E251" s="1">
        <v>1.49336</v>
      </c>
      <c r="F251" s="1"/>
    </row>
    <row r="252" spans="1:6" x14ac:dyDescent="0.25">
      <c r="A252">
        <v>98</v>
      </c>
      <c r="B252" s="1">
        <v>220.976</v>
      </c>
      <c r="C252" s="1">
        <v>18.6449</v>
      </c>
      <c r="D252" s="1">
        <v>3.2453099999999999</v>
      </c>
      <c r="E252" s="1">
        <v>1.4825699999999999</v>
      </c>
      <c r="F252" s="1"/>
    </row>
    <row r="253" spans="1:6" x14ac:dyDescent="0.25">
      <c r="A253">
        <v>99</v>
      </c>
      <c r="B253" s="1">
        <v>225.886</v>
      </c>
      <c r="C253" s="1">
        <v>18.706700000000001</v>
      </c>
      <c r="D253" s="1">
        <v>3.2223799999999998</v>
      </c>
      <c r="E253" s="1">
        <v>1.4719</v>
      </c>
      <c r="F253" s="1"/>
    </row>
    <row r="254" spans="1:6" x14ac:dyDescent="0.25">
      <c r="A254">
        <v>100</v>
      </c>
      <c r="B254" s="1">
        <v>230.84100000000001</v>
      </c>
      <c r="C254" s="1">
        <v>18.768000000000001</v>
      </c>
      <c r="D254" s="1">
        <v>3.1994099999999999</v>
      </c>
      <c r="E254" s="1">
        <v>1.4613400000000001</v>
      </c>
      <c r="F254" s="1"/>
    </row>
    <row r="255" spans="1:6" x14ac:dyDescent="0.25">
      <c r="A255">
        <v>101</v>
      </c>
      <c r="B255" s="1">
        <v>235.84</v>
      </c>
      <c r="C255" s="1">
        <v>18.828800000000001</v>
      </c>
      <c r="D255" s="1">
        <v>3.1763599999999999</v>
      </c>
      <c r="E255" s="1">
        <v>1.45089</v>
      </c>
      <c r="F255" s="1"/>
    </row>
    <row r="256" spans="1:6" x14ac:dyDescent="0.25">
      <c r="A256">
        <v>102</v>
      </c>
      <c r="B256" s="1">
        <v>240.88300000000001</v>
      </c>
      <c r="C256" s="1">
        <v>18.889099999999999</v>
      </c>
      <c r="D256" s="1">
        <v>3.1532100000000001</v>
      </c>
      <c r="E256" s="1">
        <v>1.44052</v>
      </c>
      <c r="F256" s="1"/>
    </row>
    <row r="257" spans="1:6" x14ac:dyDescent="0.25">
      <c r="A257">
        <v>103</v>
      </c>
      <c r="B257" s="1">
        <v>245.96799999999999</v>
      </c>
      <c r="C257" s="1">
        <v>18.948899999999998</v>
      </c>
      <c r="D257" s="1">
        <v>3.1299800000000002</v>
      </c>
      <c r="E257" s="1">
        <v>1.4301600000000001</v>
      </c>
      <c r="F257" s="1"/>
    </row>
    <row r="258" spans="1:6" x14ac:dyDescent="0.25">
      <c r="A258">
        <v>104</v>
      </c>
      <c r="B258" s="1">
        <v>251.095</v>
      </c>
      <c r="C258" s="1">
        <v>19.008099999999999</v>
      </c>
      <c r="D258" s="1">
        <v>3.1066799999999999</v>
      </c>
      <c r="E258" s="1">
        <v>1.41978</v>
      </c>
      <c r="F258" s="1"/>
    </row>
    <row r="259" spans="1:6" x14ac:dyDescent="0.25">
      <c r="A259">
        <v>105</v>
      </c>
      <c r="B259" s="1">
        <v>256.26400000000001</v>
      </c>
      <c r="C259" s="1">
        <v>19.0669</v>
      </c>
      <c r="D259" s="1">
        <v>3.08331</v>
      </c>
      <c r="E259" s="1">
        <v>1.4093800000000001</v>
      </c>
      <c r="F259" s="1"/>
    </row>
    <row r="260" spans="1:6" x14ac:dyDescent="0.25">
      <c r="A260">
        <v>106</v>
      </c>
      <c r="B260" s="1">
        <v>261.47300000000001</v>
      </c>
      <c r="C260" s="1">
        <v>19.1252</v>
      </c>
      <c r="D260" s="1">
        <v>3.05992</v>
      </c>
      <c r="E260" s="1">
        <v>1.39896</v>
      </c>
      <c r="F260" s="1"/>
    </row>
    <row r="261" spans="1:6" x14ac:dyDescent="0.25">
      <c r="A261">
        <v>107</v>
      </c>
      <c r="B261" s="1">
        <v>266.72199999999998</v>
      </c>
      <c r="C261" s="1">
        <v>19.183</v>
      </c>
      <c r="D261" s="1">
        <v>3.0365000000000002</v>
      </c>
      <c r="E261" s="1">
        <v>1.38853</v>
      </c>
      <c r="F261" s="1"/>
    </row>
    <row r="262" spans="1:6" x14ac:dyDescent="0.25">
      <c r="A262">
        <v>108</v>
      </c>
      <c r="B262" s="1">
        <v>272.01</v>
      </c>
      <c r="C262" s="1">
        <v>19.240400000000001</v>
      </c>
      <c r="D262" s="1">
        <v>3.0130699999999999</v>
      </c>
      <c r="E262" s="1">
        <v>1.3780699999999999</v>
      </c>
      <c r="F262" s="1"/>
    </row>
    <row r="263" spans="1:6" x14ac:dyDescent="0.25">
      <c r="A263">
        <v>109</v>
      </c>
      <c r="B263" s="1">
        <v>277.33699999999999</v>
      </c>
      <c r="C263" s="1">
        <v>19.2972</v>
      </c>
      <c r="D263" s="1">
        <v>2.9895900000000002</v>
      </c>
      <c r="E263" s="1">
        <v>1.3675600000000001</v>
      </c>
      <c r="F263" s="1"/>
    </row>
    <row r="264" spans="1:6" x14ac:dyDescent="0.25">
      <c r="A264">
        <v>110</v>
      </c>
      <c r="B264" s="1">
        <v>282.7</v>
      </c>
      <c r="C264" s="1">
        <v>19.3536</v>
      </c>
      <c r="D264" s="1">
        <v>2.96604</v>
      </c>
      <c r="E264" s="1">
        <v>1.3569800000000001</v>
      </c>
      <c r="F264" s="1"/>
    </row>
    <row r="265" spans="1:6" x14ac:dyDescent="0.25">
      <c r="A265">
        <v>111</v>
      </c>
      <c r="B265" s="1">
        <v>288.101</v>
      </c>
      <c r="C265" s="1">
        <v>19.409500000000001</v>
      </c>
      <c r="D265" s="1">
        <v>2.9423499999999998</v>
      </c>
      <c r="E265" s="1">
        <v>1.34639</v>
      </c>
      <c r="F265" s="1"/>
    </row>
    <row r="266" spans="1:6" x14ac:dyDescent="0.25">
      <c r="A266">
        <v>112</v>
      </c>
      <c r="B266" s="1">
        <v>293.53800000000001</v>
      </c>
      <c r="C266" s="1">
        <v>19.4649</v>
      </c>
      <c r="D266" s="1">
        <v>2.91852</v>
      </c>
      <c r="E266" s="1">
        <v>1.33582</v>
      </c>
      <c r="F266" s="1"/>
    </row>
    <row r="267" spans="1:6" x14ac:dyDescent="0.25">
      <c r="A267">
        <v>113</v>
      </c>
      <c r="B267" s="1">
        <v>299.01</v>
      </c>
      <c r="C267" s="1">
        <v>19.5199</v>
      </c>
      <c r="D267" s="1">
        <v>2.8946000000000001</v>
      </c>
      <c r="E267" s="1">
        <v>1.32525</v>
      </c>
      <c r="F267" s="1"/>
    </row>
    <row r="268" spans="1:6" x14ac:dyDescent="0.25">
      <c r="A268">
        <v>114</v>
      </c>
      <c r="B268" s="1">
        <v>304.51600000000002</v>
      </c>
      <c r="C268" s="1">
        <v>19.5745</v>
      </c>
      <c r="D268" s="1">
        <v>2.8706</v>
      </c>
      <c r="E268" s="1">
        <v>1.3146500000000001</v>
      </c>
      <c r="F268" s="1"/>
    </row>
    <row r="269" spans="1:6" x14ac:dyDescent="0.25">
      <c r="A269">
        <v>115</v>
      </c>
      <c r="B269" s="1">
        <v>310.05599999999998</v>
      </c>
      <c r="C269" s="1">
        <v>19.628599999999999</v>
      </c>
      <c r="D269" s="1">
        <v>2.8465500000000001</v>
      </c>
      <c r="E269" s="1">
        <v>1.304</v>
      </c>
      <c r="F269" s="1"/>
    </row>
    <row r="270" spans="1:6" x14ac:dyDescent="0.25">
      <c r="A270">
        <v>116</v>
      </c>
      <c r="B270" s="1">
        <v>315.63</v>
      </c>
      <c r="C270" s="1">
        <v>19.682300000000001</v>
      </c>
      <c r="D270" s="1">
        <v>2.8224499999999999</v>
      </c>
      <c r="E270" s="1">
        <v>1.2932699999999999</v>
      </c>
      <c r="F270" s="1"/>
    </row>
    <row r="271" spans="1:6" x14ac:dyDescent="0.25">
      <c r="A271">
        <v>117</v>
      </c>
      <c r="B271" s="1">
        <v>321.23500000000001</v>
      </c>
      <c r="C271" s="1">
        <v>19.735600000000002</v>
      </c>
      <c r="D271" s="1">
        <v>2.7982999999999998</v>
      </c>
      <c r="E271" s="1">
        <v>1.2824599999999999</v>
      </c>
      <c r="F271" s="1"/>
    </row>
    <row r="272" spans="1:6" x14ac:dyDescent="0.25">
      <c r="A272">
        <v>118</v>
      </c>
      <c r="B272" s="1">
        <v>326.87299999999999</v>
      </c>
      <c r="C272" s="1">
        <v>19.788399999999999</v>
      </c>
      <c r="D272" s="1">
        <v>2.7740900000000002</v>
      </c>
      <c r="E272" s="1">
        <v>1.2715700000000001</v>
      </c>
      <c r="F272" s="1"/>
    </row>
    <row r="273" spans="1:6" x14ac:dyDescent="0.25">
      <c r="A273">
        <v>119</v>
      </c>
      <c r="B273" s="1">
        <v>332.541</v>
      </c>
      <c r="C273" s="1">
        <v>19.840699999999998</v>
      </c>
      <c r="D273" s="1">
        <v>2.7498300000000002</v>
      </c>
      <c r="E273" s="1">
        <v>1.26064</v>
      </c>
      <c r="F273" s="1"/>
    </row>
    <row r="274" spans="1:6" x14ac:dyDescent="0.25">
      <c r="A274">
        <v>120</v>
      </c>
      <c r="B274" s="1">
        <v>338.23899999999998</v>
      </c>
      <c r="C274" s="1">
        <v>19.892600000000002</v>
      </c>
      <c r="D274" s="1">
        <v>2.7255199999999999</v>
      </c>
      <c r="E274" s="1">
        <v>1.2496799999999999</v>
      </c>
      <c r="F274" s="1"/>
    </row>
    <row r="275" spans="1:6" x14ac:dyDescent="0.25">
      <c r="A275">
        <v>121</v>
      </c>
      <c r="B275" s="1">
        <v>343.96699999999998</v>
      </c>
      <c r="C275" s="1">
        <v>19.943999999999999</v>
      </c>
      <c r="D275" s="1">
        <v>2.70112</v>
      </c>
      <c r="E275" s="1">
        <v>1.23874</v>
      </c>
      <c r="F275" s="1"/>
    </row>
    <row r="276" spans="1:6" x14ac:dyDescent="0.25">
      <c r="A276">
        <v>122</v>
      </c>
      <c r="B276" s="1">
        <v>349.72399999999999</v>
      </c>
      <c r="C276" s="1">
        <v>19.995000000000001</v>
      </c>
      <c r="D276" s="1">
        <v>2.6766299999999998</v>
      </c>
      <c r="E276" s="1">
        <v>1.22786</v>
      </c>
      <c r="F276" s="1"/>
    </row>
    <row r="277" spans="1:6" x14ac:dyDescent="0.25">
      <c r="A277">
        <v>123</v>
      </c>
      <c r="B277" s="1">
        <v>355.50799999999998</v>
      </c>
      <c r="C277" s="1">
        <v>20.0456</v>
      </c>
      <c r="D277" s="1">
        <v>2.65205</v>
      </c>
      <c r="E277" s="1">
        <v>1.21705</v>
      </c>
      <c r="F277" s="1"/>
    </row>
    <row r="278" spans="1:6" x14ac:dyDescent="0.25">
      <c r="A278">
        <v>124</v>
      </c>
      <c r="B278" s="1">
        <v>361.32</v>
      </c>
      <c r="C278" s="1">
        <v>20.095700000000001</v>
      </c>
      <c r="D278" s="1">
        <v>2.6274199999999999</v>
      </c>
      <c r="E278" s="1">
        <v>1.20631</v>
      </c>
      <c r="F278" s="1"/>
    </row>
    <row r="279" spans="1:6" x14ac:dyDescent="0.25">
      <c r="A279">
        <v>125</v>
      </c>
      <c r="B279" s="1">
        <v>367.15899999999999</v>
      </c>
      <c r="C279" s="1">
        <v>20.145399999999999</v>
      </c>
      <c r="D279" s="1">
        <v>2.60276</v>
      </c>
      <c r="E279" s="1">
        <v>1.19563</v>
      </c>
      <c r="F279" s="1"/>
    </row>
    <row r="280" spans="1:6" x14ac:dyDescent="0.25">
      <c r="A280">
        <v>126</v>
      </c>
      <c r="B280" s="1">
        <v>373.024</v>
      </c>
      <c r="C280" s="1">
        <v>20.194800000000001</v>
      </c>
      <c r="D280" s="1">
        <v>2.5781000000000001</v>
      </c>
      <c r="E280" s="1">
        <v>1.1850000000000001</v>
      </c>
      <c r="F280" s="1"/>
    </row>
    <row r="281" spans="1:6" x14ac:dyDescent="0.25">
      <c r="A281">
        <v>127</v>
      </c>
      <c r="B281" s="1">
        <v>378.91500000000002</v>
      </c>
      <c r="C281" s="1">
        <v>20.2437</v>
      </c>
      <c r="D281" s="1">
        <v>2.5534500000000002</v>
      </c>
      <c r="E281" s="1">
        <v>1.17442</v>
      </c>
      <c r="F281" s="1"/>
    </row>
    <row r="282" spans="1:6" x14ac:dyDescent="0.25">
      <c r="A282">
        <v>128</v>
      </c>
      <c r="B282" s="1">
        <v>384.83</v>
      </c>
      <c r="C282" s="1">
        <v>20.292300000000001</v>
      </c>
      <c r="D282" s="1">
        <v>2.5287999999999999</v>
      </c>
      <c r="E282" s="1">
        <v>1.16384</v>
      </c>
      <c r="F282" s="1"/>
    </row>
    <row r="283" spans="1:6" x14ac:dyDescent="0.25">
      <c r="A283">
        <v>129</v>
      </c>
      <c r="B283" s="1">
        <v>390.76900000000001</v>
      </c>
      <c r="C283" s="1">
        <v>20.340499999999999</v>
      </c>
      <c r="D283" s="1">
        <v>2.50414</v>
      </c>
      <c r="E283" s="1">
        <v>1.1531899999999999</v>
      </c>
      <c r="F283" s="1"/>
    </row>
    <row r="284" spans="1:6" x14ac:dyDescent="0.25">
      <c r="A284">
        <v>130</v>
      </c>
      <c r="B284" s="1">
        <v>396.73099999999999</v>
      </c>
      <c r="C284" s="1">
        <v>20.388300000000001</v>
      </c>
      <c r="D284" s="1">
        <v>2.4794700000000001</v>
      </c>
      <c r="E284" s="1">
        <v>1.14249</v>
      </c>
      <c r="F284" s="1"/>
    </row>
    <row r="285" spans="1:6" x14ac:dyDescent="0.25">
      <c r="A285">
        <v>131</v>
      </c>
      <c r="B285" s="1">
        <v>402.71699999999998</v>
      </c>
      <c r="C285" s="1">
        <v>20.4358</v>
      </c>
      <c r="D285" s="1">
        <v>2.4548299999999998</v>
      </c>
      <c r="E285" s="1">
        <v>1.1317900000000001</v>
      </c>
      <c r="F285" s="1"/>
    </row>
    <row r="286" spans="1:6" x14ac:dyDescent="0.25">
      <c r="A286">
        <v>132</v>
      </c>
      <c r="B286" s="1">
        <v>408.72500000000002</v>
      </c>
      <c r="C286" s="1">
        <v>20.482900000000001</v>
      </c>
      <c r="D286" s="1">
        <v>2.4302600000000001</v>
      </c>
      <c r="E286" s="1">
        <v>1.12113</v>
      </c>
      <c r="F286" s="1"/>
    </row>
    <row r="287" spans="1:6" x14ac:dyDescent="0.25">
      <c r="A287">
        <v>133</v>
      </c>
      <c r="B287" s="1">
        <v>414.75400000000002</v>
      </c>
      <c r="C287" s="1">
        <v>20.529499999999999</v>
      </c>
      <c r="D287" s="1">
        <v>2.4057599999999999</v>
      </c>
      <c r="E287" s="1">
        <v>1.11052</v>
      </c>
      <c r="F287" s="1"/>
    </row>
    <row r="288" spans="1:6" x14ac:dyDescent="0.25">
      <c r="A288">
        <v>134</v>
      </c>
      <c r="B288" s="1">
        <v>420.80399999999997</v>
      </c>
      <c r="C288" s="1">
        <v>20.575800000000001</v>
      </c>
      <c r="D288" s="1">
        <v>2.3812899999999999</v>
      </c>
      <c r="E288" s="1">
        <v>1.0999000000000001</v>
      </c>
      <c r="F288" s="1"/>
    </row>
    <row r="289" spans="1:6" x14ac:dyDescent="0.25">
      <c r="A289">
        <v>135</v>
      </c>
      <c r="B289" s="1">
        <v>426.875</v>
      </c>
      <c r="C289" s="1">
        <v>20.621700000000001</v>
      </c>
      <c r="D289" s="1">
        <v>2.3568500000000001</v>
      </c>
      <c r="E289" s="1">
        <v>1.0892599999999999</v>
      </c>
      <c r="F289" s="1"/>
    </row>
    <row r="290" spans="1:6" x14ac:dyDescent="0.25">
      <c r="A290">
        <v>136</v>
      </c>
      <c r="B290" s="1">
        <v>432.96600000000001</v>
      </c>
      <c r="C290" s="1">
        <v>20.667100000000001</v>
      </c>
      <c r="D290" s="1">
        <v>2.3325300000000002</v>
      </c>
      <c r="E290" s="1">
        <v>1.0786</v>
      </c>
      <c r="F290" s="1"/>
    </row>
    <row r="291" spans="1:6" x14ac:dyDescent="0.25">
      <c r="A291">
        <v>137</v>
      </c>
      <c r="B291" s="1">
        <v>439.07600000000002</v>
      </c>
      <c r="C291" s="1">
        <v>20.7121</v>
      </c>
      <c r="D291" s="1">
        <v>2.3083499999999999</v>
      </c>
      <c r="E291" s="1">
        <v>1.06795</v>
      </c>
      <c r="F291" s="1"/>
    </row>
    <row r="292" spans="1:6" x14ac:dyDescent="0.25">
      <c r="A292">
        <v>138</v>
      </c>
      <c r="B292" s="1">
        <v>445.20499999999998</v>
      </c>
      <c r="C292" s="1">
        <v>20.756799999999998</v>
      </c>
      <c r="D292" s="1">
        <v>2.2842899999999999</v>
      </c>
      <c r="E292" s="1">
        <v>1.05731</v>
      </c>
      <c r="F292" s="1"/>
    </row>
    <row r="293" spans="1:6" x14ac:dyDescent="0.25">
      <c r="A293">
        <v>139</v>
      </c>
      <c r="B293" s="1">
        <v>451.35199999999998</v>
      </c>
      <c r="C293" s="1">
        <v>20.800999999999998</v>
      </c>
      <c r="D293" s="1">
        <v>2.2603</v>
      </c>
      <c r="E293" s="1">
        <v>1.0466899999999999</v>
      </c>
      <c r="F293" s="1"/>
    </row>
    <row r="294" spans="1:6" x14ac:dyDescent="0.25">
      <c r="A294">
        <v>140</v>
      </c>
      <c r="B294" s="1">
        <v>457.517</v>
      </c>
      <c r="C294" s="1">
        <v>20.844899999999999</v>
      </c>
      <c r="D294" s="1">
        <v>2.2363400000000002</v>
      </c>
      <c r="E294" s="1">
        <v>1.03609</v>
      </c>
      <c r="F294" s="1"/>
    </row>
    <row r="295" spans="1:6" x14ac:dyDescent="0.25">
      <c r="A295">
        <v>141</v>
      </c>
      <c r="B295" s="1">
        <v>463.69900000000001</v>
      </c>
      <c r="C295" s="1">
        <v>20.888400000000001</v>
      </c>
      <c r="D295" s="1">
        <v>2.2124000000000001</v>
      </c>
      <c r="E295" s="1">
        <v>1.02556</v>
      </c>
      <c r="F295" s="1"/>
    </row>
    <row r="296" spans="1:6" x14ac:dyDescent="0.25">
      <c r="A296">
        <v>142</v>
      </c>
      <c r="B296" s="1">
        <v>469.89800000000002</v>
      </c>
      <c r="C296" s="1">
        <v>20.9316</v>
      </c>
      <c r="D296" s="1">
        <v>2.18851</v>
      </c>
      <c r="E296" s="1">
        <v>1.01509</v>
      </c>
      <c r="F296" s="1"/>
    </row>
    <row r="297" spans="1:6" x14ac:dyDescent="0.25">
      <c r="A297">
        <v>143</v>
      </c>
      <c r="B297" s="1">
        <v>476.113</v>
      </c>
      <c r="C297" s="1">
        <v>20.974399999999999</v>
      </c>
      <c r="D297" s="1">
        <v>2.1647099999999999</v>
      </c>
      <c r="E297" s="1">
        <v>1.0046600000000001</v>
      </c>
      <c r="F297" s="1"/>
    </row>
    <row r="298" spans="1:6" x14ac:dyDescent="0.25">
      <c r="A298">
        <v>144</v>
      </c>
      <c r="B298" s="1">
        <v>482.34399999999999</v>
      </c>
      <c r="C298" s="1">
        <v>21.0168</v>
      </c>
      <c r="D298" s="1">
        <v>2.1410300000000002</v>
      </c>
      <c r="E298" s="1">
        <v>0.99425399999999997</v>
      </c>
      <c r="F298" s="1"/>
    </row>
    <row r="299" spans="1:6" x14ac:dyDescent="0.25">
      <c r="A299">
        <v>145</v>
      </c>
      <c r="B299" s="1">
        <v>488.59</v>
      </c>
      <c r="C299" s="1">
        <v>21.058800000000002</v>
      </c>
      <c r="D299" s="1">
        <v>2.1174400000000002</v>
      </c>
      <c r="E299" s="1">
        <v>0.98384700000000003</v>
      </c>
      <c r="F299" s="1"/>
    </row>
    <row r="300" spans="1:6" x14ac:dyDescent="0.25">
      <c r="A300">
        <v>146</v>
      </c>
      <c r="B300" s="1">
        <v>494.85199999999998</v>
      </c>
      <c r="C300" s="1">
        <v>21.1005</v>
      </c>
      <c r="D300" s="1">
        <v>2.09395</v>
      </c>
      <c r="E300" s="1">
        <v>0.97342200000000001</v>
      </c>
      <c r="F300" s="1"/>
    </row>
    <row r="301" spans="1:6" x14ac:dyDescent="0.25">
      <c r="A301">
        <v>147</v>
      </c>
      <c r="B301" s="1">
        <v>501.12700000000001</v>
      </c>
      <c r="C301" s="1">
        <v>21.1418</v>
      </c>
      <c r="D301" s="1">
        <v>2.0705399999999998</v>
      </c>
      <c r="E301" s="1">
        <v>0.96294800000000003</v>
      </c>
      <c r="F301" s="1"/>
    </row>
    <row r="302" spans="1:6" x14ac:dyDescent="0.25">
      <c r="A302">
        <v>148</v>
      </c>
      <c r="B302" s="1">
        <v>507.41699999999997</v>
      </c>
      <c r="C302" s="1">
        <v>21.1828</v>
      </c>
      <c r="D302" s="1">
        <v>2.0471599999999999</v>
      </c>
      <c r="E302" s="1">
        <v>0.95240800000000003</v>
      </c>
      <c r="F302" s="1"/>
    </row>
    <row r="303" spans="1:6" x14ac:dyDescent="0.25">
      <c r="A303">
        <v>149</v>
      </c>
      <c r="B303" s="1">
        <v>513.72</v>
      </c>
      <c r="C303" s="1">
        <v>21.223400000000002</v>
      </c>
      <c r="D303" s="1">
        <v>2.0237699999999998</v>
      </c>
      <c r="E303" s="1">
        <v>0.94181300000000001</v>
      </c>
      <c r="F303" s="1"/>
    </row>
    <row r="304" spans="1:6" x14ac:dyDescent="0.25">
      <c r="A304">
        <v>150</v>
      </c>
      <c r="B304" s="1">
        <v>520.03700000000003</v>
      </c>
      <c r="C304" s="1">
        <v>21.2637</v>
      </c>
      <c r="D304" s="1">
        <v>2.0003600000000001</v>
      </c>
      <c r="E304" s="1">
        <v>0.93122700000000003</v>
      </c>
      <c r="F304" s="1"/>
    </row>
    <row r="305" spans="1:6" x14ac:dyDescent="0.25">
      <c r="A305">
        <v>151</v>
      </c>
      <c r="B305" s="1">
        <v>526.36599999999999</v>
      </c>
      <c r="C305" s="1">
        <v>21.303699999999999</v>
      </c>
      <c r="D305" s="1">
        <v>1.9770000000000001</v>
      </c>
      <c r="E305" s="1">
        <v>0.92070700000000005</v>
      </c>
      <c r="F305" s="1"/>
    </row>
    <row r="306" spans="1:6" x14ac:dyDescent="0.25">
      <c r="A306">
        <v>152</v>
      </c>
      <c r="B306" s="1">
        <v>532.70799999999997</v>
      </c>
      <c r="C306" s="1">
        <v>21.343399999999999</v>
      </c>
      <c r="D306" s="1">
        <v>1.9537500000000001</v>
      </c>
      <c r="E306" s="1">
        <v>0.91027800000000003</v>
      </c>
      <c r="F306" s="1"/>
    </row>
    <row r="307" spans="1:6" x14ac:dyDescent="0.25">
      <c r="A307">
        <v>153</v>
      </c>
      <c r="B307" s="1">
        <v>539.06200000000001</v>
      </c>
      <c r="C307" s="1">
        <v>21.3827</v>
      </c>
      <c r="D307" s="1">
        <v>1.93065</v>
      </c>
      <c r="E307" s="1">
        <v>0.89990700000000001</v>
      </c>
      <c r="F307" s="1"/>
    </row>
    <row r="308" spans="1:6" x14ac:dyDescent="0.25">
      <c r="A308">
        <v>154</v>
      </c>
      <c r="B308" s="1">
        <v>545.42700000000002</v>
      </c>
      <c r="C308" s="1">
        <v>21.421600000000002</v>
      </c>
      <c r="D308" s="1">
        <v>1.90771</v>
      </c>
      <c r="E308" s="1">
        <v>0.88953800000000005</v>
      </c>
      <c r="F308" s="1"/>
    </row>
    <row r="309" spans="1:6" x14ac:dyDescent="0.25">
      <c r="A309">
        <v>155</v>
      </c>
      <c r="B309" s="1">
        <v>551.80499999999995</v>
      </c>
      <c r="C309" s="1">
        <v>21.4602</v>
      </c>
      <c r="D309" s="1">
        <v>1.8849400000000001</v>
      </c>
      <c r="E309" s="1">
        <v>0.87914999999999999</v>
      </c>
      <c r="F309" s="1"/>
    </row>
    <row r="310" spans="1:6" x14ac:dyDescent="0.25">
      <c r="A310">
        <v>156</v>
      </c>
      <c r="B310" s="1">
        <v>558.19299999999998</v>
      </c>
      <c r="C310" s="1">
        <v>21.4984</v>
      </c>
      <c r="D310" s="1">
        <v>1.86236</v>
      </c>
      <c r="E310" s="1">
        <v>0.86876799999999998</v>
      </c>
      <c r="F310" s="1"/>
    </row>
    <row r="311" spans="1:6" x14ac:dyDescent="0.25">
      <c r="A311">
        <v>157</v>
      </c>
      <c r="B311" s="1">
        <v>564.59199999999998</v>
      </c>
      <c r="C311" s="1">
        <v>21.536200000000001</v>
      </c>
      <c r="D311" s="1">
        <v>1.8399700000000001</v>
      </c>
      <c r="E311" s="1">
        <v>0.85841699999999999</v>
      </c>
      <c r="F311" s="1"/>
    </row>
    <row r="312" spans="1:6" x14ac:dyDescent="0.25">
      <c r="A312">
        <v>158</v>
      </c>
      <c r="B312" s="1">
        <v>571.00199999999995</v>
      </c>
      <c r="C312" s="1">
        <v>21.573599999999999</v>
      </c>
      <c r="D312" s="1">
        <v>1.81776</v>
      </c>
      <c r="E312" s="1">
        <v>0.84811000000000003</v>
      </c>
      <c r="F312" s="1"/>
    </row>
    <row r="313" spans="1:6" x14ac:dyDescent="0.25">
      <c r="A313">
        <v>159</v>
      </c>
      <c r="B313" s="1">
        <v>577.42200000000003</v>
      </c>
      <c r="C313" s="1">
        <v>21.610700000000001</v>
      </c>
      <c r="D313" s="1">
        <v>1.79573</v>
      </c>
      <c r="E313" s="1">
        <v>0.83785100000000001</v>
      </c>
      <c r="F313" s="1"/>
    </row>
    <row r="314" spans="1:6" x14ac:dyDescent="0.25">
      <c r="A314">
        <v>160</v>
      </c>
      <c r="B314" s="1">
        <v>583.85299999999995</v>
      </c>
      <c r="C314" s="1">
        <v>21.647400000000001</v>
      </c>
      <c r="D314" s="1">
        <v>1.77386</v>
      </c>
      <c r="E314" s="1">
        <v>0.82763299999999995</v>
      </c>
      <c r="F314" s="1"/>
    </row>
    <row r="315" spans="1:6" x14ac:dyDescent="0.25">
      <c r="A315">
        <v>161</v>
      </c>
      <c r="B315" s="1">
        <v>590.29300000000001</v>
      </c>
      <c r="C315" s="1">
        <v>21.683800000000002</v>
      </c>
      <c r="D315" s="1">
        <v>1.7521500000000001</v>
      </c>
      <c r="E315" s="1">
        <v>0.81743699999999997</v>
      </c>
      <c r="F315" s="1"/>
    </row>
    <row r="316" spans="1:6" x14ac:dyDescent="0.25">
      <c r="A316">
        <v>162</v>
      </c>
      <c r="B316" s="1">
        <v>596.74199999999996</v>
      </c>
      <c r="C316" s="1">
        <v>21.719799999999999</v>
      </c>
      <c r="D316" s="1">
        <v>1.7305699999999999</v>
      </c>
      <c r="E316" s="1">
        <v>0.80726399999999998</v>
      </c>
      <c r="F316" s="1"/>
    </row>
    <row r="317" spans="1:6" x14ac:dyDescent="0.25">
      <c r="A317">
        <v>163</v>
      </c>
      <c r="B317" s="1">
        <v>603.20100000000002</v>
      </c>
      <c r="C317" s="1">
        <v>21.755600000000001</v>
      </c>
      <c r="D317" s="1">
        <v>1.7090700000000001</v>
      </c>
      <c r="E317" s="1">
        <v>0.79715400000000003</v>
      </c>
      <c r="F317" s="1"/>
    </row>
    <row r="318" spans="1:6" x14ac:dyDescent="0.25">
      <c r="A318">
        <v>164</v>
      </c>
      <c r="B318" s="1">
        <v>609.66999999999996</v>
      </c>
      <c r="C318" s="1">
        <v>21.790900000000001</v>
      </c>
      <c r="D318" s="1">
        <v>1.6876500000000001</v>
      </c>
      <c r="E318" s="1">
        <v>0.78717099999999995</v>
      </c>
      <c r="F318" s="1"/>
    </row>
    <row r="319" spans="1:6" x14ac:dyDescent="0.25">
      <c r="A319">
        <v>165</v>
      </c>
      <c r="B319" s="1">
        <v>616.14700000000005</v>
      </c>
      <c r="C319" s="1">
        <v>21.826000000000001</v>
      </c>
      <c r="D319" s="1">
        <v>1.6662999999999999</v>
      </c>
      <c r="E319" s="1">
        <v>0.77734999999999999</v>
      </c>
      <c r="F319" s="1"/>
    </row>
    <row r="320" spans="1:6" x14ac:dyDescent="0.25">
      <c r="A320">
        <v>166</v>
      </c>
      <c r="B320" s="1">
        <v>622.63300000000004</v>
      </c>
      <c r="C320" s="1">
        <v>21.860800000000001</v>
      </c>
      <c r="D320" s="1">
        <v>1.64506</v>
      </c>
      <c r="E320" s="1">
        <v>0.76769100000000001</v>
      </c>
      <c r="F320" s="1"/>
    </row>
    <row r="321" spans="1:6" x14ac:dyDescent="0.25">
      <c r="A321">
        <v>167</v>
      </c>
      <c r="B321" s="1">
        <v>629.12800000000004</v>
      </c>
      <c r="C321" s="1">
        <v>21.895199999999999</v>
      </c>
      <c r="D321" s="1">
        <v>1.6239300000000001</v>
      </c>
      <c r="E321" s="1">
        <v>0.75817100000000004</v>
      </c>
      <c r="F321" s="1"/>
    </row>
    <row r="322" spans="1:6" x14ac:dyDescent="0.25">
      <c r="A322">
        <v>168</v>
      </c>
      <c r="B322" s="1">
        <v>635.63099999999997</v>
      </c>
      <c r="C322" s="1">
        <v>21.929300000000001</v>
      </c>
      <c r="D322" s="1">
        <v>1.60293</v>
      </c>
      <c r="E322" s="1">
        <v>0.74873900000000004</v>
      </c>
      <c r="F322" s="1"/>
    </row>
    <row r="323" spans="1:6" x14ac:dyDescent="0.25">
      <c r="A323">
        <v>169</v>
      </c>
      <c r="B323" s="1">
        <v>642.14300000000003</v>
      </c>
      <c r="C323" s="1">
        <v>21.963000000000001</v>
      </c>
      <c r="D323" s="1">
        <v>1.5820000000000001</v>
      </c>
      <c r="E323" s="1">
        <v>0.73933300000000002</v>
      </c>
      <c r="F323" s="1"/>
    </row>
    <row r="324" spans="1:6" x14ac:dyDescent="0.25">
      <c r="A324">
        <v>170</v>
      </c>
      <c r="B324" s="1">
        <v>648.66300000000001</v>
      </c>
      <c r="C324" s="1">
        <v>21.996400000000001</v>
      </c>
      <c r="D324" s="1">
        <v>1.56114</v>
      </c>
      <c r="E324" s="1">
        <v>0.72992100000000004</v>
      </c>
      <c r="F324" s="1"/>
    </row>
    <row r="325" spans="1:6" x14ac:dyDescent="0.25">
      <c r="A325">
        <v>171</v>
      </c>
      <c r="B325" s="1">
        <v>655.19100000000003</v>
      </c>
      <c r="C325" s="1">
        <v>22.029399999999999</v>
      </c>
      <c r="D325" s="1">
        <v>1.5403500000000001</v>
      </c>
      <c r="E325" s="1">
        <v>0.72050199999999998</v>
      </c>
      <c r="F325" s="1"/>
    </row>
    <row r="326" spans="1:6" x14ac:dyDescent="0.25">
      <c r="A326">
        <v>172</v>
      </c>
      <c r="B326" s="1">
        <v>661.72699999999998</v>
      </c>
      <c r="C326" s="1">
        <v>22.062100000000001</v>
      </c>
      <c r="D326" s="1">
        <v>1.51966</v>
      </c>
      <c r="E326" s="1">
        <v>0.71108300000000002</v>
      </c>
      <c r="F326" s="1"/>
    </row>
    <row r="327" spans="1:6" x14ac:dyDescent="0.25">
      <c r="A327">
        <v>173</v>
      </c>
      <c r="B327" s="1">
        <v>668.27200000000005</v>
      </c>
      <c r="C327" s="1">
        <v>22.0944</v>
      </c>
      <c r="D327" s="1">
        <v>1.4990699999999999</v>
      </c>
      <c r="E327" s="1">
        <v>0.70168900000000001</v>
      </c>
      <c r="F327" s="1"/>
    </row>
    <row r="328" spans="1:6" x14ac:dyDescent="0.25">
      <c r="A328">
        <v>174</v>
      </c>
      <c r="B328" s="1">
        <v>674.82399999999996</v>
      </c>
      <c r="C328" s="1">
        <v>22.126300000000001</v>
      </c>
      <c r="D328" s="1">
        <v>1.47855</v>
      </c>
      <c r="E328" s="1">
        <v>0.69236200000000003</v>
      </c>
      <c r="F328" s="1"/>
    </row>
    <row r="329" spans="1:6" x14ac:dyDescent="0.25">
      <c r="A329">
        <v>175</v>
      </c>
      <c r="B329" s="1">
        <v>681.38499999999999</v>
      </c>
      <c r="C329" s="1">
        <v>22.157800000000002</v>
      </c>
      <c r="D329" s="1">
        <v>1.4580900000000001</v>
      </c>
      <c r="E329" s="1">
        <v>0.68314200000000003</v>
      </c>
      <c r="F329" s="1"/>
    </row>
    <row r="330" spans="1:6" x14ac:dyDescent="0.25">
      <c r="A330">
        <v>176</v>
      </c>
      <c r="B330" s="1">
        <v>687.95299999999997</v>
      </c>
      <c r="C330" s="1">
        <v>22.189</v>
      </c>
      <c r="D330" s="1">
        <v>1.4376800000000001</v>
      </c>
      <c r="E330" s="1">
        <v>0.67406100000000002</v>
      </c>
      <c r="F330" s="1"/>
    </row>
    <row r="331" spans="1:6" x14ac:dyDescent="0.25">
      <c r="A331">
        <v>177</v>
      </c>
      <c r="B331" s="1">
        <v>694.529</v>
      </c>
      <c r="C331" s="1">
        <v>22.2197</v>
      </c>
      <c r="D331" s="1">
        <v>1.41734</v>
      </c>
      <c r="E331" s="1">
        <v>0.66513800000000001</v>
      </c>
      <c r="F331" s="1"/>
    </row>
    <row r="332" spans="1:6" x14ac:dyDescent="0.25">
      <c r="A332">
        <v>178</v>
      </c>
      <c r="B332" s="1">
        <v>701.11300000000006</v>
      </c>
      <c r="C332" s="1">
        <v>22.25</v>
      </c>
      <c r="D332" s="1">
        <v>1.39706</v>
      </c>
      <c r="E332" s="1">
        <v>0.65637999999999996</v>
      </c>
      <c r="F332" s="1"/>
    </row>
    <row r="333" spans="1:6" x14ac:dyDescent="0.25">
      <c r="A333">
        <v>179</v>
      </c>
      <c r="B333" s="1">
        <v>707.70500000000004</v>
      </c>
      <c r="C333" s="1">
        <v>22.279900000000001</v>
      </c>
      <c r="D333" s="1">
        <v>1.3768400000000001</v>
      </c>
      <c r="E333" s="1">
        <v>0.64777099999999999</v>
      </c>
      <c r="F333" s="1"/>
    </row>
    <row r="334" spans="1:6" x14ac:dyDescent="0.25">
      <c r="A334">
        <v>180</v>
      </c>
      <c r="B334" s="1">
        <v>714.30600000000004</v>
      </c>
      <c r="C334" s="1">
        <v>22.3094</v>
      </c>
      <c r="D334" s="1">
        <v>1.35666</v>
      </c>
      <c r="E334" s="1">
        <v>0.63929100000000005</v>
      </c>
      <c r="F334" s="1"/>
    </row>
    <row r="335" spans="1:6" x14ac:dyDescent="0.25">
      <c r="A335">
        <v>181</v>
      </c>
      <c r="B335" s="1">
        <v>720.91399999999999</v>
      </c>
      <c r="C335" s="1">
        <v>22.3384</v>
      </c>
      <c r="D335" s="1">
        <v>1.3364799999999999</v>
      </c>
      <c r="E335" s="1">
        <v>0.63092499999999996</v>
      </c>
      <c r="F335" s="1"/>
    </row>
    <row r="336" spans="1:6" x14ac:dyDescent="0.25">
      <c r="A336">
        <v>182</v>
      </c>
      <c r="B336" s="1">
        <v>727.53</v>
      </c>
      <c r="C336" s="1">
        <v>22.367000000000001</v>
      </c>
      <c r="D336" s="1">
        <v>1.3163199999999999</v>
      </c>
      <c r="E336" s="1">
        <v>0.622664</v>
      </c>
      <c r="F336" s="1"/>
    </row>
    <row r="337" spans="1:6" x14ac:dyDescent="0.25">
      <c r="A337">
        <v>183</v>
      </c>
      <c r="B337" s="1">
        <v>734.15499999999997</v>
      </c>
      <c r="C337" s="1">
        <v>22.395299999999999</v>
      </c>
      <c r="D337" s="1">
        <v>1.2962</v>
      </c>
      <c r="E337" s="1">
        <v>0.61449500000000001</v>
      </c>
      <c r="F337" s="1"/>
    </row>
    <row r="338" spans="1:6" x14ac:dyDescent="0.25">
      <c r="A338">
        <v>184</v>
      </c>
      <c r="B338" s="1">
        <v>740.78700000000003</v>
      </c>
      <c r="C338" s="1">
        <v>22.422999999999998</v>
      </c>
      <c r="D338" s="1">
        <v>1.27613</v>
      </c>
      <c r="E338" s="1">
        <v>0.606406</v>
      </c>
      <c r="F338" s="1"/>
    </row>
    <row r="339" spans="1:6" x14ac:dyDescent="0.25">
      <c r="A339">
        <v>185</v>
      </c>
      <c r="B339" s="1">
        <v>747.42899999999997</v>
      </c>
      <c r="C339" s="1">
        <v>22.450399999999998</v>
      </c>
      <c r="D339" s="1">
        <v>1.2561</v>
      </c>
      <c r="E339" s="1">
        <v>0.59840099999999996</v>
      </c>
      <c r="F339" s="1"/>
    </row>
    <row r="340" spans="1:6" x14ac:dyDescent="0.25">
      <c r="A340">
        <v>186</v>
      </c>
      <c r="B340" s="1">
        <v>754.07899999999995</v>
      </c>
      <c r="C340" s="1">
        <v>22.4773</v>
      </c>
      <c r="D340" s="1">
        <v>1.2360899999999999</v>
      </c>
      <c r="E340" s="1">
        <v>0.59048699999999998</v>
      </c>
      <c r="F340" s="1"/>
    </row>
    <row r="341" spans="1:6" x14ac:dyDescent="0.25">
      <c r="A341">
        <v>187</v>
      </c>
      <c r="B341" s="1">
        <v>760.73699999999997</v>
      </c>
      <c r="C341" s="1">
        <v>22.503799999999998</v>
      </c>
      <c r="D341" s="1">
        <v>1.2161200000000001</v>
      </c>
      <c r="E341" s="1">
        <v>0.582673</v>
      </c>
      <c r="F341" s="1"/>
    </row>
    <row r="342" spans="1:6" x14ac:dyDescent="0.25">
      <c r="A342">
        <v>188</v>
      </c>
      <c r="B342" s="1">
        <v>767.404</v>
      </c>
      <c r="C342" s="1">
        <v>22.529800000000002</v>
      </c>
      <c r="D342" s="1">
        <v>1.1962200000000001</v>
      </c>
      <c r="E342" s="1">
        <v>0.57498899999999997</v>
      </c>
      <c r="F342" s="1"/>
    </row>
    <row r="343" spans="1:6" x14ac:dyDescent="0.25">
      <c r="A343">
        <v>189</v>
      </c>
      <c r="B343" s="1">
        <v>774.08100000000002</v>
      </c>
      <c r="C343" s="1">
        <v>22.555299999999999</v>
      </c>
      <c r="D343" s="1">
        <v>1.17645</v>
      </c>
      <c r="E343" s="1">
        <v>0.56746399999999997</v>
      </c>
      <c r="F343" s="1"/>
    </row>
    <row r="344" spans="1:6" x14ac:dyDescent="0.25">
      <c r="A344">
        <v>190</v>
      </c>
      <c r="B344" s="1">
        <v>780.76700000000005</v>
      </c>
      <c r="C344" s="1">
        <v>22.580400000000001</v>
      </c>
      <c r="D344" s="1">
        <v>1.1568499999999999</v>
      </c>
      <c r="E344" s="1">
        <v>0.56011900000000003</v>
      </c>
      <c r="F344" s="1"/>
    </row>
    <row r="345" spans="1:6" x14ac:dyDescent="0.25">
      <c r="A345">
        <v>191</v>
      </c>
      <c r="B345" s="1">
        <v>787.46199999999999</v>
      </c>
      <c r="C345" s="1">
        <v>22.605</v>
      </c>
      <c r="D345" s="1">
        <v>1.1374299999999999</v>
      </c>
      <c r="E345" s="1">
        <v>0.55295399999999995</v>
      </c>
      <c r="F345" s="1"/>
    </row>
    <row r="346" spans="1:6" x14ac:dyDescent="0.25">
      <c r="A346">
        <v>192</v>
      </c>
      <c r="B346" s="1">
        <v>794.16700000000003</v>
      </c>
      <c r="C346" s="1">
        <v>22.629100000000001</v>
      </c>
      <c r="D346" s="1">
        <v>1.11819</v>
      </c>
      <c r="E346" s="1">
        <v>0.54596</v>
      </c>
      <c r="F346" s="1"/>
    </row>
    <row r="347" spans="1:6" x14ac:dyDescent="0.25">
      <c r="A347">
        <v>193</v>
      </c>
      <c r="B347" s="1">
        <v>800.88099999999997</v>
      </c>
      <c r="C347" s="1">
        <v>22.652699999999999</v>
      </c>
      <c r="D347" s="1">
        <v>1.0991200000000001</v>
      </c>
      <c r="E347" s="1">
        <v>0.53912899999999997</v>
      </c>
      <c r="F347" s="1"/>
    </row>
    <row r="348" spans="1:6" x14ac:dyDescent="0.25">
      <c r="A348">
        <v>194</v>
      </c>
      <c r="B348" s="1">
        <v>807.60599999999999</v>
      </c>
      <c r="C348" s="1">
        <v>22.675799999999999</v>
      </c>
      <c r="D348" s="1">
        <v>1.08023</v>
      </c>
      <c r="E348" s="1">
        <v>0.532443</v>
      </c>
      <c r="F348" s="1"/>
    </row>
    <row r="349" spans="1:6" x14ac:dyDescent="0.25">
      <c r="A349">
        <v>195</v>
      </c>
      <c r="B349" s="1">
        <v>814.34199999999998</v>
      </c>
      <c r="C349" s="1">
        <v>22.6983</v>
      </c>
      <c r="D349" s="1">
        <v>1.06155</v>
      </c>
      <c r="E349" s="1">
        <v>0.52589900000000001</v>
      </c>
      <c r="F349" s="1"/>
    </row>
    <row r="350" spans="1:6" x14ac:dyDescent="0.25">
      <c r="A350">
        <v>196</v>
      </c>
      <c r="B350" s="1">
        <v>821.08799999999997</v>
      </c>
      <c r="C350" s="1">
        <v>22.720300000000002</v>
      </c>
      <c r="D350" s="1">
        <v>1.0431299999999999</v>
      </c>
      <c r="E350" s="1">
        <v>0.51951000000000003</v>
      </c>
      <c r="F350" s="1"/>
    </row>
    <row r="351" spans="1:6" x14ac:dyDescent="0.25">
      <c r="A351">
        <v>197</v>
      </c>
      <c r="B351" s="1">
        <v>827.846</v>
      </c>
      <c r="C351" s="1">
        <v>22.741599999999998</v>
      </c>
      <c r="D351" s="1">
        <v>1.02505</v>
      </c>
      <c r="E351" s="1">
        <v>0.51328399999999996</v>
      </c>
      <c r="F351" s="1"/>
    </row>
    <row r="352" spans="1:6" x14ac:dyDescent="0.25">
      <c r="A352">
        <v>198</v>
      </c>
      <c r="B352" s="1">
        <v>834.61500000000001</v>
      </c>
      <c r="C352" s="1">
        <v>22.762499999999999</v>
      </c>
      <c r="D352" s="1">
        <v>1.00732</v>
      </c>
      <c r="E352" s="1">
        <v>0.50722999999999996</v>
      </c>
      <c r="F352" s="1"/>
    </row>
    <row r="353" spans="1:6" x14ac:dyDescent="0.25">
      <c r="A353">
        <v>199</v>
      </c>
      <c r="B353" s="1">
        <v>841.39599999999996</v>
      </c>
      <c r="C353" s="1">
        <v>22.782699999999998</v>
      </c>
      <c r="D353" s="1">
        <v>0.989923</v>
      </c>
      <c r="E353" s="1">
        <v>0.50134000000000001</v>
      </c>
      <c r="F353" s="1"/>
    </row>
    <row r="354" spans="1:6" x14ac:dyDescent="0.25">
      <c r="A354">
        <v>200</v>
      </c>
      <c r="B354" s="1">
        <v>848.18899999999996</v>
      </c>
      <c r="C354" s="1">
        <v>22.802199999999999</v>
      </c>
      <c r="D354" s="1">
        <v>0.97286399999999995</v>
      </c>
      <c r="E354" s="1">
        <v>0.49559900000000001</v>
      </c>
      <c r="F354" s="1"/>
    </row>
    <row r="355" spans="1:6" x14ac:dyDescent="0.25">
      <c r="A355">
        <v>201</v>
      </c>
      <c r="B355" s="1">
        <v>854.995</v>
      </c>
      <c r="C355" s="1">
        <v>22.821200000000001</v>
      </c>
      <c r="D355" s="1">
        <v>0.95613700000000001</v>
      </c>
      <c r="E355" s="1">
        <v>0.49000899999999997</v>
      </c>
      <c r="F355" s="1"/>
    </row>
    <row r="356" spans="1:6" x14ac:dyDescent="0.25">
      <c r="A356">
        <v>202</v>
      </c>
      <c r="B356" s="1">
        <v>861.81399999999996</v>
      </c>
      <c r="C356" s="1">
        <v>22.839500000000001</v>
      </c>
      <c r="D356" s="1">
        <v>0.93973899999999999</v>
      </c>
      <c r="E356" s="1">
        <v>0.48458200000000001</v>
      </c>
      <c r="F356" s="1"/>
    </row>
    <row r="357" spans="1:6" x14ac:dyDescent="0.25">
      <c r="A357">
        <v>203</v>
      </c>
      <c r="B357" s="1">
        <v>868.64599999999996</v>
      </c>
      <c r="C357" s="1">
        <v>22.857199999999999</v>
      </c>
      <c r="D357" s="1">
        <v>0.92369699999999999</v>
      </c>
      <c r="E357" s="1">
        <v>0.47933999999999999</v>
      </c>
      <c r="F357" s="1"/>
    </row>
    <row r="358" spans="1:6" x14ac:dyDescent="0.25">
      <c r="A358">
        <v>204</v>
      </c>
      <c r="B358" s="1">
        <v>875.49300000000005</v>
      </c>
      <c r="C358" s="1">
        <v>22.874199999999998</v>
      </c>
      <c r="D358" s="1">
        <v>0.90807700000000002</v>
      </c>
      <c r="E358" s="1">
        <v>0.47429900000000003</v>
      </c>
      <c r="F358" s="1"/>
    </row>
    <row r="359" spans="1:6" x14ac:dyDescent="0.25">
      <c r="A359">
        <v>205</v>
      </c>
      <c r="B359" s="1">
        <v>882.35400000000004</v>
      </c>
      <c r="C359" s="1">
        <v>22.890499999999999</v>
      </c>
      <c r="D359" s="1">
        <v>0.89295400000000003</v>
      </c>
      <c r="E359" s="1">
        <v>0.46946599999999999</v>
      </c>
      <c r="F359" s="1"/>
    </row>
    <row r="360" spans="1:6" x14ac:dyDescent="0.25">
      <c r="A360">
        <v>206</v>
      </c>
      <c r="B360" s="1">
        <v>889.23</v>
      </c>
      <c r="C360" s="1">
        <v>22.906199999999998</v>
      </c>
      <c r="D360" s="1">
        <v>0.87837399999999999</v>
      </c>
      <c r="E360" s="1">
        <v>0.46483400000000002</v>
      </c>
      <c r="F360" s="1"/>
    </row>
    <row r="361" spans="1:6" x14ac:dyDescent="0.25">
      <c r="A361">
        <v>207</v>
      </c>
      <c r="B361" s="1">
        <v>896.12099999999998</v>
      </c>
      <c r="C361" s="1">
        <v>22.921199999999999</v>
      </c>
      <c r="D361" s="1">
        <v>0.86435099999999998</v>
      </c>
      <c r="E361" s="1">
        <v>0.46038699999999999</v>
      </c>
      <c r="F361" s="1"/>
    </row>
    <row r="362" spans="1:6" x14ac:dyDescent="0.25">
      <c r="A362">
        <v>208</v>
      </c>
      <c r="B362" s="1">
        <v>903.029</v>
      </c>
      <c r="C362" s="1">
        <v>22.935400000000001</v>
      </c>
      <c r="D362" s="1">
        <v>0.85089599999999999</v>
      </c>
      <c r="E362" s="1">
        <v>0.45611200000000002</v>
      </c>
      <c r="F362" s="1"/>
    </row>
    <row r="363" spans="1:6" x14ac:dyDescent="0.25">
      <c r="A363">
        <v>209</v>
      </c>
      <c r="B363" s="1">
        <v>909.95399999999995</v>
      </c>
      <c r="C363" s="1">
        <v>22.949000000000002</v>
      </c>
      <c r="D363" s="1">
        <v>0.83802900000000002</v>
      </c>
      <c r="E363" s="1">
        <v>0.45200200000000001</v>
      </c>
      <c r="F363" s="1"/>
    </row>
    <row r="364" spans="1:6" x14ac:dyDescent="0.25">
      <c r="A364">
        <v>210</v>
      </c>
      <c r="B364" s="1">
        <v>916.89599999999996</v>
      </c>
      <c r="C364" s="1">
        <v>22.9619</v>
      </c>
      <c r="D364" s="1">
        <v>0.82578700000000005</v>
      </c>
      <c r="E364" s="1">
        <v>0.448046</v>
      </c>
      <c r="F364" s="1"/>
    </row>
    <row r="365" spans="1:6" x14ac:dyDescent="0.25">
      <c r="A365">
        <v>211</v>
      </c>
      <c r="B365" s="1">
        <v>923.85699999999997</v>
      </c>
      <c r="C365" s="1">
        <v>22.9741</v>
      </c>
      <c r="D365" s="1">
        <v>0.81420599999999999</v>
      </c>
      <c r="E365" s="1">
        <v>0.44424200000000003</v>
      </c>
      <c r="F365" s="1"/>
    </row>
    <row r="366" spans="1:6" x14ac:dyDescent="0.25">
      <c r="A366">
        <v>212</v>
      </c>
      <c r="B366" s="1">
        <v>930.83600000000001</v>
      </c>
      <c r="C366" s="1">
        <v>22.985499999999998</v>
      </c>
      <c r="D366" s="1">
        <v>0.80330199999999996</v>
      </c>
      <c r="E366" s="1">
        <v>0.44060199999999999</v>
      </c>
      <c r="F366" s="1"/>
    </row>
    <row r="367" spans="1:6" x14ac:dyDescent="0.25">
      <c r="A367">
        <v>213</v>
      </c>
      <c r="B367" s="1">
        <v>937.83399999999995</v>
      </c>
      <c r="C367" s="1">
        <v>22.996099999999998</v>
      </c>
      <c r="D367" s="1">
        <v>0.79309200000000002</v>
      </c>
      <c r="E367" s="1">
        <v>0.43713999999999997</v>
      </c>
      <c r="F367" s="1"/>
    </row>
    <row r="368" spans="1:6" x14ac:dyDescent="0.25">
      <c r="A368">
        <v>214</v>
      </c>
      <c r="B368" s="1">
        <v>944.85299999999995</v>
      </c>
      <c r="C368" s="1">
        <v>23.0059</v>
      </c>
      <c r="D368" s="1">
        <v>0.78359299999999998</v>
      </c>
      <c r="E368" s="1">
        <v>0.43387900000000001</v>
      </c>
      <c r="F368" s="1"/>
    </row>
    <row r="369" spans="1:6" x14ac:dyDescent="0.25">
      <c r="A369">
        <v>215</v>
      </c>
      <c r="B369" s="1">
        <v>951.89300000000003</v>
      </c>
      <c r="C369" s="1">
        <v>23.014900000000001</v>
      </c>
      <c r="D369" s="1">
        <v>0.77483199999999997</v>
      </c>
      <c r="E369" s="1">
        <v>0.43083900000000003</v>
      </c>
      <c r="F369" s="1"/>
    </row>
    <row r="370" spans="1:6" x14ac:dyDescent="0.25">
      <c r="A370">
        <v>216</v>
      </c>
      <c r="B370" s="1">
        <v>958.95500000000004</v>
      </c>
      <c r="C370" s="1">
        <v>23.023</v>
      </c>
      <c r="D370" s="1">
        <v>0.76683900000000005</v>
      </c>
      <c r="E370" s="1">
        <v>0.42802400000000002</v>
      </c>
      <c r="F370" s="1"/>
    </row>
    <row r="371" spans="1:6" x14ac:dyDescent="0.25">
      <c r="A371">
        <v>217</v>
      </c>
      <c r="B371" s="1">
        <v>966.04</v>
      </c>
      <c r="C371" s="1">
        <v>23.0303</v>
      </c>
      <c r="D371" s="1">
        <v>0.75965199999999999</v>
      </c>
      <c r="E371" s="1">
        <v>0.42542999999999997</v>
      </c>
      <c r="F371" s="1"/>
    </row>
    <row r="372" spans="1:6" x14ac:dyDescent="0.25">
      <c r="A372">
        <v>218</v>
      </c>
      <c r="B372" s="1">
        <v>973.149</v>
      </c>
      <c r="C372" s="1">
        <v>23.0367</v>
      </c>
      <c r="D372" s="1">
        <v>0.753305</v>
      </c>
      <c r="E372" s="1">
        <v>0.42307400000000001</v>
      </c>
      <c r="F372" s="1"/>
    </row>
    <row r="373" spans="1:6" x14ac:dyDescent="0.25">
      <c r="A373">
        <v>219</v>
      </c>
      <c r="B373" s="1">
        <v>980.28200000000004</v>
      </c>
      <c r="C373" s="1">
        <v>23.042300000000001</v>
      </c>
      <c r="D373" s="1">
        <v>0.74782400000000004</v>
      </c>
      <c r="E373" s="1">
        <v>0.42097299999999999</v>
      </c>
      <c r="F373" s="1"/>
    </row>
    <row r="374" spans="1:6" x14ac:dyDescent="0.25">
      <c r="A374">
        <v>220</v>
      </c>
      <c r="B374" s="1">
        <v>987.44100000000003</v>
      </c>
      <c r="C374" s="1">
        <v>23.047000000000001</v>
      </c>
      <c r="D374" s="1">
        <v>0.74322900000000003</v>
      </c>
      <c r="E374" s="1">
        <v>0.419153</v>
      </c>
      <c r="F374" s="1"/>
    </row>
    <row r="375" spans="1:6" x14ac:dyDescent="0.25">
      <c r="A375">
        <v>221</v>
      </c>
      <c r="B375" s="1">
        <v>994.62699999999995</v>
      </c>
      <c r="C375" s="1">
        <v>23.050799999999999</v>
      </c>
      <c r="D375" s="1">
        <v>0.739541</v>
      </c>
      <c r="E375" s="1">
        <v>0.417657</v>
      </c>
      <c r="F375" s="1"/>
    </row>
    <row r="376" spans="1:6" x14ac:dyDescent="0.25">
      <c r="A376">
        <v>222</v>
      </c>
      <c r="B376" s="1">
        <v>1001.84</v>
      </c>
      <c r="C376" s="1">
        <v>23.053699999999999</v>
      </c>
      <c r="D376" s="1">
        <v>0.73677599999999999</v>
      </c>
      <c r="E376" s="1">
        <v>0.416522</v>
      </c>
      <c r="F376" s="1"/>
    </row>
    <row r="377" spans="1:6" x14ac:dyDescent="0.25">
      <c r="A377">
        <v>223</v>
      </c>
      <c r="B377" s="1">
        <v>1009.08</v>
      </c>
      <c r="C377" s="1">
        <v>23.055700000000002</v>
      </c>
      <c r="D377" s="1">
        <v>0.73493299999999995</v>
      </c>
      <c r="E377" s="1">
        <v>0.41576999999999997</v>
      </c>
      <c r="F377" s="1"/>
    </row>
    <row r="378" spans="1:6" x14ac:dyDescent="0.25">
      <c r="A378">
        <v>224</v>
      </c>
      <c r="B378" s="1">
        <v>1016.36</v>
      </c>
      <c r="C378" s="1">
        <v>23.056699999999999</v>
      </c>
      <c r="D378" s="1">
        <v>0.73401099999999997</v>
      </c>
      <c r="E378" s="1">
        <v>0.41540300000000002</v>
      </c>
      <c r="F378" s="1"/>
    </row>
    <row r="379" spans="1:6" x14ac:dyDescent="0.25">
      <c r="B379" s="1"/>
      <c r="C379" s="1"/>
      <c r="D379" s="1"/>
      <c r="E379" s="1"/>
      <c r="F379" s="1"/>
    </row>
    <row r="380" spans="1:6" x14ac:dyDescent="0.25">
      <c r="B380" s="1" t="s">
        <v>369</v>
      </c>
      <c r="C380" s="1" t="s">
        <v>370</v>
      </c>
      <c r="D380" s="1" t="s">
        <v>373</v>
      </c>
      <c r="E380" s="1" t="s">
        <v>374</v>
      </c>
      <c r="F380" s="1"/>
    </row>
    <row r="381" spans="1:6" x14ac:dyDescent="0.25">
      <c r="A381">
        <v>1</v>
      </c>
      <c r="B381" s="1">
        <v>0.30789100000000003</v>
      </c>
      <c r="C381" s="1">
        <v>1.2763E-6</v>
      </c>
      <c r="D381" s="1">
        <v>3.1108600000000002E-5</v>
      </c>
      <c r="E381" s="1"/>
      <c r="F381" s="1"/>
    </row>
    <row r="382" spans="1:6" x14ac:dyDescent="0.25">
      <c r="A382">
        <v>2</v>
      </c>
      <c r="B382" s="1">
        <v>0.62376399999999999</v>
      </c>
      <c r="C382" s="1">
        <v>1.87046E-5</v>
      </c>
      <c r="D382" s="1">
        <v>2.6180000000000002E-4</v>
      </c>
      <c r="E382" s="1"/>
      <c r="F382" s="1"/>
    </row>
    <row r="383" spans="1:6" x14ac:dyDescent="0.25">
      <c r="A383">
        <v>3</v>
      </c>
      <c r="B383" s="1">
        <v>0.94890399999999997</v>
      </c>
      <c r="C383" s="1">
        <v>8.9758400000000004E-5</v>
      </c>
      <c r="D383" s="1">
        <v>9.3496900000000001E-4</v>
      </c>
      <c r="E383" s="1"/>
      <c r="F383" s="1"/>
    </row>
    <row r="384" spans="1:6" x14ac:dyDescent="0.25">
      <c r="A384">
        <v>4</v>
      </c>
      <c r="B384" s="1">
        <v>1.2846200000000001</v>
      </c>
      <c r="C384" s="1">
        <v>2.7177000000000001E-4</v>
      </c>
      <c r="D384" s="1">
        <v>2.3458799999999998E-3</v>
      </c>
      <c r="E384" s="1"/>
      <c r="F384" s="1"/>
    </row>
    <row r="385" spans="1:6" x14ac:dyDescent="0.25">
      <c r="A385">
        <v>5</v>
      </c>
      <c r="B385" s="1">
        <v>1.63222</v>
      </c>
      <c r="C385" s="1">
        <v>6.3922100000000004E-4</v>
      </c>
      <c r="D385" s="1">
        <v>4.8421899999999997E-3</v>
      </c>
      <c r="E385" s="1"/>
      <c r="F385" s="1"/>
    </row>
    <row r="386" spans="1:6" x14ac:dyDescent="0.25">
      <c r="A386">
        <v>6</v>
      </c>
      <c r="B386" s="1">
        <v>1.99305</v>
      </c>
      <c r="C386" s="1">
        <v>1.2817499999999999E-3</v>
      </c>
      <c r="D386" s="1">
        <v>8.8182799999999995E-3</v>
      </c>
      <c r="E386" s="1"/>
      <c r="F386" s="1"/>
    </row>
    <row r="387" spans="1:6" x14ac:dyDescent="0.25">
      <c r="A387">
        <v>7</v>
      </c>
      <c r="B387" s="1">
        <v>2.3684599999999998</v>
      </c>
      <c r="C387" s="1">
        <v>2.3025400000000001E-3</v>
      </c>
      <c r="D387" s="1">
        <v>1.47029E-2</v>
      </c>
      <c r="E387" s="1"/>
      <c r="F387" s="1"/>
    </row>
    <row r="388" spans="1:6" x14ac:dyDescent="0.25">
      <c r="A388">
        <v>8</v>
      </c>
      <c r="B388" s="1">
        <v>2.7598099999999999</v>
      </c>
      <c r="C388" s="1">
        <v>3.8168199999999998E-3</v>
      </c>
      <c r="D388" s="1">
        <v>2.29404E-2</v>
      </c>
      <c r="E388" s="1"/>
      <c r="F388" s="1"/>
    </row>
    <row r="389" spans="1:6" x14ac:dyDescent="0.25">
      <c r="A389">
        <v>9</v>
      </c>
      <c r="B389" s="1">
        <v>3.1684600000000001</v>
      </c>
      <c r="C389" s="1">
        <v>5.9504299999999996E-3</v>
      </c>
      <c r="D389" s="1">
        <v>3.39654E-2</v>
      </c>
      <c r="E389" s="1"/>
      <c r="F389" s="1"/>
    </row>
    <row r="390" spans="1:6" x14ac:dyDescent="0.25">
      <c r="A390">
        <v>10</v>
      </c>
      <c r="B390" s="1">
        <v>3.59579</v>
      </c>
      <c r="C390" s="1">
        <v>8.8381399999999995E-3</v>
      </c>
      <c r="D390" s="1">
        <v>4.8173300000000002E-2</v>
      </c>
      <c r="E390" s="1"/>
      <c r="F390" s="1"/>
    </row>
    <row r="391" spans="1:6" x14ac:dyDescent="0.25">
      <c r="A391">
        <v>11</v>
      </c>
      <c r="B391" s="1">
        <v>4.0431600000000003</v>
      </c>
      <c r="C391" s="1">
        <v>1.26219E-2</v>
      </c>
      <c r="D391" s="1">
        <v>6.5888600000000005E-2</v>
      </c>
      <c r="E391" s="1"/>
      <c r="F391" s="1"/>
    </row>
    <row r="392" spans="1:6" x14ac:dyDescent="0.25">
      <c r="A392">
        <v>12</v>
      </c>
      <c r="B392" s="1">
        <v>4.5119699999999998</v>
      </c>
      <c r="C392" s="1">
        <v>1.7448999999999999E-2</v>
      </c>
      <c r="D392" s="1">
        <v>8.7334099999999998E-2</v>
      </c>
      <c r="E392" s="1"/>
      <c r="F392" s="1"/>
    </row>
    <row r="393" spans="1:6" x14ac:dyDescent="0.25">
      <c r="A393">
        <v>13</v>
      </c>
      <c r="B393" s="1">
        <v>5.0035800000000004</v>
      </c>
      <c r="C393" s="1">
        <v>2.34696E-2</v>
      </c>
      <c r="D393" s="1">
        <v>0.112605</v>
      </c>
      <c r="E393" s="1"/>
      <c r="F393" s="1"/>
    </row>
    <row r="394" spans="1:6" x14ac:dyDescent="0.25">
      <c r="A394">
        <v>14</v>
      </c>
      <c r="B394" s="1">
        <v>5.51938</v>
      </c>
      <c r="C394" s="1">
        <v>3.0834799999999999E-2</v>
      </c>
      <c r="D394" s="1">
        <v>0.14165</v>
      </c>
      <c r="E394" s="1"/>
      <c r="F394" s="1"/>
    </row>
    <row r="395" spans="1:6" x14ac:dyDescent="0.25">
      <c r="A395">
        <v>15</v>
      </c>
      <c r="B395" s="1">
        <v>6.0607199999999999</v>
      </c>
      <c r="C395" s="1">
        <v>3.9694100000000003E-2</v>
      </c>
      <c r="D395" s="1">
        <v>0.174266</v>
      </c>
      <c r="E395" s="1"/>
      <c r="F395" s="1"/>
    </row>
    <row r="396" spans="1:6" x14ac:dyDescent="0.25">
      <c r="A396">
        <v>16</v>
      </c>
      <c r="B396" s="1">
        <v>6.6289600000000002</v>
      </c>
      <c r="C396" s="1">
        <v>5.0192199999999999E-2</v>
      </c>
      <c r="D396" s="1">
        <v>0.21009800000000001</v>
      </c>
      <c r="E396" s="1"/>
      <c r="F396" s="1"/>
    </row>
    <row r="397" spans="1:6" x14ac:dyDescent="0.25">
      <c r="A397">
        <v>17</v>
      </c>
      <c r="B397" s="1">
        <v>7.22546</v>
      </c>
      <c r="C397" s="1">
        <v>6.2466800000000003E-2</v>
      </c>
      <c r="D397" s="1">
        <v>0.24865999999999999</v>
      </c>
      <c r="E397" s="1"/>
      <c r="F397" s="1"/>
    </row>
    <row r="398" spans="1:6" x14ac:dyDescent="0.25">
      <c r="A398">
        <v>18</v>
      </c>
      <c r="B398" s="1">
        <v>7.8515600000000001</v>
      </c>
      <c r="C398" s="1">
        <v>7.6644900000000002E-2</v>
      </c>
      <c r="D398" s="1">
        <v>0.28935699999999998</v>
      </c>
      <c r="E398" s="1"/>
      <c r="F398" s="1"/>
    </row>
    <row r="399" spans="1:6" x14ac:dyDescent="0.25">
      <c r="A399">
        <v>19</v>
      </c>
      <c r="B399" s="1">
        <v>8.5085899999999999</v>
      </c>
      <c r="C399" s="1">
        <v>9.2838699999999996E-2</v>
      </c>
      <c r="D399" s="1">
        <v>0.33152500000000001</v>
      </c>
      <c r="E399" s="1"/>
      <c r="F399" s="1"/>
    </row>
    <row r="400" spans="1:6" x14ac:dyDescent="0.25">
      <c r="A400">
        <v>20</v>
      </c>
      <c r="B400" s="1">
        <v>9.1978399999999993</v>
      </c>
      <c r="C400" s="1">
        <v>0.111142</v>
      </c>
      <c r="D400" s="1">
        <v>0.37446299999999999</v>
      </c>
      <c r="E400" s="1"/>
      <c r="F400" s="1"/>
    </row>
    <row r="401" spans="1:6" x14ac:dyDescent="0.25">
      <c r="A401">
        <v>21</v>
      </c>
      <c r="B401" s="1">
        <v>9.9206299999999992</v>
      </c>
      <c r="C401" s="1">
        <v>0.13162599999999999</v>
      </c>
      <c r="D401" s="1">
        <v>0.41747800000000002</v>
      </c>
      <c r="E401" s="1"/>
      <c r="F401" s="1"/>
    </row>
    <row r="402" spans="1:6" x14ac:dyDescent="0.25">
      <c r="A402">
        <v>22</v>
      </c>
      <c r="B402" s="1">
        <v>10.6782</v>
      </c>
      <c r="C402" s="1">
        <v>0.154332</v>
      </c>
      <c r="D402" s="1">
        <v>0.45992</v>
      </c>
      <c r="E402" s="1"/>
      <c r="F402" s="1"/>
    </row>
    <row r="403" spans="1:6" x14ac:dyDescent="0.25">
      <c r="A403">
        <v>23</v>
      </c>
      <c r="B403" s="1">
        <v>11.4719</v>
      </c>
      <c r="C403" s="1">
        <v>0.17927199999999999</v>
      </c>
      <c r="D403" s="1">
        <v>0.50120799999999999</v>
      </c>
      <c r="E403" s="1"/>
      <c r="F403" s="1"/>
    </row>
    <row r="404" spans="1:6" x14ac:dyDescent="0.25">
      <c r="A404">
        <v>24</v>
      </c>
      <c r="B404" s="1">
        <v>12.3028</v>
      </c>
      <c r="C404" s="1">
        <v>0.20641899999999999</v>
      </c>
      <c r="D404" s="1">
        <v>0.54085300000000003</v>
      </c>
      <c r="E404" s="1"/>
      <c r="F404" s="1"/>
    </row>
    <row r="405" spans="1:6" x14ac:dyDescent="0.25">
      <c r="A405">
        <v>25</v>
      </c>
      <c r="B405" s="1">
        <v>13.1723</v>
      </c>
      <c r="C405" s="1">
        <v>0.23571</v>
      </c>
      <c r="D405" s="1">
        <v>0.57846900000000001</v>
      </c>
      <c r="E405" s="1"/>
      <c r="F405" s="1"/>
    </row>
    <row r="406" spans="1:6" x14ac:dyDescent="0.25">
      <c r="A406">
        <v>26</v>
      </c>
      <c r="B406" s="1">
        <v>14.0815</v>
      </c>
      <c r="C406" s="1">
        <v>0.26704</v>
      </c>
      <c r="D406" s="1">
        <v>0.61377599999999999</v>
      </c>
      <c r="E406" s="1"/>
      <c r="F406" s="1"/>
    </row>
    <row r="407" spans="1:6" x14ac:dyDescent="0.25">
      <c r="A407">
        <v>27</v>
      </c>
      <c r="B407" s="1">
        <v>15.031499999999999</v>
      </c>
      <c r="C407" s="1">
        <v>0.300265</v>
      </c>
      <c r="D407" s="1">
        <v>0.64659299999999997</v>
      </c>
      <c r="E407" s="1"/>
      <c r="F407" s="1"/>
    </row>
    <row r="408" spans="1:6" x14ac:dyDescent="0.25">
      <c r="A408">
        <v>28</v>
      </c>
      <c r="B408" s="1">
        <v>16.023599999999998</v>
      </c>
      <c r="C408" s="1">
        <v>0.33520299999999997</v>
      </c>
      <c r="D408" s="1">
        <v>0.67683000000000004</v>
      </c>
      <c r="E408" s="1"/>
      <c r="F408" s="1"/>
    </row>
    <row r="409" spans="1:6" x14ac:dyDescent="0.25">
      <c r="A409">
        <v>29</v>
      </c>
      <c r="B409" s="1">
        <v>17.058800000000002</v>
      </c>
      <c r="C409" s="1">
        <v>0.37164000000000003</v>
      </c>
      <c r="D409" s="1">
        <v>0.70447300000000002</v>
      </c>
      <c r="E409" s="1"/>
      <c r="F409" s="1"/>
    </row>
    <row r="410" spans="1:6" x14ac:dyDescent="0.25">
      <c r="A410">
        <v>30</v>
      </c>
      <c r="B410" s="1">
        <v>18.138200000000001</v>
      </c>
      <c r="C410" s="1">
        <v>0.409333</v>
      </c>
      <c r="D410" s="1">
        <v>0.72956799999999999</v>
      </c>
      <c r="E410" s="1"/>
      <c r="F410" s="1"/>
    </row>
    <row r="411" spans="1:6" x14ac:dyDescent="0.25">
      <c r="A411">
        <v>31</v>
      </c>
      <c r="B411" s="1">
        <v>19.262899999999998</v>
      </c>
      <c r="C411" s="1">
        <v>0.448015</v>
      </c>
      <c r="D411" s="1">
        <v>0.75220799999999999</v>
      </c>
      <c r="E411" s="1"/>
      <c r="F411" s="1"/>
    </row>
    <row r="412" spans="1:6" x14ac:dyDescent="0.25">
      <c r="A412">
        <v>32</v>
      </c>
      <c r="B412" s="1">
        <v>20.433900000000001</v>
      </c>
      <c r="C412" s="1">
        <v>0.48740800000000001</v>
      </c>
      <c r="D412" s="1">
        <v>0.77251999999999998</v>
      </c>
    </row>
    <row r="413" spans="1:6" x14ac:dyDescent="0.25">
      <c r="A413">
        <v>33</v>
      </c>
      <c r="B413" s="1">
        <v>21.652200000000001</v>
      </c>
      <c r="C413" s="1">
        <v>0.52722500000000005</v>
      </c>
      <c r="D413" s="1">
        <v>0.79064900000000005</v>
      </c>
    </row>
    <row r="414" spans="1:6" x14ac:dyDescent="0.25">
      <c r="A414">
        <v>34</v>
      </c>
      <c r="B414" s="1">
        <v>22.918700000000001</v>
      </c>
      <c r="C414" s="1">
        <v>0.56717600000000001</v>
      </c>
      <c r="D414" s="1">
        <v>0.80675200000000002</v>
      </c>
      <c r="E414" s="1"/>
    </row>
    <row r="415" spans="1:6" x14ac:dyDescent="0.25">
      <c r="A415">
        <v>35</v>
      </c>
      <c r="B415" s="1">
        <v>24.234500000000001</v>
      </c>
      <c r="C415" s="1">
        <v>0.60698200000000002</v>
      </c>
      <c r="D415" s="1">
        <v>0.82099200000000006</v>
      </c>
      <c r="E415" s="1"/>
    </row>
    <row r="416" spans="1:6" x14ac:dyDescent="0.25">
      <c r="A416">
        <v>36</v>
      </c>
      <c r="B416" s="1">
        <v>25.6004</v>
      </c>
      <c r="C416" s="1">
        <v>0.64637100000000003</v>
      </c>
      <c r="D416" s="1">
        <v>0.83352800000000005</v>
      </c>
      <c r="E416" s="1"/>
    </row>
    <row r="417" spans="1:5" x14ac:dyDescent="0.25">
      <c r="A417">
        <v>37</v>
      </c>
      <c r="B417" s="1">
        <v>27.017299999999999</v>
      </c>
      <c r="C417" s="1">
        <v>0.68509399999999998</v>
      </c>
      <c r="D417" s="1">
        <v>0.84451600000000004</v>
      </c>
      <c r="E417" s="1"/>
    </row>
    <row r="418" spans="1:5" x14ac:dyDescent="0.25">
      <c r="A418">
        <v>38</v>
      </c>
      <c r="B418" s="1">
        <v>28.4861</v>
      </c>
      <c r="C418" s="1">
        <v>0.72291700000000003</v>
      </c>
      <c r="D418" s="1">
        <v>0.85409900000000005</v>
      </c>
      <c r="E418" s="1"/>
    </row>
    <row r="419" spans="1:5" x14ac:dyDescent="0.25">
      <c r="A419">
        <v>39</v>
      </c>
      <c r="B419" s="1">
        <v>30.007400000000001</v>
      </c>
      <c r="C419" s="1">
        <v>0.75963499999999995</v>
      </c>
      <c r="D419" s="1">
        <v>0.86241599999999996</v>
      </c>
      <c r="E419" s="1"/>
    </row>
    <row r="420" spans="1:5" x14ac:dyDescent="0.25">
      <c r="A420">
        <v>40</v>
      </c>
      <c r="B420" s="1">
        <v>31.5822</v>
      </c>
      <c r="C420" s="1">
        <v>0.79506600000000005</v>
      </c>
      <c r="D420" s="1">
        <v>0.869591</v>
      </c>
      <c r="E420" s="1"/>
    </row>
    <row r="421" spans="1:5" x14ac:dyDescent="0.25">
      <c r="A421">
        <v>41</v>
      </c>
      <c r="B421" s="1">
        <v>33.211199999999998</v>
      </c>
      <c r="C421" s="1">
        <v>0.82905499999999999</v>
      </c>
      <c r="D421" s="1">
        <v>0.87573999999999996</v>
      </c>
      <c r="E421" s="1"/>
    </row>
    <row r="422" spans="1:5" x14ac:dyDescent="0.25">
      <c r="A422">
        <v>42</v>
      </c>
      <c r="B422" s="1">
        <v>34.895000000000003</v>
      </c>
      <c r="C422" s="1">
        <v>0.86147799999999997</v>
      </c>
      <c r="D422" s="1">
        <v>0.88097000000000003</v>
      </c>
      <c r="E422" s="1"/>
    </row>
    <row r="423" spans="1:5" x14ac:dyDescent="0.25">
      <c r="A423">
        <v>43</v>
      </c>
      <c r="B423" s="1">
        <v>36.634399999999999</v>
      </c>
      <c r="C423" s="1">
        <v>0.892235</v>
      </c>
      <c r="D423" s="1">
        <v>0.88537699999999997</v>
      </c>
      <c r="E423" s="1"/>
    </row>
    <row r="424" spans="1:5" x14ac:dyDescent="0.25">
      <c r="A424">
        <v>44</v>
      </c>
      <c r="B424" s="1">
        <v>38.43</v>
      </c>
      <c r="C424" s="1">
        <v>0.92125400000000002</v>
      </c>
      <c r="D424" s="1">
        <v>0.88904499999999997</v>
      </c>
      <c r="E424" s="1"/>
    </row>
    <row r="425" spans="1:5" x14ac:dyDescent="0.25">
      <c r="A425">
        <v>45</v>
      </c>
      <c r="B425" s="1">
        <v>40.282299999999999</v>
      </c>
      <c r="C425" s="1">
        <v>0.948488</v>
      </c>
      <c r="D425" s="1">
        <v>0.89205199999999996</v>
      </c>
      <c r="E425" s="1"/>
    </row>
    <row r="426" spans="1:5" x14ac:dyDescent="0.25">
      <c r="A426">
        <v>46</v>
      </c>
      <c r="B426" s="1">
        <v>42.192</v>
      </c>
      <c r="C426" s="1">
        <v>0.97391099999999997</v>
      </c>
      <c r="D426" s="1">
        <v>0.89446899999999996</v>
      </c>
      <c r="E426" s="1"/>
    </row>
    <row r="427" spans="1:5" x14ac:dyDescent="0.25">
      <c r="A427">
        <v>47</v>
      </c>
      <c r="B427" s="1">
        <v>44.159599999999998</v>
      </c>
      <c r="C427" s="1">
        <v>0.99751599999999996</v>
      </c>
      <c r="D427" s="1">
        <v>0.89635900000000002</v>
      </c>
      <c r="E427" s="1"/>
    </row>
    <row r="428" spans="1:5" x14ac:dyDescent="0.25">
      <c r="A428">
        <v>48</v>
      </c>
      <c r="B428" s="1">
        <v>46.185600000000001</v>
      </c>
      <c r="C428" s="1">
        <v>1.0193099999999999</v>
      </c>
      <c r="D428" s="1">
        <v>0.89778199999999997</v>
      </c>
      <c r="E428" s="1"/>
    </row>
    <row r="429" spans="1:5" x14ac:dyDescent="0.25">
      <c r="A429">
        <v>49</v>
      </c>
      <c r="B429" s="1">
        <v>48.270400000000002</v>
      </c>
      <c r="C429" s="1">
        <v>1.0393300000000001</v>
      </c>
      <c r="D429" s="1">
        <v>0.89878800000000003</v>
      </c>
      <c r="E429" s="1"/>
    </row>
    <row r="430" spans="1:5" x14ac:dyDescent="0.25">
      <c r="A430">
        <v>50</v>
      </c>
      <c r="B430" s="1">
        <v>50.414499999999997</v>
      </c>
      <c r="C430" s="1">
        <v>1.05762</v>
      </c>
      <c r="D430" s="1">
        <v>0.89942299999999997</v>
      </c>
      <c r="E430" s="1"/>
    </row>
    <row r="431" spans="1:5" x14ac:dyDescent="0.25">
      <c r="A431">
        <v>51</v>
      </c>
      <c r="B431" s="1">
        <v>52.618299999999998</v>
      </c>
      <c r="C431" s="1">
        <v>1.0742100000000001</v>
      </c>
      <c r="D431" s="1">
        <v>0.89972700000000005</v>
      </c>
      <c r="E431" s="1"/>
    </row>
    <row r="432" spans="1:5" x14ac:dyDescent="0.25">
      <c r="A432">
        <v>52</v>
      </c>
      <c r="B432" s="1">
        <v>54.882100000000001</v>
      </c>
      <c r="C432" s="1">
        <v>1.08918</v>
      </c>
      <c r="D432" s="1">
        <v>0.899733</v>
      </c>
      <c r="E432" s="1"/>
    </row>
    <row r="433" spans="1:5" x14ac:dyDescent="0.25">
      <c r="A433">
        <v>53</v>
      </c>
      <c r="B433" s="1">
        <v>57.206200000000003</v>
      </c>
      <c r="C433" s="1">
        <v>1.1026100000000001</v>
      </c>
      <c r="D433" s="1">
        <v>0.89947100000000002</v>
      </c>
      <c r="E433" s="1"/>
    </row>
    <row r="434" spans="1:5" x14ac:dyDescent="0.25">
      <c r="A434">
        <v>54</v>
      </c>
      <c r="B434" s="1">
        <v>59.591000000000001</v>
      </c>
      <c r="C434" s="1">
        <v>1.1145700000000001</v>
      </c>
      <c r="D434" s="1">
        <v>0.89896500000000001</v>
      </c>
      <c r="E434" s="1"/>
    </row>
    <row r="435" spans="1:5" x14ac:dyDescent="0.25">
      <c r="A435">
        <v>55</v>
      </c>
      <c r="B435" s="1">
        <v>62.036700000000003</v>
      </c>
      <c r="C435" s="1">
        <v>1.12514</v>
      </c>
      <c r="D435" s="1">
        <v>0.89823799999999998</v>
      </c>
      <c r="E435" s="1"/>
    </row>
    <row r="436" spans="1:5" x14ac:dyDescent="0.25">
      <c r="A436">
        <v>56</v>
      </c>
      <c r="B436" s="1">
        <v>64.543499999999995</v>
      </c>
      <c r="C436" s="1">
        <v>1.1344099999999999</v>
      </c>
      <c r="D436" s="1">
        <v>0.89730900000000002</v>
      </c>
      <c r="E436" s="1"/>
    </row>
    <row r="437" spans="1:5" x14ac:dyDescent="0.25">
      <c r="A437">
        <v>57</v>
      </c>
      <c r="B437" s="1">
        <v>67.111699999999999</v>
      </c>
      <c r="C437" s="1">
        <v>1.14249</v>
      </c>
      <c r="D437" s="1">
        <v>0.89619800000000005</v>
      </c>
      <c r="E437" s="1"/>
    </row>
    <row r="438" spans="1:5" x14ac:dyDescent="0.25">
      <c r="A438">
        <v>58</v>
      </c>
      <c r="B438" s="1">
        <v>69.741200000000006</v>
      </c>
      <c r="C438" s="1">
        <v>1.1494500000000001</v>
      </c>
      <c r="D438" s="1">
        <v>0.89491900000000002</v>
      </c>
      <c r="E438" s="1"/>
    </row>
    <row r="439" spans="1:5" x14ac:dyDescent="0.25">
      <c r="A439">
        <v>59</v>
      </c>
      <c r="B439" s="1">
        <v>72.432400000000001</v>
      </c>
      <c r="C439" s="1">
        <v>1.1553899999999999</v>
      </c>
      <c r="D439" s="1">
        <v>0.893486</v>
      </c>
      <c r="E439" s="1"/>
    </row>
    <row r="440" spans="1:5" x14ac:dyDescent="0.25">
      <c r="A440">
        <v>60</v>
      </c>
      <c r="B440" s="1">
        <v>75.185199999999995</v>
      </c>
      <c r="C440" s="1">
        <v>1.16039</v>
      </c>
      <c r="D440" s="1">
        <v>0.89190800000000003</v>
      </c>
      <c r="E440" s="1"/>
    </row>
    <row r="441" spans="1:5" x14ac:dyDescent="0.25">
      <c r="A441">
        <v>61</v>
      </c>
      <c r="B441" s="1">
        <v>77.999700000000004</v>
      </c>
      <c r="C441" s="1">
        <v>1.16455</v>
      </c>
      <c r="D441" s="1">
        <v>0.89019300000000001</v>
      </c>
      <c r="E441" s="1"/>
    </row>
    <row r="442" spans="1:5" x14ac:dyDescent="0.25">
      <c r="A442">
        <v>62</v>
      </c>
      <c r="B442" s="1">
        <v>80.876000000000005</v>
      </c>
      <c r="C442" s="1">
        <v>1.1679299999999999</v>
      </c>
      <c r="D442" s="1">
        <v>0.888347</v>
      </c>
      <c r="E442" s="1"/>
    </row>
    <row r="443" spans="1:5" x14ac:dyDescent="0.25">
      <c r="A443">
        <v>63</v>
      </c>
      <c r="B443" s="1">
        <v>83.813900000000004</v>
      </c>
      <c r="C443" s="1">
        <v>1.1706000000000001</v>
      </c>
      <c r="D443" s="1">
        <v>0.886378</v>
      </c>
      <c r="E443" s="1"/>
    </row>
    <row r="444" spans="1:5" x14ac:dyDescent="0.25">
      <c r="A444">
        <v>64</v>
      </c>
      <c r="B444" s="1">
        <v>86.813599999999994</v>
      </c>
      <c r="C444" s="1">
        <v>1.1726300000000001</v>
      </c>
      <c r="D444" s="1">
        <v>0.884293</v>
      </c>
      <c r="E444" s="1"/>
    </row>
    <row r="445" spans="1:5" x14ac:dyDescent="0.25">
      <c r="A445">
        <v>65</v>
      </c>
      <c r="B445" s="1">
        <v>89.874899999999997</v>
      </c>
      <c r="C445" s="1">
        <v>1.17408</v>
      </c>
      <c r="D445" s="1">
        <v>0.88209800000000005</v>
      </c>
      <c r="E445" s="1"/>
    </row>
    <row r="446" spans="1:5" x14ac:dyDescent="0.25">
      <c r="A446">
        <v>66</v>
      </c>
      <c r="B446" s="1">
        <v>92.997600000000006</v>
      </c>
      <c r="C446" s="1">
        <v>1.175</v>
      </c>
      <c r="D446" s="1">
        <v>0.87980000000000003</v>
      </c>
      <c r="E446" s="1"/>
    </row>
    <row r="447" spans="1:5" x14ac:dyDescent="0.25">
      <c r="A447">
        <v>67</v>
      </c>
      <c r="B447" s="1">
        <v>96.181799999999996</v>
      </c>
      <c r="C447" s="1">
        <v>1.17544</v>
      </c>
      <c r="D447" s="1">
        <v>0.87740399999999996</v>
      </c>
      <c r="E447" s="1"/>
    </row>
    <row r="448" spans="1:5" x14ac:dyDescent="0.25">
      <c r="A448">
        <v>68</v>
      </c>
      <c r="B448" s="1">
        <v>99.427099999999996</v>
      </c>
      <c r="C448" s="1">
        <v>1.1754500000000001</v>
      </c>
      <c r="D448" s="1">
        <v>0.87491399999999997</v>
      </c>
      <c r="E448" s="1"/>
    </row>
    <row r="449" spans="1:8" x14ac:dyDescent="0.25">
      <c r="A449">
        <v>69</v>
      </c>
      <c r="B449" s="1">
        <v>102.733</v>
      </c>
      <c r="C449" s="1">
        <v>1.1750799999999999</v>
      </c>
      <c r="D449" s="1">
        <v>0.872332</v>
      </c>
      <c r="E449" s="1"/>
    </row>
    <row r="450" spans="1:8" x14ac:dyDescent="0.25">
      <c r="A450">
        <v>70</v>
      </c>
      <c r="B450" s="1">
        <v>106.101</v>
      </c>
      <c r="C450" s="1">
        <v>1.17435</v>
      </c>
      <c r="D450" s="1">
        <v>0.86965999999999999</v>
      </c>
      <c r="E450" s="1"/>
    </row>
    <row r="451" spans="1:8" x14ac:dyDescent="0.25">
      <c r="A451">
        <v>71</v>
      </c>
      <c r="B451" s="1">
        <v>109.52800000000001</v>
      </c>
      <c r="C451" s="1">
        <v>1.1733100000000001</v>
      </c>
      <c r="D451" s="1">
        <v>0.86690100000000003</v>
      </c>
      <c r="E451" s="1"/>
    </row>
    <row r="452" spans="1:8" x14ac:dyDescent="0.25">
      <c r="A452">
        <v>72</v>
      </c>
      <c r="B452" s="1">
        <v>113.01600000000001</v>
      </c>
      <c r="C452" s="1">
        <v>1.1719900000000001</v>
      </c>
      <c r="D452" s="1">
        <v>0.86405500000000002</v>
      </c>
      <c r="E452" s="1"/>
    </row>
    <row r="453" spans="1:8" x14ac:dyDescent="0.25">
      <c r="A453">
        <v>73</v>
      </c>
      <c r="B453" s="1">
        <v>116.56399999999999</v>
      </c>
      <c r="C453" s="1">
        <v>1.1704000000000001</v>
      </c>
      <c r="D453" s="1">
        <v>0.86112500000000003</v>
      </c>
      <c r="E453" s="1"/>
    </row>
    <row r="454" spans="1:8" x14ac:dyDescent="0.25">
      <c r="A454">
        <v>74</v>
      </c>
      <c r="B454" s="1">
        <v>120.172</v>
      </c>
      <c r="C454" s="1">
        <v>1.16856</v>
      </c>
      <c r="D454" s="1">
        <v>0.85811400000000004</v>
      </c>
      <c r="E454" s="1"/>
    </row>
    <row r="455" spans="1:8" x14ac:dyDescent="0.25">
      <c r="A455">
        <v>75</v>
      </c>
      <c r="B455" s="1">
        <v>123.839</v>
      </c>
      <c r="C455" s="1">
        <v>1.16649</v>
      </c>
      <c r="D455" s="1">
        <v>0.85502299999999998</v>
      </c>
      <c r="E455" s="1"/>
    </row>
    <row r="456" spans="1:8" x14ac:dyDescent="0.25">
      <c r="A456">
        <v>76</v>
      </c>
      <c r="B456" s="1">
        <v>127.56399999999999</v>
      </c>
      <c r="C456" s="1">
        <v>1.16421</v>
      </c>
      <c r="D456" s="1">
        <v>0.85185200000000005</v>
      </c>
      <c r="E456" s="1"/>
    </row>
    <row r="457" spans="1:8" x14ac:dyDescent="0.25">
      <c r="A457">
        <v>77</v>
      </c>
      <c r="B457" s="1">
        <v>131.34899999999999</v>
      </c>
      <c r="C457" s="1">
        <v>1.16174</v>
      </c>
      <c r="D457" s="1">
        <v>0.848603</v>
      </c>
      <c r="E457" s="1"/>
    </row>
    <row r="458" spans="1:8" x14ac:dyDescent="0.25">
      <c r="A458">
        <v>78</v>
      </c>
      <c r="B458" s="1">
        <v>135.191</v>
      </c>
      <c r="C458" s="1">
        <v>1.15909</v>
      </c>
      <c r="D458" s="1">
        <v>0.845279</v>
      </c>
      <c r="E458" s="1"/>
    </row>
    <row r="459" spans="1:8" x14ac:dyDescent="0.25">
      <c r="A459">
        <v>79</v>
      </c>
      <c r="B459" s="1">
        <v>139.09100000000001</v>
      </c>
      <c r="C459" s="1">
        <v>1.1562699999999999</v>
      </c>
      <c r="D459" s="1">
        <v>0.84188099999999999</v>
      </c>
      <c r="E459" s="1"/>
      <c r="F459" s="1"/>
      <c r="G459" s="1"/>
      <c r="H459" s="1"/>
    </row>
    <row r="460" spans="1:8" x14ac:dyDescent="0.25">
      <c r="A460">
        <v>80</v>
      </c>
      <c r="B460" s="1">
        <v>143.048</v>
      </c>
      <c r="C460" s="1">
        <v>1.1533100000000001</v>
      </c>
      <c r="D460" s="1">
        <v>0.83841399999999999</v>
      </c>
      <c r="E460" s="1"/>
      <c r="F460" s="1"/>
      <c r="G460" s="1"/>
      <c r="H460" s="1"/>
    </row>
    <row r="461" spans="1:8" x14ac:dyDescent="0.25">
      <c r="A461">
        <v>81</v>
      </c>
      <c r="B461" s="1">
        <v>147.06200000000001</v>
      </c>
      <c r="C461" s="1">
        <v>1.1501999999999999</v>
      </c>
      <c r="D461" s="1">
        <v>0.83487900000000004</v>
      </c>
      <c r="E461" s="1"/>
      <c r="F461" s="1"/>
      <c r="G461" s="1"/>
      <c r="H461" s="1"/>
    </row>
    <row r="462" spans="1:8" x14ac:dyDescent="0.25">
      <c r="A462">
        <v>82</v>
      </c>
      <c r="B462" s="1">
        <v>151.13200000000001</v>
      </c>
      <c r="C462" s="1">
        <v>1.14697</v>
      </c>
      <c r="D462" s="1">
        <v>0.83127300000000004</v>
      </c>
      <c r="E462" s="1"/>
      <c r="F462" s="1"/>
      <c r="G462" s="1"/>
      <c r="H462" s="1"/>
    </row>
    <row r="463" spans="1:8" x14ac:dyDescent="0.25">
      <c r="A463">
        <v>83</v>
      </c>
      <c r="B463" s="1">
        <v>155.25800000000001</v>
      </c>
      <c r="C463" s="1">
        <v>1.1436200000000001</v>
      </c>
      <c r="D463" s="1">
        <v>0.82759899999999997</v>
      </c>
      <c r="E463" s="1"/>
      <c r="F463" s="1"/>
      <c r="G463" s="1"/>
      <c r="H463" s="1"/>
    </row>
    <row r="464" spans="1:8" x14ac:dyDescent="0.25">
      <c r="A464">
        <v>84</v>
      </c>
      <c r="B464" s="1">
        <v>159.43899999999999</v>
      </c>
      <c r="C464" s="1">
        <v>1.1401699999999999</v>
      </c>
      <c r="D464" s="1">
        <v>0.82386000000000004</v>
      </c>
      <c r="E464" s="1"/>
      <c r="F464" s="1"/>
      <c r="G464" s="1"/>
      <c r="H464" s="1"/>
    </row>
    <row r="465" spans="1:8" x14ac:dyDescent="0.25">
      <c r="A465">
        <v>85</v>
      </c>
      <c r="B465" s="1">
        <v>163.67500000000001</v>
      </c>
      <c r="C465" s="1">
        <v>1.13662</v>
      </c>
      <c r="D465" s="1">
        <v>0.82005600000000001</v>
      </c>
      <c r="E465" s="1"/>
      <c r="F465" s="1"/>
      <c r="G465" s="1"/>
      <c r="H465" s="1"/>
    </row>
    <row r="466" spans="1:8" x14ac:dyDescent="0.25">
      <c r="A466">
        <v>86</v>
      </c>
      <c r="B466" s="1">
        <v>167.964</v>
      </c>
      <c r="C466" s="1">
        <v>1.13297</v>
      </c>
      <c r="D466" s="1">
        <v>0.81618500000000005</v>
      </c>
      <c r="E466" s="1"/>
      <c r="F466" s="1"/>
      <c r="G466" s="1"/>
      <c r="H466" s="1"/>
    </row>
    <row r="467" spans="1:8" x14ac:dyDescent="0.25">
      <c r="A467">
        <v>87</v>
      </c>
      <c r="B467" s="1">
        <v>172.30699999999999</v>
      </c>
      <c r="C467" s="1">
        <v>1.1292199999999999</v>
      </c>
      <c r="D467" s="1">
        <v>0.81225099999999995</v>
      </c>
      <c r="E467" s="1"/>
      <c r="F467" s="1"/>
      <c r="G467" s="1"/>
      <c r="H467" s="1"/>
    </row>
    <row r="468" spans="1:8" x14ac:dyDescent="0.25">
      <c r="A468">
        <v>88</v>
      </c>
      <c r="B468" s="1">
        <v>176.703</v>
      </c>
      <c r="C468" s="1">
        <v>1.12537</v>
      </c>
      <c r="D468" s="1">
        <v>0.80825400000000003</v>
      </c>
      <c r="E468" s="1"/>
      <c r="F468" s="1"/>
      <c r="G468" s="1"/>
      <c r="H468" s="1"/>
    </row>
    <row r="469" spans="1:8" x14ac:dyDescent="0.25">
      <c r="A469">
        <v>89</v>
      </c>
      <c r="B469" s="1">
        <v>181.15</v>
      </c>
      <c r="C469" s="1">
        <v>1.1214200000000001</v>
      </c>
      <c r="D469" s="1">
        <v>0.80419499999999999</v>
      </c>
      <c r="E469" s="1"/>
      <c r="F469" s="1"/>
      <c r="G469" s="1"/>
      <c r="H469" s="1"/>
    </row>
    <row r="470" spans="1:8" x14ac:dyDescent="0.25">
      <c r="A470">
        <v>90</v>
      </c>
      <c r="B470" s="1">
        <v>185.65</v>
      </c>
      <c r="C470" s="1">
        <v>1.1173900000000001</v>
      </c>
      <c r="D470" s="1">
        <v>0.80007600000000001</v>
      </c>
      <c r="E470" s="1"/>
      <c r="F470" s="1"/>
      <c r="G470" s="1"/>
      <c r="H470" s="1"/>
    </row>
    <row r="471" spans="1:8" x14ac:dyDescent="0.25">
      <c r="A471">
        <v>91</v>
      </c>
      <c r="B471" s="1">
        <v>190.2</v>
      </c>
      <c r="C471" s="1">
        <v>1.1132899999999999</v>
      </c>
      <c r="D471" s="1">
        <v>0.79589900000000002</v>
      </c>
      <c r="E471" s="1"/>
      <c r="F471" s="1"/>
      <c r="G471" s="1"/>
      <c r="H471" s="1"/>
    </row>
    <row r="472" spans="1:8" x14ac:dyDescent="0.25">
      <c r="A472">
        <v>92</v>
      </c>
      <c r="B472" s="1">
        <v>194.8</v>
      </c>
      <c r="C472" s="1">
        <v>1.1091200000000001</v>
      </c>
      <c r="D472" s="1">
        <v>0.79166499999999995</v>
      </c>
      <c r="E472" s="1"/>
      <c r="F472" s="1"/>
      <c r="G472" s="1"/>
      <c r="H472" s="1"/>
    </row>
    <row r="473" spans="1:8" x14ac:dyDescent="0.25">
      <c r="A473">
        <v>93</v>
      </c>
      <c r="B473" s="1">
        <v>199.45</v>
      </c>
      <c r="C473" s="1">
        <v>1.1048899999999999</v>
      </c>
      <c r="D473" s="1">
        <v>0.78737199999999996</v>
      </c>
      <c r="E473" s="1"/>
      <c r="F473" s="1"/>
      <c r="G473" s="1"/>
      <c r="H473" s="1"/>
    </row>
    <row r="474" spans="1:8" x14ac:dyDescent="0.25">
      <c r="A474">
        <v>94</v>
      </c>
      <c r="B474" s="1">
        <v>204.149</v>
      </c>
      <c r="C474" s="1">
        <v>1.1006100000000001</v>
      </c>
      <c r="D474" s="1">
        <v>0.78302099999999997</v>
      </c>
      <c r="E474" s="1"/>
      <c r="F474" s="1"/>
      <c r="G474" s="1"/>
      <c r="H474" s="1"/>
    </row>
    <row r="475" spans="1:8" x14ac:dyDescent="0.25">
      <c r="A475">
        <v>95</v>
      </c>
      <c r="B475" s="1">
        <v>208.89599999999999</v>
      </c>
      <c r="C475" s="1">
        <v>1.0962799999999999</v>
      </c>
      <c r="D475" s="1">
        <v>0.778613</v>
      </c>
      <c r="E475" s="1"/>
      <c r="F475" s="1"/>
      <c r="G475" s="1"/>
      <c r="H475" s="1"/>
    </row>
    <row r="476" spans="1:8" x14ac:dyDescent="0.25">
      <c r="A476">
        <v>96</v>
      </c>
      <c r="B476" s="1">
        <v>213.691</v>
      </c>
      <c r="C476" s="1">
        <v>1.09188</v>
      </c>
      <c r="D476" s="1">
        <v>0.77415100000000003</v>
      </c>
      <c r="E476" s="1"/>
      <c r="F476" s="1"/>
      <c r="G476" s="1"/>
      <c r="H476" s="1"/>
    </row>
    <row r="477" spans="1:8" x14ac:dyDescent="0.25">
      <c r="A477">
        <v>97</v>
      </c>
      <c r="B477" s="1">
        <v>218.53200000000001</v>
      </c>
      <c r="C477" s="1">
        <v>1.08741</v>
      </c>
      <c r="D477" s="1">
        <v>0.76963599999999999</v>
      </c>
      <c r="E477" s="1"/>
      <c r="F477" s="1"/>
      <c r="G477" s="1"/>
      <c r="H477" s="1"/>
    </row>
    <row r="478" spans="1:8" x14ac:dyDescent="0.25">
      <c r="A478">
        <v>98</v>
      </c>
      <c r="B478" s="1">
        <v>223.41900000000001</v>
      </c>
      <c r="C478" s="1">
        <v>1.0828599999999999</v>
      </c>
      <c r="D478" s="1">
        <v>0.76506799999999997</v>
      </c>
      <c r="E478" s="1"/>
      <c r="F478" s="1"/>
      <c r="G478" s="1"/>
      <c r="H478" s="1"/>
    </row>
    <row r="479" spans="1:8" x14ac:dyDescent="0.25">
      <c r="A479">
        <v>99</v>
      </c>
      <c r="B479" s="1">
        <v>228.352</v>
      </c>
      <c r="C479" s="1">
        <v>1.0782400000000001</v>
      </c>
      <c r="D479" s="1">
        <v>0.76044599999999996</v>
      </c>
      <c r="E479" s="1"/>
      <c r="F479" s="1"/>
      <c r="G479" s="1"/>
      <c r="H479" s="1"/>
    </row>
    <row r="480" spans="1:8" x14ac:dyDescent="0.25">
      <c r="A480">
        <v>100</v>
      </c>
      <c r="B480" s="1">
        <v>233.32900000000001</v>
      </c>
      <c r="C480" s="1">
        <v>1.0735300000000001</v>
      </c>
      <c r="D480" s="1">
        <v>0.75577099999999997</v>
      </c>
      <c r="E480" s="1"/>
      <c r="F480" s="1"/>
      <c r="G480" s="1"/>
      <c r="H480" s="1"/>
    </row>
    <row r="481" spans="1:8" x14ac:dyDescent="0.25">
      <c r="A481">
        <v>101</v>
      </c>
      <c r="B481" s="1">
        <v>238.35</v>
      </c>
      <c r="C481" s="1">
        <v>1.0687500000000001</v>
      </c>
      <c r="D481" s="1">
        <v>0.75104599999999999</v>
      </c>
      <c r="E481" s="1"/>
      <c r="F481" s="1"/>
      <c r="G481" s="1"/>
      <c r="H481" s="1"/>
    </row>
    <row r="482" spans="1:8" x14ac:dyDescent="0.25">
      <c r="A482">
        <v>102</v>
      </c>
      <c r="B482" s="1">
        <v>243.41499999999999</v>
      </c>
      <c r="C482" s="1">
        <v>1.0638799999999999</v>
      </c>
      <c r="D482" s="1">
        <v>0.74627399999999999</v>
      </c>
      <c r="E482" s="1"/>
      <c r="F482" s="1"/>
      <c r="G482" s="1"/>
      <c r="H482" s="1"/>
    </row>
    <row r="483" spans="1:8" x14ac:dyDescent="0.25">
      <c r="A483">
        <v>103</v>
      </c>
      <c r="B483" s="1">
        <v>248.52099999999999</v>
      </c>
      <c r="C483" s="1">
        <v>1.0589200000000001</v>
      </c>
      <c r="D483" s="1">
        <v>0.74145700000000003</v>
      </c>
      <c r="E483" s="1"/>
      <c r="F483" s="1"/>
      <c r="G483" s="1"/>
      <c r="H483" s="1"/>
    </row>
    <row r="484" spans="1:8" x14ac:dyDescent="0.25">
      <c r="A484">
        <v>104</v>
      </c>
      <c r="B484" s="1">
        <v>253.67</v>
      </c>
      <c r="C484" s="1">
        <v>1.0538799999999999</v>
      </c>
      <c r="D484" s="1">
        <v>0.736595</v>
      </c>
      <c r="E484" s="1"/>
      <c r="F484" s="1"/>
      <c r="G484" s="1"/>
      <c r="H484" s="1"/>
    </row>
    <row r="485" spans="1:8" x14ac:dyDescent="0.25">
      <c r="A485">
        <v>105</v>
      </c>
      <c r="B485" s="1">
        <v>258.85899999999998</v>
      </c>
      <c r="C485" s="1">
        <v>1.0487299999999999</v>
      </c>
      <c r="D485" s="1">
        <v>0.73168599999999995</v>
      </c>
      <c r="E485" s="1"/>
      <c r="F485" s="1"/>
      <c r="G485" s="1"/>
      <c r="H485" s="1"/>
    </row>
    <row r="486" spans="1:8" x14ac:dyDescent="0.25">
      <c r="A486">
        <v>106</v>
      </c>
      <c r="B486" s="1">
        <v>264.08800000000002</v>
      </c>
      <c r="C486" s="1">
        <v>1.04349</v>
      </c>
      <c r="D486" s="1">
        <v>0.72673500000000002</v>
      </c>
      <c r="E486" s="1"/>
      <c r="F486" s="1"/>
      <c r="G486" s="1"/>
      <c r="H486" s="1"/>
    </row>
    <row r="487" spans="1:8" x14ac:dyDescent="0.25">
      <c r="A487">
        <v>107</v>
      </c>
      <c r="B487" s="1">
        <v>269.35700000000003</v>
      </c>
      <c r="C487" s="1">
        <v>1.03816</v>
      </c>
      <c r="D487" s="1">
        <v>0.72174199999999999</v>
      </c>
      <c r="E487" s="1"/>
      <c r="F487" s="1"/>
      <c r="G487" s="1"/>
      <c r="H487" s="1"/>
    </row>
    <row r="488" spans="1:8" x14ac:dyDescent="0.25">
      <c r="A488">
        <v>108</v>
      </c>
      <c r="B488" s="1">
        <v>274.66399999999999</v>
      </c>
      <c r="C488" s="1">
        <v>1.0327299999999999</v>
      </c>
      <c r="D488" s="1">
        <v>0.71670900000000004</v>
      </c>
      <c r="E488" s="1"/>
      <c r="F488" s="1"/>
      <c r="G488" s="1"/>
      <c r="H488" s="1"/>
    </row>
    <row r="489" spans="1:8" x14ac:dyDescent="0.25">
      <c r="A489">
        <v>109</v>
      </c>
      <c r="B489" s="1">
        <v>280.00900000000001</v>
      </c>
      <c r="C489" s="1">
        <v>1.02722</v>
      </c>
      <c r="D489" s="1">
        <v>0.71163500000000002</v>
      </c>
      <c r="E489" s="1"/>
      <c r="F489" s="1"/>
      <c r="G489" s="1"/>
      <c r="H489" s="1"/>
    </row>
    <row r="490" spans="1:8" x14ac:dyDescent="0.25">
      <c r="A490">
        <v>110</v>
      </c>
      <c r="B490" s="1">
        <v>285.392</v>
      </c>
      <c r="C490" s="1">
        <v>1.0216499999999999</v>
      </c>
      <c r="D490" s="1">
        <v>0.70651900000000001</v>
      </c>
      <c r="E490" s="1"/>
      <c r="F490" s="1"/>
      <c r="G490" s="1"/>
      <c r="H490" s="1"/>
    </row>
    <row r="491" spans="1:8" x14ac:dyDescent="0.25">
      <c r="A491">
        <v>111</v>
      </c>
      <c r="B491" s="1">
        <v>290.81</v>
      </c>
      <c r="C491" s="1">
        <v>1.0160100000000001</v>
      </c>
      <c r="D491" s="1">
        <v>0.70136299999999996</v>
      </c>
      <c r="E491" s="1"/>
      <c r="F491" s="1"/>
      <c r="G491" s="1"/>
      <c r="H491" s="1"/>
    </row>
    <row r="492" spans="1:8" x14ac:dyDescent="0.25">
      <c r="A492">
        <v>112</v>
      </c>
      <c r="B492" s="1">
        <v>296.26499999999999</v>
      </c>
      <c r="C492" s="1">
        <v>1.0102899999999999</v>
      </c>
      <c r="D492" s="1">
        <v>0.69616599999999995</v>
      </c>
      <c r="E492" s="1"/>
      <c r="F492" s="1"/>
      <c r="G492" s="1"/>
      <c r="H492" s="1"/>
    </row>
    <row r="493" spans="1:8" x14ac:dyDescent="0.25">
      <c r="A493">
        <v>113</v>
      </c>
      <c r="B493" s="1">
        <v>301.75400000000002</v>
      </c>
      <c r="C493" s="1">
        <v>1.00451</v>
      </c>
      <c r="D493" s="1">
        <v>0.69093099999999996</v>
      </c>
      <c r="E493" s="1"/>
      <c r="F493" s="1"/>
      <c r="G493" s="1"/>
      <c r="H493" s="1"/>
    </row>
    <row r="494" spans="1:8" x14ac:dyDescent="0.25">
      <c r="A494">
        <v>114</v>
      </c>
      <c r="B494" s="1">
        <v>307.27800000000002</v>
      </c>
      <c r="C494" s="1">
        <v>0.99867600000000001</v>
      </c>
      <c r="D494" s="1">
        <v>0.68566099999999996</v>
      </c>
      <c r="E494" s="1"/>
      <c r="F494" s="1"/>
      <c r="G494" s="1"/>
      <c r="H494" s="1"/>
    </row>
    <row r="495" spans="1:8" x14ac:dyDescent="0.25">
      <c r="A495">
        <v>115</v>
      </c>
      <c r="B495" s="1">
        <v>312.83499999999998</v>
      </c>
      <c r="C495" s="1">
        <v>0.99278299999999997</v>
      </c>
      <c r="D495" s="1">
        <v>0.68035599999999996</v>
      </c>
      <c r="E495" s="1"/>
      <c r="F495" s="1"/>
      <c r="G495" s="1"/>
      <c r="H495" s="1"/>
    </row>
    <row r="496" spans="1:8" x14ac:dyDescent="0.25">
      <c r="A496">
        <v>116</v>
      </c>
      <c r="B496" s="1">
        <v>318.42399999999998</v>
      </c>
      <c r="C496" s="1">
        <v>0.98684300000000003</v>
      </c>
      <c r="D496" s="1">
        <v>0.67502099999999998</v>
      </c>
      <c r="E496" s="1"/>
      <c r="F496" s="1"/>
      <c r="G496" s="1"/>
      <c r="H496" s="1"/>
    </row>
    <row r="497" spans="1:8" x14ac:dyDescent="0.25">
      <c r="A497">
        <v>117</v>
      </c>
      <c r="B497" s="1">
        <v>324.04599999999999</v>
      </c>
      <c r="C497" s="1">
        <v>0.98086600000000002</v>
      </c>
      <c r="D497" s="1">
        <v>0.66965600000000003</v>
      </c>
      <c r="E497" s="1"/>
      <c r="F497" s="1"/>
      <c r="G497" s="1"/>
      <c r="H497" s="1"/>
    </row>
    <row r="498" spans="1:8" x14ac:dyDescent="0.25">
      <c r="A498">
        <v>118</v>
      </c>
      <c r="B498" s="1">
        <v>329.69900000000001</v>
      </c>
      <c r="C498" s="1">
        <v>0.97485999999999995</v>
      </c>
      <c r="D498" s="1">
        <v>0.66425800000000002</v>
      </c>
      <c r="E498" s="1"/>
      <c r="F498" s="1"/>
      <c r="G498" s="1"/>
      <c r="H498" s="1"/>
    </row>
    <row r="499" spans="1:8" x14ac:dyDescent="0.25">
      <c r="A499">
        <v>119</v>
      </c>
      <c r="B499" s="1">
        <v>335.38200000000001</v>
      </c>
      <c r="C499" s="1">
        <v>0.968831</v>
      </c>
      <c r="D499" s="1">
        <v>0.65882600000000002</v>
      </c>
      <c r="E499" s="1"/>
      <c r="F499" s="1"/>
      <c r="G499" s="1"/>
      <c r="H499" s="1"/>
    </row>
    <row r="500" spans="1:8" x14ac:dyDescent="0.25">
      <c r="A500">
        <v>120</v>
      </c>
      <c r="B500" s="1">
        <v>341.096</v>
      </c>
      <c r="C500" s="1">
        <v>0.962781</v>
      </c>
      <c r="D500" s="1">
        <v>0.65335799999999999</v>
      </c>
      <c r="E500" s="1"/>
      <c r="F500" s="1"/>
      <c r="G500" s="1"/>
      <c r="H500" s="1"/>
    </row>
    <row r="501" spans="1:8" x14ac:dyDescent="0.25">
      <c r="A501">
        <v>121</v>
      </c>
      <c r="B501" s="1">
        <v>346.83800000000002</v>
      </c>
      <c r="C501" s="1">
        <v>0.95670699999999997</v>
      </c>
      <c r="D501" s="1">
        <v>0.64785599999999999</v>
      </c>
      <c r="E501" s="1"/>
      <c r="F501" s="1"/>
      <c r="G501" s="1"/>
      <c r="H501" s="1"/>
    </row>
    <row r="502" spans="1:8" x14ac:dyDescent="0.25">
      <c r="A502">
        <v>122</v>
      </c>
      <c r="B502" s="1">
        <v>352.60899999999998</v>
      </c>
      <c r="C502" s="1">
        <v>0.9506</v>
      </c>
      <c r="D502" s="1">
        <v>0.64232400000000001</v>
      </c>
      <c r="E502" s="1"/>
      <c r="F502" s="1"/>
      <c r="G502" s="1"/>
      <c r="H502" s="1"/>
    </row>
    <row r="503" spans="1:8" x14ac:dyDescent="0.25">
      <c r="A503">
        <v>123</v>
      </c>
      <c r="B503" s="1">
        <v>358.40800000000002</v>
      </c>
      <c r="C503" s="1">
        <v>0.94444700000000004</v>
      </c>
      <c r="D503" s="1">
        <v>0.63675999999999999</v>
      </c>
      <c r="E503" s="1"/>
      <c r="F503" s="1"/>
      <c r="G503" s="1"/>
      <c r="H503" s="1"/>
    </row>
    <row r="504" spans="1:8" x14ac:dyDescent="0.25">
      <c r="A504">
        <v>124</v>
      </c>
      <c r="B504" s="1">
        <v>364.233</v>
      </c>
      <c r="C504" s="1">
        <v>0.93824099999999999</v>
      </c>
      <c r="D504" s="1">
        <v>0.63116499999999998</v>
      </c>
      <c r="E504" s="1"/>
      <c r="F504" s="1"/>
      <c r="G504" s="1"/>
      <c r="H504" s="1"/>
    </row>
    <row r="505" spans="1:8" x14ac:dyDescent="0.25">
      <c r="A505">
        <v>125</v>
      </c>
      <c r="B505" s="1">
        <v>370.08499999999998</v>
      </c>
      <c r="C505" s="1">
        <v>0.93198000000000003</v>
      </c>
      <c r="D505" s="1">
        <v>0.62553499999999995</v>
      </c>
      <c r="E505" s="1"/>
      <c r="F505" s="1"/>
      <c r="G505" s="1"/>
      <c r="H505" s="1"/>
    </row>
    <row r="506" spans="1:8" x14ac:dyDescent="0.25">
      <c r="A506">
        <v>126</v>
      </c>
      <c r="B506" s="1">
        <v>375.96300000000002</v>
      </c>
      <c r="C506" s="1">
        <v>0.92566599999999999</v>
      </c>
      <c r="D506" s="1">
        <v>0.61987599999999998</v>
      </c>
      <c r="E506" s="1"/>
      <c r="F506" s="1"/>
      <c r="G506" s="1"/>
      <c r="H506" s="1"/>
    </row>
    <row r="507" spans="1:8" x14ac:dyDescent="0.25">
      <c r="A507">
        <v>127</v>
      </c>
      <c r="B507" s="1">
        <v>381.86599999999999</v>
      </c>
      <c r="C507" s="1">
        <v>0.91930000000000001</v>
      </c>
      <c r="D507" s="1">
        <v>0.61418799999999996</v>
      </c>
      <c r="E507" s="1"/>
      <c r="F507" s="1"/>
      <c r="G507" s="1"/>
      <c r="H507" s="1"/>
    </row>
    <row r="508" spans="1:8" x14ac:dyDescent="0.25">
      <c r="A508">
        <v>128</v>
      </c>
      <c r="B508" s="1">
        <v>387.79300000000001</v>
      </c>
      <c r="C508" s="1">
        <v>0.91288599999999998</v>
      </c>
      <c r="D508" s="1">
        <v>0.60847300000000004</v>
      </c>
      <c r="E508" s="1"/>
      <c r="F508" s="1"/>
      <c r="G508" s="1"/>
      <c r="H508" s="1"/>
    </row>
    <row r="509" spans="1:8" x14ac:dyDescent="0.25">
      <c r="A509">
        <v>129</v>
      </c>
      <c r="B509" s="1">
        <v>393.74400000000003</v>
      </c>
      <c r="C509" s="1">
        <v>0.90642599999999995</v>
      </c>
      <c r="D509" s="1">
        <v>0.60273299999999996</v>
      </c>
      <c r="E509" s="1"/>
      <c r="F509" s="1"/>
      <c r="G509" s="1"/>
      <c r="H509" s="1"/>
    </row>
    <row r="510" spans="1:8" x14ac:dyDescent="0.25">
      <c r="A510">
        <v>130</v>
      </c>
      <c r="B510" s="1">
        <v>399.71800000000002</v>
      </c>
      <c r="C510" s="1">
        <v>0.89992000000000005</v>
      </c>
      <c r="D510" s="1">
        <v>0.59697</v>
      </c>
      <c r="E510" s="1"/>
      <c r="F510" s="1"/>
      <c r="G510" s="1"/>
      <c r="H510" s="1"/>
    </row>
    <row r="511" spans="1:8" x14ac:dyDescent="0.25">
      <c r="A511">
        <v>131</v>
      </c>
      <c r="B511" s="1">
        <v>405.71499999999997</v>
      </c>
      <c r="C511" s="1">
        <v>0.89337299999999997</v>
      </c>
      <c r="D511" s="1">
        <v>0.59118499999999996</v>
      </c>
      <c r="E511" s="1"/>
      <c r="F511" s="1"/>
      <c r="G511" s="1"/>
      <c r="H511" s="1"/>
    </row>
    <row r="512" spans="1:8" x14ac:dyDescent="0.25">
      <c r="A512">
        <v>132</v>
      </c>
      <c r="B512" s="1">
        <v>411.73399999999998</v>
      </c>
      <c r="C512" s="1">
        <v>0.88678699999999999</v>
      </c>
      <c r="D512" s="1">
        <v>0.58537899999999998</v>
      </c>
      <c r="E512" s="1"/>
      <c r="F512" s="1"/>
      <c r="G512" s="1"/>
      <c r="H512" s="1"/>
    </row>
    <row r="513" spans="1:8" x14ac:dyDescent="0.25">
      <c r="A513">
        <v>133</v>
      </c>
      <c r="B513" s="1">
        <v>417.774</v>
      </c>
      <c r="C513" s="1">
        <v>0.880166</v>
      </c>
      <c r="D513" s="1">
        <v>0.57955199999999996</v>
      </c>
      <c r="E513" s="1"/>
      <c r="F513" s="1"/>
      <c r="G513" s="1"/>
      <c r="H513" s="1"/>
    </row>
    <row r="514" spans="1:8" x14ac:dyDescent="0.25">
      <c r="A514">
        <v>134</v>
      </c>
      <c r="B514" s="1">
        <v>423.83499999999998</v>
      </c>
      <c r="C514" s="1">
        <v>0.87351800000000002</v>
      </c>
      <c r="D514" s="1">
        <v>0.57370500000000002</v>
      </c>
      <c r="E514" s="1"/>
      <c r="F514" s="1"/>
      <c r="G514" s="1"/>
      <c r="H514" s="1"/>
    </row>
    <row r="515" spans="1:8" x14ac:dyDescent="0.25">
      <c r="A515">
        <v>135</v>
      </c>
      <c r="B515" s="1">
        <v>429.916</v>
      </c>
      <c r="C515" s="1">
        <v>0.86685400000000001</v>
      </c>
      <c r="D515" s="1">
        <v>0.56783799999999995</v>
      </c>
      <c r="E515" s="1"/>
      <c r="F515" s="1"/>
      <c r="G515" s="1"/>
      <c r="H515" s="1"/>
    </row>
    <row r="516" spans="1:8" x14ac:dyDescent="0.25">
      <c r="A516">
        <v>136</v>
      </c>
      <c r="B516" s="1">
        <v>436.01600000000002</v>
      </c>
      <c r="C516" s="1">
        <v>0.86018099999999997</v>
      </c>
      <c r="D516" s="1">
        <v>0.56194999999999995</v>
      </c>
      <c r="E516" s="1"/>
      <c r="F516" s="1"/>
      <c r="G516" s="1"/>
      <c r="H516" s="1"/>
    </row>
    <row r="517" spans="1:8" x14ac:dyDescent="0.25">
      <c r="A517">
        <v>137</v>
      </c>
      <c r="B517" s="1">
        <v>442.13600000000002</v>
      </c>
      <c r="C517" s="1">
        <v>0.85350700000000002</v>
      </c>
      <c r="D517" s="1">
        <v>0.55604100000000001</v>
      </c>
      <c r="E517" s="1"/>
      <c r="F517" s="1"/>
      <c r="G517" s="1"/>
      <c r="H517" s="1"/>
    </row>
    <row r="518" spans="1:8" x14ac:dyDescent="0.25">
      <c r="A518">
        <v>138</v>
      </c>
      <c r="B518" s="1">
        <v>448.274</v>
      </c>
      <c r="C518" s="1">
        <v>0.84684400000000004</v>
      </c>
      <c r="D518" s="1">
        <v>0.55011100000000002</v>
      </c>
      <c r="E518" s="1"/>
      <c r="F518" s="1"/>
      <c r="G518" s="1"/>
      <c r="H518" s="1"/>
    </row>
    <row r="519" spans="1:8" x14ac:dyDescent="0.25">
      <c r="A519">
        <v>139</v>
      </c>
      <c r="B519" s="1">
        <v>454.43</v>
      </c>
      <c r="C519" s="1">
        <v>0.84020099999999998</v>
      </c>
      <c r="D519" s="1">
        <v>0.54415999999999998</v>
      </c>
      <c r="E519" s="1"/>
      <c r="F519" s="1"/>
      <c r="G519" s="1"/>
      <c r="H519" s="1"/>
    </row>
    <row r="520" spans="1:8" x14ac:dyDescent="0.25">
      <c r="A520">
        <v>140</v>
      </c>
      <c r="B520" s="1">
        <v>460.60399999999998</v>
      </c>
      <c r="C520" s="1">
        <v>0.83357199999999998</v>
      </c>
      <c r="D520" s="1">
        <v>0.53819099999999997</v>
      </c>
      <c r="E520" s="1"/>
      <c r="F520" s="1"/>
      <c r="G520" s="1"/>
      <c r="H520" s="1"/>
    </row>
    <row r="521" spans="1:8" x14ac:dyDescent="0.25">
      <c r="A521">
        <v>141</v>
      </c>
      <c r="B521" s="1">
        <v>466.79500000000002</v>
      </c>
      <c r="C521" s="1">
        <v>0.82694800000000002</v>
      </c>
      <c r="D521" s="1">
        <v>0.53220400000000001</v>
      </c>
      <c r="E521" s="1"/>
      <c r="F521" s="1"/>
      <c r="G521" s="1"/>
      <c r="H521" s="1"/>
    </row>
    <row r="522" spans="1:8" x14ac:dyDescent="0.25">
      <c r="A522">
        <v>142</v>
      </c>
      <c r="B522" s="1">
        <v>473.00200000000001</v>
      </c>
      <c r="C522" s="1">
        <v>0.82031900000000002</v>
      </c>
      <c r="D522" s="1">
        <v>0.52620100000000003</v>
      </c>
      <c r="E522" s="1"/>
      <c r="F522" s="1"/>
      <c r="G522" s="1"/>
      <c r="H522" s="1"/>
    </row>
    <row r="523" spans="1:8" x14ac:dyDescent="0.25">
      <c r="A523">
        <v>143</v>
      </c>
      <c r="B523" s="1">
        <v>479.22500000000002</v>
      </c>
      <c r="C523" s="1">
        <v>0.81368700000000005</v>
      </c>
      <c r="D523" s="1">
        <v>0.52018399999999998</v>
      </c>
      <c r="E523" s="1"/>
      <c r="F523" s="1"/>
      <c r="G523" s="1"/>
      <c r="H523" s="1"/>
    </row>
    <row r="524" spans="1:8" x14ac:dyDescent="0.25">
      <c r="A524">
        <v>144</v>
      </c>
      <c r="B524" s="1">
        <v>485.464</v>
      </c>
      <c r="C524" s="1">
        <v>0.80705800000000005</v>
      </c>
      <c r="D524" s="1">
        <v>0.51415100000000002</v>
      </c>
      <c r="E524" s="1"/>
      <c r="F524" s="1"/>
      <c r="G524" s="1"/>
      <c r="H524" s="1"/>
    </row>
    <row r="525" spans="1:8" x14ac:dyDescent="0.25">
      <c r="A525">
        <v>145</v>
      </c>
      <c r="B525" s="1">
        <v>491.71699999999998</v>
      </c>
      <c r="C525" s="1">
        <v>0.80043200000000003</v>
      </c>
      <c r="D525" s="1">
        <v>0.50810200000000005</v>
      </c>
      <c r="E525" s="1"/>
      <c r="F525" s="1"/>
      <c r="G525" s="1"/>
      <c r="H525" s="1"/>
    </row>
    <row r="526" spans="1:8" x14ac:dyDescent="0.25">
      <c r="A526">
        <v>146</v>
      </c>
      <c r="B526" s="1">
        <v>497.98599999999999</v>
      </c>
      <c r="C526" s="1">
        <v>0.79380399999999995</v>
      </c>
      <c r="D526" s="1">
        <v>0.50203699999999996</v>
      </c>
      <c r="E526" s="1"/>
      <c r="F526" s="1"/>
      <c r="G526" s="1"/>
      <c r="H526" s="1"/>
    </row>
    <row r="527" spans="1:8" x14ac:dyDescent="0.25">
      <c r="A527">
        <v>147</v>
      </c>
      <c r="B527" s="1">
        <v>504.26900000000001</v>
      </c>
      <c r="C527" s="1">
        <v>0.78716900000000001</v>
      </c>
      <c r="D527" s="1">
        <v>0.49595400000000001</v>
      </c>
      <c r="E527" s="1"/>
      <c r="F527" s="1"/>
      <c r="G527" s="1"/>
      <c r="H527" s="1"/>
    </row>
    <row r="528" spans="1:8" x14ac:dyDescent="0.25">
      <c r="A528">
        <v>148</v>
      </c>
      <c r="B528" s="1">
        <v>510.565</v>
      </c>
      <c r="C528" s="1">
        <v>0.78052999999999995</v>
      </c>
      <c r="D528" s="1">
        <v>0.48985299999999998</v>
      </c>
      <c r="E528" s="1"/>
      <c r="F528" s="1"/>
      <c r="G528" s="1"/>
      <c r="H528" s="1"/>
    </row>
    <row r="529" spans="1:8" x14ac:dyDescent="0.25">
      <c r="A529">
        <v>149</v>
      </c>
      <c r="B529" s="1">
        <v>516.875</v>
      </c>
      <c r="C529" s="1">
        <v>0.77388900000000005</v>
      </c>
      <c r="D529" s="1">
        <v>0.483736</v>
      </c>
      <c r="E529" s="1"/>
      <c r="F529" s="1"/>
      <c r="G529" s="1"/>
      <c r="H529" s="1"/>
    </row>
    <row r="530" spans="1:8" x14ac:dyDescent="0.25">
      <c r="A530">
        <v>150</v>
      </c>
      <c r="B530" s="1">
        <v>523.19799999999998</v>
      </c>
      <c r="C530" s="1">
        <v>0.76725299999999996</v>
      </c>
      <c r="D530" s="1">
        <v>0.477607</v>
      </c>
      <c r="E530" s="1"/>
      <c r="F530" s="1"/>
      <c r="G530" s="1"/>
      <c r="H530" s="1"/>
    </row>
    <row r="531" spans="1:8" x14ac:dyDescent="0.25">
      <c r="A531">
        <v>151</v>
      </c>
      <c r="B531" s="1">
        <v>529.53399999999999</v>
      </c>
      <c r="C531" s="1">
        <v>0.760633</v>
      </c>
      <c r="D531" s="1">
        <v>0.471466</v>
      </c>
      <c r="E531" s="1"/>
      <c r="F531" s="1"/>
      <c r="G531" s="1"/>
      <c r="H531" s="1"/>
    </row>
    <row r="532" spans="1:8" x14ac:dyDescent="0.25">
      <c r="A532">
        <v>152</v>
      </c>
      <c r="B532" s="1">
        <v>535.88199999999995</v>
      </c>
      <c r="C532" s="1">
        <v>0.75404099999999996</v>
      </c>
      <c r="D532" s="1">
        <v>0.46531600000000001</v>
      </c>
      <c r="E532" s="1"/>
      <c r="F532" s="1"/>
      <c r="G532" s="1"/>
      <c r="H532" s="1"/>
    </row>
    <row r="533" spans="1:8" x14ac:dyDescent="0.25">
      <c r="A533">
        <v>153</v>
      </c>
      <c r="B533" s="1">
        <v>542.24199999999996</v>
      </c>
      <c r="C533" s="1">
        <v>0.74748700000000001</v>
      </c>
      <c r="D533" s="1">
        <v>0.45915600000000001</v>
      </c>
      <c r="E533" s="1"/>
      <c r="F533" s="1"/>
      <c r="G533" s="1"/>
      <c r="H533" s="1"/>
    </row>
    <row r="534" spans="1:8" x14ac:dyDescent="0.25">
      <c r="A534">
        <v>154</v>
      </c>
      <c r="B534" s="1">
        <v>548.61300000000006</v>
      </c>
      <c r="C534" s="1">
        <v>0.740977</v>
      </c>
      <c r="D534" s="1">
        <v>0.452986</v>
      </c>
      <c r="E534" s="1"/>
      <c r="F534" s="1"/>
      <c r="G534" s="1"/>
      <c r="H534" s="1"/>
    </row>
    <row r="535" spans="1:8" x14ac:dyDescent="0.25">
      <c r="A535">
        <v>155</v>
      </c>
      <c r="B535" s="1">
        <v>554.99599999999998</v>
      </c>
      <c r="C535" s="1">
        <v>0.73451200000000005</v>
      </c>
      <c r="D535" s="1">
        <v>0.44680500000000001</v>
      </c>
      <c r="E535" s="1"/>
      <c r="F535" s="1"/>
      <c r="G535" s="1"/>
      <c r="H535" s="1"/>
    </row>
    <row r="536" spans="1:8" x14ac:dyDescent="0.25">
      <c r="A536">
        <v>156</v>
      </c>
      <c r="B536" s="1">
        <v>561.39</v>
      </c>
      <c r="C536" s="1">
        <v>0.72809500000000005</v>
      </c>
      <c r="D536" s="1">
        <v>0.440612</v>
      </c>
      <c r="E536" s="1"/>
      <c r="F536" s="1"/>
      <c r="G536" s="1"/>
      <c r="H536" s="1"/>
    </row>
    <row r="537" spans="1:8" x14ac:dyDescent="0.25">
      <c r="A537">
        <v>157</v>
      </c>
      <c r="B537" s="1">
        <v>567.79499999999996</v>
      </c>
      <c r="C537" s="1">
        <v>0.72172800000000004</v>
      </c>
      <c r="D537" s="1">
        <v>0.43440800000000002</v>
      </c>
      <c r="E537" s="1"/>
      <c r="F537" s="1"/>
      <c r="G537" s="1"/>
      <c r="H537" s="1"/>
    </row>
    <row r="538" spans="1:8" x14ac:dyDescent="0.25">
      <c r="A538">
        <v>158</v>
      </c>
      <c r="B538" s="1">
        <v>574.21</v>
      </c>
      <c r="C538" s="1">
        <v>0.71541100000000002</v>
      </c>
      <c r="D538" s="1">
        <v>0.42819200000000002</v>
      </c>
      <c r="E538" s="1"/>
      <c r="F538" s="1"/>
      <c r="G538" s="1"/>
      <c r="H538" s="1"/>
    </row>
    <row r="539" spans="1:8" x14ac:dyDescent="0.25">
      <c r="A539">
        <v>159</v>
      </c>
      <c r="B539" s="1">
        <v>580.63499999999999</v>
      </c>
      <c r="C539" s="1">
        <v>0.70914500000000003</v>
      </c>
      <c r="D539" s="1">
        <v>0.42196499999999998</v>
      </c>
      <c r="E539" s="1"/>
      <c r="F539" s="1"/>
      <c r="G539" s="1"/>
      <c r="H539" s="1"/>
    </row>
    <row r="540" spans="1:8" x14ac:dyDescent="0.25">
      <c r="A540">
        <v>160</v>
      </c>
      <c r="B540" s="1">
        <v>587.07000000000005</v>
      </c>
      <c r="C540" s="1">
        <v>0.70293099999999997</v>
      </c>
      <c r="D540" s="1">
        <v>0.41572700000000001</v>
      </c>
      <c r="E540" s="1"/>
      <c r="F540" s="1"/>
      <c r="G540" s="1"/>
      <c r="H540" s="1"/>
    </row>
    <row r="541" spans="1:8" x14ac:dyDescent="0.25">
      <c r="A541">
        <v>161</v>
      </c>
      <c r="B541" s="1">
        <v>593.51499999999999</v>
      </c>
      <c r="C541" s="1">
        <v>0.69676800000000005</v>
      </c>
      <c r="D541" s="1">
        <v>0.40948000000000001</v>
      </c>
      <c r="E541" s="1"/>
      <c r="F541" s="1"/>
      <c r="G541" s="1"/>
      <c r="H541" s="1"/>
    </row>
    <row r="542" spans="1:8" x14ac:dyDescent="0.25">
      <c r="A542">
        <v>162</v>
      </c>
      <c r="B542" s="1">
        <v>599.97</v>
      </c>
      <c r="C542" s="1">
        <v>0.69065500000000002</v>
      </c>
      <c r="D542" s="1">
        <v>0.40322400000000003</v>
      </c>
      <c r="E542" s="1"/>
      <c r="F542" s="1"/>
      <c r="G542" s="1"/>
      <c r="H542" s="1"/>
    </row>
    <row r="543" spans="1:8" x14ac:dyDescent="0.25">
      <c r="A543">
        <v>163</v>
      </c>
      <c r="B543" s="1">
        <v>606.43299999999999</v>
      </c>
      <c r="C543" s="1">
        <v>0.68458300000000005</v>
      </c>
      <c r="D543" s="1">
        <v>0.39695900000000001</v>
      </c>
      <c r="E543" s="1"/>
      <c r="F543" s="1"/>
      <c r="G543" s="1"/>
      <c r="H543" s="1"/>
    </row>
    <row r="544" spans="1:8" x14ac:dyDescent="0.25">
      <c r="A544">
        <v>164</v>
      </c>
      <c r="B544" s="1">
        <v>612.90599999999995</v>
      </c>
      <c r="C544" s="1">
        <v>0.67854400000000004</v>
      </c>
      <c r="D544" s="1">
        <v>0.39068599999999998</v>
      </c>
      <c r="E544" s="1"/>
      <c r="F544" s="1"/>
      <c r="G544" s="1"/>
      <c r="H544" s="1"/>
    </row>
    <row r="545" spans="1:8" x14ac:dyDescent="0.25">
      <c r="A545">
        <v>165</v>
      </c>
      <c r="B545" s="1">
        <v>619.38800000000003</v>
      </c>
      <c r="C545" s="1">
        <v>0.67252299999999998</v>
      </c>
      <c r="D545" s="1">
        <v>0.384405</v>
      </c>
      <c r="E545" s="1"/>
      <c r="F545" s="1"/>
      <c r="G545" s="1"/>
      <c r="H545" s="1"/>
    </row>
    <row r="546" spans="1:8" x14ac:dyDescent="0.25">
      <c r="A546">
        <v>166</v>
      </c>
      <c r="B546" s="1">
        <v>625.87800000000004</v>
      </c>
      <c r="C546" s="1">
        <v>0.66650699999999996</v>
      </c>
      <c r="D546" s="1">
        <v>0.37811899999999998</v>
      </c>
      <c r="E546" s="1"/>
      <c r="F546" s="1"/>
      <c r="G546" s="1"/>
      <c r="H546" s="1"/>
    </row>
    <row r="547" spans="1:8" x14ac:dyDescent="0.25">
      <c r="A547">
        <v>167</v>
      </c>
      <c r="B547" s="1">
        <v>632.37699999999995</v>
      </c>
      <c r="C547" s="1">
        <v>0.66049100000000005</v>
      </c>
      <c r="D547" s="1">
        <v>0.37182700000000002</v>
      </c>
      <c r="E547" s="1"/>
      <c r="F547" s="1"/>
      <c r="G547" s="1"/>
      <c r="H547" s="1"/>
    </row>
    <row r="548" spans="1:8" x14ac:dyDescent="0.25">
      <c r="A548">
        <v>168</v>
      </c>
      <c r="B548" s="1">
        <v>638.88499999999999</v>
      </c>
      <c r="C548" s="1">
        <v>0.65448200000000001</v>
      </c>
      <c r="D548" s="1">
        <v>0.36552800000000002</v>
      </c>
      <c r="E548" s="1"/>
      <c r="F548" s="1"/>
      <c r="G548" s="1"/>
      <c r="H548" s="1"/>
    </row>
    <row r="549" spans="1:8" x14ac:dyDescent="0.25">
      <c r="A549">
        <v>169</v>
      </c>
      <c r="B549" s="1">
        <v>645.40099999999995</v>
      </c>
      <c r="C549" s="1">
        <v>0.64849699999999999</v>
      </c>
      <c r="D549" s="1">
        <v>0.35922100000000001</v>
      </c>
      <c r="E549" s="1"/>
      <c r="F549" s="1"/>
      <c r="G549" s="1"/>
      <c r="H549" s="1"/>
    </row>
    <row r="550" spans="1:8" x14ac:dyDescent="0.25">
      <c r="A550">
        <v>170</v>
      </c>
      <c r="B550" s="1">
        <v>651.92499999999995</v>
      </c>
      <c r="C550" s="1">
        <v>0.64255399999999996</v>
      </c>
      <c r="D550" s="1">
        <v>0.35290700000000003</v>
      </c>
      <c r="E550" s="1"/>
      <c r="F550" s="1"/>
      <c r="G550" s="1"/>
      <c r="H550" s="1"/>
    </row>
    <row r="551" spans="1:8" x14ac:dyDescent="0.25">
      <c r="A551">
        <v>171</v>
      </c>
      <c r="B551" s="1">
        <v>658.45699999999999</v>
      </c>
      <c r="C551" s="1">
        <v>0.63666999999999996</v>
      </c>
      <c r="D551" s="1">
        <v>0.34658800000000001</v>
      </c>
      <c r="E551" s="1"/>
      <c r="F551" s="1"/>
      <c r="G551" s="1"/>
      <c r="H551" s="1"/>
    </row>
    <row r="552" spans="1:8" x14ac:dyDescent="0.25">
      <c r="A552">
        <v>172</v>
      </c>
      <c r="B552" s="1">
        <v>664.99800000000005</v>
      </c>
      <c r="C552" s="1">
        <v>0.63085500000000005</v>
      </c>
      <c r="D552" s="1">
        <v>0.34026299999999998</v>
      </c>
      <c r="E552" s="1"/>
      <c r="F552" s="1"/>
      <c r="G552" s="1"/>
      <c r="H552" s="1"/>
    </row>
    <row r="553" spans="1:8" x14ac:dyDescent="0.25">
      <c r="A553">
        <v>173</v>
      </c>
      <c r="B553" s="1">
        <v>671.54600000000005</v>
      </c>
      <c r="C553" s="1">
        <v>0.62511499999999998</v>
      </c>
      <c r="D553" s="1">
        <v>0.33393400000000001</v>
      </c>
      <c r="E553" s="1"/>
      <c r="F553" s="1"/>
      <c r="G553" s="1"/>
      <c r="H553" s="1"/>
    </row>
    <row r="554" spans="1:8" x14ac:dyDescent="0.25">
      <c r="A554">
        <v>174</v>
      </c>
      <c r="B554" s="1">
        <v>678.10199999999998</v>
      </c>
      <c r="C554" s="1">
        <v>0.61945899999999998</v>
      </c>
      <c r="D554" s="1">
        <v>0.32760099999999998</v>
      </c>
      <c r="E554" s="1"/>
      <c r="F554" s="1"/>
      <c r="G554" s="1"/>
      <c r="H554" s="1"/>
    </row>
    <row r="555" spans="1:8" x14ac:dyDescent="0.25">
      <c r="A555">
        <v>175</v>
      </c>
      <c r="B555" s="1">
        <v>684.66700000000003</v>
      </c>
      <c r="C555" s="1">
        <v>0.61389899999999997</v>
      </c>
      <c r="D555" s="1">
        <v>0.32126199999999999</v>
      </c>
      <c r="E555" s="1"/>
      <c r="F555" s="1"/>
      <c r="G555" s="1"/>
      <c r="H555" s="1"/>
    </row>
    <row r="556" spans="1:8" x14ac:dyDescent="0.25">
      <c r="A556">
        <v>176</v>
      </c>
      <c r="B556" s="1">
        <v>691.23900000000003</v>
      </c>
      <c r="C556" s="1">
        <v>0.60844799999999999</v>
      </c>
      <c r="D556" s="1">
        <v>0.314919</v>
      </c>
      <c r="E556" s="1"/>
      <c r="F556" s="1"/>
      <c r="G556" s="1"/>
      <c r="H556" s="1"/>
    </row>
    <row r="557" spans="1:8" x14ac:dyDescent="0.25">
      <c r="A557">
        <v>177</v>
      </c>
      <c r="B557" s="1">
        <v>697.81899999999996</v>
      </c>
      <c r="C557" s="1">
        <v>0.60310799999999998</v>
      </c>
      <c r="D557" s="1">
        <v>0.30857200000000001</v>
      </c>
      <c r="E557" s="1"/>
      <c r="F557" s="1"/>
      <c r="G557" s="1"/>
      <c r="H557" s="1"/>
    </row>
    <row r="558" spans="1:8" x14ac:dyDescent="0.25">
      <c r="A558">
        <v>178</v>
      </c>
      <c r="B558" s="1">
        <v>704.40700000000004</v>
      </c>
      <c r="C558" s="1">
        <v>0.597881</v>
      </c>
      <c r="D558" s="1">
        <v>0.30221900000000002</v>
      </c>
      <c r="E558" s="1"/>
      <c r="F558" s="1"/>
      <c r="G558" s="1"/>
      <c r="H558" s="1"/>
    </row>
    <row r="559" spans="1:8" x14ac:dyDescent="0.25">
      <c r="A559">
        <v>179</v>
      </c>
      <c r="B559" s="1">
        <v>711.00300000000004</v>
      </c>
      <c r="C559" s="1">
        <v>0.59276099999999998</v>
      </c>
      <c r="D559" s="1">
        <v>0.29586099999999999</v>
      </c>
      <c r="E559" s="1"/>
      <c r="F559" s="1"/>
      <c r="G559" s="1"/>
      <c r="H559" s="1"/>
    </row>
    <row r="560" spans="1:8" x14ac:dyDescent="0.25">
      <c r="A560">
        <v>180</v>
      </c>
      <c r="B560" s="1">
        <v>717.60799999999995</v>
      </c>
      <c r="C560" s="1">
        <v>0.58773900000000001</v>
      </c>
      <c r="D560" s="1">
        <v>0.28949799999999998</v>
      </c>
      <c r="E560" s="1"/>
      <c r="F560" s="1"/>
      <c r="G560" s="1"/>
      <c r="H560" s="1"/>
    </row>
    <row r="561" spans="1:8" x14ac:dyDescent="0.25">
      <c r="A561">
        <v>181</v>
      </c>
      <c r="B561" s="1">
        <v>724.22</v>
      </c>
      <c r="C561" s="1">
        <v>0.58281099999999997</v>
      </c>
      <c r="D561" s="1">
        <v>0.28312900000000002</v>
      </c>
      <c r="E561" s="1"/>
      <c r="F561" s="1"/>
      <c r="G561" s="1"/>
      <c r="H561" s="1"/>
    </row>
    <row r="562" spans="1:8" x14ac:dyDescent="0.25">
      <c r="A562">
        <v>182</v>
      </c>
      <c r="B562" s="1">
        <v>730.84</v>
      </c>
      <c r="C562" s="1">
        <v>0.57797299999999996</v>
      </c>
      <c r="D562" s="1">
        <v>0.27675499999999997</v>
      </c>
      <c r="E562" s="1"/>
      <c r="F562" s="1"/>
      <c r="G562" s="1"/>
      <c r="H562" s="1"/>
    </row>
    <row r="563" spans="1:8" x14ac:dyDescent="0.25">
      <c r="A563">
        <v>183</v>
      </c>
      <c r="B563" s="1">
        <v>737.46900000000005</v>
      </c>
      <c r="C563" s="1">
        <v>0.57322499999999998</v>
      </c>
      <c r="D563" s="1">
        <v>0.27037499999999998</v>
      </c>
      <c r="E563" s="1"/>
      <c r="F563" s="1"/>
      <c r="G563" s="1"/>
      <c r="H563" s="1"/>
    </row>
    <row r="564" spans="1:8" x14ac:dyDescent="0.25">
      <c r="A564">
        <v>184</v>
      </c>
      <c r="B564" s="1">
        <v>744.10599999999999</v>
      </c>
      <c r="C564" s="1">
        <v>0.56856899999999999</v>
      </c>
      <c r="D564" s="1">
        <v>0.263988</v>
      </c>
      <c r="E564" s="1"/>
      <c r="F564" s="1"/>
      <c r="G564" s="1"/>
      <c r="H564" s="1"/>
    </row>
    <row r="565" spans="1:8" x14ac:dyDescent="0.25">
      <c r="A565">
        <v>185</v>
      </c>
      <c r="B565" s="1">
        <v>750.75099999999998</v>
      </c>
      <c r="C565" s="1">
        <v>0.56401000000000001</v>
      </c>
      <c r="D565" s="1">
        <v>0.25759500000000002</v>
      </c>
      <c r="E565" s="1"/>
      <c r="F565" s="1"/>
      <c r="G565" s="1"/>
      <c r="H565" s="1"/>
    </row>
    <row r="566" spans="1:8" x14ac:dyDescent="0.25">
      <c r="A566">
        <v>186</v>
      </c>
      <c r="B566" s="1">
        <v>757.40599999999995</v>
      </c>
      <c r="C566" s="1">
        <v>0.55954700000000002</v>
      </c>
      <c r="D566" s="1">
        <v>0.251195</v>
      </c>
      <c r="E566" s="1"/>
      <c r="F566" s="1"/>
      <c r="G566" s="1"/>
      <c r="H566" s="1"/>
    </row>
    <row r="567" spans="1:8" x14ac:dyDescent="0.25">
      <c r="A567">
        <v>187</v>
      </c>
      <c r="B567" s="1">
        <v>764.06899999999996</v>
      </c>
      <c r="C567" s="1">
        <v>0.55517700000000003</v>
      </c>
      <c r="D567" s="1">
        <v>0.24478800000000001</v>
      </c>
      <c r="E567" s="1"/>
      <c r="F567" s="1"/>
      <c r="G567" s="1"/>
      <c r="H567" s="1"/>
    </row>
    <row r="568" spans="1:8" x14ac:dyDescent="0.25">
      <c r="A568">
        <v>188</v>
      </c>
      <c r="B568" s="1">
        <v>770.74</v>
      </c>
      <c r="C568" s="1">
        <v>0.55089600000000005</v>
      </c>
      <c r="D568" s="1">
        <v>0.238374</v>
      </c>
      <c r="E568" s="1"/>
      <c r="F568" s="1"/>
      <c r="G568" s="1"/>
      <c r="H568" s="1"/>
    </row>
    <row r="569" spans="1:8" x14ac:dyDescent="0.25">
      <c r="A569">
        <v>189</v>
      </c>
      <c r="B569" s="1">
        <v>777.42100000000005</v>
      </c>
      <c r="C569" s="1">
        <v>0.54670600000000003</v>
      </c>
      <c r="D569" s="1">
        <v>0.23195299999999999</v>
      </c>
      <c r="E569" s="1"/>
      <c r="F569" s="1"/>
      <c r="G569" s="1"/>
      <c r="H569" s="1"/>
    </row>
    <row r="570" spans="1:8" x14ac:dyDescent="0.25">
      <c r="A570">
        <v>190</v>
      </c>
      <c r="B570" s="1">
        <v>784.11199999999997</v>
      </c>
      <c r="C570" s="1">
        <v>0.54261099999999995</v>
      </c>
      <c r="D570" s="1">
        <v>0.225526</v>
      </c>
      <c r="E570" s="1"/>
      <c r="F570" s="1"/>
      <c r="G570" s="1"/>
      <c r="H570" s="1"/>
    </row>
    <row r="571" spans="1:8" x14ac:dyDescent="0.25">
      <c r="A571">
        <v>191</v>
      </c>
      <c r="B571" s="1">
        <v>790.81200000000001</v>
      </c>
      <c r="C571" s="1">
        <v>0.53861999999999999</v>
      </c>
      <c r="D571" s="1">
        <v>0.21909100000000001</v>
      </c>
      <c r="E571" s="1"/>
      <c r="F571" s="1"/>
      <c r="G571" s="1"/>
      <c r="H571" s="1"/>
    </row>
    <row r="572" spans="1:8" x14ac:dyDescent="0.25">
      <c r="A572">
        <v>192</v>
      </c>
      <c r="B572" s="1">
        <v>797.52099999999996</v>
      </c>
      <c r="C572" s="1">
        <v>0.53473999999999999</v>
      </c>
      <c r="D572" s="1">
        <v>0.212649</v>
      </c>
      <c r="E572" s="1"/>
      <c r="F572" s="1"/>
      <c r="G572" s="1"/>
      <c r="H572" s="1"/>
    </row>
    <row r="573" spans="1:8" x14ac:dyDescent="0.25">
      <c r="A573">
        <v>193</v>
      </c>
      <c r="B573" s="1">
        <v>804.24099999999999</v>
      </c>
      <c r="C573" s="1">
        <v>0.53097799999999995</v>
      </c>
      <c r="D573" s="1">
        <v>0.20619699999999999</v>
      </c>
      <c r="E573" s="1"/>
      <c r="F573" s="1"/>
      <c r="G573" s="1"/>
      <c r="H573" s="1"/>
    </row>
    <row r="574" spans="1:8" x14ac:dyDescent="0.25">
      <c r="A574">
        <v>194</v>
      </c>
      <c r="B574" s="1">
        <v>810.97199999999998</v>
      </c>
      <c r="C574" s="1">
        <v>0.527335</v>
      </c>
      <c r="D574" s="1">
        <v>0.199736</v>
      </c>
      <c r="E574" s="1"/>
      <c r="F574" s="1"/>
      <c r="G574" s="1"/>
      <c r="H574" s="1"/>
    </row>
    <row r="575" spans="1:8" x14ac:dyDescent="0.25">
      <c r="A575">
        <v>195</v>
      </c>
      <c r="B575" s="1">
        <v>817.71199999999999</v>
      </c>
      <c r="C575" s="1">
        <v>0.52380400000000005</v>
      </c>
      <c r="D575" s="1">
        <v>0.19326699999999999</v>
      </c>
      <c r="E575" s="1"/>
      <c r="F575" s="1"/>
      <c r="G575" s="1"/>
      <c r="H575" s="1"/>
    </row>
    <row r="576" spans="1:8" x14ac:dyDescent="0.25">
      <c r="A576">
        <v>196</v>
      </c>
      <c r="B576" s="1">
        <v>824.46400000000006</v>
      </c>
      <c r="C576" s="1">
        <v>0.52037800000000001</v>
      </c>
      <c r="D576" s="1">
        <v>0.18679000000000001</v>
      </c>
      <c r="E576" s="1"/>
      <c r="F576" s="1"/>
      <c r="G576" s="1"/>
      <c r="H576" s="1"/>
    </row>
    <row r="577" spans="1:8" x14ac:dyDescent="0.25">
      <c r="A577">
        <v>197</v>
      </c>
      <c r="B577" s="1">
        <v>831.22699999999998</v>
      </c>
      <c r="C577" s="1">
        <v>0.51705599999999996</v>
      </c>
      <c r="D577" s="1">
        <v>0.18030399999999999</v>
      </c>
      <c r="E577" s="1"/>
      <c r="F577" s="1"/>
      <c r="G577" s="1"/>
      <c r="H577" s="1"/>
    </row>
    <row r="578" spans="1:8" x14ac:dyDescent="0.25">
      <c r="A578">
        <v>198</v>
      </c>
      <c r="B578" s="1">
        <v>838.00199999999995</v>
      </c>
      <c r="C578" s="1">
        <v>0.51383999999999996</v>
      </c>
      <c r="D578" s="1">
        <v>0.17380899999999999</v>
      </c>
      <c r="E578" s="1"/>
      <c r="F578" s="1"/>
      <c r="G578" s="1"/>
      <c r="H578" s="1"/>
    </row>
    <row r="579" spans="1:8" x14ac:dyDescent="0.25">
      <c r="A579">
        <v>199</v>
      </c>
      <c r="B579" s="1">
        <v>844.78899999999999</v>
      </c>
      <c r="C579" s="1">
        <v>0.51073500000000005</v>
      </c>
      <c r="D579" s="1">
        <v>0.16730500000000001</v>
      </c>
      <c r="E579" s="1"/>
      <c r="F579" s="1"/>
      <c r="G579" s="1"/>
      <c r="H579" s="1"/>
    </row>
    <row r="580" spans="1:8" x14ac:dyDescent="0.25">
      <c r="A580">
        <v>200</v>
      </c>
      <c r="B580" s="1">
        <v>851.58900000000006</v>
      </c>
      <c r="C580" s="1">
        <v>0.50774200000000003</v>
      </c>
      <c r="D580" s="1">
        <v>0.16078999999999999</v>
      </c>
      <c r="E580" s="1"/>
      <c r="F580" s="1"/>
      <c r="G580" s="1"/>
      <c r="H580" s="1"/>
    </row>
    <row r="581" spans="1:8" x14ac:dyDescent="0.25">
      <c r="A581">
        <v>201</v>
      </c>
      <c r="B581" s="1">
        <v>858.40099999999995</v>
      </c>
      <c r="C581" s="1">
        <v>0.50485999999999998</v>
      </c>
      <c r="D581" s="1">
        <v>0.15426400000000001</v>
      </c>
      <c r="E581" s="1"/>
      <c r="F581" s="1"/>
      <c r="G581" s="1"/>
      <c r="H581" s="1"/>
    </row>
    <row r="582" spans="1:8" x14ac:dyDescent="0.25">
      <c r="A582">
        <v>202</v>
      </c>
      <c r="B582" s="1">
        <v>865.226</v>
      </c>
      <c r="C582" s="1">
        <v>0.50208299999999995</v>
      </c>
      <c r="D582" s="1">
        <v>0.147727</v>
      </c>
      <c r="E582" s="1"/>
      <c r="F582" s="1"/>
      <c r="G582" s="1"/>
      <c r="H582" s="1"/>
    </row>
    <row r="583" spans="1:8" x14ac:dyDescent="0.25">
      <c r="A583">
        <v>203</v>
      </c>
      <c r="B583" s="1">
        <v>872.06600000000003</v>
      </c>
      <c r="C583" s="1">
        <v>0.49940499999999999</v>
      </c>
      <c r="D583" s="1">
        <v>0.14118</v>
      </c>
      <c r="E583" s="1"/>
      <c r="F583" s="1"/>
      <c r="G583" s="1"/>
      <c r="H583" s="1"/>
    </row>
    <row r="584" spans="1:8" x14ac:dyDescent="0.25">
      <c r="A584">
        <v>204</v>
      </c>
      <c r="B584" s="1">
        <v>878.91899999999998</v>
      </c>
      <c r="C584" s="1">
        <v>0.49682500000000002</v>
      </c>
      <c r="D584" s="1">
        <v>0.13462199999999999</v>
      </c>
      <c r="E584" s="1"/>
      <c r="F584" s="1"/>
      <c r="G584" s="1"/>
      <c r="H584" s="1"/>
    </row>
    <row r="585" spans="1:8" x14ac:dyDescent="0.25">
      <c r="A585">
        <v>205</v>
      </c>
      <c r="B585" s="1">
        <v>885.78800000000001</v>
      </c>
      <c r="C585" s="1">
        <v>0.494342</v>
      </c>
      <c r="D585" s="1">
        <v>0.128052</v>
      </c>
      <c r="E585" s="1"/>
      <c r="F585" s="1"/>
      <c r="G585" s="1"/>
      <c r="H585" s="1"/>
    </row>
    <row r="586" spans="1:8" x14ac:dyDescent="0.25">
      <c r="A586">
        <v>206</v>
      </c>
      <c r="B586" s="1">
        <v>892.67200000000003</v>
      </c>
      <c r="C586" s="1">
        <v>0.49196400000000001</v>
      </c>
      <c r="D586" s="1">
        <v>0.12146800000000001</v>
      </c>
      <c r="E586" s="1"/>
      <c r="F586" s="1"/>
      <c r="G586" s="1"/>
      <c r="H586" s="1"/>
    </row>
    <row r="587" spans="1:8" x14ac:dyDescent="0.25">
      <c r="A587">
        <v>207</v>
      </c>
      <c r="B587" s="1">
        <v>899.57100000000003</v>
      </c>
      <c r="C587" s="1">
        <v>0.48970000000000002</v>
      </c>
      <c r="D587" s="1">
        <v>0.11487</v>
      </c>
      <c r="E587" s="1"/>
      <c r="F587" s="1"/>
      <c r="G587" s="1"/>
      <c r="H587" s="1"/>
    </row>
    <row r="588" spans="1:8" x14ac:dyDescent="0.25">
      <c r="A588">
        <v>208</v>
      </c>
      <c r="B588" s="1">
        <v>906.48699999999997</v>
      </c>
      <c r="C588" s="1">
        <v>0.48755500000000002</v>
      </c>
      <c r="D588" s="1">
        <v>0.10825600000000001</v>
      </c>
      <c r="E588" s="1"/>
      <c r="F588" s="1"/>
      <c r="G588" s="1"/>
      <c r="H588" s="1"/>
    </row>
    <row r="589" spans="1:8" x14ac:dyDescent="0.25">
      <c r="A589">
        <v>209</v>
      </c>
      <c r="B589" s="1">
        <v>913.42100000000005</v>
      </c>
      <c r="C589" s="1">
        <v>0.48553299999999999</v>
      </c>
      <c r="D589" s="1">
        <v>0.101628</v>
      </c>
      <c r="E589" s="1"/>
      <c r="F589" s="1"/>
      <c r="G589" s="1"/>
      <c r="H589" s="1"/>
    </row>
    <row r="590" spans="1:8" x14ac:dyDescent="0.25">
      <c r="A590">
        <v>210</v>
      </c>
      <c r="B590" s="1">
        <v>920.37199999999996</v>
      </c>
      <c r="C590" s="1">
        <v>0.48363600000000001</v>
      </c>
      <c r="D590" s="1">
        <v>9.4985399999999998E-2</v>
      </c>
      <c r="E590" s="1"/>
      <c r="F590" s="1"/>
      <c r="G590" s="1"/>
      <c r="H590" s="1"/>
    </row>
    <row r="591" spans="1:8" x14ac:dyDescent="0.25">
      <c r="A591">
        <v>211</v>
      </c>
      <c r="B591" s="1">
        <v>927.34100000000001</v>
      </c>
      <c r="C591" s="1">
        <v>0.48186499999999999</v>
      </c>
      <c r="D591" s="1">
        <v>8.8329299999999999E-2</v>
      </c>
      <c r="E591" s="1"/>
      <c r="F591" s="1"/>
      <c r="G591" s="1"/>
      <c r="H591" s="1"/>
    </row>
    <row r="592" spans="1:8" x14ac:dyDescent="0.25">
      <c r="A592">
        <v>212</v>
      </c>
      <c r="B592" s="1">
        <v>934.33</v>
      </c>
      <c r="C592" s="1">
        <v>0.48021900000000001</v>
      </c>
      <c r="D592" s="1">
        <v>8.1658900000000006E-2</v>
      </c>
      <c r="E592" s="1"/>
      <c r="F592" s="1"/>
      <c r="G592" s="1"/>
      <c r="H592" s="1"/>
    </row>
    <row r="593" spans="1:8" x14ac:dyDescent="0.25">
      <c r="A593">
        <v>213</v>
      </c>
      <c r="B593" s="1">
        <v>941.33900000000006</v>
      </c>
      <c r="C593" s="1">
        <v>0.47869699999999998</v>
      </c>
      <c r="D593" s="1">
        <v>7.4972200000000003E-2</v>
      </c>
      <c r="E593" s="1"/>
      <c r="F593" s="1"/>
      <c r="G593" s="1"/>
      <c r="H593" s="1"/>
    </row>
    <row r="594" spans="1:8" x14ac:dyDescent="0.25">
      <c r="A594">
        <v>214</v>
      </c>
      <c r="B594" s="1">
        <v>948.36800000000005</v>
      </c>
      <c r="C594" s="1">
        <v>0.4773</v>
      </c>
      <c r="D594" s="1">
        <v>6.8266900000000005E-2</v>
      </c>
      <c r="E594" s="1"/>
      <c r="F594" s="1"/>
      <c r="G594" s="1"/>
      <c r="H594" s="1"/>
    </row>
    <row r="595" spans="1:8" x14ac:dyDescent="0.25">
      <c r="A595">
        <v>215</v>
      </c>
      <c r="B595" s="1">
        <v>955.41899999999998</v>
      </c>
      <c r="C595" s="1">
        <v>0.47602800000000001</v>
      </c>
      <c r="D595" s="1">
        <v>6.1541999999999999E-2</v>
      </c>
      <c r="E595" s="1"/>
      <c r="F595" s="1"/>
      <c r="G595" s="1"/>
      <c r="H595" s="1"/>
    </row>
    <row r="596" spans="1:8" x14ac:dyDescent="0.25">
      <c r="A596">
        <v>216</v>
      </c>
      <c r="B596" s="1">
        <v>962.49199999999996</v>
      </c>
      <c r="C596" s="1">
        <v>0.474885</v>
      </c>
      <c r="D596" s="1">
        <v>5.4796900000000003E-2</v>
      </c>
      <c r="E596" s="1"/>
      <c r="F596" s="1"/>
      <c r="G596" s="1"/>
      <c r="H596" s="1"/>
    </row>
    <row r="597" spans="1:8" x14ac:dyDescent="0.25">
      <c r="A597">
        <v>217</v>
      </c>
      <c r="B597" s="1">
        <v>969.58799999999997</v>
      </c>
      <c r="C597" s="1">
        <v>0.47387299999999999</v>
      </c>
      <c r="D597" s="1">
        <v>4.80306E-2</v>
      </c>
      <c r="E597" s="1"/>
      <c r="F597" s="1"/>
      <c r="G597" s="1"/>
      <c r="H597" s="1"/>
    </row>
    <row r="598" spans="1:8" x14ac:dyDescent="0.25">
      <c r="A598">
        <v>218</v>
      </c>
      <c r="B598" s="1">
        <v>976.70899999999995</v>
      </c>
      <c r="C598" s="1">
        <v>0.47299400000000003</v>
      </c>
      <c r="D598" s="1">
        <v>4.1241800000000002E-2</v>
      </c>
      <c r="E598" s="1"/>
      <c r="F598" s="1"/>
      <c r="G598" s="1"/>
      <c r="H598" s="1"/>
    </row>
    <row r="599" spans="1:8" x14ac:dyDescent="0.25">
      <c r="A599">
        <v>219</v>
      </c>
      <c r="B599" s="1">
        <v>983.85500000000002</v>
      </c>
      <c r="C599" s="1">
        <v>0.47224500000000003</v>
      </c>
      <c r="D599" s="1">
        <v>3.4430299999999997E-2</v>
      </c>
      <c r="E599" s="1"/>
      <c r="F599" s="1"/>
      <c r="G599" s="1"/>
      <c r="H599" s="1"/>
    </row>
    <row r="600" spans="1:8" x14ac:dyDescent="0.25">
      <c r="A600">
        <v>220</v>
      </c>
      <c r="B600" s="1">
        <v>991.02700000000004</v>
      </c>
      <c r="C600" s="1">
        <v>0.47162999999999999</v>
      </c>
      <c r="D600" s="1">
        <v>2.75953E-2</v>
      </c>
      <c r="E600" s="1"/>
      <c r="F600" s="1"/>
      <c r="G600" s="1"/>
      <c r="H600" s="1"/>
    </row>
    <row r="601" spans="1:8" x14ac:dyDescent="0.25">
      <c r="A601">
        <v>221</v>
      </c>
      <c r="B601" s="1">
        <v>998.226</v>
      </c>
      <c r="C601" s="1">
        <v>0.47114600000000001</v>
      </c>
      <c r="D601" s="1">
        <v>2.0735300000000002E-2</v>
      </c>
      <c r="E601" s="1"/>
      <c r="F601" s="1"/>
      <c r="G601" s="1"/>
      <c r="H601" s="1"/>
    </row>
    <row r="602" spans="1:8" x14ac:dyDescent="0.25">
      <c r="A602">
        <v>222</v>
      </c>
      <c r="B602" s="1">
        <v>1005.45</v>
      </c>
      <c r="C602" s="1">
        <v>0.47079599999999999</v>
      </c>
      <c r="D602" s="1">
        <v>1.38485E-2</v>
      </c>
      <c r="E602" s="1"/>
      <c r="F602" s="1"/>
      <c r="G602" s="1"/>
      <c r="H602" s="1"/>
    </row>
    <row r="603" spans="1:8" x14ac:dyDescent="0.25">
      <c r="A603">
        <v>223</v>
      </c>
      <c r="B603" s="1">
        <v>1012.71</v>
      </c>
      <c r="C603" s="1">
        <v>0.470582</v>
      </c>
      <c r="D603" s="1">
        <v>6.9358199999999997E-3</v>
      </c>
      <c r="E603" s="1"/>
      <c r="F603" s="1"/>
      <c r="G603" s="1"/>
      <c r="H603" s="1"/>
    </row>
    <row r="604" spans="1:8" x14ac:dyDescent="0.25">
      <c r="A604">
        <v>224</v>
      </c>
      <c r="B604" s="1">
        <v>1020</v>
      </c>
      <c r="C604" s="1">
        <v>0.47050900000000001</v>
      </c>
      <c r="D604" s="1">
        <v>0</v>
      </c>
      <c r="E604" s="1"/>
      <c r="F604" s="1"/>
      <c r="G604" s="1"/>
      <c r="H604" s="1"/>
    </row>
    <row r="605" spans="1:8" x14ac:dyDescent="0.25">
      <c r="B605" s="1"/>
      <c r="C605" s="1"/>
      <c r="D605" s="1"/>
      <c r="E605" s="1"/>
      <c r="F605" s="1"/>
      <c r="G605" s="1"/>
      <c r="H605" s="1"/>
    </row>
    <row r="606" spans="1:8" x14ac:dyDescent="0.25">
      <c r="B606" s="1"/>
      <c r="C606" s="1"/>
      <c r="D606" s="1"/>
      <c r="E606" s="1"/>
      <c r="F606" s="1"/>
      <c r="G606" s="1"/>
      <c r="H606" s="1"/>
    </row>
    <row r="607" spans="1:8" x14ac:dyDescent="0.25">
      <c r="A607">
        <v>6</v>
      </c>
      <c r="B607" s="1" t="s">
        <v>375</v>
      </c>
      <c r="C607" s="1" t="s">
        <v>36</v>
      </c>
      <c r="D607" s="1" t="s">
        <v>286</v>
      </c>
      <c r="E607" s="1" t="s">
        <v>266</v>
      </c>
      <c r="F607" s="1"/>
      <c r="G607" s="1"/>
      <c r="H607" s="1"/>
    </row>
    <row r="608" spans="1:8" x14ac:dyDescent="0.25">
      <c r="B608" s="1"/>
      <c r="C608" s="1"/>
      <c r="D608" s="1"/>
      <c r="E608" s="1"/>
      <c r="F608" s="1"/>
      <c r="G608" s="1"/>
      <c r="H608" s="1"/>
    </row>
    <row r="609" spans="1:9" x14ac:dyDescent="0.25">
      <c r="A609" t="s">
        <v>376</v>
      </c>
      <c r="B609" s="1" t="s">
        <v>36</v>
      </c>
      <c r="C609" s="1" t="s">
        <v>15</v>
      </c>
      <c r="D609" s="1" t="s">
        <v>117</v>
      </c>
      <c r="E609" s="1"/>
      <c r="F609" s="1"/>
      <c r="G609" s="1"/>
      <c r="H609" s="1"/>
    </row>
    <row r="610" spans="1:9" x14ac:dyDescent="0.25">
      <c r="B610" s="1"/>
      <c r="C610" s="1"/>
      <c r="D610" s="1"/>
      <c r="E610" s="1"/>
      <c r="F610" s="1"/>
      <c r="G610" s="1"/>
      <c r="H610" s="1"/>
    </row>
    <row r="611" spans="1:9" x14ac:dyDescent="0.25">
      <c r="B611" s="1" t="s">
        <v>369</v>
      </c>
      <c r="C611" s="1" t="s">
        <v>370</v>
      </c>
      <c r="D611" s="1" t="s">
        <v>377</v>
      </c>
      <c r="E611" s="1" t="s">
        <v>378</v>
      </c>
      <c r="F611" s="1" t="s">
        <v>379</v>
      </c>
      <c r="G611" s="1" t="s">
        <v>380</v>
      </c>
      <c r="H611" s="1" t="s">
        <v>381</v>
      </c>
      <c r="I611" t="s">
        <v>382</v>
      </c>
    </row>
    <row r="612" spans="1:9" x14ac:dyDescent="0.25">
      <c r="A612">
        <v>1</v>
      </c>
      <c r="B612" s="1">
        <v>0.153945</v>
      </c>
      <c r="C612" s="1">
        <v>7.4778099999999996E-6</v>
      </c>
      <c r="D612" s="1">
        <v>-0.24029700000000001</v>
      </c>
      <c r="E612" s="1">
        <v>3.2485999999999999E-3</v>
      </c>
      <c r="F612" s="1">
        <v>1.37542E-5</v>
      </c>
      <c r="G612" s="1">
        <v>0.23697099999999999</v>
      </c>
      <c r="H612" s="1">
        <v>-5.5628399999999998E-5</v>
      </c>
    </row>
    <row r="613" spans="1:9" x14ac:dyDescent="0.25">
      <c r="A613">
        <v>2</v>
      </c>
      <c r="B613" s="1">
        <v>0.46582699999999999</v>
      </c>
      <c r="C613" s="1">
        <v>1.19296E-4</v>
      </c>
      <c r="D613" s="1">
        <v>-0.22986000000000001</v>
      </c>
      <c r="E613" s="1">
        <v>8.3976599999999995E-3</v>
      </c>
      <c r="F613" s="1">
        <v>2.1433300000000001E-4</v>
      </c>
      <c r="G613" s="1">
        <v>0.221079</v>
      </c>
      <c r="H613" s="1">
        <v>-4.8968200000000003E-5</v>
      </c>
    </row>
    <row r="614" spans="1:9" x14ac:dyDescent="0.25">
      <c r="A614">
        <v>3</v>
      </c>
      <c r="B614" s="1">
        <v>0.78633399999999998</v>
      </c>
      <c r="C614" s="1">
        <v>5.47113E-4</v>
      </c>
      <c r="D614" s="1">
        <v>-0.221469</v>
      </c>
      <c r="E614" s="1">
        <v>1.24063E-2</v>
      </c>
      <c r="F614" s="1">
        <v>9.6289200000000002E-4</v>
      </c>
      <c r="G614" s="1">
        <v>0.207508</v>
      </c>
      <c r="H614" s="1">
        <v>-4.4915900000000001E-5</v>
      </c>
    </row>
    <row r="615" spans="1:9" x14ac:dyDescent="0.25">
      <c r="A615">
        <v>4</v>
      </c>
      <c r="B615" s="1">
        <v>1.11676</v>
      </c>
      <c r="C615" s="1">
        <v>1.55843E-3</v>
      </c>
      <c r="D615" s="1">
        <v>-0.21437500000000001</v>
      </c>
      <c r="E615" s="1">
        <v>1.5438800000000001E-2</v>
      </c>
      <c r="F615" s="1">
        <v>2.6650799999999998E-3</v>
      </c>
      <c r="G615" s="1">
        <v>0.19470100000000001</v>
      </c>
      <c r="H615" s="1">
        <v>-1.25438E-5</v>
      </c>
    </row>
    <row r="616" spans="1:9" x14ac:dyDescent="0.25">
      <c r="A616">
        <v>5</v>
      </c>
      <c r="B616" s="1">
        <v>1.45842</v>
      </c>
      <c r="C616" s="1">
        <v>3.46919E-3</v>
      </c>
      <c r="D616" s="1">
        <v>-0.20802999999999999</v>
      </c>
      <c r="E616" s="1">
        <v>1.76434E-2</v>
      </c>
      <c r="F616" s="1">
        <v>5.6967199999999997E-3</v>
      </c>
      <c r="G616" s="1">
        <v>0.18124399999999999</v>
      </c>
      <c r="H616" s="1">
        <v>2.2935899999999998E-5</v>
      </c>
    </row>
    <row r="617" spans="1:9" x14ac:dyDescent="0.25">
      <c r="A617">
        <v>6</v>
      </c>
      <c r="B617" s="1">
        <v>1.81264</v>
      </c>
      <c r="C617" s="1">
        <v>6.6353000000000002E-3</v>
      </c>
      <c r="D617" s="1">
        <v>-0.20197499999999999</v>
      </c>
      <c r="E617" s="1">
        <v>1.9152700000000002E-2</v>
      </c>
      <c r="F617" s="1">
        <v>1.0312E-2</v>
      </c>
      <c r="G617" s="1">
        <v>0.165931</v>
      </c>
      <c r="H617" s="1">
        <v>5.6369100000000002E-5</v>
      </c>
    </row>
    <row r="618" spans="1:9" x14ac:dyDescent="0.25">
      <c r="A618">
        <v>7</v>
      </c>
      <c r="B618" s="1">
        <v>2.1807599999999998</v>
      </c>
      <c r="C618" s="1">
        <v>1.14343E-2</v>
      </c>
      <c r="D618" s="1">
        <v>-0.19586400000000001</v>
      </c>
      <c r="E618" s="1">
        <v>2.0085100000000002E-2</v>
      </c>
      <c r="F618" s="1">
        <v>1.65462E-2</v>
      </c>
      <c r="G618" s="1">
        <v>0.14788399999999999</v>
      </c>
      <c r="H618" s="1">
        <v>8.5561899999999998E-5</v>
      </c>
    </row>
    <row r="619" spans="1:9" x14ac:dyDescent="0.25">
      <c r="A619">
        <v>8</v>
      </c>
      <c r="B619" s="1">
        <v>2.5641400000000001</v>
      </c>
      <c r="C619" s="1">
        <v>1.8236200000000001E-2</v>
      </c>
      <c r="D619" s="1">
        <v>-0.18948499999999999</v>
      </c>
      <c r="E619" s="1">
        <v>2.05452E-2</v>
      </c>
      <c r="F619" s="1">
        <v>2.41415E-2</v>
      </c>
      <c r="G619" s="1">
        <v>0.12667300000000001</v>
      </c>
      <c r="H619" s="1">
        <v>1.10945E-4</v>
      </c>
    </row>
    <row r="620" spans="1:9" x14ac:dyDescent="0.25">
      <c r="A620">
        <v>9</v>
      </c>
      <c r="B620" s="1">
        <v>2.9641299999999999</v>
      </c>
      <c r="C620" s="1">
        <v>2.7364200000000002E-2</v>
      </c>
      <c r="D620" s="1">
        <v>-0.18277499999999999</v>
      </c>
      <c r="E620" s="1">
        <v>2.0624E-2</v>
      </c>
      <c r="F620" s="1">
        <v>3.2520800000000002E-2</v>
      </c>
      <c r="G620" s="1">
        <v>0.10240100000000001</v>
      </c>
      <c r="H620" s="1">
        <v>1.3575600000000001E-4</v>
      </c>
    </row>
    <row r="621" spans="1:9" x14ac:dyDescent="0.25">
      <c r="A621">
        <v>10</v>
      </c>
      <c r="B621" s="1">
        <v>3.38212</v>
      </c>
      <c r="C621" s="1">
        <v>3.9047699999999998E-2</v>
      </c>
      <c r="D621" s="1">
        <v>-0.175815</v>
      </c>
      <c r="E621" s="1">
        <v>2.0399500000000001E-2</v>
      </c>
      <c r="F621" s="1">
        <v>4.0826000000000001E-2</v>
      </c>
      <c r="G621" s="1">
        <v>7.57076E-2</v>
      </c>
      <c r="H621" s="1">
        <v>1.6531299999999999E-4</v>
      </c>
    </row>
    <row r="622" spans="1:9" x14ac:dyDescent="0.25">
      <c r="A622">
        <v>11</v>
      </c>
      <c r="B622" s="1">
        <v>3.8194699999999999</v>
      </c>
      <c r="C622" s="1">
        <v>5.3374600000000001E-2</v>
      </c>
      <c r="D622" s="1">
        <v>-0.16881199999999999</v>
      </c>
      <c r="E622" s="1">
        <v>1.9935700000000001E-2</v>
      </c>
      <c r="F622" s="1">
        <v>4.8020199999999999E-2</v>
      </c>
      <c r="G622" s="1">
        <v>4.7687500000000001E-2</v>
      </c>
      <c r="H622" s="1">
        <v>2.0567900000000001E-4</v>
      </c>
    </row>
    <row r="623" spans="1:9" x14ac:dyDescent="0.25">
      <c r="A623">
        <v>12</v>
      </c>
      <c r="B623" s="1">
        <v>4.2775699999999999</v>
      </c>
      <c r="C623" s="1">
        <v>7.02483E-2</v>
      </c>
      <c r="D623" s="1">
        <v>-0.162049</v>
      </c>
      <c r="E623" s="1">
        <v>1.9283600000000001E-2</v>
      </c>
      <c r="F623" s="1">
        <v>5.3039700000000002E-2</v>
      </c>
      <c r="G623" s="1">
        <v>1.9739199999999998E-2</v>
      </c>
      <c r="H623" s="1">
        <v>2.6205299999999999E-4</v>
      </c>
    </row>
    <row r="624" spans="1:9" x14ac:dyDescent="0.25">
      <c r="A624">
        <v>13</v>
      </c>
      <c r="B624" s="1">
        <v>4.7577800000000003</v>
      </c>
      <c r="C624" s="1">
        <v>8.9360499999999995E-2</v>
      </c>
      <c r="D624" s="1">
        <v>-0.155829</v>
      </c>
      <c r="E624" s="1">
        <v>1.84811E-2</v>
      </c>
      <c r="F624" s="1">
        <v>5.49662E-2</v>
      </c>
      <c r="G624" s="1">
        <v>-6.6413599999999998E-3</v>
      </c>
      <c r="H624" s="1">
        <v>3.3733800000000002E-4</v>
      </c>
    </row>
    <row r="625" spans="1:8" x14ac:dyDescent="0.25">
      <c r="A625">
        <v>14</v>
      </c>
      <c r="B625" s="1">
        <v>5.2614799999999997</v>
      </c>
      <c r="C625" s="1">
        <v>0.11018600000000001</v>
      </c>
      <c r="D625" s="1">
        <v>-0.150421</v>
      </c>
      <c r="E625" s="1">
        <v>1.7554299999999998E-2</v>
      </c>
      <c r="F625" s="1">
        <v>5.3182399999999998E-2</v>
      </c>
      <c r="G625" s="1">
        <v>-3.0070800000000002E-2</v>
      </c>
      <c r="H625" s="1">
        <v>4.31247E-4</v>
      </c>
    </row>
    <row r="626" spans="1:8" x14ac:dyDescent="0.25">
      <c r="A626">
        <v>15</v>
      </c>
      <c r="B626" s="1">
        <v>5.7900499999999999</v>
      </c>
      <c r="C626" s="1">
        <v>0.13200500000000001</v>
      </c>
      <c r="D626" s="1">
        <v>-0.146005</v>
      </c>
      <c r="E626" s="1">
        <v>1.6519599999999999E-2</v>
      </c>
      <c r="F626" s="1">
        <v>4.74802E-2</v>
      </c>
      <c r="G626" s="1">
        <v>-4.9459099999999999E-2</v>
      </c>
      <c r="H626" s="1">
        <v>5.4019599999999995E-4</v>
      </c>
    </row>
    <row r="627" spans="1:8" x14ac:dyDescent="0.25">
      <c r="A627">
        <v>16</v>
      </c>
      <c r="B627" s="1">
        <v>6.3448399999999996</v>
      </c>
      <c r="C627" s="1">
        <v>0.15395200000000001</v>
      </c>
      <c r="D627" s="1">
        <v>-0.142651</v>
      </c>
      <c r="E627" s="1">
        <v>1.53864E-2</v>
      </c>
      <c r="F627" s="1">
        <v>3.8099500000000001E-2</v>
      </c>
      <c r="G627" s="1">
        <v>-6.4128699999999997E-2</v>
      </c>
      <c r="H627" s="1">
        <v>6.5798099999999997E-4</v>
      </c>
    </row>
    <row r="628" spans="1:8" x14ac:dyDescent="0.25">
      <c r="A628">
        <v>17</v>
      </c>
      <c r="B628" s="1">
        <v>6.9272099999999996</v>
      </c>
      <c r="C628" s="1">
        <v>0.175093</v>
      </c>
      <c r="D628" s="1">
        <v>-0.14030899999999999</v>
      </c>
      <c r="E628" s="1">
        <v>1.4160300000000001E-2</v>
      </c>
      <c r="F628" s="1">
        <v>2.56913E-2</v>
      </c>
      <c r="G628" s="1">
        <v>-7.3858599999999996E-2</v>
      </c>
      <c r="H628" s="1">
        <v>7.7701199999999999E-4</v>
      </c>
    </row>
    <row r="629" spans="1:8" x14ac:dyDescent="0.25">
      <c r="A629">
        <v>18</v>
      </c>
      <c r="B629" s="1">
        <v>7.5385099999999996</v>
      </c>
      <c r="C629" s="1">
        <v>0.19450500000000001</v>
      </c>
      <c r="D629" s="1">
        <v>-0.138824</v>
      </c>
      <c r="E629" s="1">
        <v>1.28469E-2</v>
      </c>
      <c r="F629" s="1">
        <v>1.1217400000000001E-2</v>
      </c>
      <c r="G629" s="1">
        <v>-7.8855300000000003E-2</v>
      </c>
      <c r="H629" s="1">
        <v>8.8976699999999997E-4</v>
      </c>
    </row>
    <row r="630" spans="1:8" x14ac:dyDescent="0.25">
      <c r="A630">
        <v>19</v>
      </c>
      <c r="B630" s="1">
        <v>8.1800700000000006</v>
      </c>
      <c r="C630" s="1">
        <v>0.211367</v>
      </c>
      <c r="D630" s="1">
        <v>-0.13797300000000001</v>
      </c>
      <c r="E630" s="1">
        <v>1.1455099999999999E-2</v>
      </c>
      <c r="F630" s="1">
        <v>-4.1909800000000004E-3</v>
      </c>
      <c r="G630" s="1">
        <v>-7.9668100000000006E-2</v>
      </c>
      <c r="H630" s="1">
        <v>9.9008800000000008E-4</v>
      </c>
    </row>
    <row r="631" spans="1:8" x14ac:dyDescent="0.25">
      <c r="A631">
        <v>20</v>
      </c>
      <c r="B631" s="1">
        <v>8.8532100000000007</v>
      </c>
      <c r="C631" s="1">
        <v>0.22502900000000001</v>
      </c>
      <c r="D631" s="1">
        <v>-0.13749600000000001</v>
      </c>
      <c r="E631" s="1">
        <v>9.99945E-3</v>
      </c>
      <c r="F631" s="1">
        <v>-1.9386899999999999E-2</v>
      </c>
      <c r="G631" s="1">
        <v>-7.7071000000000001E-2</v>
      </c>
      <c r="H631" s="1">
        <v>1.0740599999999999E-3</v>
      </c>
    </row>
    <row r="632" spans="1:8" x14ac:dyDescent="0.25">
      <c r="A632">
        <v>21</v>
      </c>
      <c r="B632" s="1">
        <v>9.5592299999999994</v>
      </c>
      <c r="C632" s="1">
        <v>0.23506299999999999</v>
      </c>
      <c r="D632" s="1">
        <v>-0.13714000000000001</v>
      </c>
      <c r="E632" s="1">
        <v>8.5017900000000004E-3</v>
      </c>
      <c r="F632" s="1">
        <v>-3.3345399999999997E-2</v>
      </c>
      <c r="G632" s="1">
        <v>-7.1938699999999994E-2</v>
      </c>
      <c r="H632" s="1">
        <v>1.14029E-3</v>
      </c>
    </row>
    <row r="633" spans="1:8" x14ac:dyDescent="0.25">
      <c r="A633">
        <v>22</v>
      </c>
      <c r="B633" s="1">
        <v>10.2994</v>
      </c>
      <c r="C633" s="1">
        <v>0.241285</v>
      </c>
      <c r="D633" s="1">
        <v>-0.136685</v>
      </c>
      <c r="E633" s="1">
        <v>6.9912200000000002E-3</v>
      </c>
      <c r="F633" s="1">
        <v>-4.5264699999999998E-2</v>
      </c>
      <c r="G633" s="1">
        <v>-6.5136299999999994E-2</v>
      </c>
      <c r="H633" s="1">
        <v>1.1896700000000001E-3</v>
      </c>
    </row>
    <row r="634" spans="1:8" x14ac:dyDescent="0.25">
      <c r="A634">
        <v>23</v>
      </c>
      <c r="B634" s="1">
        <v>11.074999999999999</v>
      </c>
      <c r="C634" s="1">
        <v>0.24374199999999999</v>
      </c>
      <c r="D634" s="1">
        <v>-0.135961</v>
      </c>
      <c r="E634" s="1">
        <v>5.5026099999999998E-3</v>
      </c>
      <c r="F634" s="1">
        <v>-5.4621400000000001E-2</v>
      </c>
      <c r="G634" s="1">
        <v>-5.7437500000000002E-2</v>
      </c>
      <c r="H634" s="1">
        <v>1.2247499999999999E-3</v>
      </c>
    </row>
    <row r="635" spans="1:8" x14ac:dyDescent="0.25">
      <c r="A635">
        <v>24</v>
      </c>
      <c r="B635" s="1">
        <v>11.8874</v>
      </c>
      <c r="C635" s="1">
        <v>0.24268400000000001</v>
      </c>
      <c r="D635" s="1">
        <v>-0.134856</v>
      </c>
      <c r="E635" s="1">
        <v>4.0741700000000002E-3</v>
      </c>
      <c r="F635" s="1">
        <v>-6.1178200000000002E-2</v>
      </c>
      <c r="G635" s="1">
        <v>-4.9474999999999998E-2</v>
      </c>
      <c r="H635" s="1">
        <v>1.24887E-3</v>
      </c>
    </row>
    <row r="636" spans="1:8" x14ac:dyDescent="0.25">
      <c r="A636">
        <v>25</v>
      </c>
      <c r="B636" s="1">
        <v>12.7376</v>
      </c>
      <c r="C636" s="1">
        <v>0.238511</v>
      </c>
      <c r="D636" s="1">
        <v>-0.13331200000000001</v>
      </c>
      <c r="E636" s="1">
        <v>2.74421E-3</v>
      </c>
      <c r="F636" s="1">
        <v>-6.4954499999999998E-2</v>
      </c>
      <c r="G636" s="1">
        <v>-4.1723299999999998E-2</v>
      </c>
      <c r="H636" s="1">
        <v>1.2654999999999999E-3</v>
      </c>
    </row>
    <row r="637" spans="1:8" x14ac:dyDescent="0.25">
      <c r="A637">
        <v>26</v>
      </c>
      <c r="B637" s="1">
        <v>13.626899999999999</v>
      </c>
      <c r="C637" s="1">
        <v>0.23172100000000001</v>
      </c>
      <c r="D637" s="1">
        <v>-0.13131599999999999</v>
      </c>
      <c r="E637" s="1">
        <v>1.5477500000000001E-3</v>
      </c>
      <c r="F637" s="1">
        <v>-6.6171999999999995E-2</v>
      </c>
      <c r="G637" s="1">
        <v>-3.4503499999999999E-2</v>
      </c>
      <c r="H637" s="1">
        <v>1.2775900000000001E-3</v>
      </c>
    </row>
    <row r="638" spans="1:8" x14ac:dyDescent="0.25">
      <c r="A638">
        <v>27</v>
      </c>
      <c r="B638" s="1">
        <v>14.5565</v>
      </c>
      <c r="C638" s="1">
        <v>0.222857</v>
      </c>
      <c r="D638" s="1">
        <v>-0.12889</v>
      </c>
      <c r="E638" s="1">
        <v>5.1349800000000004E-4</v>
      </c>
      <c r="F638" s="1">
        <v>-6.5188899999999994E-2</v>
      </c>
      <c r="G638" s="1">
        <v>-2.8004899999999999E-2</v>
      </c>
      <c r="H638" s="1">
        <v>1.2873299999999999E-3</v>
      </c>
    </row>
    <row r="639" spans="1:8" x14ac:dyDescent="0.25">
      <c r="A639">
        <v>28</v>
      </c>
      <c r="B639" s="1">
        <v>15.5276</v>
      </c>
      <c r="C639" s="1">
        <v>0.21245800000000001</v>
      </c>
      <c r="D639" s="1">
        <v>-0.12607399999999999</v>
      </c>
      <c r="E639" s="1">
        <v>-3.3849699999999999E-4</v>
      </c>
      <c r="F639" s="1">
        <v>-6.2436800000000001E-2</v>
      </c>
      <c r="G639" s="1">
        <v>-2.2313300000000001E-2</v>
      </c>
      <c r="H639" s="1">
        <v>1.29608E-3</v>
      </c>
    </row>
    <row r="640" spans="1:8" x14ac:dyDescent="0.25">
      <c r="A640">
        <v>29</v>
      </c>
      <c r="B640" s="1">
        <v>16.5412</v>
      </c>
      <c r="C640" s="1">
        <v>0.20102800000000001</v>
      </c>
      <c r="D640" s="1">
        <v>-0.12292</v>
      </c>
      <c r="E640" s="1">
        <v>-9.9818299999999993E-4</v>
      </c>
      <c r="F640" s="1">
        <v>-5.8365199999999999E-2</v>
      </c>
      <c r="G640" s="1">
        <v>-1.7439699999999999E-2</v>
      </c>
      <c r="H640" s="1">
        <v>1.30445E-3</v>
      </c>
    </row>
    <row r="641" spans="1:8" x14ac:dyDescent="0.25">
      <c r="A641">
        <v>30</v>
      </c>
      <c r="B641" s="1">
        <v>17.598500000000001</v>
      </c>
      <c r="C641" s="1">
        <v>0.18901100000000001</v>
      </c>
      <c r="D641" s="1">
        <v>-0.11948599999999999</v>
      </c>
      <c r="E641" s="1">
        <v>-1.4657800000000001E-3</v>
      </c>
      <c r="F641" s="1">
        <v>-5.3400799999999998E-2</v>
      </c>
      <c r="G641" s="1">
        <v>-1.3346E-2</v>
      </c>
      <c r="H641" s="1">
        <v>1.3124600000000001E-3</v>
      </c>
    </row>
    <row r="642" spans="1:8" x14ac:dyDescent="0.25">
      <c r="A642">
        <v>31</v>
      </c>
      <c r="B642" s="1">
        <v>18.700500000000002</v>
      </c>
      <c r="C642" s="1">
        <v>0.17678199999999999</v>
      </c>
      <c r="D642" s="1">
        <v>-0.115825</v>
      </c>
      <c r="E642" s="1">
        <v>-1.7509800000000001E-3</v>
      </c>
      <c r="F642" s="1">
        <v>-4.7920299999999999E-2</v>
      </c>
      <c r="G642" s="1">
        <v>-9.9660900000000004E-3</v>
      </c>
      <c r="H642" s="1">
        <v>1.3198000000000001E-3</v>
      </c>
    </row>
    <row r="643" spans="1:8" x14ac:dyDescent="0.25">
      <c r="A643">
        <v>32</v>
      </c>
      <c r="B643" s="1">
        <v>19.848400000000002</v>
      </c>
      <c r="C643" s="1">
        <v>0.16464400000000001</v>
      </c>
      <c r="D643" s="1">
        <v>-0.11199000000000001</v>
      </c>
      <c r="E643" s="1">
        <v>-1.8714300000000001E-3</v>
      </c>
      <c r="F643" s="1">
        <v>-4.2236599999999999E-2</v>
      </c>
      <c r="G643" s="1">
        <v>-7.2197299999999997E-3</v>
      </c>
      <c r="H643" s="1">
        <v>1.32602E-3</v>
      </c>
    </row>
    <row r="644" spans="1:8" x14ac:dyDescent="0.25">
      <c r="A644">
        <v>33</v>
      </c>
      <c r="B644" s="1">
        <v>21.042999999999999</v>
      </c>
      <c r="C644" s="1">
        <v>0.15282699999999999</v>
      </c>
      <c r="D644" s="1">
        <v>-0.108027</v>
      </c>
      <c r="E644" s="1">
        <v>-1.8506200000000001E-3</v>
      </c>
      <c r="F644" s="1">
        <v>-3.6595900000000001E-2</v>
      </c>
      <c r="G644" s="1">
        <v>-5.0227500000000003E-3</v>
      </c>
      <c r="H644" s="1">
        <v>1.3305999999999999E-3</v>
      </c>
    </row>
    <row r="645" spans="1:8" x14ac:dyDescent="0.25">
      <c r="A645">
        <v>34</v>
      </c>
      <c r="B645" s="1">
        <v>22.285499999999999</v>
      </c>
      <c r="C645" s="1">
        <v>0.14150199999999999</v>
      </c>
      <c r="D645" s="1">
        <v>-0.10398</v>
      </c>
      <c r="E645" s="1">
        <v>-1.7156300000000001E-3</v>
      </c>
      <c r="F645" s="1">
        <v>-3.1180300000000001E-2</v>
      </c>
      <c r="G645" s="1">
        <v>-3.2928800000000002E-3</v>
      </c>
      <c r="H645" s="1">
        <v>1.3330600000000001E-3</v>
      </c>
    </row>
    <row r="646" spans="1:8" x14ac:dyDescent="0.25">
      <c r="A646">
        <v>35</v>
      </c>
      <c r="B646" s="1">
        <v>23.576599999999999</v>
      </c>
      <c r="C646" s="1">
        <v>0.13078300000000001</v>
      </c>
      <c r="D646" s="1">
        <v>-9.9885799999999997E-2</v>
      </c>
      <c r="E646" s="1">
        <v>-1.49485E-3</v>
      </c>
      <c r="F646" s="1">
        <v>-2.6115300000000001E-2</v>
      </c>
      <c r="G646" s="1">
        <v>-1.9538699999999999E-3</v>
      </c>
      <c r="H646" s="1">
        <v>1.3330099999999999E-3</v>
      </c>
    </row>
    <row r="647" spans="1:8" x14ac:dyDescent="0.25">
      <c r="A647">
        <v>36</v>
      </c>
      <c r="B647" s="1">
        <v>24.9175</v>
      </c>
      <c r="C647" s="1">
        <v>0.120742</v>
      </c>
      <c r="D647" s="1">
        <v>-9.5780599999999994E-2</v>
      </c>
      <c r="E647" s="1">
        <v>-1.21583E-3</v>
      </c>
      <c r="F647" s="1">
        <v>-2.1478199999999999E-2</v>
      </c>
      <c r="G647" s="1">
        <v>-9.3768900000000001E-4</v>
      </c>
      <c r="H647" s="1">
        <v>1.33018E-3</v>
      </c>
    </row>
    <row r="648" spans="1:8" x14ac:dyDescent="0.25">
      <c r="A648">
        <v>37</v>
      </c>
      <c r="B648" s="1">
        <v>26.308900000000001</v>
      </c>
      <c r="C648" s="1">
        <v>0.111417</v>
      </c>
      <c r="D648" s="1">
        <v>-9.1695200000000004E-2</v>
      </c>
      <c r="E648" s="1">
        <v>-9.0362799999999996E-4</v>
      </c>
      <c r="F648" s="1">
        <v>-1.73087E-2</v>
      </c>
      <c r="G648" s="1">
        <v>-1.8468900000000001E-4</v>
      </c>
      <c r="H648" s="1">
        <v>1.32441E-3</v>
      </c>
    </row>
    <row r="649" spans="1:8" x14ac:dyDescent="0.25">
      <c r="A649">
        <v>38</v>
      </c>
      <c r="B649" s="1">
        <v>27.7517</v>
      </c>
      <c r="C649" s="1">
        <v>0.102815</v>
      </c>
      <c r="D649" s="1">
        <v>-8.7658100000000003E-2</v>
      </c>
      <c r="E649" s="1">
        <v>-5.7975300000000002E-4</v>
      </c>
      <c r="F649" s="1">
        <v>-1.36179E-2</v>
      </c>
      <c r="G649" s="1">
        <v>3.5651699999999999E-4</v>
      </c>
      <c r="H649" s="1">
        <v>1.31573E-3</v>
      </c>
    </row>
    <row r="650" spans="1:8" x14ac:dyDescent="0.25">
      <c r="A650">
        <v>39</v>
      </c>
      <c r="B650" s="1">
        <v>29.246700000000001</v>
      </c>
      <c r="C650" s="1">
        <v>9.4927300000000006E-2</v>
      </c>
      <c r="D650" s="1">
        <v>-8.3694000000000005E-2</v>
      </c>
      <c r="E650" s="1">
        <v>-2.6197999999999998E-4</v>
      </c>
      <c r="F650" s="1">
        <v>-1.03964E-2</v>
      </c>
      <c r="G650" s="1">
        <v>7.2937200000000005E-4</v>
      </c>
      <c r="H650" s="1">
        <v>1.30422E-3</v>
      </c>
    </row>
    <row r="651" spans="1:8" x14ac:dyDescent="0.25">
      <c r="A651">
        <v>40</v>
      </c>
      <c r="B651" s="1">
        <v>30.794799999999999</v>
      </c>
      <c r="C651" s="1">
        <v>8.7729299999999996E-2</v>
      </c>
      <c r="D651" s="1">
        <v>-7.9824900000000004E-2</v>
      </c>
      <c r="E651" s="1">
        <v>3.5503400000000003E-5</v>
      </c>
      <c r="F651" s="1">
        <v>-7.6207599999999999E-3</v>
      </c>
      <c r="G651" s="1">
        <v>9.7094E-4</v>
      </c>
      <c r="H651" s="1">
        <v>1.2900100000000001E-3</v>
      </c>
    </row>
    <row r="652" spans="1:8" x14ac:dyDescent="0.25">
      <c r="A652">
        <v>41</v>
      </c>
      <c r="B652" s="1">
        <v>32.396700000000003</v>
      </c>
      <c r="C652" s="1">
        <v>8.1186499999999995E-2</v>
      </c>
      <c r="D652" s="1">
        <v>-7.6069399999999995E-2</v>
      </c>
      <c r="E652" s="1">
        <v>3.0197900000000002E-4</v>
      </c>
      <c r="F652" s="1">
        <v>-5.2587600000000003E-3</v>
      </c>
      <c r="G652" s="1">
        <v>1.11282E-3</v>
      </c>
      <c r="H652" s="1">
        <v>1.2731800000000001E-3</v>
      </c>
    </row>
    <row r="653" spans="1:8" x14ac:dyDescent="0.25">
      <c r="A653">
        <v>42</v>
      </c>
      <c r="B653" s="1">
        <v>34.053100000000001</v>
      </c>
      <c r="C653" s="1">
        <v>7.5258099999999994E-2</v>
      </c>
      <c r="D653" s="1">
        <v>-7.2442300000000001E-2</v>
      </c>
      <c r="E653" s="1">
        <v>5.3042300000000003E-4</v>
      </c>
      <c r="F653" s="1">
        <v>-3.2732099999999999E-3</v>
      </c>
      <c r="G653" s="1">
        <v>1.1808299999999999E-3</v>
      </c>
      <c r="H653" s="1">
        <v>1.25381E-3</v>
      </c>
    </row>
    <row r="654" spans="1:8" x14ac:dyDescent="0.25">
      <c r="A654">
        <v>43</v>
      </c>
      <c r="B654" s="1">
        <v>35.764699999999998</v>
      </c>
      <c r="C654" s="1">
        <v>6.9899600000000006E-2</v>
      </c>
      <c r="D654" s="1">
        <v>-6.8955100000000005E-2</v>
      </c>
      <c r="E654" s="1">
        <v>7.1741000000000003E-4</v>
      </c>
      <c r="F654" s="1">
        <v>-1.62425E-3</v>
      </c>
      <c r="G654" s="1">
        <v>1.1943699999999999E-3</v>
      </c>
      <c r="H654" s="1">
        <v>1.2320199999999999E-3</v>
      </c>
    </row>
    <row r="655" spans="1:8" x14ac:dyDescent="0.25">
      <c r="A655">
        <v>44</v>
      </c>
      <c r="B655" s="1">
        <v>37.532200000000003</v>
      </c>
      <c r="C655" s="1">
        <v>6.5066100000000002E-2</v>
      </c>
      <c r="D655" s="1">
        <v>-6.56162E-2</v>
      </c>
      <c r="E655" s="1">
        <v>8.6269999999999999E-4</v>
      </c>
      <c r="F655" s="1">
        <v>-2.72417E-4</v>
      </c>
      <c r="G655" s="1">
        <v>1.1677899999999999E-3</v>
      </c>
      <c r="H655" s="1">
        <v>1.2079E-3</v>
      </c>
    </row>
    <row r="656" spans="1:8" x14ac:dyDescent="0.25">
      <c r="A656">
        <v>45</v>
      </c>
      <c r="B656" s="1">
        <v>39.356200000000001</v>
      </c>
      <c r="C656" s="1">
        <v>6.0712799999999997E-2</v>
      </c>
      <c r="D656" s="1">
        <v>-6.2431500000000001E-2</v>
      </c>
      <c r="E656" s="1">
        <v>9.6836000000000003E-4</v>
      </c>
      <c r="F656" s="1">
        <v>8.1818099999999996E-4</v>
      </c>
      <c r="G656" s="1">
        <v>1.1138999999999999E-3</v>
      </c>
      <c r="H656" s="1">
        <v>1.1817500000000001E-3</v>
      </c>
    </row>
    <row r="657" spans="1:8" x14ac:dyDescent="0.25">
      <c r="A657">
        <v>46</v>
      </c>
      <c r="B657" s="1">
        <v>41.237200000000001</v>
      </c>
      <c r="C657" s="1">
        <v>5.67958E-2</v>
      </c>
      <c r="D657" s="1">
        <v>-5.9403900000000003E-2</v>
      </c>
      <c r="E657" s="1">
        <v>1.0372700000000001E-3</v>
      </c>
      <c r="F657" s="1">
        <v>1.6808700000000001E-3</v>
      </c>
      <c r="G657" s="1">
        <v>1.04375E-3</v>
      </c>
      <c r="H657" s="1">
        <v>1.15383E-3</v>
      </c>
    </row>
    <row r="658" spans="1:8" x14ac:dyDescent="0.25">
      <c r="A658">
        <v>47</v>
      </c>
      <c r="B658" s="1">
        <v>43.175800000000002</v>
      </c>
      <c r="C658" s="1">
        <v>5.3271600000000002E-2</v>
      </c>
      <c r="D658" s="1">
        <v>-5.6533100000000003E-2</v>
      </c>
      <c r="E658" s="1">
        <v>1.07227E-3</v>
      </c>
      <c r="F658" s="1">
        <v>2.3481000000000001E-3</v>
      </c>
      <c r="G658" s="1">
        <v>9.6544000000000003E-4</v>
      </c>
      <c r="H658" s="1">
        <v>1.12436E-3</v>
      </c>
    </row>
    <row r="659" spans="1:8" x14ac:dyDescent="0.25">
      <c r="A659">
        <v>48</v>
      </c>
      <c r="B659" s="1">
        <v>45.172600000000003</v>
      </c>
      <c r="C659" s="1">
        <v>5.0098400000000001E-2</v>
      </c>
      <c r="D659" s="1">
        <v>-5.3816200000000002E-2</v>
      </c>
      <c r="E659" s="1">
        <v>1.07627E-3</v>
      </c>
      <c r="F659" s="1">
        <v>2.8508700000000001E-3</v>
      </c>
      <c r="G659" s="1">
        <v>8.8431600000000001E-4</v>
      </c>
      <c r="H659" s="1">
        <v>1.09359E-3</v>
      </c>
    </row>
    <row r="660" spans="1:8" x14ac:dyDescent="0.25">
      <c r="A660">
        <v>49</v>
      </c>
      <c r="B660" s="1">
        <v>47.228000000000002</v>
      </c>
      <c r="C660" s="1">
        <v>4.7237099999999997E-2</v>
      </c>
      <c r="D660" s="1">
        <v>-5.12489E-2</v>
      </c>
      <c r="E660" s="1">
        <v>1.0526400000000001E-3</v>
      </c>
      <c r="F660" s="1">
        <v>3.2166999999999999E-3</v>
      </c>
      <c r="G660" s="1">
        <v>8.0430499999999995E-4</v>
      </c>
      <c r="H660" s="1">
        <v>1.06178E-3</v>
      </c>
    </row>
    <row r="661" spans="1:8" x14ac:dyDescent="0.25">
      <c r="A661">
        <v>50</v>
      </c>
      <c r="B661" s="1">
        <v>49.342500000000001</v>
      </c>
      <c r="C661" s="1">
        <v>4.4652299999999999E-2</v>
      </c>
      <c r="D661" s="1">
        <v>-4.8825899999999998E-2</v>
      </c>
      <c r="E661" s="1">
        <v>1.0054899999999999E-3</v>
      </c>
      <c r="F661" s="1">
        <v>3.4682200000000002E-3</v>
      </c>
      <c r="G661" s="1">
        <v>7.2924899999999996E-4</v>
      </c>
      <c r="H661" s="1">
        <v>1.02929E-3</v>
      </c>
    </row>
    <row r="662" spans="1:8" x14ac:dyDescent="0.25">
      <c r="A662">
        <v>51</v>
      </c>
      <c r="B662" s="1">
        <v>51.516399999999997</v>
      </c>
      <c r="C662" s="1">
        <v>4.2311799999999997E-2</v>
      </c>
      <c r="D662" s="1">
        <v>-4.6541100000000002E-2</v>
      </c>
      <c r="E662" s="1">
        <v>9.3915000000000003E-4</v>
      </c>
      <c r="F662" s="1">
        <v>3.6258499999999999E-3</v>
      </c>
      <c r="G662" s="1">
        <v>6.6071999999999995E-4</v>
      </c>
      <c r="H662" s="1">
        <v>9.9636499999999992E-4</v>
      </c>
    </row>
    <row r="663" spans="1:8" x14ac:dyDescent="0.25">
      <c r="A663">
        <v>52</v>
      </c>
      <c r="B663" s="1">
        <v>53.7502</v>
      </c>
      <c r="C663" s="1">
        <v>4.0187E-2</v>
      </c>
      <c r="D663" s="1">
        <v>-4.4388200000000003E-2</v>
      </c>
      <c r="E663" s="1">
        <v>8.5778500000000001E-4</v>
      </c>
      <c r="F663" s="1">
        <v>3.7089499999999999E-3</v>
      </c>
      <c r="G663" s="1">
        <v>5.9764699999999998E-4</v>
      </c>
      <c r="H663" s="1">
        <v>9.6318300000000005E-4</v>
      </c>
    </row>
    <row r="664" spans="1:8" x14ac:dyDescent="0.25">
      <c r="A664">
        <v>53</v>
      </c>
      <c r="B664" s="1">
        <v>56.044199999999996</v>
      </c>
      <c r="C664" s="1">
        <v>3.8253200000000001E-2</v>
      </c>
      <c r="D664" s="1">
        <v>-4.2360799999999997E-2</v>
      </c>
      <c r="E664" s="1">
        <v>7.6494300000000002E-4</v>
      </c>
      <c r="F664" s="1">
        <v>3.73376E-3</v>
      </c>
      <c r="G664" s="1">
        <v>5.3902400000000004E-4</v>
      </c>
      <c r="H664" s="1">
        <v>9.3011600000000004E-4</v>
      </c>
    </row>
    <row r="665" spans="1:8" x14ac:dyDescent="0.25">
      <c r="A665">
        <v>54</v>
      </c>
      <c r="B665" s="1">
        <v>58.398600000000002</v>
      </c>
      <c r="C665" s="1">
        <v>3.64885E-2</v>
      </c>
      <c r="D665" s="1">
        <v>-4.0451899999999999E-2</v>
      </c>
      <c r="E665" s="1">
        <v>6.6348600000000002E-4</v>
      </c>
      <c r="F665" s="1">
        <v>3.7143200000000001E-3</v>
      </c>
      <c r="G665" s="1">
        <v>4.8285999999999999E-4</v>
      </c>
      <c r="H665" s="1">
        <v>8.9729199999999995E-4</v>
      </c>
    </row>
    <row r="666" spans="1:8" x14ac:dyDescent="0.25">
      <c r="A666">
        <v>55</v>
      </c>
      <c r="B666" s="1">
        <v>60.813899999999997</v>
      </c>
      <c r="C666" s="1">
        <v>3.4873599999999998E-2</v>
      </c>
      <c r="D666" s="1">
        <v>-3.8654500000000001E-2</v>
      </c>
      <c r="E666" s="1">
        <v>5.56044E-4</v>
      </c>
      <c r="F666" s="1">
        <v>3.6609300000000002E-3</v>
      </c>
      <c r="G666" s="1">
        <v>4.28837E-4</v>
      </c>
      <c r="H666" s="1">
        <v>8.6491300000000003E-4</v>
      </c>
    </row>
    <row r="667" spans="1:8" x14ac:dyDescent="0.25">
      <c r="A667">
        <v>56</v>
      </c>
      <c r="B667" s="1">
        <v>63.290100000000002</v>
      </c>
      <c r="C667" s="1">
        <v>3.3390900000000001E-2</v>
      </c>
      <c r="D667" s="1">
        <v>-3.6962000000000002E-2</v>
      </c>
      <c r="E667" s="1">
        <v>4.4557E-4</v>
      </c>
      <c r="F667" s="1">
        <v>3.5792699999999998E-3</v>
      </c>
      <c r="G667" s="1">
        <v>3.79372E-4</v>
      </c>
      <c r="H667" s="1">
        <v>8.3309300000000003E-4</v>
      </c>
    </row>
    <row r="668" spans="1:8" x14ac:dyDescent="0.25">
      <c r="A668">
        <v>57</v>
      </c>
      <c r="B668" s="1">
        <v>65.827600000000004</v>
      </c>
      <c r="C668" s="1">
        <v>3.2024400000000001E-2</v>
      </c>
      <c r="D668" s="1">
        <v>-3.5367900000000001E-2</v>
      </c>
      <c r="E668" s="1">
        <v>3.35199E-4</v>
      </c>
      <c r="F668" s="1">
        <v>3.47307E-3</v>
      </c>
      <c r="G668" s="1">
        <v>3.3732499999999997E-4</v>
      </c>
      <c r="H668" s="1">
        <v>8.02029E-4</v>
      </c>
    </row>
    <row r="669" spans="1:8" x14ac:dyDescent="0.25">
      <c r="A669">
        <v>58</v>
      </c>
      <c r="B669" s="1">
        <v>68.426400000000001</v>
      </c>
      <c r="C669" s="1">
        <v>3.07593E-2</v>
      </c>
      <c r="D669" s="1">
        <v>-3.3864999999999999E-2</v>
      </c>
      <c r="E669" s="1">
        <v>2.2775200000000001E-4</v>
      </c>
      <c r="F669" s="1">
        <v>3.3492299999999999E-3</v>
      </c>
      <c r="G669" s="1">
        <v>3.0047800000000002E-4</v>
      </c>
      <c r="H669" s="1">
        <v>7.7176999999999996E-4</v>
      </c>
    </row>
    <row r="670" spans="1:8" x14ac:dyDescent="0.25">
      <c r="A670">
        <v>59</v>
      </c>
      <c r="B670" s="1">
        <v>71.086799999999997</v>
      </c>
      <c r="C670" s="1">
        <v>2.95833E-2</v>
      </c>
      <c r="D670" s="1">
        <v>-3.2446700000000002E-2</v>
      </c>
      <c r="E670" s="1">
        <v>1.25513E-4</v>
      </c>
      <c r="F670" s="1">
        <v>3.21463E-3</v>
      </c>
      <c r="G670" s="1">
        <v>2.6563599999999998E-4</v>
      </c>
      <c r="H670" s="1">
        <v>7.4233899999999995E-4</v>
      </c>
    </row>
    <row r="671" spans="1:8" x14ac:dyDescent="0.25">
      <c r="A671">
        <v>60</v>
      </c>
      <c r="B671" s="1">
        <v>73.808800000000005</v>
      </c>
      <c r="C671" s="1">
        <v>2.8486899999999999E-2</v>
      </c>
      <c r="D671" s="1">
        <v>-3.1108500000000001E-2</v>
      </c>
      <c r="E671" s="1">
        <v>3.06936E-5</v>
      </c>
      <c r="F671" s="1">
        <v>3.07143E-3</v>
      </c>
      <c r="G671" s="1">
        <v>2.33413E-4</v>
      </c>
      <c r="H671" s="1">
        <v>7.1391300000000005E-4</v>
      </c>
    </row>
    <row r="672" spans="1:8" x14ac:dyDescent="0.25">
      <c r="A672">
        <v>61</v>
      </c>
      <c r="B672" s="1">
        <v>76.592399999999998</v>
      </c>
      <c r="C672" s="1">
        <v>2.74626E-2</v>
      </c>
      <c r="D672" s="1">
        <v>-2.9846000000000001E-2</v>
      </c>
      <c r="E672" s="1">
        <v>-5.4968800000000001E-5</v>
      </c>
      <c r="F672" s="1">
        <v>2.91946E-3</v>
      </c>
      <c r="G672" s="1">
        <v>2.05522E-4</v>
      </c>
      <c r="H672" s="1">
        <v>6.8662300000000003E-4</v>
      </c>
    </row>
    <row r="673" spans="1:8" x14ac:dyDescent="0.25">
      <c r="A673">
        <v>62</v>
      </c>
      <c r="B673" s="1">
        <v>79.437799999999996</v>
      </c>
      <c r="C673" s="1">
        <v>2.6503800000000001E-2</v>
      </c>
      <c r="D673" s="1">
        <v>-2.8654200000000001E-2</v>
      </c>
      <c r="E673" s="1">
        <v>-1.3164000000000001E-4</v>
      </c>
      <c r="F673" s="1">
        <v>2.7600699999999999E-3</v>
      </c>
      <c r="G673" s="1">
        <v>1.8215399999999999E-4</v>
      </c>
      <c r="H673" s="1">
        <v>6.6025000000000003E-4</v>
      </c>
    </row>
    <row r="674" spans="1:8" x14ac:dyDescent="0.25">
      <c r="A674">
        <v>63</v>
      </c>
      <c r="B674" s="1">
        <v>82.344899999999996</v>
      </c>
      <c r="C674" s="1">
        <v>2.5604200000000001E-2</v>
      </c>
      <c r="D674" s="1">
        <v>-2.7528E-2</v>
      </c>
      <c r="E674" s="1">
        <v>-2.00003E-4</v>
      </c>
      <c r="F674" s="1">
        <v>2.5962300000000002E-3</v>
      </c>
      <c r="G674" s="1">
        <v>1.62261E-4</v>
      </c>
      <c r="H674" s="1">
        <v>6.34722E-4</v>
      </c>
    </row>
    <row r="675" spans="1:8" x14ac:dyDescent="0.25">
      <c r="A675">
        <v>64</v>
      </c>
      <c r="B675" s="1">
        <v>85.313800000000001</v>
      </c>
      <c r="C675" s="1">
        <v>2.4757899999999999E-2</v>
      </c>
      <c r="D675" s="1">
        <v>-2.6463299999999999E-2</v>
      </c>
      <c r="E675" s="1">
        <v>-2.5959399999999998E-4</v>
      </c>
      <c r="F675" s="1">
        <v>2.4304800000000001E-3</v>
      </c>
      <c r="G675" s="1">
        <v>1.4466300000000001E-4</v>
      </c>
      <c r="H675" s="1">
        <v>6.1013899999999999E-4</v>
      </c>
    </row>
    <row r="676" spans="1:8" x14ac:dyDescent="0.25">
      <c r="A676">
        <v>65</v>
      </c>
      <c r="B676" s="1">
        <v>88.344200000000001</v>
      </c>
      <c r="C676" s="1">
        <v>2.3958799999999999E-2</v>
      </c>
      <c r="D676" s="1">
        <v>-2.5456099999999999E-2</v>
      </c>
      <c r="E676" s="1">
        <v>-3.1013600000000003E-4</v>
      </c>
      <c r="F676" s="1">
        <v>2.2649599999999999E-3</v>
      </c>
      <c r="G676" s="1">
        <v>1.28959E-4</v>
      </c>
      <c r="H676" s="1">
        <v>5.8648399999999996E-4</v>
      </c>
    </row>
    <row r="677" spans="1:8" x14ac:dyDescent="0.25">
      <c r="A677">
        <v>66</v>
      </c>
      <c r="B677" s="1">
        <v>91.436199999999999</v>
      </c>
      <c r="C677" s="1">
        <v>2.3201300000000001E-2</v>
      </c>
      <c r="D677" s="1">
        <v>-2.4502400000000001E-2</v>
      </c>
      <c r="E677" s="1">
        <v>-3.5304999999999999E-4</v>
      </c>
      <c r="F677" s="1">
        <v>2.10261E-3</v>
      </c>
      <c r="G677" s="1">
        <v>1.15291E-4</v>
      </c>
      <c r="H677" s="1">
        <v>5.6377900000000004E-4</v>
      </c>
    </row>
    <row r="678" spans="1:8" x14ac:dyDescent="0.25">
      <c r="A678">
        <v>67</v>
      </c>
      <c r="B678" s="1">
        <v>94.589699999999993</v>
      </c>
      <c r="C678" s="1">
        <v>2.2480699999999999E-2</v>
      </c>
      <c r="D678" s="1">
        <v>-2.3597900000000002E-2</v>
      </c>
      <c r="E678" s="1">
        <v>-3.9077900000000001E-4</v>
      </c>
      <c r="F678" s="1">
        <v>1.94707E-3</v>
      </c>
      <c r="G678" s="1">
        <v>1.02767E-4</v>
      </c>
      <c r="H678" s="1">
        <v>5.4187799999999998E-4</v>
      </c>
    </row>
    <row r="679" spans="1:8" x14ac:dyDescent="0.25">
      <c r="A679">
        <v>68</v>
      </c>
      <c r="B679" s="1">
        <v>97.804400000000001</v>
      </c>
      <c r="C679" s="1">
        <v>2.1793400000000001E-2</v>
      </c>
      <c r="D679" s="1">
        <v>-2.2739100000000002E-2</v>
      </c>
      <c r="E679" s="1">
        <v>-4.2452800000000003E-4</v>
      </c>
      <c r="F679" s="1">
        <v>1.80032E-3</v>
      </c>
      <c r="G679" s="1">
        <v>9.0607399999999996E-5</v>
      </c>
      <c r="H679" s="1">
        <v>5.2070800000000004E-4</v>
      </c>
    </row>
    <row r="680" spans="1:8" x14ac:dyDescent="0.25">
      <c r="A680">
        <v>69</v>
      </c>
      <c r="B680" s="1">
        <v>101.08</v>
      </c>
      <c r="C680" s="1">
        <v>2.11364E-2</v>
      </c>
      <c r="D680" s="1">
        <v>-2.1923700000000001E-2</v>
      </c>
      <c r="E680" s="1">
        <v>-4.5361899999999999E-4</v>
      </c>
      <c r="F680" s="1">
        <v>1.66096E-3</v>
      </c>
      <c r="G680" s="1">
        <v>8.0379700000000006E-5</v>
      </c>
      <c r="H680" s="1">
        <v>5.0046300000000004E-4</v>
      </c>
    </row>
    <row r="681" spans="1:8" x14ac:dyDescent="0.25">
      <c r="A681">
        <v>70</v>
      </c>
      <c r="B681" s="1">
        <v>104.417</v>
      </c>
      <c r="C681" s="1">
        <v>2.0507500000000001E-2</v>
      </c>
      <c r="D681" s="1">
        <v>-2.1149500000000002E-2</v>
      </c>
      <c r="E681" s="1">
        <v>-4.77252E-4</v>
      </c>
      <c r="F681" s="1">
        <v>1.52735E-3</v>
      </c>
      <c r="G681" s="1">
        <v>7.2993199999999998E-5</v>
      </c>
      <c r="H681" s="1">
        <v>4.81015E-4</v>
      </c>
    </row>
    <row r="682" spans="1:8" x14ac:dyDescent="0.25">
      <c r="A682">
        <v>71</v>
      </c>
      <c r="B682" s="1">
        <v>107.81399999999999</v>
      </c>
      <c r="C682" s="1">
        <v>1.9904999999999999E-2</v>
      </c>
      <c r="D682" s="1">
        <v>-2.0413799999999999E-2</v>
      </c>
      <c r="E682" s="1">
        <v>-4.9492099999999995E-4</v>
      </c>
      <c r="F682" s="1">
        <v>1.3991299999999999E-3</v>
      </c>
      <c r="G682" s="1">
        <v>6.6805700000000003E-5</v>
      </c>
      <c r="H682" s="1">
        <v>4.6222400000000001E-4</v>
      </c>
    </row>
    <row r="683" spans="1:8" x14ac:dyDescent="0.25">
      <c r="A683">
        <v>72</v>
      </c>
      <c r="B683" s="1">
        <v>111.27200000000001</v>
      </c>
      <c r="C683" s="1">
        <v>1.93283E-2</v>
      </c>
      <c r="D683" s="1">
        <v>-1.9714300000000001E-2</v>
      </c>
      <c r="E683" s="1">
        <v>-5.0593899999999995E-4</v>
      </c>
      <c r="F683" s="1">
        <v>1.2747699999999999E-3</v>
      </c>
      <c r="G683" s="1">
        <v>6.1474400000000002E-5</v>
      </c>
      <c r="H683" s="1">
        <v>4.4432800000000002E-4</v>
      </c>
    </row>
    <row r="684" spans="1:8" x14ac:dyDescent="0.25">
      <c r="A684">
        <v>73</v>
      </c>
      <c r="B684" s="1">
        <v>114.79</v>
      </c>
      <c r="C684" s="1">
        <v>1.8775699999999999E-2</v>
      </c>
      <c r="D684" s="1">
        <v>-1.9049E-2</v>
      </c>
      <c r="E684" s="1">
        <v>-5.10087E-4</v>
      </c>
      <c r="F684" s="1">
        <v>1.1533400000000001E-3</v>
      </c>
      <c r="G684" s="1">
        <v>5.71745E-5</v>
      </c>
      <c r="H684" s="1">
        <v>4.27129E-4</v>
      </c>
    </row>
    <row r="685" spans="1:8" x14ac:dyDescent="0.25">
      <c r="A685">
        <v>74</v>
      </c>
      <c r="B685" s="1">
        <v>118.36799999999999</v>
      </c>
      <c r="C685" s="1">
        <v>1.82451E-2</v>
      </c>
      <c r="D685" s="1">
        <v>-1.8415600000000001E-2</v>
      </c>
      <c r="E685" s="1">
        <v>-5.0763000000000002E-4</v>
      </c>
      <c r="F685" s="1">
        <v>1.03535E-3</v>
      </c>
      <c r="G685" s="1">
        <v>5.3472199999999999E-5</v>
      </c>
      <c r="H685" s="1">
        <v>4.1071599999999999E-4</v>
      </c>
    </row>
    <row r="686" spans="1:8" x14ac:dyDescent="0.25">
      <c r="A686">
        <v>75</v>
      </c>
      <c r="B686" s="1">
        <v>122.005</v>
      </c>
      <c r="C686" s="1">
        <v>1.7735500000000001E-2</v>
      </c>
      <c r="D686" s="1">
        <v>-1.7812000000000001E-2</v>
      </c>
      <c r="E686" s="1">
        <v>-4.9985000000000003E-4</v>
      </c>
      <c r="F686" s="1">
        <v>9.2315500000000005E-4</v>
      </c>
      <c r="G686" s="1">
        <v>4.8139700000000003E-5</v>
      </c>
      <c r="H686" s="1">
        <v>3.9497099999999998E-4</v>
      </c>
    </row>
    <row r="687" spans="1:8" x14ac:dyDescent="0.25">
      <c r="A687">
        <v>76</v>
      </c>
      <c r="B687" s="1">
        <v>125.702</v>
      </c>
      <c r="C687" s="1">
        <v>1.72461E-2</v>
      </c>
      <c r="D687" s="1">
        <v>-1.7236399999999999E-2</v>
      </c>
      <c r="E687" s="1">
        <v>-4.8855999999999997E-4</v>
      </c>
      <c r="F687" s="1">
        <v>8.1688099999999999E-4</v>
      </c>
      <c r="G687" s="1">
        <v>4.2133299999999999E-5</v>
      </c>
      <c r="H687" s="1">
        <v>3.80088E-4</v>
      </c>
    </row>
    <row r="688" spans="1:8" x14ac:dyDescent="0.25">
      <c r="A688">
        <v>77</v>
      </c>
      <c r="B688" s="1">
        <v>129.45699999999999</v>
      </c>
      <c r="C688" s="1">
        <v>1.6776099999999999E-2</v>
      </c>
      <c r="D688" s="1">
        <v>-1.6687500000000001E-2</v>
      </c>
      <c r="E688" s="1">
        <v>-4.7595800000000001E-4</v>
      </c>
      <c r="F688" s="1">
        <v>7.1599800000000003E-4</v>
      </c>
      <c r="G688" s="1">
        <v>3.7302899999999998E-5</v>
      </c>
      <c r="H688" s="1">
        <v>3.6588700000000002E-4</v>
      </c>
    </row>
    <row r="689" spans="1:8" x14ac:dyDescent="0.25">
      <c r="A689">
        <v>78</v>
      </c>
      <c r="B689" s="1">
        <v>133.27000000000001</v>
      </c>
      <c r="C689" s="1">
        <v>1.6324200000000001E-2</v>
      </c>
      <c r="D689" s="1">
        <v>-1.6163E-2</v>
      </c>
      <c r="E689" s="1">
        <v>-4.6323700000000002E-4</v>
      </c>
      <c r="F689" s="1">
        <v>6.2143599999999995E-4</v>
      </c>
      <c r="G689" s="1">
        <v>3.2935999999999998E-5</v>
      </c>
      <c r="H689" s="1">
        <v>3.5235699999999997E-4</v>
      </c>
    </row>
    <row r="690" spans="1:8" x14ac:dyDescent="0.25">
      <c r="A690">
        <v>79</v>
      </c>
      <c r="B690" s="1">
        <v>137.14099999999999</v>
      </c>
      <c r="C690" s="1">
        <v>1.5888599999999999E-2</v>
      </c>
      <c r="D690" s="1">
        <v>-1.56607E-2</v>
      </c>
      <c r="E690" s="1">
        <v>-4.5102100000000002E-4</v>
      </c>
      <c r="F690" s="1">
        <v>5.3479700000000005E-4</v>
      </c>
      <c r="G690" s="1">
        <v>2.77933E-5</v>
      </c>
      <c r="H690" s="1">
        <v>3.3946099999999999E-4</v>
      </c>
    </row>
    <row r="691" spans="1:8" x14ac:dyDescent="0.25">
      <c r="A691">
        <v>80</v>
      </c>
      <c r="B691" s="1">
        <v>141.07</v>
      </c>
      <c r="C691" s="1">
        <v>1.5466799999999999E-2</v>
      </c>
      <c r="D691" s="1">
        <v>-1.51796E-2</v>
      </c>
      <c r="E691" s="1">
        <v>-4.3961899999999998E-4</v>
      </c>
      <c r="F691" s="1">
        <v>4.5648599999999998E-4</v>
      </c>
      <c r="G691" s="1">
        <v>2.2944600000000001E-5</v>
      </c>
      <c r="H691" s="1">
        <v>3.2703099999999998E-4</v>
      </c>
    </row>
    <row r="692" spans="1:8" x14ac:dyDescent="0.25">
      <c r="A692">
        <v>81</v>
      </c>
      <c r="B692" s="1">
        <v>145.05500000000001</v>
      </c>
      <c r="C692" s="1">
        <v>1.50575E-2</v>
      </c>
      <c r="D692" s="1">
        <v>-1.4719299999999999E-2</v>
      </c>
      <c r="E692" s="1">
        <v>-4.2826799999999999E-4</v>
      </c>
      <c r="F692" s="1">
        <v>3.8602200000000003E-4</v>
      </c>
      <c r="G692" s="1">
        <v>1.9304300000000001E-5</v>
      </c>
      <c r="H692" s="1">
        <v>3.1521199999999999E-4</v>
      </c>
    </row>
    <row r="693" spans="1:8" x14ac:dyDescent="0.25">
      <c r="A693">
        <v>82</v>
      </c>
      <c r="B693" s="1">
        <v>149.09700000000001</v>
      </c>
      <c r="C693" s="1">
        <v>1.4660899999999999E-2</v>
      </c>
      <c r="D693" s="1">
        <v>-1.4279200000000001E-2</v>
      </c>
      <c r="E693" s="1">
        <v>-4.16938E-4</v>
      </c>
      <c r="F693" s="1">
        <v>3.2241799999999999E-4</v>
      </c>
      <c r="G693" s="1">
        <v>1.6917100000000001E-5</v>
      </c>
      <c r="H693" s="1">
        <v>3.0405699999999999E-4</v>
      </c>
    </row>
    <row r="694" spans="1:8" x14ac:dyDescent="0.25">
      <c r="A694">
        <v>83</v>
      </c>
      <c r="B694" s="1">
        <v>153.19499999999999</v>
      </c>
      <c r="C694" s="1">
        <v>1.42773E-2</v>
      </c>
      <c r="D694" s="1">
        <v>-1.38583E-2</v>
      </c>
      <c r="E694" s="1">
        <v>-4.06165E-4</v>
      </c>
      <c r="F694" s="1">
        <v>2.6396299999999998E-4</v>
      </c>
      <c r="G694" s="1">
        <v>1.67604E-5</v>
      </c>
      <c r="H694" s="1">
        <v>2.9355100000000002E-4</v>
      </c>
    </row>
    <row r="695" spans="1:8" x14ac:dyDescent="0.25">
      <c r="A695">
        <v>84</v>
      </c>
      <c r="B695" s="1">
        <v>157.34899999999999</v>
      </c>
      <c r="C695" s="1">
        <v>1.3905600000000001E-2</v>
      </c>
      <c r="D695" s="1">
        <v>-1.34552E-2</v>
      </c>
      <c r="E695" s="1">
        <v>-3.9607100000000001E-4</v>
      </c>
      <c r="F695" s="1">
        <v>2.11843E-4</v>
      </c>
      <c r="G695" s="1">
        <v>1.7452199999999999E-5</v>
      </c>
      <c r="H695" s="1">
        <v>2.8354999999999998E-4</v>
      </c>
    </row>
    <row r="696" spans="1:8" x14ac:dyDescent="0.25">
      <c r="A696">
        <v>85</v>
      </c>
      <c r="B696" s="1">
        <v>161.55699999999999</v>
      </c>
      <c r="C696" s="1">
        <v>1.35446E-2</v>
      </c>
      <c r="D696" s="1">
        <v>-1.30688E-2</v>
      </c>
      <c r="E696" s="1">
        <v>-3.8604200000000001E-4</v>
      </c>
      <c r="F696" s="1">
        <v>1.67245E-4</v>
      </c>
      <c r="G696" s="1">
        <v>1.69274E-5</v>
      </c>
      <c r="H696" s="1">
        <v>2.7396400000000002E-4</v>
      </c>
    </row>
    <row r="697" spans="1:8" x14ac:dyDescent="0.25">
      <c r="A697">
        <v>86</v>
      </c>
      <c r="B697" s="1">
        <v>165.81899999999999</v>
      </c>
      <c r="C697" s="1">
        <v>1.3195E-2</v>
      </c>
      <c r="D697" s="1">
        <v>-1.26985E-2</v>
      </c>
      <c r="E697" s="1">
        <v>-3.7569399999999998E-4</v>
      </c>
      <c r="F697" s="1">
        <v>1.2857E-4</v>
      </c>
      <c r="G697" s="1">
        <v>1.5466300000000001E-5</v>
      </c>
      <c r="H697" s="1">
        <v>2.6486100000000002E-4</v>
      </c>
    </row>
    <row r="698" spans="1:8" x14ac:dyDescent="0.25">
      <c r="A698">
        <v>87</v>
      </c>
      <c r="B698" s="1">
        <v>170.136</v>
      </c>
      <c r="C698" s="1">
        <v>1.2857E-2</v>
      </c>
      <c r="D698" s="1">
        <v>-1.2343700000000001E-2</v>
      </c>
      <c r="E698" s="1">
        <v>-3.6577499999999999E-4</v>
      </c>
      <c r="F698" s="1">
        <v>9.4348100000000006E-5</v>
      </c>
      <c r="G698" s="1">
        <v>1.42008E-5</v>
      </c>
      <c r="H698" s="1">
        <v>2.5612500000000001E-4</v>
      </c>
    </row>
    <row r="699" spans="1:8" x14ac:dyDescent="0.25">
      <c r="A699">
        <v>88</v>
      </c>
      <c r="B699" s="1">
        <v>174.505</v>
      </c>
      <c r="C699" s="1">
        <v>1.2529800000000001E-2</v>
      </c>
      <c r="D699" s="1">
        <v>-1.20032E-2</v>
      </c>
      <c r="E699" s="1">
        <v>-3.5649899999999998E-4</v>
      </c>
      <c r="F699" s="1">
        <v>6.4826700000000001E-5</v>
      </c>
      <c r="G699" s="1">
        <v>1.2799100000000001E-5</v>
      </c>
      <c r="H699" s="1">
        <v>2.4779400000000002E-4</v>
      </c>
    </row>
    <row r="700" spans="1:8" x14ac:dyDescent="0.25">
      <c r="A700">
        <v>89</v>
      </c>
      <c r="B700" s="1">
        <v>178.92699999999999</v>
      </c>
      <c r="C700" s="1">
        <v>1.22129E-2</v>
      </c>
      <c r="D700" s="1">
        <v>-1.1676000000000001E-2</v>
      </c>
      <c r="E700" s="1">
        <v>-3.47294E-4</v>
      </c>
      <c r="F700" s="1">
        <v>3.8933100000000002E-5</v>
      </c>
      <c r="G700" s="1">
        <v>1.1365E-5</v>
      </c>
      <c r="H700" s="1">
        <v>2.3985200000000001E-4</v>
      </c>
    </row>
    <row r="701" spans="1:8" x14ac:dyDescent="0.25">
      <c r="A701">
        <v>90</v>
      </c>
      <c r="B701" s="1">
        <v>183.4</v>
      </c>
      <c r="C701" s="1">
        <v>1.19054E-2</v>
      </c>
      <c r="D701" s="1">
        <v>-1.1361599999999999E-2</v>
      </c>
      <c r="E701" s="1">
        <v>-3.3721700000000001E-4</v>
      </c>
      <c r="F701" s="1">
        <v>1.5695599999999999E-5</v>
      </c>
      <c r="G701" s="1">
        <v>9.9443799999999995E-6</v>
      </c>
      <c r="H701" s="1">
        <v>2.3216900000000001E-4</v>
      </c>
    </row>
    <row r="702" spans="1:8" x14ac:dyDescent="0.25">
      <c r="A702">
        <v>91</v>
      </c>
      <c r="B702" s="1">
        <v>187.92500000000001</v>
      </c>
      <c r="C702" s="1">
        <v>1.16063E-2</v>
      </c>
      <c r="D702" s="1">
        <v>-1.10597E-2</v>
      </c>
      <c r="E702" s="1">
        <v>-3.2543900000000001E-4</v>
      </c>
      <c r="F702" s="1">
        <v>-4.6515500000000004E-6</v>
      </c>
      <c r="G702" s="1">
        <v>8.2866400000000007E-6</v>
      </c>
      <c r="H702" s="1">
        <v>2.24782E-4</v>
      </c>
    </row>
    <row r="703" spans="1:8" x14ac:dyDescent="0.25">
      <c r="A703">
        <v>92</v>
      </c>
      <c r="B703" s="1">
        <v>192.5</v>
      </c>
      <c r="C703" s="1">
        <v>1.1315499999999999E-2</v>
      </c>
      <c r="D703" s="1">
        <v>-1.07698E-2</v>
      </c>
      <c r="E703" s="1">
        <v>-3.12145E-4</v>
      </c>
      <c r="F703" s="1">
        <v>-2.36118E-5</v>
      </c>
      <c r="G703" s="1">
        <v>7.7330399999999997E-6</v>
      </c>
      <c r="H703" s="1">
        <v>2.1767299999999999E-4</v>
      </c>
    </row>
    <row r="704" spans="1:8" x14ac:dyDescent="0.25">
      <c r="A704">
        <v>93</v>
      </c>
      <c r="B704" s="1">
        <v>197.125</v>
      </c>
      <c r="C704" s="1">
        <v>1.10335E-2</v>
      </c>
      <c r="D704" s="1">
        <v>-1.04911E-2</v>
      </c>
      <c r="E704" s="1">
        <v>-2.9894200000000001E-4</v>
      </c>
      <c r="F704" s="1">
        <v>-4.1030299999999999E-5</v>
      </c>
      <c r="G704" s="1">
        <v>8.3937700000000004E-6</v>
      </c>
      <c r="H704" s="1">
        <v>2.1075999999999999E-4</v>
      </c>
    </row>
    <row r="705" spans="1:8" x14ac:dyDescent="0.25">
      <c r="A705">
        <v>94</v>
      </c>
      <c r="B705" s="1">
        <v>201.8</v>
      </c>
      <c r="C705" s="1">
        <v>1.0760799999999999E-2</v>
      </c>
      <c r="D705" s="1">
        <v>-1.0223400000000001E-2</v>
      </c>
      <c r="E705" s="1">
        <v>-2.8689500000000001E-4</v>
      </c>
      <c r="F705" s="1">
        <v>-5.57625E-5</v>
      </c>
      <c r="G705" s="1">
        <v>9.2781599999999993E-6</v>
      </c>
      <c r="H705" s="1">
        <v>2.04062E-4</v>
      </c>
    </row>
    <row r="706" spans="1:8" x14ac:dyDescent="0.25">
      <c r="A706">
        <v>95</v>
      </c>
      <c r="B706" s="1">
        <v>206.523</v>
      </c>
      <c r="C706" s="1">
        <v>1.04972E-2</v>
      </c>
      <c r="D706" s="1">
        <v>-9.9659699999999993E-3</v>
      </c>
      <c r="E706" s="1">
        <v>-2.7609500000000002E-4</v>
      </c>
      <c r="F706" s="1">
        <v>-6.7809699999999996E-5</v>
      </c>
      <c r="G706" s="1">
        <v>1.0448100000000001E-5</v>
      </c>
      <c r="H706" s="1">
        <v>1.9773999999999999E-4</v>
      </c>
    </row>
    <row r="707" spans="1:8" x14ac:dyDescent="0.25">
      <c r="A707">
        <v>96</v>
      </c>
      <c r="B707" s="1">
        <v>211.29400000000001</v>
      </c>
      <c r="C707" s="1">
        <v>1.0241399999999999E-2</v>
      </c>
      <c r="D707" s="1">
        <v>-9.7181000000000003E-3</v>
      </c>
      <c r="E707" s="1">
        <v>-2.6686E-4</v>
      </c>
      <c r="F707" s="1">
        <v>-7.6117400000000004E-5</v>
      </c>
      <c r="G707" s="1">
        <v>1.13742E-5</v>
      </c>
      <c r="H707" s="1">
        <v>1.9175E-4</v>
      </c>
    </row>
    <row r="708" spans="1:8" x14ac:dyDescent="0.25">
      <c r="A708">
        <v>97</v>
      </c>
      <c r="B708" s="1">
        <v>216.11099999999999</v>
      </c>
      <c r="C708" s="1">
        <v>9.9930100000000001E-3</v>
      </c>
      <c r="D708" s="1">
        <v>-9.4788700000000004E-3</v>
      </c>
      <c r="E708" s="1">
        <v>-2.5959600000000001E-4</v>
      </c>
      <c r="F708" s="1">
        <v>-7.9060000000000005E-5</v>
      </c>
      <c r="G708" s="1">
        <v>1.06315E-5</v>
      </c>
      <c r="H708" s="1">
        <v>1.8611499999999999E-4</v>
      </c>
    </row>
    <row r="709" spans="1:8" x14ac:dyDescent="0.25">
      <c r="A709">
        <v>98</v>
      </c>
      <c r="B709" s="1">
        <v>220.976</v>
      </c>
      <c r="C709" s="1">
        <v>9.7521599999999993E-3</v>
      </c>
      <c r="D709" s="1">
        <v>-9.2478899999999999E-3</v>
      </c>
      <c r="E709" s="1">
        <v>-2.5423299999999998E-4</v>
      </c>
      <c r="F709" s="1">
        <v>-7.8018799999999999E-5</v>
      </c>
      <c r="G709" s="1">
        <v>8.8945799999999998E-6</v>
      </c>
      <c r="H709" s="1">
        <v>1.8091E-4</v>
      </c>
    </row>
    <row r="710" spans="1:8" x14ac:dyDescent="0.25">
      <c r="A710">
        <v>99</v>
      </c>
      <c r="B710" s="1">
        <v>225.886</v>
      </c>
      <c r="C710" s="1">
        <v>9.5196399999999994E-3</v>
      </c>
      <c r="D710" s="1">
        <v>-9.0249600000000003E-3</v>
      </c>
      <c r="E710" s="1">
        <v>-2.4879600000000002E-4</v>
      </c>
      <c r="F710" s="1">
        <v>-7.7093600000000003E-5</v>
      </c>
      <c r="G710" s="1">
        <v>7.13973E-6</v>
      </c>
      <c r="H710" s="1">
        <v>1.7593E-4</v>
      </c>
    </row>
    <row r="711" spans="1:8" x14ac:dyDescent="0.25">
      <c r="A711">
        <v>100</v>
      </c>
      <c r="B711" s="1">
        <v>230.84100000000001</v>
      </c>
      <c r="C711" s="1">
        <v>9.2961899999999993E-3</v>
      </c>
      <c r="D711" s="1">
        <v>-8.8098099999999995E-3</v>
      </c>
      <c r="E711" s="1">
        <v>-2.4079700000000001E-4</v>
      </c>
      <c r="F711" s="1">
        <v>-8.00497E-5</v>
      </c>
      <c r="G711" s="1">
        <v>5.6180000000000003E-6</v>
      </c>
      <c r="H711" s="1">
        <v>1.71156E-4</v>
      </c>
    </row>
    <row r="712" spans="1:8" x14ac:dyDescent="0.25">
      <c r="A712">
        <v>101</v>
      </c>
      <c r="B712" s="1">
        <v>235.84</v>
      </c>
      <c r="C712" s="1">
        <v>9.0812600000000007E-3</v>
      </c>
      <c r="D712" s="1">
        <v>-8.60204E-3</v>
      </c>
      <c r="E712" s="1">
        <v>-2.3044499999999999E-4</v>
      </c>
      <c r="F712" s="1">
        <v>-8.6846800000000003E-5</v>
      </c>
      <c r="G712" s="1">
        <v>4.6221399999999996E-6</v>
      </c>
      <c r="H712" s="1">
        <v>1.6655000000000001E-4</v>
      </c>
    </row>
    <row r="713" spans="1:8" x14ac:dyDescent="0.25">
      <c r="A713">
        <v>102</v>
      </c>
      <c r="B713" s="1">
        <v>240.88300000000001</v>
      </c>
      <c r="C713" s="1">
        <v>8.8728499999999998E-3</v>
      </c>
      <c r="D713" s="1">
        <v>-8.4011599999999995E-3</v>
      </c>
      <c r="E713" s="1">
        <v>-2.19297E-4</v>
      </c>
      <c r="F713" s="1">
        <v>-9.3951100000000002E-5</v>
      </c>
      <c r="G713" s="1">
        <v>3.5539E-6</v>
      </c>
      <c r="H713" s="1">
        <v>1.6199899999999999E-4</v>
      </c>
    </row>
    <row r="714" spans="1:8" x14ac:dyDescent="0.25">
      <c r="A714">
        <v>103</v>
      </c>
      <c r="B714" s="1">
        <v>245.96799999999999</v>
      </c>
      <c r="C714" s="1">
        <v>8.6696299999999994E-3</v>
      </c>
      <c r="D714" s="1">
        <v>-8.2066599999999993E-3</v>
      </c>
      <c r="E714" s="1">
        <v>-2.08731E-4</v>
      </c>
      <c r="F714" s="1">
        <v>-9.91111E-5</v>
      </c>
      <c r="G714" s="1">
        <v>2.4177600000000001E-6</v>
      </c>
      <c r="H714" s="1">
        <v>1.57546E-4</v>
      </c>
    </row>
    <row r="715" spans="1:8" x14ac:dyDescent="0.25">
      <c r="A715">
        <v>104</v>
      </c>
      <c r="B715" s="1">
        <v>251.095</v>
      </c>
      <c r="C715" s="1">
        <v>8.4718799999999993E-3</v>
      </c>
      <c r="D715" s="1">
        <v>-8.01813E-3</v>
      </c>
      <c r="E715" s="1">
        <v>-2.0000199999999999E-4</v>
      </c>
      <c r="F715" s="1">
        <v>-1.02935E-4</v>
      </c>
      <c r="G715" s="1">
        <v>2.4115499999999998E-6</v>
      </c>
      <c r="H715" s="1">
        <v>1.53232E-4</v>
      </c>
    </row>
    <row r="716" spans="1:8" x14ac:dyDescent="0.25">
      <c r="A716">
        <v>105</v>
      </c>
      <c r="B716" s="1">
        <v>256.26400000000001</v>
      </c>
      <c r="C716" s="1">
        <v>8.28016E-3</v>
      </c>
      <c r="D716" s="1">
        <v>-7.835E-3</v>
      </c>
      <c r="E716" s="1">
        <v>-1.93516E-4</v>
      </c>
      <c r="F716" s="1">
        <v>-1.05614E-4</v>
      </c>
      <c r="G716" s="1">
        <v>3.03372E-6</v>
      </c>
      <c r="H716" s="1">
        <v>1.49066E-4</v>
      </c>
    </row>
    <row r="717" spans="1:8" x14ac:dyDescent="0.25">
      <c r="A717">
        <v>106</v>
      </c>
      <c r="B717" s="1">
        <v>261.47300000000001</v>
      </c>
      <c r="C717" s="1">
        <v>8.0940300000000003E-3</v>
      </c>
      <c r="D717" s="1">
        <v>-7.6569100000000003E-3</v>
      </c>
      <c r="E717" s="1">
        <v>-1.8825299999999999E-4</v>
      </c>
      <c r="F717" s="1">
        <v>-1.0679E-4</v>
      </c>
      <c r="G717" s="1">
        <v>3.1128800000000002E-6</v>
      </c>
      <c r="H717" s="1">
        <v>1.4518800000000001E-4</v>
      </c>
    </row>
    <row r="718" spans="1:8" x14ac:dyDescent="0.25">
      <c r="A718">
        <v>107</v>
      </c>
      <c r="B718" s="1">
        <v>266.72199999999998</v>
      </c>
      <c r="C718" s="1">
        <v>7.9123700000000002E-3</v>
      </c>
      <c r="D718" s="1">
        <v>-7.4838500000000002E-3</v>
      </c>
      <c r="E718" s="1">
        <v>-1.83167E-4</v>
      </c>
      <c r="F718" s="1">
        <v>-1.0642899999999999E-4</v>
      </c>
      <c r="G718" s="1">
        <v>2.73374E-6</v>
      </c>
      <c r="H718" s="1">
        <v>1.41662E-4</v>
      </c>
    </row>
    <row r="719" spans="1:8" x14ac:dyDescent="0.25">
      <c r="A719">
        <v>108</v>
      </c>
      <c r="B719" s="1">
        <v>272.01</v>
      </c>
      <c r="C719" s="1">
        <v>7.7345499999999998E-3</v>
      </c>
      <c r="D719" s="1">
        <v>-7.3159799999999997E-3</v>
      </c>
      <c r="E719" s="1">
        <v>-1.7786700000000001E-4</v>
      </c>
      <c r="F719" s="1">
        <v>-1.04341E-4</v>
      </c>
      <c r="G719" s="1">
        <v>1.79277E-6</v>
      </c>
      <c r="H719" s="1">
        <v>1.3815999999999999E-4</v>
      </c>
    </row>
    <row r="720" spans="1:8" x14ac:dyDescent="0.25">
      <c r="A720">
        <v>109</v>
      </c>
      <c r="B720" s="1">
        <v>277.33699999999999</v>
      </c>
      <c r="C720" s="1">
        <v>7.5608200000000002E-3</v>
      </c>
      <c r="D720" s="1">
        <v>-7.1536200000000003E-3</v>
      </c>
      <c r="E720" s="1">
        <v>-1.7204199999999999E-4</v>
      </c>
      <c r="F720" s="1">
        <v>-1.01502E-4</v>
      </c>
      <c r="G720" s="1">
        <v>1.08665E-6</v>
      </c>
      <c r="H720" s="1">
        <v>1.34747E-4</v>
      </c>
    </row>
    <row r="721" spans="1:8" x14ac:dyDescent="0.25">
      <c r="A721">
        <v>110</v>
      </c>
      <c r="B721" s="1">
        <v>282.7</v>
      </c>
      <c r="C721" s="1">
        <v>7.3920399999999999E-3</v>
      </c>
      <c r="D721" s="1">
        <v>-6.9968199999999999E-3</v>
      </c>
      <c r="E721" s="1">
        <v>-1.66658E-4</v>
      </c>
      <c r="F721" s="1">
        <v>-9.8067999999999997E-5</v>
      </c>
      <c r="G721" s="1">
        <v>9.4237500000000002E-7</v>
      </c>
      <c r="H721" s="1">
        <v>1.3144099999999999E-4</v>
      </c>
    </row>
    <row r="722" spans="1:8" x14ac:dyDescent="0.25">
      <c r="A722">
        <v>111</v>
      </c>
      <c r="B722" s="1">
        <v>288.101</v>
      </c>
      <c r="C722" s="1">
        <v>7.2291300000000003E-3</v>
      </c>
      <c r="D722" s="1">
        <v>-6.8450999999999998E-3</v>
      </c>
      <c r="E722" s="1">
        <v>-1.63127E-4</v>
      </c>
      <c r="F722" s="1">
        <v>-9.4018599999999995E-5</v>
      </c>
      <c r="G722" s="1">
        <v>1.3702E-6</v>
      </c>
      <c r="H722" s="1">
        <v>1.2825400000000001E-4</v>
      </c>
    </row>
    <row r="723" spans="1:8" x14ac:dyDescent="0.25">
      <c r="A723">
        <v>112</v>
      </c>
      <c r="B723" s="1">
        <v>293.53800000000001</v>
      </c>
      <c r="C723" s="1">
        <v>7.0720000000000002E-3</v>
      </c>
      <c r="D723" s="1">
        <v>-6.6978300000000001E-3</v>
      </c>
      <c r="E723" s="1">
        <v>-1.6214300000000001E-4</v>
      </c>
      <c r="F723" s="1">
        <v>-8.8644400000000001E-5</v>
      </c>
      <c r="G723" s="1">
        <v>1.64461E-6</v>
      </c>
      <c r="H723" s="1">
        <v>1.2502800000000001E-4</v>
      </c>
    </row>
    <row r="724" spans="1:8" x14ac:dyDescent="0.25">
      <c r="A724">
        <v>113</v>
      </c>
      <c r="B724" s="1">
        <v>299.01</v>
      </c>
      <c r="C724" s="1">
        <v>6.9196700000000002E-3</v>
      </c>
      <c r="D724" s="1">
        <v>-6.5549099999999997E-3</v>
      </c>
      <c r="E724" s="1">
        <v>-1.6305599999999999E-4</v>
      </c>
      <c r="F724" s="1">
        <v>-8.1174599999999994E-5</v>
      </c>
      <c r="G724" s="1">
        <v>1.3493200000000001E-6</v>
      </c>
      <c r="H724" s="1">
        <v>1.21871E-4</v>
      </c>
    </row>
    <row r="725" spans="1:8" x14ac:dyDescent="0.25">
      <c r="A725">
        <v>114</v>
      </c>
      <c r="B725" s="1">
        <v>304.51600000000002</v>
      </c>
      <c r="C725" s="1">
        <v>6.77117E-3</v>
      </c>
      <c r="D725" s="1">
        <v>-6.4163900000000001E-3</v>
      </c>
      <c r="E725" s="1">
        <v>-1.6450699999999999E-4</v>
      </c>
      <c r="F725" s="1">
        <v>-7.2852899999999995E-5</v>
      </c>
      <c r="G725" s="1">
        <v>1.40594E-6</v>
      </c>
      <c r="H725" s="1">
        <v>1.18819E-4</v>
      </c>
    </row>
    <row r="726" spans="1:8" x14ac:dyDescent="0.25">
      <c r="A726">
        <v>115</v>
      </c>
      <c r="B726" s="1">
        <v>310.05599999999998</v>
      </c>
      <c r="C726" s="1">
        <v>6.6255200000000002E-3</v>
      </c>
      <c r="D726" s="1">
        <v>-6.28175E-3</v>
      </c>
      <c r="E726" s="1">
        <v>-1.6493700000000001E-4</v>
      </c>
      <c r="F726" s="1">
        <v>-6.4365399999999999E-5</v>
      </c>
      <c r="G726" s="1">
        <v>1.2302600000000001E-6</v>
      </c>
      <c r="H726" s="1">
        <v>1.15696E-4</v>
      </c>
    </row>
    <row r="727" spans="1:8" x14ac:dyDescent="0.25">
      <c r="A727">
        <v>116</v>
      </c>
      <c r="B727" s="1">
        <v>315.63</v>
      </c>
      <c r="C727" s="1">
        <v>6.4814399999999998E-3</v>
      </c>
      <c r="D727" s="1">
        <v>-6.1505300000000004E-3</v>
      </c>
      <c r="E727" s="1">
        <v>-1.6402800000000001E-4</v>
      </c>
      <c r="F727" s="1">
        <v>-5.5218199999999999E-5</v>
      </c>
      <c r="G727" s="1">
        <v>8.2968899999999999E-7</v>
      </c>
      <c r="H727" s="1">
        <v>1.1249200000000001E-4</v>
      </c>
    </row>
    <row r="728" spans="1:8" x14ac:dyDescent="0.25">
      <c r="A728">
        <v>117</v>
      </c>
      <c r="B728" s="1">
        <v>321.23500000000001</v>
      </c>
      <c r="C728" s="1">
        <v>6.3381799999999997E-3</v>
      </c>
      <c r="D728" s="1">
        <v>-6.0226899999999998E-3</v>
      </c>
      <c r="E728" s="1">
        <v>-1.6301299999999999E-4</v>
      </c>
      <c r="F728" s="1">
        <v>-4.42662E-5</v>
      </c>
      <c r="G728" s="1">
        <v>9.9834199999999993E-7</v>
      </c>
      <c r="H728" s="1">
        <v>1.0920399999999999E-4</v>
      </c>
    </row>
    <row r="729" spans="1:8" x14ac:dyDescent="0.25">
      <c r="A729">
        <v>118</v>
      </c>
      <c r="B729" s="1">
        <v>326.87299999999999</v>
      </c>
      <c r="C729" s="1">
        <v>6.1964999999999998E-3</v>
      </c>
      <c r="D729" s="1">
        <v>-5.8981499999999996E-3</v>
      </c>
      <c r="E729" s="1">
        <v>-1.6284200000000001E-4</v>
      </c>
      <c r="F729" s="1">
        <v>-3.1033900000000001E-5</v>
      </c>
      <c r="G729" s="1">
        <v>1.58272E-6</v>
      </c>
      <c r="H729" s="1">
        <v>1.0606400000000001E-4</v>
      </c>
    </row>
    <row r="730" spans="1:8" x14ac:dyDescent="0.25">
      <c r="A730">
        <v>119</v>
      </c>
      <c r="B730" s="1">
        <v>332.541</v>
      </c>
      <c r="C730" s="1">
        <v>6.0583800000000004E-3</v>
      </c>
      <c r="D730" s="1">
        <v>-5.7768000000000003E-3</v>
      </c>
      <c r="E730" s="1">
        <v>-1.6343400000000001E-4</v>
      </c>
      <c r="F730" s="1">
        <v>-1.69786E-5</v>
      </c>
      <c r="G730" s="1">
        <v>1.8430200000000001E-6</v>
      </c>
      <c r="H730" s="1">
        <v>1.0300499999999999E-4</v>
      </c>
    </row>
    <row r="731" spans="1:8" x14ac:dyDescent="0.25">
      <c r="A731">
        <v>120</v>
      </c>
      <c r="B731" s="1">
        <v>338.23899999999998</v>
      </c>
      <c r="C731" s="1">
        <v>5.9253600000000002E-3</v>
      </c>
      <c r="D731" s="1">
        <v>-5.6587900000000003E-3</v>
      </c>
      <c r="E731" s="1">
        <v>-1.6374599999999999E-4</v>
      </c>
      <c r="F731" s="1">
        <v>-4.8773300000000003E-6</v>
      </c>
      <c r="G731" s="1">
        <v>2.0072500000000001E-6</v>
      </c>
      <c r="H731" s="1">
        <v>9.9956299999999997E-5</v>
      </c>
    </row>
    <row r="732" spans="1:8" x14ac:dyDescent="0.25">
      <c r="A732">
        <v>121</v>
      </c>
      <c r="B732" s="1">
        <v>343.96699999999998</v>
      </c>
      <c r="C732" s="1">
        <v>5.7969900000000001E-3</v>
      </c>
      <c r="D732" s="1">
        <v>-5.5441300000000004E-3</v>
      </c>
      <c r="E732" s="1">
        <v>-1.6246500000000001E-4</v>
      </c>
      <c r="F732" s="1">
        <v>4.4608499999999998E-6</v>
      </c>
      <c r="G732" s="1">
        <v>2.1154900000000001E-6</v>
      </c>
      <c r="H732" s="1">
        <v>9.6968700000000006E-5</v>
      </c>
    </row>
    <row r="733" spans="1:8" x14ac:dyDescent="0.25">
      <c r="A733">
        <v>122</v>
      </c>
      <c r="B733" s="1">
        <v>349.72399999999999</v>
      </c>
      <c r="C733" s="1">
        <v>5.6717499999999997E-3</v>
      </c>
      <c r="D733" s="1">
        <v>-5.4325900000000002E-3</v>
      </c>
      <c r="E733" s="1">
        <v>-1.5924600000000001E-4</v>
      </c>
      <c r="F733" s="1">
        <v>1.2106800000000001E-5</v>
      </c>
      <c r="G733" s="1">
        <v>2.2582499999999999E-6</v>
      </c>
      <c r="H733" s="1">
        <v>9.4279999999999999E-5</v>
      </c>
    </row>
    <row r="734" spans="1:8" x14ac:dyDescent="0.25">
      <c r="A734">
        <v>123</v>
      </c>
      <c r="B734" s="1">
        <v>355.50799999999998</v>
      </c>
      <c r="C734" s="1">
        <v>5.54902E-3</v>
      </c>
      <c r="D734" s="1">
        <v>-5.3240199999999996E-3</v>
      </c>
      <c r="E734" s="1">
        <v>-1.5487899999999999E-4</v>
      </c>
      <c r="F734" s="1">
        <v>1.9299800000000001E-5</v>
      </c>
      <c r="G734" s="1">
        <v>2.3874300000000002E-6</v>
      </c>
      <c r="H734" s="1">
        <v>9.1813799999999998E-5</v>
      </c>
    </row>
    <row r="735" spans="1:8" x14ac:dyDescent="0.25">
      <c r="A735">
        <v>124</v>
      </c>
      <c r="B735" s="1">
        <v>361.32</v>
      </c>
      <c r="C735" s="1">
        <v>5.4293700000000002E-3</v>
      </c>
      <c r="D735" s="1">
        <v>-5.2183899999999998E-3</v>
      </c>
      <c r="E735" s="1">
        <v>-1.5016000000000001E-4</v>
      </c>
      <c r="F735" s="1">
        <v>2.61258E-5</v>
      </c>
      <c r="G735" s="1">
        <v>2.4960100000000002E-6</v>
      </c>
      <c r="H735" s="1">
        <v>8.94412E-5</v>
      </c>
    </row>
    <row r="736" spans="1:8" x14ac:dyDescent="0.25">
      <c r="A736">
        <v>125</v>
      </c>
      <c r="B736" s="1">
        <v>367.15899999999999</v>
      </c>
      <c r="C736" s="1">
        <v>5.3137599999999998E-3</v>
      </c>
      <c r="D736" s="1">
        <v>-5.1156500000000002E-3</v>
      </c>
      <c r="E736" s="1">
        <v>-1.4500799999999999E-4</v>
      </c>
      <c r="F736" s="1">
        <v>3.15494E-5</v>
      </c>
      <c r="G736" s="1">
        <v>2.6190100000000001E-6</v>
      </c>
      <c r="H736" s="1">
        <v>8.7273000000000003E-5</v>
      </c>
    </row>
    <row r="737" spans="1:8" x14ac:dyDescent="0.25">
      <c r="A737">
        <v>126</v>
      </c>
      <c r="B737" s="1">
        <v>373.024</v>
      </c>
      <c r="C737" s="1">
        <v>5.2020900000000004E-3</v>
      </c>
      <c r="D737" s="1">
        <v>-5.0156100000000002E-3</v>
      </c>
      <c r="E737" s="1">
        <v>-1.3873999999999999E-4</v>
      </c>
      <c r="F737" s="1">
        <v>3.5058799999999997E-5</v>
      </c>
      <c r="G737" s="1">
        <v>2.6707800000000002E-6</v>
      </c>
      <c r="H737" s="1">
        <v>8.5468200000000003E-5</v>
      </c>
    </row>
    <row r="738" spans="1:8" x14ac:dyDescent="0.25">
      <c r="A738">
        <v>127</v>
      </c>
      <c r="B738" s="1">
        <v>378.91500000000002</v>
      </c>
      <c r="C738" s="1">
        <v>5.0933899999999997E-3</v>
      </c>
      <c r="D738" s="1">
        <v>-4.9180500000000002E-3</v>
      </c>
      <c r="E738" s="1">
        <v>-1.3158700000000001E-4</v>
      </c>
      <c r="F738" s="1">
        <v>3.8275799999999997E-5</v>
      </c>
      <c r="G738" s="1">
        <v>1.8339299999999999E-6</v>
      </c>
      <c r="H738" s="1">
        <v>8.3862499999999999E-5</v>
      </c>
    </row>
    <row r="739" spans="1:8" x14ac:dyDescent="0.25">
      <c r="A739">
        <v>128</v>
      </c>
      <c r="B739" s="1">
        <v>384.83</v>
      </c>
      <c r="C739" s="1">
        <v>4.98716E-3</v>
      </c>
      <c r="D739" s="1">
        <v>-4.8227900000000004E-3</v>
      </c>
      <c r="E739" s="1">
        <v>-1.24664E-4</v>
      </c>
      <c r="F739" s="1">
        <v>4.2074899999999999E-5</v>
      </c>
      <c r="G739" s="1">
        <v>6.6935100000000002E-7</v>
      </c>
      <c r="H739" s="1">
        <v>8.2452000000000003E-5</v>
      </c>
    </row>
    <row r="740" spans="1:8" x14ac:dyDescent="0.25">
      <c r="A740">
        <v>129</v>
      </c>
      <c r="B740" s="1">
        <v>390.76900000000001</v>
      </c>
      <c r="C740" s="1">
        <v>4.8829399999999997E-3</v>
      </c>
      <c r="D740" s="1">
        <v>-4.7297099999999998E-3</v>
      </c>
      <c r="E740" s="1">
        <v>-1.19381E-4</v>
      </c>
      <c r="F740" s="1">
        <v>4.6555199999999998E-5</v>
      </c>
      <c r="G740" s="1">
        <v>7.5771000000000003E-7</v>
      </c>
      <c r="H740" s="1">
        <v>8.1155000000000005E-5</v>
      </c>
    </row>
    <row r="741" spans="1:8" x14ac:dyDescent="0.25">
      <c r="A741">
        <v>130</v>
      </c>
      <c r="B741" s="1">
        <v>396.73099999999999</v>
      </c>
      <c r="C741" s="1">
        <v>4.7800500000000001E-3</v>
      </c>
      <c r="D741" s="1">
        <v>-4.6386099999999996E-3</v>
      </c>
      <c r="E741" s="1">
        <v>-1.1687E-4</v>
      </c>
      <c r="F741" s="1">
        <v>5.3214799999999997E-5</v>
      </c>
      <c r="G741" s="1">
        <v>2.0165399999999999E-6</v>
      </c>
      <c r="H741" s="1">
        <v>7.9804500000000005E-5</v>
      </c>
    </row>
    <row r="742" spans="1:8" x14ac:dyDescent="0.25">
      <c r="A742">
        <v>131</v>
      </c>
      <c r="B742" s="1">
        <v>402.71699999999998</v>
      </c>
      <c r="C742" s="1">
        <v>4.6783099999999998E-3</v>
      </c>
      <c r="D742" s="1">
        <v>-4.5493799999999996E-3</v>
      </c>
      <c r="E742" s="1">
        <v>-1.17224E-4</v>
      </c>
      <c r="F742" s="1">
        <v>6.3578599999999995E-5</v>
      </c>
      <c r="G742" s="1">
        <v>3.2564700000000001E-6</v>
      </c>
      <c r="H742" s="1">
        <v>7.8538699999999994E-5</v>
      </c>
    </row>
    <row r="743" spans="1:8" x14ac:dyDescent="0.25">
      <c r="A743">
        <v>132</v>
      </c>
      <c r="B743" s="1">
        <v>408.72500000000002</v>
      </c>
      <c r="C743" s="1">
        <v>4.5776100000000002E-3</v>
      </c>
      <c r="D743" s="1">
        <v>-4.4619999999999998E-3</v>
      </c>
      <c r="E743" s="1">
        <v>-1.19622E-4</v>
      </c>
      <c r="F743" s="1">
        <v>7.8243400000000004E-5</v>
      </c>
      <c r="G743" s="1">
        <v>3.09862E-6</v>
      </c>
      <c r="H743" s="1">
        <v>7.7331300000000003E-5</v>
      </c>
    </row>
    <row r="744" spans="1:8" x14ac:dyDescent="0.25">
      <c r="A744">
        <v>133</v>
      </c>
      <c r="B744" s="1">
        <v>414.75400000000002</v>
      </c>
      <c r="C744" s="1">
        <v>4.4778700000000001E-3</v>
      </c>
      <c r="D744" s="1">
        <v>-4.3763200000000004E-3</v>
      </c>
      <c r="E744" s="1">
        <v>-1.22552E-4</v>
      </c>
      <c r="F744" s="1">
        <v>9.5430699999999994E-5</v>
      </c>
      <c r="G744" s="1">
        <v>1.8872699999999999E-6</v>
      </c>
      <c r="H744" s="1">
        <v>7.63165E-5</v>
      </c>
    </row>
    <row r="745" spans="1:8" x14ac:dyDescent="0.25">
      <c r="A745">
        <v>134</v>
      </c>
      <c r="B745" s="1">
        <v>420.80399999999997</v>
      </c>
      <c r="C745" s="1">
        <v>4.37931E-3</v>
      </c>
      <c r="D745" s="1">
        <v>-4.2923500000000003E-3</v>
      </c>
      <c r="E745" s="1">
        <v>-1.26193E-4</v>
      </c>
      <c r="F745" s="1">
        <v>1.12763E-4</v>
      </c>
      <c r="G745" s="1">
        <v>1.78752E-6</v>
      </c>
      <c r="H745" s="1">
        <v>7.5319600000000003E-5</v>
      </c>
    </row>
    <row r="746" spans="1:8" x14ac:dyDescent="0.25">
      <c r="A746">
        <v>135</v>
      </c>
      <c r="B746" s="1">
        <v>426.875</v>
      </c>
      <c r="C746" s="1">
        <v>4.2820200000000001E-3</v>
      </c>
      <c r="D746" s="1">
        <v>-4.2101400000000002E-3</v>
      </c>
      <c r="E746" s="1">
        <v>-1.3094199999999999E-4</v>
      </c>
      <c r="F746" s="1">
        <v>1.30402E-4</v>
      </c>
      <c r="G746" s="1">
        <v>2.9744100000000001E-6</v>
      </c>
      <c r="H746" s="1">
        <v>7.4308500000000002E-5</v>
      </c>
    </row>
    <row r="747" spans="1:8" x14ac:dyDescent="0.25">
      <c r="A747">
        <v>136</v>
      </c>
      <c r="B747" s="1">
        <v>432.96600000000001</v>
      </c>
      <c r="C747" s="1">
        <v>4.1863200000000003E-3</v>
      </c>
      <c r="D747" s="1">
        <v>-4.1295699999999999E-3</v>
      </c>
      <c r="E747" s="1">
        <v>-1.3574999999999999E-4</v>
      </c>
      <c r="F747" s="1">
        <v>1.48715E-4</v>
      </c>
      <c r="G747" s="1">
        <v>3.72278E-6</v>
      </c>
      <c r="H747" s="1">
        <v>7.3438900000000006E-5</v>
      </c>
    </row>
    <row r="748" spans="1:8" x14ac:dyDescent="0.25">
      <c r="A748">
        <v>137</v>
      </c>
      <c r="B748" s="1">
        <v>439.07600000000002</v>
      </c>
      <c r="C748" s="1">
        <v>4.0928199999999996E-3</v>
      </c>
      <c r="D748" s="1">
        <v>-4.0504499999999997E-3</v>
      </c>
      <c r="E748" s="1">
        <v>-1.3948399999999999E-4</v>
      </c>
      <c r="F748" s="1">
        <v>1.6616100000000001E-4</v>
      </c>
      <c r="G748" s="1">
        <v>3.546E-6</v>
      </c>
      <c r="H748" s="1">
        <v>7.2593099999999995E-5</v>
      </c>
    </row>
    <row r="749" spans="1:8" x14ac:dyDescent="0.25">
      <c r="A749">
        <v>138</v>
      </c>
      <c r="B749" s="1">
        <v>445.20499999999998</v>
      </c>
      <c r="C749" s="1">
        <v>4.0019900000000004E-3</v>
      </c>
      <c r="D749" s="1">
        <v>-3.9729800000000001E-3</v>
      </c>
      <c r="E749" s="1">
        <v>-1.41879E-4</v>
      </c>
      <c r="F749" s="1">
        <v>1.81659E-4</v>
      </c>
      <c r="G749" s="1">
        <v>3.0378E-6</v>
      </c>
      <c r="H749" s="1">
        <v>7.1831399999999998E-5</v>
      </c>
    </row>
    <row r="750" spans="1:8" x14ac:dyDescent="0.25">
      <c r="A750">
        <v>139</v>
      </c>
      <c r="B750" s="1">
        <v>451.35199999999998</v>
      </c>
      <c r="C750" s="1">
        <v>3.9139500000000002E-3</v>
      </c>
      <c r="D750" s="1">
        <v>-3.89741E-3</v>
      </c>
      <c r="E750" s="1">
        <v>-1.43597E-4</v>
      </c>
      <c r="F750" s="1">
        <v>1.95448E-4</v>
      </c>
      <c r="G750" s="1">
        <v>2.58898E-6</v>
      </c>
      <c r="H750" s="1">
        <v>7.0972599999999999E-5</v>
      </c>
    </row>
    <row r="751" spans="1:8" x14ac:dyDescent="0.25">
      <c r="A751">
        <v>140</v>
      </c>
      <c r="B751" s="1">
        <v>457.517</v>
      </c>
      <c r="C751" s="1">
        <v>3.82833E-3</v>
      </c>
      <c r="D751" s="1">
        <v>-3.8237800000000001E-3</v>
      </c>
      <c r="E751" s="1">
        <v>-1.4501299999999999E-4</v>
      </c>
      <c r="F751" s="1">
        <v>2.0766200000000001E-4</v>
      </c>
      <c r="G751" s="1">
        <v>2.6105499999999999E-6</v>
      </c>
      <c r="H751" s="1">
        <v>6.9811299999999993E-5</v>
      </c>
    </row>
    <row r="752" spans="1:8" x14ac:dyDescent="0.25">
      <c r="A752">
        <v>141</v>
      </c>
      <c r="B752" s="1">
        <v>463.69900000000001</v>
      </c>
      <c r="C752" s="1">
        <v>3.7448E-3</v>
      </c>
      <c r="D752" s="1">
        <v>-3.7519300000000001E-3</v>
      </c>
      <c r="E752" s="1">
        <v>-1.45914E-4</v>
      </c>
      <c r="F752" s="1">
        <v>2.1846699999999999E-4</v>
      </c>
      <c r="G752" s="1">
        <v>2.98444E-6</v>
      </c>
      <c r="H752" s="1">
        <v>6.8407799999999999E-5</v>
      </c>
    </row>
    <row r="753" spans="1:8" x14ac:dyDescent="0.25">
      <c r="A753">
        <v>142</v>
      </c>
      <c r="B753" s="1">
        <v>469.89800000000002</v>
      </c>
      <c r="C753" s="1">
        <v>3.6628799999999999E-3</v>
      </c>
      <c r="D753" s="1">
        <v>-3.6814999999999999E-3</v>
      </c>
      <c r="E753" s="1">
        <v>-1.4627499999999999E-4</v>
      </c>
      <c r="F753" s="1">
        <v>2.2874200000000001E-4</v>
      </c>
      <c r="G753" s="1">
        <v>3.05003E-6</v>
      </c>
      <c r="H753" s="1">
        <v>6.6899599999999999E-5</v>
      </c>
    </row>
    <row r="754" spans="1:8" x14ac:dyDescent="0.25">
      <c r="A754">
        <v>143</v>
      </c>
      <c r="B754" s="1">
        <v>476.113</v>
      </c>
      <c r="C754" s="1">
        <v>3.5818999999999998E-3</v>
      </c>
      <c r="D754" s="1">
        <v>-3.6123499999999998E-3</v>
      </c>
      <c r="E754" s="1">
        <v>-1.46766E-4</v>
      </c>
      <c r="F754" s="1">
        <v>2.3964599999999999E-4</v>
      </c>
      <c r="G754" s="1">
        <v>2.9664500000000002E-6</v>
      </c>
      <c r="H754" s="1">
        <v>6.5395999999999995E-5</v>
      </c>
    </row>
    <row r="755" spans="1:8" x14ac:dyDescent="0.25">
      <c r="A755">
        <v>144</v>
      </c>
      <c r="B755" s="1">
        <v>482.34399999999999</v>
      </c>
      <c r="C755" s="1">
        <v>3.50155E-3</v>
      </c>
      <c r="D755" s="1">
        <v>-3.5446900000000001E-3</v>
      </c>
      <c r="E755" s="1">
        <v>-1.4823399999999999E-4</v>
      </c>
      <c r="F755" s="1">
        <v>2.52489E-4</v>
      </c>
      <c r="G755" s="1">
        <v>2.7488499999999999E-6</v>
      </c>
      <c r="H755" s="1">
        <v>6.3864799999999999E-5</v>
      </c>
    </row>
    <row r="756" spans="1:8" x14ac:dyDescent="0.25">
      <c r="A756">
        <v>145</v>
      </c>
      <c r="B756" s="1">
        <v>488.59</v>
      </c>
      <c r="C756" s="1">
        <v>3.4222200000000001E-3</v>
      </c>
      <c r="D756" s="1">
        <v>-3.4786800000000001E-3</v>
      </c>
      <c r="E756" s="1">
        <v>-1.5004999999999999E-4</v>
      </c>
      <c r="F756" s="1">
        <v>2.66801E-4</v>
      </c>
      <c r="G756" s="1">
        <v>2.1573500000000002E-6</v>
      </c>
      <c r="H756" s="1">
        <v>6.2447900000000002E-5</v>
      </c>
    </row>
    <row r="757" spans="1:8" x14ac:dyDescent="0.25">
      <c r="A757">
        <v>146</v>
      </c>
      <c r="B757" s="1">
        <v>494.85199999999998</v>
      </c>
      <c r="C757" s="1">
        <v>3.3443000000000001E-3</v>
      </c>
      <c r="D757" s="1">
        <v>-3.41407E-3</v>
      </c>
      <c r="E757" s="1">
        <v>-1.51547E-4</v>
      </c>
      <c r="F757" s="1">
        <v>2.8096300000000001E-4</v>
      </c>
      <c r="G757" s="1">
        <v>1.50997E-6</v>
      </c>
      <c r="H757" s="1">
        <v>6.1154600000000006E-5</v>
      </c>
    </row>
    <row r="758" spans="1:8" x14ac:dyDescent="0.25">
      <c r="A758">
        <v>147</v>
      </c>
      <c r="B758" s="1">
        <v>501.12700000000001</v>
      </c>
      <c r="C758" s="1">
        <v>3.2682399999999999E-3</v>
      </c>
      <c r="D758" s="1">
        <v>-3.35039E-3</v>
      </c>
      <c r="E758" s="1">
        <v>-1.5300900000000001E-4</v>
      </c>
      <c r="F758" s="1">
        <v>2.9431299999999999E-4</v>
      </c>
      <c r="G758" s="1">
        <v>7.0302999999999996E-7</v>
      </c>
      <c r="H758" s="1">
        <v>5.98571E-5</v>
      </c>
    </row>
    <row r="759" spans="1:8" x14ac:dyDescent="0.25">
      <c r="A759">
        <v>148</v>
      </c>
      <c r="B759" s="1">
        <v>507.41699999999997</v>
      </c>
      <c r="C759" s="1">
        <v>3.19477E-3</v>
      </c>
      <c r="D759" s="1">
        <v>-3.2877200000000001E-3</v>
      </c>
      <c r="E759" s="1">
        <v>-1.5426599999999999E-4</v>
      </c>
      <c r="F759" s="1">
        <v>3.0565699999999998E-4</v>
      </c>
      <c r="G759" s="1">
        <v>2.19154E-7</v>
      </c>
      <c r="H759" s="1">
        <v>5.8662100000000002E-5</v>
      </c>
    </row>
    <row r="760" spans="1:8" x14ac:dyDescent="0.25">
      <c r="A760">
        <v>149</v>
      </c>
      <c r="B760" s="1">
        <v>513.72</v>
      </c>
      <c r="C760" s="1">
        <v>3.12365E-3</v>
      </c>
      <c r="D760" s="1">
        <v>-3.22632E-3</v>
      </c>
      <c r="E760" s="1">
        <v>-1.5496999999999999E-4</v>
      </c>
      <c r="F760" s="1">
        <v>3.1416199999999999E-4</v>
      </c>
      <c r="G760" s="1">
        <v>9.5101700000000002E-7</v>
      </c>
      <c r="H760" s="1">
        <v>5.74776E-5</v>
      </c>
    </row>
    <row r="761" spans="1:8" x14ac:dyDescent="0.25">
      <c r="A761">
        <v>150</v>
      </c>
      <c r="B761" s="1">
        <v>520.03700000000003</v>
      </c>
      <c r="C761" s="1">
        <v>3.0537300000000002E-3</v>
      </c>
      <c r="D761" s="1">
        <v>-3.1660999999999998E-3</v>
      </c>
      <c r="E761" s="1">
        <v>-1.5510400000000001E-4</v>
      </c>
      <c r="F761" s="1">
        <v>3.2121999999999999E-4</v>
      </c>
      <c r="G761" s="1">
        <v>2.50151E-6</v>
      </c>
      <c r="H761" s="1">
        <v>5.6253199999999999E-5</v>
      </c>
    </row>
    <row r="762" spans="1:8" x14ac:dyDescent="0.25">
      <c r="A762">
        <v>151</v>
      </c>
      <c r="B762" s="1">
        <v>526.36599999999999</v>
      </c>
      <c r="C762" s="1">
        <v>2.9842100000000002E-3</v>
      </c>
      <c r="D762" s="1">
        <v>-3.10692E-3</v>
      </c>
      <c r="E762" s="1">
        <v>-1.54778E-4</v>
      </c>
      <c r="F762" s="1">
        <v>3.2884400000000001E-4</v>
      </c>
      <c r="G762" s="1">
        <v>3.8664300000000004E-6</v>
      </c>
      <c r="H762" s="1">
        <v>5.5215900000000001E-5</v>
      </c>
    </row>
    <row r="763" spans="1:8" x14ac:dyDescent="0.25">
      <c r="A763">
        <v>152</v>
      </c>
      <c r="B763" s="1">
        <v>532.70799999999997</v>
      </c>
      <c r="C763" s="1">
        <v>2.9145899999999999E-3</v>
      </c>
      <c r="D763" s="1">
        <v>-3.0486599999999999E-3</v>
      </c>
      <c r="E763" s="1">
        <v>-1.5455699999999999E-4</v>
      </c>
      <c r="F763" s="1">
        <v>3.3882200000000002E-4</v>
      </c>
      <c r="G763" s="1">
        <v>4.0125199999999998E-6</v>
      </c>
      <c r="H763" s="1">
        <v>5.42079E-5</v>
      </c>
    </row>
    <row r="764" spans="1:8" x14ac:dyDescent="0.25">
      <c r="A764">
        <v>153</v>
      </c>
      <c r="B764" s="1">
        <v>539.06200000000001</v>
      </c>
      <c r="C764" s="1">
        <v>2.8446299999999999E-3</v>
      </c>
      <c r="D764" s="1">
        <v>-2.9913700000000001E-3</v>
      </c>
      <c r="E764" s="1">
        <v>-1.5461899999999999E-4</v>
      </c>
      <c r="F764" s="1">
        <v>3.5125199999999998E-4</v>
      </c>
      <c r="G764" s="1">
        <v>3.3640299999999999E-6</v>
      </c>
      <c r="H764" s="1">
        <v>5.3261899999999999E-5</v>
      </c>
    </row>
    <row r="765" spans="1:8" x14ac:dyDescent="0.25">
      <c r="A765">
        <v>154</v>
      </c>
      <c r="B765" s="1">
        <v>545.42700000000002</v>
      </c>
      <c r="C765" s="1">
        <v>2.7746099999999998E-3</v>
      </c>
      <c r="D765" s="1">
        <v>-2.9352499999999999E-3</v>
      </c>
      <c r="E765" s="1">
        <v>-1.54604E-4</v>
      </c>
      <c r="F765" s="1">
        <v>3.6431300000000001E-4</v>
      </c>
      <c r="G765" s="1">
        <v>3.3152699999999999E-6</v>
      </c>
      <c r="H765" s="1">
        <v>5.23846E-5</v>
      </c>
    </row>
    <row r="766" spans="1:8" x14ac:dyDescent="0.25">
      <c r="A766">
        <v>155</v>
      </c>
      <c r="B766" s="1">
        <v>551.80499999999995</v>
      </c>
      <c r="C766" s="1">
        <v>2.70521E-3</v>
      </c>
      <c r="D766" s="1">
        <v>-2.8802599999999999E-3</v>
      </c>
      <c r="E766" s="1">
        <v>-1.5439800000000001E-4</v>
      </c>
      <c r="F766" s="1">
        <v>3.77041E-4</v>
      </c>
      <c r="G766" s="1">
        <v>3.8327700000000004E-6</v>
      </c>
      <c r="H766" s="1">
        <v>5.1419699999999998E-5</v>
      </c>
    </row>
    <row r="767" spans="1:8" x14ac:dyDescent="0.25">
      <c r="A767">
        <v>156</v>
      </c>
      <c r="B767" s="1">
        <v>558.19299999999998</v>
      </c>
      <c r="C767" s="1">
        <v>2.6370199999999999E-3</v>
      </c>
      <c r="D767" s="1">
        <v>-2.8263699999999999E-3</v>
      </c>
      <c r="E767" s="1">
        <v>-1.54222E-4</v>
      </c>
      <c r="F767" s="1">
        <v>3.8992900000000001E-4</v>
      </c>
      <c r="G767" s="1">
        <v>4.09619E-6</v>
      </c>
      <c r="H767" s="1">
        <v>5.0451200000000002E-5</v>
      </c>
    </row>
    <row r="768" spans="1:8" x14ac:dyDescent="0.25">
      <c r="A768">
        <v>157</v>
      </c>
      <c r="B768" s="1">
        <v>564.59199999999998</v>
      </c>
      <c r="C768" s="1">
        <v>2.57026E-3</v>
      </c>
      <c r="D768" s="1">
        <v>-2.7736800000000002E-3</v>
      </c>
      <c r="E768" s="1">
        <v>-1.5432799999999999E-4</v>
      </c>
      <c r="F768" s="1">
        <v>4.0313700000000003E-4</v>
      </c>
      <c r="G768" s="1">
        <v>4.1372E-6</v>
      </c>
      <c r="H768" s="1">
        <v>4.9520900000000002E-5</v>
      </c>
    </row>
    <row r="769" spans="1:8" x14ac:dyDescent="0.25">
      <c r="A769">
        <v>158</v>
      </c>
      <c r="B769" s="1">
        <v>571.00199999999995</v>
      </c>
      <c r="C769" s="1">
        <v>2.50505E-3</v>
      </c>
      <c r="D769" s="1">
        <v>-2.72222E-3</v>
      </c>
      <c r="E769" s="1">
        <v>-1.5487300000000001E-4</v>
      </c>
      <c r="F769" s="1">
        <v>4.1652399999999998E-4</v>
      </c>
      <c r="G769" s="1">
        <v>4.1019200000000002E-6</v>
      </c>
      <c r="H769" s="1">
        <v>4.8582499999999998E-5</v>
      </c>
    </row>
    <row r="770" spans="1:8" x14ac:dyDescent="0.25">
      <c r="A770">
        <v>159</v>
      </c>
      <c r="B770" s="1">
        <v>577.42200000000003</v>
      </c>
      <c r="C770" s="1">
        <v>2.4415499999999998E-3</v>
      </c>
      <c r="D770" s="1">
        <v>-2.67199E-3</v>
      </c>
      <c r="E770" s="1">
        <v>-1.5573900000000001E-4</v>
      </c>
      <c r="F770" s="1">
        <v>4.3000800000000001E-4</v>
      </c>
      <c r="G770" s="1">
        <v>3.8466300000000001E-6</v>
      </c>
      <c r="H770" s="1">
        <v>4.7672600000000002E-5</v>
      </c>
    </row>
    <row r="771" spans="1:8" x14ac:dyDescent="0.25">
      <c r="A771">
        <v>160</v>
      </c>
      <c r="B771" s="1">
        <v>583.85299999999995</v>
      </c>
      <c r="C771" s="1">
        <v>2.3797100000000002E-3</v>
      </c>
      <c r="D771" s="1">
        <v>-2.6230099999999998E-3</v>
      </c>
      <c r="E771" s="1">
        <v>-1.5668100000000001E-4</v>
      </c>
      <c r="F771" s="1">
        <v>4.4325899999999999E-4</v>
      </c>
      <c r="G771" s="1">
        <v>3.4824700000000001E-6</v>
      </c>
      <c r="H771" s="1">
        <v>4.6757400000000001E-5</v>
      </c>
    </row>
    <row r="772" spans="1:8" x14ac:dyDescent="0.25">
      <c r="A772">
        <v>161</v>
      </c>
      <c r="B772" s="1">
        <v>590.29300000000001</v>
      </c>
      <c r="C772" s="1">
        <v>2.3192500000000001E-3</v>
      </c>
      <c r="D772" s="1">
        <v>-2.5751400000000001E-3</v>
      </c>
      <c r="E772" s="1">
        <v>-1.5722500000000001E-4</v>
      </c>
      <c r="F772" s="1">
        <v>4.5585200000000003E-4</v>
      </c>
      <c r="G772" s="1">
        <v>3.1109000000000001E-6</v>
      </c>
      <c r="H772" s="1">
        <v>4.5846800000000003E-5</v>
      </c>
    </row>
    <row r="773" spans="1:8" x14ac:dyDescent="0.25">
      <c r="A773">
        <v>162</v>
      </c>
      <c r="B773" s="1">
        <v>596.74199999999996</v>
      </c>
      <c r="C773" s="1">
        <v>2.25991E-3</v>
      </c>
      <c r="D773" s="1">
        <v>-2.5283100000000002E-3</v>
      </c>
      <c r="E773" s="1">
        <v>-1.5730400000000001E-4</v>
      </c>
      <c r="F773" s="1">
        <v>4.67598E-4</v>
      </c>
      <c r="G773" s="1">
        <v>3.0075E-6</v>
      </c>
      <c r="H773" s="1">
        <v>4.4904400000000003E-5</v>
      </c>
    </row>
    <row r="774" spans="1:8" x14ac:dyDescent="0.25">
      <c r="A774">
        <v>163</v>
      </c>
      <c r="B774" s="1">
        <v>603.20100000000002</v>
      </c>
      <c r="C774" s="1">
        <v>2.2016499999999999E-3</v>
      </c>
      <c r="D774" s="1">
        <v>-2.4824399999999998E-3</v>
      </c>
      <c r="E774" s="1">
        <v>-1.573E-4</v>
      </c>
      <c r="F774" s="1">
        <v>4.7856599999999998E-4</v>
      </c>
      <c r="G774" s="1">
        <v>3.4915599999999999E-6</v>
      </c>
      <c r="H774" s="1">
        <v>4.3968599999999998E-5</v>
      </c>
    </row>
    <row r="775" spans="1:8" x14ac:dyDescent="0.25">
      <c r="A775">
        <v>164</v>
      </c>
      <c r="B775" s="1">
        <v>609.66999999999996</v>
      </c>
      <c r="C775" s="1">
        <v>2.1445800000000001E-3</v>
      </c>
      <c r="D775" s="1">
        <v>-2.4373900000000002E-3</v>
      </c>
      <c r="E775" s="1">
        <v>-1.5777200000000001E-4</v>
      </c>
      <c r="F775" s="1">
        <v>4.8982599999999996E-4</v>
      </c>
      <c r="G775" s="1">
        <v>3.78596E-6</v>
      </c>
      <c r="H775" s="1">
        <v>4.3022699999999997E-5</v>
      </c>
    </row>
    <row r="776" spans="1:8" x14ac:dyDescent="0.25">
      <c r="A776">
        <v>165</v>
      </c>
      <c r="B776" s="1">
        <v>616.14700000000005</v>
      </c>
      <c r="C776" s="1">
        <v>2.0884300000000001E-3</v>
      </c>
      <c r="D776" s="1">
        <v>-2.3931199999999999E-3</v>
      </c>
      <c r="E776" s="1">
        <v>-1.5881900000000001E-4</v>
      </c>
      <c r="F776" s="1">
        <v>5.0172900000000002E-4</v>
      </c>
      <c r="G776" s="1">
        <v>3.84968E-6</v>
      </c>
      <c r="H776" s="1">
        <v>4.2076700000000003E-5</v>
      </c>
    </row>
    <row r="777" spans="1:8" x14ac:dyDescent="0.25">
      <c r="A777">
        <v>166</v>
      </c>
      <c r="B777" s="1">
        <v>622.63300000000004</v>
      </c>
      <c r="C777" s="1">
        <v>2.0326200000000002E-3</v>
      </c>
      <c r="D777" s="1">
        <v>-2.3494200000000001E-3</v>
      </c>
      <c r="E777" s="1">
        <v>-1.6012700000000001E-4</v>
      </c>
      <c r="F777" s="1">
        <v>5.1420199999999995E-4</v>
      </c>
      <c r="G777" s="1">
        <v>3.73556E-6</v>
      </c>
      <c r="H777" s="1">
        <v>4.1017099999999997E-5</v>
      </c>
    </row>
    <row r="778" spans="1:8" x14ac:dyDescent="0.25">
      <c r="A778">
        <v>167</v>
      </c>
      <c r="B778" s="1">
        <v>629.12800000000004</v>
      </c>
      <c r="C778" s="1">
        <v>1.97693E-3</v>
      </c>
      <c r="D778" s="1">
        <v>-2.30613E-3</v>
      </c>
      <c r="E778" s="1">
        <v>-1.61063E-4</v>
      </c>
      <c r="F778" s="1">
        <v>5.2714299999999999E-4</v>
      </c>
      <c r="G778" s="1">
        <v>3.0247500000000001E-6</v>
      </c>
      <c r="H778" s="1">
        <v>3.9898000000000003E-5</v>
      </c>
    </row>
    <row r="779" spans="1:8" x14ac:dyDescent="0.25">
      <c r="A779">
        <v>168</v>
      </c>
      <c r="B779" s="1">
        <v>635.63099999999997</v>
      </c>
      <c r="C779" s="1">
        <v>1.9216599999999999E-3</v>
      </c>
      <c r="D779" s="1">
        <v>-2.2635400000000001E-3</v>
      </c>
      <c r="E779" s="1">
        <v>-1.61399E-4</v>
      </c>
      <c r="F779" s="1">
        <v>5.4007199999999995E-4</v>
      </c>
      <c r="G779" s="1">
        <v>2.0033599999999999E-6</v>
      </c>
      <c r="H779" s="1">
        <v>3.8795799999999999E-5</v>
      </c>
    </row>
    <row r="780" spans="1:8" x14ac:dyDescent="0.25">
      <c r="A780">
        <v>169</v>
      </c>
      <c r="B780" s="1">
        <v>642.14300000000003</v>
      </c>
      <c r="C780" s="1">
        <v>1.86713E-3</v>
      </c>
      <c r="D780" s="1">
        <v>-2.222E-3</v>
      </c>
      <c r="E780" s="1">
        <v>-1.6155799999999999E-4</v>
      </c>
      <c r="F780" s="1">
        <v>5.5259199999999997E-4</v>
      </c>
      <c r="G780" s="1">
        <v>1.57705E-6</v>
      </c>
      <c r="H780" s="1">
        <v>3.77427E-5</v>
      </c>
    </row>
    <row r="781" spans="1:8" x14ac:dyDescent="0.25">
      <c r="A781">
        <v>170</v>
      </c>
      <c r="B781" s="1">
        <v>648.66300000000001</v>
      </c>
      <c r="C781" s="1">
        <v>1.8132999999999999E-3</v>
      </c>
      <c r="D781" s="1">
        <v>-2.1815599999999999E-3</v>
      </c>
      <c r="E781" s="1">
        <v>-1.6216900000000001E-4</v>
      </c>
      <c r="F781" s="1">
        <v>5.6510399999999998E-4</v>
      </c>
      <c r="G781" s="1">
        <v>1.9307800000000001E-6</v>
      </c>
      <c r="H781" s="1">
        <v>3.6604499999999998E-5</v>
      </c>
    </row>
    <row r="782" spans="1:8" x14ac:dyDescent="0.25">
      <c r="A782">
        <v>171</v>
      </c>
      <c r="B782" s="1">
        <v>655.19100000000003</v>
      </c>
      <c r="C782" s="1">
        <v>1.7599899999999999E-3</v>
      </c>
      <c r="D782" s="1">
        <v>-2.1420599999999999E-3</v>
      </c>
      <c r="E782" s="1">
        <v>-1.62969E-4</v>
      </c>
      <c r="F782" s="1">
        <v>5.7805499999999995E-4</v>
      </c>
      <c r="G782" s="1">
        <v>2.4243100000000001E-6</v>
      </c>
      <c r="H782" s="1">
        <v>3.5432899999999997E-5</v>
      </c>
    </row>
    <row r="783" spans="1:8" x14ac:dyDescent="0.25">
      <c r="A783">
        <v>172</v>
      </c>
      <c r="B783" s="1">
        <v>661.72699999999998</v>
      </c>
      <c r="C783" s="1">
        <v>1.70706E-3</v>
      </c>
      <c r="D783" s="1">
        <v>-2.10341E-3</v>
      </c>
      <c r="E783" s="1">
        <v>-1.6334300000000001E-4</v>
      </c>
      <c r="F783" s="1">
        <v>5.9118599999999995E-4</v>
      </c>
      <c r="G783" s="1">
        <v>2.8293300000000001E-6</v>
      </c>
      <c r="H783" s="1">
        <v>3.4323799999999998E-5</v>
      </c>
    </row>
    <row r="784" spans="1:8" x14ac:dyDescent="0.25">
      <c r="A784">
        <v>173</v>
      </c>
      <c r="B784" s="1">
        <v>668.27200000000005</v>
      </c>
      <c r="C784" s="1">
        <v>1.6543599999999999E-3</v>
      </c>
      <c r="D784" s="1">
        <v>-2.0655000000000001E-3</v>
      </c>
      <c r="E784" s="1">
        <v>-1.6312400000000001E-4</v>
      </c>
      <c r="F784" s="1">
        <v>6.0441900000000003E-4</v>
      </c>
      <c r="G784" s="1">
        <v>3.0558E-6</v>
      </c>
      <c r="H784" s="1">
        <v>3.3208099999999998E-5</v>
      </c>
    </row>
    <row r="785" spans="1:8" x14ac:dyDescent="0.25">
      <c r="A785">
        <v>174</v>
      </c>
      <c r="B785" s="1">
        <v>674.82399999999996</v>
      </c>
      <c r="C785" s="1">
        <v>1.6018899999999999E-3</v>
      </c>
      <c r="D785" s="1">
        <v>-2.0283800000000002E-3</v>
      </c>
      <c r="E785" s="1">
        <v>-1.6236500000000001E-4</v>
      </c>
      <c r="F785" s="1">
        <v>6.1744399999999998E-4</v>
      </c>
      <c r="G785" s="1">
        <v>3.46358E-6</v>
      </c>
      <c r="H785" s="1">
        <v>3.2055099999999997E-5</v>
      </c>
    </row>
    <row r="786" spans="1:8" x14ac:dyDescent="0.25">
      <c r="A786">
        <v>175</v>
      </c>
      <c r="B786" s="1">
        <v>681.38499999999999</v>
      </c>
      <c r="C786" s="1">
        <v>1.5498199999999999E-3</v>
      </c>
      <c r="D786" s="1">
        <v>-1.9920799999999998E-3</v>
      </c>
      <c r="E786" s="1">
        <v>-1.61182E-4</v>
      </c>
      <c r="F786" s="1">
        <v>6.3038500000000002E-4</v>
      </c>
      <c r="G786" s="1">
        <v>3.9534299999999997E-6</v>
      </c>
      <c r="H786" s="1">
        <v>3.0896099999999997E-5</v>
      </c>
    </row>
    <row r="787" spans="1:8" x14ac:dyDescent="0.25">
      <c r="A787">
        <v>176</v>
      </c>
      <c r="B787" s="1">
        <v>687.95299999999997</v>
      </c>
      <c r="C787" s="1">
        <v>1.49833E-3</v>
      </c>
      <c r="D787" s="1">
        <v>-1.95655E-3</v>
      </c>
      <c r="E787" s="1">
        <v>-1.5983999999999999E-4</v>
      </c>
      <c r="F787" s="1">
        <v>6.4360800000000005E-4</v>
      </c>
      <c r="G787" s="1">
        <v>4.2987699999999998E-6</v>
      </c>
      <c r="H787" s="1">
        <v>2.9845500000000001E-5</v>
      </c>
    </row>
    <row r="788" spans="1:8" x14ac:dyDescent="0.25">
      <c r="A788">
        <v>177</v>
      </c>
      <c r="B788" s="1">
        <v>694.529</v>
      </c>
      <c r="C788" s="1">
        <v>1.4475E-3</v>
      </c>
      <c r="D788" s="1">
        <v>-1.9217800000000001E-3</v>
      </c>
      <c r="E788" s="1">
        <v>-1.5895500000000001E-4</v>
      </c>
      <c r="F788" s="1">
        <v>6.5768000000000001E-4</v>
      </c>
      <c r="G788" s="1">
        <v>4.4732499999999999E-6</v>
      </c>
      <c r="H788" s="1">
        <v>2.8916199999999999E-5</v>
      </c>
    </row>
    <row r="789" spans="1:8" x14ac:dyDescent="0.25">
      <c r="A789">
        <v>178</v>
      </c>
      <c r="B789" s="1">
        <v>701.11300000000006</v>
      </c>
      <c r="C789" s="1">
        <v>1.39734E-3</v>
      </c>
      <c r="D789" s="1">
        <v>-1.8879000000000001E-3</v>
      </c>
      <c r="E789" s="1">
        <v>-1.5886900000000001E-4</v>
      </c>
      <c r="F789" s="1">
        <v>6.7345700000000003E-4</v>
      </c>
      <c r="G789" s="1">
        <v>4.1138299999999999E-6</v>
      </c>
      <c r="H789" s="1">
        <v>2.8142700000000001E-5</v>
      </c>
    </row>
    <row r="790" spans="1:8" x14ac:dyDescent="0.25">
      <c r="A790">
        <v>179</v>
      </c>
      <c r="B790" s="1">
        <v>707.70500000000004</v>
      </c>
      <c r="C790" s="1">
        <v>1.3479099999999999E-3</v>
      </c>
      <c r="D790" s="1">
        <v>-1.85502E-3</v>
      </c>
      <c r="E790" s="1">
        <v>-1.59476E-4</v>
      </c>
      <c r="F790" s="1">
        <v>6.9066099999999997E-4</v>
      </c>
      <c r="G790" s="1">
        <v>3.4931099999999999E-6</v>
      </c>
      <c r="H790" s="1">
        <v>2.75677E-5</v>
      </c>
    </row>
    <row r="791" spans="1:8" x14ac:dyDescent="0.25">
      <c r="A791">
        <v>180</v>
      </c>
      <c r="B791" s="1">
        <v>714.30600000000004</v>
      </c>
      <c r="C791" s="1">
        <v>1.29923E-3</v>
      </c>
      <c r="D791" s="1">
        <v>-1.8230399999999999E-3</v>
      </c>
      <c r="E791" s="1">
        <v>-1.6072699999999999E-4</v>
      </c>
      <c r="F791" s="1">
        <v>7.0857299999999999E-4</v>
      </c>
      <c r="G791" s="1">
        <v>2.9906499999999999E-6</v>
      </c>
      <c r="H791" s="1">
        <v>2.7024899999999999E-5</v>
      </c>
    </row>
    <row r="792" spans="1:8" x14ac:dyDescent="0.25">
      <c r="A792">
        <v>181</v>
      </c>
      <c r="B792" s="1">
        <v>720.91399999999999</v>
      </c>
      <c r="C792" s="1">
        <v>1.2512300000000001E-3</v>
      </c>
      <c r="D792" s="1">
        <v>-1.79178E-3</v>
      </c>
      <c r="E792" s="1">
        <v>-1.62292E-4</v>
      </c>
      <c r="F792" s="1">
        <v>7.2641100000000005E-4</v>
      </c>
      <c r="G792" s="1">
        <v>2.9081000000000002E-6</v>
      </c>
      <c r="H792" s="1">
        <v>2.6476299999999999E-5</v>
      </c>
    </row>
    <row r="793" spans="1:8" x14ac:dyDescent="0.25">
      <c r="A793">
        <v>182</v>
      </c>
      <c r="B793" s="1">
        <v>727.53</v>
      </c>
      <c r="C793" s="1">
        <v>1.20385E-3</v>
      </c>
      <c r="D793" s="1">
        <v>-1.7611199999999999E-3</v>
      </c>
      <c r="E793" s="1">
        <v>-1.6357000000000001E-4</v>
      </c>
      <c r="F793" s="1">
        <v>7.4366199999999997E-4</v>
      </c>
      <c r="G793" s="1">
        <v>3.0730500000000002E-6</v>
      </c>
      <c r="H793" s="1">
        <v>2.58943E-5</v>
      </c>
    </row>
    <row r="794" spans="1:8" x14ac:dyDescent="0.25">
      <c r="A794">
        <v>183</v>
      </c>
      <c r="B794" s="1">
        <v>734.15499999999997</v>
      </c>
      <c r="C794" s="1">
        <v>1.1571999999999999E-3</v>
      </c>
      <c r="D794" s="1">
        <v>-1.7309999999999999E-3</v>
      </c>
      <c r="E794" s="1">
        <v>-1.64229E-4</v>
      </c>
      <c r="F794" s="1">
        <v>7.6030900000000003E-4</v>
      </c>
      <c r="G794" s="1">
        <v>2.9885299999999998E-6</v>
      </c>
      <c r="H794" s="1">
        <v>2.5264300000000001E-5</v>
      </c>
    </row>
    <row r="795" spans="1:8" x14ac:dyDescent="0.25">
      <c r="A795">
        <v>184</v>
      </c>
      <c r="B795" s="1">
        <v>740.78700000000003</v>
      </c>
      <c r="C795" s="1">
        <v>1.1114199999999999E-3</v>
      </c>
      <c r="D795" s="1">
        <v>-1.7014700000000001E-3</v>
      </c>
      <c r="E795" s="1">
        <v>-1.6408300000000001E-4</v>
      </c>
      <c r="F795" s="1">
        <v>7.7593599999999997E-4</v>
      </c>
      <c r="G795" s="1">
        <v>2.8920999999999998E-6</v>
      </c>
      <c r="H795" s="1">
        <v>2.4697300000000002E-5</v>
      </c>
    </row>
    <row r="796" spans="1:8" x14ac:dyDescent="0.25">
      <c r="A796">
        <v>185</v>
      </c>
      <c r="B796" s="1">
        <v>747.42899999999997</v>
      </c>
      <c r="C796" s="1">
        <v>1.0664299999999999E-3</v>
      </c>
      <c r="D796" s="1">
        <v>-1.67263E-3</v>
      </c>
      <c r="E796" s="1">
        <v>-1.6312799999999999E-4</v>
      </c>
      <c r="F796" s="1">
        <v>7.9061799999999998E-4</v>
      </c>
      <c r="G796" s="1">
        <v>2.85665E-6</v>
      </c>
      <c r="H796" s="1">
        <v>2.4152199999999999E-5</v>
      </c>
    </row>
    <row r="797" spans="1:8" x14ac:dyDescent="0.25">
      <c r="A797">
        <v>186</v>
      </c>
      <c r="B797" s="1">
        <v>754.07899999999995</v>
      </c>
      <c r="C797" s="1">
        <v>1.02213E-3</v>
      </c>
      <c r="D797" s="1">
        <v>-1.64467E-3</v>
      </c>
      <c r="E797" s="1">
        <v>-1.61454E-4</v>
      </c>
      <c r="F797" s="1">
        <v>8.0455000000000001E-4</v>
      </c>
      <c r="G797" s="1">
        <v>3.0515700000000002E-6</v>
      </c>
      <c r="H797" s="1">
        <v>2.3606899999999999E-5</v>
      </c>
    </row>
    <row r="798" spans="1:8" x14ac:dyDescent="0.25">
      <c r="A798">
        <v>187</v>
      </c>
      <c r="B798" s="1">
        <v>760.73699999999997</v>
      </c>
      <c r="C798" s="1">
        <v>9.7853000000000002E-4</v>
      </c>
      <c r="D798" s="1">
        <v>-1.6176700000000001E-3</v>
      </c>
      <c r="E798" s="1">
        <v>-1.5926199999999999E-4</v>
      </c>
      <c r="F798" s="1">
        <v>8.1764499999999998E-4</v>
      </c>
      <c r="G798" s="1">
        <v>3.82757E-6</v>
      </c>
      <c r="H798" s="1">
        <v>2.30697E-5</v>
      </c>
    </row>
    <row r="799" spans="1:8" x14ac:dyDescent="0.25">
      <c r="A799">
        <v>188</v>
      </c>
      <c r="B799" s="1">
        <v>767.404</v>
      </c>
      <c r="C799" s="1">
        <v>9.3557199999999997E-4</v>
      </c>
      <c r="D799" s="1">
        <v>-1.5914E-3</v>
      </c>
      <c r="E799" s="1">
        <v>-1.56902E-4</v>
      </c>
      <c r="F799" s="1">
        <v>8.3047299999999998E-4</v>
      </c>
      <c r="G799" s="1">
        <v>4.7298E-6</v>
      </c>
      <c r="H799" s="1">
        <v>2.24702E-5</v>
      </c>
    </row>
    <row r="800" spans="1:8" x14ac:dyDescent="0.25">
      <c r="A800">
        <v>189</v>
      </c>
      <c r="B800" s="1">
        <v>774.08100000000002</v>
      </c>
      <c r="C800" s="1">
        <v>8.9310799999999999E-4</v>
      </c>
      <c r="D800" s="1">
        <v>-1.56569E-3</v>
      </c>
      <c r="E800" s="1">
        <v>-1.5484E-4</v>
      </c>
      <c r="F800" s="1">
        <v>8.4387000000000004E-4</v>
      </c>
      <c r="G800" s="1">
        <v>5.3986399999999997E-6</v>
      </c>
      <c r="H800" s="1">
        <v>2.1842299999999999E-5</v>
      </c>
    </row>
    <row r="801" spans="1:8" x14ac:dyDescent="0.25">
      <c r="A801">
        <v>190</v>
      </c>
      <c r="B801" s="1">
        <v>780.76700000000005</v>
      </c>
      <c r="C801" s="1">
        <v>8.5108099999999995E-4</v>
      </c>
      <c r="D801" s="1">
        <v>-1.54053E-3</v>
      </c>
      <c r="E801" s="1">
        <v>-1.5331200000000001E-4</v>
      </c>
      <c r="F801" s="1">
        <v>8.5828200000000003E-4</v>
      </c>
      <c r="G801" s="1">
        <v>5.6843199999999996E-6</v>
      </c>
      <c r="H801" s="1">
        <v>2.12074E-5</v>
      </c>
    </row>
    <row r="802" spans="1:8" x14ac:dyDescent="0.25">
      <c r="A802">
        <v>191</v>
      </c>
      <c r="B802" s="1">
        <v>787.46199999999999</v>
      </c>
      <c r="C802" s="1">
        <v>8.0954400000000004E-4</v>
      </c>
      <c r="D802" s="1">
        <v>-1.51592E-3</v>
      </c>
      <c r="E802" s="1">
        <v>-1.51939E-4</v>
      </c>
      <c r="F802" s="1">
        <v>8.7330199999999995E-4</v>
      </c>
      <c r="G802" s="1">
        <v>5.63502E-6</v>
      </c>
      <c r="H802" s="1">
        <v>2.0617700000000001E-5</v>
      </c>
    </row>
    <row r="803" spans="1:8" x14ac:dyDescent="0.25">
      <c r="A803">
        <v>192</v>
      </c>
      <c r="B803" s="1">
        <v>794.16700000000003</v>
      </c>
      <c r="C803" s="1">
        <v>7.6855499999999998E-4</v>
      </c>
      <c r="D803" s="1">
        <v>-1.49197E-3</v>
      </c>
      <c r="E803" s="1">
        <v>-1.50395E-4</v>
      </c>
      <c r="F803" s="1">
        <v>8.8842399999999996E-4</v>
      </c>
      <c r="G803" s="1">
        <v>5.4923099999999998E-6</v>
      </c>
      <c r="H803" s="1">
        <v>2.0100699999999999E-5</v>
      </c>
    </row>
    <row r="804" spans="1:8" x14ac:dyDescent="0.25">
      <c r="A804">
        <v>193</v>
      </c>
      <c r="B804" s="1">
        <v>800.88099999999997</v>
      </c>
      <c r="C804" s="1">
        <v>7.2824800000000002E-4</v>
      </c>
      <c r="D804" s="1">
        <v>-1.46883E-3</v>
      </c>
      <c r="E804" s="1">
        <v>-1.48672E-4</v>
      </c>
      <c r="F804" s="1">
        <v>9.03582E-4</v>
      </c>
      <c r="G804" s="1">
        <v>5.3264600000000003E-6</v>
      </c>
      <c r="H804" s="1">
        <v>1.9653E-5</v>
      </c>
    </row>
    <row r="805" spans="1:8" x14ac:dyDescent="0.25">
      <c r="A805">
        <v>194</v>
      </c>
      <c r="B805" s="1">
        <v>807.60599999999999</v>
      </c>
      <c r="C805" s="1">
        <v>6.8872599999999996E-4</v>
      </c>
      <c r="D805" s="1">
        <v>-1.4465999999999999E-3</v>
      </c>
      <c r="E805" s="1">
        <v>-1.46713E-4</v>
      </c>
      <c r="F805" s="1">
        <v>9.1824199999999999E-4</v>
      </c>
      <c r="G805" s="1">
        <v>5.6302400000000002E-6</v>
      </c>
      <c r="H805" s="1">
        <v>1.9281400000000001E-5</v>
      </c>
    </row>
    <row r="806" spans="1:8" x14ac:dyDescent="0.25">
      <c r="A806">
        <v>195</v>
      </c>
      <c r="B806" s="1">
        <v>814.34199999999998</v>
      </c>
      <c r="C806" s="1">
        <v>6.4992800000000003E-4</v>
      </c>
      <c r="D806" s="1">
        <v>-1.42519E-3</v>
      </c>
      <c r="E806" s="1">
        <v>-1.44287E-4</v>
      </c>
      <c r="F806" s="1">
        <v>9.3203000000000003E-4</v>
      </c>
      <c r="G806" s="1">
        <v>6.4060400000000004E-6</v>
      </c>
      <c r="H806" s="1">
        <v>1.8891900000000001E-5</v>
      </c>
    </row>
    <row r="807" spans="1:8" x14ac:dyDescent="0.25">
      <c r="A807">
        <v>196</v>
      </c>
      <c r="B807" s="1">
        <v>821.08799999999997</v>
      </c>
      <c r="C807" s="1">
        <v>6.1178600000000001E-4</v>
      </c>
      <c r="D807" s="1">
        <v>-1.4044000000000001E-3</v>
      </c>
      <c r="E807" s="1">
        <v>-1.4114999999999999E-4</v>
      </c>
      <c r="F807" s="1">
        <v>9.4509800000000001E-4</v>
      </c>
      <c r="G807" s="1">
        <v>7.0839000000000001E-6</v>
      </c>
      <c r="H807" s="1">
        <v>1.8414699999999998E-5</v>
      </c>
    </row>
    <row r="808" spans="1:8" x14ac:dyDescent="0.25">
      <c r="A808">
        <v>197</v>
      </c>
      <c r="B808" s="1">
        <v>827.846</v>
      </c>
      <c r="C808" s="1">
        <v>5.7431099999999998E-4</v>
      </c>
      <c r="D808" s="1">
        <v>-1.3842100000000001E-3</v>
      </c>
      <c r="E808" s="1">
        <v>-1.3731099999999999E-4</v>
      </c>
      <c r="F808" s="1">
        <v>9.5774599999999999E-4</v>
      </c>
      <c r="G808" s="1">
        <v>7.3344800000000001E-6</v>
      </c>
      <c r="H808" s="1">
        <v>1.78731E-5</v>
      </c>
    </row>
    <row r="809" spans="1:8" x14ac:dyDescent="0.25">
      <c r="A809">
        <v>198</v>
      </c>
      <c r="B809" s="1">
        <v>834.61500000000001</v>
      </c>
      <c r="C809" s="1">
        <v>5.3759000000000001E-4</v>
      </c>
      <c r="D809" s="1">
        <v>-1.3646299999999999E-3</v>
      </c>
      <c r="E809" s="1">
        <v>-1.3304899999999999E-4</v>
      </c>
      <c r="F809" s="1">
        <v>9.7019000000000001E-4</v>
      </c>
      <c r="G809" s="1">
        <v>7.1607400000000002E-6</v>
      </c>
      <c r="H809" s="1">
        <v>1.7265499999999999E-5</v>
      </c>
    </row>
    <row r="810" spans="1:8" x14ac:dyDescent="0.25">
      <c r="A810">
        <v>199</v>
      </c>
      <c r="B810" s="1">
        <v>841.39599999999996</v>
      </c>
      <c r="C810" s="1">
        <v>5.0173600000000002E-4</v>
      </c>
      <c r="D810" s="1">
        <v>-1.3457199999999999E-3</v>
      </c>
      <c r="E810" s="1">
        <v>-1.2861200000000001E-4</v>
      </c>
      <c r="F810" s="1">
        <v>9.8224199999999992E-4</v>
      </c>
      <c r="G810" s="1">
        <v>7.0092499999999998E-6</v>
      </c>
      <c r="H810" s="1">
        <v>1.66587E-5</v>
      </c>
    </row>
    <row r="811" spans="1:8" x14ac:dyDescent="0.25">
      <c r="A811">
        <v>200</v>
      </c>
      <c r="B811" s="1">
        <v>848.18899999999996</v>
      </c>
      <c r="C811" s="1">
        <v>4.6684299999999999E-4</v>
      </c>
      <c r="D811" s="1">
        <v>-1.3275299999999999E-3</v>
      </c>
      <c r="E811" s="1">
        <v>-1.24234E-4</v>
      </c>
      <c r="F811" s="1">
        <v>9.9410899999999996E-4</v>
      </c>
      <c r="G811" s="1">
        <v>6.9432900000000002E-6</v>
      </c>
      <c r="H811" s="1">
        <v>1.6125199999999999E-5</v>
      </c>
    </row>
    <row r="812" spans="1:8" x14ac:dyDescent="0.25">
      <c r="A812">
        <v>201</v>
      </c>
      <c r="B812" s="1">
        <v>854.995</v>
      </c>
      <c r="C812" s="1">
        <v>4.33003E-4</v>
      </c>
      <c r="D812" s="1">
        <v>-1.31007E-3</v>
      </c>
      <c r="E812" s="1">
        <v>-1.20288E-4</v>
      </c>
      <c r="F812" s="1">
        <v>1.00606E-3</v>
      </c>
      <c r="G812" s="1">
        <v>6.9907499999999999E-6</v>
      </c>
      <c r="H812" s="1">
        <v>1.5692399999999999E-5</v>
      </c>
    </row>
    <row r="813" spans="1:8" x14ac:dyDescent="0.25">
      <c r="A813">
        <v>202</v>
      </c>
      <c r="B813" s="1">
        <v>861.81399999999996</v>
      </c>
      <c r="C813" s="1">
        <v>4.0025500000000002E-4</v>
      </c>
      <c r="D813" s="1">
        <v>-1.2932600000000001E-3</v>
      </c>
      <c r="E813" s="1">
        <v>-1.17256E-4</v>
      </c>
      <c r="F813" s="1">
        <v>1.01815E-3</v>
      </c>
      <c r="G813" s="1">
        <v>7.4224500000000004E-6</v>
      </c>
      <c r="H813" s="1">
        <v>1.5315199999999999E-5</v>
      </c>
    </row>
    <row r="814" spans="1:8" x14ac:dyDescent="0.25">
      <c r="A814">
        <v>203</v>
      </c>
      <c r="B814" s="1">
        <v>868.64599999999996</v>
      </c>
      <c r="C814" s="1">
        <v>3.6858399999999998E-4</v>
      </c>
      <c r="D814" s="1">
        <v>-1.27706E-3</v>
      </c>
      <c r="E814" s="1">
        <v>-1.15412E-4</v>
      </c>
      <c r="F814" s="1">
        <v>1.0306099999999999E-3</v>
      </c>
      <c r="G814" s="1">
        <v>8.2457800000000002E-6</v>
      </c>
      <c r="H814" s="1">
        <v>1.4969E-5</v>
      </c>
    </row>
    <row r="815" spans="1:8" x14ac:dyDescent="0.25">
      <c r="A815">
        <v>204</v>
      </c>
      <c r="B815" s="1">
        <v>875.49300000000005</v>
      </c>
      <c r="C815" s="1">
        <v>3.3796199999999997E-4</v>
      </c>
      <c r="D815" s="1">
        <v>-1.26144E-3</v>
      </c>
      <c r="E815" s="1">
        <v>-1.14574E-4</v>
      </c>
      <c r="F815" s="1">
        <v>1.0436899999999999E-3</v>
      </c>
      <c r="G815" s="1">
        <v>9.0560400000000005E-6</v>
      </c>
      <c r="H815" s="1">
        <v>1.4691900000000001E-5</v>
      </c>
    </row>
    <row r="816" spans="1:8" x14ac:dyDescent="0.25">
      <c r="A816">
        <v>205</v>
      </c>
      <c r="B816" s="1">
        <v>882.35400000000004</v>
      </c>
      <c r="C816" s="1">
        <v>3.0843500000000002E-4</v>
      </c>
      <c r="D816" s="1">
        <v>-1.2463800000000001E-3</v>
      </c>
      <c r="E816" s="1">
        <v>-1.1404300000000001E-4</v>
      </c>
      <c r="F816" s="1">
        <v>1.0569900000000001E-3</v>
      </c>
      <c r="G816" s="1">
        <v>9.47551E-6</v>
      </c>
      <c r="H816" s="1">
        <v>1.4474199999999999E-5</v>
      </c>
    </row>
    <row r="817" spans="1:8" x14ac:dyDescent="0.25">
      <c r="A817">
        <v>206</v>
      </c>
      <c r="B817" s="1">
        <v>889.23</v>
      </c>
      <c r="C817" s="1">
        <v>2.8012499999999999E-4</v>
      </c>
      <c r="D817" s="1">
        <v>-1.23197E-3</v>
      </c>
      <c r="E817" s="1">
        <v>-1.13099E-4</v>
      </c>
      <c r="F817" s="1">
        <v>1.0697899999999999E-3</v>
      </c>
      <c r="G817" s="1">
        <v>9.4935600000000006E-6</v>
      </c>
      <c r="H817" s="1">
        <v>1.4335000000000001E-5</v>
      </c>
    </row>
    <row r="818" spans="1:8" x14ac:dyDescent="0.25">
      <c r="A818">
        <v>207</v>
      </c>
      <c r="B818" s="1">
        <v>896.12099999999998</v>
      </c>
      <c r="C818" s="1">
        <v>2.5310900000000001E-4</v>
      </c>
      <c r="D818" s="1">
        <v>-1.21839E-3</v>
      </c>
      <c r="E818" s="1">
        <v>-1.11581E-4</v>
      </c>
      <c r="F818" s="1">
        <v>1.0816599999999999E-3</v>
      </c>
      <c r="G818" s="1">
        <v>9.5147200000000003E-6</v>
      </c>
      <c r="H818" s="1">
        <v>1.43191E-5</v>
      </c>
    </row>
    <row r="819" spans="1:8" x14ac:dyDescent="0.25">
      <c r="A819">
        <v>208</v>
      </c>
      <c r="B819" s="1">
        <v>903.029</v>
      </c>
      <c r="C819" s="1">
        <v>2.27397E-4</v>
      </c>
      <c r="D819" s="1">
        <v>-1.2056600000000001E-3</v>
      </c>
      <c r="E819" s="1">
        <v>-1.0995800000000001E-4</v>
      </c>
      <c r="F819" s="1">
        <v>1.0928699999999999E-3</v>
      </c>
      <c r="G819" s="1">
        <v>9.6389099999999992E-6</v>
      </c>
      <c r="H819" s="1">
        <v>1.42908E-5</v>
      </c>
    </row>
    <row r="820" spans="1:8" x14ac:dyDescent="0.25">
      <c r="A820">
        <v>209</v>
      </c>
      <c r="B820" s="1">
        <v>909.95399999999995</v>
      </c>
      <c r="C820" s="1">
        <v>2.0294900000000001E-4</v>
      </c>
      <c r="D820" s="1">
        <v>-1.19378E-3</v>
      </c>
      <c r="E820" s="1">
        <v>-1.08658E-4</v>
      </c>
      <c r="F820" s="1">
        <v>1.10384E-3</v>
      </c>
      <c r="G820" s="1">
        <v>9.87893E-6</v>
      </c>
      <c r="H820" s="1">
        <v>1.4230700000000001E-5</v>
      </c>
    </row>
    <row r="821" spans="1:8" x14ac:dyDescent="0.25">
      <c r="A821">
        <v>210</v>
      </c>
      <c r="B821" s="1">
        <v>916.89599999999996</v>
      </c>
      <c r="C821" s="1">
        <v>1.7967800000000001E-4</v>
      </c>
      <c r="D821" s="1">
        <v>-1.18271E-3</v>
      </c>
      <c r="E821" s="1">
        <v>-1.07861E-4</v>
      </c>
      <c r="F821" s="1">
        <v>1.1148600000000001E-3</v>
      </c>
      <c r="G821" s="1">
        <v>1.0184799999999999E-5</v>
      </c>
      <c r="H821" s="1">
        <v>1.4153400000000001E-5</v>
      </c>
    </row>
    <row r="822" spans="1:8" x14ac:dyDescent="0.25">
      <c r="A822">
        <v>211</v>
      </c>
      <c r="B822" s="1">
        <v>923.85699999999997</v>
      </c>
      <c r="C822" s="1">
        <v>1.5752799999999999E-4</v>
      </c>
      <c r="D822" s="1">
        <v>-1.1723599999999999E-3</v>
      </c>
      <c r="E822" s="1">
        <v>-1.07308E-4</v>
      </c>
      <c r="F822" s="1">
        <v>1.1257999999999999E-3</v>
      </c>
      <c r="G822" s="1">
        <v>1.0434E-5</v>
      </c>
      <c r="H822" s="1">
        <v>1.4098500000000001E-5</v>
      </c>
    </row>
    <row r="823" spans="1:8" x14ac:dyDescent="0.25">
      <c r="A823">
        <v>212</v>
      </c>
      <c r="B823" s="1">
        <v>930.83600000000001</v>
      </c>
      <c r="C823" s="1">
        <v>1.3652E-4</v>
      </c>
      <c r="D823" s="1">
        <v>-1.1626500000000001E-3</v>
      </c>
      <c r="E823" s="1">
        <v>-1.06474E-4</v>
      </c>
      <c r="F823" s="1">
        <v>1.13601E-3</v>
      </c>
      <c r="G823" s="1">
        <v>1.0655900000000001E-5</v>
      </c>
      <c r="H823" s="1">
        <v>1.4060799999999999E-5</v>
      </c>
    </row>
    <row r="824" spans="1:8" x14ac:dyDescent="0.25">
      <c r="A824">
        <v>213</v>
      </c>
      <c r="B824" s="1">
        <v>937.83399999999995</v>
      </c>
      <c r="C824" s="1">
        <v>1.1678E-4</v>
      </c>
      <c r="D824" s="1">
        <v>-1.15365E-3</v>
      </c>
      <c r="E824" s="1">
        <v>-1.05074E-4</v>
      </c>
      <c r="F824" s="1">
        <v>1.1449800000000001E-3</v>
      </c>
      <c r="G824" s="1">
        <v>1.09909E-5</v>
      </c>
      <c r="H824" s="1">
        <v>1.40224E-5</v>
      </c>
    </row>
    <row r="825" spans="1:8" x14ac:dyDescent="0.25">
      <c r="A825">
        <v>214</v>
      </c>
      <c r="B825" s="1">
        <v>944.85299999999995</v>
      </c>
      <c r="C825" s="1">
        <v>9.8484299999999995E-5</v>
      </c>
      <c r="D825" s="1">
        <v>-1.1453699999999999E-3</v>
      </c>
      <c r="E825" s="1">
        <v>-1.0325E-4</v>
      </c>
      <c r="F825" s="1">
        <v>1.1527200000000001E-3</v>
      </c>
      <c r="G825" s="1">
        <v>1.14009E-5</v>
      </c>
      <c r="H825" s="1">
        <v>1.39862E-5</v>
      </c>
    </row>
    <row r="826" spans="1:8" x14ac:dyDescent="0.25">
      <c r="A826">
        <v>215</v>
      </c>
      <c r="B826" s="1">
        <v>951.89300000000003</v>
      </c>
      <c r="C826" s="1">
        <v>8.1732100000000003E-5</v>
      </c>
      <c r="D826" s="1">
        <v>-1.13776E-3</v>
      </c>
      <c r="E826" s="1">
        <v>-1.01374E-4</v>
      </c>
      <c r="F826" s="1">
        <v>1.1596600000000001E-3</v>
      </c>
      <c r="G826" s="1">
        <v>1.16538E-5</v>
      </c>
      <c r="H826" s="1">
        <v>1.39167E-5</v>
      </c>
    </row>
    <row r="827" spans="1:8" x14ac:dyDescent="0.25">
      <c r="A827">
        <v>216</v>
      </c>
      <c r="B827" s="1">
        <v>958.95500000000004</v>
      </c>
      <c r="C827" s="1">
        <v>6.6542400000000002E-5</v>
      </c>
      <c r="D827" s="1">
        <v>-1.13086E-3</v>
      </c>
      <c r="E827" s="1">
        <v>-9.9612799999999996E-5</v>
      </c>
      <c r="F827" s="1">
        <v>1.16584E-3</v>
      </c>
      <c r="G827" s="1">
        <v>1.19474E-5</v>
      </c>
      <c r="H827" s="1">
        <v>1.3863600000000001E-5</v>
      </c>
    </row>
    <row r="828" spans="1:8" x14ac:dyDescent="0.25">
      <c r="A828">
        <v>217</v>
      </c>
      <c r="B828" s="1">
        <v>966.04</v>
      </c>
      <c r="C828" s="1">
        <v>5.2942000000000002E-5</v>
      </c>
      <c r="D828" s="1">
        <v>-1.12469E-3</v>
      </c>
      <c r="E828" s="1">
        <v>-9.8012700000000004E-5</v>
      </c>
      <c r="F828" s="1">
        <v>1.1712999999999999E-3</v>
      </c>
      <c r="G828" s="1">
        <v>1.2362500000000001E-5</v>
      </c>
      <c r="H828" s="1">
        <v>1.39033E-5</v>
      </c>
    </row>
    <row r="829" spans="1:8" x14ac:dyDescent="0.25">
      <c r="A829">
        <v>218</v>
      </c>
      <c r="B829" s="1">
        <v>973.149</v>
      </c>
      <c r="C829" s="1">
        <v>4.0966700000000002E-5</v>
      </c>
      <c r="D829" s="1">
        <v>-1.11918E-3</v>
      </c>
      <c r="E829" s="1">
        <v>-9.6796E-5</v>
      </c>
      <c r="F829" s="1">
        <v>1.1764E-3</v>
      </c>
      <c r="G829" s="1">
        <v>1.2659E-5</v>
      </c>
      <c r="H829" s="1">
        <v>1.4053000000000001E-5</v>
      </c>
    </row>
    <row r="830" spans="1:8" x14ac:dyDescent="0.25">
      <c r="A830">
        <v>219</v>
      </c>
      <c r="B830" s="1">
        <v>980.28200000000004</v>
      </c>
      <c r="C830" s="1">
        <v>3.0622700000000001E-5</v>
      </c>
      <c r="D830" s="1">
        <v>-1.1143699999999999E-3</v>
      </c>
      <c r="E830" s="1">
        <v>-9.6350900000000006E-5</v>
      </c>
      <c r="F830" s="1">
        <v>1.18133E-3</v>
      </c>
      <c r="G830" s="1">
        <v>1.3002399999999999E-5</v>
      </c>
      <c r="H830" s="1">
        <v>1.42356E-5</v>
      </c>
    </row>
    <row r="831" spans="1:8" x14ac:dyDescent="0.25">
      <c r="A831">
        <v>220</v>
      </c>
      <c r="B831" s="1">
        <v>987.44100000000003</v>
      </c>
      <c r="C831" s="1">
        <v>2.19182E-5</v>
      </c>
      <c r="D831" s="1">
        <v>-1.11031E-3</v>
      </c>
      <c r="E831" s="1">
        <v>-9.6622700000000006E-5</v>
      </c>
      <c r="F831" s="1">
        <v>1.1858999999999999E-3</v>
      </c>
      <c r="G831" s="1">
        <v>1.35057E-5</v>
      </c>
      <c r="H831" s="1">
        <v>1.43942E-5</v>
      </c>
    </row>
    <row r="832" spans="1:8" x14ac:dyDescent="0.25">
      <c r="A832">
        <v>221</v>
      </c>
      <c r="B832" s="1">
        <v>994.62699999999995</v>
      </c>
      <c r="C832" s="1">
        <v>1.48822E-5</v>
      </c>
      <c r="D832" s="1">
        <v>-1.1070400000000001E-3</v>
      </c>
      <c r="E832" s="1">
        <v>-9.7132299999999998E-5</v>
      </c>
      <c r="F832" s="1">
        <v>1.1900000000000001E-3</v>
      </c>
      <c r="G832" s="1">
        <v>1.3851E-5</v>
      </c>
      <c r="H832" s="1">
        <v>1.456E-5</v>
      </c>
    </row>
    <row r="833" spans="1:8" x14ac:dyDescent="0.25">
      <c r="A833">
        <v>222</v>
      </c>
      <c r="B833" s="1">
        <v>1001.84</v>
      </c>
      <c r="C833" s="1">
        <v>9.5478599999999994E-6</v>
      </c>
      <c r="D833" s="1">
        <v>-1.10461E-3</v>
      </c>
      <c r="E833" s="1">
        <v>-9.7586799999999999E-5</v>
      </c>
      <c r="F833" s="1">
        <v>1.19344E-3</v>
      </c>
      <c r="G833" s="1">
        <v>1.3931700000000001E-5</v>
      </c>
      <c r="H833" s="1">
        <v>1.4724E-5</v>
      </c>
    </row>
    <row r="834" spans="1:8" x14ac:dyDescent="0.25">
      <c r="A834">
        <v>223</v>
      </c>
      <c r="B834" s="1">
        <v>1009.08</v>
      </c>
      <c r="C834" s="1">
        <v>5.9332799999999999E-6</v>
      </c>
      <c r="D834" s="1">
        <v>-1.10304E-3</v>
      </c>
      <c r="E834" s="1">
        <v>-9.8098799999999997E-5</v>
      </c>
      <c r="F834" s="1">
        <v>1.1962400000000001E-3</v>
      </c>
      <c r="G834" s="1">
        <v>1.3802799999999999E-5</v>
      </c>
      <c r="H834" s="1">
        <v>1.4836400000000001E-5</v>
      </c>
    </row>
    <row r="835" spans="1:8" x14ac:dyDescent="0.25">
      <c r="A835">
        <v>224</v>
      </c>
      <c r="B835" s="1">
        <v>1016.36</v>
      </c>
      <c r="C835" s="1">
        <v>4.0780900000000001E-6</v>
      </c>
      <c r="D835" s="1">
        <v>-1.1023000000000001E-3</v>
      </c>
      <c r="E835" s="1">
        <v>-9.8563199999999998E-5</v>
      </c>
      <c r="F835" s="1">
        <v>1.19815E-3</v>
      </c>
      <c r="G835" s="1">
        <v>1.3539100000000001E-5</v>
      </c>
      <c r="H835" s="1">
        <v>1.49071E-5</v>
      </c>
    </row>
    <row r="836" spans="1:8" x14ac:dyDescent="0.25">
      <c r="B836" s="1"/>
      <c r="C836" s="1"/>
      <c r="D836" s="1"/>
      <c r="E836" s="1"/>
      <c r="F836" s="1"/>
      <c r="G836" s="1"/>
      <c r="H836" s="1"/>
    </row>
    <row r="837" spans="1:8" x14ac:dyDescent="0.25">
      <c r="A837" t="s">
        <v>383</v>
      </c>
      <c r="B837" s="1"/>
      <c r="C837" s="1"/>
      <c r="D837" s="1"/>
      <c r="E837" s="1"/>
      <c r="F837" s="1"/>
      <c r="G837" s="1"/>
      <c r="H837" s="1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472"/>
  <sheetViews>
    <sheetView workbookViewId="0"/>
  </sheetViews>
  <sheetFormatPr defaultRowHeight="15" x14ac:dyDescent="0.25"/>
  <cols>
    <col min="1" max="1" width="12.7109375" bestFit="1" customWidth="1"/>
    <col min="2" max="2" width="12.7109375" customWidth="1"/>
    <col min="3" max="4" width="12" bestFit="1" customWidth="1"/>
    <col min="5" max="6" width="12.7109375" bestFit="1" customWidth="1"/>
    <col min="7" max="7" width="12" bestFit="1" customWidth="1"/>
    <col min="8" max="8" width="12" customWidth="1"/>
    <col min="9" max="9" width="12.7109375" customWidth="1"/>
    <col min="12" max="12" width="9.5703125" bestFit="1" customWidth="1"/>
    <col min="14" max="14" width="11.7109375" customWidth="1"/>
  </cols>
  <sheetData>
    <row r="1" spans="1:17" x14ac:dyDescent="0.25">
      <c r="A1" t="s">
        <v>498</v>
      </c>
      <c r="B1" t="s">
        <v>538</v>
      </c>
      <c r="C1" t="s">
        <v>539</v>
      </c>
      <c r="D1" t="s">
        <v>540</v>
      </c>
      <c r="E1" t="s">
        <v>541</v>
      </c>
      <c r="F1" t="s">
        <v>542</v>
      </c>
      <c r="G1" t="s">
        <v>378</v>
      </c>
      <c r="H1" t="s">
        <v>543</v>
      </c>
      <c r="I1" t="s">
        <v>537</v>
      </c>
      <c r="J1" t="s">
        <v>12</v>
      </c>
      <c r="L1" t="s">
        <v>5</v>
      </c>
      <c r="M1" t="s">
        <v>3</v>
      </c>
      <c r="N1" t="s">
        <v>6</v>
      </c>
    </row>
    <row r="2" spans="1:17" x14ac:dyDescent="0.25">
      <c r="A2">
        <v>-143.34727764129599</v>
      </c>
      <c r="B2" s="1">
        <v>-1.11256230229628E-4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>
        <v>0</v>
      </c>
      <c r="I2" s="1">
        <v>0</v>
      </c>
      <c r="J2">
        <f>-G2</f>
        <v>0</v>
      </c>
      <c r="L2">
        <f>G44+I44-A44*(I45+G45-I44-G44)/(A45-A44)</f>
        <v>0.16346171549520669</v>
      </c>
      <c r="M2" s="1">
        <f>-(Kawamura_scalar!D683-(Kawamura_scalar!D684-Kawamura_scalar!D683)/(Kawamura_scalar!B684-Kawamura_scalar!B683))</f>
        <v>0.12472909649317752</v>
      </c>
      <c r="N2">
        <f>100*(M2-L2)/M2</f>
        <v>-31.053394990436555</v>
      </c>
      <c r="P2">
        <f>P13</f>
        <v>-1.0689111897370429E-2</v>
      </c>
      <c r="Q2" t="s">
        <v>11</v>
      </c>
    </row>
    <row r="3" spans="1:17" x14ac:dyDescent="0.25">
      <c r="A3">
        <v>-130.59127092361399</v>
      </c>
      <c r="B3" s="1">
        <v>-1.11256230229628E-4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>
        <v>0</v>
      </c>
      <c r="I3" s="1">
        <v>0</v>
      </c>
      <c r="J3">
        <f t="shared" ref="J3:J66" si="0">-G3</f>
        <v>0</v>
      </c>
      <c r="P3">
        <f>P2/0.71/2</f>
        <v>-7.5275435896974855E-3</v>
      </c>
      <c r="Q3" t="s">
        <v>12</v>
      </c>
    </row>
    <row r="4" spans="1:17" x14ac:dyDescent="0.25">
      <c r="A4">
        <v>-118.88850688934301</v>
      </c>
      <c r="B4" s="1">
        <v>-1.11256230229628E-4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>
        <v>0</v>
      </c>
      <c r="I4" s="1">
        <v>0</v>
      </c>
      <c r="J4">
        <f t="shared" si="0"/>
        <v>0</v>
      </c>
      <c r="P4">
        <f>100*(P3-M2)/M2</f>
        <v>-106.03511434087012</v>
      </c>
      <c r="Q4" t="s">
        <v>13</v>
      </c>
    </row>
    <row r="5" spans="1:17" x14ac:dyDescent="0.25">
      <c r="A5">
        <v>-108.151924610137</v>
      </c>
      <c r="B5" s="1">
        <v>-1.11256230229628E-4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>
        <v>0</v>
      </c>
      <c r="I5" s="1">
        <v>0</v>
      </c>
      <c r="J5">
        <f t="shared" si="0"/>
        <v>0</v>
      </c>
      <c r="P5">
        <f>(P3+L2)/2</f>
        <v>7.7967085952754603E-2</v>
      </c>
      <c r="Q5" t="s">
        <v>14</v>
      </c>
    </row>
    <row r="6" spans="1:17" x14ac:dyDescent="0.25">
      <c r="A6">
        <v>-98.302001953125</v>
      </c>
      <c r="B6" s="1">
        <v>-1.11256230229628E-4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>
        <v>0</v>
      </c>
      <c r="I6" s="1">
        <v>0</v>
      </c>
      <c r="J6">
        <f t="shared" si="0"/>
        <v>0</v>
      </c>
      <c r="P6">
        <f>100*(P5-M2)/M2</f>
        <v>-37.490859675216782</v>
      </c>
      <c r="Q6" t="s">
        <v>13</v>
      </c>
    </row>
    <row r="7" spans="1:17" x14ac:dyDescent="0.25">
      <c r="A7">
        <v>-89.265174865722599</v>
      </c>
      <c r="B7" s="1">
        <v>-1.11256230229628E-4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>
        <v>0</v>
      </c>
      <c r="I7" s="1">
        <v>0</v>
      </c>
      <c r="J7">
        <f t="shared" si="0"/>
        <v>0</v>
      </c>
    </row>
    <row r="8" spans="1:17" x14ac:dyDescent="0.25">
      <c r="A8">
        <v>-80.974688529968205</v>
      </c>
      <c r="B8" s="1">
        <v>-1.11256230229628E-4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>
        <v>0</v>
      </c>
      <c r="I8" s="1">
        <v>0</v>
      </c>
      <c r="J8">
        <f t="shared" si="0"/>
        <v>0</v>
      </c>
      <c r="K8" t="s">
        <v>7</v>
      </c>
      <c r="L8">
        <v>1</v>
      </c>
      <c r="M8">
        <f>A44</f>
        <v>18.850514888763399</v>
      </c>
      <c r="N8">
        <f>M8*M8/2</f>
        <v>177.67095578574529</v>
      </c>
    </row>
    <row r="9" spans="1:17" x14ac:dyDescent="0.25">
      <c r="A9">
        <v>-73.368651866912799</v>
      </c>
      <c r="B9" s="1">
        <v>-1.11256230229628E-4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>
        <v>0</v>
      </c>
      <c r="I9" s="1">
        <v>0</v>
      </c>
      <c r="J9">
        <f t="shared" si="0"/>
        <v>0</v>
      </c>
      <c r="L9">
        <v>1</v>
      </c>
      <c r="M9">
        <f>A45</f>
        <v>21.5470933914184</v>
      </c>
      <c r="N9">
        <f t="shared" ref="N9:N10" si="1">M9*M9/2</f>
        <v>232.13861680925325</v>
      </c>
    </row>
    <row r="10" spans="1:17" x14ac:dyDescent="0.25">
      <c r="A10">
        <v>-66.390645503997803</v>
      </c>
      <c r="B10" s="1">
        <v>-1.11256230229628E-4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>
        <v>0</v>
      </c>
      <c r="I10" s="1">
        <v>0</v>
      </c>
      <c r="J10">
        <f t="shared" si="0"/>
        <v>0</v>
      </c>
      <c r="L10">
        <v>1</v>
      </c>
      <c r="M10">
        <f>A46</f>
        <v>24.4862508773803</v>
      </c>
      <c r="N10">
        <f t="shared" si="1"/>
        <v>299.78824101500373</v>
      </c>
    </row>
    <row r="11" spans="1:17" x14ac:dyDescent="0.25">
      <c r="A11">
        <v>-59.988870620727504</v>
      </c>
      <c r="B11" s="1">
        <v>-1.11256230229628E-4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>
        <v>0</v>
      </c>
      <c r="I11" s="1">
        <v>0</v>
      </c>
      <c r="J11">
        <f t="shared" si="0"/>
        <v>0</v>
      </c>
      <c r="K11" t="s">
        <v>8</v>
      </c>
      <c r="L11">
        <f t="array" ref="L11:N13">MINVERSE(L8:N10)</f>
        <v>34.717407006691403</v>
      </c>
      <c r="M11">
        <v>-58.238420377012041</v>
      </c>
      <c r="N11">
        <v>24.521013370320638</v>
      </c>
      <c r="P11" s="1">
        <f>L11*C$44+M11*C$45+N11*C$46</f>
        <v>6.2822552698909533</v>
      </c>
      <c r="Q11" t="s">
        <v>10</v>
      </c>
    </row>
    <row r="12" spans="1:17" x14ac:dyDescent="0.25">
      <c r="A12">
        <v>-54.115540981292703</v>
      </c>
      <c r="B12" s="1">
        <v>-1.11256230229628E-4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>
        <v>0</v>
      </c>
      <c r="I12" s="1">
        <v>0</v>
      </c>
      <c r="J12">
        <f t="shared" si="0"/>
        <v>0</v>
      </c>
      <c r="L12">
        <v>-3.0290665778548176</v>
      </c>
      <c r="M12">
        <v>5.4679001045340243</v>
      </c>
      <c r="N12">
        <v>-2.4388335266792067</v>
      </c>
      <c r="P12">
        <f>L12*C$44+M12*C$45+N12*C$46</f>
        <v>0.1504405121092347</v>
      </c>
      <c r="Q12" t="s">
        <v>9</v>
      </c>
    </row>
    <row r="13" spans="1:17" x14ac:dyDescent="0.25">
      <c r="A13">
        <v>-48.727247714996302</v>
      </c>
      <c r="B13" s="1">
        <v>-1.11256230229628E-4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>
        <v>0</v>
      </c>
      <c r="I13" s="1">
        <v>0</v>
      </c>
      <c r="J13">
        <f t="shared" si="0"/>
        <v>0</v>
      </c>
      <c r="L13">
        <v>0.13160315097540776</v>
      </c>
      <c r="M13">
        <v>-0.25234463199400786</v>
      </c>
      <c r="N13">
        <v>0.12074148101860009</v>
      </c>
      <c r="P13">
        <f>$L$13*C$44+$M$13*C$45+$N$13*C$46</f>
        <v>-1.0689111897370429E-2</v>
      </c>
      <c r="Q13" t="s">
        <v>11</v>
      </c>
    </row>
    <row r="14" spans="1:17" x14ac:dyDescent="0.25">
      <c r="A14">
        <v>-43.783864974975501</v>
      </c>
      <c r="B14" s="1">
        <v>-1.11256230229628E-4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>
        <v>0</v>
      </c>
      <c r="I14" s="1">
        <v>0</v>
      </c>
      <c r="J14">
        <f t="shared" si="0"/>
        <v>0</v>
      </c>
    </row>
    <row r="15" spans="1:17" x14ac:dyDescent="0.25">
      <c r="A15">
        <v>-39.248671531677203</v>
      </c>
      <c r="B15" s="1">
        <v>-1.11256230229628E-4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>
        <v>0</v>
      </c>
      <c r="I15" s="1">
        <v>0</v>
      </c>
      <c r="J15">
        <f t="shared" si="0"/>
        <v>0</v>
      </c>
    </row>
    <row r="16" spans="1:17" x14ac:dyDescent="0.25">
      <c r="A16">
        <v>-35.087985992431598</v>
      </c>
      <c r="B16" s="1">
        <v>-1.11256230229628E-4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>
        <v>0</v>
      </c>
      <c r="I16" s="1">
        <v>0</v>
      </c>
      <c r="J16">
        <f t="shared" si="0"/>
        <v>0</v>
      </c>
    </row>
    <row r="17" spans="1:10" x14ac:dyDescent="0.25">
      <c r="A17">
        <v>-31.270802021026601</v>
      </c>
      <c r="B17" s="1">
        <v>-1.11256230229628E-4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>
        <v>0</v>
      </c>
      <c r="I17" s="1">
        <v>0</v>
      </c>
      <c r="J17">
        <f t="shared" si="0"/>
        <v>0</v>
      </c>
    </row>
    <row r="18" spans="1:10" x14ac:dyDescent="0.25">
      <c r="A18">
        <v>-27.7686667442321</v>
      </c>
      <c r="B18" s="1">
        <v>-1.11256230229628E-4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>
        <v>0</v>
      </c>
      <c r="I18" s="1">
        <v>0</v>
      </c>
      <c r="J18">
        <f t="shared" si="0"/>
        <v>0</v>
      </c>
    </row>
    <row r="19" spans="1:10" x14ac:dyDescent="0.25">
      <c r="A19">
        <v>-24.555802345275801</v>
      </c>
      <c r="B19" s="1">
        <v>-1.11256230229628E-4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>
        <v>0</v>
      </c>
      <c r="I19" s="1">
        <v>0</v>
      </c>
      <c r="J19">
        <f t="shared" si="0"/>
        <v>0</v>
      </c>
    </row>
    <row r="20" spans="1:10" x14ac:dyDescent="0.25">
      <c r="A20">
        <v>-21.608254909515299</v>
      </c>
      <c r="B20" s="1">
        <v>-1.11256230229628E-4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>
        <v>0</v>
      </c>
      <c r="I20" s="1">
        <v>0</v>
      </c>
      <c r="J20">
        <f t="shared" si="0"/>
        <v>0</v>
      </c>
    </row>
    <row r="21" spans="1:10" x14ac:dyDescent="0.25">
      <c r="A21">
        <v>-18.904016017913801</v>
      </c>
      <c r="B21" s="1">
        <v>-1.11256230229628E-4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>
        <v>0</v>
      </c>
      <c r="I21" s="1">
        <v>0</v>
      </c>
      <c r="J21">
        <f t="shared" si="0"/>
        <v>0</v>
      </c>
    </row>
    <row r="22" spans="1:10" x14ac:dyDescent="0.25">
      <c r="A22">
        <v>-16.423144340515101</v>
      </c>
      <c r="B22" s="1">
        <v>-1.11256230229628E-4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>
        <v>0</v>
      </c>
      <c r="I22" s="1">
        <v>0</v>
      </c>
      <c r="J22">
        <f t="shared" si="0"/>
        <v>0</v>
      </c>
    </row>
    <row r="23" spans="1:10" x14ac:dyDescent="0.25">
      <c r="A23">
        <v>-14.147036075592</v>
      </c>
      <c r="B23" s="1">
        <v>-1.11256230229628E-4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>
        <v>0</v>
      </c>
      <c r="I23" s="1">
        <v>0</v>
      </c>
      <c r="J23">
        <f t="shared" si="0"/>
        <v>0</v>
      </c>
    </row>
    <row r="24" spans="1:10" x14ac:dyDescent="0.25">
      <c r="A24">
        <v>-12.058911323547299</v>
      </c>
      <c r="B24" s="1">
        <v>-1.11256230229628E-4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>
        <v>0</v>
      </c>
      <c r="I24" s="1">
        <v>0</v>
      </c>
      <c r="J24">
        <f t="shared" si="0"/>
        <v>0</v>
      </c>
    </row>
    <row r="25" spans="1:10" x14ac:dyDescent="0.25">
      <c r="A25">
        <v>-10.143084526061999</v>
      </c>
      <c r="B25" s="1">
        <v>-1.11256230229628E-4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>
        <v>0</v>
      </c>
      <c r="I25" s="1">
        <v>0</v>
      </c>
      <c r="J25">
        <f t="shared" si="0"/>
        <v>0</v>
      </c>
    </row>
    <row r="26" spans="1:10" x14ac:dyDescent="0.25">
      <c r="A26">
        <v>-8.3855724334716708</v>
      </c>
      <c r="B26" s="1">
        <v>-1.11256230229628E-4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>
        <v>0</v>
      </c>
      <c r="I26" s="1">
        <v>0</v>
      </c>
      <c r="J26">
        <f t="shared" si="0"/>
        <v>0</v>
      </c>
    </row>
    <row r="27" spans="1:10" x14ac:dyDescent="0.25">
      <c r="A27">
        <v>-6.7732429504394496</v>
      </c>
      <c r="B27" s="1">
        <v>-1.11256230229628E-4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>
        <v>0</v>
      </c>
      <c r="I27" s="1">
        <v>0</v>
      </c>
      <c r="J27">
        <f t="shared" si="0"/>
        <v>0</v>
      </c>
    </row>
    <row r="28" spans="1:10" x14ac:dyDescent="0.25">
      <c r="A28">
        <v>-5.2939367294311497</v>
      </c>
      <c r="B28" s="1">
        <v>-1.11256230229628E-4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>
        <v>0</v>
      </c>
      <c r="I28" s="1">
        <v>0</v>
      </c>
      <c r="J28">
        <f t="shared" si="0"/>
        <v>0</v>
      </c>
    </row>
    <row r="29" spans="1:10" x14ac:dyDescent="0.25">
      <c r="A29">
        <v>-3.9367103576660099</v>
      </c>
      <c r="B29" s="1">
        <v>-1.11256230229628E-4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>
        <v>0</v>
      </c>
      <c r="I29" s="1">
        <v>0</v>
      </c>
      <c r="J29">
        <f t="shared" si="0"/>
        <v>0</v>
      </c>
    </row>
    <row r="30" spans="1:10" x14ac:dyDescent="0.25">
      <c r="A30">
        <v>-2.6915931701660099</v>
      </c>
      <c r="B30" s="1">
        <v>-1.11256230229628E-4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>
        <v>0</v>
      </c>
      <c r="I30" s="1">
        <v>0</v>
      </c>
      <c r="J30">
        <f t="shared" si="0"/>
        <v>0</v>
      </c>
    </row>
    <row r="31" spans="1:10" x14ac:dyDescent="0.25">
      <c r="A31">
        <v>-1.54934406280517</v>
      </c>
      <c r="B31" s="1">
        <v>-1.11256230229628E-4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>
        <v>0</v>
      </c>
      <c r="I31" s="1">
        <v>0</v>
      </c>
      <c r="J31">
        <f t="shared" si="0"/>
        <v>0</v>
      </c>
    </row>
    <row r="32" spans="1:10" x14ac:dyDescent="0.25">
      <c r="A32">
        <v>-0.50145149230956998</v>
      </c>
      <c r="B32" s="1">
        <v>-1.11256230229628E-4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>
        <v>0</v>
      </c>
      <c r="I32" s="1">
        <v>0</v>
      </c>
      <c r="J32">
        <f t="shared" si="0"/>
        <v>0</v>
      </c>
    </row>
    <row r="33" spans="1:12" x14ac:dyDescent="0.25">
      <c r="A33">
        <v>0.49999237060546797</v>
      </c>
      <c r="B33" s="1">
        <v>0.35506737121140702</v>
      </c>
      <c r="C33" s="1">
        <v>2.5051929963265201E-2</v>
      </c>
      <c r="D33" s="1">
        <v>3.0830877510318599E-2</v>
      </c>
      <c r="E33" s="1">
        <v>-8.8407836375566605E-5</v>
      </c>
      <c r="F33" s="1">
        <v>-1.0979473190532299E-5</v>
      </c>
      <c r="G33" s="1">
        <v>0.14097130205953701</v>
      </c>
      <c r="H33">
        <v>0.99956243435485703</v>
      </c>
      <c r="I33" s="1">
        <v>2.3431698966633102E-6</v>
      </c>
      <c r="J33">
        <f t="shared" si="0"/>
        <v>-0.14097130205953701</v>
      </c>
    </row>
    <row r="34" spans="1:12" x14ac:dyDescent="0.25">
      <c r="A34">
        <v>1.54496669769287</v>
      </c>
      <c r="B34" s="1">
        <v>1.09678685595972</v>
      </c>
      <c r="C34" s="1">
        <v>0.23861085887197001</v>
      </c>
      <c r="D34" s="1">
        <v>0.29659977296922102</v>
      </c>
      <c r="E34" s="1">
        <v>-1.85884614971E-3</v>
      </c>
      <c r="F34" s="1">
        <v>-1.03241475911285E-4</v>
      </c>
      <c r="G34" s="1">
        <v>0.13950685273709201</v>
      </c>
      <c r="H34">
        <v>0.99578233864321797</v>
      </c>
      <c r="I34" s="1">
        <v>4.2761818560697197E-5</v>
      </c>
      <c r="J34">
        <f t="shared" si="0"/>
        <v>-0.13950685273709201</v>
      </c>
      <c r="L34" s="3"/>
    </row>
    <row r="35" spans="1:12" x14ac:dyDescent="0.25">
      <c r="A35">
        <v>2.6840543746948198</v>
      </c>
      <c r="B35" s="1">
        <v>1.9007088497583</v>
      </c>
      <c r="C35" s="1">
        <v>0.71071932920300596</v>
      </c>
      <c r="D35" s="1">
        <v>0.88973503436582402</v>
      </c>
      <c r="E35" s="1">
        <v>-1.0463696748095601E-2</v>
      </c>
      <c r="F35" s="1">
        <v>-3.0462759915307299E-4</v>
      </c>
      <c r="G35" s="1">
        <v>0.134930949131881</v>
      </c>
      <c r="H35">
        <v>0.98694843217082395</v>
      </c>
      <c r="I35" s="1">
        <v>1.7402129224419001E-4</v>
      </c>
      <c r="J35">
        <f t="shared" si="0"/>
        <v>-0.134930949131881</v>
      </c>
    </row>
    <row r="36" spans="1:12" x14ac:dyDescent="0.25">
      <c r="A36">
        <v>3.9255237579345699</v>
      </c>
      <c r="B36" s="1">
        <v>2.7625859167728701</v>
      </c>
      <c r="C36" s="1">
        <v>1.46895548223108</v>
      </c>
      <c r="D36" s="1">
        <v>1.8427873457572701</v>
      </c>
      <c r="E36" s="1">
        <v>-3.2385329862356801E-2</v>
      </c>
      <c r="F36" s="1">
        <v>-6.20428336431114E-4</v>
      </c>
      <c r="G36" s="1">
        <v>0.12623736077735401</v>
      </c>
      <c r="H36">
        <v>0.97092448353990801</v>
      </c>
      <c r="I36" s="1">
        <v>3.6689967358376099E-4</v>
      </c>
      <c r="J36">
        <f t="shared" si="0"/>
        <v>-0.12623736077735401</v>
      </c>
    </row>
    <row r="37" spans="1:12" x14ac:dyDescent="0.25">
      <c r="A37">
        <v>5.2789807319641104</v>
      </c>
      <c r="B37" s="1">
        <v>3.6698860979009602</v>
      </c>
      <c r="C37" s="1">
        <v>2.4865924237541899</v>
      </c>
      <c r="D37" s="1">
        <v>3.1017214587814399</v>
      </c>
      <c r="E37" s="1">
        <v>-7.3552313311115003E-2</v>
      </c>
      <c r="F37" s="1">
        <v>-1.0237566769122899E-3</v>
      </c>
      <c r="G37" s="1">
        <v>0.11457914408978</v>
      </c>
      <c r="H37">
        <v>0.94509542031831495</v>
      </c>
      <c r="I37" s="1">
        <v>6.4975184346899501E-4</v>
      </c>
      <c r="J37">
        <f t="shared" si="0"/>
        <v>-0.11457914408978</v>
      </c>
    </row>
    <row r="38" spans="1:12" x14ac:dyDescent="0.25">
      <c r="A38">
        <v>6.7539703845977703</v>
      </c>
      <c r="B38" s="1">
        <v>4.6006893193651104</v>
      </c>
      <c r="C38" s="1">
        <v>3.6615633388578801</v>
      </c>
      <c r="D38" s="1">
        <v>4.5019397194614097</v>
      </c>
      <c r="E38" s="1">
        <v>-0.13635463576239501</v>
      </c>
      <c r="F38" s="1">
        <v>-1.45123462173674E-3</v>
      </c>
      <c r="G38" s="1">
        <v>0.10348795487854499</v>
      </c>
      <c r="H38">
        <v>0.90874441094304304</v>
      </c>
      <c r="I38" s="1">
        <v>1.54285194438504E-3</v>
      </c>
      <c r="J38">
        <f t="shared" si="0"/>
        <v>-0.10348795487854499</v>
      </c>
    </row>
    <row r="39" spans="1:12" x14ac:dyDescent="0.25">
      <c r="A39">
        <v>8.3618009090423495</v>
      </c>
      <c r="B39" s="1">
        <v>5.5260459083434297</v>
      </c>
      <c r="C39" s="1">
        <v>4.8344278276103401</v>
      </c>
      <c r="D39" s="1">
        <v>5.8140199942916899</v>
      </c>
      <c r="E39" s="1">
        <v>-0.217591843780887</v>
      </c>
      <c r="F39" s="1">
        <v>-1.8267666851445501E-3</v>
      </c>
      <c r="G39" s="1">
        <v>9.7002142260445998E-2</v>
      </c>
      <c r="H39">
        <v>0.86696108082206103</v>
      </c>
      <c r="I39" s="1">
        <v>4.2216071822710199E-3</v>
      </c>
      <c r="J39">
        <f t="shared" si="0"/>
        <v>-9.7002142260445998E-2</v>
      </c>
    </row>
    <row r="40" spans="1:12" x14ac:dyDescent="0.25">
      <c r="A40">
        <v>10.114449262619001</v>
      </c>
      <c r="B40" s="1">
        <v>6.4160177653026</v>
      </c>
      <c r="C40" s="1">
        <v>5.8458239563693102</v>
      </c>
      <c r="D40" s="1">
        <v>6.8394250703390496</v>
      </c>
      <c r="E40" s="1">
        <v>-0.309360740398477</v>
      </c>
      <c r="F40" s="1">
        <v>-2.0948201001319499E-3</v>
      </c>
      <c r="G40" s="1">
        <v>9.6540010260678794E-2</v>
      </c>
      <c r="H40">
        <v>0.828573194816139</v>
      </c>
      <c r="I40" s="1">
        <v>8.3955666058294406E-3</v>
      </c>
      <c r="J40">
        <f t="shared" si="0"/>
        <v>-9.6540010260678794E-2</v>
      </c>
    </row>
    <row r="41" spans="1:12" x14ac:dyDescent="0.25">
      <c r="A41">
        <v>12.0248043537139</v>
      </c>
      <c r="B41" s="1">
        <v>7.2467197661589999</v>
      </c>
      <c r="C41" s="1">
        <v>6.5934269135372201</v>
      </c>
      <c r="D41" s="1">
        <v>7.4817815236623</v>
      </c>
      <c r="E41" s="1">
        <v>-0.402595174935795</v>
      </c>
      <c r="F41" s="1">
        <v>-2.2384727993525399E-3</v>
      </c>
      <c r="G41" s="1">
        <v>9.9960206465710397E-2</v>
      </c>
      <c r="H41">
        <v>0.79748374973624203</v>
      </c>
      <c r="I41" s="1">
        <v>1.08796775598011E-2</v>
      </c>
      <c r="J41">
        <f t="shared" si="0"/>
        <v>-9.9960206465710397E-2</v>
      </c>
    </row>
    <row r="42" spans="1:12" x14ac:dyDescent="0.25">
      <c r="A42">
        <v>14.106971025466899</v>
      </c>
      <c r="B42" s="1">
        <v>8.0043395665776096</v>
      </c>
      <c r="C42" s="1">
        <v>7.0492626321315699</v>
      </c>
      <c r="D42" s="1">
        <v>7.7489289733154703</v>
      </c>
      <c r="E42" s="1">
        <v>-0.49024438796553199</v>
      </c>
      <c r="F42" s="1">
        <v>-2.27330595174202E-3</v>
      </c>
      <c r="G42" s="1">
        <v>0.103763163455695</v>
      </c>
      <c r="H42">
        <v>0.77159658165217804</v>
      </c>
      <c r="I42" s="1">
        <v>9.3704250710338593E-3</v>
      </c>
      <c r="J42">
        <f t="shared" si="0"/>
        <v>-0.103763163455695</v>
      </c>
    </row>
    <row r="43" spans="1:12" x14ac:dyDescent="0.25">
      <c r="A43">
        <v>16.3765740394592</v>
      </c>
      <c r="B43" s="1">
        <v>8.6847622628625594</v>
      </c>
      <c r="C43" s="1">
        <v>7.2402591209400597</v>
      </c>
      <c r="D43" s="1">
        <v>7.7099492446212503</v>
      </c>
      <c r="E43" s="1">
        <v>-0.56830499793578904</v>
      </c>
      <c r="F43" s="1">
        <v>-2.2251121838665101E-3</v>
      </c>
      <c r="G43" s="1">
        <v>0.10547329270316901</v>
      </c>
      <c r="H43">
        <v>0.747858151633641</v>
      </c>
      <c r="I43" s="1">
        <v>4.74489018570649E-3</v>
      </c>
      <c r="J43">
        <f t="shared" si="0"/>
        <v>-0.10547329270316901</v>
      </c>
    </row>
    <row r="44" spans="1:12" x14ac:dyDescent="0.25">
      <c r="A44">
        <v>18.850514888763399</v>
      </c>
      <c r="B44">
        <v>9.2906614295508891</v>
      </c>
      <c r="C44">
        <v>7.2189916559725997</v>
      </c>
      <c r="D44">
        <v>7.4511790758658503</v>
      </c>
      <c r="E44" s="1">
        <v>-0.63532618049331002</v>
      </c>
      <c r="F44" s="1">
        <v>-2.1236469457841202E-3</v>
      </c>
      <c r="G44">
        <v>0.104338901714739</v>
      </c>
      <c r="H44">
        <v>0.72456129266459302</v>
      </c>
      <c r="I44" s="1">
        <v>-8.40577670889321E-4</v>
      </c>
      <c r="J44">
        <f t="shared" si="0"/>
        <v>-0.104338901714739</v>
      </c>
    </row>
    <row r="45" spans="1:12" x14ac:dyDescent="0.25">
      <c r="A45">
        <v>21.5470933914184</v>
      </c>
      <c r="B45">
        <v>9.8283783753704395</v>
      </c>
      <c r="C45">
        <v>7.0424553833864403</v>
      </c>
      <c r="D45">
        <v>7.0510290837239697</v>
      </c>
      <c r="E45">
        <v>-0.69146510162997199</v>
      </c>
      <c r="F45" s="1">
        <v>-1.9980557529224899E-3</v>
      </c>
      <c r="G45">
        <v>0.100774033915804</v>
      </c>
      <c r="H45">
        <v>0.70116695160114195</v>
      </c>
      <c r="I45" s="1">
        <v>-5.8535122974149303E-3</v>
      </c>
      <c r="J45">
        <f t="shared" si="0"/>
        <v>-0.100774033915804</v>
      </c>
    </row>
    <row r="46" spans="1:12" x14ac:dyDescent="0.25">
      <c r="A46">
        <v>24.4862508773803</v>
      </c>
      <c r="B46">
        <v>10.3057105764117</v>
      </c>
      <c r="C46">
        <v>6.7615093377938997</v>
      </c>
      <c r="D46">
        <v>6.5712312977730996</v>
      </c>
      <c r="E46">
        <v>-0.737690355760518</v>
      </c>
      <c r="F46" s="1">
        <v>-1.8742021022035401E-3</v>
      </c>
      <c r="G46">
        <v>9.5578780025261101E-2</v>
      </c>
      <c r="H46">
        <v>0.67775121889727696</v>
      </c>
      <c r="I46" s="1">
        <v>-9.6985996463843493E-3</v>
      </c>
      <c r="J46">
        <f t="shared" si="0"/>
        <v>-9.5578780025261101E-2</v>
      </c>
    </row>
    <row r="47" spans="1:12" x14ac:dyDescent="0.25">
      <c r="A47">
        <v>27.690056562423699</v>
      </c>
      <c r="B47">
        <v>10.730667964864899</v>
      </c>
      <c r="C47">
        <v>6.4173976905913097</v>
      </c>
      <c r="D47">
        <v>6.0568409866039996</v>
      </c>
      <c r="E47">
        <v>-0.775282170741183</v>
      </c>
      <c r="F47" s="1">
        <v>-1.7740396475774999E-3</v>
      </c>
      <c r="G47">
        <v>8.9468817175761897E-2</v>
      </c>
      <c r="H47">
        <v>0.65466031141521397</v>
      </c>
      <c r="I47" s="1">
        <v>-1.2328206228134899E-2</v>
      </c>
      <c r="J47">
        <f t="shared" si="0"/>
        <v>-8.9468817175761897E-2</v>
      </c>
    </row>
    <row r="48" spans="1:12" x14ac:dyDescent="0.25">
      <c r="A48">
        <v>31.182160377502399</v>
      </c>
      <c r="B48">
        <v>11.1108692839112</v>
      </c>
      <c r="C48">
        <v>6.0416357472646904</v>
      </c>
      <c r="D48">
        <v>5.5390907956020401</v>
      </c>
      <c r="E48">
        <v>-0.80556706181752502</v>
      </c>
      <c r="F48" s="1">
        <v>-1.7185321807831799E-3</v>
      </c>
      <c r="G48">
        <v>8.29273498087751E-2</v>
      </c>
      <c r="H48">
        <v>0.63231679628869997</v>
      </c>
      <c r="I48">
        <v>-1.3890839769049101E-2</v>
      </c>
      <c r="J48">
        <f t="shared" si="0"/>
        <v>-8.29273498087751E-2</v>
      </c>
    </row>
    <row r="49" spans="1:10" x14ac:dyDescent="0.25">
      <c r="A49">
        <v>34.988522529602001</v>
      </c>
      <c r="B49">
        <v>11.453264883097599</v>
      </c>
      <c r="C49">
        <v>5.6570874875001698</v>
      </c>
      <c r="D49">
        <v>5.0386106045813799</v>
      </c>
      <c r="E49">
        <v>-0.82977655118845395</v>
      </c>
      <c r="F49">
        <v>-1.70638136832182E-3</v>
      </c>
      <c r="G49">
        <v>7.6237170065947601E-2</v>
      </c>
      <c r="H49">
        <v>0.61112530707670998</v>
      </c>
      <c r="I49">
        <v>-1.4572773081734399E-2</v>
      </c>
      <c r="J49">
        <f t="shared" si="0"/>
        <v>-7.6237170065947601E-2</v>
      </c>
    </row>
    <row r="50" spans="1:10" x14ac:dyDescent="0.25">
      <c r="A50">
        <v>39.137535095214801</v>
      </c>
      <c r="B50">
        <v>11.764025431808401</v>
      </c>
      <c r="C50">
        <v>5.2795382299665601</v>
      </c>
      <c r="D50">
        <v>4.5682995689508097</v>
      </c>
      <c r="E50">
        <v>-0.84896601185992404</v>
      </c>
      <c r="F50">
        <v>-1.72664985126472E-3</v>
      </c>
      <c r="G50">
        <v>6.9561068721153502E-2</v>
      </c>
      <c r="H50">
        <v>0.59138973284890595</v>
      </c>
      <c r="I50">
        <v>-1.4554793945731399E-2</v>
      </c>
      <c r="J50">
        <f t="shared" si="0"/>
        <v>-6.9561068721153502E-2</v>
      </c>
    </row>
    <row r="51" spans="1:10" x14ac:dyDescent="0.25">
      <c r="A51">
        <v>43.659839630126903</v>
      </c>
      <c r="B51">
        <v>12.048527755525299</v>
      </c>
      <c r="C51">
        <v>4.9192906700353296</v>
      </c>
      <c r="D51">
        <v>4.1355715845348602</v>
      </c>
      <c r="E51">
        <v>-0.86399269002248802</v>
      </c>
      <c r="F51" s="1">
        <v>-1.7860576609784299E-3</v>
      </c>
      <c r="G51">
        <v>6.3015178864805205E-2</v>
      </c>
      <c r="H51">
        <v>0.57329963985239496</v>
      </c>
      <c r="I51">
        <v>-1.40093640803552E-2</v>
      </c>
      <c r="J51">
        <f t="shared" si="0"/>
        <v>-6.3015178864805205E-2</v>
      </c>
    </row>
    <row r="52" spans="1:10" x14ac:dyDescent="0.25">
      <c r="A52">
        <v>48.589299917220998</v>
      </c>
      <c r="B52">
        <v>12.311394629192</v>
      </c>
      <c r="C52">
        <v>4.5824871202347603</v>
      </c>
      <c r="D52">
        <v>3.7438586857892302</v>
      </c>
      <c r="E52">
        <v>-0.87552927349015497</v>
      </c>
      <c r="F52">
        <v>-1.87383134347166E-3</v>
      </c>
      <c r="G52">
        <v>5.6704421258844701E-2</v>
      </c>
      <c r="H52">
        <v>0.556878226751511</v>
      </c>
      <c r="I52">
        <v>-1.3103749165342401E-2</v>
      </c>
      <c r="J52">
        <f t="shared" si="0"/>
        <v>-5.6704421258844701E-2</v>
      </c>
    </row>
    <row r="53" spans="1:10" x14ac:dyDescent="0.25">
      <c r="A53">
        <v>53.962393999099703</v>
      </c>
      <c r="B53">
        <v>12.556546036463599</v>
      </c>
      <c r="C53">
        <v>4.27226718614543</v>
      </c>
      <c r="D53">
        <v>3.39391557177307</v>
      </c>
      <c r="E53">
        <v>-0.88410080256489498</v>
      </c>
      <c r="F53">
        <v>-1.9837966386550901E-3</v>
      </c>
      <c r="G53">
        <v>5.0738268418706697E-2</v>
      </c>
      <c r="H53">
        <v>0.54204153038702596</v>
      </c>
      <c r="I53">
        <v>-1.19961063782249E-2</v>
      </c>
      <c r="J53">
        <f t="shared" si="0"/>
        <v>-5.0738268418706697E-2</v>
      </c>
    </row>
    <row r="54" spans="1:10" x14ac:dyDescent="0.25">
      <c r="A54">
        <v>59.819004535674999</v>
      </c>
      <c r="B54">
        <v>12.787308432843901</v>
      </c>
      <c r="C54">
        <v>3.9896621390018101</v>
      </c>
      <c r="D54">
        <v>3.0845922595050399</v>
      </c>
      <c r="E54">
        <v>-0.89011588904768402</v>
      </c>
      <c r="F54">
        <v>-2.15004744058529E-3</v>
      </c>
      <c r="G54">
        <v>4.5212647014885601E-2</v>
      </c>
      <c r="H54">
        <v>0.528657189802199</v>
      </c>
      <c r="I54">
        <v>-1.08192535148621E-2</v>
      </c>
      <c r="J54">
        <f t="shared" si="0"/>
        <v>-4.5212647014885601E-2</v>
      </c>
    </row>
    <row r="55" spans="1:10" x14ac:dyDescent="0.25">
      <c r="A55">
        <v>66.2026619911193</v>
      </c>
      <c r="B55">
        <v>13.006524008822</v>
      </c>
      <c r="C55">
        <v>3.7341239072736401</v>
      </c>
      <c r="D55">
        <v>2.8133124497850801</v>
      </c>
      <c r="E55">
        <v>-0.89391966013142299</v>
      </c>
      <c r="F55">
        <v>-2.3340753418955198E-3</v>
      </c>
      <c r="G55">
        <v>4.0188933825836402E-2</v>
      </c>
      <c r="H55">
        <v>0.51656379883231196</v>
      </c>
      <c r="I55">
        <v>-9.6656185081142199E-3</v>
      </c>
      <c r="J55">
        <f t="shared" si="0"/>
        <v>-4.0188933825836402E-2</v>
      </c>
    </row>
    <row r="56" spans="1:10" x14ac:dyDescent="0.25">
      <c r="A56">
        <v>73.160848617553697</v>
      </c>
      <c r="B56">
        <v>13.2166086937602</v>
      </c>
      <c r="C56">
        <v>3.5041473214973098</v>
      </c>
      <c r="D56">
        <v>2.5766244819148798</v>
      </c>
      <c r="E56">
        <v>-0.89580425068877001</v>
      </c>
      <c r="F56" s="1">
        <v>-2.5070269451223899E-3</v>
      </c>
      <c r="G56">
        <v>3.5690736256778002E-2</v>
      </c>
      <c r="H56">
        <v>0.50549190763608598</v>
      </c>
      <c r="I56">
        <v>-8.5928954984044997E-3</v>
      </c>
      <c r="J56">
        <f t="shared" si="0"/>
        <v>-3.5690736256778002E-2</v>
      </c>
    </row>
    <row r="57" spans="1:10" x14ac:dyDescent="0.25">
      <c r="A57">
        <v>80.745424032211304</v>
      </c>
      <c r="B57">
        <v>13.4196047640707</v>
      </c>
      <c r="C57">
        <v>3.2976354952959901</v>
      </c>
      <c r="D57">
        <v>2.3706589891326</v>
      </c>
      <c r="E57">
        <v>-0.89602342908864896</v>
      </c>
      <c r="F57">
        <v>-2.6745627440396599E-3</v>
      </c>
      <c r="G57">
        <v>3.1711976242884E-2</v>
      </c>
      <c r="H57">
        <v>0.495251988953405</v>
      </c>
      <c r="I57">
        <v>-7.6317650796560296E-3</v>
      </c>
      <c r="J57">
        <f t="shared" si="0"/>
        <v>-3.1711976242884E-2</v>
      </c>
    </row>
    <row r="58" spans="1:10" x14ac:dyDescent="0.25">
      <c r="A58">
        <v>89.012442827224703</v>
      </c>
      <c r="B58">
        <v>13.6172213110443</v>
      </c>
      <c r="C58">
        <v>3.11195372623513</v>
      </c>
      <c r="D58">
        <v>2.19139478574502</v>
      </c>
      <c r="E58">
        <v>-0.89476858806765802</v>
      </c>
      <c r="F58">
        <v>-2.8485757362247599E-3</v>
      </c>
      <c r="G58">
        <v>2.82179008206313E-2</v>
      </c>
      <c r="H58">
        <v>0.48568406738764103</v>
      </c>
      <c r="I58">
        <v>-6.7861380863100404E-3</v>
      </c>
      <c r="J58">
        <f t="shared" si="0"/>
        <v>-2.82179008206313E-2</v>
      </c>
    </row>
    <row r="59" spans="1:10" x14ac:dyDescent="0.25">
      <c r="A59">
        <v>98.0235528945922</v>
      </c>
      <c r="B59">
        <v>13.810928665783599</v>
      </c>
      <c r="C59">
        <v>2.9445119112605398</v>
      </c>
      <c r="D59">
        <v>2.0350126701510001</v>
      </c>
      <c r="E59">
        <v>-0.892165579133394</v>
      </c>
      <c r="F59">
        <v>-2.96849394677138E-3</v>
      </c>
      <c r="G59">
        <v>2.51638424444738E-2</v>
      </c>
      <c r="H59">
        <v>0.47659780926192902</v>
      </c>
      <c r="I59">
        <v>-6.0518736636404197E-3</v>
      </c>
      <c r="J59">
        <f t="shared" si="0"/>
        <v>-2.51638424444738E-2</v>
      </c>
    </row>
    <row r="60" spans="1:10" x14ac:dyDescent="0.25">
      <c r="A60">
        <v>107.845630645751</v>
      </c>
      <c r="B60">
        <v>14.0020150541629</v>
      </c>
      <c r="C60">
        <v>2.7929438982174899</v>
      </c>
      <c r="D60">
        <v>1.8979714858144301</v>
      </c>
      <c r="E60">
        <v>-0.88827691562191602</v>
      </c>
      <c r="F60" s="1">
        <v>-2.9842083756881099E-3</v>
      </c>
      <c r="G60">
        <v>2.25008627630045E-2</v>
      </c>
      <c r="H60">
        <v>0.46792869561037798</v>
      </c>
      <c r="I60">
        <v>-5.41704362447096E-3</v>
      </c>
      <c r="J60">
        <f t="shared" si="0"/>
        <v>-2.25008627630045E-2</v>
      </c>
    </row>
    <row r="61" spans="1:10" x14ac:dyDescent="0.25">
      <c r="A61">
        <v>118.551753759384</v>
      </c>
      <c r="B61">
        <v>14.1917093492414</v>
      </c>
      <c r="C61">
        <v>2.65527992088826</v>
      </c>
      <c r="D61">
        <v>1.7772745843339699</v>
      </c>
      <c r="E61">
        <v>-0.88308496349603305</v>
      </c>
      <c r="F61">
        <v>-2.98530451475884E-3</v>
      </c>
      <c r="G61">
        <v>2.0182020260884601E-2</v>
      </c>
      <c r="H61">
        <v>0.45956560229559901</v>
      </c>
      <c r="I61">
        <v>-4.8696800630885799E-3</v>
      </c>
      <c r="J61">
        <f t="shared" si="0"/>
        <v>-2.0182020260884601E-2</v>
      </c>
    </row>
    <row r="62" spans="1:10" x14ac:dyDescent="0.25">
      <c r="A62">
        <v>130.22150516510001</v>
      </c>
      <c r="B62">
        <v>14.3811878159012</v>
      </c>
      <c r="C62">
        <v>2.52975031401852</v>
      </c>
      <c r="D62">
        <v>1.67051383279082</v>
      </c>
      <c r="E62">
        <v>-0.87666796177800099</v>
      </c>
      <c r="F62" s="1">
        <v>-2.99726610862646E-3</v>
      </c>
      <c r="G62">
        <v>1.8163298836520701E-2</v>
      </c>
      <c r="H62">
        <v>0.45144699072428002</v>
      </c>
      <c r="I62">
        <v>-4.3977968392627503E-3</v>
      </c>
      <c r="J62">
        <f t="shared" si="0"/>
        <v>-1.8163298836520701E-2</v>
      </c>
    </row>
    <row r="63" spans="1:10" x14ac:dyDescent="0.25">
      <c r="A63">
        <v>142.941337823867</v>
      </c>
      <c r="B63">
        <v>14.571456754144601</v>
      </c>
      <c r="C63">
        <v>2.4147120555143502</v>
      </c>
      <c r="D63">
        <v>1.5758326387349499</v>
      </c>
      <c r="E63">
        <v>-0.86890530411398004</v>
      </c>
      <c r="F63" s="1">
        <v>-2.89583669436215E-3</v>
      </c>
      <c r="G63">
        <v>1.6407543479307299E-2</v>
      </c>
      <c r="H63">
        <v>0.44356718499235098</v>
      </c>
      <c r="I63">
        <v>-3.99067011567993E-3</v>
      </c>
      <c r="J63">
        <f t="shared" si="0"/>
        <v>-1.6407543479307299E-2</v>
      </c>
    </row>
    <row r="64" spans="1:10" x14ac:dyDescent="0.25">
      <c r="A64">
        <v>156.806094646453</v>
      </c>
      <c r="B64">
        <v>14.7635777700063</v>
      </c>
      <c r="C64">
        <v>2.3089335346785198</v>
      </c>
      <c r="D64">
        <v>1.49113905821793</v>
      </c>
      <c r="E64">
        <v>-0.85995271808411999</v>
      </c>
      <c r="F64">
        <v>-2.6837111158107001E-3</v>
      </c>
      <c r="G64">
        <v>1.4872248108131401E-2</v>
      </c>
      <c r="H64">
        <v>0.43548451820180001</v>
      </c>
      <c r="I64">
        <v>-3.6332740099413001E-3</v>
      </c>
      <c r="J64">
        <f t="shared" si="0"/>
        <v>-1.4872248108131401E-2</v>
      </c>
    </row>
    <row r="65" spans="1:10" x14ac:dyDescent="0.25">
      <c r="A65">
        <v>171.91864371299701</v>
      </c>
      <c r="B65">
        <v>14.9584978106733</v>
      </c>
      <c r="C65">
        <v>2.2129277636353</v>
      </c>
      <c r="D65">
        <v>1.41550407598221</v>
      </c>
      <c r="E65">
        <v>-0.84950968476337396</v>
      </c>
      <c r="F65" s="1">
        <v>-2.4859547026531998E-3</v>
      </c>
      <c r="G65">
        <v>1.35306153583033E-2</v>
      </c>
      <c r="H65">
        <v>0.42535272320275802</v>
      </c>
      <c r="I65">
        <v>-3.3328550516993302E-3</v>
      </c>
      <c r="J65">
        <f t="shared" si="0"/>
        <v>-1.35306153583033E-2</v>
      </c>
    </row>
    <row r="66" spans="1:10" x14ac:dyDescent="0.25">
      <c r="A66">
        <v>187.726768255233</v>
      </c>
      <c r="B66">
        <v>15.148818008166099</v>
      </c>
      <c r="C66">
        <v>2.1277004941875899</v>
      </c>
      <c r="D66">
        <v>1.3500641506298601</v>
      </c>
      <c r="E66">
        <v>-0.83801747862329801</v>
      </c>
      <c r="F66">
        <v>-2.1210751578194598E-3</v>
      </c>
      <c r="G66">
        <v>1.2206414292931201E-2</v>
      </c>
      <c r="H66">
        <v>0.42762755529815899</v>
      </c>
      <c r="I66">
        <v>-2.9398954692483898E-3</v>
      </c>
      <c r="J66">
        <f t="shared" si="0"/>
        <v>-1.2206414292931201E-2</v>
      </c>
    </row>
    <row r="67" spans="1:10" x14ac:dyDescent="0.25">
      <c r="A67">
        <v>203.579578399658</v>
      </c>
      <c r="B67">
        <v>15.327753256570899</v>
      </c>
      <c r="C67">
        <v>2.0531665820637102</v>
      </c>
      <c r="D67">
        <v>1.2941349098527</v>
      </c>
      <c r="E67">
        <v>-0.82600777893297805</v>
      </c>
      <c r="F67">
        <v>-1.7949183238662901E-3</v>
      </c>
      <c r="G67">
        <v>1.11153121963611E-2</v>
      </c>
      <c r="H67">
        <v>0.428491485527765</v>
      </c>
      <c r="I67">
        <v>-2.6236962671269599E-3</v>
      </c>
      <c r="J67">
        <f t="shared" ref="J67:J118" si="2">-G67</f>
        <v>-1.11153121963611E-2</v>
      </c>
    </row>
    <row r="68" spans="1:10" x14ac:dyDescent="0.25">
      <c r="A68">
        <v>219.43238854408199</v>
      </c>
      <c r="B68">
        <v>15.4963894426193</v>
      </c>
      <c r="C68">
        <v>1.98595066506531</v>
      </c>
      <c r="D68">
        <v>1.2446706318282901</v>
      </c>
      <c r="E68">
        <v>-0.81369274319805096</v>
      </c>
      <c r="F68">
        <v>-1.5659008789379E-3</v>
      </c>
      <c r="G68">
        <v>1.02228591395981E-2</v>
      </c>
      <c r="H68">
        <v>0.42913238151625299</v>
      </c>
      <c r="I68">
        <v>-2.3705511034588802E-3</v>
      </c>
      <c r="J68">
        <f t="shared" si="2"/>
        <v>-1.02228591395981E-2</v>
      </c>
    </row>
    <row r="69" spans="1:10" x14ac:dyDescent="0.25">
      <c r="A69">
        <v>235.28525948524401</v>
      </c>
      <c r="B69">
        <v>15.6562130845453</v>
      </c>
      <c r="C69">
        <v>1.9245209810500801</v>
      </c>
      <c r="D69">
        <v>1.20048677048611</v>
      </c>
      <c r="E69">
        <v>-0.80090527386641897</v>
      </c>
      <c r="F69">
        <v>-1.4284154140897099E-3</v>
      </c>
      <c r="G69">
        <v>9.4711051316335292E-3</v>
      </c>
      <c r="H69">
        <v>0.42970255766530702</v>
      </c>
      <c r="I69">
        <v>-2.16001843829079E-3</v>
      </c>
      <c r="J69">
        <f t="shared" si="2"/>
        <v>-9.4711051316335292E-3</v>
      </c>
    </row>
    <row r="70" spans="1:10" x14ac:dyDescent="0.25">
      <c r="A70">
        <v>251.13806962966899</v>
      </c>
      <c r="B70">
        <v>15.808351885836901</v>
      </c>
      <c r="C70">
        <v>1.8673166709537501</v>
      </c>
      <c r="D70">
        <v>1.16059740349212</v>
      </c>
      <c r="E70">
        <v>-0.78777276453672196</v>
      </c>
      <c r="F70">
        <v>-1.4581759007624799E-3</v>
      </c>
      <c r="G70">
        <v>8.8188111813839593E-3</v>
      </c>
      <c r="H70">
        <v>0.43018543747067001</v>
      </c>
      <c r="I70">
        <v>-1.9791603018437399E-3</v>
      </c>
      <c r="J70">
        <f t="shared" si="2"/>
        <v>-8.8188111813839593E-3</v>
      </c>
    </row>
    <row r="71" spans="1:10" x14ac:dyDescent="0.25">
      <c r="A71">
        <v>266.99081897735499</v>
      </c>
      <c r="B71">
        <v>15.953694789793699</v>
      </c>
      <c r="C71">
        <v>1.81370726171704</v>
      </c>
      <c r="D71">
        <v>1.1241423748425501</v>
      </c>
      <c r="E71">
        <v>-0.77430061685935803</v>
      </c>
      <c r="F71">
        <v>-1.52141591875063E-3</v>
      </c>
      <c r="G71">
        <v>8.2378024316040899E-3</v>
      </c>
      <c r="H71">
        <v>0.43045207665556601</v>
      </c>
      <c r="I71">
        <v>-1.81928306596758E-3</v>
      </c>
      <c r="J71">
        <f t="shared" si="2"/>
        <v>-8.2378024316040899E-3</v>
      </c>
    </row>
    <row r="72" spans="1:10" x14ac:dyDescent="0.25">
      <c r="A72">
        <v>282.84362912178</v>
      </c>
      <c r="B72">
        <v>16.0929216559346</v>
      </c>
      <c r="C72">
        <v>1.7628187724337001</v>
      </c>
      <c r="D72">
        <v>1.09049358821781</v>
      </c>
      <c r="E72">
        <v>-0.76057118939822199</v>
      </c>
      <c r="F72" s="1">
        <v>-1.50112731006929E-3</v>
      </c>
      <c r="G72">
        <v>7.7166144033918001E-3</v>
      </c>
      <c r="H72">
        <v>0.430657688639425</v>
      </c>
      <c r="I72">
        <v>-1.6776285340696501E-3</v>
      </c>
      <c r="J72">
        <f t="shared" si="2"/>
        <v>-7.7166144033918001E-3</v>
      </c>
    </row>
    <row r="73" spans="1:10" x14ac:dyDescent="0.25">
      <c r="A73">
        <v>298.69643926620398</v>
      </c>
      <c r="B73">
        <v>16.226812164422501</v>
      </c>
      <c r="C73">
        <v>1.71385795423096</v>
      </c>
      <c r="D73">
        <v>1.05875017300687</v>
      </c>
      <c r="E73">
        <v>-0.74659270701841796</v>
      </c>
      <c r="F73">
        <v>-1.34829722271532E-3</v>
      </c>
      <c r="G73">
        <v>7.2492202435551897E-3</v>
      </c>
      <c r="H73">
        <v>0.43113936296597999</v>
      </c>
      <c r="I73">
        <v>-1.5519389109050999E-3</v>
      </c>
      <c r="J73">
        <f t="shared" si="2"/>
        <v>-7.2492202435551897E-3</v>
      </c>
    </row>
    <row r="74" spans="1:10" x14ac:dyDescent="0.25">
      <c r="A74">
        <v>314.54931020736598</v>
      </c>
      <c r="B74">
        <v>16.355901839521099</v>
      </c>
      <c r="C74">
        <v>1.6668053694109399</v>
      </c>
      <c r="D74">
        <v>1.0283331084265599</v>
      </c>
      <c r="E74">
        <v>-0.73243314469795895</v>
      </c>
      <c r="F74">
        <v>-1.16903792047978E-3</v>
      </c>
      <c r="G74">
        <v>6.8225066424848803E-3</v>
      </c>
      <c r="H74">
        <v>0.431530099862517</v>
      </c>
      <c r="I74">
        <v>-1.43796921987817E-3</v>
      </c>
      <c r="J74">
        <f t="shared" si="2"/>
        <v>-6.8225066424848803E-3</v>
      </c>
    </row>
    <row r="75" spans="1:10" x14ac:dyDescent="0.25">
      <c r="A75">
        <v>330.40212035179098</v>
      </c>
      <c r="B75">
        <v>16.480410556432201</v>
      </c>
      <c r="C75">
        <v>1.62143969056719</v>
      </c>
      <c r="D75">
        <v>0.99916748173201597</v>
      </c>
      <c r="E75">
        <v>-0.71810267296096797</v>
      </c>
      <c r="F75" s="1">
        <v>-1.1089041884146599E-3</v>
      </c>
      <c r="G75">
        <v>6.4304731487323198E-3</v>
      </c>
      <c r="H75">
        <v>0.431818804331907</v>
      </c>
      <c r="I75">
        <v>-1.33472074352724E-3</v>
      </c>
      <c r="J75">
        <f t="shared" si="2"/>
        <v>-6.4304731487323198E-3</v>
      </c>
    </row>
    <row r="76" spans="1:10" x14ac:dyDescent="0.25">
      <c r="A76">
        <v>346.25493049621502</v>
      </c>
      <c r="B76">
        <v>16.6006917341914</v>
      </c>
      <c r="C76">
        <v>1.5774232026053401</v>
      </c>
      <c r="D76">
        <v>0.97094347901327605</v>
      </c>
      <c r="E76">
        <v>-0.70353711225376403</v>
      </c>
      <c r="F76">
        <v>-1.16040434882456E-3</v>
      </c>
      <c r="G76">
        <v>6.0666234128956302E-3</v>
      </c>
      <c r="H76">
        <v>0.432101766470598</v>
      </c>
      <c r="I76">
        <v>-1.23924587565629E-3</v>
      </c>
      <c r="J76">
        <f t="shared" si="2"/>
        <v>-6.0666234128956302E-3</v>
      </c>
    </row>
    <row r="77" spans="1:10" x14ac:dyDescent="0.25">
      <c r="A77">
        <v>362.10780143737702</v>
      </c>
      <c r="B77">
        <v>16.7171756807085</v>
      </c>
      <c r="C77">
        <v>1.5344990417142099</v>
      </c>
      <c r="D77">
        <v>0.94352030798880604</v>
      </c>
      <c r="E77">
        <v>-0.68881865733865999</v>
      </c>
      <c r="F77" s="1">
        <v>-1.18869653601897E-3</v>
      </c>
      <c r="G77">
        <v>5.7268303533345903E-3</v>
      </c>
      <c r="H77">
        <v>0.43233399688773599</v>
      </c>
      <c r="I77">
        <v>-1.1510866846714601E-3</v>
      </c>
      <c r="J77">
        <f t="shared" si="2"/>
        <v>-5.7268303533345903E-3</v>
      </c>
    </row>
    <row r="78" spans="1:10" x14ac:dyDescent="0.25">
      <c r="A78">
        <v>377.96061158180203</v>
      </c>
      <c r="B78">
        <v>16.8300849690403</v>
      </c>
      <c r="C78">
        <v>1.4924626946922499</v>
      </c>
      <c r="D78">
        <v>0.91687822397704899</v>
      </c>
      <c r="E78">
        <v>-0.673945431654567</v>
      </c>
      <c r="F78">
        <v>-1.32099665625784E-3</v>
      </c>
      <c r="G78">
        <v>5.4070047911440097E-3</v>
      </c>
      <c r="H78">
        <v>0.43247533637756602</v>
      </c>
      <c r="I78">
        <v>-1.0683741807934299E-3</v>
      </c>
      <c r="J78">
        <f t="shared" si="2"/>
        <v>-5.4070047911440097E-3</v>
      </c>
    </row>
    <row r="79" spans="1:10" x14ac:dyDescent="0.25">
      <c r="A79">
        <v>393.81348252296402</v>
      </c>
      <c r="B79">
        <v>16.9396030533429</v>
      </c>
      <c r="C79">
        <v>1.4510508582455599</v>
      </c>
      <c r="D79">
        <v>0.89091047210173302</v>
      </c>
      <c r="E79">
        <v>-0.65893533515327196</v>
      </c>
      <c r="F79" s="1">
        <v>-1.50583624373546E-3</v>
      </c>
      <c r="G79">
        <v>5.1059988441064103E-3</v>
      </c>
      <c r="H79">
        <v>0.43267035804220699</v>
      </c>
      <c r="I79">
        <v>-9.9116487357302305E-4</v>
      </c>
      <c r="J79">
        <f t="shared" si="2"/>
        <v>-5.1059988441064103E-3</v>
      </c>
    </row>
    <row r="80" spans="1:10" x14ac:dyDescent="0.25">
      <c r="A80">
        <v>409.66629266738801</v>
      </c>
      <c r="B80">
        <v>17.045882362436799</v>
      </c>
      <c r="C80">
        <v>1.41017039837388</v>
      </c>
      <c r="D80">
        <v>0.86546660675824105</v>
      </c>
      <c r="E80">
        <v>-0.64377488859388599</v>
      </c>
      <c r="F80" s="1">
        <v>-1.594407919498E-3</v>
      </c>
      <c r="G80">
        <v>4.8211925309593002E-3</v>
      </c>
      <c r="H80">
        <v>0.43283183957883797</v>
      </c>
      <c r="I80">
        <v>-9.1859065574664703E-4</v>
      </c>
      <c r="J80">
        <f t="shared" si="2"/>
        <v>-4.8211925309593002E-3</v>
      </c>
    </row>
    <row r="81" spans="1:10" x14ac:dyDescent="0.25">
      <c r="A81">
        <v>425.519042015075</v>
      </c>
      <c r="B81">
        <v>17.149015972327799</v>
      </c>
      <c r="C81">
        <v>1.3698550627367201</v>
      </c>
      <c r="D81">
        <v>0.84066699865603001</v>
      </c>
      <c r="E81">
        <v>-0.628516902097215</v>
      </c>
      <c r="F81" s="1">
        <v>-1.6367496288456601E-3</v>
      </c>
      <c r="G81">
        <v>4.5519192199249998E-3</v>
      </c>
      <c r="H81">
        <v>0.43296190895313502</v>
      </c>
      <c r="I81">
        <v>-8.5061547651115301E-4</v>
      </c>
      <c r="J81">
        <f t="shared" si="2"/>
        <v>-4.5519192199249998E-3</v>
      </c>
    </row>
    <row r="82" spans="1:10" x14ac:dyDescent="0.25">
      <c r="A82">
        <v>441.371912956237</v>
      </c>
      <c r="B82">
        <v>17.2491536139812</v>
      </c>
      <c r="C82">
        <v>1.3300640679434399</v>
      </c>
      <c r="D82">
        <v>0.81642833846982099</v>
      </c>
      <c r="E82">
        <v>-0.61312362125614395</v>
      </c>
      <c r="F82">
        <v>-1.6753824843046201E-3</v>
      </c>
      <c r="G82">
        <v>4.2975313258336902E-3</v>
      </c>
      <c r="H82">
        <v>0.433133118262718</v>
      </c>
      <c r="I82">
        <v>-7.8767955002897897E-4</v>
      </c>
      <c r="J82">
        <f t="shared" si="2"/>
        <v>-4.2975313258336902E-3</v>
      </c>
    </row>
    <row r="83" spans="1:10" x14ac:dyDescent="0.25">
      <c r="A83">
        <v>457.22478389739899</v>
      </c>
      <c r="B83">
        <v>17.346334406297998</v>
      </c>
      <c r="C83">
        <v>1.2907133429695099</v>
      </c>
      <c r="D83">
        <v>0.79247611069946799</v>
      </c>
      <c r="E83">
        <v>-0.59762208056705701</v>
      </c>
      <c r="F83">
        <v>-1.7786402898867901E-3</v>
      </c>
      <c r="G83">
        <v>4.0555743519334704E-3</v>
      </c>
      <c r="H83">
        <v>0.43326028480010298</v>
      </c>
      <c r="I83">
        <v>-7.2929842352851399E-4</v>
      </c>
      <c r="J83">
        <f t="shared" si="2"/>
        <v>-4.0555743519334704E-3</v>
      </c>
    </row>
    <row r="84" spans="1:10" x14ac:dyDescent="0.25">
      <c r="A84">
        <v>473.07753324508599</v>
      </c>
      <c r="B84">
        <v>17.4405839789029</v>
      </c>
      <c r="C84">
        <v>1.2515884768898899</v>
      </c>
      <c r="D84">
        <v>0.76865884026742004</v>
      </c>
      <c r="E84">
        <v>-0.58200863745713804</v>
      </c>
      <c r="F84" s="1">
        <v>-1.92908592220412E-3</v>
      </c>
      <c r="G84">
        <v>3.82500137583775E-3</v>
      </c>
      <c r="H84">
        <v>0.43339437145492099</v>
      </c>
      <c r="I84">
        <v>-6.74325997446137E-4</v>
      </c>
      <c r="J84">
        <f t="shared" si="2"/>
        <v>-3.82500137583775E-3</v>
      </c>
    </row>
    <row r="85" spans="1:10" x14ac:dyDescent="0.25">
      <c r="A85">
        <v>488.93034338951099</v>
      </c>
      <c r="B85">
        <v>17.5320331777747</v>
      </c>
      <c r="C85">
        <v>1.21269412044211</v>
      </c>
      <c r="D85">
        <v>0.745044879745974</v>
      </c>
      <c r="E85">
        <v>-0.56629270739252402</v>
      </c>
      <c r="F85">
        <v>-2.0843868864563199E-3</v>
      </c>
      <c r="G85">
        <v>3.6054874761090698E-3</v>
      </c>
      <c r="H85">
        <v>0.43355172891427701</v>
      </c>
      <c r="I85">
        <v>-6.22516509628761E-4</v>
      </c>
      <c r="J85">
        <f t="shared" si="2"/>
        <v>-3.6054874761090698E-3</v>
      </c>
    </row>
    <row r="86" spans="1:10" x14ac:dyDescent="0.25">
      <c r="A86">
        <v>504.78321433067299</v>
      </c>
      <c r="B86" s="1">
        <v>17.620835780661899</v>
      </c>
      <c r="C86" s="1">
        <v>1.1740596090475199</v>
      </c>
      <c r="D86" s="1">
        <v>0.72188262035756501</v>
      </c>
      <c r="E86" s="1">
        <v>-0.55045564788541901</v>
      </c>
      <c r="F86" s="1">
        <v>-2.2008657158066702E-3</v>
      </c>
      <c r="G86" s="1">
        <v>3.39615252082426E-3</v>
      </c>
      <c r="H86">
        <v>0.43376551383099299</v>
      </c>
      <c r="I86" s="1">
        <v>-5.7304765578229005E-4</v>
      </c>
      <c r="J86">
        <f t="shared" si="2"/>
        <v>-3.39615252082426E-3</v>
      </c>
    </row>
    <row r="87" spans="1:10" x14ac:dyDescent="0.25">
      <c r="A87">
        <v>520.63602447509697</v>
      </c>
      <c r="B87" s="1">
        <v>17.707113191049899</v>
      </c>
      <c r="C87" s="1">
        <v>1.1357330003272299</v>
      </c>
      <c r="D87" s="1">
        <v>0.698949458754063</v>
      </c>
      <c r="E87" s="1">
        <v>-0.53451360528200298</v>
      </c>
      <c r="F87" s="1">
        <v>-2.3072571996775601E-3</v>
      </c>
      <c r="G87" s="1">
        <v>3.1960400300661499E-3</v>
      </c>
      <c r="H87">
        <v>0.43404935843022402</v>
      </c>
      <c r="I87" s="1">
        <v>-5.2663405266037595E-4</v>
      </c>
      <c r="J87">
        <f t="shared" si="2"/>
        <v>-3.1960400300661499E-3</v>
      </c>
    </row>
    <row r="88" spans="1:10" x14ac:dyDescent="0.25">
      <c r="A88">
        <v>536.48889541625897</v>
      </c>
      <c r="B88" s="1">
        <v>17.790853268590201</v>
      </c>
      <c r="C88" s="1">
        <v>1.0977662871418199</v>
      </c>
      <c r="D88" s="1">
        <v>0.67627469371958604</v>
      </c>
      <c r="E88" s="1">
        <v>-0.51847469843656602</v>
      </c>
      <c r="F88" s="1">
        <v>-2.4373534459332701E-3</v>
      </c>
      <c r="G88" s="1">
        <v>3.0037425712188398E-3</v>
      </c>
      <c r="H88">
        <v>0.43408662760319999</v>
      </c>
      <c r="I88" s="1">
        <v>-4.8321254670626501E-4</v>
      </c>
      <c r="J88">
        <f t="shared" si="2"/>
        <v>-3.0037425712188398E-3</v>
      </c>
    </row>
    <row r="89" spans="1:10" x14ac:dyDescent="0.25">
      <c r="A89">
        <v>552.34173595905304</v>
      </c>
      <c r="B89" s="1">
        <v>17.872080293979799</v>
      </c>
      <c r="C89" s="1">
        <v>1.05995424079163</v>
      </c>
      <c r="D89" s="1">
        <v>0.65367532674878204</v>
      </c>
      <c r="E89" s="1">
        <v>-0.50235935777755303</v>
      </c>
      <c r="F89" s="1">
        <v>-2.5743229388388998E-3</v>
      </c>
      <c r="G89" s="1">
        <v>2.82088622887003E-3</v>
      </c>
      <c r="H89">
        <v>0.43421027715502197</v>
      </c>
      <c r="I89" s="1">
        <v>-4.4268155380817803E-4</v>
      </c>
      <c r="J89">
        <f t="shared" si="2"/>
        <v>-2.82088622887003E-3</v>
      </c>
    </row>
    <row r="90" spans="1:10" x14ac:dyDescent="0.25">
      <c r="A90">
        <v>568.19448530673901</v>
      </c>
      <c r="B90" s="1">
        <v>17.950902181428301</v>
      </c>
      <c r="C90" s="1">
        <v>1.0222662141088701</v>
      </c>
      <c r="D90" s="1">
        <v>0.63110773245278196</v>
      </c>
      <c r="E90" s="1">
        <v>-0.48614943547380302</v>
      </c>
      <c r="F90" s="1">
        <v>-2.6511916037257701E-3</v>
      </c>
      <c r="G90" s="1">
        <v>2.6470026908185099E-3</v>
      </c>
      <c r="H90">
        <v>0.43446471534970499</v>
      </c>
      <c r="I90" s="1">
        <v>-4.0483386640686499E-4</v>
      </c>
      <c r="J90">
        <f t="shared" si="2"/>
        <v>-2.6470026908185099E-3</v>
      </c>
    </row>
    <row r="91" spans="1:10" x14ac:dyDescent="0.25">
      <c r="A91">
        <v>584.04732584953297</v>
      </c>
      <c r="B91" s="1">
        <v>18.027380981605798</v>
      </c>
      <c r="C91" s="1">
        <v>0.98485103069443503</v>
      </c>
      <c r="D91" s="1">
        <v>0.60860389477749899</v>
      </c>
      <c r="E91" s="1">
        <v>-0.46984622145058103</v>
      </c>
      <c r="F91" s="1">
        <v>-2.6179742047616398E-3</v>
      </c>
      <c r="G91" s="1">
        <v>2.4807938332153099E-3</v>
      </c>
      <c r="H91">
        <v>0.43469126587696</v>
      </c>
      <c r="I91" s="1">
        <v>-3.6929099850158901E-4</v>
      </c>
      <c r="J91">
        <f t="shared" si="2"/>
        <v>-2.4807938332153099E-3</v>
      </c>
    </row>
    <row r="92" spans="1:10" x14ac:dyDescent="0.25">
      <c r="A92">
        <v>599.90016639232601</v>
      </c>
      <c r="B92" s="1">
        <v>18.101482971322099</v>
      </c>
      <c r="C92" s="1">
        <v>0.94785137279068699</v>
      </c>
      <c r="D92" s="1">
        <v>0.58646860637355502</v>
      </c>
      <c r="E92" s="1">
        <v>-0.453469622907962</v>
      </c>
      <c r="F92" s="1">
        <v>-2.43135938613431E-3</v>
      </c>
      <c r="G92" s="1">
        <v>2.3217524949911798E-3</v>
      </c>
      <c r="H92">
        <v>0.434904397764318</v>
      </c>
      <c r="I92" s="1">
        <v>-3.3576219945671203E-4</v>
      </c>
      <c r="J92">
        <f t="shared" si="2"/>
        <v>-2.3217524949911798E-3</v>
      </c>
    </row>
    <row r="93" spans="1:10" x14ac:dyDescent="0.25">
      <c r="A93">
        <v>615.75300693511895</v>
      </c>
      <c r="B93" s="1">
        <v>18.173191963445699</v>
      </c>
      <c r="C93" s="1">
        <v>0.91143800593969404</v>
      </c>
      <c r="D93" s="1">
        <v>0.56462107488578495</v>
      </c>
      <c r="E93" s="1">
        <v>-0.43702262224215699</v>
      </c>
      <c r="F93" s="1">
        <v>-2.1614687688911701E-3</v>
      </c>
      <c r="G93" s="1">
        <v>2.1689919806269502E-3</v>
      </c>
      <c r="H93">
        <v>0.43484861038216899</v>
      </c>
      <c r="I93" s="1">
        <v>-3.0398811171978901E-4</v>
      </c>
      <c r="J93">
        <f t="shared" si="2"/>
        <v>-2.1689919806269502E-3</v>
      </c>
    </row>
    <row r="94" spans="1:10" x14ac:dyDescent="0.25">
      <c r="A94">
        <v>631.60581707954395</v>
      </c>
      <c r="B94" s="1">
        <v>18.242551123660402</v>
      </c>
      <c r="C94" s="1">
        <v>0.87537720076824299</v>
      </c>
      <c r="D94" s="1">
        <v>0.54284654511708896</v>
      </c>
      <c r="E94" s="1">
        <v>-0.42048723068962901</v>
      </c>
      <c r="F94" s="1">
        <v>-1.85615833830664E-3</v>
      </c>
      <c r="G94" s="1">
        <v>2.024190644147E-3</v>
      </c>
      <c r="H94">
        <v>0.434809417342092</v>
      </c>
      <c r="I94" s="1">
        <v>-2.7454470820112702E-4</v>
      </c>
      <c r="J94">
        <f t="shared" si="2"/>
        <v>-2.024190644147E-3</v>
      </c>
    </row>
    <row r="95" spans="1:10" x14ac:dyDescent="0.25">
      <c r="A95">
        <v>647.45859682559899</v>
      </c>
      <c r="B95" s="1">
        <v>18.309577988025101</v>
      </c>
      <c r="C95" s="1">
        <v>0.83967414463742396</v>
      </c>
      <c r="D95" s="1">
        <v>0.52113267705732702</v>
      </c>
      <c r="E95" s="1">
        <v>-0.40389018768580998</v>
      </c>
      <c r="F95" s="1">
        <v>-1.5843595459428201E-3</v>
      </c>
      <c r="G95" s="1">
        <v>1.88762592064417E-3</v>
      </c>
      <c r="H95">
        <v>0.43495909907486102</v>
      </c>
      <c r="I95" s="1">
        <v>-2.4773894943516E-4</v>
      </c>
      <c r="J95">
        <f t="shared" si="2"/>
        <v>-1.88762592064417E-3</v>
      </c>
    </row>
    <row r="96" spans="1:10" x14ac:dyDescent="0.25">
      <c r="A96">
        <v>663.31143736839203</v>
      </c>
      <c r="B96" s="1">
        <v>18.3742280419286</v>
      </c>
      <c r="C96" s="1">
        <v>0.80436813031686505</v>
      </c>
      <c r="D96" s="1">
        <v>0.49951890316254799</v>
      </c>
      <c r="E96" s="1">
        <v>-0.38722025207331401</v>
      </c>
      <c r="F96" s="1">
        <v>-1.33275034505198E-3</v>
      </c>
      <c r="G96" s="1">
        <v>1.75803959331085E-3</v>
      </c>
      <c r="H96">
        <v>0.43516823998110599</v>
      </c>
      <c r="I96" s="1">
        <v>-2.23301377286734E-4</v>
      </c>
      <c r="J96">
        <f t="shared" si="2"/>
        <v>-1.75803959331085E-3</v>
      </c>
    </row>
    <row r="97" spans="1:10" x14ac:dyDescent="0.25">
      <c r="A97">
        <v>679.16427791118599</v>
      </c>
      <c r="B97" s="1">
        <v>18.436494540732699</v>
      </c>
      <c r="C97" s="1">
        <v>0.76950810980029405</v>
      </c>
      <c r="D97" s="1">
        <v>0.47797986051215202</v>
      </c>
      <c r="E97" s="1">
        <v>-0.37047195115940001</v>
      </c>
      <c r="F97" s="1">
        <v>-1.09743623536228E-3</v>
      </c>
      <c r="G97" s="1">
        <v>1.6348984838916499E-3</v>
      </c>
      <c r="H97">
        <v>0.43536471332736798</v>
      </c>
      <c r="I97" s="1">
        <v>-2.0032968859031499E-4</v>
      </c>
      <c r="J97">
        <f t="shared" si="2"/>
        <v>-1.6348984838916499E-3</v>
      </c>
    </row>
    <row r="98" spans="1:10" x14ac:dyDescent="0.25">
      <c r="A98">
        <v>695.01711845397904</v>
      </c>
      <c r="B98" s="1">
        <v>18.496421999048799</v>
      </c>
      <c r="C98" s="1">
        <v>0.73525095604202695</v>
      </c>
      <c r="D98" s="1">
        <v>0.45669614769307998</v>
      </c>
      <c r="E98" s="1">
        <v>-0.35365833838338401</v>
      </c>
      <c r="F98" s="1">
        <v>-9.3205223973295002E-4</v>
      </c>
      <c r="G98" s="1">
        <v>1.51857788971779E-3</v>
      </c>
      <c r="H98">
        <v>0.43572253306469899</v>
      </c>
      <c r="I98" s="1">
        <v>-1.79128635955902E-4</v>
      </c>
      <c r="J98">
        <f t="shared" si="2"/>
        <v>-1.51857788971779E-3</v>
      </c>
    </row>
    <row r="99" spans="1:10" x14ac:dyDescent="0.25">
      <c r="A99">
        <v>710.86992859840302</v>
      </c>
      <c r="B99" s="1">
        <v>18.554087305751001</v>
      </c>
      <c r="C99" s="1">
        <v>0.70164907927651599</v>
      </c>
      <c r="D99" s="1">
        <v>0.435607676068338</v>
      </c>
      <c r="E99" s="1">
        <v>-0.336780876104327</v>
      </c>
      <c r="F99" s="1">
        <v>-7.8361500439767795E-4</v>
      </c>
      <c r="G99" s="1">
        <v>1.4087150145261199E-3</v>
      </c>
      <c r="H99">
        <v>0.43624245267613398</v>
      </c>
      <c r="I99" s="1">
        <v>-1.5983280764824499E-4</v>
      </c>
      <c r="J99">
        <f t="shared" si="2"/>
        <v>-1.4087150145261199E-3</v>
      </c>
    </row>
    <row r="100" spans="1:10" x14ac:dyDescent="0.25">
      <c r="A100">
        <v>726.72273874282803</v>
      </c>
      <c r="B100" s="1">
        <v>18.609458086576701</v>
      </c>
      <c r="C100" s="1">
        <v>0.66864810164958699</v>
      </c>
      <c r="D100" s="1">
        <v>0.41465257448082399</v>
      </c>
      <c r="E100" s="1">
        <v>-0.31984855685853097</v>
      </c>
      <c r="F100" s="1">
        <v>-6.1851151750317202E-4</v>
      </c>
      <c r="G100" s="1">
        <v>1.30507023974802E-3</v>
      </c>
      <c r="H100">
        <v>0.43687581548840598</v>
      </c>
      <c r="I100" s="1">
        <v>-1.4234182473254599E-4</v>
      </c>
      <c r="J100">
        <f t="shared" si="2"/>
        <v>-1.30507023974802E-3</v>
      </c>
    </row>
    <row r="101" spans="1:10" x14ac:dyDescent="0.25">
      <c r="A101">
        <v>742.57554888725201</v>
      </c>
      <c r="B101" s="1">
        <v>18.662449359085802</v>
      </c>
      <c r="C101" s="1">
        <v>0.63629727327916397</v>
      </c>
      <c r="D101" s="1">
        <v>0.39389213353630897</v>
      </c>
      <c r="E101" s="1">
        <v>-0.30286845922132599</v>
      </c>
      <c r="F101" s="1">
        <v>-5.32073710472099E-4</v>
      </c>
      <c r="G101" s="1">
        <v>1.20763273241742E-3</v>
      </c>
      <c r="H101">
        <v>0.43748140285114101</v>
      </c>
      <c r="I101" s="1">
        <v>-1.2651521304501799E-4</v>
      </c>
      <c r="J101">
        <f t="shared" si="2"/>
        <v>-1.20763273241742E-3</v>
      </c>
    </row>
    <row r="102" spans="1:10" x14ac:dyDescent="0.25">
      <c r="A102">
        <v>758.42838943004597</v>
      </c>
      <c r="B102" s="1">
        <v>18.713046285074501</v>
      </c>
      <c r="C102" s="1">
        <v>0.60462813570566498</v>
      </c>
      <c r="D102" s="1">
        <v>0.37347227887078899</v>
      </c>
      <c r="E102" s="1">
        <v>-0.285824942828526</v>
      </c>
      <c r="F102" s="1">
        <v>-5.8639204799881297E-4</v>
      </c>
      <c r="G102" s="1">
        <v>1.11627749437879E-3</v>
      </c>
      <c r="H102">
        <v>0.43805842119094401</v>
      </c>
      <c r="I102" s="1">
        <v>-1.12306241972934E-4</v>
      </c>
      <c r="J102">
        <f t="shared" si="2"/>
        <v>-1.11627749437879E-3</v>
      </c>
    </row>
    <row r="103" spans="1:10" x14ac:dyDescent="0.25">
      <c r="A103">
        <v>774.28122997283901</v>
      </c>
      <c r="B103" s="1">
        <v>18.7612286306288</v>
      </c>
      <c r="C103" s="1">
        <v>0.57358684769847501</v>
      </c>
      <c r="D103" s="1">
        <v>0.35334505714385001</v>
      </c>
      <c r="E103" s="1">
        <v>-0.26873238008667499</v>
      </c>
      <c r="F103" s="1">
        <v>-7.2223620044013196E-4</v>
      </c>
      <c r="G103" s="1">
        <v>1.03081200499497E-3</v>
      </c>
      <c r="H103">
        <v>0.43873050587722501</v>
      </c>
      <c r="I103" s="1">
        <v>-9.9575161115111901E-5</v>
      </c>
      <c r="J103">
        <f t="shared" si="2"/>
        <v>-1.03081200499497E-3</v>
      </c>
    </row>
    <row r="104" spans="1:10" x14ac:dyDescent="0.25">
      <c r="A104">
        <v>790.13402491807904</v>
      </c>
      <c r="B104" s="1">
        <v>18.8069006218876</v>
      </c>
      <c r="C104" s="1">
        <v>0.54343581817889497</v>
      </c>
      <c r="D104" s="1">
        <v>0.33366553986710701</v>
      </c>
      <c r="E104" s="1">
        <v>-0.25159626166364102</v>
      </c>
      <c r="F104" s="1">
        <v>-7.99129554390342E-4</v>
      </c>
      <c r="G104" s="1">
        <v>9.5068509577780696E-4</v>
      </c>
      <c r="H104">
        <v>0.439295887911341</v>
      </c>
      <c r="I104" s="1">
        <v>-8.8085404459610397E-5</v>
      </c>
      <c r="J104">
        <f t="shared" si="2"/>
        <v>-9.5068509577780696E-4</v>
      </c>
    </row>
    <row r="105" spans="1:10" x14ac:dyDescent="0.25">
      <c r="A105">
        <v>805.98686546087197</v>
      </c>
      <c r="B105" s="1">
        <v>18.849982672121701</v>
      </c>
      <c r="C105" s="1">
        <v>0.51445707264062501</v>
      </c>
      <c r="D105" s="1">
        <v>0.31452328682391301</v>
      </c>
      <c r="E105" s="1">
        <v>-0.23441984605310001</v>
      </c>
      <c r="F105" s="1">
        <v>-8.0227054798593896E-4</v>
      </c>
      <c r="G105" s="1">
        <v>8.7614331182781196E-4</v>
      </c>
      <c r="H105">
        <v>0.43984846930460902</v>
      </c>
      <c r="I105" s="1">
        <v>-7.7889463679642004E-5</v>
      </c>
      <c r="J105">
        <f t="shared" si="2"/>
        <v>-8.7614331182781196E-4</v>
      </c>
    </row>
    <row r="106" spans="1:10" x14ac:dyDescent="0.25">
      <c r="A106">
        <v>821.83970600366501</v>
      </c>
      <c r="B106" s="1">
        <v>18.890459943127201</v>
      </c>
      <c r="C106" s="1">
        <v>0.48669342171885899</v>
      </c>
      <c r="D106" s="1">
        <v>0.29599637056061701</v>
      </c>
      <c r="E106" s="1">
        <v>-0.21720567061096799</v>
      </c>
      <c r="F106" s="1">
        <v>-7.7054232180628196E-4</v>
      </c>
      <c r="G106" s="1">
        <v>8.0737310052114198E-4</v>
      </c>
      <c r="H106">
        <v>0.44059128782649198</v>
      </c>
      <c r="I106" s="1">
        <v>-6.9185813661537705E-5</v>
      </c>
      <c r="J106">
        <f t="shared" si="2"/>
        <v>-8.0737310052114198E-4</v>
      </c>
    </row>
    <row r="107" spans="1:10" x14ac:dyDescent="0.25">
      <c r="A107">
        <v>837.69251614809002</v>
      </c>
      <c r="B107" s="1">
        <v>18.928239358898601</v>
      </c>
      <c r="C107" s="1">
        <v>0.46022616388308202</v>
      </c>
      <c r="D107" s="1">
        <v>0.27817555292732199</v>
      </c>
      <c r="E107" s="1">
        <v>-0.199959269168651</v>
      </c>
      <c r="F107" s="1">
        <v>-7.4303877399303601E-4</v>
      </c>
      <c r="G107" s="1">
        <v>7.4418852673680696E-4</v>
      </c>
      <c r="H107">
        <v>0.441494202060704</v>
      </c>
      <c r="I107" s="1">
        <v>-6.1673458268075103E-5</v>
      </c>
      <c r="J107">
        <f t="shared" si="2"/>
        <v>-7.4418852673680696E-4</v>
      </c>
    </row>
    <row r="108" spans="1:10" x14ac:dyDescent="0.25">
      <c r="A108">
        <v>853.54535669088295</v>
      </c>
      <c r="B108" s="1">
        <v>18.963218400936899</v>
      </c>
      <c r="C108" s="1">
        <v>0.43518581790828398</v>
      </c>
      <c r="D108" s="1">
        <v>0.26118657831044201</v>
      </c>
      <c r="E108" s="1">
        <v>-0.18267022075343201</v>
      </c>
      <c r="F108" s="1">
        <v>-7.4389457132874402E-4</v>
      </c>
      <c r="G108" s="1">
        <v>6.8648766270152501E-4</v>
      </c>
      <c r="H108">
        <v>0.44247794917619898</v>
      </c>
      <c r="I108" s="1">
        <v>-5.5033592359990601E-5</v>
      </c>
      <c r="J108">
        <f t="shared" si="2"/>
        <v>-6.8648766270152501E-4</v>
      </c>
    </row>
    <row r="109" spans="1:10" x14ac:dyDescent="0.25">
      <c r="A109">
        <v>869.39818203449204</v>
      </c>
      <c r="B109" s="1">
        <v>18.995380882110801</v>
      </c>
      <c r="C109" s="1">
        <v>0.41168391205788102</v>
      </c>
      <c r="D109" s="1">
        <v>0.245018167740302</v>
      </c>
      <c r="E109" s="1">
        <v>-0.165343093918422</v>
      </c>
      <c r="F109" s="1">
        <v>-7.3232166978859901E-4</v>
      </c>
      <c r="G109" s="1">
        <v>6.3469412472560603E-4</v>
      </c>
      <c r="H109">
        <v>0.44365062717596299</v>
      </c>
      <c r="I109" s="1">
        <v>-4.9442432292226198E-5</v>
      </c>
      <c r="J109">
        <f t="shared" si="2"/>
        <v>-6.3469412472560603E-4</v>
      </c>
    </row>
    <row r="110" spans="1:10" x14ac:dyDescent="0.25">
      <c r="A110">
        <v>885.25099217891602</v>
      </c>
      <c r="B110" s="1">
        <v>19.024728151347801</v>
      </c>
      <c r="C110" s="1">
        <v>0.38987099905313899</v>
      </c>
      <c r="D110" s="1">
        <v>0.22986720323705601</v>
      </c>
      <c r="E110" s="1">
        <v>-0.14798958944856599</v>
      </c>
      <c r="F110" s="1">
        <v>-7.0952587165244501E-4</v>
      </c>
      <c r="G110" s="1">
        <v>5.8858857108520497E-4</v>
      </c>
      <c r="H110">
        <v>0.44492179014794198</v>
      </c>
      <c r="I110" s="1">
        <v>-4.4897559488901301E-5</v>
      </c>
      <c r="J110">
        <f t="shared" si="2"/>
        <v>-5.8858857108520497E-4</v>
      </c>
    </row>
    <row r="111" spans="1:10" x14ac:dyDescent="0.25">
      <c r="A111">
        <v>901.10380992293301</v>
      </c>
      <c r="B111" s="1">
        <v>19.051123966958698</v>
      </c>
      <c r="C111" s="1">
        <v>0.36992479072999201</v>
      </c>
      <c r="D111" s="1">
        <v>0.215911835504488</v>
      </c>
      <c r="E111" s="1">
        <v>-0.130623356277243</v>
      </c>
      <c r="F111" s="1">
        <v>-6.7921906269143896E-4</v>
      </c>
      <c r="G111" s="1">
        <v>5.4776995326887695E-4</v>
      </c>
      <c r="H111">
        <v>0.44617095599772599</v>
      </c>
      <c r="I111" s="1">
        <v>-4.1195155602106803E-5</v>
      </c>
      <c r="J111">
        <f t="shared" si="2"/>
        <v>-5.4776995326887695E-4</v>
      </c>
    </row>
    <row r="112" spans="1:10" x14ac:dyDescent="0.25">
      <c r="A112">
        <v>916.95665046572606</v>
      </c>
      <c r="B112" s="1">
        <v>19.074438831892198</v>
      </c>
      <c r="C112" s="1">
        <v>0.35197890635511597</v>
      </c>
      <c r="D112" s="1">
        <v>0.20325982383729599</v>
      </c>
      <c r="E112" s="1">
        <v>-0.113237919870857</v>
      </c>
      <c r="F112" s="1">
        <v>-6.3284608474275096E-4</v>
      </c>
      <c r="G112" s="1">
        <v>5.1230731005855602E-4</v>
      </c>
      <c r="H112">
        <v>0.44750259019793598</v>
      </c>
      <c r="I112" s="1">
        <v>-3.8235190269321602E-5</v>
      </c>
      <c r="J112">
        <f t="shared" si="2"/>
        <v>-5.1230731005855602E-4</v>
      </c>
    </row>
    <row r="113" spans="1:10" x14ac:dyDescent="0.25">
      <c r="A113">
        <v>932.80946820974305</v>
      </c>
      <c r="B113" s="1">
        <v>19.094597206201701</v>
      </c>
      <c r="C113" s="1">
        <v>0.33621144532590502</v>
      </c>
      <c r="D113" s="1">
        <v>0.19220635131267999</v>
      </c>
      <c r="E113" s="1">
        <v>-9.5833448301069296E-2</v>
      </c>
      <c r="F113" s="1">
        <v>-5.6241899746671705E-4</v>
      </c>
      <c r="G113" s="1">
        <v>4.8197562491505503E-4</v>
      </c>
      <c r="H113">
        <v>0.44862708367680798</v>
      </c>
      <c r="I113" s="1">
        <v>-3.5907415825079299E-5</v>
      </c>
      <c r="J113">
        <f t="shared" si="2"/>
        <v>-4.8197562491505503E-4</v>
      </c>
    </row>
    <row r="114" spans="1:10" x14ac:dyDescent="0.25">
      <c r="A114">
        <v>948.66229355335201</v>
      </c>
      <c r="B114" s="1">
        <v>19.111512758519801</v>
      </c>
      <c r="C114" s="1">
        <v>0.32281910998986602</v>
      </c>
      <c r="D114" s="1">
        <v>0.18276823257880701</v>
      </c>
      <c r="E114" s="1">
        <v>-7.8417298191207199E-2</v>
      </c>
      <c r="F114" s="1">
        <v>-4.8438591937534001E-4</v>
      </c>
      <c r="G114" s="1">
        <v>4.5672406463734603E-4</v>
      </c>
      <c r="H114">
        <v>0.44962892516299102</v>
      </c>
      <c r="I114" s="1">
        <v>-3.4100299961666199E-5</v>
      </c>
      <c r="J114">
        <f t="shared" si="2"/>
        <v>-4.5672406463734603E-4</v>
      </c>
    </row>
    <row r="115" spans="1:10" x14ac:dyDescent="0.25">
      <c r="A115">
        <v>964.51511889696098</v>
      </c>
      <c r="B115" s="1">
        <v>19.125118042465601</v>
      </c>
      <c r="C115" s="1">
        <v>0.31194818989219802</v>
      </c>
      <c r="D115" s="1">
        <v>0.17506916246832299</v>
      </c>
      <c r="E115" s="1">
        <v>-6.0988529702651E-2</v>
      </c>
      <c r="F115" s="1">
        <v>-4.0313016084870298E-4</v>
      </c>
      <c r="G115" s="1">
        <v>4.3653575985936802E-4</v>
      </c>
      <c r="H115">
        <v>0.45059518207503102</v>
      </c>
      <c r="I115" s="1">
        <v>-3.2705181210310998E-5</v>
      </c>
      <c r="J115">
        <f t="shared" si="2"/>
        <v>-4.3653575985936802E-4</v>
      </c>
    </row>
    <row r="116" spans="1:10" x14ac:dyDescent="0.25">
      <c r="A116">
        <v>980.36794044077305</v>
      </c>
      <c r="B116" s="1">
        <v>19.1353564030792</v>
      </c>
      <c r="C116" s="1">
        <v>0.30370609918234898</v>
      </c>
      <c r="D116" s="1">
        <v>0.16926555371101701</v>
      </c>
      <c r="E116" s="1">
        <v>-4.3550547773258202E-2</v>
      </c>
      <c r="F116" s="1">
        <v>-3.13431752324083E-4</v>
      </c>
      <c r="G116" s="1">
        <v>4.2131690984880099E-4</v>
      </c>
      <c r="H116">
        <v>0.45130583027044202</v>
      </c>
      <c r="I116" s="1">
        <v>-3.1656553545867302E-5</v>
      </c>
      <c r="J116">
        <f t="shared" si="2"/>
        <v>-4.2131690984880099E-4</v>
      </c>
    </row>
    <row r="117" spans="1:10" x14ac:dyDescent="0.25">
      <c r="A117">
        <v>996.22076388448397</v>
      </c>
      <c r="B117" s="1">
        <v>19.142194117170199</v>
      </c>
      <c r="C117" s="1">
        <v>0.298148199524359</v>
      </c>
      <c r="D117" s="1">
        <v>0.165332485569985</v>
      </c>
      <c r="E117" s="1">
        <v>-2.6103927466348899E-2</v>
      </c>
      <c r="F117" s="1">
        <v>-2.2621924322463699E-4</v>
      </c>
      <c r="G117" s="1">
        <v>4.1112050255421299E-4</v>
      </c>
      <c r="H117">
        <v>0.45180454190934799</v>
      </c>
      <c r="I117" s="1">
        <v>-3.1010155206786303E-5</v>
      </c>
      <c r="J117">
        <f t="shared" si="2"/>
        <v>-4.1112050255421299E-4</v>
      </c>
    </row>
    <row r="118" spans="1:10" x14ac:dyDescent="0.25">
      <c r="A118">
        <v>1012.07358780317</v>
      </c>
      <c r="B118" s="1">
        <v>19.1456338825937</v>
      </c>
      <c r="C118" s="1">
        <v>0.29530746345480502</v>
      </c>
      <c r="D118" s="1">
        <v>0.163347700801386</v>
      </c>
      <c r="E118" s="1">
        <v>-8.64957109017493E-3</v>
      </c>
      <c r="F118" s="1">
        <v>-1.4743400419005699E-4</v>
      </c>
      <c r="G118" s="1">
        <v>4.0598756361092498E-4</v>
      </c>
      <c r="H118">
        <v>0.45217529607034701</v>
      </c>
      <c r="I118" s="1">
        <v>-3.0710336297763897E-5</v>
      </c>
      <c r="J118">
        <f t="shared" si="2"/>
        <v>-4.0598756361092498E-4</v>
      </c>
    </row>
    <row r="119" spans="1:10" x14ac:dyDescent="0.25">
      <c r="A119" t="s">
        <v>499</v>
      </c>
      <c r="B119" t="s">
        <v>538</v>
      </c>
      <c r="C119" t="s">
        <v>539</v>
      </c>
      <c r="D119" t="s">
        <v>540</v>
      </c>
      <c r="E119" t="s">
        <v>541</v>
      </c>
      <c r="F119" t="s">
        <v>542</v>
      </c>
      <c r="G119" t="s">
        <v>378</v>
      </c>
      <c r="H119" t="s">
        <v>543</v>
      </c>
      <c r="I119" t="s">
        <v>537</v>
      </c>
    </row>
    <row r="120" spans="1:10" x14ac:dyDescent="0.25">
      <c r="A120">
        <v>-143.34727764129599</v>
      </c>
      <c r="B120">
        <v>16.729766507937601</v>
      </c>
      <c r="C120" s="1">
        <v>0</v>
      </c>
      <c r="D120" s="1">
        <v>0</v>
      </c>
      <c r="E120" s="1">
        <v>0</v>
      </c>
      <c r="F120" s="1">
        <v>0</v>
      </c>
      <c r="G120" s="1">
        <v>0</v>
      </c>
      <c r="H120">
        <v>0</v>
      </c>
      <c r="I120" s="1">
        <v>0</v>
      </c>
    </row>
    <row r="121" spans="1:10" x14ac:dyDescent="0.25">
      <c r="A121">
        <v>-130.59127092361399</v>
      </c>
      <c r="B121">
        <v>16.729766507937601</v>
      </c>
      <c r="C121" s="1">
        <v>0</v>
      </c>
      <c r="D121" s="1">
        <v>0</v>
      </c>
      <c r="E121" s="1">
        <v>0</v>
      </c>
      <c r="F121" s="1">
        <v>0</v>
      </c>
      <c r="G121" s="1">
        <v>0</v>
      </c>
      <c r="H121">
        <v>0</v>
      </c>
      <c r="I121" s="1">
        <v>0</v>
      </c>
    </row>
    <row r="122" spans="1:10" x14ac:dyDescent="0.25">
      <c r="A122">
        <v>-118.88850688934301</v>
      </c>
      <c r="B122">
        <v>16.729766507937601</v>
      </c>
      <c r="C122" s="1">
        <v>0</v>
      </c>
      <c r="D122" s="1">
        <v>0</v>
      </c>
      <c r="E122" s="1">
        <v>0</v>
      </c>
      <c r="F122" s="1">
        <v>0</v>
      </c>
      <c r="G122" s="1">
        <v>0</v>
      </c>
      <c r="H122">
        <v>0</v>
      </c>
      <c r="I122" s="1">
        <v>0</v>
      </c>
    </row>
    <row r="123" spans="1:10" x14ac:dyDescent="0.25">
      <c r="A123">
        <v>-108.151924610137</v>
      </c>
      <c r="B123">
        <v>16.729766507937601</v>
      </c>
      <c r="C123" s="1">
        <v>0</v>
      </c>
      <c r="D123" s="1">
        <v>0</v>
      </c>
      <c r="E123" s="1">
        <v>0</v>
      </c>
      <c r="F123" s="1">
        <v>0</v>
      </c>
      <c r="G123" s="1">
        <v>0</v>
      </c>
      <c r="H123">
        <v>0</v>
      </c>
      <c r="I123" s="1">
        <v>0</v>
      </c>
    </row>
    <row r="124" spans="1:10" x14ac:dyDescent="0.25">
      <c r="A124">
        <v>-98.302001953125</v>
      </c>
      <c r="B124">
        <v>16.729766507937601</v>
      </c>
      <c r="C124" s="1">
        <v>0</v>
      </c>
      <c r="D124" s="1">
        <v>0</v>
      </c>
      <c r="E124" s="1">
        <v>0</v>
      </c>
      <c r="F124" s="1">
        <v>0</v>
      </c>
      <c r="G124" s="1">
        <v>0</v>
      </c>
      <c r="H124">
        <v>0</v>
      </c>
      <c r="I124" s="1">
        <v>0</v>
      </c>
    </row>
    <row r="125" spans="1:10" x14ac:dyDescent="0.25">
      <c r="A125">
        <v>-89.265174865722599</v>
      </c>
      <c r="B125">
        <v>16.729766507937601</v>
      </c>
      <c r="C125" s="1">
        <v>0</v>
      </c>
      <c r="D125" s="1">
        <v>0</v>
      </c>
      <c r="E125" s="1">
        <v>0</v>
      </c>
      <c r="F125" s="1">
        <v>0</v>
      </c>
      <c r="G125" s="1">
        <v>0</v>
      </c>
      <c r="H125">
        <v>0</v>
      </c>
      <c r="I125" s="1">
        <v>0</v>
      </c>
    </row>
    <row r="126" spans="1:10" x14ac:dyDescent="0.25">
      <c r="A126">
        <v>-80.974688529968205</v>
      </c>
      <c r="B126">
        <v>16.729766507937601</v>
      </c>
      <c r="C126" s="1">
        <v>0</v>
      </c>
      <c r="D126" s="1">
        <v>0</v>
      </c>
      <c r="E126" s="1">
        <v>0</v>
      </c>
      <c r="F126" s="1">
        <v>0</v>
      </c>
      <c r="G126" s="1">
        <v>0</v>
      </c>
      <c r="H126">
        <v>0</v>
      </c>
      <c r="I126" s="1">
        <v>0</v>
      </c>
    </row>
    <row r="127" spans="1:10" x14ac:dyDescent="0.25">
      <c r="A127">
        <v>-73.368651866912799</v>
      </c>
      <c r="B127">
        <v>16.729766507937601</v>
      </c>
      <c r="C127" s="1">
        <v>0</v>
      </c>
      <c r="D127" s="1">
        <v>0</v>
      </c>
      <c r="E127" s="1">
        <v>0</v>
      </c>
      <c r="F127" s="1">
        <v>0</v>
      </c>
      <c r="G127" s="1">
        <v>0</v>
      </c>
      <c r="H127">
        <v>0</v>
      </c>
      <c r="I127" s="1">
        <v>0</v>
      </c>
    </row>
    <row r="128" spans="1:10" x14ac:dyDescent="0.25">
      <c r="A128">
        <v>-66.390645503997803</v>
      </c>
      <c r="B128">
        <v>16.729766507937601</v>
      </c>
      <c r="C128" s="1">
        <v>0</v>
      </c>
      <c r="D128" s="1">
        <v>0</v>
      </c>
      <c r="E128" s="1">
        <v>0</v>
      </c>
      <c r="F128" s="1">
        <v>0</v>
      </c>
      <c r="G128" s="1">
        <v>0</v>
      </c>
      <c r="H128">
        <v>0</v>
      </c>
      <c r="I128" s="1">
        <v>0</v>
      </c>
    </row>
    <row r="129" spans="1:9" x14ac:dyDescent="0.25">
      <c r="A129">
        <v>-59.988870620727504</v>
      </c>
      <c r="B129">
        <v>16.729766507937601</v>
      </c>
      <c r="C129" s="1">
        <v>0</v>
      </c>
      <c r="D129" s="1">
        <v>0</v>
      </c>
      <c r="E129" s="1">
        <v>0</v>
      </c>
      <c r="F129" s="1">
        <v>0</v>
      </c>
      <c r="G129" s="1">
        <v>0</v>
      </c>
      <c r="H129">
        <v>0</v>
      </c>
      <c r="I129" s="1">
        <v>0</v>
      </c>
    </row>
    <row r="130" spans="1:9" x14ac:dyDescent="0.25">
      <c r="A130">
        <v>-54.115540981292703</v>
      </c>
      <c r="B130">
        <v>16.729766507937601</v>
      </c>
      <c r="C130" s="1">
        <v>0</v>
      </c>
      <c r="D130" s="1">
        <v>0</v>
      </c>
      <c r="E130" s="1">
        <v>0</v>
      </c>
      <c r="F130" s="1">
        <v>0</v>
      </c>
      <c r="G130" s="1">
        <v>0</v>
      </c>
      <c r="H130">
        <v>0</v>
      </c>
      <c r="I130" s="1">
        <v>0</v>
      </c>
    </row>
    <row r="131" spans="1:9" x14ac:dyDescent="0.25">
      <c r="A131">
        <v>-48.727247714996302</v>
      </c>
      <c r="B131">
        <v>16.729766507937601</v>
      </c>
      <c r="C131" s="1">
        <v>0</v>
      </c>
      <c r="D131" s="1">
        <v>0</v>
      </c>
      <c r="E131" s="1">
        <v>0</v>
      </c>
      <c r="F131" s="1">
        <v>0</v>
      </c>
      <c r="G131" s="1">
        <v>0</v>
      </c>
      <c r="H131">
        <v>0</v>
      </c>
      <c r="I131" s="1">
        <v>0</v>
      </c>
    </row>
    <row r="132" spans="1:9" x14ac:dyDescent="0.25">
      <c r="A132">
        <v>-43.783864974975501</v>
      </c>
      <c r="B132">
        <v>16.729766507937601</v>
      </c>
      <c r="C132" s="1">
        <v>0</v>
      </c>
      <c r="D132" s="1">
        <v>0</v>
      </c>
      <c r="E132" s="1">
        <v>0</v>
      </c>
      <c r="F132" s="1">
        <v>0</v>
      </c>
      <c r="G132" s="1">
        <v>0</v>
      </c>
      <c r="H132">
        <v>0</v>
      </c>
      <c r="I132" s="1">
        <v>0</v>
      </c>
    </row>
    <row r="133" spans="1:9" x14ac:dyDescent="0.25">
      <c r="A133">
        <v>-39.248671531677203</v>
      </c>
      <c r="B133">
        <v>16.729766507937601</v>
      </c>
      <c r="C133" s="1">
        <v>0</v>
      </c>
      <c r="D133" s="1">
        <v>0</v>
      </c>
      <c r="E133" s="1">
        <v>0</v>
      </c>
      <c r="F133" s="1">
        <v>0</v>
      </c>
      <c r="G133" s="1">
        <v>0</v>
      </c>
      <c r="H133">
        <v>0</v>
      </c>
      <c r="I133" s="1">
        <v>0</v>
      </c>
    </row>
    <row r="134" spans="1:9" x14ac:dyDescent="0.25">
      <c r="A134">
        <v>-35.087985992431598</v>
      </c>
      <c r="B134">
        <v>16.729766507937601</v>
      </c>
      <c r="C134" s="1">
        <v>0</v>
      </c>
      <c r="D134" s="1">
        <v>0</v>
      </c>
      <c r="E134" s="1">
        <v>0</v>
      </c>
      <c r="F134" s="1">
        <v>0</v>
      </c>
      <c r="G134" s="1">
        <v>0</v>
      </c>
      <c r="H134">
        <v>0</v>
      </c>
      <c r="I134" s="1">
        <v>0</v>
      </c>
    </row>
    <row r="135" spans="1:9" x14ac:dyDescent="0.25">
      <c r="A135">
        <v>-31.270802021026601</v>
      </c>
      <c r="B135">
        <v>16.729766507937601</v>
      </c>
      <c r="C135" s="1">
        <v>0</v>
      </c>
      <c r="D135" s="1">
        <v>0</v>
      </c>
      <c r="E135" s="1">
        <v>0</v>
      </c>
      <c r="F135" s="1">
        <v>0</v>
      </c>
      <c r="G135" s="1">
        <v>0</v>
      </c>
      <c r="H135">
        <v>0</v>
      </c>
      <c r="I135" s="1">
        <v>0</v>
      </c>
    </row>
    <row r="136" spans="1:9" x14ac:dyDescent="0.25">
      <c r="A136">
        <v>-27.7686667442321</v>
      </c>
      <c r="B136">
        <v>16.729766507937601</v>
      </c>
      <c r="C136" s="1">
        <v>0</v>
      </c>
      <c r="D136" s="1">
        <v>0</v>
      </c>
      <c r="E136" s="1">
        <v>0</v>
      </c>
      <c r="F136" s="1">
        <v>0</v>
      </c>
      <c r="G136" s="1">
        <v>0</v>
      </c>
      <c r="H136">
        <v>0</v>
      </c>
      <c r="I136" s="1">
        <v>0</v>
      </c>
    </row>
    <row r="137" spans="1:9" x14ac:dyDescent="0.25">
      <c r="A137">
        <v>-24.555802345275801</v>
      </c>
      <c r="B137">
        <v>16.729766507937601</v>
      </c>
      <c r="C137" s="1">
        <v>0</v>
      </c>
      <c r="D137" s="1">
        <v>0</v>
      </c>
      <c r="E137" s="1">
        <v>0</v>
      </c>
      <c r="F137" s="1">
        <v>0</v>
      </c>
      <c r="G137" s="1">
        <v>0</v>
      </c>
      <c r="H137">
        <v>0</v>
      </c>
      <c r="I137" s="1">
        <v>0</v>
      </c>
    </row>
    <row r="138" spans="1:9" x14ac:dyDescent="0.25">
      <c r="A138">
        <v>-21.608254909515299</v>
      </c>
      <c r="B138">
        <v>16.729766507937601</v>
      </c>
      <c r="C138" s="1">
        <v>0</v>
      </c>
      <c r="D138" s="1">
        <v>0</v>
      </c>
      <c r="E138" s="1">
        <v>0</v>
      </c>
      <c r="F138" s="1">
        <v>0</v>
      </c>
      <c r="G138" s="1">
        <v>0</v>
      </c>
      <c r="H138">
        <v>0</v>
      </c>
      <c r="I138" s="1">
        <v>0</v>
      </c>
    </row>
    <row r="139" spans="1:9" x14ac:dyDescent="0.25">
      <c r="A139">
        <v>-18.904016017913801</v>
      </c>
      <c r="B139">
        <v>16.729766507937601</v>
      </c>
      <c r="C139" s="1">
        <v>0</v>
      </c>
      <c r="D139" s="1">
        <v>0</v>
      </c>
      <c r="E139" s="1">
        <v>0</v>
      </c>
      <c r="F139" s="1">
        <v>0</v>
      </c>
      <c r="G139" s="1">
        <v>0</v>
      </c>
      <c r="H139">
        <v>0</v>
      </c>
      <c r="I139" s="1">
        <v>0</v>
      </c>
    </row>
    <row r="140" spans="1:9" x14ac:dyDescent="0.25">
      <c r="A140">
        <v>-16.423144340515101</v>
      </c>
      <c r="B140">
        <v>16.729766507937601</v>
      </c>
      <c r="C140" s="1">
        <v>0</v>
      </c>
      <c r="D140" s="1">
        <v>0</v>
      </c>
      <c r="E140" s="1">
        <v>0</v>
      </c>
      <c r="F140" s="1">
        <v>0</v>
      </c>
      <c r="G140" s="1">
        <v>0</v>
      </c>
      <c r="H140">
        <v>0</v>
      </c>
      <c r="I140" s="1">
        <v>0</v>
      </c>
    </row>
    <row r="141" spans="1:9" x14ac:dyDescent="0.25">
      <c r="A141">
        <v>-14.147036075592</v>
      </c>
      <c r="B141">
        <v>16.729766507937601</v>
      </c>
      <c r="C141" s="1">
        <v>0</v>
      </c>
      <c r="D141" s="1">
        <v>0</v>
      </c>
      <c r="E141" s="1">
        <v>0</v>
      </c>
      <c r="F141" s="1">
        <v>0</v>
      </c>
      <c r="G141" s="1">
        <v>0</v>
      </c>
      <c r="H141">
        <v>0</v>
      </c>
      <c r="I141" s="1">
        <v>0</v>
      </c>
    </row>
    <row r="142" spans="1:9" x14ac:dyDescent="0.25">
      <c r="A142">
        <v>-12.058911323547299</v>
      </c>
      <c r="B142">
        <v>16.729766507937601</v>
      </c>
      <c r="C142" s="1">
        <v>0</v>
      </c>
      <c r="D142" s="1">
        <v>0</v>
      </c>
      <c r="E142" s="1">
        <v>0</v>
      </c>
      <c r="F142" s="1">
        <v>0</v>
      </c>
      <c r="G142" s="1">
        <v>0</v>
      </c>
      <c r="H142">
        <v>0</v>
      </c>
      <c r="I142" s="1">
        <v>0</v>
      </c>
    </row>
    <row r="143" spans="1:9" x14ac:dyDescent="0.25">
      <c r="A143">
        <v>-10.143084526061999</v>
      </c>
      <c r="B143">
        <v>16.729766507937601</v>
      </c>
      <c r="C143" s="1">
        <v>0</v>
      </c>
      <c r="D143" s="1">
        <v>0</v>
      </c>
      <c r="E143" s="1">
        <v>0</v>
      </c>
      <c r="F143" s="1">
        <v>0</v>
      </c>
      <c r="G143" s="1">
        <v>0</v>
      </c>
      <c r="H143">
        <v>0</v>
      </c>
      <c r="I143" s="1">
        <v>0</v>
      </c>
    </row>
    <row r="144" spans="1:9" x14ac:dyDescent="0.25">
      <c r="A144">
        <v>-8.3855724334716708</v>
      </c>
      <c r="B144">
        <v>16.729766507937601</v>
      </c>
      <c r="C144" s="1">
        <v>0</v>
      </c>
      <c r="D144" s="1">
        <v>0</v>
      </c>
      <c r="E144" s="1">
        <v>0</v>
      </c>
      <c r="F144" s="1">
        <v>0</v>
      </c>
      <c r="G144" s="1">
        <v>0</v>
      </c>
      <c r="H144">
        <v>0</v>
      </c>
      <c r="I144" s="1">
        <v>0</v>
      </c>
    </row>
    <row r="145" spans="1:9" x14ac:dyDescent="0.25">
      <c r="A145">
        <v>-6.7732429504394496</v>
      </c>
      <c r="B145">
        <v>16.729766507937601</v>
      </c>
      <c r="C145" s="1">
        <v>0</v>
      </c>
      <c r="D145" s="1">
        <v>0</v>
      </c>
      <c r="E145" s="1">
        <v>0</v>
      </c>
      <c r="F145" s="1">
        <v>0</v>
      </c>
      <c r="G145" s="1">
        <v>0</v>
      </c>
      <c r="H145">
        <v>0</v>
      </c>
      <c r="I145" s="1">
        <v>0</v>
      </c>
    </row>
    <row r="146" spans="1:9" x14ac:dyDescent="0.25">
      <c r="A146">
        <v>-5.2939367294311497</v>
      </c>
      <c r="B146">
        <v>16.729766507937601</v>
      </c>
      <c r="C146" s="1">
        <v>0</v>
      </c>
      <c r="D146" s="1">
        <v>0</v>
      </c>
      <c r="E146" s="1">
        <v>0</v>
      </c>
      <c r="F146" s="1">
        <v>0</v>
      </c>
      <c r="G146" s="1">
        <v>0</v>
      </c>
      <c r="H146">
        <v>0</v>
      </c>
      <c r="I146" s="1">
        <v>0</v>
      </c>
    </row>
    <row r="147" spans="1:9" x14ac:dyDescent="0.25">
      <c r="A147">
        <v>-3.9367103576660099</v>
      </c>
      <c r="B147">
        <v>16.729766507937601</v>
      </c>
      <c r="C147" s="1">
        <v>0</v>
      </c>
      <c r="D147" s="1">
        <v>0</v>
      </c>
      <c r="E147" s="1">
        <v>0</v>
      </c>
      <c r="F147" s="1">
        <v>0</v>
      </c>
      <c r="G147" s="1">
        <v>0</v>
      </c>
      <c r="H147">
        <v>0</v>
      </c>
      <c r="I147" s="1">
        <v>0</v>
      </c>
    </row>
    <row r="148" spans="1:9" x14ac:dyDescent="0.25">
      <c r="A148">
        <v>-2.6915931701660099</v>
      </c>
      <c r="B148">
        <v>16.729766507937601</v>
      </c>
      <c r="C148" s="1">
        <v>0</v>
      </c>
      <c r="D148" s="1">
        <v>0</v>
      </c>
      <c r="E148" s="1">
        <v>0</v>
      </c>
      <c r="F148" s="1">
        <v>0</v>
      </c>
      <c r="G148" s="1">
        <v>0</v>
      </c>
      <c r="H148">
        <v>0</v>
      </c>
      <c r="I148" s="1">
        <v>0</v>
      </c>
    </row>
    <row r="149" spans="1:9" x14ac:dyDescent="0.25">
      <c r="A149">
        <v>-1.54934406280517</v>
      </c>
      <c r="B149">
        <v>16.729766507937601</v>
      </c>
      <c r="C149" s="1">
        <v>0</v>
      </c>
      <c r="D149" s="1">
        <v>0</v>
      </c>
      <c r="E149" s="1">
        <v>0</v>
      </c>
      <c r="F149" s="1">
        <v>0</v>
      </c>
      <c r="G149" s="1">
        <v>0</v>
      </c>
      <c r="H149">
        <v>0</v>
      </c>
      <c r="I149" s="1">
        <v>0</v>
      </c>
    </row>
    <row r="150" spans="1:9" x14ac:dyDescent="0.25">
      <c r="A150">
        <v>-0.50145149230956998</v>
      </c>
      <c r="B150">
        <v>16.729766507937601</v>
      </c>
      <c r="C150" s="1">
        <v>0</v>
      </c>
      <c r="D150" s="1">
        <v>0</v>
      </c>
      <c r="E150" s="1">
        <v>0</v>
      </c>
      <c r="F150" s="1">
        <v>0</v>
      </c>
      <c r="G150" s="1">
        <v>0</v>
      </c>
      <c r="H150">
        <v>0</v>
      </c>
      <c r="I150" s="1">
        <v>0</v>
      </c>
    </row>
    <row r="151" spans="1:9" x14ac:dyDescent="0.25">
      <c r="A151">
        <v>0.49999237060546797</v>
      </c>
      <c r="B151">
        <v>0.354547380774351</v>
      </c>
      <c r="C151" s="1">
        <v>6.7755249912083997</v>
      </c>
      <c r="D151" s="1">
        <v>0.42266685890788402</v>
      </c>
      <c r="E151" s="1">
        <v>-6.5877661610462405E-4</v>
      </c>
      <c r="F151" s="1">
        <v>-1.4882340546530301E-4</v>
      </c>
      <c r="G151" s="1">
        <v>1.40020866866232E-2</v>
      </c>
      <c r="H151">
        <v>0.20083682097291999</v>
      </c>
      <c r="I151" s="1">
        <v>7.7307391611606796E-7</v>
      </c>
    </row>
    <row r="152" spans="1:9" x14ac:dyDescent="0.25">
      <c r="A152">
        <v>1.54496669769287</v>
      </c>
      <c r="B152">
        <v>1.09449892726454</v>
      </c>
      <c r="C152" s="1">
        <v>6.8041606554167</v>
      </c>
      <c r="D152" s="1">
        <v>1.3229332488024601</v>
      </c>
      <c r="E152" s="1">
        <v>-5.2117963084017203E-3</v>
      </c>
      <c r="F152" s="1">
        <v>-4.6224471088067599E-4</v>
      </c>
      <c r="G152" s="1">
        <v>3.4043594436325597E-2</v>
      </c>
      <c r="H152">
        <v>0.66782751427597697</v>
      </c>
      <c r="I152" s="1">
        <v>3.5865719088251797E-5</v>
      </c>
    </row>
    <row r="153" spans="1:9" x14ac:dyDescent="0.25">
      <c r="A153">
        <v>2.6840543746948198</v>
      </c>
      <c r="B153">
        <v>1.89274303179893</v>
      </c>
      <c r="C153" s="1">
        <v>6.8854312204750299</v>
      </c>
      <c r="D153" s="1">
        <v>2.3465192488529798</v>
      </c>
      <c r="E153" s="1">
        <v>-1.9106190081112501E-2</v>
      </c>
      <c r="F153" s="1">
        <v>-8.11500285897744E-4</v>
      </c>
      <c r="G153" s="1">
        <v>6.4125527579132202E-2</v>
      </c>
      <c r="H153">
        <v>0.81834758581511902</v>
      </c>
      <c r="I153" s="1">
        <v>2.2595656484299801E-4</v>
      </c>
    </row>
    <row r="154" spans="1:9" x14ac:dyDescent="0.25">
      <c r="A154">
        <v>3.9255237579345699</v>
      </c>
      <c r="B154">
        <v>2.7434847013345598</v>
      </c>
      <c r="C154" s="1">
        <v>7.0577923232576696</v>
      </c>
      <c r="D154" s="1">
        <v>3.5077217608395501</v>
      </c>
      <c r="E154" s="1">
        <v>-4.6463799153771503E-2</v>
      </c>
      <c r="F154" s="1">
        <v>-1.1979598875502301E-3</v>
      </c>
      <c r="G154" s="1">
        <v>9.26446571467478E-2</v>
      </c>
      <c r="H154">
        <v>0.86661642503439695</v>
      </c>
      <c r="I154" s="1">
        <v>6.0300010345123599E-4</v>
      </c>
    </row>
    <row r="155" spans="1:9" x14ac:dyDescent="0.25">
      <c r="A155">
        <v>5.2789807319641104</v>
      </c>
      <c r="B155">
        <v>3.6343178485772301</v>
      </c>
      <c r="C155" s="1">
        <v>7.34688216801114</v>
      </c>
      <c r="D155" s="1">
        <v>4.7698749200245398</v>
      </c>
      <c r="E155" s="1">
        <v>-9.1380110696329397E-2</v>
      </c>
      <c r="F155" s="1">
        <v>-1.6020280524445E-3</v>
      </c>
      <c r="G155" s="1">
        <v>0.111319942046048</v>
      </c>
      <c r="H155">
        <v>0.87818311265518401</v>
      </c>
      <c r="I155" s="1">
        <v>1.2956796288760601E-3</v>
      </c>
    </row>
    <row r="156" spans="1:9" x14ac:dyDescent="0.25">
      <c r="A156">
        <v>6.7539703845977703</v>
      </c>
      <c r="B156">
        <v>4.5453120679846704</v>
      </c>
      <c r="C156" s="1">
        <v>7.7346115322449602</v>
      </c>
      <c r="D156" s="1">
        <v>6.0247867886652697</v>
      </c>
      <c r="E156" s="1">
        <v>-0.15528337113312099</v>
      </c>
      <c r="F156" s="1">
        <v>-1.9781120352333399E-3</v>
      </c>
      <c r="G156" s="1">
        <v>0.118786147235822</v>
      </c>
      <c r="H156">
        <v>0.87127617403865998</v>
      </c>
      <c r="I156" s="1">
        <v>2.8742414923367998E-3</v>
      </c>
    </row>
    <row r="157" spans="1:9" x14ac:dyDescent="0.25">
      <c r="A157">
        <v>8.3618009090423495</v>
      </c>
      <c r="B157">
        <v>5.4506542806765701</v>
      </c>
      <c r="C157" s="1">
        <v>8.1497187150602208</v>
      </c>
      <c r="D157" s="1">
        <v>7.1172699414757403</v>
      </c>
      <c r="E157" s="1">
        <v>-0.235217507947209</v>
      </c>
      <c r="F157" s="1">
        <v>-2.27300921699669E-3</v>
      </c>
      <c r="G157" s="1">
        <v>0.11969122624421</v>
      </c>
      <c r="H157">
        <v>0.85359574963503204</v>
      </c>
      <c r="I157" s="1">
        <v>6.1354271736917603E-3</v>
      </c>
    </row>
    <row r="158" spans="1:9" x14ac:dyDescent="0.25">
      <c r="A158">
        <v>10.114449262619001</v>
      </c>
      <c r="B158">
        <v>6.3231737121260396</v>
      </c>
      <c r="C158" s="1">
        <v>8.4955914415401601</v>
      </c>
      <c r="D158" s="1">
        <v>7.9113177023841503</v>
      </c>
      <c r="E158" s="1">
        <v>-0.32431839970201298</v>
      </c>
      <c r="F158" s="1">
        <v>-2.4535892219216902E-3</v>
      </c>
      <c r="G158" s="1">
        <v>0.11947769449626899</v>
      </c>
      <c r="H158">
        <v>0.83065608565430504</v>
      </c>
      <c r="I158" s="1">
        <v>1.01041401383132E-2</v>
      </c>
    </row>
    <row r="159" spans="1:9" x14ac:dyDescent="0.25">
      <c r="A159">
        <v>12.0248043537139</v>
      </c>
      <c r="B159">
        <v>7.1401908423072404</v>
      </c>
      <c r="C159">
        <v>8.6954338716266601</v>
      </c>
      <c r="D159" s="1">
        <v>8.3462572102795995</v>
      </c>
      <c r="E159" s="1">
        <v>-0.41456242253819298</v>
      </c>
      <c r="F159" s="1">
        <v>-2.5204396665626399E-3</v>
      </c>
      <c r="G159" s="1">
        <v>0.120009816067807</v>
      </c>
      <c r="H159">
        <v>0.80620687718337802</v>
      </c>
      <c r="I159" s="1">
        <v>1.1602860051623001E-2</v>
      </c>
    </row>
    <row r="160" spans="1:9" x14ac:dyDescent="0.25">
      <c r="A160">
        <v>14.106971025466899</v>
      </c>
      <c r="B160">
        <v>7.8876134244045897</v>
      </c>
      <c r="C160">
        <v>8.7182315484905804</v>
      </c>
      <c r="D160" s="1">
        <v>8.4423388998436497</v>
      </c>
      <c r="E160" s="1">
        <v>-0.49949884639733899</v>
      </c>
      <c r="F160" s="1">
        <v>-2.4976749888036402E-3</v>
      </c>
      <c r="G160" s="1">
        <v>0.120130939217093</v>
      </c>
      <c r="H160">
        <v>0.78166524841198903</v>
      </c>
      <c r="I160" s="1">
        <v>8.9691965060353408E-3</v>
      </c>
    </row>
    <row r="161" spans="1:9" x14ac:dyDescent="0.25">
      <c r="A161">
        <v>16.3765740394592</v>
      </c>
      <c r="B161">
        <v>8.5604234476825898</v>
      </c>
      <c r="C161">
        <v>8.5742046467246809</v>
      </c>
      <c r="D161" s="1">
        <v>8.2681605202106301</v>
      </c>
      <c r="E161" s="1">
        <v>-0.57532158006714695</v>
      </c>
      <c r="F161" s="1">
        <v>-2.41183034088846E-3</v>
      </c>
      <c r="G161" s="1">
        <v>0.11839491216570699</v>
      </c>
      <c r="H161">
        <v>0.75709727175596198</v>
      </c>
      <c r="I161" s="1">
        <v>3.5457684244506399E-3</v>
      </c>
    </row>
    <row r="162" spans="1:9" x14ac:dyDescent="0.25">
      <c r="A162">
        <v>18.850514888763399</v>
      </c>
      <c r="B162">
        <v>9.1604433133518999</v>
      </c>
      <c r="C162">
        <v>8.2959970507885004</v>
      </c>
      <c r="D162">
        <v>7.9045897183856004</v>
      </c>
      <c r="E162">
        <v>-0.64057388117883496</v>
      </c>
      <c r="F162" s="1">
        <v>-2.2901966868384802E-3</v>
      </c>
      <c r="G162">
        <v>0.114404127506279</v>
      </c>
      <c r="H162">
        <v>0.73235933756804295</v>
      </c>
      <c r="I162" s="1">
        <v>-2.4258445495222302E-3</v>
      </c>
    </row>
    <row r="163" spans="1:9" x14ac:dyDescent="0.25">
      <c r="A163">
        <v>21.5470933914184</v>
      </c>
      <c r="B163">
        <v>9.69344305929455</v>
      </c>
      <c r="C163">
        <v>7.9223353328297499</v>
      </c>
      <c r="D163">
        <v>7.4236148826615</v>
      </c>
      <c r="E163">
        <v>-0.69534359655185196</v>
      </c>
      <c r="F163">
        <v>-2.1592009593476699E-3</v>
      </c>
      <c r="G163">
        <v>0.108615572490924</v>
      </c>
      <c r="H163">
        <v>0.70751981192764901</v>
      </c>
      <c r="I163" s="1">
        <v>-7.5206584886070302E-3</v>
      </c>
    </row>
    <row r="164" spans="1:9" x14ac:dyDescent="0.25">
      <c r="A164">
        <v>24.4862508773803</v>
      </c>
      <c r="B164">
        <v>10.166888999871</v>
      </c>
      <c r="C164">
        <v>7.4890921816493501</v>
      </c>
      <c r="D164">
        <v>6.8812017309414903</v>
      </c>
      <c r="E164">
        <v>-0.74052325793442497</v>
      </c>
      <c r="F164">
        <v>-2.0431253322700099E-3</v>
      </c>
      <c r="G164">
        <v>0.10174209759599</v>
      </c>
      <c r="H164">
        <v>0.68285377278947801</v>
      </c>
      <c r="I164">
        <v>-1.12766751068366E-2</v>
      </c>
    </row>
    <row r="165" spans="1:9" x14ac:dyDescent="0.25">
      <c r="A165">
        <v>27.690056562423699</v>
      </c>
      <c r="B165">
        <v>10.588603566332701</v>
      </c>
      <c r="C165">
        <v>7.0259416876708896</v>
      </c>
      <c r="D165">
        <v>6.3177717648489198</v>
      </c>
      <c r="E165">
        <v>-0.77732517630676001</v>
      </c>
      <c r="F165">
        <v>-1.9632377879861898E-3</v>
      </c>
      <c r="G165">
        <v>9.4375989167197499E-2</v>
      </c>
      <c r="H165">
        <v>0.65875085965561098</v>
      </c>
      <c r="I165">
        <v>-1.37416429991697E-2</v>
      </c>
    </row>
    <row r="166" spans="1:9" x14ac:dyDescent="0.25">
      <c r="A166">
        <v>31.182160377502399</v>
      </c>
      <c r="B166">
        <v>10.966091517477301</v>
      </c>
      <c r="C166">
        <v>6.5557964844500001</v>
      </c>
      <c r="D166">
        <v>5.7610636307875396</v>
      </c>
      <c r="E166">
        <v>-0.80701904515603695</v>
      </c>
      <c r="F166">
        <v>-1.9388040031514801E-3</v>
      </c>
      <c r="G166">
        <v>8.6884804958585096E-2</v>
      </c>
      <c r="H166">
        <v>0.635617026623017</v>
      </c>
      <c r="I166" s="1">
        <v>-1.51168060739035E-2</v>
      </c>
    </row>
    <row r="167" spans="1:9" x14ac:dyDescent="0.25">
      <c r="A167">
        <v>34.988522529602001</v>
      </c>
      <c r="B167">
        <v>11.306217883179899</v>
      </c>
      <c r="C167">
        <v>6.0952680524399998</v>
      </c>
      <c r="D167">
        <v>5.2291612094978799</v>
      </c>
      <c r="E167">
        <v>-0.83079007818029105</v>
      </c>
      <c r="F167">
        <v>-1.9650127110995498E-3</v>
      </c>
      <c r="G167">
        <v>7.9459510890200605E-2</v>
      </c>
      <c r="H167">
        <v>0.61381472770421597</v>
      </c>
      <c r="I167">
        <v>-1.5612554665170199E-2</v>
      </c>
    </row>
    <row r="168" spans="1:9" x14ac:dyDescent="0.25">
      <c r="A168">
        <v>39.137535095214801</v>
      </c>
      <c r="B168">
        <v>11.6150808279654</v>
      </c>
      <c r="C168">
        <v>5.6556388423849704</v>
      </c>
      <c r="D168">
        <v>4.73311361846386</v>
      </c>
      <c r="E168">
        <v>-0.84965676408428104</v>
      </c>
      <c r="F168">
        <v>-2.0287379248672098E-3</v>
      </c>
      <c r="G168">
        <v>7.2199623506234795E-2</v>
      </c>
      <c r="H168">
        <v>0.59361139195194301</v>
      </c>
      <c r="I168">
        <v>-1.5420220731382999E-2</v>
      </c>
    </row>
    <row r="169" spans="1:9" x14ac:dyDescent="0.25">
      <c r="A169">
        <v>43.659839630126903</v>
      </c>
      <c r="B169">
        <v>11.897998836196001</v>
      </c>
      <c r="C169">
        <v>5.2440046872561599</v>
      </c>
      <c r="D169">
        <v>4.2790123302297598</v>
      </c>
      <c r="E169">
        <v>-0.86444822445106095</v>
      </c>
      <c r="F169" s="1">
        <v>-2.1375984078669799E-3</v>
      </c>
      <c r="G169">
        <v>6.5178133679452896E-2</v>
      </c>
      <c r="H169">
        <v>0.57515527288411405</v>
      </c>
      <c r="I169">
        <v>-1.4716340475628101E-2</v>
      </c>
    </row>
    <row r="170" spans="1:9" x14ac:dyDescent="0.25">
      <c r="A170">
        <v>48.589299917220998</v>
      </c>
      <c r="B170">
        <v>12.1595390395513</v>
      </c>
      <c r="C170">
        <v>4.8642101967435503</v>
      </c>
      <c r="D170">
        <v>3.8693758014156701</v>
      </c>
      <c r="E170">
        <v>-0.87581584373495003</v>
      </c>
      <c r="F170">
        <v>-2.2776556058896101E-3</v>
      </c>
      <c r="G170">
        <v>5.8472789146371697E-2</v>
      </c>
      <c r="H170">
        <v>0.55843528470664505</v>
      </c>
      <c r="I170">
        <v>-1.3670426964895401E-2</v>
      </c>
    </row>
    <row r="171" spans="1:9" x14ac:dyDescent="0.25">
      <c r="A171">
        <v>53.962393999099703</v>
      </c>
      <c r="B171">
        <v>12.403575220915499</v>
      </c>
      <c r="C171">
        <v>4.5177173719265102</v>
      </c>
      <c r="D171">
        <v>3.5042679899189801</v>
      </c>
      <c r="E171">
        <v>-0.88426776363265003</v>
      </c>
      <c r="F171">
        <v>-2.4369743113222802E-3</v>
      </c>
      <c r="G171">
        <v>5.2177218375712701E-2</v>
      </c>
      <c r="H171">
        <v>0.54334761966479195</v>
      </c>
      <c r="I171">
        <v>-1.24421771988184E-2</v>
      </c>
    </row>
    <row r="172" spans="1:9" x14ac:dyDescent="0.25">
      <c r="A172">
        <v>59.819004535674999</v>
      </c>
      <c r="B172">
        <v>12.633392693500101</v>
      </c>
      <c r="C172">
        <v>4.2043144253730098</v>
      </c>
      <c r="D172">
        <v>3.18206365192394</v>
      </c>
      <c r="E172">
        <v>-0.89019946872583799</v>
      </c>
      <c r="F172">
        <v>-2.6515876137251501E-3</v>
      </c>
      <c r="G172">
        <v>4.6376761591142297E-2</v>
      </c>
      <c r="H172">
        <v>0.52973793233868705</v>
      </c>
      <c r="I172">
        <v>-1.11646297942424E-2</v>
      </c>
    </row>
    <row r="173" spans="1:9" x14ac:dyDescent="0.25">
      <c r="A173">
        <v>66.2026619911193</v>
      </c>
      <c r="B173">
        <v>12.8517992501399</v>
      </c>
      <c r="C173">
        <v>3.9224616052121499</v>
      </c>
      <c r="D173">
        <v>2.8997497601229898</v>
      </c>
      <c r="E173">
        <v>-0.89394557966820998</v>
      </c>
      <c r="F173" s="1">
        <v>-2.88273484389277E-3</v>
      </c>
      <c r="G173">
        <v>4.1126490861041802E-2</v>
      </c>
      <c r="H173">
        <v>0.51744822913940303</v>
      </c>
      <c r="I173">
        <v>-9.9299705368910696E-3</v>
      </c>
    </row>
    <row r="174" spans="1:9" x14ac:dyDescent="0.25">
      <c r="A174">
        <v>73.160848617553697</v>
      </c>
      <c r="B174">
        <v>13.0611865395</v>
      </c>
      <c r="C174">
        <v>3.6698762340653501</v>
      </c>
      <c r="D174">
        <v>2.6535723593619802</v>
      </c>
      <c r="E174">
        <v>-0.89578973981935395</v>
      </c>
      <c r="F174">
        <v>-3.0943767282219999E-3</v>
      </c>
      <c r="G174">
        <v>3.6443238579975001E-2</v>
      </c>
      <c r="H174">
        <v>0.50620973979431605</v>
      </c>
      <c r="I174">
        <v>-8.7937610546880603E-3</v>
      </c>
    </row>
    <row r="175" spans="1:9" x14ac:dyDescent="0.25">
      <c r="A175">
        <v>80.745424032211304</v>
      </c>
      <c r="B175">
        <v>13.2635766040785</v>
      </c>
      <c r="C175">
        <v>3.4438422812161402</v>
      </c>
      <c r="D175">
        <v>2.43940124714711</v>
      </c>
      <c r="E175">
        <v>-0.89598176189602896</v>
      </c>
      <c r="F175">
        <v>-3.2831436580253999E-3</v>
      </c>
      <c r="G175">
        <v>3.2314270084921201E-2</v>
      </c>
      <c r="H175">
        <v>0.49582409322768101</v>
      </c>
      <c r="I175">
        <v>-7.7840832964569196E-3</v>
      </c>
    </row>
    <row r="176" spans="1:9" x14ac:dyDescent="0.25">
      <c r="A176">
        <v>89.012442827224703</v>
      </c>
      <c r="B176">
        <v>13.460659650179601</v>
      </c>
      <c r="C176">
        <v>3.2412177560903301</v>
      </c>
      <c r="D176">
        <v>2.2530033373744001</v>
      </c>
      <c r="E176">
        <v>-0.89470961114036296</v>
      </c>
      <c r="F176">
        <v>-3.45151050715412E-3</v>
      </c>
      <c r="G176">
        <v>2.8698660468526802E-2</v>
      </c>
      <c r="H176">
        <v>0.48612623368964197</v>
      </c>
      <c r="I176">
        <v>-6.9017114982430402E-3</v>
      </c>
    </row>
    <row r="177" spans="1:9" x14ac:dyDescent="0.25">
      <c r="A177">
        <v>98.0235528945922</v>
      </c>
      <c r="B177">
        <v>13.653885100527701</v>
      </c>
      <c r="C177">
        <v>3.0589980437453401</v>
      </c>
      <c r="D177">
        <v>2.0903891063464402</v>
      </c>
      <c r="E177">
        <v>-0.89209772429871703</v>
      </c>
      <c r="F177">
        <v>-3.5375008333678199E-3</v>
      </c>
      <c r="G177">
        <v>2.5546891000131602E-2</v>
      </c>
      <c r="H177">
        <v>0.47692513901251898</v>
      </c>
      <c r="I177">
        <v>-6.13989268129486E-3</v>
      </c>
    </row>
    <row r="178" spans="1:9" x14ac:dyDescent="0.25">
      <c r="A178">
        <v>107.845630645751</v>
      </c>
      <c r="B178">
        <v>13.844528703416699</v>
      </c>
      <c r="C178">
        <v>2.8944814234263099</v>
      </c>
      <c r="D178">
        <v>1.94791242990655</v>
      </c>
      <c r="E178">
        <v>-0.88820349295011902</v>
      </c>
      <c r="F178">
        <v>-3.4973466103503299E-3</v>
      </c>
      <c r="G178">
        <v>2.2805421304708799E-2</v>
      </c>
      <c r="H178">
        <v>0.46815486557475999</v>
      </c>
      <c r="I178">
        <v>-5.4842870047546203E-3</v>
      </c>
    </row>
    <row r="179" spans="1:9" x14ac:dyDescent="0.25">
      <c r="A179">
        <v>118.551753759384</v>
      </c>
      <c r="B179">
        <v>14.033804830933899</v>
      </c>
      <c r="C179">
        <v>2.7454364951171502</v>
      </c>
      <c r="D179">
        <v>1.82239015040689</v>
      </c>
      <c r="E179">
        <v>-0.88300956590931001</v>
      </c>
      <c r="F179">
        <v>-3.4387029834529099E-3</v>
      </c>
      <c r="G179">
        <v>2.0423628842150598E-2</v>
      </c>
      <c r="H179">
        <v>0.459695221902367</v>
      </c>
      <c r="I179">
        <v>-4.9211851563196202E-3</v>
      </c>
    </row>
    <row r="180" spans="1:9" x14ac:dyDescent="0.25">
      <c r="A180">
        <v>130.22150516510001</v>
      </c>
      <c r="B180">
        <v>14.222884352251</v>
      </c>
      <c r="C180">
        <v>2.6098610566871301</v>
      </c>
      <c r="D180">
        <v>1.71135699991219</v>
      </c>
      <c r="E180">
        <v>-0.87659299851999395</v>
      </c>
      <c r="F180">
        <v>-3.37273252276088E-3</v>
      </c>
      <c r="G180">
        <v>1.83551122690878E-2</v>
      </c>
      <c r="H180">
        <v>0.45150206197307902</v>
      </c>
      <c r="I180">
        <v>-4.4375764024283297E-3</v>
      </c>
    </row>
    <row r="181" spans="1:9" x14ac:dyDescent="0.25">
      <c r="A181">
        <v>142.941337823867</v>
      </c>
      <c r="B181">
        <v>14.4127698578192</v>
      </c>
      <c r="C181">
        <v>2.4858974366179201</v>
      </c>
      <c r="D181">
        <v>1.6128541863808801</v>
      </c>
      <c r="E181">
        <v>-0.86883413118200903</v>
      </c>
      <c r="F181">
        <v>-3.1712922821467201E-3</v>
      </c>
      <c r="G181">
        <v>1.65602248859558E-2</v>
      </c>
      <c r="H181">
        <v>0.44357599683309801</v>
      </c>
      <c r="I181">
        <v>-4.0218524107873002E-3</v>
      </c>
    </row>
    <row r="182" spans="1:9" x14ac:dyDescent="0.25">
      <c r="A182">
        <v>156.806094646453</v>
      </c>
      <c r="B182">
        <v>14.6045145228757</v>
      </c>
      <c r="C182">
        <v>2.3721449281657798</v>
      </c>
      <c r="D182">
        <v>1.5247414350753801</v>
      </c>
      <c r="E182">
        <v>-0.85988746769982805</v>
      </c>
      <c r="F182">
        <v>-2.85849043615161E-3</v>
      </c>
      <c r="G182">
        <v>1.49935142943366E-2</v>
      </c>
      <c r="H182">
        <v>0.43546014898104402</v>
      </c>
      <c r="I182">
        <v>-3.65777250301055E-3</v>
      </c>
    </row>
    <row r="183" spans="1:9" x14ac:dyDescent="0.25">
      <c r="A183">
        <v>171.91864371299701</v>
      </c>
      <c r="B183">
        <v>14.799057201041901</v>
      </c>
      <c r="C183">
        <v>2.2690142272293401</v>
      </c>
      <c r="D183">
        <v>1.4460022684705001</v>
      </c>
      <c r="E183">
        <v>-0.84945183580654904</v>
      </c>
      <c r="F183">
        <v>-2.5723634135623799E-3</v>
      </c>
      <c r="G183">
        <v>1.36264403200079E-2</v>
      </c>
      <c r="H183">
        <v>0.42529358473952</v>
      </c>
      <c r="I183">
        <v>-3.3521092122136501E-3</v>
      </c>
    </row>
    <row r="184" spans="1:9" x14ac:dyDescent="0.25">
      <c r="A184">
        <v>187.726768255233</v>
      </c>
      <c r="B184">
        <v>14.9890182465567</v>
      </c>
      <c r="C184">
        <v>2.1776396367667701</v>
      </c>
      <c r="D184">
        <v>1.3778533674670099</v>
      </c>
      <c r="E184">
        <v>-0.83796913695055897</v>
      </c>
      <c r="F184" s="1">
        <v>-2.1345503293062401E-3</v>
      </c>
      <c r="G184">
        <v>1.2281430974777499E-2</v>
      </c>
      <c r="H184">
        <v>0.42754252700423101</v>
      </c>
      <c r="I184">
        <v>-2.95434427392658E-3</v>
      </c>
    </row>
    <row r="185" spans="1:9" x14ac:dyDescent="0.25">
      <c r="A185">
        <v>203.579578399658</v>
      </c>
      <c r="B185">
        <v>15.167625031086599</v>
      </c>
      <c r="C185">
        <v>2.0979629629341399</v>
      </c>
      <c r="D185">
        <v>1.31965610756442</v>
      </c>
      <c r="E185">
        <v>-0.82596836400618101</v>
      </c>
      <c r="F185">
        <v>-1.7665244744585599E-3</v>
      </c>
      <c r="G185">
        <v>1.1174774117644099E-2</v>
      </c>
      <c r="H185">
        <v>0.42837584675648799</v>
      </c>
      <c r="I185">
        <v>-2.6346266892608499E-3</v>
      </c>
    </row>
    <row r="186" spans="1:9" x14ac:dyDescent="0.25">
      <c r="A186">
        <v>219.43238854408199</v>
      </c>
      <c r="B186">
        <v>15.3359496991635</v>
      </c>
      <c r="C186">
        <v>2.0264272262701102</v>
      </c>
      <c r="D186">
        <v>1.2682575403033201</v>
      </c>
      <c r="E186">
        <v>-0.813662579885572</v>
      </c>
      <c r="F186">
        <v>-1.5404964223746599E-3</v>
      </c>
      <c r="G186">
        <v>1.02709099448327E-2</v>
      </c>
      <c r="H186">
        <v>0.42899790230455598</v>
      </c>
      <c r="I186">
        <v>-2.3789523569323501E-3</v>
      </c>
    </row>
    <row r="187" spans="1:9" x14ac:dyDescent="0.25">
      <c r="A187">
        <v>235.28525948524401</v>
      </c>
      <c r="B187">
        <v>15.495482984419899</v>
      </c>
      <c r="C187">
        <v>1.9613064069033299</v>
      </c>
      <c r="D187">
        <v>1.22237481269204</v>
      </c>
      <c r="E187">
        <v>-0.80088145325291404</v>
      </c>
      <c r="F187">
        <v>-1.4308713192306101E-3</v>
      </c>
      <c r="G187">
        <v>9.5107098408215504E-3</v>
      </c>
      <c r="H187">
        <v>0.42957368784505501</v>
      </c>
      <c r="I187">
        <v>-2.1666026506746202E-3</v>
      </c>
    </row>
    <row r="188" spans="1:9" x14ac:dyDescent="0.25">
      <c r="A188">
        <v>251.13806962966899</v>
      </c>
      <c r="B188">
        <v>15.647355288199201</v>
      </c>
      <c r="C188">
        <v>1.9009020316385501</v>
      </c>
      <c r="D188">
        <v>1.18096412948443</v>
      </c>
      <c r="E188">
        <v>-0.78775514542689495</v>
      </c>
      <c r="F188">
        <v>-1.4881875651638801E-3</v>
      </c>
      <c r="G188">
        <v>8.8518816887973896E-3</v>
      </c>
      <c r="H188">
        <v>0.43006457474973903</v>
      </c>
      <c r="I188">
        <v>-1.9844192408792699E-3</v>
      </c>
    </row>
    <row r="189" spans="1:9" x14ac:dyDescent="0.25">
      <c r="A189">
        <v>266.99081897735499</v>
      </c>
      <c r="B189">
        <v>15.792448556238799</v>
      </c>
      <c r="C189">
        <v>1.84449287840986</v>
      </c>
      <c r="D189">
        <v>1.14316789943624</v>
      </c>
      <c r="E189">
        <v>-0.77428928010824005</v>
      </c>
      <c r="F189">
        <v>-1.5669155273240901E-3</v>
      </c>
      <c r="G189">
        <v>8.2655826486275705E-3</v>
      </c>
      <c r="H189">
        <v>0.43033043420303302</v>
      </c>
      <c r="I189">
        <v>-1.8235596557148099E-3</v>
      </c>
    </row>
    <row r="190" spans="1:9" x14ac:dyDescent="0.25">
      <c r="A190">
        <v>282.84362912178</v>
      </c>
      <c r="B190">
        <v>15.931437252347401</v>
      </c>
      <c r="C190">
        <v>1.79113437050032</v>
      </c>
      <c r="D190">
        <v>1.10832385430615</v>
      </c>
      <c r="E190">
        <v>-0.76056524328049002</v>
      </c>
      <c r="F190">
        <v>-1.55532041225925E-3</v>
      </c>
      <c r="G190">
        <v>7.7400456574834298E-3</v>
      </c>
      <c r="H190">
        <v>0.43053507980801797</v>
      </c>
      <c r="I190">
        <v>-1.6810181403625901E-3</v>
      </c>
    </row>
    <row r="191" spans="1:9" x14ac:dyDescent="0.25">
      <c r="A191">
        <v>298.69643926620398</v>
      </c>
      <c r="B191">
        <v>16.0650973471366</v>
      </c>
      <c r="C191">
        <v>1.7399829356721099</v>
      </c>
      <c r="D191">
        <v>1.0755096032851601</v>
      </c>
      <c r="E191">
        <v>-0.74659238256482197</v>
      </c>
      <c r="F191">
        <v>-1.4073098808983901E-3</v>
      </c>
      <c r="G191">
        <v>7.2692064508533098E-3</v>
      </c>
      <c r="H191">
        <v>0.43102209489842203</v>
      </c>
      <c r="I191">
        <v>-1.5545728845071001E-3</v>
      </c>
    </row>
    <row r="192" spans="1:9" x14ac:dyDescent="0.25">
      <c r="A192">
        <v>314.54931020736598</v>
      </c>
      <c r="B192">
        <v>16.193968116575402</v>
      </c>
      <c r="C192">
        <v>1.69098312282394</v>
      </c>
      <c r="D192">
        <v>1.04408753149829</v>
      </c>
      <c r="E192">
        <v>-0.73243771377834999</v>
      </c>
      <c r="F192">
        <v>-1.2275353775405E-3</v>
      </c>
      <c r="G192">
        <v>6.8396968454317499E-3</v>
      </c>
      <c r="H192">
        <v>0.43141998691837702</v>
      </c>
      <c r="I192">
        <v>-1.4400397616254499E-3</v>
      </c>
    </row>
    <row r="193" spans="1:9" x14ac:dyDescent="0.25">
      <c r="A193">
        <v>330.40212035179098</v>
      </c>
      <c r="B193">
        <v>16.3182658106224</v>
      </c>
      <c r="C193">
        <v>1.6438717479115801</v>
      </c>
      <c r="D193">
        <v>1.01400682345852</v>
      </c>
      <c r="E193">
        <v>-0.718112022509933</v>
      </c>
      <c r="F193">
        <v>-1.1607655383633201E-3</v>
      </c>
      <c r="G193">
        <v>6.4454438873210503E-3</v>
      </c>
      <c r="H193">
        <v>0.43172137099598501</v>
      </c>
      <c r="I193">
        <v>-1.3363895173598101E-3</v>
      </c>
    </row>
    <row r="194" spans="1:9" x14ac:dyDescent="0.25">
      <c r="A194">
        <v>346.25493049621502</v>
      </c>
      <c r="B194">
        <v>16.438348169097001</v>
      </c>
      <c r="C194">
        <v>1.59827973317479</v>
      </c>
      <c r="D194">
        <v>0.98491882821853705</v>
      </c>
      <c r="E194">
        <v>-0.70355012688194196</v>
      </c>
      <c r="F194">
        <v>-1.20963275246767E-3</v>
      </c>
      <c r="G194">
        <v>6.0798215599923797E-3</v>
      </c>
      <c r="H194">
        <v>0.43201821792358303</v>
      </c>
      <c r="I194">
        <v>-1.24059236780816E-3</v>
      </c>
    </row>
    <row r="195" spans="1:9" x14ac:dyDescent="0.25">
      <c r="A195">
        <v>362.10780143737702</v>
      </c>
      <c r="B195">
        <v>16.554642201359499</v>
      </c>
      <c r="C195">
        <v>1.5539379320853199</v>
      </c>
      <c r="D195">
        <v>0.95669013886288801</v>
      </c>
      <c r="E195">
        <v>-0.68883627920867196</v>
      </c>
      <c r="F195">
        <v>-1.2388773668429701E-3</v>
      </c>
      <c r="G195">
        <v>5.7385178649305198E-3</v>
      </c>
      <c r="H195">
        <v>0.43225665406529101</v>
      </c>
      <c r="I195">
        <v>-1.152107566892E-3</v>
      </c>
    </row>
    <row r="196" spans="1:9" x14ac:dyDescent="0.25">
      <c r="A196">
        <v>377.96061158180203</v>
      </c>
      <c r="B196">
        <v>16.667371982202599</v>
      </c>
      <c r="C196">
        <v>1.5106247787373499</v>
      </c>
      <c r="D196">
        <v>0.929315606431523</v>
      </c>
      <c r="E196">
        <v>-0.67396634538380495</v>
      </c>
      <c r="F196" s="1">
        <v>-1.3748336832036701E-3</v>
      </c>
      <c r="G196">
        <v>5.4173982405316696E-3</v>
      </c>
      <c r="H196">
        <v>0.43240327245035698</v>
      </c>
      <c r="I196">
        <v>-1.06913677376338E-3</v>
      </c>
    </row>
    <row r="197" spans="1:9" x14ac:dyDescent="0.25">
      <c r="A197">
        <v>393.81348252296402</v>
      </c>
      <c r="B197">
        <v>16.776721050090099</v>
      </c>
      <c r="C197">
        <v>1.46805824763718</v>
      </c>
      <c r="D197">
        <v>0.90265894467355601</v>
      </c>
      <c r="E197">
        <v>-0.65895995172474897</v>
      </c>
      <c r="F197" s="1">
        <v>-1.55861820371938E-3</v>
      </c>
      <c r="G197">
        <v>5.1153046368338003E-3</v>
      </c>
      <c r="H197">
        <v>0.43260107770069001</v>
      </c>
      <c r="I197">
        <v>-9.9176075645495592E-4</v>
      </c>
    </row>
    <row r="198" spans="1:9" x14ac:dyDescent="0.25">
      <c r="A198">
        <v>409.66629266738801</v>
      </c>
      <c r="B198">
        <v>16.882839936913399</v>
      </c>
      <c r="C198">
        <v>1.4261325643184499</v>
      </c>
      <c r="D198">
        <v>0.87659275421119098</v>
      </c>
      <c r="E198">
        <v>-0.64380244370097395</v>
      </c>
      <c r="F198">
        <v>-1.6457304697758599E-3</v>
      </c>
      <c r="G198">
        <v>4.8295661617249403E-3</v>
      </c>
      <c r="H198">
        <v>0.43276435662242302</v>
      </c>
      <c r="I198">
        <v>-9.19038771204422E-4</v>
      </c>
    </row>
    <row r="199" spans="1:9" x14ac:dyDescent="0.25">
      <c r="A199">
        <v>425.519042015075</v>
      </c>
      <c r="B199">
        <v>16.9858231519135</v>
      </c>
      <c r="C199">
        <v>1.38487086321914</v>
      </c>
      <c r="D199">
        <v>0.85116654997738095</v>
      </c>
      <c r="E199">
        <v>-0.628548106584497</v>
      </c>
      <c r="F199" s="1">
        <v>-1.68899169697141E-3</v>
      </c>
      <c r="G199">
        <v>4.5595085668773501E-3</v>
      </c>
      <c r="H199">
        <v>0.43289848024456301</v>
      </c>
      <c r="I199">
        <v>-8.5094237379093401E-4</v>
      </c>
    </row>
    <row r="200" spans="1:9" x14ac:dyDescent="0.25">
      <c r="A200">
        <v>441.371912956237</v>
      </c>
      <c r="B200">
        <v>17.085815699540099</v>
      </c>
      <c r="C200">
        <v>1.34421590449274</v>
      </c>
      <c r="D200">
        <v>0.82639476115294097</v>
      </c>
      <c r="E200">
        <v>-0.61315832330138598</v>
      </c>
      <c r="F200">
        <v>-1.7291623107656699E-3</v>
      </c>
      <c r="G200">
        <v>4.3044742170298897E-3</v>
      </c>
      <c r="H200">
        <v>0.43307865371652199</v>
      </c>
      <c r="I200">
        <v>-7.87899983430751E-4</v>
      </c>
    </row>
    <row r="201" spans="1:9" x14ac:dyDescent="0.25">
      <c r="A201">
        <v>457.22478389739899</v>
      </c>
      <c r="B201">
        <v>17.182862357866998</v>
      </c>
      <c r="C201">
        <v>1.30406119817483</v>
      </c>
      <c r="D201">
        <v>0.80192906774907102</v>
      </c>
      <c r="E201">
        <v>-0.59765951307144005</v>
      </c>
      <c r="F201">
        <v>-1.8315918404746201E-3</v>
      </c>
      <c r="G201">
        <v>4.0619831580207301E-3</v>
      </c>
      <c r="H201">
        <v>0.43322095482063799</v>
      </c>
      <c r="I201">
        <v>-7.2941171425857103E-4</v>
      </c>
    </row>
    <row r="202" spans="1:9" x14ac:dyDescent="0.25">
      <c r="A202">
        <v>473.07753324508599</v>
      </c>
      <c r="B202">
        <v>17.276988208517</v>
      </c>
      <c r="C202">
        <v>1.2641904253454901</v>
      </c>
      <c r="D202">
        <v>0.77759754697250005</v>
      </c>
      <c r="E202">
        <v>-0.582048611679854</v>
      </c>
      <c r="F202" s="1">
        <v>-1.97804960835911E-3</v>
      </c>
      <c r="G202">
        <v>3.8309581722303899E-3</v>
      </c>
      <c r="H202">
        <v>0.43336823970164101</v>
      </c>
      <c r="I202">
        <v>-6.7435863678896304E-4</v>
      </c>
    </row>
    <row r="203" spans="1:9" x14ac:dyDescent="0.25">
      <c r="A203">
        <v>488.93034338951099</v>
      </c>
      <c r="B203">
        <v>17.368323001465299</v>
      </c>
      <c r="C203">
        <v>1.2246062094976999</v>
      </c>
      <c r="D203">
        <v>0.75355916272537005</v>
      </c>
      <c r="E203">
        <v>-0.56633556747912195</v>
      </c>
      <c r="F203">
        <v>-2.1208517073604601E-3</v>
      </c>
      <c r="G203">
        <v>3.6110216466917599E-3</v>
      </c>
      <c r="H203">
        <v>0.43352742838764602</v>
      </c>
      <c r="I203">
        <v>-6.2248912174809701E-4</v>
      </c>
    </row>
    <row r="204" spans="1:9" x14ac:dyDescent="0.25">
      <c r="A204">
        <v>504.78321433067299</v>
      </c>
      <c r="B204">
        <v>17.457023380931499</v>
      </c>
      <c r="C204" s="1">
        <v>1.18532357609116</v>
      </c>
      <c r="D204" s="1">
        <v>0.72991578112289701</v>
      </c>
      <c r="E204" s="1">
        <v>-0.55050059080799796</v>
      </c>
      <c r="F204" s="1">
        <v>-2.2190114862429599E-3</v>
      </c>
      <c r="G204" s="1">
        <v>3.4013286948273501E-3</v>
      </c>
      <c r="H204">
        <v>0.43374169564682502</v>
      </c>
      <c r="I204" s="1">
        <v>-5.7295915763955901E-4</v>
      </c>
    </row>
    <row r="205" spans="1:9" x14ac:dyDescent="0.25">
      <c r="A205">
        <v>520.63602447509697</v>
      </c>
      <c r="B205">
        <v>17.5432086427016</v>
      </c>
      <c r="C205" s="1">
        <v>1.1463858127597899</v>
      </c>
      <c r="D205" s="1">
        <v>0.70658089117314804</v>
      </c>
      <c r="E205" s="1">
        <v>-0.53456119273394798</v>
      </c>
      <c r="F205" s="1">
        <v>-2.30403714948672E-3</v>
      </c>
      <c r="G205" s="1">
        <v>3.2008891763185602E-3</v>
      </c>
      <c r="H205">
        <v>0.434024974274</v>
      </c>
      <c r="I205" s="1">
        <v>-5.2648464071967298E-4</v>
      </c>
    </row>
    <row r="206" spans="1:9" x14ac:dyDescent="0.25">
      <c r="A206">
        <v>536.48889541625897</v>
      </c>
      <c r="B206">
        <v>17.626863737802001</v>
      </c>
      <c r="C206" s="1">
        <v>1.10785564483539</v>
      </c>
      <c r="D206" s="1">
        <v>0.68349096328550796</v>
      </c>
      <c r="E206" s="1">
        <v>-0.51852474954472005</v>
      </c>
      <c r="F206" s="1">
        <v>-2.41202971897369E-3</v>
      </c>
      <c r="G206" s="1">
        <v>3.00828568719312E-3</v>
      </c>
      <c r="H206">
        <v>0.43405750132005799</v>
      </c>
      <c r="I206" s="1">
        <v>-4.83029251650716E-4</v>
      </c>
    </row>
    <row r="207" spans="1:9" x14ac:dyDescent="0.25">
      <c r="A207">
        <v>552.34173595905304</v>
      </c>
      <c r="B207">
        <v>17.708012356773999</v>
      </c>
      <c r="C207" s="1">
        <v>1.06952724736989</v>
      </c>
      <c r="D207" s="1">
        <v>0.66054547186946699</v>
      </c>
      <c r="E207" s="1">
        <v>-0.50241232471820096</v>
      </c>
      <c r="F207" s="1">
        <v>-2.5290132759764701E-3</v>
      </c>
      <c r="G207" s="1">
        <v>2.8251602670932899E-3</v>
      </c>
      <c r="H207">
        <v>0.43417313113006201</v>
      </c>
      <c r="I207" s="1">
        <v>-4.4247159984921701E-4</v>
      </c>
    </row>
    <row r="208" spans="1:9" x14ac:dyDescent="0.25">
      <c r="A208">
        <v>568.19448530673901</v>
      </c>
      <c r="B208">
        <v>17.786761570747</v>
      </c>
      <c r="C208" s="1">
        <v>1.0313581674771599</v>
      </c>
      <c r="D208" s="1">
        <v>0.63759410487175405</v>
      </c>
      <c r="E208" s="1">
        <v>-0.48620476134861101</v>
      </c>
      <c r="F208" s="1">
        <v>-2.5933001246436502E-3</v>
      </c>
      <c r="G208" s="1">
        <v>2.65107672181987E-3</v>
      </c>
      <c r="H208">
        <v>0.43442745572213098</v>
      </c>
      <c r="I208" s="1">
        <v>-4.04622568539875E-4</v>
      </c>
    </row>
    <row r="209" spans="1:9" x14ac:dyDescent="0.25">
      <c r="A209">
        <v>584.04732584953297</v>
      </c>
      <c r="B209">
        <v>17.863174442087299</v>
      </c>
      <c r="C209" s="1">
        <v>0.99349615551097403</v>
      </c>
      <c r="D209" s="1">
        <v>0.61478542200306496</v>
      </c>
      <c r="E209" s="1">
        <v>-0.46990413801456599</v>
      </c>
      <c r="F209" s="1">
        <v>-2.5583434234650901E-3</v>
      </c>
      <c r="G209" s="1">
        <v>2.4846729456093901E-3</v>
      </c>
      <c r="H209">
        <v>0.43465472583175802</v>
      </c>
      <c r="I209" s="1">
        <v>-3.6906752963468203E-4</v>
      </c>
    </row>
    <row r="210" spans="1:9" x14ac:dyDescent="0.25">
      <c r="A210">
        <v>599.90016639232601</v>
      </c>
      <c r="B210">
        <v>17.937215814368798</v>
      </c>
      <c r="C210" s="1">
        <v>0.95607286311827899</v>
      </c>
      <c r="D210" s="1">
        <v>0.59233023786224104</v>
      </c>
      <c r="E210" s="1">
        <v>-0.45352996068670898</v>
      </c>
      <c r="F210" s="1">
        <v>-2.3773182312576799E-3</v>
      </c>
      <c r="G210" s="1">
        <v>2.3254836683024201E-3</v>
      </c>
      <c r="H210">
        <v>0.434879800714081</v>
      </c>
      <c r="I210" s="1">
        <v>-3.3553933517119097E-4</v>
      </c>
    </row>
    <row r="211" spans="1:9" x14ac:dyDescent="0.25">
      <c r="A211">
        <v>615.75300693511895</v>
      </c>
      <c r="B211">
        <v>18.008869163228201</v>
      </c>
      <c r="C211" s="1">
        <v>0.91926913243911701</v>
      </c>
      <c r="D211" s="1">
        <v>0.57019737384143099</v>
      </c>
      <c r="E211" s="1">
        <v>-0.43708556586571701</v>
      </c>
      <c r="F211" s="1">
        <v>-2.11501894909529E-3</v>
      </c>
      <c r="G211" s="1">
        <v>2.1726001722827798E-3</v>
      </c>
      <c r="H211">
        <v>0.43483696023981699</v>
      </c>
      <c r="I211" s="1">
        <v>-3.03775226716583E-4</v>
      </c>
    </row>
    <row r="212" spans="1:9" x14ac:dyDescent="0.25">
      <c r="A212">
        <v>631.60581707954395</v>
      </c>
      <c r="B212">
        <v>18.0781760524977</v>
      </c>
      <c r="C212" s="1">
        <v>0.88285683883524502</v>
      </c>
      <c r="D212" s="1">
        <v>0.548153422830995</v>
      </c>
      <c r="E212" s="1">
        <v>-0.42055267856821699</v>
      </c>
      <c r="F212" s="1">
        <v>-1.8176270565654199E-3</v>
      </c>
      <c r="G212" s="1">
        <v>2.0276333251205902E-3</v>
      </c>
      <c r="H212">
        <v>0.43479869214336297</v>
      </c>
      <c r="I212" s="1">
        <v>-2.7431774120215997E-4</v>
      </c>
    </row>
    <row r="213" spans="1:9" x14ac:dyDescent="0.25">
      <c r="A213">
        <v>647.45859682559899</v>
      </c>
      <c r="B213">
        <v>18.145153090848599</v>
      </c>
      <c r="C213" s="1">
        <v>0.84682268596732202</v>
      </c>
      <c r="D213" s="1">
        <v>0.52620500208384602</v>
      </c>
      <c r="E213" s="1">
        <v>-0.40395814040233002</v>
      </c>
      <c r="F213" s="1">
        <v>-1.55740050422512E-3</v>
      </c>
      <c r="G213" s="1">
        <v>1.8909299109400801E-3</v>
      </c>
      <c r="H213">
        <v>0.43495030136377799</v>
      </c>
      <c r="I213" s="1">
        <v>-2.4750772233912298E-4</v>
      </c>
    </row>
    <row r="214" spans="1:9" x14ac:dyDescent="0.25">
      <c r="A214">
        <v>663.31143736839203</v>
      </c>
      <c r="B214">
        <v>18.209757112597099</v>
      </c>
      <c r="C214" s="1">
        <v>0.81120572810561398</v>
      </c>
      <c r="D214" s="1">
        <v>0.50434797980754498</v>
      </c>
      <c r="E214" s="1">
        <v>-0.38729058393742999</v>
      </c>
      <c r="F214" s="1">
        <v>-1.32188907949635E-3</v>
      </c>
      <c r="G214" s="1">
        <v>1.76121685211904E-3</v>
      </c>
      <c r="H214">
        <v>0.43515637446250299</v>
      </c>
      <c r="I214" s="1">
        <v>-2.2307857418261899E-4</v>
      </c>
    </row>
    <row r="215" spans="1:9" x14ac:dyDescent="0.25">
      <c r="A215">
        <v>679.16427791118599</v>
      </c>
      <c r="B215">
        <v>18.271979771253701</v>
      </c>
      <c r="C215" s="1">
        <v>0.77606714033607105</v>
      </c>
      <c r="D215" s="1">
        <v>0.482604751786404</v>
      </c>
      <c r="E215" s="1">
        <v>-0.37054475337165299</v>
      </c>
      <c r="F215" s="1">
        <v>-1.1021415639976299E-3</v>
      </c>
      <c r="G215" s="1">
        <v>1.6379591435068E-3</v>
      </c>
      <c r="H215">
        <v>0.43534836911199098</v>
      </c>
      <c r="I215" s="1">
        <v>-2.00122657903184E-4</v>
      </c>
    </row>
    <row r="216" spans="1:9" x14ac:dyDescent="0.25">
      <c r="A216">
        <v>695.01711845397904</v>
      </c>
      <c r="B216">
        <v>18.331867773437001</v>
      </c>
      <c r="C216" s="1">
        <v>0.74156009887292296</v>
      </c>
      <c r="D216" s="1">
        <v>0.46110301231173501</v>
      </c>
      <c r="E216" s="1">
        <v>-0.353733333067967</v>
      </c>
      <c r="F216" s="1">
        <v>-9.4784282050036997E-4</v>
      </c>
      <c r="G216" s="1">
        <v>1.52156166698897E-3</v>
      </c>
      <c r="H216">
        <v>0.43570911296814702</v>
      </c>
      <c r="I216" s="1">
        <v>-1.7894778268304299E-4</v>
      </c>
    </row>
    <row r="217" spans="1:9" x14ac:dyDescent="0.25">
      <c r="A217">
        <v>710.86992859840302</v>
      </c>
      <c r="B217">
        <v>18.389496659093599</v>
      </c>
      <c r="C217" s="1">
        <v>0.70773033596852997</v>
      </c>
      <c r="D217" s="1">
        <v>0.43983313904432902</v>
      </c>
      <c r="E217" s="1">
        <v>-0.33685818965530101</v>
      </c>
      <c r="F217" s="1">
        <v>-8.0689047625297097E-4</v>
      </c>
      <c r="G217" s="1">
        <v>1.41163286389103E-3</v>
      </c>
      <c r="H217">
        <v>0.43623200715962401</v>
      </c>
      <c r="I217" s="1">
        <v>-1.5966910790006701E-4</v>
      </c>
    </row>
    <row r="218" spans="1:9" x14ac:dyDescent="0.25">
      <c r="A218">
        <v>726.72273874282803</v>
      </c>
      <c r="B218">
        <v>18.444832873648998</v>
      </c>
      <c r="C218" s="1">
        <v>0.67452120802479298</v>
      </c>
      <c r="D218" s="1">
        <v>0.41869373691158801</v>
      </c>
      <c r="E218" s="1">
        <v>-0.31992831846831099</v>
      </c>
      <c r="F218" s="1">
        <v>-6.4747983256913501E-4</v>
      </c>
      <c r="G218" s="1">
        <v>1.30791266591947E-3</v>
      </c>
      <c r="H218">
        <v>0.436861438349812</v>
      </c>
      <c r="I218" s="1">
        <v>-1.42183651689448E-4</v>
      </c>
    </row>
    <row r="219" spans="1:9" x14ac:dyDescent="0.25">
      <c r="A219">
        <v>742.57554888725201</v>
      </c>
      <c r="B219">
        <v>18.497790760199599</v>
      </c>
      <c r="C219" s="1">
        <v>0.64197826841955197</v>
      </c>
      <c r="D219" s="1">
        <v>0.39779525780514002</v>
      </c>
      <c r="E219" s="1">
        <v>-0.30295055527581499</v>
      </c>
      <c r="F219" s="1">
        <v>-5.6405470644468696E-4</v>
      </c>
      <c r="G219" s="1">
        <v>1.21039444642E-3</v>
      </c>
      <c r="H219">
        <v>0.43745494721613998</v>
      </c>
      <c r="I219" s="1">
        <v>-1.2635492955195699E-4</v>
      </c>
    </row>
    <row r="220" spans="1:9" x14ac:dyDescent="0.25">
      <c r="A220">
        <v>758.42838943004597</v>
      </c>
      <c r="B220">
        <v>18.548356323621299</v>
      </c>
      <c r="C220" s="1">
        <v>0.61012751358309203</v>
      </c>
      <c r="D220" s="1">
        <v>0.37720122627858599</v>
      </c>
      <c r="E220" s="1">
        <v>-0.28590894344355899</v>
      </c>
      <c r="F220" s="1">
        <v>-6.1788653495659703E-4</v>
      </c>
      <c r="G220" s="1">
        <v>1.1189955221878E-3</v>
      </c>
      <c r="H220">
        <v>0.438031766913272</v>
      </c>
      <c r="I220" s="1">
        <v>-1.1216219756817399E-4</v>
      </c>
    </row>
    <row r="221" spans="1:9" x14ac:dyDescent="0.25">
      <c r="A221">
        <v>774.28122997283901</v>
      </c>
      <c r="B221">
        <v>18.596512027855098</v>
      </c>
      <c r="C221" s="1">
        <v>0.57891504265995897</v>
      </c>
      <c r="D221" s="1">
        <v>0.35690711574842199</v>
      </c>
      <c r="E221" s="1">
        <v>-0.26881827084916199</v>
      </c>
      <c r="F221" s="1">
        <v>-7.4850712652887801E-4</v>
      </c>
      <c r="G221" s="1">
        <v>1.03350618300372E-3</v>
      </c>
      <c r="H221">
        <v>0.43871233877063198</v>
      </c>
      <c r="I221" s="1">
        <v>-9.9454981227278805E-5</v>
      </c>
    </row>
    <row r="222" spans="1:9" x14ac:dyDescent="0.25">
      <c r="A222">
        <v>790.13402491807904</v>
      </c>
      <c r="B222">
        <v>18.642160581496601</v>
      </c>
      <c r="C222" s="1">
        <v>0.54860266832305504</v>
      </c>
      <c r="D222" s="1">
        <v>0.33705415094236602</v>
      </c>
      <c r="E222" s="1">
        <v>-0.251683883337942</v>
      </c>
      <c r="F222" s="1">
        <v>-8.1764738203538099E-4</v>
      </c>
      <c r="G222" s="1">
        <v>9.5334622632474496E-4</v>
      </c>
      <c r="H222">
        <v>0.43928061147763697</v>
      </c>
      <c r="I222" s="1">
        <v>-8.79900556456238E-5</v>
      </c>
    </row>
    <row r="223" spans="1:9" x14ac:dyDescent="0.25">
      <c r="A223">
        <v>805.98686546087197</v>
      </c>
      <c r="B223">
        <v>18.685222566432302</v>
      </c>
      <c r="C223" s="1">
        <v>0.51947992879593097</v>
      </c>
      <c r="D223" s="1">
        <v>0.31780295285895499</v>
      </c>
      <c r="E223" s="1">
        <v>-0.234509272483852</v>
      </c>
      <c r="F223" s="1">
        <v>-8.1395765853319805E-4</v>
      </c>
      <c r="G223" s="1">
        <v>8.7875211694707996E-4</v>
      </c>
      <c r="H223">
        <v>0.43981994777268901</v>
      </c>
      <c r="I223" s="1">
        <v>-7.7808675356723695E-5</v>
      </c>
    </row>
    <row r="224" spans="1:9" x14ac:dyDescent="0.25">
      <c r="A224">
        <v>821.83970600366501</v>
      </c>
      <c r="B224">
        <v>18.725682975842599</v>
      </c>
      <c r="C224" s="1">
        <v>0.49158874034118</v>
      </c>
      <c r="D224" s="1">
        <v>0.29916946168571101</v>
      </c>
      <c r="E224" s="1">
        <v>-0.217296786987841</v>
      </c>
      <c r="F224" s="1">
        <v>-7.7798363353629905E-4</v>
      </c>
      <c r="G224" s="1">
        <v>8.0994324137149596E-4</v>
      </c>
      <c r="H224">
        <v>0.440554152819842</v>
      </c>
      <c r="I224" s="1">
        <v>-6.9121755943987194E-5</v>
      </c>
    </row>
    <row r="225" spans="1:9" x14ac:dyDescent="0.25">
      <c r="A225">
        <v>837.69251614809002</v>
      </c>
      <c r="B225">
        <v>18.763450925729298</v>
      </c>
      <c r="C225" s="1">
        <v>0.46500578050317898</v>
      </c>
      <c r="D225" s="1">
        <v>0.281248638077011</v>
      </c>
      <c r="E225" s="1">
        <v>-0.20005227671947101</v>
      </c>
      <c r="F225" s="1">
        <v>-7.4891850630931197E-4</v>
      </c>
      <c r="G225" s="1">
        <v>7.4672353684543803E-4</v>
      </c>
      <c r="H225">
        <v>0.44144881163056099</v>
      </c>
      <c r="I225" s="1">
        <v>-6.1625609083011302E-5</v>
      </c>
    </row>
    <row r="226" spans="1:9" x14ac:dyDescent="0.25">
      <c r="A226">
        <v>853.54535669088295</v>
      </c>
      <c r="B226">
        <v>18.798421705585898</v>
      </c>
      <c r="C226" s="1">
        <v>0.439858109816191</v>
      </c>
      <c r="D226" s="1">
        <v>0.26410355720170697</v>
      </c>
      <c r="E226" s="1">
        <v>-0.18276510949861099</v>
      </c>
      <c r="F226" s="1">
        <v>-7.4985581509998405E-4</v>
      </c>
      <c r="G226" s="1">
        <v>6.8898812710652699E-4</v>
      </c>
      <c r="H226">
        <v>0.442425662329828</v>
      </c>
      <c r="I226" s="1">
        <v>-5.5002622406677202E-5</v>
      </c>
    </row>
    <row r="227" spans="1:9" x14ac:dyDescent="0.25">
      <c r="A227">
        <v>869.39818203449204</v>
      </c>
      <c r="B227">
        <v>18.830579296897199</v>
      </c>
      <c r="C227" s="1">
        <v>0.41625689879459199</v>
      </c>
      <c r="D227" s="1">
        <v>0.24785365221724201</v>
      </c>
      <c r="E227" s="1">
        <v>-0.165439625877564</v>
      </c>
      <c r="F227" s="1">
        <v>-7.3856571063296605E-4</v>
      </c>
      <c r="G227" s="1">
        <v>6.3717320040526096E-4</v>
      </c>
      <c r="H227">
        <v>0.443601155816161</v>
      </c>
      <c r="I227" s="1">
        <v>-4.94267596392777E-5</v>
      </c>
    </row>
    <row r="228" spans="1:9" x14ac:dyDescent="0.25">
      <c r="A228">
        <v>885.25099217891602</v>
      </c>
      <c r="B228">
        <v>18.8599262289023</v>
      </c>
      <c r="C228" s="1">
        <v>0.39435422059307201</v>
      </c>
      <c r="D228" s="1">
        <v>0.232629772356958</v>
      </c>
      <c r="E228" s="1">
        <v>-0.14808763252075099</v>
      </c>
      <c r="F228" s="1">
        <v>-7.1539150591918698E-4</v>
      </c>
      <c r="G228" s="1">
        <v>5.9105536352073505E-4</v>
      </c>
      <c r="H228">
        <v>0.44487830420117302</v>
      </c>
      <c r="I228" s="1">
        <v>-4.4899535967944497E-5</v>
      </c>
    </row>
    <row r="229" spans="1:9" x14ac:dyDescent="0.25">
      <c r="A229">
        <v>901.10380992293301</v>
      </c>
      <c r="B229">
        <v>18.886329632231099</v>
      </c>
      <c r="C229" s="1">
        <v>0.374327101361902</v>
      </c>
      <c r="D229" s="1">
        <v>0.218591657623742</v>
      </c>
      <c r="E229" s="1">
        <v>-0.13072304140149699</v>
      </c>
      <c r="F229" s="1">
        <v>-6.84647564552981E-4</v>
      </c>
      <c r="G229" s="1">
        <v>5.5021524671621501E-4</v>
      </c>
      <c r="H229">
        <v>0.44612251928635199</v>
      </c>
      <c r="I229" s="1">
        <v>-4.12141605750292E-5</v>
      </c>
    </row>
    <row r="230" spans="1:9" x14ac:dyDescent="0.25">
      <c r="A230">
        <v>916.95665046572606</v>
      </c>
      <c r="B230">
        <v>18.909654108273799</v>
      </c>
      <c r="C230" s="1">
        <v>0.356306566687214</v>
      </c>
      <c r="D230" s="1">
        <v>0.205894707187638</v>
      </c>
      <c r="E230" s="1">
        <v>-0.113339342536045</v>
      </c>
      <c r="F230" s="1">
        <v>-6.3811663595030401E-4</v>
      </c>
      <c r="G230" s="1">
        <v>5.1472312056643002E-4</v>
      </c>
      <c r="H230">
        <v>0.44744412548779799</v>
      </c>
      <c r="I230" s="1">
        <v>-3.8271752816346099E-5</v>
      </c>
    </row>
    <row r="231" spans="1:9" x14ac:dyDescent="0.25">
      <c r="A231">
        <v>932.80946820974305</v>
      </c>
      <c r="B231">
        <v>18.929826477707401</v>
      </c>
      <c r="C231" s="1">
        <v>0.34046979178138098</v>
      </c>
      <c r="D231" s="1">
        <v>0.19472892680589701</v>
      </c>
      <c r="E231" s="1">
        <v>-9.5936913616338299E-2</v>
      </c>
      <c r="F231" s="1">
        <v>-5.6755033071037998E-4</v>
      </c>
      <c r="G231" s="1">
        <v>4.8435540248802902E-4</v>
      </c>
      <c r="H231">
        <v>0.44856026265543802</v>
      </c>
      <c r="I231" s="1">
        <v>-3.59544363162423E-5</v>
      </c>
    </row>
    <row r="232" spans="1:9" x14ac:dyDescent="0.25">
      <c r="A232">
        <v>948.66229355335201</v>
      </c>
      <c r="B232">
        <v>18.946755687917602</v>
      </c>
      <c r="C232" s="1">
        <v>0.32701273368140799</v>
      </c>
      <c r="D232" s="1">
        <v>0.18525053897340699</v>
      </c>
      <c r="E232" s="1">
        <v>-7.85226695248986E-2</v>
      </c>
      <c r="F232" s="1">
        <v>-4.89867033272005E-4</v>
      </c>
      <c r="G232" s="1">
        <v>4.5906806299838302E-4</v>
      </c>
      <c r="H232">
        <v>0.44956053423674402</v>
      </c>
      <c r="I232" s="1">
        <v>-3.4152298261295898E-5</v>
      </c>
    </row>
    <row r="233" spans="1:9" x14ac:dyDescent="0.25">
      <c r="A233">
        <v>964.51511889696098</v>
      </c>
      <c r="B233">
        <v>18.960376484531</v>
      </c>
      <c r="C233" s="1">
        <v>0.31608418617577799</v>
      </c>
      <c r="D233" s="1">
        <v>0.177540550360302</v>
      </c>
      <c r="E233" s="1">
        <v>-6.10958852528884E-2</v>
      </c>
      <c r="F233" s="1">
        <v>-4.08846205333691E-4</v>
      </c>
      <c r="G233" s="1">
        <v>4.3884530066838102E-4</v>
      </c>
      <c r="H233">
        <v>0.45052793026058102</v>
      </c>
      <c r="I233" s="1">
        <v>-3.2762800714359098E-5</v>
      </c>
    </row>
    <row r="234" spans="1:9" x14ac:dyDescent="0.25">
      <c r="A234">
        <v>980.36794044077305</v>
      </c>
      <c r="B234">
        <v>18.970633392899298</v>
      </c>
      <c r="C234" s="1">
        <v>0.30779266647348302</v>
      </c>
      <c r="D234" s="1">
        <v>0.171659662482848</v>
      </c>
      <c r="E234" s="1">
        <v>-4.36599055453811E-2</v>
      </c>
      <c r="F234" s="1">
        <v>-3.1808414390498602E-4</v>
      </c>
      <c r="G234" s="1">
        <v>4.2359150481978902E-4</v>
      </c>
      <c r="H234">
        <v>0.45123613576995603</v>
      </c>
      <c r="I234" s="1">
        <v>-3.1720177684741399E-5</v>
      </c>
    </row>
    <row r="235" spans="1:9" x14ac:dyDescent="0.25">
      <c r="A235">
        <v>996.22076388448397</v>
      </c>
      <c r="B235">
        <v>18.977489654745</v>
      </c>
      <c r="C235" s="1">
        <v>0.30219028668477399</v>
      </c>
      <c r="D235" s="1">
        <v>0.167679373171851</v>
      </c>
      <c r="E235" s="1">
        <v>-2.6215348574978401E-2</v>
      </c>
      <c r="F235" s="1">
        <v>-2.2880326459006299E-4</v>
      </c>
      <c r="G235" s="1">
        <v>4.1336307143710599E-4</v>
      </c>
      <c r="H235">
        <v>0.45173330528254502</v>
      </c>
      <c r="I235" s="1">
        <v>-3.1079373624926399E-5</v>
      </c>
    </row>
    <row r="236" spans="1:9" x14ac:dyDescent="0.25">
      <c r="A236">
        <v>1012.07358780317</v>
      </c>
      <c r="B236">
        <v>18.980949485466802</v>
      </c>
      <c r="C236" s="1">
        <v>0.29930992990896998</v>
      </c>
      <c r="D236" s="1">
        <v>0.16569082783032599</v>
      </c>
      <c r="E236" s="1">
        <v>-8.7629392081377197E-3</v>
      </c>
      <c r="F236" s="1">
        <v>-1.48494393110319E-4</v>
      </c>
      <c r="G236" s="1">
        <v>4.08193331519686E-4</v>
      </c>
      <c r="H236">
        <v>0.452094667538255</v>
      </c>
      <c r="I236" s="1">
        <v>-3.0779863920389197E-5</v>
      </c>
    </row>
    <row r="237" spans="1:9" x14ac:dyDescent="0.25">
      <c r="A237" t="s">
        <v>500</v>
      </c>
      <c r="B237" t="s">
        <v>538</v>
      </c>
      <c r="C237" t="s">
        <v>539</v>
      </c>
      <c r="D237" t="s">
        <v>540</v>
      </c>
      <c r="E237" t="s">
        <v>541</v>
      </c>
      <c r="F237" t="s">
        <v>542</v>
      </c>
      <c r="G237" t="s">
        <v>378</v>
      </c>
      <c r="H237" t="s">
        <v>543</v>
      </c>
      <c r="I237" t="s">
        <v>537</v>
      </c>
    </row>
    <row r="238" spans="1:9" x14ac:dyDescent="0.25">
      <c r="A238">
        <v>-143.34727764129599</v>
      </c>
      <c r="B238">
        <v>-101.780363252407</v>
      </c>
      <c r="C238">
        <v>8.3219246441964795E-2</v>
      </c>
      <c r="D238" s="1">
        <v>0</v>
      </c>
      <c r="E238" s="1">
        <v>0</v>
      </c>
      <c r="F238" s="1">
        <v>0</v>
      </c>
      <c r="G238" s="1">
        <v>2.3761520767084901E-6</v>
      </c>
      <c r="H238">
        <v>5.5533054225236501E-2</v>
      </c>
      <c r="I238" s="1">
        <v>0</v>
      </c>
    </row>
    <row r="239" spans="1:9" x14ac:dyDescent="0.25">
      <c r="A239">
        <v>-130.59127092361399</v>
      </c>
      <c r="B239">
        <v>-92.723512151486304</v>
      </c>
      <c r="C239">
        <v>8.38273452799881E-2</v>
      </c>
      <c r="D239" s="1">
        <v>0</v>
      </c>
      <c r="E239" s="1">
        <v>0</v>
      </c>
      <c r="F239" s="1">
        <v>0</v>
      </c>
      <c r="G239" s="1">
        <v>3.4310407802440302E-6</v>
      </c>
      <c r="H239">
        <v>0.32973981644051698</v>
      </c>
      <c r="I239" s="1">
        <v>0</v>
      </c>
    </row>
    <row r="240" spans="1:9" x14ac:dyDescent="0.25">
      <c r="A240">
        <v>-118.88850688934301</v>
      </c>
      <c r="B240">
        <v>-84.414430981523395</v>
      </c>
      <c r="C240">
        <v>8.5104367746047196E-2</v>
      </c>
      <c r="D240" s="1">
        <v>0</v>
      </c>
      <c r="E240" s="1">
        <v>0</v>
      </c>
      <c r="F240" s="1">
        <v>0</v>
      </c>
      <c r="G240" s="1">
        <v>5.3720423593617199E-6</v>
      </c>
      <c r="H240">
        <v>0.55005210143512995</v>
      </c>
      <c r="I240" s="1">
        <v>0</v>
      </c>
    </row>
    <row r="241" spans="1:9" x14ac:dyDescent="0.25">
      <c r="A241">
        <v>-108.151924610137</v>
      </c>
      <c r="B241">
        <v>-76.791398210472394</v>
      </c>
      <c r="C241">
        <v>8.7209623959798199E-2</v>
      </c>
      <c r="D241" s="1">
        <v>0</v>
      </c>
      <c r="E241" s="1">
        <v>0</v>
      </c>
      <c r="F241" s="1">
        <v>0</v>
      </c>
      <c r="G241" s="1">
        <v>8.11219476267943E-6</v>
      </c>
      <c r="H241">
        <v>0.67758933874539495</v>
      </c>
      <c r="I241" s="1">
        <v>0</v>
      </c>
    </row>
    <row r="242" spans="1:9" x14ac:dyDescent="0.25">
      <c r="A242">
        <v>-98.302001953125</v>
      </c>
      <c r="B242">
        <v>-69.797737295574507</v>
      </c>
      <c r="C242">
        <v>9.0320214602563703E-2</v>
      </c>
      <c r="D242" s="1">
        <v>0</v>
      </c>
      <c r="E242" s="1">
        <v>0</v>
      </c>
      <c r="F242" s="1">
        <v>0</v>
      </c>
      <c r="G242" s="1">
        <v>1.16687553144334E-5</v>
      </c>
      <c r="H242">
        <v>0.74959280046391497</v>
      </c>
      <c r="I242" s="1">
        <v>0</v>
      </c>
    </row>
    <row r="243" spans="1:9" x14ac:dyDescent="0.25">
      <c r="A243">
        <v>-89.265174865722599</v>
      </c>
      <c r="B243">
        <v>-63.381519919282802</v>
      </c>
      <c r="C243">
        <v>9.4597872053129098E-2</v>
      </c>
      <c r="D243" s="1">
        <v>0</v>
      </c>
      <c r="E243" s="1">
        <v>0</v>
      </c>
      <c r="F243" s="1">
        <v>0</v>
      </c>
      <c r="G243" s="1">
        <v>1.6165573472370901E-5</v>
      </c>
      <c r="H243">
        <v>0.791379843161227</v>
      </c>
      <c r="I243" s="1">
        <v>0</v>
      </c>
    </row>
    <row r="244" spans="1:9" x14ac:dyDescent="0.25">
      <c r="A244">
        <v>-80.974688529968205</v>
      </c>
      <c r="B244">
        <v>-57.495053396768</v>
      </c>
      <c r="C244">
        <v>0.10018107500263899</v>
      </c>
      <c r="D244" s="1">
        <v>0</v>
      </c>
      <c r="E244" s="1">
        <v>0</v>
      </c>
      <c r="F244" s="1">
        <v>0</v>
      </c>
      <c r="G244" s="1">
        <v>2.1841528325552401E-5</v>
      </c>
      <c r="H244">
        <v>0.81620741109092598</v>
      </c>
      <c r="I244" s="1">
        <v>0</v>
      </c>
    </row>
    <row r="245" spans="1:9" x14ac:dyDescent="0.25">
      <c r="A245">
        <v>-73.368651866912799</v>
      </c>
      <c r="B245">
        <v>-52.0946054946846</v>
      </c>
      <c r="C245">
        <v>0.107189296724454</v>
      </c>
      <c r="D245" s="1">
        <v>0</v>
      </c>
      <c r="E245" s="1">
        <v>0</v>
      </c>
      <c r="F245" s="1">
        <v>0</v>
      </c>
      <c r="G245" s="1">
        <v>2.90708856228327E-5</v>
      </c>
      <c r="H245">
        <v>0.83106964453674104</v>
      </c>
      <c r="I245" s="1">
        <v>0</v>
      </c>
    </row>
    <row r="246" spans="1:9" x14ac:dyDescent="0.25">
      <c r="A246">
        <v>-66.390645503997803</v>
      </c>
      <c r="B246">
        <v>-47.140053709990397</v>
      </c>
      <c r="C246">
        <v>0.115732373627153</v>
      </c>
      <c r="D246" s="1">
        <v>0</v>
      </c>
      <c r="E246" s="1">
        <v>0</v>
      </c>
      <c r="F246" s="1">
        <v>0</v>
      </c>
      <c r="G246" s="1">
        <v>3.8402096711394002E-5</v>
      </c>
      <c r="H246">
        <v>0.83988396223162598</v>
      </c>
      <c r="I246" s="1">
        <v>0</v>
      </c>
    </row>
    <row r="247" spans="1:9" x14ac:dyDescent="0.25">
      <c r="A247">
        <v>-59.988870620727504</v>
      </c>
      <c r="B247">
        <v>-42.594577714449699</v>
      </c>
      <c r="C247">
        <v>0.12592162528721301</v>
      </c>
      <c r="D247" s="1">
        <v>0</v>
      </c>
      <c r="E247" s="1">
        <v>0</v>
      </c>
      <c r="F247" s="1">
        <v>0</v>
      </c>
      <c r="G247" s="1">
        <v>5.0622653102081399E-5</v>
      </c>
      <c r="H247">
        <v>0.84500708767100097</v>
      </c>
      <c r="I247" s="1">
        <v>0</v>
      </c>
    </row>
    <row r="248" spans="1:9" x14ac:dyDescent="0.25">
      <c r="A248">
        <v>-54.115540981292703</v>
      </c>
      <c r="B248">
        <v>-38.424400360531202</v>
      </c>
      <c r="C248">
        <v>0.13788147383972299</v>
      </c>
      <c r="D248" s="1">
        <v>0</v>
      </c>
      <c r="E248" s="1">
        <v>0</v>
      </c>
      <c r="F248" s="1">
        <v>0</v>
      </c>
      <c r="G248" s="1">
        <v>6.6859708558055699E-5</v>
      </c>
      <c r="H248">
        <v>0.84796219327325195</v>
      </c>
      <c r="I248" s="1">
        <v>0</v>
      </c>
    </row>
    <row r="249" spans="1:9" x14ac:dyDescent="0.25">
      <c r="A249">
        <v>-48.727247714996302</v>
      </c>
      <c r="B249">
        <v>-34.5985448744362</v>
      </c>
      <c r="C249">
        <v>0.15176148074298301</v>
      </c>
      <c r="D249" s="1">
        <v>0</v>
      </c>
      <c r="E249" s="1">
        <v>0</v>
      </c>
      <c r="F249" s="1">
        <v>0</v>
      </c>
      <c r="G249" s="1">
        <v>8.8729343260354098E-5</v>
      </c>
      <c r="H249">
        <v>0.84979622838471802</v>
      </c>
      <c r="I249" s="1">
        <v>0</v>
      </c>
    </row>
    <row r="250" spans="1:9" x14ac:dyDescent="0.25">
      <c r="A250">
        <v>-43.783864974975501</v>
      </c>
      <c r="B250">
        <v>-31.088573164141799</v>
      </c>
      <c r="C250">
        <v>0.16774900215081201</v>
      </c>
      <c r="D250" s="1">
        <v>0</v>
      </c>
      <c r="E250" s="1">
        <v>0</v>
      </c>
      <c r="F250" s="1">
        <v>0</v>
      </c>
      <c r="G250" s="1">
        <v>1.18550968989978E-4</v>
      </c>
      <c r="H250">
        <v>0.85125462479518998</v>
      </c>
      <c r="I250" s="1">
        <v>0</v>
      </c>
    </row>
    <row r="251" spans="1:9" x14ac:dyDescent="0.25">
      <c r="A251">
        <v>-39.248671531677203</v>
      </c>
      <c r="B251">
        <v>-27.8684131566649</v>
      </c>
      <c r="C251">
        <v>0.18608279082920301</v>
      </c>
      <c r="D251" s="1">
        <v>0</v>
      </c>
      <c r="E251" s="1">
        <v>0</v>
      </c>
      <c r="F251" s="1">
        <v>0</v>
      </c>
      <c r="G251" s="1">
        <v>1.5964755173015899E-4</v>
      </c>
      <c r="H251">
        <v>0.85286270828385302</v>
      </c>
      <c r="I251" s="1">
        <v>0</v>
      </c>
    </row>
    <row r="252" spans="1:9" x14ac:dyDescent="0.25">
      <c r="A252">
        <v>-35.087985992431598</v>
      </c>
      <c r="B252">
        <v>-24.914129480368501</v>
      </c>
      <c r="C252">
        <v>0.207067947084974</v>
      </c>
      <c r="D252" s="1">
        <v>0</v>
      </c>
      <c r="E252" s="1">
        <v>0</v>
      </c>
      <c r="F252" s="1">
        <v>0</v>
      </c>
      <c r="G252" s="1">
        <v>2.16757145453243E-4</v>
      </c>
      <c r="H252">
        <v>0.85496293494212605</v>
      </c>
      <c r="I252" s="1">
        <v>0</v>
      </c>
    </row>
    <row r="253" spans="1:9" x14ac:dyDescent="0.25">
      <c r="A253">
        <v>-31.270802021026601</v>
      </c>
      <c r="B253">
        <v>-22.203775082922601</v>
      </c>
      <c r="C253">
        <v>0.23109185350428799</v>
      </c>
      <c r="D253" s="1">
        <v>0</v>
      </c>
      <c r="E253" s="1">
        <v>0</v>
      </c>
      <c r="F253" s="1">
        <v>0</v>
      </c>
      <c r="G253" s="1">
        <v>2.9658790949468899E-4</v>
      </c>
      <c r="H253">
        <v>0.85773887018751105</v>
      </c>
      <c r="I253" s="1">
        <v>0</v>
      </c>
    </row>
    <row r="254" spans="1:9" x14ac:dyDescent="0.25">
      <c r="A254">
        <v>-27.7686667442321</v>
      </c>
      <c r="B254">
        <v>-19.717207777149099</v>
      </c>
      <c r="C254">
        <v>0.25864125746934602</v>
      </c>
      <c r="D254" s="1">
        <v>0</v>
      </c>
      <c r="E254" s="1">
        <v>0</v>
      </c>
      <c r="F254" s="1">
        <v>0</v>
      </c>
      <c r="G254" s="1">
        <v>4.0855743064184899E-4</v>
      </c>
      <c r="H254">
        <v>0.86124230273314195</v>
      </c>
      <c r="I254" s="1">
        <v>0</v>
      </c>
    </row>
    <row r="255" spans="1:9" x14ac:dyDescent="0.25">
      <c r="A255">
        <v>-24.555802345275801</v>
      </c>
      <c r="B255">
        <v>-17.435949952549301</v>
      </c>
      <c r="C255">
        <v>0.29031969651790102</v>
      </c>
      <c r="D255" s="1">
        <v>0</v>
      </c>
      <c r="E255" s="1">
        <v>0</v>
      </c>
      <c r="F255" s="1">
        <v>0</v>
      </c>
      <c r="G255" s="1">
        <v>5.6577184223044604E-4</v>
      </c>
      <c r="H255">
        <v>0.86542861762496504</v>
      </c>
      <c r="I255" s="1">
        <v>0</v>
      </c>
    </row>
    <row r="256" spans="1:9" x14ac:dyDescent="0.25">
      <c r="A256">
        <v>-21.608254909515299</v>
      </c>
      <c r="B256">
        <v>-15.343048286832</v>
      </c>
      <c r="C256">
        <v>0.32686507276488702</v>
      </c>
      <c r="D256" s="1">
        <v>0</v>
      </c>
      <c r="E256" s="1">
        <v>0</v>
      </c>
      <c r="F256" s="1">
        <v>0</v>
      </c>
      <c r="G256" s="1">
        <v>7.8631963190502999E-4</v>
      </c>
      <c r="H256">
        <v>0.870195597489138</v>
      </c>
      <c r="I256" s="1">
        <v>0</v>
      </c>
    </row>
    <row r="257" spans="1:9" x14ac:dyDescent="0.25">
      <c r="A257">
        <v>-18.904016017913801</v>
      </c>
      <c r="B257">
        <v>-13.4229550402826</v>
      </c>
      <c r="C257">
        <v>0.36916689938741398</v>
      </c>
      <c r="D257" s="1">
        <v>0</v>
      </c>
      <c r="E257" s="1">
        <v>0</v>
      </c>
      <c r="F257" s="1">
        <v>0</v>
      </c>
      <c r="G257" s="1">
        <v>1.0949851332884401E-3</v>
      </c>
      <c r="H257">
        <v>0.87541845977000998</v>
      </c>
      <c r="I257" s="1">
        <v>0</v>
      </c>
    </row>
    <row r="258" spans="1:9" x14ac:dyDescent="0.25">
      <c r="A258">
        <v>-16.423144340515101</v>
      </c>
      <c r="B258">
        <v>-11.661399907640201</v>
      </c>
      <c r="C258">
        <v>0.41828265273716803</v>
      </c>
      <c r="D258" s="1">
        <v>0</v>
      </c>
      <c r="E258" s="1">
        <v>0</v>
      </c>
      <c r="F258" s="1">
        <v>0</v>
      </c>
      <c r="G258" s="1">
        <v>1.5255297690475701E-3</v>
      </c>
      <c r="H258">
        <v>0.88097512377203502</v>
      </c>
      <c r="I258" s="1">
        <v>0</v>
      </c>
    </row>
    <row r="259" spans="1:9" x14ac:dyDescent="0.25">
      <c r="A259">
        <v>-14.147036075592</v>
      </c>
      <c r="B259">
        <v>-10.0452928953087</v>
      </c>
      <c r="C259">
        <v>0.47545366236030001</v>
      </c>
      <c r="D259" s="1">
        <v>0</v>
      </c>
      <c r="E259" s="1">
        <v>0</v>
      </c>
      <c r="F259" s="1">
        <v>0</v>
      </c>
      <c r="G259" s="1">
        <v>2.12374811328118E-3</v>
      </c>
      <c r="H259">
        <v>0.88676038738880003</v>
      </c>
      <c r="I259" s="1">
        <v>0</v>
      </c>
    </row>
    <row r="260" spans="1:9" x14ac:dyDescent="0.25">
      <c r="A260">
        <v>-12.058911323547299</v>
      </c>
      <c r="B260">
        <v>-8.5626258496409893</v>
      </c>
      <c r="C260">
        <v>0.54212043458133297</v>
      </c>
      <c r="D260" s="1">
        <v>0</v>
      </c>
      <c r="E260" s="1">
        <v>0</v>
      </c>
      <c r="F260" s="1">
        <v>0</v>
      </c>
      <c r="G260" s="1">
        <v>2.9515866830752201E-3</v>
      </c>
      <c r="H260">
        <v>0.89269049305839498</v>
      </c>
      <c r="I260" s="1">
        <v>0</v>
      </c>
    </row>
    <row r="261" spans="1:9" x14ac:dyDescent="0.25">
      <c r="A261">
        <v>-10.143084526061999</v>
      </c>
      <c r="B261">
        <v>-7.2023780320054502</v>
      </c>
      <c r="C261">
        <v>0.61993842327337001</v>
      </c>
      <c r="D261" s="1">
        <v>0</v>
      </c>
      <c r="E261" s="1">
        <v>0</v>
      </c>
      <c r="F261" s="1">
        <v>0</v>
      </c>
      <c r="G261">
        <v>4.0927248203160996E-3</v>
      </c>
      <c r="H261">
        <v>0.89870146578392096</v>
      </c>
      <c r="I261" s="1">
        <v>0</v>
      </c>
    </row>
    <row r="262" spans="1:9" x14ac:dyDescent="0.25">
      <c r="A262">
        <v>-8.3855724334716708</v>
      </c>
      <c r="B262">
        <v>-5.9544459745502696</v>
      </c>
      <c r="C262">
        <v>0.71079475462573904</v>
      </c>
      <c r="D262" s="1">
        <v>0</v>
      </c>
      <c r="E262" s="1">
        <v>0</v>
      </c>
      <c r="F262" s="1">
        <v>0</v>
      </c>
      <c r="G262">
        <v>5.6601480941799297E-3</v>
      </c>
      <c r="H262">
        <v>0.90474408162647002</v>
      </c>
      <c r="I262" s="1">
        <v>0</v>
      </c>
    </row>
    <row r="263" spans="1:9" x14ac:dyDescent="0.25">
      <c r="A263">
        <v>-6.7732429504394496</v>
      </c>
      <c r="B263">
        <v>-4.8095517531252101</v>
      </c>
      <c r="C263">
        <v>0.81682757540461703</v>
      </c>
      <c r="D263" s="1">
        <v>0</v>
      </c>
      <c r="E263" s="1">
        <v>0</v>
      </c>
      <c r="F263" s="1">
        <v>0</v>
      </c>
      <c r="G263">
        <v>7.8064076778628002E-3</v>
      </c>
      <c r="H263">
        <v>0.91077793690249298</v>
      </c>
      <c r="I263" s="1">
        <v>0</v>
      </c>
    </row>
    <row r="264" spans="1:9" x14ac:dyDescent="0.25">
      <c r="A264">
        <v>-5.2939367294311497</v>
      </c>
      <c r="B264">
        <v>-3.7591903791046399</v>
      </c>
      <c r="C264">
        <v>0.94044865076742001</v>
      </c>
      <c r="D264" s="1">
        <v>0</v>
      </c>
      <c r="E264" s="1">
        <v>0</v>
      </c>
      <c r="F264" s="1">
        <v>0</v>
      </c>
      <c r="G264">
        <v>1.07374204006373E-2</v>
      </c>
      <c r="H264">
        <v>0.91676601233469801</v>
      </c>
      <c r="I264" s="1">
        <v>0</v>
      </c>
    </row>
    <row r="265" spans="1:9" x14ac:dyDescent="0.25">
      <c r="A265">
        <v>-3.9367103576660099</v>
      </c>
      <c r="B265">
        <v>-2.7955562828323499</v>
      </c>
      <c r="C265">
        <v>1.0843701358160101</v>
      </c>
      <c r="D265" s="1">
        <v>0</v>
      </c>
      <c r="E265" s="1">
        <v>0</v>
      </c>
      <c r="F265" s="1">
        <v>0</v>
      </c>
      <c r="G265">
        <v>1.4730995197969599E-2</v>
      </c>
      <c r="H265">
        <v>0.92267154175372401</v>
      </c>
      <c r="I265" s="1">
        <v>0</v>
      </c>
    </row>
    <row r="266" spans="1:9" x14ac:dyDescent="0.25">
      <c r="A266">
        <v>-2.6915931701660099</v>
      </c>
      <c r="B266">
        <v>-1.9114873331255</v>
      </c>
      <c r="C266">
        <v>1.2516322415225201</v>
      </c>
      <c r="D266" s="1">
        <v>0</v>
      </c>
      <c r="E266" s="1">
        <v>0</v>
      </c>
      <c r="F266" s="1">
        <v>0</v>
      </c>
      <c r="G266">
        <v>2.0160762650666499E-2</v>
      </c>
      <c r="H266">
        <v>0.92845461284549502</v>
      </c>
      <c r="I266" s="1">
        <v>0</v>
      </c>
    </row>
    <row r="267" spans="1:9" x14ac:dyDescent="0.25">
      <c r="A267">
        <v>-1.54934406280517</v>
      </c>
      <c r="B267">
        <v>-1.1004149269527399</v>
      </c>
      <c r="C267">
        <v>1.4456443162441699</v>
      </c>
      <c r="D267" s="1">
        <v>0</v>
      </c>
      <c r="E267" s="1">
        <v>0</v>
      </c>
      <c r="F267" s="1">
        <v>0</v>
      </c>
      <c r="G267">
        <v>2.7528001994578499E-2</v>
      </c>
      <c r="H267">
        <v>0.93407375453327701</v>
      </c>
      <c r="I267" s="1">
        <v>0</v>
      </c>
    </row>
    <row r="268" spans="1:9" x14ac:dyDescent="0.25">
      <c r="A268">
        <v>-0.50145149230956998</v>
      </c>
      <c r="B268">
        <v>-0.35631138125720502</v>
      </c>
      <c r="C268">
        <v>1.6702238999935399</v>
      </c>
      <c r="D268" s="1">
        <v>0</v>
      </c>
      <c r="E268" s="1">
        <v>0</v>
      </c>
      <c r="F268" s="1">
        <v>0</v>
      </c>
      <c r="G268">
        <v>3.7636602280472199E-2</v>
      </c>
      <c r="H268">
        <v>0.93970358743261995</v>
      </c>
      <c r="I268" s="1">
        <v>0</v>
      </c>
    </row>
    <row r="269" spans="1:9" x14ac:dyDescent="0.25">
      <c r="A269">
        <v>0.49999237060546797</v>
      </c>
      <c r="B269">
        <v>0.35474208889242997</v>
      </c>
      <c r="C269">
        <v>1.9417928662324</v>
      </c>
      <c r="D269" s="1">
        <v>0.217253976023532</v>
      </c>
      <c r="E269" s="1">
        <v>-3.6516458742118999E-4</v>
      </c>
      <c r="F269" s="1">
        <v>-5.4913226916558901E-5</v>
      </c>
      <c r="G269">
        <v>5.12370384145623E-2</v>
      </c>
      <c r="H269">
        <v>0.94442376883878298</v>
      </c>
      <c r="I269" s="1">
        <v>1.43460894355443E-6</v>
      </c>
    </row>
    <row r="270" spans="1:9" x14ac:dyDescent="0.25">
      <c r="A270">
        <v>1.54496669769287</v>
      </c>
      <c r="B270">
        <v>1.0954443136015199</v>
      </c>
      <c r="C270">
        <v>2.3039830034542601</v>
      </c>
      <c r="D270" s="1">
        <v>0.78660267538031003</v>
      </c>
      <c r="E270" s="1">
        <v>-3.4688255654130701E-3</v>
      </c>
      <c r="F270" s="1">
        <v>-2.15197322922558E-4</v>
      </c>
      <c r="G270">
        <v>6.7367060096627907E-2</v>
      </c>
      <c r="H270">
        <v>0.94566122236561101</v>
      </c>
      <c r="I270" s="1">
        <v>3.9469716891707799E-5</v>
      </c>
    </row>
    <row r="271" spans="1:9" x14ac:dyDescent="0.25">
      <c r="A271">
        <v>2.6840543746948198</v>
      </c>
      <c r="B271">
        <v>1.89647058134612</v>
      </c>
      <c r="C271">
        <v>2.8071839795301399</v>
      </c>
      <c r="D271" s="1">
        <v>1.58844913780429</v>
      </c>
      <c r="E271" s="1">
        <v>-1.45909352857244E-2</v>
      </c>
      <c r="F271" s="1">
        <v>-4.5718395537495401E-4</v>
      </c>
      <c r="G271">
        <v>8.3042622585570006E-2</v>
      </c>
      <c r="H271">
        <v>0.94149971047094105</v>
      </c>
      <c r="I271" s="1">
        <v>1.9498021046287001E-4</v>
      </c>
    </row>
    <row r="272" spans="1:9" x14ac:dyDescent="0.25">
      <c r="A272">
        <v>3.9255237579345699</v>
      </c>
      <c r="B272">
        <v>2.7528500938573099</v>
      </c>
      <c r="C272">
        <v>3.4815411596198</v>
      </c>
      <c r="D272" s="1">
        <v>2.6460995729633701</v>
      </c>
      <c r="E272" s="1">
        <v>-3.9081495817017899E-2</v>
      </c>
      <c r="F272" s="1">
        <v>-7.8583524406991199E-4</v>
      </c>
      <c r="G272">
        <v>9.4727061936477702E-2</v>
      </c>
      <c r="H272">
        <v>0.93077680077069702</v>
      </c>
      <c r="I272" s="1">
        <v>4.6132897830395998E-4</v>
      </c>
    </row>
    <row r="273" spans="1:9" x14ac:dyDescent="0.25">
      <c r="A273">
        <v>5.2789807319641104</v>
      </c>
      <c r="B273">
        <v>3.6521180854895401</v>
      </c>
      <c r="C273">
        <v>4.3204464419440702</v>
      </c>
      <c r="D273" s="1">
        <v>3.9127605010089801</v>
      </c>
      <c r="E273" s="1">
        <v>-8.2004171275407198E-2</v>
      </c>
      <c r="F273" s="1">
        <v>-1.17826021605016E-3</v>
      </c>
      <c r="G273">
        <v>0.10019211514619999</v>
      </c>
      <c r="H273">
        <v>0.912168449219111</v>
      </c>
      <c r="I273" s="1">
        <v>9.22323942774877E-4</v>
      </c>
    </row>
    <row r="274" spans="1:9" x14ac:dyDescent="0.25">
      <c r="A274">
        <v>6.7539703845977703</v>
      </c>
      <c r="B274">
        <v>4.5732994062611096</v>
      </c>
      <c r="C274">
        <v>5.25817298026133</v>
      </c>
      <c r="D274" s="1">
        <v>5.2494941851349797</v>
      </c>
      <c r="E274" s="1">
        <v>-0.14530193100022701</v>
      </c>
      <c r="F274" s="1">
        <v>-1.5786443883637901E-3</v>
      </c>
      <c r="G274">
        <v>0.100742985933226</v>
      </c>
      <c r="H274">
        <v>0.88579976011947004</v>
      </c>
      <c r="I274" s="1">
        <v>2.1487707883851999E-3</v>
      </c>
    </row>
    <row r="275" spans="1:9" x14ac:dyDescent="0.25">
      <c r="A275">
        <v>8.3618009090423495</v>
      </c>
      <c r="B275">
        <v>5.4889260117215297</v>
      </c>
      <c r="C275">
        <v>6.1769435894123301</v>
      </c>
      <c r="D275" s="1">
        <v>6.46134101359337</v>
      </c>
      <c r="E275" s="1">
        <v>-0.22589721578422201</v>
      </c>
      <c r="F275" s="1">
        <v>-1.9200371189254399E-3</v>
      </c>
      <c r="G275">
        <v>0.100357769652642</v>
      </c>
      <c r="H275">
        <v>0.85505530877872105</v>
      </c>
      <c r="I275" s="1">
        <v>5.17331642909458E-3</v>
      </c>
    </row>
    <row r="276" spans="1:9" x14ac:dyDescent="0.25">
      <c r="A276">
        <v>10.114449262619001</v>
      </c>
      <c r="B276">
        <v>6.3703665759665196</v>
      </c>
      <c r="C276">
        <v>6.95034072940848</v>
      </c>
      <c r="D276" s="1">
        <v>7.3792003719672499</v>
      </c>
      <c r="E276" s="1">
        <v>-0.31638175485608799</v>
      </c>
      <c r="F276" s="1">
        <v>-2.1557795803518699E-3</v>
      </c>
      <c r="G276">
        <v>0.102073883718901</v>
      </c>
      <c r="H276">
        <v>0.82505142194863401</v>
      </c>
      <c r="I276" s="1">
        <v>9.3740189489834105E-3</v>
      </c>
    </row>
    <row r="277" spans="1:9" x14ac:dyDescent="0.25">
      <c r="A277">
        <v>12.0248043537139</v>
      </c>
      <c r="B277">
        <v>7.1943080888380502</v>
      </c>
      <c r="C277">
        <v>7.4933098043390398</v>
      </c>
      <c r="D277" s="1">
        <v>7.9238645232657303</v>
      </c>
      <c r="E277" s="1">
        <v>-0.40818259067780299</v>
      </c>
      <c r="F277" s="1">
        <v>-2.2757233250979502E-3</v>
      </c>
      <c r="G277">
        <v>0.105629699939635</v>
      </c>
      <c r="H277">
        <v>0.798272455368772</v>
      </c>
      <c r="I277" s="1">
        <v>1.14995972468094E-2</v>
      </c>
    </row>
    <row r="278" spans="1:9" x14ac:dyDescent="0.25">
      <c r="A278">
        <v>14.106971025466899</v>
      </c>
      <c r="B278">
        <v>7.9468117651140098</v>
      </c>
      <c r="C278">
        <v>7.7819598562718904</v>
      </c>
      <c r="D278" s="1">
        <v>8.1094718947848392</v>
      </c>
      <c r="E278" s="1">
        <v>-0.49453117647685502</v>
      </c>
      <c r="F278" s="1">
        <v>-2.2979441177877302E-3</v>
      </c>
      <c r="G278">
        <v>0.10875760322524899</v>
      </c>
      <c r="H278">
        <v>0.77391582128259295</v>
      </c>
      <c r="I278" s="1">
        <v>9.5034377377674704E-3</v>
      </c>
    </row>
    <row r="279" spans="1:9" x14ac:dyDescent="0.25">
      <c r="A279">
        <v>16.3765740394592</v>
      </c>
      <c r="B279">
        <v>8.6233413509111099</v>
      </c>
      <c r="C279">
        <v>7.8401155403169396</v>
      </c>
      <c r="D279" s="1">
        <v>8.0052713246192795</v>
      </c>
      <c r="E279" s="1">
        <v>-0.57151529067885698</v>
      </c>
      <c r="F279" s="1">
        <v>-2.2470111640578599E-3</v>
      </c>
      <c r="G279">
        <v>0.109591037535948</v>
      </c>
      <c r="H279">
        <v>0.75041962663367701</v>
      </c>
      <c r="I279" s="1">
        <v>4.4906633493582903E-3</v>
      </c>
    </row>
    <row r="280" spans="1:9" x14ac:dyDescent="0.25">
      <c r="A280">
        <v>18.850514888763399</v>
      </c>
      <c r="B280">
        <v>9.2261713700386903</v>
      </c>
      <c r="C280">
        <v>7.7146262398391201</v>
      </c>
      <c r="D280">
        <v>7.6953365488128398</v>
      </c>
      <c r="E280">
        <v>-0.63767993026807401</v>
      </c>
      <c r="F280" s="1">
        <v>-2.1502523452921001E-3</v>
      </c>
      <c r="G280">
        <v>0.107636098625684</v>
      </c>
      <c r="H280">
        <v>0.726886795931313</v>
      </c>
      <c r="I280" s="1">
        <v>-1.3146956594159199E-3</v>
      </c>
    </row>
    <row r="281" spans="1:9" x14ac:dyDescent="0.25">
      <c r="A281">
        <v>21.5470933914184</v>
      </c>
      <c r="B281">
        <v>9.7613761910953798</v>
      </c>
      <c r="C281">
        <v>7.4564998130516598</v>
      </c>
      <c r="D281">
        <v>7.2552431117060596</v>
      </c>
      <c r="E281">
        <v>-0.69314917355401795</v>
      </c>
      <c r="F281" s="1">
        <v>-2.0347142877967898E-3</v>
      </c>
      <c r="G281">
        <v>0.10339331077729901</v>
      </c>
      <c r="H281">
        <v>0.70312465799582202</v>
      </c>
      <c r="I281" s="1">
        <v>-6.4103347709517696E-3</v>
      </c>
    </row>
    <row r="282" spans="1:9" x14ac:dyDescent="0.25">
      <c r="A282">
        <v>24.4862508773803</v>
      </c>
      <c r="B282">
        <v>10.236599343807301</v>
      </c>
      <c r="C282">
        <v>7.1113316136824096</v>
      </c>
      <c r="D282">
        <v>6.7441247948468899</v>
      </c>
      <c r="E282">
        <v>-0.73885620084906201</v>
      </c>
      <c r="F282" s="1">
        <v>-1.9252698887990301E-3</v>
      </c>
      <c r="G282">
        <v>9.76699045900188E-2</v>
      </c>
      <c r="H282">
        <v>0.679345400719222</v>
      </c>
      <c r="I282" s="1">
        <v>-1.0254299388262901E-2</v>
      </c>
    </row>
    <row r="283" spans="1:9" x14ac:dyDescent="0.25">
      <c r="A283">
        <v>27.690056562423699</v>
      </c>
      <c r="B283">
        <v>10.659764007457399</v>
      </c>
      <c r="C283">
        <v>6.7161210015109001</v>
      </c>
      <c r="D283">
        <v>6.2048973185525398</v>
      </c>
      <c r="E283">
        <v>-0.776050063795797</v>
      </c>
      <c r="F283">
        <v>-1.84442032266819E-3</v>
      </c>
      <c r="G283">
        <v>9.1157385843154498E-2</v>
      </c>
      <c r="H283">
        <v>0.65594337932731706</v>
      </c>
      <c r="I283" s="1">
        <v>-1.2841203841038399E-2</v>
      </c>
    </row>
    <row r="284" spans="1:9" x14ac:dyDescent="0.25">
      <c r="A284">
        <v>31.182160377502399</v>
      </c>
      <c r="B284">
        <v>11.038434630890301</v>
      </c>
      <c r="C284">
        <v>6.2991344437355199</v>
      </c>
      <c r="D284">
        <v>5.6671848850689903</v>
      </c>
      <c r="E284">
        <v>-0.80603129786368299</v>
      </c>
      <c r="F284">
        <v>-1.81389672696719E-3</v>
      </c>
      <c r="G284">
        <v>8.4307746177010798E-2</v>
      </c>
      <c r="H284">
        <v>0.63335073211248005</v>
      </c>
      <c r="I284">
        <v>-1.4344577665497E-2</v>
      </c>
    </row>
    <row r="285" spans="1:9" x14ac:dyDescent="0.25">
      <c r="A285">
        <v>34.988522529602001</v>
      </c>
      <c r="B285">
        <v>11.3795210958243</v>
      </c>
      <c r="C285">
        <v>5.8808242145098104</v>
      </c>
      <c r="D285">
        <v>5.1504106243070797</v>
      </c>
      <c r="E285">
        <v>-0.83001028588986003</v>
      </c>
      <c r="F285">
        <v>-1.8317671003353899E-3</v>
      </c>
      <c r="G285">
        <v>7.73761177048157E-2</v>
      </c>
      <c r="H285">
        <v>0.61196364895905098</v>
      </c>
      <c r="I285">
        <v>-1.49630260139474E-2</v>
      </c>
    </row>
    <row r="286" spans="1:9" x14ac:dyDescent="0.25">
      <c r="A286">
        <v>39.137535095214801</v>
      </c>
      <c r="B286">
        <v>11.6891573133663</v>
      </c>
      <c r="C286">
        <v>5.4752140762265098</v>
      </c>
      <c r="D286">
        <v>4.6666269369567903</v>
      </c>
      <c r="E286">
        <v>-0.84902544075520503</v>
      </c>
      <c r="F286" s="1">
        <v>-1.886155748422E-3</v>
      </c>
      <c r="G286">
        <v>7.0505747762184504E-2</v>
      </c>
      <c r="H286">
        <v>0.59207711491470705</v>
      </c>
      <c r="I286">
        <v>-1.4883204891468301E-2</v>
      </c>
    </row>
    <row r="287" spans="1:9" x14ac:dyDescent="0.25">
      <c r="A287">
        <v>43.659839630126903</v>
      </c>
      <c r="B287">
        <v>11.972692455981701</v>
      </c>
      <c r="C287">
        <v>5.0913374306609303</v>
      </c>
      <c r="D287">
        <v>4.2225715407387598</v>
      </c>
      <c r="E287">
        <v>-0.86392093236315204</v>
      </c>
      <c r="F287">
        <v>-1.9839567223565498E-3</v>
      </c>
      <c r="G287">
        <v>6.37991708418192E-2</v>
      </c>
      <c r="H287">
        <v>0.57386737624801698</v>
      </c>
      <c r="I287">
        <v>-1.4280151164695699E-2</v>
      </c>
    </row>
    <row r="288" spans="1:9" x14ac:dyDescent="0.25">
      <c r="A288">
        <v>48.589299917220998</v>
      </c>
      <c r="B288">
        <v>12.2347206339025</v>
      </c>
      <c r="C288">
        <v>4.73441884480245</v>
      </c>
      <c r="D288">
        <v>3.82124066659614</v>
      </c>
      <c r="E288">
        <v>-0.87535961707193799</v>
      </c>
      <c r="F288">
        <v>-2.1114085360995501E-3</v>
      </c>
      <c r="G288">
        <v>5.7352835800200098E-2</v>
      </c>
      <c r="H288">
        <v>0.55734629999419805</v>
      </c>
      <c r="I288">
        <v>-1.33224891059564E-2</v>
      </c>
    </row>
    <row r="289" spans="1:9" x14ac:dyDescent="0.25">
      <c r="A289">
        <v>53.962393999099703</v>
      </c>
      <c r="B289">
        <v>12.4791385617823</v>
      </c>
      <c r="C289">
        <v>4.4069253560352797</v>
      </c>
      <c r="D289">
        <v>3.4630596264759701</v>
      </c>
      <c r="E289">
        <v>-0.88385894406129795</v>
      </c>
      <c r="F289">
        <v>-2.2595541830379901E-3</v>
      </c>
      <c r="G289">
        <v>5.1271498200652202E-2</v>
      </c>
      <c r="H289">
        <v>0.54242339902487802</v>
      </c>
      <c r="I289">
        <v>-1.21693247386512E-2</v>
      </c>
    </row>
    <row r="290" spans="1:9" x14ac:dyDescent="0.25">
      <c r="A290">
        <v>59.819004535674999</v>
      </c>
      <c r="B290">
        <v>12.709251449515</v>
      </c>
      <c r="C290">
        <v>4.1093888179331302</v>
      </c>
      <c r="D290">
        <v>3.1466441457421199</v>
      </c>
      <c r="E290">
        <v>-0.88982149398015897</v>
      </c>
      <c r="F290">
        <v>-2.4636345059303498E-3</v>
      </c>
      <c r="G290">
        <v>4.5648139755563803E-2</v>
      </c>
      <c r="H290">
        <v>0.52895802037546202</v>
      </c>
      <c r="I290">
        <v>-1.0953898392006301E-2</v>
      </c>
    </row>
    <row r="291" spans="1:9" x14ac:dyDescent="0.25">
      <c r="A291">
        <v>66.2026619911193</v>
      </c>
      <c r="B291">
        <v>12.9278836142988</v>
      </c>
      <c r="C291">
        <v>3.84086238803516</v>
      </c>
      <c r="D291">
        <v>2.8692063834472701</v>
      </c>
      <c r="E291">
        <v>-0.893587446645145</v>
      </c>
      <c r="F291">
        <v>-2.6845629947713202E-3</v>
      </c>
      <c r="G291">
        <v>4.0542795436623001E-2</v>
      </c>
      <c r="H291">
        <v>0.51679174989092502</v>
      </c>
      <c r="I291">
        <v>-9.7689025902464501E-3</v>
      </c>
    </row>
    <row r="292" spans="1:9" x14ac:dyDescent="0.25">
      <c r="A292">
        <v>73.160848617553697</v>
      </c>
      <c r="B292">
        <v>13.1374385079154</v>
      </c>
      <c r="C292">
        <v>3.5995213077347699</v>
      </c>
      <c r="D292">
        <v>2.6271442278208701</v>
      </c>
      <c r="E292">
        <v>-0.89544436334603905</v>
      </c>
      <c r="F292" s="1">
        <v>-2.8888524609826998E-3</v>
      </c>
      <c r="G292">
        <v>3.5977236646897101E-2</v>
      </c>
      <c r="H292">
        <v>0.50565731003632797</v>
      </c>
      <c r="I292">
        <v>-8.6714971499602892E-3</v>
      </c>
    </row>
    <row r="293" spans="1:9" x14ac:dyDescent="0.25">
      <c r="A293">
        <v>80.745424032211304</v>
      </c>
      <c r="B293">
        <v>13.339947952588</v>
      </c>
      <c r="C293">
        <v>3.3830037178657202</v>
      </c>
      <c r="D293">
        <v>2.4164446863586</v>
      </c>
      <c r="E293">
        <v>-0.89564385042428396</v>
      </c>
      <c r="F293">
        <v>-3.07621801233969E-3</v>
      </c>
      <c r="G293">
        <v>3.19432303317915E-2</v>
      </c>
      <c r="H293">
        <v>0.49536198822939298</v>
      </c>
      <c r="I293">
        <v>-7.6914565215691101E-3</v>
      </c>
    </row>
    <row r="294" spans="1:9" x14ac:dyDescent="0.25">
      <c r="A294">
        <v>89.012442827224703</v>
      </c>
      <c r="B294">
        <v>13.537110922650299</v>
      </c>
      <c r="C294">
        <v>3.1884609820671299</v>
      </c>
      <c r="D294">
        <v>2.2329845991800799</v>
      </c>
      <c r="E294">
        <v>-0.89437576471130298</v>
      </c>
      <c r="F294">
        <v>-3.25214250101854E-3</v>
      </c>
      <c r="G294">
        <v>2.8403967150574801E-2</v>
      </c>
      <c r="H294">
        <v>0.48574510188541897</v>
      </c>
      <c r="I294">
        <v>-6.8314757424532101E-3</v>
      </c>
    </row>
    <row r="295" spans="1:9" x14ac:dyDescent="0.25">
      <c r="A295">
        <v>98.0235528945922</v>
      </c>
      <c r="B295">
        <v>13.730385271624501</v>
      </c>
      <c r="C295">
        <v>3.0131360477325502</v>
      </c>
      <c r="D295">
        <v>2.0728872816137902</v>
      </c>
      <c r="E295">
        <v>-0.89176525564062403</v>
      </c>
      <c r="F295">
        <v>-3.3547078259953899E-3</v>
      </c>
      <c r="G295">
        <v>2.53131454307149E-2</v>
      </c>
      <c r="H295">
        <v>0.47661439683854201</v>
      </c>
      <c r="I295">
        <v>-6.0863980872576297E-3</v>
      </c>
    </row>
    <row r="296" spans="1:9" x14ac:dyDescent="0.25">
      <c r="A296">
        <v>107.845630645751</v>
      </c>
      <c r="B296">
        <v>13.9210541669064</v>
      </c>
      <c r="C296">
        <v>2.8545213325865002</v>
      </c>
      <c r="D296">
        <v>1.93252960908052</v>
      </c>
      <c r="E296">
        <v>-0.88787201566294105</v>
      </c>
      <c r="F296">
        <v>-3.3387228040896101E-3</v>
      </c>
      <c r="G296">
        <v>2.2620274985761E-2</v>
      </c>
      <c r="H296">
        <v>0.46790568278475297</v>
      </c>
      <c r="I296">
        <v>-5.4433667182459599E-3</v>
      </c>
    </row>
    <row r="297" spans="1:9" x14ac:dyDescent="0.25">
      <c r="A297">
        <v>118.551753759384</v>
      </c>
      <c r="B297">
        <v>14.110337039061699</v>
      </c>
      <c r="C297">
        <v>2.7105356912099499</v>
      </c>
      <c r="D297">
        <v>1.80882301960381</v>
      </c>
      <c r="E297">
        <v>-0.88267834406091406</v>
      </c>
      <c r="F297">
        <v>-3.3050830976127199E-3</v>
      </c>
      <c r="G297">
        <v>2.0277228106146399E-2</v>
      </c>
      <c r="H297">
        <v>0.459505809982997</v>
      </c>
      <c r="I297">
        <v>-4.8897861509287696E-3</v>
      </c>
    </row>
    <row r="298" spans="1:9" x14ac:dyDescent="0.25">
      <c r="A298">
        <v>130.22150516510001</v>
      </c>
      <c r="B298">
        <v>14.2994054317259</v>
      </c>
      <c r="C298">
        <v>2.5793224060820199</v>
      </c>
      <c r="D298">
        <v>1.6993537950384601</v>
      </c>
      <c r="E298">
        <v>-0.87626234455746999</v>
      </c>
      <c r="F298">
        <v>-3.26767989637149E-3</v>
      </c>
      <c r="G298">
        <v>1.8239110187881401E-2</v>
      </c>
      <c r="H298">
        <v>0.45135749397528102</v>
      </c>
      <c r="I298">
        <v>-4.4131914999011399E-3</v>
      </c>
    </row>
    <row r="299" spans="1:9" x14ac:dyDescent="0.25">
      <c r="A299">
        <v>142.941337823867</v>
      </c>
      <c r="B299">
        <v>14.489263621509901</v>
      </c>
      <c r="C299">
        <v>2.45914663285502</v>
      </c>
      <c r="D299">
        <v>1.60219411438343</v>
      </c>
      <c r="E299">
        <v>-0.86850338654725101</v>
      </c>
      <c r="F299">
        <v>-3.0977862982443098E-3</v>
      </c>
      <c r="G299">
        <v>1.6468056134109E-2</v>
      </c>
      <c r="H299">
        <v>0.44346224139875901</v>
      </c>
      <c r="I299">
        <v>-4.0026557821253401E-3</v>
      </c>
    </row>
    <row r="300" spans="1:9" x14ac:dyDescent="0.25">
      <c r="A300">
        <v>156.806094646453</v>
      </c>
      <c r="B300">
        <v>14.6809691676655</v>
      </c>
      <c r="C300">
        <v>2.3486937630543001</v>
      </c>
      <c r="D300">
        <v>1.5152482179078901</v>
      </c>
      <c r="E300">
        <v>-0.85955582792752006</v>
      </c>
      <c r="F300">
        <v>-2.81370004722179E-3</v>
      </c>
      <c r="G300">
        <v>1.49204327333764E-2</v>
      </c>
      <c r="H300">
        <v>0.43537457612166303</v>
      </c>
      <c r="I300">
        <v>-3.6426411359680999E-3</v>
      </c>
    </row>
    <row r="301" spans="1:9" x14ac:dyDescent="0.25">
      <c r="A301">
        <v>171.91864371299701</v>
      </c>
      <c r="B301">
        <v>14.8754663195246</v>
      </c>
      <c r="C301">
        <v>2.2484310169269301</v>
      </c>
      <c r="D301">
        <v>1.4375072364557</v>
      </c>
      <c r="E301">
        <v>-0.84911946057932597</v>
      </c>
      <c r="F301">
        <v>-2.5493741271649401E-3</v>
      </c>
      <c r="G301">
        <v>1.35686501231954E-2</v>
      </c>
      <c r="H301">
        <v>0.42523510923998897</v>
      </c>
      <c r="I301">
        <v>-3.3401545492895801E-3</v>
      </c>
    </row>
    <row r="302" spans="1:9" x14ac:dyDescent="0.25">
      <c r="A302">
        <v>187.726768255233</v>
      </c>
      <c r="B302">
        <v>15.0653750940942</v>
      </c>
      <c r="C302">
        <v>2.1594612155154902</v>
      </c>
      <c r="D302">
        <v>1.37020027416243</v>
      </c>
      <c r="E302">
        <v>-0.83763669908999105</v>
      </c>
      <c r="F302">
        <v>-2.1296858376926701E-3</v>
      </c>
      <c r="G302">
        <v>1.22359961660538E-2</v>
      </c>
      <c r="H302">
        <v>0.42750454728687698</v>
      </c>
      <c r="I302">
        <v>-2.9452525750594998E-3</v>
      </c>
    </row>
    <row r="303" spans="1:9" x14ac:dyDescent="0.25">
      <c r="A303">
        <v>203.579578399658</v>
      </c>
      <c r="B303">
        <v>15.2439279215195</v>
      </c>
      <c r="C303">
        <v>2.0817371359466201</v>
      </c>
      <c r="D303">
        <v>1.3126636937217</v>
      </c>
      <c r="E303">
        <v>-0.82563611383482904</v>
      </c>
      <c r="F303">
        <v>-1.77131569569112E-3</v>
      </c>
      <c r="G303">
        <v>1.1138564229537899E-2</v>
      </c>
      <c r="H303">
        <v>0.42836128238803201</v>
      </c>
      <c r="I303">
        <v>-2.6276185562171101E-3</v>
      </c>
    </row>
    <row r="304" spans="1:9" x14ac:dyDescent="0.25">
      <c r="A304">
        <v>219.43238854408199</v>
      </c>
      <c r="B304">
        <v>15.412201920502699</v>
      </c>
      <c r="C304">
        <v>2.0118048304827001</v>
      </c>
      <c r="D304">
        <v>1.2617969822211199</v>
      </c>
      <c r="E304">
        <v>-0.813331069021064</v>
      </c>
      <c r="F304">
        <v>-1.5395529830310999E-3</v>
      </c>
      <c r="G304">
        <v>1.0241471828296499E-2</v>
      </c>
      <c r="H304">
        <v>0.428998881545679</v>
      </c>
      <c r="I304">
        <v>-2.3734160268478401E-3</v>
      </c>
    </row>
    <row r="305" spans="1:9" x14ac:dyDescent="0.25">
      <c r="A305">
        <v>235.28525948524401</v>
      </c>
      <c r="B305">
        <v>15.5716842837416</v>
      </c>
      <c r="C305">
        <v>1.9480317710016599</v>
      </c>
      <c r="D305">
        <v>1.2163674304972301</v>
      </c>
      <c r="E305">
        <v>-0.80055207763264802</v>
      </c>
      <c r="F305">
        <v>-1.4179223956330301E-3</v>
      </c>
      <c r="G305">
        <v>9.4863146403315699E-3</v>
      </c>
      <c r="H305">
        <v>0.42957841688630999</v>
      </c>
      <c r="I305">
        <v>-2.1621109582102599E-3</v>
      </c>
    </row>
    <row r="306" spans="1:9" x14ac:dyDescent="0.25">
      <c r="A306">
        <v>251.13806962966899</v>
      </c>
      <c r="B306">
        <v>15.723505412579399</v>
      </c>
      <c r="C306">
        <v>1.8887774396528301</v>
      </c>
      <c r="D306">
        <v>1.17535501306711</v>
      </c>
      <c r="E306">
        <v>-0.78742775939548104</v>
      </c>
      <c r="F306">
        <v>-1.4674099117339601E-3</v>
      </c>
      <c r="G306">
        <v>8.8314036456658591E-3</v>
      </c>
      <c r="H306">
        <v>0.430071610425446</v>
      </c>
      <c r="I306">
        <v>-1.98070574626192E-3</v>
      </c>
    </row>
    <row r="307" spans="1:9" x14ac:dyDescent="0.25">
      <c r="A307">
        <v>266.99081897735499</v>
      </c>
      <c r="B307">
        <v>15.8685488546052</v>
      </c>
      <c r="C307">
        <v>1.83335901276733</v>
      </c>
      <c r="D307">
        <v>1.1379048183768099</v>
      </c>
      <c r="E307">
        <v>-0.77396467147893799</v>
      </c>
      <c r="F307">
        <v>-1.54388850429194E-3</v>
      </c>
      <c r="G307">
        <v>8.2482466866541492E-3</v>
      </c>
      <c r="H307">
        <v>0.430342096231078</v>
      </c>
      <c r="I307">
        <v>-1.8204441413418801E-3</v>
      </c>
    </row>
    <row r="308" spans="1:9" x14ac:dyDescent="0.25">
      <c r="A308">
        <v>282.84362912178</v>
      </c>
      <c r="B308">
        <v>16.007491097018899</v>
      </c>
      <c r="C308">
        <v>1.78086578053739</v>
      </c>
      <c r="D308">
        <v>1.1033413644308001</v>
      </c>
      <c r="E308">
        <v>-0.76024374423952101</v>
      </c>
      <c r="F308" s="1">
        <v>-1.5317782996454299E-3</v>
      </c>
      <c r="G308">
        <v>7.72527017849204E-3</v>
      </c>
      <c r="H308">
        <v>0.43055015542116998</v>
      </c>
      <c r="I308">
        <v>-1.6784152689322601E-3</v>
      </c>
    </row>
    <row r="309" spans="1:9" x14ac:dyDescent="0.25">
      <c r="A309">
        <v>298.69643926620398</v>
      </c>
      <c r="B309">
        <v>16.1411070987367</v>
      </c>
      <c r="C309">
        <v>1.73047825916061</v>
      </c>
      <c r="D309">
        <v>1.0708046140171601</v>
      </c>
      <c r="E309">
        <v>-0.74627426771774197</v>
      </c>
      <c r="F309">
        <v>-1.3824989761938699E-3</v>
      </c>
      <c r="G309">
        <v>7.2565074167016104E-3</v>
      </c>
      <c r="H309">
        <v>0.43103925859540199</v>
      </c>
      <c r="I309">
        <v>-1.5523903956614099E-3</v>
      </c>
    </row>
    <row r="310" spans="1:9" x14ac:dyDescent="0.25">
      <c r="A310">
        <v>314.54931020736598</v>
      </c>
      <c r="B310">
        <v>16.269937105269101</v>
      </c>
      <c r="C310">
        <v>1.6821538765011601</v>
      </c>
      <c r="D310">
        <v>1.03961195146053</v>
      </c>
      <c r="E310">
        <v>-0.732123098664889</v>
      </c>
      <c r="F310">
        <v>-1.2013923655607101E-3</v>
      </c>
      <c r="G310">
        <v>6.8286922917976901E-3</v>
      </c>
      <c r="H310">
        <v>0.43143682711288001</v>
      </c>
      <c r="I310">
        <v>-1.4381818583925599E-3</v>
      </c>
    </row>
    <row r="311" spans="1:9" x14ac:dyDescent="0.25">
      <c r="A311">
        <v>330.40212035179098</v>
      </c>
      <c r="B311">
        <v>16.394196270571001</v>
      </c>
      <c r="C311">
        <v>1.63564244672994</v>
      </c>
      <c r="D311">
        <v>1.0097596653960501</v>
      </c>
      <c r="E311">
        <v>-0.71780152555270405</v>
      </c>
      <c r="F311">
        <v>-1.13336634511678E-3</v>
      </c>
      <c r="G311">
        <v>6.4358101300182697E-3</v>
      </c>
      <c r="H311">
        <v>0.43173545393401003</v>
      </c>
      <c r="I311">
        <v>-1.3347908673561699E-3</v>
      </c>
    </row>
    <row r="312" spans="1:9" x14ac:dyDescent="0.25">
      <c r="A312">
        <v>346.25493049621502</v>
      </c>
      <c r="B312">
        <v>16.514241385997199</v>
      </c>
      <c r="C312">
        <v>1.5905896790470599</v>
      </c>
      <c r="D312">
        <v>0.98087255877805002</v>
      </c>
      <c r="E312">
        <v>-0.70324421943551296</v>
      </c>
      <c r="F312">
        <v>-1.17983092680514E-3</v>
      </c>
      <c r="G312">
        <v>6.07130807310329E-3</v>
      </c>
      <c r="H312">
        <v>0.43202947995325602</v>
      </c>
      <c r="I312">
        <v>-1.23921091736536E-3</v>
      </c>
    </row>
    <row r="313" spans="1:9" x14ac:dyDescent="0.25">
      <c r="A313">
        <v>362.10780143737702</v>
      </c>
      <c r="B313">
        <v>16.630498712674601</v>
      </c>
      <c r="C313">
        <v>1.54673560914965</v>
      </c>
      <c r="D313">
        <v>0.95284469681138595</v>
      </c>
      <c r="E313">
        <v>-0.68853484420722799</v>
      </c>
      <c r="F313">
        <v>-1.2061384172136599E-3</v>
      </c>
      <c r="G313">
        <v>5.7309443492769502E-3</v>
      </c>
      <c r="H313">
        <v>0.43226508661294899</v>
      </c>
      <c r="I313">
        <v>-1.15091003703282E-3</v>
      </c>
    </row>
    <row r="314" spans="1:9" x14ac:dyDescent="0.25">
      <c r="A314">
        <v>377.96061158180203</v>
      </c>
      <c r="B314">
        <v>16.743191498123899</v>
      </c>
      <c r="C314">
        <v>1.50386296412038</v>
      </c>
      <c r="D314">
        <v>0.92564959122870605</v>
      </c>
      <c r="E314">
        <v>-0.67366972159350402</v>
      </c>
      <c r="F314">
        <v>-1.3381983943825601E-3</v>
      </c>
      <c r="G314">
        <v>5.4106428930685404E-3</v>
      </c>
      <c r="H314">
        <v>0.43241017763647199</v>
      </c>
      <c r="I314">
        <v>-1.06809720701724E-3</v>
      </c>
    </row>
    <row r="315" spans="1:9" x14ac:dyDescent="0.25">
      <c r="A315">
        <v>393.81348252296402</v>
      </c>
      <c r="B315">
        <v>16.852504545428701</v>
      </c>
      <c r="C315">
        <v>1.4616963964476299</v>
      </c>
      <c r="D315">
        <v>0.89916673726375496</v>
      </c>
      <c r="E315">
        <v>-0.65866801712686296</v>
      </c>
      <c r="F315">
        <v>-1.52018030681719E-3</v>
      </c>
      <c r="G315">
        <v>5.1092718732714398E-3</v>
      </c>
      <c r="H315">
        <v>0.43260782379749102</v>
      </c>
      <c r="I315">
        <v>-9.9085395087663208E-4</v>
      </c>
    </row>
    <row r="316" spans="1:9" x14ac:dyDescent="0.25">
      <c r="A316">
        <v>409.66629266738801</v>
      </c>
      <c r="B316">
        <v>16.958588934482002</v>
      </c>
      <c r="C316">
        <v>1.4201356171503501</v>
      </c>
      <c r="D316">
        <v>0.87326075906294498</v>
      </c>
      <c r="E316">
        <v>-0.64351563752965901</v>
      </c>
      <c r="F316">
        <v>-1.6075782389338099E-3</v>
      </c>
      <c r="G316">
        <v>4.8241722283942703E-3</v>
      </c>
      <c r="H316">
        <v>0.43277099004644498</v>
      </c>
      <c r="I316">
        <v>-9.1825257196916598E-4</v>
      </c>
    </row>
    <row r="317" spans="1:9" x14ac:dyDescent="0.25">
      <c r="A317">
        <v>425.519042015075</v>
      </c>
      <c r="B317">
        <v>17.061539090217</v>
      </c>
      <c r="C317">
        <v>1.37920602641042</v>
      </c>
      <c r="D317">
        <v>0.847989626227311</v>
      </c>
      <c r="E317">
        <v>-0.62826633883443195</v>
      </c>
      <c r="F317">
        <v>-1.6514725482993399E-3</v>
      </c>
      <c r="G317">
        <v>4.5546666921732299E-3</v>
      </c>
      <c r="H317">
        <v>0.43290561268330602</v>
      </c>
      <c r="I317">
        <v>-8.5025952803905196E-4</v>
      </c>
    </row>
    <row r="318" spans="1:9" x14ac:dyDescent="0.25">
      <c r="A318">
        <v>441.371912956237</v>
      </c>
      <c r="B318">
        <v>17.1614993478887</v>
      </c>
      <c r="C318">
        <v>1.3388559891163201</v>
      </c>
      <c r="D318">
        <v>0.82334700823989104</v>
      </c>
      <c r="E318">
        <v>-0.61288177896736495</v>
      </c>
      <c r="F318">
        <v>-1.69199737410876E-3</v>
      </c>
      <c r="G318">
        <v>4.3000995581032198E-3</v>
      </c>
      <c r="H318">
        <v>0.43308447447670201</v>
      </c>
      <c r="I318">
        <v>-7.8730925207721699E-4</v>
      </c>
    </row>
    <row r="319" spans="1:9" x14ac:dyDescent="0.25">
      <c r="A319">
        <v>457.22478389739899</v>
      </c>
      <c r="B319">
        <v>17.258514222108602</v>
      </c>
      <c r="C319">
        <v>1.2989864087837899</v>
      </c>
      <c r="D319">
        <v>0.79903640019851097</v>
      </c>
      <c r="E319">
        <v>-0.59738850986465597</v>
      </c>
      <c r="F319">
        <v>-1.7947359327599201E-3</v>
      </c>
      <c r="G319">
        <v>4.0580105699724598E-3</v>
      </c>
      <c r="H319">
        <v>0.43322233889079897</v>
      </c>
      <c r="I319">
        <v>-7.2890949516381601E-4</v>
      </c>
    </row>
    <row r="320" spans="1:9" x14ac:dyDescent="0.25">
      <c r="A320">
        <v>473.07753324508599</v>
      </c>
      <c r="B320">
        <v>17.352607993573798</v>
      </c>
      <c r="C320">
        <v>1.2593838284852501</v>
      </c>
      <c r="D320">
        <v>0.77482129927276999</v>
      </c>
      <c r="E320">
        <v>-0.58178330907542497</v>
      </c>
      <c r="F320" s="1">
        <v>-1.9427241836392801E-3</v>
      </c>
      <c r="G320">
        <v>3.8273353882060201E-3</v>
      </c>
      <c r="H320">
        <v>0.43336438999106403</v>
      </c>
      <c r="I320">
        <v>-6.7392764594912898E-4</v>
      </c>
    </row>
    <row r="321" spans="1:9" x14ac:dyDescent="0.25">
      <c r="A321">
        <v>488.93034338951099</v>
      </c>
      <c r="B321">
        <v>17.443910159335399</v>
      </c>
      <c r="C321">
        <v>1.2200505139646201</v>
      </c>
      <c r="D321">
        <v>0.75089555911736094</v>
      </c>
      <c r="E321">
        <v>-0.56607603136648998</v>
      </c>
      <c r="F321">
        <v>-2.0893575011823999E-3</v>
      </c>
      <c r="G321">
        <v>3.6077212831394602E-3</v>
      </c>
      <c r="H321">
        <v>0.43352212121101602</v>
      </c>
      <c r="I321">
        <v>-6.2211961221926603E-4</v>
      </c>
    </row>
    <row r="322" spans="1:9" x14ac:dyDescent="0.25">
      <c r="A322">
        <v>504.78321433067299</v>
      </c>
      <c r="B322">
        <v>17.532575846069399</v>
      </c>
      <c r="C322">
        <v>1.1810063799185</v>
      </c>
      <c r="D322" s="1">
        <v>0.72739913521928501</v>
      </c>
      <c r="E322" s="1">
        <v>-0.550247028333675</v>
      </c>
      <c r="F322" s="1">
        <v>-2.1915771418322101E-3</v>
      </c>
      <c r="G322" s="1">
        <v>3.39832129080244E-3</v>
      </c>
      <c r="H322">
        <v>0.43373641727682899</v>
      </c>
      <c r="I322" s="1">
        <v>-5.7265433820626499E-4</v>
      </c>
    </row>
    <row r="323" spans="1:9" x14ac:dyDescent="0.25">
      <c r="A323">
        <v>520.63602447509697</v>
      </c>
      <c r="B323">
        <v>17.618727131725201</v>
      </c>
      <c r="C323">
        <v>1.14229697972474</v>
      </c>
      <c r="D323" s="1">
        <v>0.70415624388740305</v>
      </c>
      <c r="E323" s="1">
        <v>-0.53431357926287604</v>
      </c>
      <c r="F323" s="1">
        <v>-2.2805720663629501E-3</v>
      </c>
      <c r="G323" s="1">
        <v>3.1981533954741699E-3</v>
      </c>
      <c r="H323">
        <v>0.43402044283646402</v>
      </c>
      <c r="I323" s="1">
        <v>-5.2624098087595704E-4</v>
      </c>
    </row>
    <row r="324" spans="1:9" x14ac:dyDescent="0.25">
      <c r="A324">
        <v>536.48889541625897</v>
      </c>
      <c r="B324">
        <v>17.7023471547075</v>
      </c>
      <c r="C324">
        <v>1.1039796724794999</v>
      </c>
      <c r="D324" s="1">
        <v>0.68119581559421505</v>
      </c>
      <c r="E324" s="1">
        <v>-0.51828314935377595</v>
      </c>
      <c r="F324" s="1">
        <v>-2.3922337204873899E-3</v>
      </c>
      <c r="G324" s="1">
        <v>3.0057965459132502E-3</v>
      </c>
      <c r="H324">
        <v>0.43405464451546799</v>
      </c>
      <c r="I324" s="1">
        <v>-4.8283290828271601E-4</v>
      </c>
    </row>
    <row r="325" spans="1:9" x14ac:dyDescent="0.25">
      <c r="A325">
        <v>552.34173595905304</v>
      </c>
      <c r="B325">
        <v>17.783461544641199</v>
      </c>
      <c r="C325">
        <v>1.06584791773668</v>
      </c>
      <c r="D325" s="1">
        <v>0.65834681107466098</v>
      </c>
      <c r="E325" s="1">
        <v>-0.50217672887211795</v>
      </c>
      <c r="F325" s="1">
        <v>-2.5128152758746801E-3</v>
      </c>
      <c r="G325" s="1">
        <v>2.8228838275444999E-3</v>
      </c>
      <c r="H325">
        <v>0.43417193292806999</v>
      </c>
      <c r="I325" s="1">
        <v>-4.4231629195856301E-4</v>
      </c>
    </row>
    <row r="326" spans="1:9" x14ac:dyDescent="0.25">
      <c r="A326">
        <v>568.19448530673901</v>
      </c>
      <c r="B326">
        <v>17.8621768668079</v>
      </c>
      <c r="C326">
        <v>1.0278620053527501</v>
      </c>
      <c r="D326" s="1">
        <v>0.635507280985114</v>
      </c>
      <c r="E326" s="1">
        <v>-0.48597540500479203</v>
      </c>
      <c r="F326" s="1">
        <v>-2.5804773643266199E-3</v>
      </c>
      <c r="G326" s="1">
        <v>2.6489723518690299E-3</v>
      </c>
      <c r="H326">
        <v>0.434424467240418</v>
      </c>
      <c r="I326" s="1">
        <v>-4.0449544719361498E-4</v>
      </c>
    </row>
    <row r="327" spans="1:9" x14ac:dyDescent="0.25">
      <c r="A327">
        <v>584.04732584953297</v>
      </c>
      <c r="B327">
        <v>17.938555846341799</v>
      </c>
      <c r="C327">
        <v>0.99017230917446697</v>
      </c>
      <c r="D327" s="1">
        <v>0.61280457092753704</v>
      </c>
      <c r="E327" s="1">
        <v>-0.46968098602800601</v>
      </c>
      <c r="F327" s="1">
        <v>-2.5476787125900601E-3</v>
      </c>
      <c r="G327" s="1">
        <v>2.4827292392678498E-3</v>
      </c>
      <c r="H327">
        <v>0.43465021655039698</v>
      </c>
      <c r="I327" s="1">
        <v>-3.6896761612452899E-4</v>
      </c>
    </row>
    <row r="328" spans="1:9" x14ac:dyDescent="0.25">
      <c r="A328">
        <v>599.90016639232601</v>
      </c>
      <c r="B328">
        <v>18.012563411124901</v>
      </c>
      <c r="C328">
        <v>0.95291447571306398</v>
      </c>
      <c r="D328" s="1">
        <v>0.59045235679762398</v>
      </c>
      <c r="E328" s="1">
        <v>-0.453313035715038</v>
      </c>
      <c r="F328" s="1">
        <v>-2.36726192756497E-3</v>
      </c>
      <c r="G328" s="1">
        <v>2.32368344262244E-3</v>
      </c>
      <c r="H328">
        <v>0.43487071308201197</v>
      </c>
      <c r="I328" s="1">
        <v>-3.3546171898514199E-4</v>
      </c>
    </row>
    <row r="329" spans="1:9" x14ac:dyDescent="0.25">
      <c r="A329">
        <v>615.75300693511895</v>
      </c>
      <c r="B329">
        <v>18.084184722953399</v>
      </c>
      <c r="C329">
        <v>0.91626523299461404</v>
      </c>
      <c r="D329" s="1">
        <v>0.56840352762063495</v>
      </c>
      <c r="E329" s="1">
        <v>-0.43687495898031498</v>
      </c>
      <c r="F329" s="1">
        <v>-2.1044238489331701E-3</v>
      </c>
      <c r="G329" s="1">
        <v>2.1709297633270399E-3</v>
      </c>
      <c r="H329">
        <v>0.43482358520216302</v>
      </c>
      <c r="I329" s="1">
        <v>-3.0371537686339301E-4</v>
      </c>
    </row>
    <row r="330" spans="1:9" x14ac:dyDescent="0.25">
      <c r="A330">
        <v>631.60581707954395</v>
      </c>
      <c r="B330">
        <v>18.153459575191999</v>
      </c>
      <c r="C330">
        <v>0.87999490613503395</v>
      </c>
      <c r="D330" s="1">
        <v>0.546454166502926</v>
      </c>
      <c r="E330" s="1">
        <v>-0.42034853658429699</v>
      </c>
      <c r="F330" s="1">
        <v>-1.80643736987676E-3</v>
      </c>
      <c r="G330" s="1">
        <v>2.02609336582541E-3</v>
      </c>
      <c r="H330">
        <v>0.43478441018804598</v>
      </c>
      <c r="I330" s="1">
        <v>-2.7427625804216001E-4</v>
      </c>
    </row>
    <row r="331" spans="1:9" x14ac:dyDescent="0.25">
      <c r="A331">
        <v>647.45859682559899</v>
      </c>
      <c r="B331">
        <v>18.220406178363501</v>
      </c>
      <c r="C331">
        <v>0.84409437253378605</v>
      </c>
      <c r="D331" s="1">
        <v>0.52457492875641698</v>
      </c>
      <c r="E331" s="1">
        <v>-0.40376054044222398</v>
      </c>
      <c r="F331" s="1">
        <v>-1.54508377238766E-3</v>
      </c>
      <c r="G331" s="1">
        <v>1.8895062010671499E-3</v>
      </c>
      <c r="H331">
        <v>0.43493641233317298</v>
      </c>
      <c r="I331" s="1">
        <v>-2.4748141775833999E-4</v>
      </c>
    </row>
    <row r="332" spans="1:9" x14ac:dyDescent="0.25">
      <c r="A332">
        <v>663.31143736839203</v>
      </c>
      <c r="B332">
        <v>18.284980692320399</v>
      </c>
      <c r="C332">
        <v>0.80860465408086302</v>
      </c>
      <c r="D332" s="1">
        <v>0.50278668244883895</v>
      </c>
      <c r="E332" s="1">
        <v>-0.38709962371914097</v>
      </c>
      <c r="F332" s="1">
        <v>-1.3072992610985699E-3</v>
      </c>
      <c r="G332" s="1">
        <v>1.7598947714440899E-3</v>
      </c>
      <c r="H332">
        <v>0.43514319544021302</v>
      </c>
      <c r="I332" s="1">
        <v>-2.23063871618689E-4</v>
      </c>
    </row>
    <row r="333" spans="1:9" x14ac:dyDescent="0.25">
      <c r="A333">
        <v>679.16427791118599</v>
      </c>
      <c r="B333">
        <v>18.3471743490332</v>
      </c>
      <c r="C333">
        <v>0.77358489861765001</v>
      </c>
      <c r="D333" s="1">
        <v>0.48111119725865997</v>
      </c>
      <c r="E333" s="1">
        <v>-0.37036042385998003</v>
      </c>
      <c r="F333" s="1">
        <v>-1.08554260549747E-3</v>
      </c>
      <c r="G333" s="1">
        <v>1.6367271719878701E-3</v>
      </c>
      <c r="H333">
        <v>0.43533493244487598</v>
      </c>
      <c r="I333" s="1">
        <v>-2.0011554516177201E-4</v>
      </c>
    </row>
    <row r="334" spans="1:9" x14ac:dyDescent="0.25">
      <c r="A334">
        <v>695.01711845397904</v>
      </c>
      <c r="B334">
        <v>18.4070343609684</v>
      </c>
      <c r="C334">
        <v>0.73918798423417598</v>
      </c>
      <c r="D334" s="1">
        <v>0.45968539712550999</v>
      </c>
      <c r="E334" s="1">
        <v>-0.35355574269497902</v>
      </c>
      <c r="F334" s="1">
        <v>-9.3023065477189696E-4</v>
      </c>
      <c r="G334" s="1">
        <v>1.5204048948512601E-3</v>
      </c>
      <c r="H334">
        <v>0.43569333671314497</v>
      </c>
      <c r="I334" s="1">
        <v>-1.7894395190954E-4</v>
      </c>
    </row>
    <row r="335" spans="1:9" x14ac:dyDescent="0.25">
      <c r="A335">
        <v>710.86992859840302</v>
      </c>
      <c r="B335">
        <v>18.464635593608801</v>
      </c>
      <c r="C335">
        <v>0.70546059718024401</v>
      </c>
      <c r="D335" s="1">
        <v>0.43847249400925797</v>
      </c>
      <c r="E335" s="1">
        <v>-0.33668736122168502</v>
      </c>
      <c r="F335" s="1">
        <v>-7.8863035054059299E-4</v>
      </c>
      <c r="G335" s="1">
        <v>1.41054298392037E-3</v>
      </c>
      <c r="H335">
        <v>0.43621378162351598</v>
      </c>
      <c r="I335" s="1">
        <v>-1.5967053861978901E-4</v>
      </c>
    </row>
    <row r="336" spans="1:9" x14ac:dyDescent="0.25">
      <c r="A336">
        <v>726.72273874282803</v>
      </c>
      <c r="B336">
        <v>18.519944998227899</v>
      </c>
      <c r="C336">
        <v>0.67234615348259397</v>
      </c>
      <c r="D336" s="1">
        <v>0.41741148581182302</v>
      </c>
      <c r="E336" s="1">
        <v>-0.319764243520613</v>
      </c>
      <c r="F336" s="1">
        <v>-6.2862596631040003E-4</v>
      </c>
      <c r="G336" s="1">
        <v>1.30688779308332E-3</v>
      </c>
      <c r="H336">
        <v>0.436843498810565</v>
      </c>
      <c r="I336" s="1">
        <v>-1.4219162686568001E-4</v>
      </c>
    </row>
    <row r="337" spans="1:9" x14ac:dyDescent="0.25">
      <c r="A337">
        <v>742.57554888725201</v>
      </c>
      <c r="B337">
        <v>18.572878266849401</v>
      </c>
      <c r="C337">
        <v>0.63989122014134803</v>
      </c>
      <c r="D337" s="1">
        <v>0.39654462017311698</v>
      </c>
      <c r="E337" s="1">
        <v>-0.30279330820418299</v>
      </c>
      <c r="F337" s="1">
        <v>-5.4538142220985502E-4</v>
      </c>
      <c r="G337" s="1">
        <v>1.20942924991984E-3</v>
      </c>
      <c r="H337">
        <v>0.43743899851783902</v>
      </c>
      <c r="I337" s="1">
        <v>-1.2636856524968801E-4</v>
      </c>
    </row>
    <row r="338" spans="1:9" x14ac:dyDescent="0.25">
      <c r="A338">
        <v>758.42838943004597</v>
      </c>
      <c r="B338">
        <v>18.623419886805902</v>
      </c>
      <c r="C338">
        <v>0.60812370158167495</v>
      </c>
      <c r="D338" s="1">
        <v>0.37603133991405902</v>
      </c>
      <c r="E338" s="1">
        <v>-0.28575874582537703</v>
      </c>
      <c r="F338" s="1">
        <v>-6.0063510997174099E-4</v>
      </c>
      <c r="G338" s="1">
        <v>1.1180739812425601E-3</v>
      </c>
      <c r="H338">
        <v>0.43801398947526698</v>
      </c>
      <c r="I338" s="1">
        <v>-1.12175632576425E-4</v>
      </c>
    </row>
    <row r="339" spans="1:9" x14ac:dyDescent="0.25">
      <c r="A339">
        <v>774.28122997283901</v>
      </c>
      <c r="B339">
        <v>18.671552996502101</v>
      </c>
      <c r="C339">
        <v>0.57698969694812097</v>
      </c>
      <c r="D339" s="1">
        <v>0.35576820261046299</v>
      </c>
      <c r="E339" s="1">
        <v>-0.26867510745245399</v>
      </c>
      <c r="F339" s="1">
        <v>-7.3360388627885195E-4</v>
      </c>
      <c r="G339" s="1">
        <v>1.0326244466418201E-3</v>
      </c>
      <c r="H339">
        <v>0.43869298698805997</v>
      </c>
      <c r="I339" s="1">
        <v>-9.9467653401635195E-5</v>
      </c>
    </row>
    <row r="340" spans="1:9" x14ac:dyDescent="0.25">
      <c r="A340">
        <v>790.13402491807904</v>
      </c>
      <c r="B340">
        <v>18.717179124222</v>
      </c>
      <c r="C340">
        <v>0.54675006491614497</v>
      </c>
      <c r="D340" s="1">
        <v>0.33600824021917503</v>
      </c>
      <c r="E340" s="1">
        <v>-0.251547798741867</v>
      </c>
      <c r="F340" s="1">
        <v>-8.0491325041214695E-4</v>
      </c>
      <c r="G340" s="1">
        <v>9.5250450535606002E-4</v>
      </c>
      <c r="H340">
        <v>0.43926215923499301</v>
      </c>
      <c r="I340" s="1">
        <v>-8.8000927561168903E-5</v>
      </c>
    </row>
    <row r="341" spans="1:9" x14ac:dyDescent="0.25">
      <c r="A341">
        <v>805.98686546087197</v>
      </c>
      <c r="B341">
        <v>18.760220706627599</v>
      </c>
      <c r="C341">
        <v>0.51769249533925599</v>
      </c>
      <c r="D341" s="1">
        <v>0.316779049988275</v>
      </c>
      <c r="E341" s="1">
        <v>-0.23438034254010801</v>
      </c>
      <c r="F341" s="1">
        <v>-8.0245895418504395E-4</v>
      </c>
      <c r="G341" s="1">
        <v>8.7794931782017604E-4</v>
      </c>
      <c r="H341">
        <v>0.43980522519457599</v>
      </c>
      <c r="I341" s="1">
        <v>-7.7819262415737802E-5</v>
      </c>
    </row>
    <row r="342" spans="1:9" x14ac:dyDescent="0.25">
      <c r="A342">
        <v>821.83970600366501</v>
      </c>
      <c r="B342">
        <v>18.800662231051199</v>
      </c>
      <c r="C342">
        <v>0.489859679602968</v>
      </c>
      <c r="D342" s="1">
        <v>0.29819067444879099</v>
      </c>
      <c r="E342" s="1">
        <v>-0.21717509336080801</v>
      </c>
      <c r="F342" s="1">
        <v>-7.6678630240883602E-4</v>
      </c>
      <c r="G342" s="1">
        <v>8.09169907080263E-4</v>
      </c>
      <c r="H342">
        <v>0.44054151148404802</v>
      </c>
      <c r="I342" s="1">
        <v>-6.9129703017399403E-5</v>
      </c>
    </row>
    <row r="343" spans="1:9" x14ac:dyDescent="0.25">
      <c r="A343">
        <v>837.69251614809002</v>
      </c>
      <c r="B343">
        <v>18.8384112959512</v>
      </c>
      <c r="C343">
        <v>0.46332987530992098</v>
      </c>
      <c r="D343" s="1">
        <v>0.28030683697388398</v>
      </c>
      <c r="E343" s="1">
        <v>-0.199937840020807</v>
      </c>
      <c r="F343" s="1">
        <v>-7.3756152195534805E-4</v>
      </c>
      <c r="G343" s="1">
        <v>7.4597175635240703E-4</v>
      </c>
      <c r="H343">
        <v>0.44143678947078402</v>
      </c>
      <c r="I343" s="1">
        <v>-6.1629195987516894E-5</v>
      </c>
    </row>
    <row r="344" spans="1:9" x14ac:dyDescent="0.25">
      <c r="A344">
        <v>853.54535669088295</v>
      </c>
      <c r="B344">
        <v>18.873364033901002</v>
      </c>
      <c r="C344">
        <v>0.43823178267747998</v>
      </c>
      <c r="D344" s="1">
        <v>0.26320719802331599</v>
      </c>
      <c r="E344" s="1">
        <v>-0.18265800990909201</v>
      </c>
      <c r="F344" s="1">
        <v>-7.3835676338677297E-4</v>
      </c>
      <c r="G344" s="1">
        <v>6.8825361239511595E-4</v>
      </c>
      <c r="H344">
        <v>0.44241305076388798</v>
      </c>
      <c r="I344" s="1">
        <v>-5.5001361421970298E-5</v>
      </c>
    </row>
    <row r="345" spans="1:9" x14ac:dyDescent="0.25">
      <c r="A345">
        <v>869.39818203449204</v>
      </c>
      <c r="B345">
        <v>18.905504257769199</v>
      </c>
      <c r="C345">
        <v>0.41467749640504498</v>
      </c>
      <c r="D345" s="1">
        <v>0.24699586682052299</v>
      </c>
      <c r="E345" s="1">
        <v>-0.165339944650293</v>
      </c>
      <c r="F345" s="1">
        <v>-7.2715033473748597E-4</v>
      </c>
      <c r="G345" s="1">
        <v>6.3645169621477399E-4</v>
      </c>
      <c r="H345">
        <v>0.44358572702808602</v>
      </c>
      <c r="I345" s="1">
        <v>-4.9422136410429199E-5</v>
      </c>
    </row>
    <row r="346" spans="1:9" x14ac:dyDescent="0.25">
      <c r="A346">
        <v>885.25099217891602</v>
      </c>
      <c r="B346">
        <v>18.934833990947201</v>
      </c>
      <c r="C346">
        <v>0.39281852321132099</v>
      </c>
      <c r="D346" s="1">
        <v>0.231794374954956</v>
      </c>
      <c r="E346" s="1">
        <v>-0.14799540843376599</v>
      </c>
      <c r="F346" s="1">
        <v>-7.0430326630940799E-4</v>
      </c>
      <c r="G346" s="1">
        <v>5.9034165674938402E-4</v>
      </c>
      <c r="H346">
        <v>0.444857809633114</v>
      </c>
      <c r="I346" s="1">
        <v>-4.48905800709653E-5</v>
      </c>
    </row>
    <row r="347" spans="1:9" x14ac:dyDescent="0.25">
      <c r="A347">
        <v>901.10380992293301</v>
      </c>
      <c r="B347">
        <v>18.9612203640648</v>
      </c>
      <c r="C347">
        <v>0.37283135262302203</v>
      </c>
      <c r="D347" s="1">
        <v>0.217801578285887</v>
      </c>
      <c r="E347" s="1">
        <v>-0.130638259442239</v>
      </c>
      <c r="F347" s="1">
        <v>-6.7396658932913705E-4</v>
      </c>
      <c r="G347" s="1">
        <v>5.4950944954084303E-4</v>
      </c>
      <c r="H347">
        <v>0.44609888119799002</v>
      </c>
      <c r="I347" s="1">
        <v>-4.1200723054132998E-5</v>
      </c>
    </row>
    <row r="348" spans="1:9" x14ac:dyDescent="0.25">
      <c r="A348">
        <v>916.95665046572606</v>
      </c>
      <c r="B348">
        <v>18.984529158823999</v>
      </c>
      <c r="C348">
        <v>0.35484701022627801</v>
      </c>
      <c r="D348" s="1">
        <v>0.20511747996863999</v>
      </c>
      <c r="E348" s="1">
        <v>-0.11326202637223</v>
      </c>
      <c r="F348" s="1">
        <v>-6.2778372509898295E-4</v>
      </c>
      <c r="G348" s="1">
        <v>5.1402683553665397E-4</v>
      </c>
      <c r="H348">
        <v>0.44741910986202299</v>
      </c>
      <c r="I348" s="1">
        <v>-3.8253331295030398E-5</v>
      </c>
    </row>
    <row r="349" spans="1:9" x14ac:dyDescent="0.25">
      <c r="A349">
        <v>932.80946820974305</v>
      </c>
      <c r="B349">
        <v>19.0046868586697</v>
      </c>
      <c r="C349">
        <v>0.33904261160862198</v>
      </c>
      <c r="D349" s="1">
        <v>0.19400195914401699</v>
      </c>
      <c r="E349" s="1">
        <v>-9.58670046204146E-2</v>
      </c>
      <c r="F349" s="1">
        <v>-5.5732814667887505E-4</v>
      </c>
      <c r="G349" s="1">
        <v>4.83670564684973E-4</v>
      </c>
      <c r="H349">
        <v>0.44853502001763501</v>
      </c>
      <c r="I349" s="1">
        <v>-3.5932832657070999E-5</v>
      </c>
    </row>
    <row r="350" spans="1:9" x14ac:dyDescent="0.25">
      <c r="A350">
        <v>948.66229355335201</v>
      </c>
      <c r="B350">
        <v>19.0216037599155</v>
      </c>
      <c r="C350">
        <v>0.32561426286915901</v>
      </c>
      <c r="D350" s="1">
        <v>0.18452178432972599</v>
      </c>
      <c r="E350" s="1">
        <v>-7.8460169551793801E-2</v>
      </c>
      <c r="F350" s="1">
        <v>-4.7929972243632098E-4</v>
      </c>
      <c r="G350" s="1">
        <v>4.5839385341265302E-4</v>
      </c>
      <c r="H350">
        <v>0.449533602570515</v>
      </c>
      <c r="I350" s="1">
        <v>-3.4129103515521199E-5</v>
      </c>
    </row>
    <row r="351" spans="1:9" x14ac:dyDescent="0.25">
      <c r="A351">
        <v>964.51511889696098</v>
      </c>
      <c r="B351">
        <v>19.0352144395717</v>
      </c>
      <c r="C351">
        <v>0.31471013173555301</v>
      </c>
      <c r="D351" s="1">
        <v>0.17683254298404499</v>
      </c>
      <c r="E351" s="1">
        <v>-6.1040808825061903E-2</v>
      </c>
      <c r="F351" s="1">
        <v>-3.9790591640843101E-4</v>
      </c>
      <c r="G351" s="1">
        <v>4.3818062766502302E-4</v>
      </c>
      <c r="H351">
        <v>0.450499029021661</v>
      </c>
      <c r="I351" s="1">
        <v>-3.2738266365024002E-5</v>
      </c>
    </row>
    <row r="352" spans="1:9" x14ac:dyDescent="0.25">
      <c r="A352">
        <v>980.36794044077305</v>
      </c>
      <c r="B352">
        <v>19.045462917142402</v>
      </c>
      <c r="C352">
        <v>0.30643831804291199</v>
      </c>
      <c r="D352" s="1">
        <v>0.170966575629944</v>
      </c>
      <c r="E352" s="1">
        <v>-4.3612253309946399E-2</v>
      </c>
      <c r="F352" s="1">
        <v>-3.07080684079429E-4</v>
      </c>
      <c r="G352" s="1">
        <v>4.22936329855729E-4</v>
      </c>
      <c r="H352">
        <v>0.45120664793047899</v>
      </c>
      <c r="I352" s="1">
        <v>-3.1694766731480198E-5</v>
      </c>
    </row>
    <row r="353" spans="1:9" x14ac:dyDescent="0.25">
      <c r="A353">
        <v>996.22076388448397</v>
      </c>
      <c r="B353">
        <v>19.052312771581899</v>
      </c>
      <c r="C353">
        <v>0.30085153014989102</v>
      </c>
      <c r="D353" s="1">
        <v>0.167008900392144</v>
      </c>
      <c r="E353" s="1">
        <v>-2.6175148051663599E-2</v>
      </c>
      <c r="F353" s="1">
        <v>-2.1795203019511899E-4</v>
      </c>
      <c r="G353" s="1">
        <v>4.1271468489252302E-4</v>
      </c>
      <c r="H353">
        <v>0.45170190070460498</v>
      </c>
      <c r="I353" s="1">
        <v>-3.1052495587546702E-5</v>
      </c>
    </row>
    <row r="354" spans="1:9" x14ac:dyDescent="0.25">
      <c r="A354">
        <v>1012.07358780317</v>
      </c>
      <c r="B354">
        <v>19.055768049673102</v>
      </c>
      <c r="C354">
        <v>0.29798226359434599</v>
      </c>
      <c r="D354" s="1">
        <v>0.16503402941048601</v>
      </c>
      <c r="E354" s="1">
        <v>-8.7302339182687306E-3</v>
      </c>
      <c r="F354" s="1">
        <v>-1.3799789991462299E-4</v>
      </c>
      <c r="G354" s="1">
        <v>4.0755153785444498E-4</v>
      </c>
      <c r="H354">
        <v>0.45206408935241699</v>
      </c>
      <c r="I354" s="1">
        <v>-3.0752548174009901E-5</v>
      </c>
    </row>
    <row r="355" spans="1:9" x14ac:dyDescent="0.25">
      <c r="A355" t="s">
        <v>501</v>
      </c>
      <c r="B355" t="s">
        <v>538</v>
      </c>
      <c r="C355" t="s">
        <v>539</v>
      </c>
      <c r="D355" t="s">
        <v>540</v>
      </c>
      <c r="E355" t="s">
        <v>541</v>
      </c>
      <c r="F355" t="s">
        <v>542</v>
      </c>
      <c r="G355" t="s">
        <v>378</v>
      </c>
      <c r="H355" t="s">
        <v>543</v>
      </c>
      <c r="I355" t="s">
        <v>537</v>
      </c>
    </row>
    <row r="356" spans="1:9" x14ac:dyDescent="0.25">
      <c r="A356">
        <v>-143.34727764129599</v>
      </c>
      <c r="B356">
        <v>-1138.7613853257001</v>
      </c>
      <c r="C356">
        <v>2.5866763028143499E-2</v>
      </c>
      <c r="D356">
        <v>0</v>
      </c>
      <c r="E356">
        <v>0</v>
      </c>
      <c r="F356">
        <v>0</v>
      </c>
      <c r="G356" s="1">
        <v>1.6163232748667101E-7</v>
      </c>
      <c r="H356">
        <v>0.12869227963220101</v>
      </c>
      <c r="I356">
        <v>0</v>
      </c>
    </row>
    <row r="357" spans="1:9" x14ac:dyDescent="0.25">
      <c r="A357">
        <v>-130.59127092361399</v>
      </c>
      <c r="B357">
        <v>-1037.4902883570501</v>
      </c>
      <c r="C357">
        <v>2.6046334413777902E-2</v>
      </c>
      <c r="D357">
        <v>0</v>
      </c>
      <c r="E357">
        <v>0</v>
      </c>
      <c r="F357">
        <v>0</v>
      </c>
      <c r="G357" s="1">
        <v>3.2247541587482299E-7</v>
      </c>
      <c r="H357">
        <v>0.55245612274923706</v>
      </c>
      <c r="I357">
        <v>0</v>
      </c>
    </row>
    <row r="358" spans="1:9" x14ac:dyDescent="0.25">
      <c r="A358">
        <v>-118.88850688934301</v>
      </c>
      <c r="B358">
        <v>-944.57002456596604</v>
      </c>
      <c r="C358">
        <v>2.6521119562431E-2</v>
      </c>
      <c r="D358">
        <v>0</v>
      </c>
      <c r="E358">
        <v>0</v>
      </c>
      <c r="F358">
        <v>0</v>
      </c>
      <c r="G358" s="1">
        <v>6.1781735813948198E-7</v>
      </c>
      <c r="H358">
        <v>0.75357008840766804</v>
      </c>
      <c r="I358">
        <v>0</v>
      </c>
    </row>
    <row r="359" spans="1:9" x14ac:dyDescent="0.25">
      <c r="A359">
        <v>-108.151924610137</v>
      </c>
      <c r="B359">
        <v>-859.31279194763397</v>
      </c>
      <c r="C359">
        <v>2.7469488046553699E-2</v>
      </c>
      <c r="D359">
        <v>0</v>
      </c>
      <c r="E359">
        <v>0</v>
      </c>
      <c r="F359">
        <v>0</v>
      </c>
      <c r="G359" s="1">
        <v>1.03736422829792E-6</v>
      </c>
      <c r="H359">
        <v>0.83939924702981406</v>
      </c>
      <c r="I359">
        <v>0</v>
      </c>
    </row>
    <row r="360" spans="1:9" x14ac:dyDescent="0.25">
      <c r="A360">
        <v>-98.302001953125</v>
      </c>
      <c r="B360">
        <v>-781.08742187431505</v>
      </c>
      <c r="C360">
        <v>2.9075239025599199E-2</v>
      </c>
      <c r="D360">
        <v>0</v>
      </c>
      <c r="E360">
        <v>0</v>
      </c>
      <c r="F360">
        <v>0</v>
      </c>
      <c r="G360" s="1">
        <v>1.5935355521357001E-6</v>
      </c>
      <c r="H360">
        <v>0.88072009679095897</v>
      </c>
      <c r="I360">
        <v>0</v>
      </c>
    </row>
    <row r="361" spans="1:9" x14ac:dyDescent="0.25">
      <c r="A361">
        <v>-89.265174865722599</v>
      </c>
      <c r="B361">
        <v>-709.31450137308298</v>
      </c>
      <c r="C361">
        <v>3.15085902384106E-2</v>
      </c>
      <c r="D361">
        <v>0</v>
      </c>
      <c r="E361">
        <v>0</v>
      </c>
      <c r="F361">
        <v>0</v>
      </c>
      <c r="G361" s="1">
        <v>2.3229183707735801E-6</v>
      </c>
      <c r="H361">
        <v>0.90263381023063005</v>
      </c>
      <c r="I361">
        <v>0</v>
      </c>
    </row>
    <row r="362" spans="1:9" x14ac:dyDescent="0.25">
      <c r="A362">
        <v>-80.974688529968205</v>
      </c>
      <c r="B362">
        <v>-643.46222922018205</v>
      </c>
      <c r="C362">
        <v>3.4926382963608303E-2</v>
      </c>
      <c r="D362">
        <v>0</v>
      </c>
      <c r="E362">
        <v>0</v>
      </c>
      <c r="F362">
        <v>0</v>
      </c>
      <c r="G362" s="1">
        <v>3.2878809896734698E-6</v>
      </c>
      <c r="H362">
        <v>0.91496965926388196</v>
      </c>
      <c r="I362">
        <v>0</v>
      </c>
    </row>
    <row r="363" spans="1:9" x14ac:dyDescent="0.25">
      <c r="A363">
        <v>-73.368651866912799</v>
      </c>
      <c r="B363">
        <v>-583.04270369222797</v>
      </c>
      <c r="C363">
        <v>3.94798761041582E-2</v>
      </c>
      <c r="D363">
        <v>0</v>
      </c>
      <c r="E363">
        <v>0</v>
      </c>
      <c r="F363">
        <v>0</v>
      </c>
      <c r="G363" s="1">
        <v>4.58047691080842E-6</v>
      </c>
      <c r="H363">
        <v>0.92212020411439799</v>
      </c>
      <c r="I363">
        <v>0</v>
      </c>
    </row>
    <row r="364" spans="1:9" x14ac:dyDescent="0.25">
      <c r="A364">
        <v>-66.390645503997803</v>
      </c>
      <c r="B364">
        <v>-527.60803765466903</v>
      </c>
      <c r="C364">
        <v>4.53243998216393E-2</v>
      </c>
      <c r="D364">
        <v>0</v>
      </c>
      <c r="E364">
        <v>0</v>
      </c>
      <c r="F364">
        <v>0</v>
      </c>
      <c r="G364" s="1">
        <v>6.3304624237616702E-6</v>
      </c>
      <c r="H364">
        <v>0.92626795077484902</v>
      </c>
      <c r="I364">
        <v>0</v>
      </c>
    </row>
    <row r="365" spans="1:9" x14ac:dyDescent="0.25">
      <c r="A365">
        <v>-59.988870620727504</v>
      </c>
      <c r="B365">
        <v>-476.74729379823901</v>
      </c>
      <c r="C365">
        <v>5.2628714772864599E-2</v>
      </c>
      <c r="D365">
        <v>0</v>
      </c>
      <c r="E365">
        <v>0</v>
      </c>
      <c r="F365">
        <v>0</v>
      </c>
      <c r="G365" s="1">
        <v>8.7192988401341104E-6</v>
      </c>
      <c r="H365">
        <v>0.92858978427211403</v>
      </c>
      <c r="I365">
        <v>0</v>
      </c>
    </row>
    <row r="366" spans="1:9" x14ac:dyDescent="0.25">
      <c r="A366">
        <v>-54.115540981292703</v>
      </c>
      <c r="B366">
        <v>-430.083247212679</v>
      </c>
      <c r="C366">
        <v>6.1584060179366601E-2</v>
      </c>
      <c r="D366">
        <v>0</v>
      </c>
      <c r="E366">
        <v>0</v>
      </c>
      <c r="F366">
        <v>0</v>
      </c>
      <c r="G366" s="1">
        <v>1.200281912201E-5</v>
      </c>
      <c r="H366">
        <v>0.92976923541763401</v>
      </c>
      <c r="I366">
        <v>0</v>
      </c>
    </row>
    <row r="367" spans="1:9" x14ac:dyDescent="0.25">
      <c r="A367">
        <v>-48.727247714996302</v>
      </c>
      <c r="B367">
        <v>-387.26990335992002</v>
      </c>
      <c r="C367">
        <v>7.2413622997316796E-2</v>
      </c>
      <c r="D367">
        <v>0</v>
      </c>
      <c r="E367">
        <v>0</v>
      </c>
      <c r="F367">
        <v>0</v>
      </c>
      <c r="G367" s="1">
        <v>1.6547114199905601E-5</v>
      </c>
      <c r="H367">
        <v>0.93024022036250997</v>
      </c>
      <c r="I367">
        <v>0</v>
      </c>
    </row>
    <row r="368" spans="1:9" x14ac:dyDescent="0.25">
      <c r="A368">
        <v>-43.783864974975501</v>
      </c>
      <c r="B368">
        <v>-347.98964913895799</v>
      </c>
      <c r="C368">
        <v>8.5383777199885394E-2</v>
      </c>
      <c r="D368">
        <v>0</v>
      </c>
      <c r="E368">
        <v>0</v>
      </c>
      <c r="F368">
        <v>0</v>
      </c>
      <c r="G368" s="1">
        <v>2.2885555673063602E-5</v>
      </c>
      <c r="H368">
        <v>0.93031332821196999</v>
      </c>
      <c r="I368">
        <v>0</v>
      </c>
    </row>
    <row r="369" spans="1:9" x14ac:dyDescent="0.25">
      <c r="A369">
        <v>-39.248671531677203</v>
      </c>
      <c r="B369">
        <v>-311.951051435978</v>
      </c>
      <c r="C369">
        <v>0.100818665777199</v>
      </c>
      <c r="D369">
        <v>0</v>
      </c>
      <c r="E369">
        <v>0</v>
      </c>
      <c r="F369">
        <v>0</v>
      </c>
      <c r="G369" s="1">
        <v>3.1810819406544497E-5</v>
      </c>
      <c r="H369">
        <v>0.93024441753968101</v>
      </c>
      <c r="I369">
        <v>0</v>
      </c>
    </row>
    <row r="370" spans="1:9" x14ac:dyDescent="0.25">
      <c r="A370">
        <v>-35.087985992431598</v>
      </c>
      <c r="B370">
        <v>-278.88676358869702</v>
      </c>
      <c r="C370">
        <v>0.119120331572983</v>
      </c>
      <c r="D370">
        <v>0</v>
      </c>
      <c r="E370">
        <v>0</v>
      </c>
      <c r="F370">
        <v>0</v>
      </c>
      <c r="G370" s="1">
        <v>4.4526479481987697E-5</v>
      </c>
      <c r="H370">
        <v>0.93027132662136702</v>
      </c>
      <c r="I370">
        <v>0</v>
      </c>
    </row>
    <row r="371" spans="1:9" x14ac:dyDescent="0.25">
      <c r="A371">
        <v>-31.270802021026601</v>
      </c>
      <c r="B371">
        <v>-248.55136710217701</v>
      </c>
      <c r="C371">
        <v>0.14079747136369999</v>
      </c>
      <c r="D371">
        <v>0</v>
      </c>
      <c r="E371">
        <v>0</v>
      </c>
      <c r="F371">
        <v>0</v>
      </c>
      <c r="G371" s="1">
        <v>6.2902189489619703E-5</v>
      </c>
      <c r="H371">
        <v>0.93062973708891905</v>
      </c>
      <c r="I371">
        <v>0</v>
      </c>
    </row>
    <row r="372" spans="1:9" x14ac:dyDescent="0.25">
      <c r="A372">
        <v>-27.7686667442321</v>
      </c>
      <c r="B372">
        <v>-220.719752935678</v>
      </c>
      <c r="C372">
        <v>0.16650722541835999</v>
      </c>
      <c r="D372">
        <v>0</v>
      </c>
      <c r="E372">
        <v>0</v>
      </c>
      <c r="F372">
        <v>0</v>
      </c>
      <c r="G372" s="1">
        <v>8.9911527903808504E-5</v>
      </c>
      <c r="H372">
        <v>0.93155144287277303</v>
      </c>
      <c r="I372">
        <v>0</v>
      </c>
    </row>
    <row r="373" spans="1:9" x14ac:dyDescent="0.25">
      <c r="A373">
        <v>-24.555802345275801</v>
      </c>
      <c r="B373">
        <v>-195.18533012679299</v>
      </c>
      <c r="C373">
        <v>0.19711702336392001</v>
      </c>
      <c r="D373">
        <v>0</v>
      </c>
      <c r="E373">
        <v>0</v>
      </c>
      <c r="F373">
        <v>0</v>
      </c>
      <c r="G373" s="1">
        <v>1.3039293526051601E-4</v>
      </c>
      <c r="H373">
        <v>0.93324467599766003</v>
      </c>
      <c r="I373">
        <v>0</v>
      </c>
    </row>
    <row r="374" spans="1:9" x14ac:dyDescent="0.25">
      <c r="A374">
        <v>-21.608254909515299</v>
      </c>
      <c r="B374">
        <v>-171.75854736676899</v>
      </c>
      <c r="C374">
        <v>0.233796928156393</v>
      </c>
      <c r="D374">
        <v>0</v>
      </c>
      <c r="E374">
        <v>0</v>
      </c>
      <c r="F374">
        <v>0</v>
      </c>
      <c r="G374">
        <v>1.92379448648694E-4</v>
      </c>
      <c r="H374">
        <v>0.93585740965979802</v>
      </c>
      <c r="I374">
        <v>0</v>
      </c>
    </row>
    <row r="375" spans="1:9" x14ac:dyDescent="0.25">
      <c r="A375">
        <v>-18.904016017913801</v>
      </c>
      <c r="B375">
        <v>-150.265506302924</v>
      </c>
      <c r="C375">
        <v>0.27815807750647498</v>
      </c>
      <c r="D375">
        <v>0</v>
      </c>
      <c r="E375">
        <v>0</v>
      </c>
      <c r="F375">
        <v>0</v>
      </c>
      <c r="G375">
        <v>2.8942157846006402E-4</v>
      </c>
      <c r="H375">
        <v>0.93943282742965495</v>
      </c>
      <c r="I375">
        <v>0</v>
      </c>
    </row>
    <row r="376" spans="1:9" x14ac:dyDescent="0.25">
      <c r="A376">
        <v>-16.423144340515101</v>
      </c>
      <c r="B376">
        <v>-130.54663419386799</v>
      </c>
      <c r="C376">
        <v>0.33245985038648301</v>
      </c>
      <c r="D376">
        <v>0</v>
      </c>
      <c r="E376">
        <v>0</v>
      </c>
      <c r="F376">
        <v>0</v>
      </c>
      <c r="G376">
        <v>4.4463798086269402E-4</v>
      </c>
      <c r="H376">
        <v>0.94387786414304597</v>
      </c>
      <c r="I376">
        <v>0</v>
      </c>
    </row>
    <row r="377" spans="1:9" x14ac:dyDescent="0.25">
      <c r="A377">
        <v>-14.147036075592</v>
      </c>
      <c r="B377">
        <v>-112.45550764462401</v>
      </c>
      <c r="C377">
        <v>0.39991832123443299</v>
      </c>
      <c r="D377">
        <v>0</v>
      </c>
      <c r="E377">
        <v>0</v>
      </c>
      <c r="F377">
        <v>0</v>
      </c>
      <c r="G377">
        <v>6.9778357323184502E-4</v>
      </c>
      <c r="H377">
        <v>0.948968287921926</v>
      </c>
      <c r="I377">
        <v>0</v>
      </c>
    </row>
    <row r="378" spans="1:9" x14ac:dyDescent="0.25">
      <c r="A378">
        <v>-12.058911323547299</v>
      </c>
      <c r="B378">
        <v>-95.857792349518505</v>
      </c>
      <c r="C378">
        <v>0.48516344832175901</v>
      </c>
      <c r="D378">
        <v>0</v>
      </c>
      <c r="E378">
        <v>0</v>
      </c>
      <c r="F378">
        <v>0</v>
      </c>
      <c r="G378">
        <v>1.1176619045359E-3</v>
      </c>
      <c r="H378">
        <v>0.95439780693607901</v>
      </c>
      <c r="I378">
        <v>0</v>
      </c>
    </row>
    <row r="379" spans="1:9" x14ac:dyDescent="0.25">
      <c r="A379">
        <v>-10.143084526061999</v>
      </c>
      <c r="B379">
        <v>-80.630240838960901</v>
      </c>
      <c r="C379">
        <v>0.59491787274548602</v>
      </c>
      <c r="D379">
        <v>0</v>
      </c>
      <c r="E379">
        <v>0</v>
      </c>
      <c r="F379">
        <v>0</v>
      </c>
      <c r="G379">
        <v>1.8242394398271201E-3</v>
      </c>
      <c r="H379">
        <v>0.95985219124922805</v>
      </c>
      <c r="I379">
        <v>0</v>
      </c>
    </row>
    <row r="380" spans="1:9" x14ac:dyDescent="0.25">
      <c r="A380">
        <v>-8.3855724334716708</v>
      </c>
      <c r="B380">
        <v>-66.659763742783298</v>
      </c>
      <c r="C380">
        <v>0.739012746829107</v>
      </c>
      <c r="D380">
        <v>0</v>
      </c>
      <c r="E380">
        <v>0</v>
      </c>
      <c r="F380">
        <v>0</v>
      </c>
      <c r="G380">
        <v>3.0289654323401001E-3</v>
      </c>
      <c r="H380">
        <v>0.96507516348801403</v>
      </c>
      <c r="I380">
        <v>0</v>
      </c>
    </row>
    <row r="381" spans="1:9" x14ac:dyDescent="0.25">
      <c r="A381">
        <v>-6.7732429504394496</v>
      </c>
      <c r="B381">
        <v>-53.842606944390802</v>
      </c>
      <c r="C381">
        <v>0.93193642971947499</v>
      </c>
      <c r="D381">
        <v>0</v>
      </c>
      <c r="E381">
        <v>0</v>
      </c>
      <c r="F381">
        <v>0</v>
      </c>
      <c r="G381">
        <v>5.11066331002712E-3</v>
      </c>
      <c r="H381">
        <v>0.96990259301710502</v>
      </c>
      <c r="I381">
        <v>0</v>
      </c>
    </row>
    <row r="382" spans="1:9" x14ac:dyDescent="0.25">
      <c r="A382">
        <v>-5.2939367294311497</v>
      </c>
      <c r="B382">
        <v>-42.083573923991203</v>
      </c>
      <c r="C382">
        <v>1.1952667336767899</v>
      </c>
      <c r="D382">
        <v>0</v>
      </c>
      <c r="E382">
        <v>0</v>
      </c>
      <c r="F382">
        <v>0</v>
      </c>
      <c r="G382">
        <v>8.7642464063555896E-3</v>
      </c>
      <c r="H382">
        <v>0.97426295538636598</v>
      </c>
      <c r="I382">
        <v>0</v>
      </c>
    </row>
    <row r="383" spans="1:9" x14ac:dyDescent="0.25">
      <c r="A383">
        <v>-3.9367103576660099</v>
      </c>
      <c r="B383">
        <v>-31.295324316234499</v>
      </c>
      <c r="C383">
        <v>1.5616411036778799</v>
      </c>
      <c r="D383">
        <v>0</v>
      </c>
      <c r="E383">
        <v>0</v>
      </c>
      <c r="F383">
        <v>0</v>
      </c>
      <c r="G383">
        <v>1.53066226458067E-2</v>
      </c>
      <c r="H383">
        <v>0.97815670390459597</v>
      </c>
      <c r="I383">
        <v>0</v>
      </c>
    </row>
    <row r="384" spans="1:9" x14ac:dyDescent="0.25">
      <c r="A384">
        <v>-2.6915931701660099</v>
      </c>
      <c r="B384">
        <v>-21.397724401564499</v>
      </c>
      <c r="C384">
        <v>2.0815577844275799</v>
      </c>
      <c r="D384">
        <v>0</v>
      </c>
      <c r="E384">
        <v>0</v>
      </c>
      <c r="F384">
        <v>0</v>
      </c>
      <c r="G384">
        <v>2.73423994415425E-2</v>
      </c>
      <c r="H384">
        <v>0.98162845249113695</v>
      </c>
      <c r="I384">
        <v>0</v>
      </c>
    </row>
    <row r="385" spans="1:9" x14ac:dyDescent="0.25">
      <c r="A385">
        <v>-1.54934406280517</v>
      </c>
      <c r="B385">
        <v>-12.317256275923199</v>
      </c>
      <c r="C385">
        <v>2.8356927620787</v>
      </c>
      <c r="D385">
        <v>0</v>
      </c>
      <c r="E385">
        <v>0</v>
      </c>
      <c r="F385">
        <v>0</v>
      </c>
      <c r="G385">
        <v>5.0307431861103299E-2</v>
      </c>
      <c r="H385">
        <v>0.98474024747233102</v>
      </c>
      <c r="I385">
        <v>0</v>
      </c>
    </row>
    <row r="386" spans="1:9" x14ac:dyDescent="0.25">
      <c r="A386">
        <v>-0.50145149230956998</v>
      </c>
      <c r="B386">
        <v>-3.9864627670359298</v>
      </c>
      <c r="C386">
        <v>3.9586033212916201</v>
      </c>
      <c r="D386">
        <v>0</v>
      </c>
      <c r="E386">
        <v>0</v>
      </c>
      <c r="F386">
        <v>0</v>
      </c>
      <c r="G386">
        <v>9.8842096053180201E-2</v>
      </c>
      <c r="H386">
        <v>0.98786825323197003</v>
      </c>
      <c r="I386">
        <v>0</v>
      </c>
    </row>
    <row r="387" spans="1:9" x14ac:dyDescent="0.25">
      <c r="A387">
        <v>0.49999237060546797</v>
      </c>
      <c r="B387">
        <v>0.35512551703932299</v>
      </c>
      <c r="C387">
        <v>4.8397854772428301</v>
      </c>
      <c r="D387">
        <v>0.35208586706494199</v>
      </c>
      <c r="E387">
        <v>-5.6323069296843303E-4</v>
      </c>
      <c r="F387">
        <v>-1.17382318363119E-4</v>
      </c>
      <c r="G387">
        <v>1.9757216601053201E-2</v>
      </c>
      <c r="H387">
        <v>0.60415080145689803</v>
      </c>
      <c r="I387" s="1">
        <v>9.28082448176666E-7</v>
      </c>
    </row>
    <row r="388" spans="1:9" x14ac:dyDescent="0.25">
      <c r="A388">
        <v>1.54496669769287</v>
      </c>
      <c r="B388">
        <v>1.0964151997256499</v>
      </c>
      <c r="C388">
        <v>5.0465691927150296</v>
      </c>
      <c r="D388">
        <v>1.1406579016038001</v>
      </c>
      <c r="E388">
        <v>-4.6347899755225502E-3</v>
      </c>
      <c r="F388">
        <v>-3.8078262065753798E-4</v>
      </c>
      <c r="G388">
        <v>4.21880114120343E-2</v>
      </c>
      <c r="H388">
        <v>0.80310519583320905</v>
      </c>
      <c r="I388" s="1">
        <v>3.7984132687094203E-5</v>
      </c>
    </row>
    <row r="389" spans="1:9" x14ac:dyDescent="0.25">
      <c r="A389">
        <v>2.6840543746948198</v>
      </c>
      <c r="B389">
        <v>1.8968094948816501</v>
      </c>
      <c r="C389">
        <v>5.3345876983414904</v>
      </c>
      <c r="D389">
        <v>2.0942213727194798</v>
      </c>
      <c r="E389">
        <v>-1.76389898720683E-2</v>
      </c>
      <c r="F389">
        <v>-6.9650447503005503E-4</v>
      </c>
      <c r="G389">
        <v>7.0096754713191295E-2</v>
      </c>
      <c r="H389">
        <v>0.87067681856105195</v>
      </c>
      <c r="I389">
        <v>2.21275293232136E-4</v>
      </c>
    </row>
    <row r="390" spans="1:9" x14ac:dyDescent="0.25">
      <c r="A390">
        <v>3.9255237579345699</v>
      </c>
      <c r="B390">
        <v>2.75075082072498</v>
      </c>
      <c r="C390">
        <v>5.7412925486891204</v>
      </c>
      <c r="D390">
        <v>3.2307770562730198</v>
      </c>
      <c r="E390">
        <v>-4.4204188255665501E-2</v>
      </c>
      <c r="F390">
        <v>-1.06604427351947E-3</v>
      </c>
      <c r="G390">
        <v>9.4957901262987296E-2</v>
      </c>
      <c r="H390">
        <v>0.89213622205394005</v>
      </c>
      <c r="I390">
        <v>5.7276319080696496E-4</v>
      </c>
    </row>
    <row r="391" spans="1:9" x14ac:dyDescent="0.25">
      <c r="A391">
        <v>5.2789807319641104</v>
      </c>
      <c r="B391">
        <v>3.6456186104703101</v>
      </c>
      <c r="C391">
        <v>6.2803697910563203</v>
      </c>
      <c r="D391">
        <v>4.5077917261110301</v>
      </c>
      <c r="E391">
        <v>-8.8888787668764097E-2</v>
      </c>
      <c r="F391">
        <v>-1.4664280209132599E-3</v>
      </c>
      <c r="G391">
        <v>0.110436218643371</v>
      </c>
      <c r="H391">
        <v>0.89187966257698903</v>
      </c>
      <c r="I391">
        <v>1.2196008638509801E-3</v>
      </c>
    </row>
    <row r="392" spans="1:9" x14ac:dyDescent="0.25">
      <c r="A392">
        <v>6.7539703845977703</v>
      </c>
      <c r="B392">
        <v>4.5607149187612697</v>
      </c>
      <c r="C392">
        <v>6.9118455016403804</v>
      </c>
      <c r="D392">
        <v>5.8007443931539999</v>
      </c>
      <c r="E392">
        <v>-0.15340223805657999</v>
      </c>
      <c r="F392">
        <v>-1.8454811141394799E-3</v>
      </c>
      <c r="G392">
        <v>0.116117841916853</v>
      </c>
      <c r="H392">
        <v>0.87816961048088504</v>
      </c>
      <c r="I392">
        <v>2.7594093980930498E-3</v>
      </c>
    </row>
    <row r="393" spans="1:9" x14ac:dyDescent="0.25">
      <c r="A393">
        <v>8.3618009090423495</v>
      </c>
      <c r="B393">
        <v>5.4690234232831196</v>
      </c>
      <c r="C393">
        <v>7.5393878807723702</v>
      </c>
      <c r="D393">
        <v>6.9340928630025198</v>
      </c>
      <c r="E393">
        <v>-0.234737768541043</v>
      </c>
      <c r="F393">
        <v>-2.1444204372391899E-3</v>
      </c>
      <c r="G393">
        <v>0.11670415542259401</v>
      </c>
      <c r="H393">
        <v>0.85613866189701604</v>
      </c>
      <c r="I393">
        <v>6.0596549160061098E-3</v>
      </c>
    </row>
    <row r="394" spans="1:9" x14ac:dyDescent="0.25">
      <c r="A394">
        <v>10.114449262619001</v>
      </c>
      <c r="B394">
        <v>6.3421572912621702</v>
      </c>
      <c r="C394">
        <v>8.0478174783267509</v>
      </c>
      <c r="D394">
        <v>7.7563069224590899</v>
      </c>
      <c r="E394">
        <v>-0.32568190764379601</v>
      </c>
      <c r="F394">
        <v>-2.3289976174594301E-3</v>
      </c>
      <c r="G394">
        <v>0.117052594888285</v>
      </c>
      <c r="H394">
        <v>0.83078609179532004</v>
      </c>
      <c r="I394">
        <v>1.01569425732252E-2</v>
      </c>
    </row>
    <row r="395" spans="1:9" x14ac:dyDescent="0.25">
      <c r="A395">
        <v>12.0248043537139</v>
      </c>
      <c r="B395">
        <v>7.1565858293462004</v>
      </c>
      <c r="C395">
        <v>8.3544417960583708</v>
      </c>
      <c r="D395">
        <v>8.2005343313363799</v>
      </c>
      <c r="E395">
        <v>-0.41775207564866101</v>
      </c>
      <c r="F395">
        <v>-2.4013566048953299E-3</v>
      </c>
      <c r="G395">
        <v>0.118337729897837</v>
      </c>
      <c r="H395">
        <v>0.80548108404435903</v>
      </c>
      <c r="I395">
        <v>1.1747498114447001E-2</v>
      </c>
    </row>
    <row r="396" spans="1:9" x14ac:dyDescent="0.25">
      <c r="A396">
        <v>14.106971025466899</v>
      </c>
      <c r="B396">
        <v>7.8978970948744003</v>
      </c>
      <c r="C396">
        <v>8.4342303260910505</v>
      </c>
      <c r="D396">
        <v>8.2889085758945704</v>
      </c>
      <c r="E396">
        <v>-0.50410319035733397</v>
      </c>
      <c r="F396">
        <v>-2.3865959563258601E-3</v>
      </c>
      <c r="G396">
        <v>0.11893773920521</v>
      </c>
      <c r="H396">
        <v>0.78097866131432203</v>
      </c>
      <c r="I396">
        <v>9.1046089450053606E-3</v>
      </c>
    </row>
    <row r="397" spans="1:9" x14ac:dyDescent="0.25">
      <c r="A397">
        <v>16.3765740394592</v>
      </c>
      <c r="B397">
        <v>8.5612565312671904</v>
      </c>
      <c r="C397">
        <v>8.3101600968077296</v>
      </c>
      <c r="D397">
        <v>8.0959809992147491</v>
      </c>
      <c r="E397">
        <v>-0.58069852462041505</v>
      </c>
      <c r="F397">
        <v>-2.3111073430831901E-3</v>
      </c>
      <c r="G397">
        <v>0.117231962966326</v>
      </c>
      <c r="H397">
        <v>0.75674554979278497</v>
      </c>
      <c r="I397">
        <v>3.6588150030770201E-3</v>
      </c>
    </row>
    <row r="398" spans="1:9" x14ac:dyDescent="0.25">
      <c r="A398">
        <v>18.850514888763399</v>
      </c>
      <c r="B398">
        <v>9.1489896897363892</v>
      </c>
      <c r="C398">
        <v>8.0290800145746406</v>
      </c>
      <c r="D398">
        <v>7.7092193708838703</v>
      </c>
      <c r="E398">
        <v>-0.64603781722458997</v>
      </c>
      <c r="F398">
        <v>-2.2014525072807899E-3</v>
      </c>
      <c r="G398">
        <v>0.11288329910167</v>
      </c>
      <c r="H398">
        <v>0.73229859232943095</v>
      </c>
      <c r="I398">
        <v>-2.2477405941906002E-3</v>
      </c>
    </row>
    <row r="399" spans="1:9" x14ac:dyDescent="0.25">
      <c r="A399">
        <v>21.5470933914184</v>
      </c>
      <c r="B399">
        <v>9.6675444442916092</v>
      </c>
      <c r="C399">
        <v>7.6419387897636204</v>
      </c>
      <c r="D399">
        <v>7.20603346144157</v>
      </c>
      <c r="E399">
        <v>-0.70029985854308696</v>
      </c>
      <c r="F399">
        <v>-2.0831759400978499E-3</v>
      </c>
      <c r="G399">
        <v>0.106523993673951</v>
      </c>
      <c r="H399">
        <v>0.70759228140474995</v>
      </c>
      <c r="I399">
        <v>-7.1684064494841699E-3</v>
      </c>
    </row>
    <row r="400" spans="1:9" x14ac:dyDescent="0.25">
      <c r="A400">
        <v>24.4862508773803</v>
      </c>
      <c r="B400">
        <v>10.1250899005818</v>
      </c>
      <c r="C400">
        <v>7.1935165852885898</v>
      </c>
      <c r="D400">
        <v>6.6459893626756603</v>
      </c>
      <c r="E400">
        <v>-0.74452567016929005</v>
      </c>
      <c r="F400">
        <v>-1.9779869904169001E-3</v>
      </c>
      <c r="G400">
        <v>9.9042581659992898E-2</v>
      </c>
      <c r="H400">
        <v>0.68291480757321099</v>
      </c>
      <c r="I400">
        <v>-1.0679444819778301E-2</v>
      </c>
    </row>
    <row r="401" spans="1:9" x14ac:dyDescent="0.25">
      <c r="A401">
        <v>27.690056562423699</v>
      </c>
      <c r="B401">
        <v>10.530102719752801</v>
      </c>
      <c r="C401">
        <v>6.7191055825072104</v>
      </c>
      <c r="D401">
        <v>6.0715077219843696</v>
      </c>
      <c r="E401">
        <v>-0.78007232477692401</v>
      </c>
      <c r="F401">
        <v>-1.9011201176907301E-3</v>
      </c>
      <c r="G401">
        <v>9.1153853021409201E-2</v>
      </c>
      <c r="H401">
        <v>0.658719088955382</v>
      </c>
      <c r="I401">
        <v>-1.2884942770017799E-2</v>
      </c>
    </row>
    <row r="402" spans="1:9" x14ac:dyDescent="0.25">
      <c r="A402">
        <v>31.182160377502399</v>
      </c>
      <c r="B402">
        <v>10.890654884665</v>
      </c>
      <c r="C402">
        <v>6.2445662670699296</v>
      </c>
      <c r="D402">
        <v>5.5107102809419102</v>
      </c>
      <c r="E402">
        <v>-0.80832028315322202</v>
      </c>
      <c r="F402">
        <v>-1.86573351664246E-3</v>
      </c>
      <c r="G402">
        <v>8.3293721258516695E-2</v>
      </c>
      <c r="H402">
        <v>0.635488718296913</v>
      </c>
      <c r="I402">
        <v>-1.40356693663413E-2</v>
      </c>
    </row>
    <row r="403" spans="1:9" x14ac:dyDescent="0.25">
      <c r="A403">
        <v>34.988522529602001</v>
      </c>
      <c r="B403">
        <v>11.2140521872926</v>
      </c>
      <c r="C403">
        <v>5.7875595166159002</v>
      </c>
      <c r="D403">
        <v>4.9816762081216197</v>
      </c>
      <c r="E403">
        <v>-0.83053019697052999</v>
      </c>
      <c r="F403">
        <v>-1.8692237450069499E-3</v>
      </c>
      <c r="G403">
        <v>7.5679189901886601E-2</v>
      </c>
      <c r="H403">
        <v>0.61364799801583503</v>
      </c>
      <c r="I403">
        <v>-1.4374573438691E-2</v>
      </c>
    </row>
    <row r="404" spans="1:9" x14ac:dyDescent="0.25">
      <c r="A404">
        <v>39.137535095214801</v>
      </c>
      <c r="B404">
        <v>11.5067802716183</v>
      </c>
      <c r="C404">
        <v>5.3592032173305402</v>
      </c>
      <c r="D404">
        <v>4.4944339852165198</v>
      </c>
      <c r="E404">
        <v>-0.84777108084379305</v>
      </c>
      <c r="F404">
        <v>-1.9060559008820799E-3</v>
      </c>
      <c r="G404">
        <v>6.8406626234986501E-2</v>
      </c>
      <c r="H404">
        <v>0.59349567098761102</v>
      </c>
      <c r="I404">
        <v>-1.41078943226189E-2</v>
      </c>
    </row>
    <row r="405" spans="1:9" x14ac:dyDescent="0.25">
      <c r="A405">
        <v>43.659839630126903</v>
      </c>
      <c r="B405">
        <v>11.7744398851084</v>
      </c>
      <c r="C405">
        <v>4.9656592386896499</v>
      </c>
      <c r="D405">
        <v>4.0539130399224703</v>
      </c>
      <c r="E405">
        <v>-0.860908057054662</v>
      </c>
      <c r="F405">
        <v>-1.9857326323029102E-3</v>
      </c>
      <c r="G405">
        <v>6.15260513557973E-2</v>
      </c>
      <c r="H405">
        <v>0.57517536109077205</v>
      </c>
      <c r="I405">
        <v>-1.3410710035934199E-2</v>
      </c>
    </row>
    <row r="406" spans="1:9" x14ac:dyDescent="0.25">
      <c r="A406">
        <v>48.589299917220998</v>
      </c>
      <c r="B406">
        <v>12.0217900443959</v>
      </c>
      <c r="C406">
        <v>4.6094146520237302</v>
      </c>
      <c r="D406">
        <v>3.6617006043251101</v>
      </c>
      <c r="E406">
        <v>-0.870625322353897</v>
      </c>
      <c r="F406">
        <v>-2.0983863028239801E-3</v>
      </c>
      <c r="G406">
        <v>5.5083435314068799E-2</v>
      </c>
      <c r="H406">
        <v>0.55867266289907902</v>
      </c>
      <c r="I406">
        <v>-1.24400796955309E-2</v>
      </c>
    </row>
    <row r="407" spans="1:9" x14ac:dyDescent="0.25">
      <c r="A407">
        <v>53.962393999099703</v>
      </c>
      <c r="B407">
        <v>12.252877532331899</v>
      </c>
      <c r="C407">
        <v>4.2903702415988203</v>
      </c>
      <c r="D407">
        <v>3.31625227146169</v>
      </c>
      <c r="E407">
        <v>-0.87746840379617197</v>
      </c>
      <c r="F407">
        <v>-2.2416039477944202E-3</v>
      </c>
      <c r="G407">
        <v>4.9133281391248299E-2</v>
      </c>
      <c r="H407">
        <v>0.54387260210845101</v>
      </c>
      <c r="I407">
        <v>-1.1335073341059499E-2</v>
      </c>
    </row>
    <row r="408" spans="1:9" x14ac:dyDescent="0.25">
      <c r="A408">
        <v>59.819004535674999</v>
      </c>
      <c r="B408">
        <v>12.471090855090599</v>
      </c>
      <c r="C408">
        <v>4.0067296302322504</v>
      </c>
      <c r="D408">
        <v>3.0147527411292199</v>
      </c>
      <c r="E408">
        <v>-0.88188054331554999</v>
      </c>
      <c r="F408">
        <v>-2.4590428090874999E-3</v>
      </c>
      <c r="G408">
        <v>4.3720115045634403E-2</v>
      </c>
      <c r="H408">
        <v>0.53059981812371104</v>
      </c>
      <c r="I408">
        <v>-1.0205486217668E-2</v>
      </c>
    </row>
    <row r="409" spans="1:9" x14ac:dyDescent="0.25">
      <c r="A409">
        <v>66.2026619911193</v>
      </c>
      <c r="B409">
        <v>12.6792627606678</v>
      </c>
      <c r="C409">
        <v>3.75552350088677</v>
      </c>
      <c r="D409">
        <v>2.7536040158539401</v>
      </c>
      <c r="E409">
        <v>-0.88423448815546901</v>
      </c>
      <c r="F409" s="1">
        <v>-2.6956110863572101E-3</v>
      </c>
      <c r="G409">
        <v>3.8863219600554597E-2</v>
      </c>
      <c r="H409">
        <v>0.51866288176890096</v>
      </c>
      <c r="I409">
        <v>-9.1229338932136399E-3</v>
      </c>
    </row>
    <row r="410" spans="1:9" x14ac:dyDescent="0.25">
      <c r="A410">
        <v>73.160848617553697</v>
      </c>
      <c r="B410">
        <v>12.879767361669501</v>
      </c>
      <c r="C410">
        <v>3.53322564051855</v>
      </c>
      <c r="D410">
        <v>2.5283150745219301</v>
      </c>
      <c r="E410">
        <v>-0.88483863923402795</v>
      </c>
      <c r="F410">
        <v>-2.90521251780539E-3</v>
      </c>
      <c r="G410">
        <v>3.4554248147290502E-2</v>
      </c>
      <c r="H410">
        <v>0.50778479122068598</v>
      </c>
      <c r="I410">
        <v>-8.1301066404762205E-3</v>
      </c>
    </row>
    <row r="411" spans="1:9" x14ac:dyDescent="0.25">
      <c r="A411">
        <v>80.745424032211304</v>
      </c>
      <c r="B411">
        <v>13.0746064666795</v>
      </c>
      <c r="C411">
        <v>3.3361316770615401</v>
      </c>
      <c r="D411">
        <v>2.33376851128692</v>
      </c>
      <c r="E411">
        <v>-0.88394921071431098</v>
      </c>
      <c r="F411">
        <v>-3.1055240606933901E-3</v>
      </c>
      <c r="G411">
        <v>3.07647404741309E-2</v>
      </c>
      <c r="H411">
        <v>0.49774630024157002</v>
      </c>
      <c r="I411">
        <v>-7.2471673641694503E-3</v>
      </c>
    </row>
    <row r="412" spans="1:9" x14ac:dyDescent="0.25">
      <c r="A412">
        <v>89.012442827224703</v>
      </c>
      <c r="B412">
        <v>13.265377205996501</v>
      </c>
      <c r="C412">
        <v>3.16044446219848</v>
      </c>
      <c r="D412">
        <v>2.1655424443462401</v>
      </c>
      <c r="E412">
        <v>-0.88175736941614702</v>
      </c>
      <c r="F412">
        <v>-3.3177888164843202E-3</v>
      </c>
      <c r="G412">
        <v>2.74476563077416E-2</v>
      </c>
      <c r="H412">
        <v>0.48837834151516502</v>
      </c>
      <c r="I412">
        <v>-6.47234542521516E-3</v>
      </c>
    </row>
    <row r="413" spans="1:9" x14ac:dyDescent="0.25">
      <c r="A413">
        <v>98.0235528945922</v>
      </c>
      <c r="B413">
        <v>13.4534446943688</v>
      </c>
      <c r="C413">
        <v>3.0027608485555102</v>
      </c>
      <c r="D413">
        <v>2.01963081312944</v>
      </c>
      <c r="E413">
        <v>-0.87837991155883599</v>
      </c>
      <c r="F413">
        <v>-3.4238811993289901E-3</v>
      </c>
      <c r="G413">
        <v>2.4552143597077001E-2</v>
      </c>
      <c r="H413">
        <v>0.47948827567493801</v>
      </c>
      <c r="I413">
        <v>-5.7997870785913798E-3</v>
      </c>
    </row>
    <row r="414" spans="1:9" x14ac:dyDescent="0.25">
      <c r="A414">
        <v>107.845630645751</v>
      </c>
      <c r="B414">
        <v>13.6399258438635</v>
      </c>
      <c r="C414">
        <v>2.8601053181120299</v>
      </c>
      <c r="D414">
        <v>1.89216234819447</v>
      </c>
      <c r="E414">
        <v>-0.87388010919062098</v>
      </c>
      <c r="F414" s="1">
        <v>-3.3540585260501401E-3</v>
      </c>
      <c r="G414">
        <v>2.20251597183121E-2</v>
      </c>
      <c r="H414">
        <v>0.47097630767597898</v>
      </c>
      <c r="I414">
        <v>-5.2166679782378496E-3</v>
      </c>
    </row>
    <row r="415" spans="1:9" x14ac:dyDescent="0.25">
      <c r="A415">
        <v>118.551753759384</v>
      </c>
      <c r="B415">
        <v>13.825818860917099</v>
      </c>
      <c r="C415">
        <v>2.7300332524237199</v>
      </c>
      <c r="D415">
        <v>1.77990528694029</v>
      </c>
      <c r="E415">
        <v>-0.86823917627227898</v>
      </c>
      <c r="F415">
        <v>-3.2310201305823798E-3</v>
      </c>
      <c r="G415">
        <v>1.9821879286349799E-2</v>
      </c>
      <c r="H415">
        <v>0.46279003736559199</v>
      </c>
      <c r="I415">
        <v>-4.7115472107020504E-3</v>
      </c>
    </row>
    <row r="416" spans="1:9" x14ac:dyDescent="0.25">
      <c r="A416">
        <v>130.22150516510001</v>
      </c>
      <c r="B416">
        <v>14.012078786282499</v>
      </c>
      <c r="C416">
        <v>2.6105543743278701</v>
      </c>
      <c r="D416">
        <v>1.68019262663553</v>
      </c>
      <c r="E416">
        <v>-0.86147276361351599</v>
      </c>
      <c r="F416">
        <v>-3.0921639491407601E-3</v>
      </c>
      <c r="G416">
        <v>1.7903207692736501E-2</v>
      </c>
      <c r="H416">
        <v>0.45496550960937399</v>
      </c>
      <c r="I416">
        <v>-4.2753518189999201E-3</v>
      </c>
    </row>
    <row r="417" spans="1:9" x14ac:dyDescent="0.25">
      <c r="A417">
        <v>142.941337823867</v>
      </c>
      <c r="B417">
        <v>14.1995959121871</v>
      </c>
      <c r="C417">
        <v>2.5001363254337701</v>
      </c>
      <c r="D417">
        <v>1.59138159009104</v>
      </c>
      <c r="E417">
        <v>-0.853444000735048</v>
      </c>
      <c r="F417">
        <v>-2.8347817090177002E-3</v>
      </c>
      <c r="G417">
        <v>1.62323789915081E-2</v>
      </c>
      <c r="H417">
        <v>0.44742590906720298</v>
      </c>
      <c r="I417">
        <v>-3.89756390580899E-3</v>
      </c>
    </row>
    <row r="418" spans="1:9" x14ac:dyDescent="0.25">
      <c r="A418">
        <v>156.806094646453</v>
      </c>
      <c r="B418">
        <v>14.389319883673201</v>
      </c>
      <c r="C418">
        <v>2.3977425875210399</v>
      </c>
      <c r="D418">
        <v>1.51124407511342</v>
      </c>
      <c r="E418">
        <v>-0.84429519995472302</v>
      </c>
      <c r="F418">
        <v>-2.5665881615795699E-3</v>
      </c>
      <c r="G418">
        <v>1.47713324705215E-2</v>
      </c>
      <c r="H418">
        <v>0.439740362175912</v>
      </c>
      <c r="I418">
        <v>-3.56568797344809E-3</v>
      </c>
    </row>
    <row r="419" spans="1:9" x14ac:dyDescent="0.25">
      <c r="A419">
        <v>171.91864371299701</v>
      </c>
      <c r="B419">
        <v>14.5819845173645</v>
      </c>
      <c r="C419">
        <v>2.3044373447358701</v>
      </c>
      <c r="D419">
        <v>1.4391086912674</v>
      </c>
      <c r="E419">
        <v>-0.833759585170467</v>
      </c>
      <c r="F419">
        <v>-2.4223962060823398E-3</v>
      </c>
      <c r="G419">
        <v>1.34884657780527E-2</v>
      </c>
      <c r="H419">
        <v>0.42973964505818901</v>
      </c>
      <c r="I419">
        <v>-3.2850415679045002E-3</v>
      </c>
    </row>
    <row r="420" spans="1:9" x14ac:dyDescent="0.25">
      <c r="A420">
        <v>187.726768255233</v>
      </c>
      <c r="B420">
        <v>14.7701437328148</v>
      </c>
      <c r="C420">
        <v>2.2208654993488302</v>
      </c>
      <c r="D420">
        <v>1.3761590524784</v>
      </c>
      <c r="E420">
        <v>-0.82226235019974203</v>
      </c>
      <c r="F420">
        <v>-2.1358021106513401E-3</v>
      </c>
      <c r="G420">
        <v>1.2213428020844399E-2</v>
      </c>
      <c r="H420">
        <v>0.432178366140475</v>
      </c>
      <c r="I420">
        <v>-2.9089382047263099E-3</v>
      </c>
    </row>
    <row r="421" spans="1:9" x14ac:dyDescent="0.25">
      <c r="A421">
        <v>203.579578399658</v>
      </c>
      <c r="B421">
        <v>14.9472309503841</v>
      </c>
      <c r="C421">
        <v>2.1475092970667098</v>
      </c>
      <c r="D421">
        <v>1.32185457919173</v>
      </c>
      <c r="E421">
        <v>-0.81033694384363897</v>
      </c>
      <c r="F421">
        <v>-1.9010269761978399E-3</v>
      </c>
      <c r="G421">
        <v>1.11558850794408E-2</v>
      </c>
      <c r="H421">
        <v>0.43304949167677698</v>
      </c>
      <c r="I421">
        <v>-2.6044258365859499E-3</v>
      </c>
    </row>
    <row r="422" spans="1:9" x14ac:dyDescent="0.25">
      <c r="A422">
        <v>219.43238854408199</v>
      </c>
      <c r="B422">
        <v>15.114260563640601</v>
      </c>
      <c r="C422">
        <v>2.0809892019523399</v>
      </c>
      <c r="D422">
        <v>1.27301775002407</v>
      </c>
      <c r="E422">
        <v>-0.79810391520575896</v>
      </c>
      <c r="F422">
        <v>-1.77294149939992E-3</v>
      </c>
      <c r="G422">
        <v>1.0289113202146699E-2</v>
      </c>
      <c r="H422">
        <v>0.43370680521593302</v>
      </c>
      <c r="I422">
        <v>-2.36101433876115E-3</v>
      </c>
    </row>
    <row r="423" spans="1:9" x14ac:dyDescent="0.25">
      <c r="A423">
        <v>235.28525948524401</v>
      </c>
      <c r="B423">
        <v>15.2727379758048</v>
      </c>
      <c r="C423">
        <v>2.0199278801992802</v>
      </c>
      <c r="D423">
        <v>1.2292456575244199</v>
      </c>
      <c r="E423">
        <v>-0.78542699868259402</v>
      </c>
      <c r="F423">
        <v>-1.58497342336785E-3</v>
      </c>
      <c r="G423">
        <v>9.5575997012644093E-3</v>
      </c>
      <c r="H423">
        <v>0.43423922218789202</v>
      </c>
      <c r="I423">
        <v>-2.1584289960628398E-3</v>
      </c>
    </row>
    <row r="424" spans="1:9" x14ac:dyDescent="0.25">
      <c r="A424">
        <v>251.13806962966899</v>
      </c>
      <c r="B424">
        <v>15.4236829761553</v>
      </c>
      <c r="C424">
        <v>1.9627917809200299</v>
      </c>
      <c r="D424">
        <v>1.1891103793442901</v>
      </c>
      <c r="E424">
        <v>-0.77246031793780401</v>
      </c>
      <c r="F424">
        <v>-1.52665678217067E-3</v>
      </c>
      <c r="G424">
        <v>8.92169558699594E-3</v>
      </c>
      <c r="H424">
        <v>0.43471742906884803</v>
      </c>
      <c r="I424">
        <v>-1.9835159295968998E-3</v>
      </c>
    </row>
    <row r="425" spans="1:9" x14ac:dyDescent="0.25">
      <c r="A425">
        <v>266.99081897735499</v>
      </c>
      <c r="B425">
        <v>15.5679588783669</v>
      </c>
      <c r="C425">
        <v>1.90895365079668</v>
      </c>
      <c r="D425">
        <v>1.1523674441038601</v>
      </c>
      <c r="E425">
        <v>-0.75914396438626297</v>
      </c>
      <c r="F425">
        <v>-1.54144860316778E-3</v>
      </c>
      <c r="G425">
        <v>8.3529110497478996E-3</v>
      </c>
      <c r="H425">
        <v>0.43496458933410997</v>
      </c>
      <c r="I425">
        <v>-1.8283783621770499E-3</v>
      </c>
    </row>
    <row r="426" spans="1:9" x14ac:dyDescent="0.25">
      <c r="A426">
        <v>282.84362912178</v>
      </c>
      <c r="B426">
        <v>15.7062077719855</v>
      </c>
      <c r="C426">
        <v>1.85768606677995</v>
      </c>
      <c r="D426">
        <v>1.11823511436166</v>
      </c>
      <c r="E426">
        <v>-0.74561816375152001</v>
      </c>
      <c r="F426">
        <v>-1.5353861964159199E-3</v>
      </c>
      <c r="G426">
        <v>7.8396261581644405E-3</v>
      </c>
      <c r="H426">
        <v>0.435052402910096</v>
      </c>
      <c r="I426">
        <v>-1.69036249370654E-3</v>
      </c>
    </row>
    <row r="427" spans="1:9" x14ac:dyDescent="0.25">
      <c r="A427">
        <v>298.69643926620398</v>
      </c>
      <c r="B427">
        <v>15.8391203079509</v>
      </c>
      <c r="C427">
        <v>1.8082326281482599</v>
      </c>
      <c r="D427">
        <v>1.0858631729141801</v>
      </c>
      <c r="E427">
        <v>-0.73183471120371402</v>
      </c>
      <c r="F427">
        <v>-1.42690345360059E-3</v>
      </c>
      <c r="G427">
        <v>7.3789559731753801E-3</v>
      </c>
      <c r="H427">
        <v>0.43543822246233399</v>
      </c>
      <c r="I427">
        <v>-1.5677611699344001E-3</v>
      </c>
    </row>
    <row r="428" spans="1:9" x14ac:dyDescent="0.25">
      <c r="A428">
        <v>314.54931020736598</v>
      </c>
      <c r="B428">
        <v>15.9673817414927</v>
      </c>
      <c r="C428">
        <v>1.76059488514745</v>
      </c>
      <c r="D428">
        <v>1.05500761476254</v>
      </c>
      <c r="E428">
        <v>-0.717846225574298</v>
      </c>
      <c r="F428">
        <v>-1.2751383067241299E-3</v>
      </c>
      <c r="G428">
        <v>6.9594394664888497E-3</v>
      </c>
      <c r="H428">
        <v>0.43583685269157202</v>
      </c>
      <c r="I428">
        <v>-1.4568990744638099E-3</v>
      </c>
    </row>
    <row r="429" spans="1:9" x14ac:dyDescent="0.25">
      <c r="A429">
        <v>330.40212035179098</v>
      </c>
      <c r="B429">
        <v>16.091342793791299</v>
      </c>
      <c r="C429">
        <v>1.7147402826148299</v>
      </c>
      <c r="D429">
        <v>1.0250653661698299</v>
      </c>
      <c r="E429">
        <v>-0.70370798732306505</v>
      </c>
      <c r="F429">
        <v>-1.1729151521260501E-3</v>
      </c>
      <c r="G429">
        <v>6.5730736278847004E-3</v>
      </c>
      <c r="H429">
        <v>0.43610998781534299</v>
      </c>
      <c r="I429">
        <v>-1.3562938562329599E-3</v>
      </c>
    </row>
    <row r="430" spans="1:9" x14ac:dyDescent="0.25">
      <c r="A430">
        <v>346.25493049621502</v>
      </c>
      <c r="B430">
        <v>16.211219293265302</v>
      </c>
      <c r="C430">
        <v>1.6702370174583601</v>
      </c>
      <c r="D430">
        <v>0.99640381879169204</v>
      </c>
      <c r="E430">
        <v>-0.68937240732992999</v>
      </c>
      <c r="F430">
        <v>-1.18941444617001E-3</v>
      </c>
      <c r="G430">
        <v>6.2125529342795102E-3</v>
      </c>
      <c r="H430">
        <v>0.43630116006995401</v>
      </c>
      <c r="I430">
        <v>-1.26237521532501E-3</v>
      </c>
    </row>
    <row r="431" spans="1:9" x14ac:dyDescent="0.25">
      <c r="A431">
        <v>362.10780143737702</v>
      </c>
      <c r="B431">
        <v>16.3273403782534</v>
      </c>
      <c r="C431">
        <v>1.6267585840536201</v>
      </c>
      <c r="D431">
        <v>0.96820657606334404</v>
      </c>
      <c r="E431">
        <v>-0.67488791498468803</v>
      </c>
      <c r="F431">
        <v>-1.18999537587743E-3</v>
      </c>
      <c r="G431">
        <v>5.8753234744469002E-3</v>
      </c>
      <c r="H431">
        <v>0.43650763350736999</v>
      </c>
      <c r="I431">
        <v>-1.1756512662269799E-3</v>
      </c>
    </row>
    <row r="432" spans="1:9" x14ac:dyDescent="0.25">
      <c r="A432">
        <v>377.96061158180203</v>
      </c>
      <c r="B432">
        <v>16.439927272884798</v>
      </c>
      <c r="C432">
        <v>1.5841270618777299</v>
      </c>
      <c r="D432">
        <v>0.94075671727727395</v>
      </c>
      <c r="E432">
        <v>-0.66027755291024104</v>
      </c>
      <c r="F432">
        <v>-1.2339050290144E-3</v>
      </c>
      <c r="G432">
        <v>5.5562256976605497E-3</v>
      </c>
      <c r="H432">
        <v>0.43655989605391099</v>
      </c>
      <c r="I432">
        <v>-1.0939283397351099E-3</v>
      </c>
    </row>
    <row r="433" spans="1:9" x14ac:dyDescent="0.25">
      <c r="A433">
        <v>393.81348252296402</v>
      </c>
      <c r="B433">
        <v>16.549114869921201</v>
      </c>
      <c r="C433">
        <v>1.54197873940605</v>
      </c>
      <c r="D433">
        <v>0.91399601304994404</v>
      </c>
      <c r="E433">
        <v>-0.64552727998901405</v>
      </c>
      <c r="F433">
        <v>-1.30404889814755E-3</v>
      </c>
      <c r="G433">
        <v>5.2550312953637598E-3</v>
      </c>
      <c r="H433">
        <v>0.43661460060163698</v>
      </c>
      <c r="I433">
        <v>-1.0171858850005701E-3</v>
      </c>
    </row>
    <row r="434" spans="1:9" x14ac:dyDescent="0.25">
      <c r="A434">
        <v>409.66629266738801</v>
      </c>
      <c r="B434">
        <v>16.6550866235184</v>
      </c>
      <c r="C434">
        <v>1.50020617267672</v>
      </c>
      <c r="D434">
        <v>0.88784803775745502</v>
      </c>
      <c r="E434">
        <v>-0.63063636606238604</v>
      </c>
      <c r="F434">
        <v>-1.3804861969600401E-3</v>
      </c>
      <c r="G434">
        <v>4.9705610111921801E-3</v>
      </c>
      <c r="H434">
        <v>0.43674768110895501</v>
      </c>
      <c r="I434">
        <v>-9.45088376730659E-4</v>
      </c>
    </row>
    <row r="435" spans="1:9" x14ac:dyDescent="0.25">
      <c r="A435">
        <v>425.519042015075</v>
      </c>
      <c r="B435">
        <v>16.757982822148801</v>
      </c>
      <c r="C435">
        <v>1.4590066006608</v>
      </c>
      <c r="D435">
        <v>0.86196405356565697</v>
      </c>
      <c r="E435">
        <v>-0.61563929766436598</v>
      </c>
      <c r="F435">
        <v>-1.45397388605154E-3</v>
      </c>
      <c r="G435">
        <v>4.7010696374004896E-3</v>
      </c>
      <c r="H435">
        <v>0.43681684800562298</v>
      </c>
      <c r="I435">
        <v>-8.7754052573103597E-4</v>
      </c>
    </row>
    <row r="436" spans="1:9" x14ac:dyDescent="0.25">
      <c r="A436">
        <v>441.371912956237</v>
      </c>
      <c r="B436">
        <v>16.8579599414158</v>
      </c>
      <c r="C436">
        <v>1.4182899898497301</v>
      </c>
      <c r="D436">
        <v>0.83695869612659002</v>
      </c>
      <c r="E436">
        <v>-0.60052596778482104</v>
      </c>
      <c r="F436">
        <v>-1.5714200673063001E-3</v>
      </c>
      <c r="G436">
        <v>4.4466388692508902E-3</v>
      </c>
      <c r="H436">
        <v>0.437023896486324</v>
      </c>
      <c r="I436">
        <v>-8.1535657026367595E-4</v>
      </c>
    </row>
    <row r="437" spans="1:9" x14ac:dyDescent="0.25">
      <c r="A437">
        <v>457.22478389739899</v>
      </c>
      <c r="B437">
        <v>16.955007189898499</v>
      </c>
      <c r="C437">
        <v>1.3779856251831499</v>
      </c>
      <c r="D437">
        <v>0.81217818448158197</v>
      </c>
      <c r="E437">
        <v>-0.58531187755677505</v>
      </c>
      <c r="F437">
        <v>-1.82483397609478E-3</v>
      </c>
      <c r="G437">
        <v>4.2028083458087702E-3</v>
      </c>
      <c r="H437">
        <v>0.437075739352418</v>
      </c>
      <c r="I437">
        <v>-7.5686851158311295E-4</v>
      </c>
    </row>
    <row r="438" spans="1:9" x14ac:dyDescent="0.25">
      <c r="A438">
        <v>473.07753324508599</v>
      </c>
      <c r="B438">
        <v>17.0491569418597</v>
      </c>
      <c r="C438">
        <v>1.33783115736459</v>
      </c>
      <c r="D438">
        <v>0.78748081366733902</v>
      </c>
      <c r="E438">
        <v>-0.56997338592847901</v>
      </c>
      <c r="F438">
        <v>-2.1474755615369101E-3</v>
      </c>
      <c r="G438">
        <v>3.9695495917300202E-3</v>
      </c>
      <c r="H438">
        <v>0.43712594952391298</v>
      </c>
      <c r="I438">
        <v>-7.0122444825854299E-4</v>
      </c>
    </row>
    <row r="439" spans="1:9" x14ac:dyDescent="0.25">
      <c r="A439">
        <v>488.93034338951099</v>
      </c>
      <c r="B439">
        <v>17.140598047165799</v>
      </c>
      <c r="C439">
        <v>1.2979311683636101</v>
      </c>
      <c r="D439">
        <v>0.76302437977382398</v>
      </c>
      <c r="E439">
        <v>-0.554546634034632</v>
      </c>
      <c r="F439">
        <v>-2.3977156639807999E-3</v>
      </c>
      <c r="G439">
        <v>3.7474744186187601E-3</v>
      </c>
      <c r="H439">
        <v>0.43721802041227298</v>
      </c>
      <c r="I439">
        <v>-6.4912009560773299E-4</v>
      </c>
    </row>
    <row r="440" spans="1:9" x14ac:dyDescent="0.25">
      <c r="A440">
        <v>504.78321433067299</v>
      </c>
      <c r="B440">
        <v>17.229481585710001</v>
      </c>
      <c r="C440">
        <v>1.2584368667746999</v>
      </c>
      <c r="D440">
        <v>0.73902770231169201</v>
      </c>
      <c r="E440">
        <v>-0.53900717561132505</v>
      </c>
      <c r="F440">
        <v>-2.5286371510814401E-3</v>
      </c>
      <c r="G440">
        <v>3.5351821758498299E-3</v>
      </c>
      <c r="H440">
        <v>0.43723374557349898</v>
      </c>
      <c r="I440">
        <v>-5.9937007337089302E-4</v>
      </c>
    </row>
    <row r="441" spans="1:9" x14ac:dyDescent="0.25">
      <c r="A441">
        <v>520.63602447509697</v>
      </c>
      <c r="B441">
        <v>17.315877701728301</v>
      </c>
      <c r="C441">
        <v>1.21920968446946</v>
      </c>
      <c r="D441">
        <v>0.71521273943346397</v>
      </c>
      <c r="E441">
        <v>-0.523367774034879</v>
      </c>
      <c r="F441">
        <v>-2.5838518943072201E-3</v>
      </c>
      <c r="G441">
        <v>3.3324925408885001E-3</v>
      </c>
      <c r="H441">
        <v>0.43738083284169099</v>
      </c>
      <c r="I441">
        <v>-5.5264765387675805E-4</v>
      </c>
    </row>
    <row r="442" spans="1:9" x14ac:dyDescent="0.25">
      <c r="A442">
        <v>536.48889541625897</v>
      </c>
      <c r="B442">
        <v>17.399743229536998</v>
      </c>
      <c r="C442">
        <v>1.18019118910458</v>
      </c>
      <c r="D442">
        <v>0.69173909059308702</v>
      </c>
      <c r="E442">
        <v>-0.50764381271513104</v>
      </c>
      <c r="F442">
        <v>-2.6563698235973201E-3</v>
      </c>
      <c r="G442">
        <v>3.1376859770507401E-3</v>
      </c>
      <c r="H442">
        <v>0.437398304558267</v>
      </c>
      <c r="I442">
        <v>-5.0860431043779901E-4</v>
      </c>
    </row>
    <row r="443" spans="1:9" x14ac:dyDescent="0.25">
      <c r="A443">
        <v>552.34173595905304</v>
      </c>
      <c r="B443">
        <v>17.4810835648465</v>
      </c>
      <c r="C443">
        <v>1.1413868661653701</v>
      </c>
      <c r="D443">
        <v>0.66830483842390997</v>
      </c>
      <c r="E443">
        <v>-0.491845192990923</v>
      </c>
      <c r="F443">
        <v>-2.7614667195691102E-3</v>
      </c>
      <c r="G443">
        <v>2.95187603831348E-3</v>
      </c>
      <c r="H443">
        <v>0.43745502361150401</v>
      </c>
      <c r="I443">
        <v>-4.6735746973954902E-4</v>
      </c>
    </row>
    <row r="444" spans="1:9" x14ac:dyDescent="0.25">
      <c r="A444">
        <v>568.19448530673901</v>
      </c>
      <c r="B444">
        <v>17.560055183260399</v>
      </c>
      <c r="C444">
        <v>1.10279695415118</v>
      </c>
      <c r="D444">
        <v>0.64497769294521201</v>
      </c>
      <c r="E444">
        <v>-0.47595151869930002</v>
      </c>
      <c r="F444">
        <v>-2.8050249151888701E-3</v>
      </c>
      <c r="G444">
        <v>2.7748160914840901E-3</v>
      </c>
      <c r="H444">
        <v>0.43758282047457803</v>
      </c>
      <c r="I444">
        <v>-4.2885800255671E-4</v>
      </c>
    </row>
    <row r="445" spans="1:9" x14ac:dyDescent="0.25">
      <c r="A445">
        <v>584.04732584953297</v>
      </c>
      <c r="B445">
        <v>17.6367228333044</v>
      </c>
      <c r="C445">
        <v>1.06438388941273</v>
      </c>
      <c r="D445">
        <v>0.621589517606283</v>
      </c>
      <c r="E445">
        <v>-0.45997294317066401</v>
      </c>
      <c r="F445">
        <v>-2.7291744440042002E-3</v>
      </c>
      <c r="G445">
        <v>2.6055930220698202E-3</v>
      </c>
      <c r="H445">
        <v>0.43773332015783101</v>
      </c>
      <c r="I445">
        <v>-3.9269876838445901E-4</v>
      </c>
    </row>
    <row r="446" spans="1:9" x14ac:dyDescent="0.25">
      <c r="A446">
        <v>599.90016639232601</v>
      </c>
      <c r="B446">
        <v>17.711043349294599</v>
      </c>
      <c r="C446">
        <v>1.02631378675458</v>
      </c>
      <c r="D446">
        <v>0.59871916475141695</v>
      </c>
      <c r="E446">
        <v>-0.44392157157735201</v>
      </c>
      <c r="F446">
        <v>-2.5114444398960699E-3</v>
      </c>
      <c r="G446">
        <v>2.4433402260923302E-3</v>
      </c>
      <c r="H446">
        <v>0.43784096994488297</v>
      </c>
      <c r="I446">
        <v>-3.5851608984427901E-4</v>
      </c>
    </row>
    <row r="447" spans="1:9" x14ac:dyDescent="0.25">
      <c r="A447">
        <v>615.75300693511895</v>
      </c>
      <c r="B447">
        <v>17.783043709783499</v>
      </c>
      <c r="C447">
        <v>0.98879527349223695</v>
      </c>
      <c r="D447">
        <v>0.57619561379065598</v>
      </c>
      <c r="E447">
        <v>-0.42779527485091601</v>
      </c>
      <c r="F447">
        <v>-2.2834281206666001E-3</v>
      </c>
      <c r="G447">
        <v>2.2873529458083998E-3</v>
      </c>
      <c r="H447">
        <v>0.43772137568712499</v>
      </c>
      <c r="I447">
        <v>-3.2612302129708502E-4</v>
      </c>
    </row>
    <row r="448" spans="1:9" x14ac:dyDescent="0.25">
      <c r="A448">
        <v>631.60581707954395</v>
      </c>
      <c r="B448">
        <v>17.852783267586201</v>
      </c>
      <c r="C448">
        <v>0.95156874307188799</v>
      </c>
      <c r="D448">
        <v>0.55364908713567396</v>
      </c>
      <c r="E448">
        <v>-0.41158162698068401</v>
      </c>
      <c r="F448">
        <v>-2.0293085605267102E-3</v>
      </c>
      <c r="G448">
        <v>2.13905250647903E-3</v>
      </c>
      <c r="H448">
        <v>0.43766477154427502</v>
      </c>
      <c r="I448">
        <v>-2.9595568891811302E-4</v>
      </c>
    </row>
    <row r="449" spans="1:9" x14ac:dyDescent="0.25">
      <c r="A449">
        <v>647.45859682559899</v>
      </c>
      <c r="B449">
        <v>17.920256626992199</v>
      </c>
      <c r="C449">
        <v>0.91467020889695905</v>
      </c>
      <c r="D449">
        <v>0.53131556503694999</v>
      </c>
      <c r="E449">
        <v>-0.39532447907964102</v>
      </c>
      <c r="F449">
        <v>-1.7592898572825E-3</v>
      </c>
      <c r="G449">
        <v>1.9984419041833399E-3</v>
      </c>
      <c r="H449">
        <v>0.43762908216343899</v>
      </c>
      <c r="I449">
        <v>-2.6820753951967E-4</v>
      </c>
    </row>
    <row r="450" spans="1:9" x14ac:dyDescent="0.25">
      <c r="A450">
        <v>663.31143736839203</v>
      </c>
      <c r="B450">
        <v>17.985355873792098</v>
      </c>
      <c r="C450">
        <v>0.87810962831574602</v>
      </c>
      <c r="D450">
        <v>0.50930738967019495</v>
      </c>
      <c r="E450">
        <v>-0.379004658807232</v>
      </c>
      <c r="F450">
        <v>-1.47872796160554E-3</v>
      </c>
      <c r="G450">
        <v>1.8647615261081199E-3</v>
      </c>
      <c r="H450">
        <v>0.43758948891865201</v>
      </c>
      <c r="I450">
        <v>-2.4255938889494299E-4</v>
      </c>
    </row>
    <row r="451" spans="1:9" x14ac:dyDescent="0.25">
      <c r="A451">
        <v>679.16427791118599</v>
      </c>
      <c r="B451">
        <v>18.0480756122756</v>
      </c>
      <c r="C451">
        <v>0.84187555335895004</v>
      </c>
      <c r="D451">
        <v>0.48711149549800198</v>
      </c>
      <c r="E451">
        <v>-0.36260066254093598</v>
      </c>
      <c r="F451">
        <v>-1.14435997390225E-3</v>
      </c>
      <c r="G451">
        <v>1.7381060575323601E-3</v>
      </c>
      <c r="H451">
        <v>0.43775769888565003</v>
      </c>
      <c r="I451">
        <v>-2.1869602007625399E-4</v>
      </c>
    </row>
    <row r="452" spans="1:9" x14ac:dyDescent="0.25">
      <c r="A452">
        <v>695.01711845397904</v>
      </c>
      <c r="B452">
        <v>18.108480590968099</v>
      </c>
      <c r="C452">
        <v>0.80616385162631499</v>
      </c>
      <c r="D452">
        <v>0.46567200223052002</v>
      </c>
      <c r="E452">
        <v>-0.34612854218602401</v>
      </c>
      <c r="F452">
        <v>-8.5601846376046195E-4</v>
      </c>
      <c r="G452">
        <v>1.61828290560423E-3</v>
      </c>
      <c r="H452">
        <v>0.438076805351028</v>
      </c>
      <c r="I452">
        <v>-1.9678142588129801E-4</v>
      </c>
    </row>
    <row r="453" spans="1:9" x14ac:dyDescent="0.25">
      <c r="A453">
        <v>710.86992859840302</v>
      </c>
      <c r="B453">
        <v>18.166673328368599</v>
      </c>
      <c r="C453">
        <v>0.77104249543556203</v>
      </c>
      <c r="D453">
        <v>0.44416761830263302</v>
      </c>
      <c r="E453">
        <v>-0.32960554946567999</v>
      </c>
      <c r="F453" s="1">
        <v>-6.8783054603588204E-4</v>
      </c>
      <c r="G453">
        <v>1.50482746784848E-3</v>
      </c>
      <c r="H453">
        <v>0.43848686873006298</v>
      </c>
      <c r="I453">
        <v>-1.7666045760078201E-4</v>
      </c>
    </row>
    <row r="454" spans="1:9" x14ac:dyDescent="0.25">
      <c r="A454">
        <v>726.72273874282803</v>
      </c>
      <c r="B454">
        <v>18.2225890759516</v>
      </c>
      <c r="C454">
        <v>0.73648107611823799</v>
      </c>
      <c r="D454">
        <v>0.422991468209864</v>
      </c>
      <c r="E454">
        <v>-0.31303360293191301</v>
      </c>
      <c r="F454" s="1">
        <v>-5.7872387488705805E-4</v>
      </c>
      <c r="G454">
        <v>1.3976015509394499E-3</v>
      </c>
      <c r="H454">
        <v>0.43897452370529699</v>
      </c>
      <c r="I454">
        <v>-1.58197984254093E-4</v>
      </c>
    </row>
    <row r="455" spans="1:9" x14ac:dyDescent="0.25">
      <c r="A455">
        <v>742.57554888725201</v>
      </c>
      <c r="B455">
        <v>18.2761253152179</v>
      </c>
      <c r="C455">
        <v>0.70255191860539001</v>
      </c>
      <c r="D455">
        <v>0.40163833669008298</v>
      </c>
      <c r="E455">
        <v>-0.29641506348478203</v>
      </c>
      <c r="F455" s="1">
        <v>-5.4784195001281101E-4</v>
      </c>
      <c r="G455">
        <v>1.2967274992223799E-3</v>
      </c>
      <c r="H455">
        <v>0.43954477426205701</v>
      </c>
      <c r="I455" s="1">
        <v>-1.4147750950108999E-4</v>
      </c>
    </row>
    <row r="456" spans="1:9" x14ac:dyDescent="0.25">
      <c r="A456">
        <v>758.42838943004597</v>
      </c>
      <c r="B456">
        <v>18.327238880484099</v>
      </c>
      <c r="C456">
        <v>0.66937826744151496</v>
      </c>
      <c r="D456">
        <v>0.38113680963511198</v>
      </c>
      <c r="E456">
        <v>-0.27974385627220699</v>
      </c>
      <c r="F456" s="1">
        <v>-5.8387266155436796E-4</v>
      </c>
      <c r="G456">
        <v>1.2018765126731599E-3</v>
      </c>
      <c r="H456">
        <v>0.44001435302673703</v>
      </c>
      <c r="I456" s="1">
        <v>-1.2642736814087201E-4</v>
      </c>
    </row>
    <row r="457" spans="1:9" x14ac:dyDescent="0.25">
      <c r="A457">
        <v>774.28122997283901</v>
      </c>
      <c r="B457">
        <v>18.375875814645301</v>
      </c>
      <c r="C457">
        <v>0.63690795089152197</v>
      </c>
      <c r="D457">
        <v>0.360627541581029</v>
      </c>
      <c r="E457">
        <v>-0.26302847882758801</v>
      </c>
      <c r="F457" s="1">
        <v>-6.4022160753047998E-4</v>
      </c>
      <c r="G457">
        <v>1.1126787851455399E-3</v>
      </c>
      <c r="H457">
        <v>0.44036332559242303</v>
      </c>
      <c r="I457" s="1">
        <v>-1.12793112591083E-4</v>
      </c>
    </row>
    <row r="458" spans="1:9" x14ac:dyDescent="0.25">
      <c r="A458">
        <v>790.13402491807904</v>
      </c>
      <c r="B458">
        <v>18.421917412071199</v>
      </c>
      <c r="C458">
        <v>0.60527631734244902</v>
      </c>
      <c r="D458">
        <v>0.34090819552062901</v>
      </c>
      <c r="E458">
        <v>-0.24627452444009401</v>
      </c>
      <c r="F458" s="1">
        <v>-6.6905435365041904E-4</v>
      </c>
      <c r="G458">
        <v>1.0292488688902199E-3</v>
      </c>
      <c r="H458">
        <v>0.44073136624105302</v>
      </c>
      <c r="I458" s="1">
        <v>-1.0049104270856901E-4</v>
      </c>
    </row>
    <row r="459" spans="1:9" x14ac:dyDescent="0.25">
      <c r="A459">
        <v>805.98686546087197</v>
      </c>
      <c r="B459">
        <v>18.465277341394401</v>
      </c>
      <c r="C459">
        <v>0.57481386728299999</v>
      </c>
      <c r="D459">
        <v>0.32163748980968798</v>
      </c>
      <c r="E459">
        <v>-0.229479642651199</v>
      </c>
      <c r="F459">
        <v>-6.9410485649314005E-4</v>
      </c>
      <c r="G459">
        <v>9.5194561861452597E-4</v>
      </c>
      <c r="H459">
        <v>0.44129077119337701</v>
      </c>
      <c r="I459" s="1">
        <v>-8.9586535554185207E-5</v>
      </c>
    </row>
    <row r="460" spans="1:9" x14ac:dyDescent="0.25">
      <c r="A460">
        <v>821.83970600366501</v>
      </c>
      <c r="B460">
        <v>18.505982581167199</v>
      </c>
      <c r="C460">
        <v>0.54567449242548705</v>
      </c>
      <c r="D460">
        <v>0.30324682693482702</v>
      </c>
      <c r="E460">
        <v>-0.212637107243004</v>
      </c>
      <c r="F460">
        <v>-6.9905141308121996E-4</v>
      </c>
      <c r="G460">
        <v>8.8080736597151898E-4</v>
      </c>
      <c r="H460">
        <v>0.44209056042176897</v>
      </c>
      <c r="I460" s="1">
        <v>-8.0298139633649203E-5</v>
      </c>
    </row>
    <row r="461" spans="1:9" x14ac:dyDescent="0.25">
      <c r="A461">
        <v>837.69251614809002</v>
      </c>
      <c r="B461">
        <v>18.5440331313896</v>
      </c>
      <c r="C461">
        <v>0.51796784285086195</v>
      </c>
      <c r="D461">
        <v>0.28533653662559499</v>
      </c>
      <c r="E461">
        <v>-0.19576345122637501</v>
      </c>
      <c r="F461">
        <v>-6.8781050073161998E-4</v>
      </c>
      <c r="G461">
        <v>8.1523854519400803E-4</v>
      </c>
      <c r="H461">
        <v>0.44283671939113101</v>
      </c>
      <c r="I461" s="1">
        <v>-7.22303965740975E-5</v>
      </c>
    </row>
    <row r="462" spans="1:9" x14ac:dyDescent="0.25">
      <c r="A462">
        <v>853.54535669088295</v>
      </c>
      <c r="B462">
        <v>18.579245537905699</v>
      </c>
      <c r="C462">
        <v>0.491712163760198</v>
      </c>
      <c r="D462">
        <v>0.26840205195462002</v>
      </c>
      <c r="E462">
        <v>-0.17885480386560301</v>
      </c>
      <c r="F462">
        <v>-6.9901954441025196E-4</v>
      </c>
      <c r="G462">
        <v>7.5534576187153704E-4</v>
      </c>
      <c r="H462">
        <v>0.44372092592479401</v>
      </c>
      <c r="I462" s="1">
        <v>-6.5085461506836196E-5</v>
      </c>
    </row>
    <row r="463" spans="1:9" x14ac:dyDescent="0.25">
      <c r="A463">
        <v>869.39818203449204</v>
      </c>
      <c r="B463">
        <v>18.611571239321201</v>
      </c>
      <c r="C463">
        <v>0.46699504404360997</v>
      </c>
      <c r="D463">
        <v>0.25231554103477299</v>
      </c>
      <c r="E463">
        <v>-0.16190987738429499</v>
      </c>
      <c r="F463">
        <v>-7.20609555035933E-4</v>
      </c>
      <c r="G463">
        <v>7.0158073458502501E-4</v>
      </c>
      <c r="H463">
        <v>0.44491477770710303</v>
      </c>
      <c r="I463" s="1">
        <v>-5.90168535737329E-5</v>
      </c>
    </row>
    <row r="464" spans="1:9" x14ac:dyDescent="0.25">
      <c r="A464">
        <v>885.25099217891602</v>
      </c>
      <c r="B464">
        <v>18.641031818478101</v>
      </c>
      <c r="C464">
        <v>0.44409189083754402</v>
      </c>
      <c r="D464">
        <v>0.23743855553950599</v>
      </c>
      <c r="E464">
        <v>-0.144932647955032</v>
      </c>
      <c r="F464">
        <v>-7.0922316920019903E-4</v>
      </c>
      <c r="G464">
        <v>6.5364883536789199E-4</v>
      </c>
      <c r="H464">
        <v>0.44621261306777998</v>
      </c>
      <c r="I464" s="1">
        <v>-5.4026664162303998E-5</v>
      </c>
    </row>
    <row r="465" spans="1:9" x14ac:dyDescent="0.25">
      <c r="A465">
        <v>901.10380992293301</v>
      </c>
      <c r="B465">
        <v>18.667524756877398</v>
      </c>
      <c r="C465">
        <v>0.42321154014446799</v>
      </c>
      <c r="D465">
        <v>0.223594362004023</v>
      </c>
      <c r="E465">
        <v>-0.12793904320361599</v>
      </c>
      <c r="F465">
        <v>-6.5340741978172495E-4</v>
      </c>
      <c r="G465">
        <v>6.1107213798606099E-4</v>
      </c>
      <c r="H465">
        <v>0.44728704823673299</v>
      </c>
      <c r="I465" s="1">
        <v>-4.9895746639705902E-5</v>
      </c>
    </row>
    <row r="466" spans="1:9" x14ac:dyDescent="0.25">
      <c r="A466">
        <v>916.95665046572606</v>
      </c>
      <c r="B466">
        <v>18.690915161757399</v>
      </c>
      <c r="C466">
        <v>0.40442059291077997</v>
      </c>
      <c r="D466">
        <v>0.21120099162380701</v>
      </c>
      <c r="E466">
        <v>-0.110927035709289</v>
      </c>
      <c r="F466">
        <v>-5.8971538271644901E-4</v>
      </c>
      <c r="G466">
        <v>5.7396397743395596E-4</v>
      </c>
      <c r="H466">
        <v>0.44835635751358099</v>
      </c>
      <c r="I466" s="1">
        <v>-4.6499706105129699E-5</v>
      </c>
    </row>
    <row r="467" spans="1:9" x14ac:dyDescent="0.25">
      <c r="A467">
        <v>932.80946820974305</v>
      </c>
      <c r="B467">
        <v>18.711127493171698</v>
      </c>
      <c r="C467">
        <v>0.38788936749224101</v>
      </c>
      <c r="D467">
        <v>0.20037944224608001</v>
      </c>
      <c r="E467">
        <v>-9.3898138330688996E-2</v>
      </c>
      <c r="F467">
        <v>-5.2436131493408401E-4</v>
      </c>
      <c r="G467">
        <v>5.4220730052293505E-4</v>
      </c>
      <c r="H467">
        <v>0.44926101898155502</v>
      </c>
      <c r="I467" s="1">
        <v>-4.3787828816485901E-5</v>
      </c>
    </row>
    <row r="468" spans="1:9" x14ac:dyDescent="0.25">
      <c r="A468">
        <v>948.66229355335201</v>
      </c>
      <c r="B468">
        <v>18.728102398304902</v>
      </c>
      <c r="C468">
        <v>0.37382813088748201</v>
      </c>
      <c r="D468">
        <v>0.19127644250939799</v>
      </c>
      <c r="E468">
        <v>-7.6853113212937002E-2</v>
      </c>
      <c r="F468">
        <v>-4.8321382215006197E-4</v>
      </c>
      <c r="G468">
        <v>5.1591644872277503E-4</v>
      </c>
      <c r="H468">
        <v>0.450174473047113</v>
      </c>
      <c r="I468" s="1">
        <v>-4.1726111132255199E-5</v>
      </c>
    </row>
    <row r="469" spans="1:9" x14ac:dyDescent="0.25">
      <c r="A469">
        <v>964.51511889696098</v>
      </c>
      <c r="B469">
        <v>18.741796711473398</v>
      </c>
      <c r="C469">
        <v>0.36241051063088803</v>
      </c>
      <c r="D469">
        <v>0.18386901570417799</v>
      </c>
      <c r="E469">
        <v>-5.9795943439765499E-2</v>
      </c>
      <c r="F469">
        <v>-4.5962264510898801E-4</v>
      </c>
      <c r="G469">
        <v>4.9491872940391997E-4</v>
      </c>
      <c r="H469">
        <v>0.45101630790314201</v>
      </c>
      <c r="I469" s="1">
        <v>-4.0112569206416801E-5</v>
      </c>
    </row>
    <row r="470" spans="1:9" x14ac:dyDescent="0.25">
      <c r="A470">
        <v>980.36794044077305</v>
      </c>
      <c r="B470">
        <v>18.7521456841516</v>
      </c>
      <c r="C470">
        <v>0.35372168080655197</v>
      </c>
      <c r="D470">
        <v>0.17802110645994301</v>
      </c>
      <c r="E470">
        <v>-4.2726686607380999E-2</v>
      </c>
      <c r="F470">
        <v>-4.0772851728397401E-4</v>
      </c>
      <c r="G470">
        <v>4.79069435339039E-4</v>
      </c>
      <c r="H470">
        <v>0.451683636644859</v>
      </c>
      <c r="I470" s="1">
        <v>-3.8875529989996601E-5</v>
      </c>
    </row>
    <row r="471" spans="1:9" x14ac:dyDescent="0.25">
      <c r="A471">
        <v>996.22076388448397</v>
      </c>
      <c r="B471">
        <v>18.759116942076702</v>
      </c>
      <c r="C471">
        <v>0.34785250967079201</v>
      </c>
      <c r="D471">
        <v>0.17423123816747799</v>
      </c>
      <c r="E471">
        <v>-2.5646784578412799E-2</v>
      </c>
      <c r="F471">
        <v>-3.3461391878233801E-4</v>
      </c>
      <c r="G471">
        <v>4.6841210351920799E-4</v>
      </c>
      <c r="H471">
        <v>0.45218734753365503</v>
      </c>
      <c r="I471" s="1">
        <v>-3.8098242208265997E-5</v>
      </c>
    </row>
    <row r="472" spans="1:9" x14ac:dyDescent="0.25">
      <c r="A472">
        <v>1012.07358780317</v>
      </c>
      <c r="B472">
        <v>18.762705089538098</v>
      </c>
      <c r="C472">
        <v>0.34486295000033501</v>
      </c>
      <c r="D472">
        <v>0.172276077335029</v>
      </c>
      <c r="E472">
        <v>-8.5604406937162102E-3</v>
      </c>
      <c r="F472">
        <v>-2.70191262383887E-4</v>
      </c>
      <c r="G472">
        <v>4.6302475959811897E-4</v>
      </c>
      <c r="H472">
        <v>0.45251735116493003</v>
      </c>
      <c r="I472" s="1">
        <v>-3.77617745438057E-5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1412"/>
  <sheetViews>
    <sheetView workbookViewId="0"/>
  </sheetViews>
  <sheetFormatPr defaultRowHeight="15" x14ac:dyDescent="0.25"/>
  <cols>
    <col min="1" max="1" width="81.140625" bestFit="1" customWidth="1"/>
    <col min="2" max="2" width="66.140625" bestFit="1" customWidth="1"/>
    <col min="3" max="3" width="15.7109375" bestFit="1" customWidth="1"/>
    <col min="4" max="4" width="26" bestFit="1" customWidth="1"/>
    <col min="5" max="5" width="22.42578125" bestFit="1" customWidth="1"/>
    <col min="6" max="6" width="12.85546875" bestFit="1" customWidth="1"/>
    <col min="7" max="7" width="13.7109375" bestFit="1" customWidth="1"/>
    <col min="8" max="8" width="11.140625" bestFit="1" customWidth="1"/>
    <col min="9" max="9" width="11.85546875" bestFit="1" customWidth="1"/>
    <col min="10" max="10" width="12.28515625" bestFit="1" customWidth="1"/>
    <col min="11" max="12" width="12.5703125" bestFit="1" customWidth="1"/>
    <col min="13" max="13" width="5" bestFit="1" customWidth="1"/>
    <col min="14" max="14" width="6.140625" bestFit="1" customWidth="1"/>
  </cols>
  <sheetData>
    <row r="1" spans="1:6" x14ac:dyDescent="0.25">
      <c r="A1" t="s">
        <v>17</v>
      </c>
    </row>
    <row r="2" spans="1:6" x14ac:dyDescent="0.25">
      <c r="A2" t="s">
        <v>17</v>
      </c>
    </row>
    <row r="3" spans="1:6" x14ac:dyDescent="0.25">
      <c r="A3" t="s">
        <v>18</v>
      </c>
      <c r="B3" t="s">
        <v>19</v>
      </c>
    </row>
    <row r="4" spans="1:6" x14ac:dyDescent="0.25">
      <c r="A4" t="s">
        <v>18</v>
      </c>
      <c r="B4" t="s">
        <v>20</v>
      </c>
      <c r="C4" t="s">
        <v>21</v>
      </c>
      <c r="D4" t="s">
        <v>22</v>
      </c>
      <c r="E4" t="s">
        <v>19</v>
      </c>
    </row>
    <row r="5" spans="1:6" x14ac:dyDescent="0.25">
      <c r="A5" t="s">
        <v>18</v>
      </c>
      <c r="B5" t="s">
        <v>23</v>
      </c>
      <c r="C5" t="s">
        <v>24</v>
      </c>
      <c r="D5" t="s">
        <v>19</v>
      </c>
    </row>
    <row r="6" spans="1:6" x14ac:dyDescent="0.25">
      <c r="A6" t="s">
        <v>18</v>
      </c>
      <c r="B6" t="s">
        <v>25</v>
      </c>
      <c r="C6" t="s">
        <v>26</v>
      </c>
      <c r="D6" t="s">
        <v>27</v>
      </c>
      <c r="E6" t="s">
        <v>28</v>
      </c>
      <c r="F6" t="s">
        <v>19</v>
      </c>
    </row>
    <row r="7" spans="1:6" x14ac:dyDescent="0.25">
      <c r="A7" t="s">
        <v>18</v>
      </c>
      <c r="B7" t="s">
        <v>29</v>
      </c>
      <c r="C7" t="s">
        <v>30</v>
      </c>
      <c r="D7" t="s">
        <v>31</v>
      </c>
      <c r="E7" t="s">
        <v>19</v>
      </c>
    </row>
    <row r="8" spans="1:6" x14ac:dyDescent="0.25">
      <c r="A8" t="s">
        <v>18</v>
      </c>
      <c r="B8" t="s">
        <v>19</v>
      </c>
    </row>
    <row r="9" spans="1:6" x14ac:dyDescent="0.25">
      <c r="A9" t="s">
        <v>18</v>
      </c>
      <c r="B9" t="s">
        <v>19</v>
      </c>
    </row>
    <row r="10" spans="1:6" x14ac:dyDescent="0.25">
      <c r="A10" t="s">
        <v>18</v>
      </c>
      <c r="B10" t="s">
        <v>32</v>
      </c>
      <c r="C10" t="s">
        <v>19</v>
      </c>
    </row>
    <row r="11" spans="1:6" x14ac:dyDescent="0.25">
      <c r="A11" t="s">
        <v>18</v>
      </c>
      <c r="B11" t="s">
        <v>19</v>
      </c>
    </row>
    <row r="12" spans="1:6" x14ac:dyDescent="0.25">
      <c r="A12" t="s">
        <v>18</v>
      </c>
      <c r="B12" t="s">
        <v>33</v>
      </c>
      <c r="C12" t="s">
        <v>34</v>
      </c>
      <c r="D12" t="s">
        <v>19</v>
      </c>
    </row>
    <row r="13" spans="1:6" x14ac:dyDescent="0.25">
      <c r="A13" t="s">
        <v>18</v>
      </c>
      <c r="B13" t="s">
        <v>19</v>
      </c>
    </row>
    <row r="14" spans="1:6" x14ac:dyDescent="0.25">
      <c r="A14" t="s">
        <v>18</v>
      </c>
      <c r="B14" t="s">
        <v>35</v>
      </c>
      <c r="C14" t="s">
        <v>36</v>
      </c>
      <c r="D14" t="s">
        <v>37</v>
      </c>
      <c r="E14" t="s">
        <v>38</v>
      </c>
      <c r="F14" t="s">
        <v>19</v>
      </c>
    </row>
    <row r="15" spans="1:6" x14ac:dyDescent="0.25">
      <c r="A15" t="s">
        <v>18</v>
      </c>
      <c r="B15" t="s">
        <v>19</v>
      </c>
    </row>
    <row r="16" spans="1:6" x14ac:dyDescent="0.25">
      <c r="A16" t="s">
        <v>18</v>
      </c>
      <c r="B16" t="s">
        <v>39</v>
      </c>
      <c r="C16" t="s">
        <v>36</v>
      </c>
      <c r="D16" t="s">
        <v>40</v>
      </c>
      <c r="E16" t="s">
        <v>41</v>
      </c>
      <c r="F16" t="s">
        <v>19</v>
      </c>
    </row>
    <row r="17" spans="1:10" x14ac:dyDescent="0.25">
      <c r="A17" t="s">
        <v>18</v>
      </c>
      <c r="B17" t="s">
        <v>42</v>
      </c>
      <c r="C17" t="s">
        <v>36</v>
      </c>
      <c r="D17" t="s">
        <v>43</v>
      </c>
      <c r="E17" t="s">
        <v>44</v>
      </c>
      <c r="F17" t="s">
        <v>45</v>
      </c>
      <c r="G17" t="s">
        <v>19</v>
      </c>
    </row>
    <row r="18" spans="1:10" x14ac:dyDescent="0.25">
      <c r="A18" t="s">
        <v>18</v>
      </c>
      <c r="B18" t="s">
        <v>46</v>
      </c>
      <c r="C18" t="s">
        <v>47</v>
      </c>
      <c r="D18" t="s">
        <v>36</v>
      </c>
      <c r="E18" t="s">
        <v>43</v>
      </c>
      <c r="F18" t="s">
        <v>19</v>
      </c>
    </row>
    <row r="19" spans="1:10" x14ac:dyDescent="0.25">
      <c r="A19" t="s">
        <v>18</v>
      </c>
      <c r="B19" t="s">
        <v>48</v>
      </c>
      <c r="C19" t="s">
        <v>49</v>
      </c>
      <c r="D19" t="s">
        <v>50</v>
      </c>
      <c r="E19" t="s">
        <v>19</v>
      </c>
    </row>
    <row r="20" spans="1:10" x14ac:dyDescent="0.25">
      <c r="A20" t="s">
        <v>18</v>
      </c>
      <c r="B20" t="s">
        <v>51</v>
      </c>
      <c r="C20" t="s">
        <v>19</v>
      </c>
    </row>
    <row r="21" spans="1:10" x14ac:dyDescent="0.25">
      <c r="A21" t="s">
        <v>18</v>
      </c>
      <c r="B21" t="s">
        <v>19</v>
      </c>
    </row>
    <row r="22" spans="1:10" x14ac:dyDescent="0.25">
      <c r="A22" t="s">
        <v>18</v>
      </c>
      <c r="B22" t="s">
        <v>19</v>
      </c>
    </row>
    <row r="23" spans="1:10" x14ac:dyDescent="0.25">
      <c r="A23" t="s">
        <v>18</v>
      </c>
      <c r="B23" t="s">
        <v>19</v>
      </c>
    </row>
    <row r="24" spans="1:10" x14ac:dyDescent="0.25">
      <c r="A24" t="s">
        <v>17</v>
      </c>
    </row>
    <row r="26" spans="1:10" x14ac:dyDescent="0.25">
      <c r="A26" t="s">
        <v>52</v>
      </c>
    </row>
    <row r="27" spans="1:10" x14ac:dyDescent="0.25">
      <c r="A27" t="s">
        <v>52</v>
      </c>
    </row>
    <row r="28" spans="1:10" x14ac:dyDescent="0.25">
      <c r="A28" t="s">
        <v>52</v>
      </c>
    </row>
    <row r="29" spans="1:10" x14ac:dyDescent="0.25">
      <c r="A29" t="s">
        <v>53</v>
      </c>
      <c r="B29" t="s">
        <v>54</v>
      </c>
      <c r="C29" t="s">
        <v>55</v>
      </c>
      <c r="D29" t="s">
        <v>54</v>
      </c>
      <c r="E29" t="s">
        <v>56</v>
      </c>
    </row>
    <row r="30" spans="1:10" x14ac:dyDescent="0.25">
      <c r="A30" t="s">
        <v>53</v>
      </c>
      <c r="B30" t="s">
        <v>56</v>
      </c>
    </row>
    <row r="31" spans="1:10" x14ac:dyDescent="0.25">
      <c r="A31" t="s">
        <v>53</v>
      </c>
      <c r="B31" t="s">
        <v>57</v>
      </c>
      <c r="C31" t="s">
        <v>58</v>
      </c>
      <c r="D31" t="s">
        <v>59</v>
      </c>
      <c r="E31" t="s">
        <v>60</v>
      </c>
      <c r="F31" t="s">
        <v>61</v>
      </c>
      <c r="G31" t="s">
        <v>62</v>
      </c>
      <c r="H31" t="s">
        <v>63</v>
      </c>
      <c r="I31" t="s">
        <v>64</v>
      </c>
      <c r="J31" t="s">
        <v>56</v>
      </c>
    </row>
    <row r="32" spans="1:10" x14ac:dyDescent="0.25">
      <c r="A32" t="s">
        <v>53</v>
      </c>
      <c r="B32" t="s">
        <v>56</v>
      </c>
    </row>
    <row r="33" spans="1:12" x14ac:dyDescent="0.25">
      <c r="A33" t="s">
        <v>53</v>
      </c>
      <c r="B33" t="s">
        <v>57</v>
      </c>
      <c r="C33" t="s">
        <v>62</v>
      </c>
      <c r="D33" t="s">
        <v>65</v>
      </c>
      <c r="E33" t="s">
        <v>66</v>
      </c>
      <c r="F33" t="s">
        <v>59</v>
      </c>
      <c r="G33" t="s">
        <v>67</v>
      </c>
      <c r="H33" t="s">
        <v>29</v>
      </c>
      <c r="I33" t="s">
        <v>68</v>
      </c>
      <c r="J33" t="s">
        <v>69</v>
      </c>
      <c r="K33" t="s">
        <v>56</v>
      </c>
    </row>
    <row r="34" spans="1:12" x14ac:dyDescent="0.25">
      <c r="A34" t="s">
        <v>53</v>
      </c>
      <c r="B34" t="s">
        <v>70</v>
      </c>
      <c r="C34" t="s">
        <v>62</v>
      </c>
      <c r="D34" t="s">
        <v>71</v>
      </c>
      <c r="E34" t="s">
        <v>44</v>
      </c>
      <c r="F34" t="s">
        <v>72</v>
      </c>
      <c r="G34" t="s">
        <v>73</v>
      </c>
      <c r="H34" t="s">
        <v>74</v>
      </c>
      <c r="I34" t="s">
        <v>75</v>
      </c>
      <c r="J34" t="s">
        <v>56</v>
      </c>
    </row>
    <row r="35" spans="1:12" x14ac:dyDescent="0.25">
      <c r="A35" t="s">
        <v>53</v>
      </c>
      <c r="B35" t="s">
        <v>76</v>
      </c>
      <c r="C35" t="s">
        <v>77</v>
      </c>
      <c r="D35" t="s">
        <v>78</v>
      </c>
      <c r="E35" t="s">
        <v>71</v>
      </c>
      <c r="F35" t="s">
        <v>79</v>
      </c>
      <c r="G35" t="s">
        <v>80</v>
      </c>
      <c r="H35" t="s">
        <v>81</v>
      </c>
      <c r="I35" t="s">
        <v>82</v>
      </c>
      <c r="J35" t="s">
        <v>83</v>
      </c>
      <c r="K35" t="s">
        <v>56</v>
      </c>
    </row>
    <row r="36" spans="1:12" x14ac:dyDescent="0.25">
      <c r="A36" t="s">
        <v>53</v>
      </c>
      <c r="B36" t="s">
        <v>84</v>
      </c>
      <c r="C36" t="s">
        <v>85</v>
      </c>
      <c r="D36" t="s">
        <v>86</v>
      </c>
      <c r="E36" t="s">
        <v>61</v>
      </c>
      <c r="F36" t="s">
        <v>62</v>
      </c>
      <c r="G36" t="s">
        <v>87</v>
      </c>
      <c r="H36" t="s">
        <v>88</v>
      </c>
      <c r="I36" t="s">
        <v>89</v>
      </c>
      <c r="J36" t="s">
        <v>56</v>
      </c>
    </row>
    <row r="37" spans="1:12" x14ac:dyDescent="0.25">
      <c r="A37" t="s">
        <v>53</v>
      </c>
      <c r="B37" t="s">
        <v>90</v>
      </c>
      <c r="C37" t="s">
        <v>44</v>
      </c>
      <c r="D37" t="s">
        <v>91</v>
      </c>
      <c r="E37" t="s">
        <v>92</v>
      </c>
      <c r="F37" t="s">
        <v>93</v>
      </c>
      <c r="G37" t="s">
        <v>56</v>
      </c>
    </row>
    <row r="38" spans="1:12" x14ac:dyDescent="0.25">
      <c r="A38" t="s">
        <v>53</v>
      </c>
      <c r="B38" t="s">
        <v>56</v>
      </c>
    </row>
    <row r="39" spans="1:12" x14ac:dyDescent="0.25">
      <c r="A39" t="s">
        <v>53</v>
      </c>
      <c r="B39" t="s">
        <v>94</v>
      </c>
      <c r="C39" t="s">
        <v>65</v>
      </c>
      <c r="D39" t="s">
        <v>66</v>
      </c>
      <c r="E39" t="s">
        <v>95</v>
      </c>
      <c r="F39" t="s">
        <v>80</v>
      </c>
      <c r="G39" t="s">
        <v>96</v>
      </c>
      <c r="H39" t="s">
        <v>97</v>
      </c>
      <c r="I39" t="s">
        <v>98</v>
      </c>
      <c r="J39" t="s">
        <v>56</v>
      </c>
    </row>
    <row r="40" spans="1:12" x14ac:dyDescent="0.25">
      <c r="A40" t="s">
        <v>53</v>
      </c>
      <c r="B40" t="s">
        <v>56</v>
      </c>
    </row>
    <row r="41" spans="1:12" x14ac:dyDescent="0.25">
      <c r="A41" t="s">
        <v>53</v>
      </c>
      <c r="B41" t="s">
        <v>94</v>
      </c>
      <c r="C41" t="s">
        <v>65</v>
      </c>
      <c r="D41" t="s">
        <v>66</v>
      </c>
      <c r="E41" t="s">
        <v>95</v>
      </c>
      <c r="F41" t="s">
        <v>80</v>
      </c>
      <c r="G41" t="s">
        <v>99</v>
      </c>
      <c r="H41" t="s">
        <v>97</v>
      </c>
      <c r="I41" t="s">
        <v>100</v>
      </c>
      <c r="J41" t="s">
        <v>101</v>
      </c>
      <c r="K41" t="s">
        <v>62</v>
      </c>
      <c r="L41" t="s">
        <v>56</v>
      </c>
    </row>
    <row r="42" spans="1:12" x14ac:dyDescent="0.25">
      <c r="A42" t="s">
        <v>53</v>
      </c>
      <c r="B42" t="s">
        <v>63</v>
      </c>
      <c r="C42" t="s">
        <v>102</v>
      </c>
      <c r="D42" t="s">
        <v>29</v>
      </c>
      <c r="E42" t="s">
        <v>103</v>
      </c>
      <c r="F42" t="s">
        <v>104</v>
      </c>
      <c r="G42" t="s">
        <v>105</v>
      </c>
      <c r="H42" t="s">
        <v>106</v>
      </c>
      <c r="I42" t="s">
        <v>107</v>
      </c>
      <c r="J42" t="s">
        <v>56</v>
      </c>
    </row>
    <row r="43" spans="1:12" x14ac:dyDescent="0.25">
      <c r="A43" t="s">
        <v>53</v>
      </c>
      <c r="B43" t="s">
        <v>108</v>
      </c>
      <c r="C43" t="s">
        <v>109</v>
      </c>
      <c r="D43" t="s">
        <v>77</v>
      </c>
      <c r="E43" t="s">
        <v>62</v>
      </c>
      <c r="F43" t="s">
        <v>110</v>
      </c>
      <c r="G43" t="s">
        <v>111</v>
      </c>
      <c r="H43" t="s">
        <v>107</v>
      </c>
      <c r="I43" t="s">
        <v>112</v>
      </c>
      <c r="J43" t="s">
        <v>101</v>
      </c>
      <c r="K43" t="s">
        <v>56</v>
      </c>
    </row>
    <row r="44" spans="1:12" x14ac:dyDescent="0.25">
      <c r="A44" t="s">
        <v>53</v>
      </c>
      <c r="B44" t="s">
        <v>113</v>
      </c>
      <c r="C44" t="s">
        <v>114</v>
      </c>
      <c r="D44" t="s">
        <v>56</v>
      </c>
    </row>
    <row r="45" spans="1:12" x14ac:dyDescent="0.25">
      <c r="A45" t="s">
        <v>53</v>
      </c>
      <c r="B45" t="s">
        <v>56</v>
      </c>
    </row>
    <row r="46" spans="1:12" x14ac:dyDescent="0.25">
      <c r="A46" t="s">
        <v>53</v>
      </c>
      <c r="B46" t="s">
        <v>115</v>
      </c>
      <c r="C46" t="s">
        <v>116</v>
      </c>
      <c r="D46" t="s">
        <v>117</v>
      </c>
      <c r="E46" t="s">
        <v>118</v>
      </c>
      <c r="F46" t="s">
        <v>56</v>
      </c>
    </row>
    <row r="47" spans="1:12" x14ac:dyDescent="0.25">
      <c r="A47" t="s">
        <v>53</v>
      </c>
      <c r="B47" t="s">
        <v>56</v>
      </c>
    </row>
    <row r="48" spans="1:12" x14ac:dyDescent="0.25">
      <c r="A48" t="s">
        <v>53</v>
      </c>
      <c r="B48" t="s">
        <v>119</v>
      </c>
      <c r="C48" t="s">
        <v>120</v>
      </c>
      <c r="D48">
        <v>2008</v>
      </c>
      <c r="E48" t="s">
        <v>56</v>
      </c>
    </row>
    <row r="49" spans="1:12" x14ac:dyDescent="0.25">
      <c r="A49" t="s">
        <v>52</v>
      </c>
    </row>
    <row r="50" spans="1:12" x14ac:dyDescent="0.25">
      <c r="A50" t="s">
        <v>52</v>
      </c>
    </row>
    <row r="51" spans="1:12" x14ac:dyDescent="0.25">
      <c r="A51" t="s">
        <v>121</v>
      </c>
      <c r="B51" t="s">
        <v>384</v>
      </c>
    </row>
    <row r="53" spans="1:12" x14ac:dyDescent="0.25">
      <c r="A53" t="s">
        <v>122</v>
      </c>
      <c r="B53" t="s">
        <v>36</v>
      </c>
      <c r="C53" t="s">
        <v>123</v>
      </c>
      <c r="D53" t="s">
        <v>119</v>
      </c>
      <c r="E53" t="s">
        <v>120</v>
      </c>
      <c r="F53">
        <v>2008</v>
      </c>
    </row>
    <row r="55" spans="1:12" x14ac:dyDescent="0.25">
      <c r="A55" t="s">
        <v>124</v>
      </c>
      <c r="B55" t="s">
        <v>125</v>
      </c>
      <c r="C55" t="s">
        <v>126</v>
      </c>
      <c r="D55" t="s">
        <v>127</v>
      </c>
      <c r="E55" t="s">
        <v>128</v>
      </c>
      <c r="F55" t="s">
        <v>129</v>
      </c>
      <c r="G55" t="s">
        <v>130</v>
      </c>
      <c r="H55" t="s">
        <v>131</v>
      </c>
      <c r="I55" t="s">
        <v>44</v>
      </c>
      <c r="J55" t="s">
        <v>132</v>
      </c>
      <c r="K55" t="s">
        <v>34</v>
      </c>
      <c r="L55" t="s">
        <v>131</v>
      </c>
    </row>
    <row r="57" spans="1:12" x14ac:dyDescent="0.25">
      <c r="B57" t="s">
        <v>131</v>
      </c>
      <c r="C57" t="s">
        <v>39</v>
      </c>
      <c r="D57" t="s">
        <v>36</v>
      </c>
      <c r="E57" t="s">
        <v>40</v>
      </c>
      <c r="F57" t="s">
        <v>41</v>
      </c>
    </row>
    <row r="58" spans="1:12" x14ac:dyDescent="0.25">
      <c r="B58" t="s">
        <v>42</v>
      </c>
      <c r="C58" t="s">
        <v>36</v>
      </c>
      <c r="D58" t="s">
        <v>43</v>
      </c>
      <c r="E58" t="s">
        <v>44</v>
      </c>
      <c r="F58" t="s">
        <v>45</v>
      </c>
    </row>
    <row r="59" spans="1:12" x14ac:dyDescent="0.25">
      <c r="B59" t="s">
        <v>46</v>
      </c>
      <c r="C59" t="s">
        <v>47</v>
      </c>
      <c r="D59" t="s">
        <v>36</v>
      </c>
      <c r="E59" t="s">
        <v>43</v>
      </c>
    </row>
    <row r="60" spans="1:12" x14ac:dyDescent="0.25">
      <c r="B60" t="s">
        <v>48</v>
      </c>
      <c r="C60" t="s">
        <v>49</v>
      </c>
      <c r="D60" t="s">
        <v>133</v>
      </c>
      <c r="E60" t="s">
        <v>51</v>
      </c>
    </row>
    <row r="61" spans="1:12" x14ac:dyDescent="0.25">
      <c r="B61" t="s">
        <v>134</v>
      </c>
      <c r="C61" t="s">
        <v>135</v>
      </c>
      <c r="D61" t="s">
        <v>136</v>
      </c>
    </row>
    <row r="63" spans="1:12" x14ac:dyDescent="0.25">
      <c r="A63" t="s">
        <v>137</v>
      </c>
    </row>
    <row r="64" spans="1:12" x14ac:dyDescent="0.25">
      <c r="B64" t="s">
        <v>385</v>
      </c>
      <c r="C64" t="s">
        <v>139</v>
      </c>
      <c r="D64" t="s">
        <v>386</v>
      </c>
    </row>
    <row r="65" spans="2:11" x14ac:dyDescent="0.25">
      <c r="B65" t="s">
        <v>387</v>
      </c>
      <c r="C65" t="s">
        <v>139</v>
      </c>
      <c r="D65" t="s">
        <v>388</v>
      </c>
      <c r="E65" t="s">
        <v>327</v>
      </c>
      <c r="F65" t="s">
        <v>389</v>
      </c>
    </row>
    <row r="66" spans="2:11" x14ac:dyDescent="0.25">
      <c r="B66" t="s">
        <v>138</v>
      </c>
      <c r="C66" t="s">
        <v>139</v>
      </c>
      <c r="D66" t="s">
        <v>140</v>
      </c>
      <c r="E66" t="s">
        <v>141</v>
      </c>
      <c r="F66" t="s">
        <v>142</v>
      </c>
    </row>
    <row r="67" spans="2:11" x14ac:dyDescent="0.25">
      <c r="B67" t="s">
        <v>390</v>
      </c>
      <c r="C67" t="s">
        <v>139</v>
      </c>
      <c r="D67" t="s">
        <v>391</v>
      </c>
      <c r="E67" t="s">
        <v>117</v>
      </c>
      <c r="F67" t="s">
        <v>392</v>
      </c>
      <c r="G67" t="s">
        <v>152</v>
      </c>
    </row>
    <row r="68" spans="2:11" x14ac:dyDescent="0.25">
      <c r="B68" t="s">
        <v>146</v>
      </c>
      <c r="C68" t="s">
        <v>139</v>
      </c>
      <c r="D68" t="s">
        <v>147</v>
      </c>
      <c r="E68" t="s">
        <v>148</v>
      </c>
    </row>
    <row r="69" spans="2:11" x14ac:dyDescent="0.25">
      <c r="B69" t="s">
        <v>393</v>
      </c>
      <c r="C69" t="s">
        <v>139</v>
      </c>
      <c r="D69" t="s">
        <v>394</v>
      </c>
      <c r="E69" t="s">
        <v>395</v>
      </c>
      <c r="F69" t="s">
        <v>152</v>
      </c>
    </row>
    <row r="70" spans="2:11" x14ac:dyDescent="0.25">
      <c r="B70" t="s">
        <v>396</v>
      </c>
      <c r="C70" t="s">
        <v>139</v>
      </c>
      <c r="D70" t="s">
        <v>397</v>
      </c>
      <c r="E70" t="s">
        <v>327</v>
      </c>
      <c r="F70" t="s">
        <v>328</v>
      </c>
    </row>
    <row r="71" spans="2:11" x14ac:dyDescent="0.25">
      <c r="B71" t="s">
        <v>149</v>
      </c>
      <c r="C71" t="s">
        <v>139</v>
      </c>
      <c r="D71" t="s">
        <v>150</v>
      </c>
      <c r="E71" t="s">
        <v>117</v>
      </c>
      <c r="F71" t="s">
        <v>151</v>
      </c>
      <c r="G71" t="s">
        <v>152</v>
      </c>
    </row>
    <row r="72" spans="2:11" x14ac:dyDescent="0.25">
      <c r="B72" t="s">
        <v>153</v>
      </c>
      <c r="C72" t="s">
        <v>139</v>
      </c>
      <c r="D72" t="s">
        <v>154</v>
      </c>
      <c r="E72" t="s">
        <v>117</v>
      </c>
      <c r="F72" t="s">
        <v>151</v>
      </c>
      <c r="G72" t="s">
        <v>152</v>
      </c>
    </row>
    <row r="73" spans="2:11" x14ac:dyDescent="0.25">
      <c r="B73" t="s">
        <v>398</v>
      </c>
      <c r="C73" t="s">
        <v>139</v>
      </c>
      <c r="D73" t="s">
        <v>271</v>
      </c>
      <c r="E73" t="s">
        <v>399</v>
      </c>
    </row>
    <row r="74" spans="2:11" x14ac:dyDescent="0.25">
      <c r="B74" t="s">
        <v>155</v>
      </c>
      <c r="C74" t="s">
        <v>139</v>
      </c>
      <c r="D74" t="s">
        <v>156</v>
      </c>
    </row>
    <row r="75" spans="2:11" x14ac:dyDescent="0.25">
      <c r="B75" t="s">
        <v>157</v>
      </c>
      <c r="C75" t="s">
        <v>139</v>
      </c>
      <c r="D75" t="s">
        <v>158</v>
      </c>
      <c r="E75" t="s">
        <v>159</v>
      </c>
      <c r="F75" t="s">
        <v>160</v>
      </c>
    </row>
    <row r="76" spans="2:11" x14ac:dyDescent="0.25">
      <c r="B76" t="s">
        <v>163</v>
      </c>
      <c r="C76" t="s">
        <v>164</v>
      </c>
      <c r="D76" t="s">
        <v>165</v>
      </c>
      <c r="E76" t="s">
        <v>139</v>
      </c>
      <c r="F76" t="s">
        <v>166</v>
      </c>
      <c r="G76" t="s">
        <v>167</v>
      </c>
      <c r="H76" t="s">
        <v>44</v>
      </c>
      <c r="I76" t="s">
        <v>168</v>
      </c>
      <c r="J76" t="s">
        <v>160</v>
      </c>
      <c r="K76" t="s">
        <v>169</v>
      </c>
    </row>
    <row r="77" spans="2:11" x14ac:dyDescent="0.25">
      <c r="B77" t="s">
        <v>173</v>
      </c>
      <c r="C77" t="s">
        <v>139</v>
      </c>
      <c r="D77" t="s">
        <v>174</v>
      </c>
      <c r="E77" t="s">
        <v>160</v>
      </c>
    </row>
    <row r="78" spans="2:11" x14ac:dyDescent="0.25">
      <c r="B78" t="s">
        <v>400</v>
      </c>
      <c r="C78" t="s">
        <v>139</v>
      </c>
      <c r="D78" t="s">
        <v>329</v>
      </c>
      <c r="E78" t="s">
        <v>401</v>
      </c>
    </row>
    <row r="79" spans="2:11" x14ac:dyDescent="0.25">
      <c r="B79" t="s">
        <v>402</v>
      </c>
      <c r="C79" t="s">
        <v>139</v>
      </c>
      <c r="D79" t="s">
        <v>158</v>
      </c>
      <c r="E79" t="s">
        <v>159</v>
      </c>
      <c r="F79" t="s">
        <v>329</v>
      </c>
    </row>
    <row r="80" spans="2:11" x14ac:dyDescent="0.25">
      <c r="B80" t="s">
        <v>403</v>
      </c>
      <c r="C80" t="s">
        <v>139</v>
      </c>
      <c r="D80" t="s">
        <v>159</v>
      </c>
      <c r="E80" t="s">
        <v>329</v>
      </c>
    </row>
    <row r="81" spans="1:14" x14ac:dyDescent="0.25">
      <c r="B81" t="s">
        <v>404</v>
      </c>
      <c r="C81" t="s">
        <v>139</v>
      </c>
      <c r="D81" t="s">
        <v>405</v>
      </c>
      <c r="E81" t="s">
        <v>117</v>
      </c>
      <c r="F81" t="s">
        <v>174</v>
      </c>
      <c r="G81" t="s">
        <v>329</v>
      </c>
    </row>
    <row r="82" spans="1:14" x14ac:dyDescent="0.25">
      <c r="B82" t="s">
        <v>406</v>
      </c>
      <c r="C82" t="s">
        <v>139</v>
      </c>
      <c r="D82" t="s">
        <v>5</v>
      </c>
      <c r="E82" t="s">
        <v>329</v>
      </c>
    </row>
    <row r="83" spans="1:14" x14ac:dyDescent="0.25">
      <c r="B83" t="s">
        <v>175</v>
      </c>
      <c r="C83" t="s">
        <v>176</v>
      </c>
      <c r="D83" t="s">
        <v>177</v>
      </c>
      <c r="E83" t="s">
        <v>139</v>
      </c>
      <c r="F83" t="s">
        <v>166</v>
      </c>
      <c r="G83" t="s">
        <v>167</v>
      </c>
      <c r="H83" t="s">
        <v>44</v>
      </c>
      <c r="I83" t="s">
        <v>168</v>
      </c>
      <c r="J83" t="s">
        <v>178</v>
      </c>
    </row>
    <row r="85" spans="1:14" x14ac:dyDescent="0.25">
      <c r="B85" t="s">
        <v>179</v>
      </c>
      <c r="C85" t="s">
        <v>139</v>
      </c>
      <c r="D85" t="s">
        <v>180</v>
      </c>
      <c r="E85" t="s">
        <v>61</v>
      </c>
      <c r="F85" t="s">
        <v>5</v>
      </c>
      <c r="G85" t="s">
        <v>181</v>
      </c>
      <c r="H85" t="s">
        <v>182</v>
      </c>
      <c r="I85" t="s">
        <v>407</v>
      </c>
      <c r="J85" t="s">
        <v>146</v>
      </c>
      <c r="K85" t="s">
        <v>44</v>
      </c>
      <c r="L85" t="s">
        <v>183</v>
      </c>
    </row>
    <row r="86" spans="1:14" x14ac:dyDescent="0.25">
      <c r="B86" t="s">
        <v>408</v>
      </c>
      <c r="C86" t="s">
        <v>139</v>
      </c>
      <c r="D86" t="s">
        <v>409</v>
      </c>
      <c r="E86" t="s">
        <v>410</v>
      </c>
    </row>
    <row r="89" spans="1:14" x14ac:dyDescent="0.25">
      <c r="A89">
        <v>1</v>
      </c>
      <c r="B89" t="s">
        <v>184</v>
      </c>
    </row>
    <row r="90" spans="1:14" x14ac:dyDescent="0.25">
      <c r="B90" t="s">
        <v>20</v>
      </c>
      <c r="C90" t="s">
        <v>91</v>
      </c>
      <c r="D90" t="s">
        <v>185</v>
      </c>
      <c r="E90" t="s">
        <v>186</v>
      </c>
      <c r="F90" t="s">
        <v>36</v>
      </c>
      <c r="G90" t="s">
        <v>143</v>
      </c>
      <c r="H90" t="s">
        <v>327</v>
      </c>
      <c r="I90" t="s">
        <v>411</v>
      </c>
      <c r="J90" t="s">
        <v>188</v>
      </c>
      <c r="K90" t="s">
        <v>189</v>
      </c>
      <c r="L90" t="s">
        <v>190</v>
      </c>
      <c r="M90" t="s">
        <v>191</v>
      </c>
    </row>
    <row r="91" spans="1:14" x14ac:dyDescent="0.25">
      <c r="B91" t="s">
        <v>94</v>
      </c>
      <c r="C91" t="s">
        <v>192</v>
      </c>
      <c r="D91" t="s">
        <v>193</v>
      </c>
      <c r="E91" t="s">
        <v>107</v>
      </c>
      <c r="F91" t="s">
        <v>83</v>
      </c>
      <c r="G91" t="s">
        <v>194</v>
      </c>
      <c r="H91" t="s">
        <v>195</v>
      </c>
      <c r="I91" t="s">
        <v>143</v>
      </c>
      <c r="J91" t="s">
        <v>140</v>
      </c>
      <c r="K91" t="s">
        <v>193</v>
      </c>
      <c r="L91" t="s">
        <v>196</v>
      </c>
      <c r="M91" t="s">
        <v>61</v>
      </c>
    </row>
    <row r="92" spans="1:14" x14ac:dyDescent="0.25">
      <c r="B92" t="s">
        <v>83</v>
      </c>
      <c r="C92" t="s">
        <v>162</v>
      </c>
      <c r="D92" t="s">
        <v>159</v>
      </c>
      <c r="E92" t="s">
        <v>197</v>
      </c>
      <c r="F92" t="s">
        <v>198</v>
      </c>
    </row>
    <row r="93" spans="1:14" x14ac:dyDescent="0.25">
      <c r="B93" t="s">
        <v>94</v>
      </c>
      <c r="C93" t="s">
        <v>412</v>
      </c>
      <c r="D93" t="s">
        <v>87</v>
      </c>
      <c r="E93" t="s">
        <v>199</v>
      </c>
      <c r="F93" t="s">
        <v>107</v>
      </c>
      <c r="G93" t="s">
        <v>86</v>
      </c>
      <c r="H93" t="s">
        <v>206</v>
      </c>
      <c r="I93" t="s">
        <v>62</v>
      </c>
      <c r="J93" t="s">
        <v>162</v>
      </c>
      <c r="K93" t="s">
        <v>44</v>
      </c>
      <c r="L93" t="s">
        <v>168</v>
      </c>
    </row>
    <row r="94" spans="1:14" x14ac:dyDescent="0.25">
      <c r="B94" t="s">
        <v>283</v>
      </c>
      <c r="C94" t="s">
        <v>413</v>
      </c>
      <c r="D94" t="s">
        <v>62</v>
      </c>
      <c r="E94" t="s">
        <v>414</v>
      </c>
      <c r="F94" t="s">
        <v>87</v>
      </c>
      <c r="G94" t="s">
        <v>199</v>
      </c>
      <c r="H94" t="s">
        <v>107</v>
      </c>
      <c r="I94" t="s">
        <v>200</v>
      </c>
      <c r="J94" t="s">
        <v>206</v>
      </c>
      <c r="K94" t="s">
        <v>62</v>
      </c>
      <c r="L94" t="s">
        <v>5</v>
      </c>
    </row>
    <row r="95" spans="1:14" x14ac:dyDescent="0.25">
      <c r="B95" t="e">
        <f>-normal</f>
        <v>#NAME?</v>
      </c>
      <c r="C95" t="s">
        <v>415</v>
      </c>
      <c r="D95" t="s">
        <v>416</v>
      </c>
      <c r="E95" t="s">
        <v>354</v>
      </c>
      <c r="F95" t="s">
        <v>62</v>
      </c>
      <c r="G95" t="s">
        <v>201</v>
      </c>
      <c r="H95" t="s">
        <v>44</v>
      </c>
      <c r="I95" t="s">
        <v>202</v>
      </c>
      <c r="J95" t="s">
        <v>203</v>
      </c>
    </row>
    <row r="96" spans="1:14" x14ac:dyDescent="0.25">
      <c r="B96" t="s">
        <v>94</v>
      </c>
      <c r="C96" t="s">
        <v>271</v>
      </c>
      <c r="D96" t="s">
        <v>87</v>
      </c>
      <c r="E96" t="s">
        <v>199</v>
      </c>
      <c r="F96" t="s">
        <v>107</v>
      </c>
      <c r="G96" t="s">
        <v>417</v>
      </c>
      <c r="H96" t="s">
        <v>418</v>
      </c>
      <c r="I96" t="s">
        <v>419</v>
      </c>
      <c r="J96" t="s">
        <v>70</v>
      </c>
      <c r="K96" t="s">
        <v>420</v>
      </c>
      <c r="L96" t="s">
        <v>36</v>
      </c>
      <c r="M96" t="s">
        <v>62</v>
      </c>
      <c r="N96" t="s">
        <v>203</v>
      </c>
    </row>
    <row r="97" spans="1:13" x14ac:dyDescent="0.25">
      <c r="B97" t="s">
        <v>204</v>
      </c>
      <c r="C97" t="s">
        <v>205</v>
      </c>
      <c r="D97" t="s">
        <v>59</v>
      </c>
      <c r="E97" t="s">
        <v>104</v>
      </c>
      <c r="F97" t="s">
        <v>206</v>
      </c>
      <c r="G97" t="s">
        <v>62</v>
      </c>
      <c r="H97" t="s">
        <v>207</v>
      </c>
      <c r="I97" t="s">
        <v>208</v>
      </c>
    </row>
    <row r="100" spans="1:13" x14ac:dyDescent="0.25">
      <c r="A100">
        <v>2</v>
      </c>
      <c r="B100" t="s">
        <v>421</v>
      </c>
    </row>
    <row r="102" spans="1:13" x14ac:dyDescent="0.25">
      <c r="A102" t="s">
        <v>209</v>
      </c>
      <c r="B102" t="s">
        <v>210</v>
      </c>
      <c r="C102" t="s">
        <v>211</v>
      </c>
      <c r="D102" t="s">
        <v>212</v>
      </c>
      <c r="E102" t="s">
        <v>213</v>
      </c>
      <c r="F102" t="s">
        <v>44</v>
      </c>
      <c r="G102" t="s">
        <v>214</v>
      </c>
      <c r="H102" t="s">
        <v>215</v>
      </c>
    </row>
    <row r="103" spans="1:13" x14ac:dyDescent="0.25">
      <c r="B103" t="s">
        <v>216</v>
      </c>
    </row>
    <row r="104" spans="1:13" x14ac:dyDescent="0.25">
      <c r="B104" t="s">
        <v>29</v>
      </c>
      <c r="C104" t="s">
        <v>83</v>
      </c>
      <c r="D104" t="s">
        <v>217</v>
      </c>
      <c r="E104" t="s">
        <v>218</v>
      </c>
      <c r="F104" t="s">
        <v>219</v>
      </c>
      <c r="G104" t="s">
        <v>220</v>
      </c>
      <c r="H104" t="s">
        <v>36</v>
      </c>
      <c r="I104" t="s">
        <v>62</v>
      </c>
      <c r="J104" t="s">
        <v>221</v>
      </c>
      <c r="K104" t="s">
        <v>222</v>
      </c>
      <c r="L104" t="s">
        <v>223</v>
      </c>
    </row>
    <row r="105" spans="1:13" x14ac:dyDescent="0.25">
      <c r="B105" t="s">
        <v>70</v>
      </c>
      <c r="C105" t="s">
        <v>41</v>
      </c>
      <c r="D105" t="s">
        <v>224</v>
      </c>
      <c r="E105" t="s">
        <v>225</v>
      </c>
      <c r="F105" t="s">
        <v>44</v>
      </c>
      <c r="G105" t="s">
        <v>226</v>
      </c>
      <c r="H105" t="s">
        <v>227</v>
      </c>
      <c r="I105" t="s">
        <v>228</v>
      </c>
      <c r="J105" t="s">
        <v>229</v>
      </c>
      <c r="K105" t="s">
        <v>230</v>
      </c>
      <c r="L105" t="s">
        <v>231</v>
      </c>
      <c r="M105">
        <v>2008</v>
      </c>
    </row>
    <row r="107" spans="1:13" x14ac:dyDescent="0.25">
      <c r="A107" t="s">
        <v>232</v>
      </c>
      <c r="B107" t="s">
        <v>212</v>
      </c>
      <c r="C107" t="s">
        <v>235</v>
      </c>
      <c r="D107" t="s">
        <v>246</v>
      </c>
      <c r="E107" t="s">
        <v>247</v>
      </c>
      <c r="F107" t="s">
        <v>44</v>
      </c>
      <c r="G107" t="s">
        <v>214</v>
      </c>
      <c r="H107" t="s">
        <v>215</v>
      </c>
    </row>
    <row r="108" spans="1:13" x14ac:dyDescent="0.25">
      <c r="B108" t="s">
        <v>248</v>
      </c>
    </row>
    <row r="109" spans="1:13" x14ac:dyDescent="0.25">
      <c r="B109" t="s">
        <v>249</v>
      </c>
      <c r="C109" t="s">
        <v>250</v>
      </c>
      <c r="D109" t="s">
        <v>251</v>
      </c>
      <c r="E109" t="s">
        <v>1</v>
      </c>
      <c r="F109" t="s">
        <v>36</v>
      </c>
      <c r="G109" t="s">
        <v>26</v>
      </c>
      <c r="H109" t="s">
        <v>30</v>
      </c>
      <c r="I109" t="s">
        <v>31</v>
      </c>
    </row>
    <row r="110" spans="1:13" x14ac:dyDescent="0.25">
      <c r="B110" t="s">
        <v>206</v>
      </c>
      <c r="C110" t="s">
        <v>83</v>
      </c>
      <c r="D110" t="s">
        <v>27</v>
      </c>
      <c r="E110" t="s">
        <v>422</v>
      </c>
      <c r="F110" t="s">
        <v>252</v>
      </c>
      <c r="G110" t="s">
        <v>30</v>
      </c>
      <c r="H110" t="s">
        <v>44</v>
      </c>
      <c r="I110" t="s">
        <v>253</v>
      </c>
      <c r="J110" t="s">
        <v>31</v>
      </c>
      <c r="K110">
        <v>5</v>
      </c>
    </row>
    <row r="111" spans="1:13" x14ac:dyDescent="0.25">
      <c r="B111" t="s">
        <v>254</v>
      </c>
      <c r="C111" t="s">
        <v>36</v>
      </c>
      <c r="D111" t="s">
        <v>62</v>
      </c>
      <c r="E111" t="s">
        <v>255</v>
      </c>
      <c r="F111" t="s">
        <v>222</v>
      </c>
      <c r="G111" t="s">
        <v>223</v>
      </c>
      <c r="H111" t="s">
        <v>70</v>
      </c>
      <c r="I111" t="s">
        <v>252</v>
      </c>
    </row>
    <row r="112" spans="1:13" x14ac:dyDescent="0.25">
      <c r="B112" t="s">
        <v>30</v>
      </c>
      <c r="C112" t="s">
        <v>44</v>
      </c>
      <c r="D112" t="s">
        <v>253</v>
      </c>
      <c r="E112" t="s">
        <v>256</v>
      </c>
      <c r="F112" t="s">
        <v>247</v>
      </c>
      <c r="G112" t="s">
        <v>257</v>
      </c>
      <c r="H112" t="s">
        <v>213</v>
      </c>
      <c r="I112" t="s">
        <v>258</v>
      </c>
      <c r="J112" t="s">
        <v>259</v>
      </c>
      <c r="K112" t="s">
        <v>260</v>
      </c>
      <c r="L112" t="s">
        <v>261</v>
      </c>
    </row>
    <row r="113" spans="1:14" x14ac:dyDescent="0.25">
      <c r="B113" t="s">
        <v>230</v>
      </c>
      <c r="C113" t="s">
        <v>262</v>
      </c>
      <c r="D113">
        <v>2006</v>
      </c>
    </row>
    <row r="115" spans="1:14" x14ac:dyDescent="0.25">
      <c r="A115" t="s">
        <v>245</v>
      </c>
      <c r="B115" t="s">
        <v>214</v>
      </c>
      <c r="C115" t="s">
        <v>215</v>
      </c>
      <c r="D115" t="s">
        <v>233</v>
      </c>
      <c r="E115" t="s">
        <v>33</v>
      </c>
      <c r="F115" t="s">
        <v>44</v>
      </c>
      <c r="G115" t="s">
        <v>423</v>
      </c>
      <c r="H115" t="s">
        <v>424</v>
      </c>
    </row>
    <row r="116" spans="1:14" x14ac:dyDescent="0.25">
      <c r="B116" t="s">
        <v>425</v>
      </c>
    </row>
    <row r="117" spans="1:14" x14ac:dyDescent="0.25">
      <c r="B117" t="s">
        <v>29</v>
      </c>
      <c r="C117" t="s">
        <v>426</v>
      </c>
      <c r="D117" t="s">
        <v>151</v>
      </c>
      <c r="E117" t="s">
        <v>44</v>
      </c>
      <c r="F117" t="s">
        <v>395</v>
      </c>
      <c r="G117" t="s">
        <v>427</v>
      </c>
    </row>
    <row r="118" spans="1:14" x14ac:dyDescent="0.25">
      <c r="B118" t="s">
        <v>44</v>
      </c>
      <c r="C118" t="s">
        <v>87</v>
      </c>
      <c r="D118" t="s">
        <v>428</v>
      </c>
    </row>
    <row r="119" spans="1:14" x14ac:dyDescent="0.25">
      <c r="B119" t="s">
        <v>252</v>
      </c>
      <c r="C119" t="s">
        <v>30</v>
      </c>
      <c r="D119" t="s">
        <v>44</v>
      </c>
      <c r="E119" t="s">
        <v>253</v>
      </c>
      <c r="F119" t="s">
        <v>31</v>
      </c>
      <c r="G119">
        <v>3</v>
      </c>
      <c r="H119" t="s">
        <v>254</v>
      </c>
      <c r="I119" t="s">
        <v>36</v>
      </c>
      <c r="J119" t="s">
        <v>62</v>
      </c>
      <c r="K119" t="s">
        <v>429</v>
      </c>
      <c r="L119" t="s">
        <v>222</v>
      </c>
    </row>
    <row r="120" spans="1:14" x14ac:dyDescent="0.25">
      <c r="B120" t="s">
        <v>223</v>
      </c>
      <c r="C120" t="s">
        <v>70</v>
      </c>
      <c r="D120" t="s">
        <v>252</v>
      </c>
      <c r="E120" t="s">
        <v>30</v>
      </c>
      <c r="F120" t="s">
        <v>44</v>
      </c>
      <c r="G120" t="s">
        <v>253</v>
      </c>
      <c r="H120" t="s">
        <v>430</v>
      </c>
    </row>
    <row r="121" spans="1:14" x14ac:dyDescent="0.25">
      <c r="B121" t="s">
        <v>258</v>
      </c>
      <c r="C121" t="s">
        <v>235</v>
      </c>
      <c r="D121" t="s">
        <v>257</v>
      </c>
      <c r="E121" t="s">
        <v>247</v>
      </c>
      <c r="F121" t="s">
        <v>44</v>
      </c>
      <c r="G121" t="s">
        <v>431</v>
      </c>
      <c r="H121" t="s">
        <v>432</v>
      </c>
      <c r="I121" t="s">
        <v>261</v>
      </c>
    </row>
    <row r="122" spans="1:14" x14ac:dyDescent="0.25">
      <c r="B122" t="s">
        <v>433</v>
      </c>
      <c r="C122" t="s">
        <v>434</v>
      </c>
      <c r="D122" t="s">
        <v>230</v>
      </c>
      <c r="E122" t="s">
        <v>435</v>
      </c>
      <c r="F122">
        <v>2000</v>
      </c>
    </row>
    <row r="124" spans="1:14" x14ac:dyDescent="0.25">
      <c r="A124" t="s">
        <v>436</v>
      </c>
      <c r="B124" t="s">
        <v>233</v>
      </c>
      <c r="C124" t="s">
        <v>33</v>
      </c>
      <c r="D124" t="s">
        <v>44</v>
      </c>
      <c r="E124" t="s">
        <v>214</v>
      </c>
      <c r="F124" t="s">
        <v>215</v>
      </c>
    </row>
    <row r="125" spans="1:14" x14ac:dyDescent="0.25">
      <c r="B125" t="s">
        <v>437</v>
      </c>
    </row>
    <row r="126" spans="1:14" x14ac:dyDescent="0.25">
      <c r="B126" t="s">
        <v>347</v>
      </c>
      <c r="C126" t="s">
        <v>1</v>
      </c>
      <c r="D126" t="s">
        <v>438</v>
      </c>
      <c r="E126" t="s">
        <v>101</v>
      </c>
      <c r="F126" t="s">
        <v>153</v>
      </c>
      <c r="G126" t="s">
        <v>139</v>
      </c>
      <c r="H126">
        <v>640</v>
      </c>
      <c r="I126" t="s">
        <v>29</v>
      </c>
      <c r="J126" t="s">
        <v>393</v>
      </c>
      <c r="K126" t="s">
        <v>139</v>
      </c>
      <c r="L126">
        <v>2.5000000000000001E-2</v>
      </c>
      <c r="M126" t="s">
        <v>44</v>
      </c>
      <c r="N126" t="s">
        <v>439</v>
      </c>
    </row>
    <row r="127" spans="1:14" x14ac:dyDescent="0.25">
      <c r="B127" t="s">
        <v>220</v>
      </c>
      <c r="C127" t="s">
        <v>36</v>
      </c>
      <c r="D127" t="s">
        <v>440</v>
      </c>
      <c r="E127" t="s">
        <v>441</v>
      </c>
      <c r="F127" t="s">
        <v>224</v>
      </c>
      <c r="G127" t="s">
        <v>442</v>
      </c>
      <c r="H127" t="s">
        <v>230</v>
      </c>
      <c r="I127" t="s">
        <v>443</v>
      </c>
      <c r="J127">
        <v>2002</v>
      </c>
    </row>
    <row r="129" spans="1:12" x14ac:dyDescent="0.25">
      <c r="A129" t="s">
        <v>444</v>
      </c>
      <c r="B129" t="s">
        <v>233</v>
      </c>
      <c r="C129" t="s">
        <v>215</v>
      </c>
      <c r="D129" t="s">
        <v>214</v>
      </c>
      <c r="E129" t="s">
        <v>33</v>
      </c>
      <c r="F129" t="s">
        <v>44</v>
      </c>
      <c r="G129" t="s">
        <v>234</v>
      </c>
      <c r="H129" t="s">
        <v>235</v>
      </c>
    </row>
    <row r="130" spans="1:12" x14ac:dyDescent="0.25">
      <c r="B130" t="s">
        <v>236</v>
      </c>
    </row>
    <row r="131" spans="1:12" x14ac:dyDescent="0.25">
      <c r="B131" t="s">
        <v>29</v>
      </c>
      <c r="C131" t="s">
        <v>237</v>
      </c>
      <c r="D131" t="s">
        <v>101</v>
      </c>
      <c r="E131" t="s">
        <v>151</v>
      </c>
      <c r="F131" t="s">
        <v>152</v>
      </c>
      <c r="G131" t="s">
        <v>238</v>
      </c>
    </row>
    <row r="132" spans="1:12" x14ac:dyDescent="0.25">
      <c r="B132" t="s">
        <v>239</v>
      </c>
      <c r="C132" t="s">
        <v>240</v>
      </c>
      <c r="D132" t="s">
        <v>241</v>
      </c>
      <c r="E132" t="s">
        <v>242</v>
      </c>
      <c r="F132" t="s">
        <v>228</v>
      </c>
      <c r="G132" t="s">
        <v>243</v>
      </c>
      <c r="H132" t="s">
        <v>230</v>
      </c>
      <c r="I132" t="s">
        <v>244</v>
      </c>
      <c r="J132">
        <v>2001</v>
      </c>
    </row>
    <row r="135" spans="1:12" x14ac:dyDescent="0.25">
      <c r="A135">
        <v>3</v>
      </c>
      <c r="B135" t="s">
        <v>21</v>
      </c>
      <c r="C135" t="s">
        <v>445</v>
      </c>
    </row>
    <row r="137" spans="1:12" x14ac:dyDescent="0.25">
      <c r="A137" t="s">
        <v>264</v>
      </c>
      <c r="B137" t="s">
        <v>265</v>
      </c>
      <c r="C137" t="s">
        <v>266</v>
      </c>
    </row>
    <row r="138" spans="1:12" x14ac:dyDescent="0.25">
      <c r="B138" t="s">
        <v>267</v>
      </c>
      <c r="C138" t="s">
        <v>268</v>
      </c>
      <c r="D138" t="s">
        <v>44</v>
      </c>
      <c r="E138" t="s">
        <v>62</v>
      </c>
      <c r="F138" t="s">
        <v>269</v>
      </c>
      <c r="G138" t="s">
        <v>268</v>
      </c>
      <c r="H138" t="s">
        <v>25</v>
      </c>
      <c r="I138" t="s">
        <v>193</v>
      </c>
      <c r="J138" t="s">
        <v>270</v>
      </c>
    </row>
    <row r="139" spans="1:12" x14ac:dyDescent="0.25">
      <c r="B139" t="s">
        <v>44</v>
      </c>
      <c r="C139" t="s">
        <v>62</v>
      </c>
      <c r="D139" t="s">
        <v>145</v>
      </c>
      <c r="E139" t="s">
        <v>268</v>
      </c>
      <c r="F139" t="s">
        <v>25</v>
      </c>
      <c r="G139" t="s">
        <v>271</v>
      </c>
      <c r="H139" t="s">
        <v>272</v>
      </c>
    </row>
    <row r="141" spans="1:12" x14ac:dyDescent="0.25">
      <c r="A141" t="s">
        <v>273</v>
      </c>
      <c r="B141" t="s">
        <v>274</v>
      </c>
      <c r="C141" t="s">
        <v>275</v>
      </c>
    </row>
    <row r="142" spans="1:12" x14ac:dyDescent="0.25">
      <c r="B142" t="s">
        <v>276</v>
      </c>
      <c r="C142" t="s">
        <v>277</v>
      </c>
      <c r="D142" t="s">
        <v>263</v>
      </c>
      <c r="E142" t="s">
        <v>278</v>
      </c>
      <c r="F142" t="s">
        <v>279</v>
      </c>
    </row>
    <row r="143" spans="1:12" x14ac:dyDescent="0.25">
      <c r="B143" t="s">
        <v>94</v>
      </c>
      <c r="C143" t="s">
        <v>280</v>
      </c>
      <c r="D143" t="s">
        <v>281</v>
      </c>
      <c r="E143" t="s">
        <v>282</v>
      </c>
      <c r="F143" t="s">
        <v>92</v>
      </c>
      <c r="G143" t="s">
        <v>278</v>
      </c>
      <c r="H143" t="s">
        <v>200</v>
      </c>
      <c r="I143" t="s">
        <v>206</v>
      </c>
      <c r="J143" t="s">
        <v>62</v>
      </c>
      <c r="K143" t="s">
        <v>162</v>
      </c>
      <c r="L143" t="s">
        <v>44</v>
      </c>
    </row>
    <row r="144" spans="1:12" x14ac:dyDescent="0.25">
      <c r="B144" t="s">
        <v>168</v>
      </c>
      <c r="C144" t="s">
        <v>283</v>
      </c>
      <c r="D144" t="s">
        <v>44</v>
      </c>
      <c r="E144" t="s">
        <v>62</v>
      </c>
      <c r="F144" t="s">
        <v>284</v>
      </c>
      <c r="G144" t="s">
        <v>281</v>
      </c>
      <c r="H144" t="s">
        <v>282</v>
      </c>
      <c r="I144" t="s">
        <v>92</v>
      </c>
      <c r="J144" t="s">
        <v>278</v>
      </c>
      <c r="K144" t="s">
        <v>99</v>
      </c>
    </row>
    <row r="145" spans="1:12" x14ac:dyDescent="0.25">
      <c r="B145" t="s">
        <v>206</v>
      </c>
      <c r="C145" t="s">
        <v>62</v>
      </c>
      <c r="D145" t="s">
        <v>167</v>
      </c>
      <c r="E145" t="s">
        <v>285</v>
      </c>
    </row>
    <row r="147" spans="1:12" x14ac:dyDescent="0.25">
      <c r="A147" t="s">
        <v>288</v>
      </c>
      <c r="B147" t="s">
        <v>250</v>
      </c>
      <c r="C147" t="s">
        <v>90</v>
      </c>
    </row>
    <row r="148" spans="1:12" x14ac:dyDescent="0.25">
      <c r="B148">
        <v>1.2</v>
      </c>
      <c r="C148" t="s">
        <v>44</v>
      </c>
      <c r="D148">
        <v>2.5</v>
      </c>
      <c r="E148" t="s">
        <v>5</v>
      </c>
      <c r="F148" t="s">
        <v>181</v>
      </c>
      <c r="G148" t="s">
        <v>206</v>
      </c>
      <c r="H148" t="s">
        <v>62</v>
      </c>
      <c r="I148" t="s">
        <v>289</v>
      </c>
      <c r="J148" t="s">
        <v>44</v>
      </c>
      <c r="K148" t="s">
        <v>290</v>
      </c>
      <c r="L148" t="s">
        <v>291</v>
      </c>
    </row>
    <row r="149" spans="1:12" x14ac:dyDescent="0.25">
      <c r="B149" t="s">
        <v>44</v>
      </c>
      <c r="C149">
        <v>0.11</v>
      </c>
      <c r="D149" t="s">
        <v>101</v>
      </c>
      <c r="E149">
        <v>2.1</v>
      </c>
      <c r="F149" t="s">
        <v>5</v>
      </c>
      <c r="G149" t="s">
        <v>181</v>
      </c>
      <c r="H149" t="s">
        <v>206</v>
      </c>
      <c r="I149" t="s">
        <v>62</v>
      </c>
      <c r="J149" t="s">
        <v>292</v>
      </c>
    </row>
    <row r="151" spans="1:12" x14ac:dyDescent="0.25">
      <c r="A151" t="s">
        <v>293</v>
      </c>
      <c r="B151" t="s">
        <v>294</v>
      </c>
      <c r="C151" t="s">
        <v>295</v>
      </c>
    </row>
    <row r="152" spans="1:12" x14ac:dyDescent="0.25">
      <c r="B152" t="s">
        <v>94</v>
      </c>
      <c r="C152" t="s">
        <v>296</v>
      </c>
      <c r="D152" t="s">
        <v>275</v>
      </c>
      <c r="E152" t="s">
        <v>25</v>
      </c>
      <c r="F152" t="s">
        <v>62</v>
      </c>
      <c r="G152" t="s">
        <v>297</v>
      </c>
      <c r="H152" t="s">
        <v>298</v>
      </c>
      <c r="I152" t="s">
        <v>29</v>
      </c>
      <c r="J152" t="s">
        <v>167</v>
      </c>
      <c r="K152" t="s">
        <v>299</v>
      </c>
    </row>
    <row r="153" spans="1:12" x14ac:dyDescent="0.25">
      <c r="B153" t="s">
        <v>44</v>
      </c>
      <c r="C153" t="s">
        <v>62</v>
      </c>
      <c r="D153" t="s">
        <v>284</v>
      </c>
      <c r="E153" t="s">
        <v>300</v>
      </c>
      <c r="F153" t="s">
        <v>275</v>
      </c>
      <c r="G153" t="s">
        <v>25</v>
      </c>
      <c r="H153" t="s">
        <v>62</v>
      </c>
      <c r="I153" t="s">
        <v>301</v>
      </c>
      <c r="J153" t="s">
        <v>302</v>
      </c>
    </row>
    <row r="155" spans="1:12" x14ac:dyDescent="0.25">
      <c r="A155" t="s">
        <v>303</v>
      </c>
      <c r="B155" t="s">
        <v>304</v>
      </c>
      <c r="C155" t="s">
        <v>305</v>
      </c>
    </row>
    <row r="156" spans="1:12" x14ac:dyDescent="0.25">
      <c r="B156" t="s">
        <v>306</v>
      </c>
      <c r="C156" t="s">
        <v>307</v>
      </c>
      <c r="D156" t="s">
        <v>308</v>
      </c>
      <c r="E156" t="s">
        <v>307</v>
      </c>
      <c r="F156" t="s">
        <v>309</v>
      </c>
    </row>
    <row r="158" spans="1:12" x14ac:dyDescent="0.25">
      <c r="A158" t="s">
        <v>310</v>
      </c>
      <c r="B158" t="s">
        <v>311</v>
      </c>
    </row>
    <row r="159" spans="1:12" x14ac:dyDescent="0.25">
      <c r="B159" t="s">
        <v>312</v>
      </c>
      <c r="C159" t="s">
        <v>313</v>
      </c>
    </row>
    <row r="161" spans="1:12" x14ac:dyDescent="0.25">
      <c r="A161" t="s">
        <v>314</v>
      </c>
      <c r="B161" t="s">
        <v>315</v>
      </c>
      <c r="C161" t="s">
        <v>152</v>
      </c>
    </row>
    <row r="162" spans="1:12" x14ac:dyDescent="0.25">
      <c r="B162">
        <v>2048</v>
      </c>
      <c r="C162" t="s">
        <v>307</v>
      </c>
      <c r="D162">
        <v>480</v>
      </c>
      <c r="E162" t="s">
        <v>307</v>
      </c>
      <c r="F162">
        <v>512</v>
      </c>
    </row>
    <row r="164" spans="1:12" x14ac:dyDescent="0.25">
      <c r="A164" t="s">
        <v>316</v>
      </c>
      <c r="B164" t="s">
        <v>317</v>
      </c>
      <c r="C164" t="s">
        <v>25</v>
      </c>
      <c r="D164" t="s">
        <v>318</v>
      </c>
      <c r="E164" t="s">
        <v>319</v>
      </c>
    </row>
    <row r="165" spans="1:12" x14ac:dyDescent="0.25">
      <c r="B165" t="s">
        <v>94</v>
      </c>
      <c r="C165" t="s">
        <v>320</v>
      </c>
      <c r="D165" t="s">
        <v>319</v>
      </c>
      <c r="E165" t="s">
        <v>107</v>
      </c>
      <c r="F165" t="s">
        <v>321</v>
      </c>
      <c r="G165" t="s">
        <v>61</v>
      </c>
    </row>
    <row r="166" spans="1:12" x14ac:dyDescent="0.25">
      <c r="B166" t="s">
        <v>322</v>
      </c>
      <c r="C166" t="s">
        <v>323</v>
      </c>
      <c r="D166" t="s">
        <v>324</v>
      </c>
      <c r="E166" t="s">
        <v>325</v>
      </c>
      <c r="F166" t="s">
        <v>143</v>
      </c>
      <c r="G166" t="s">
        <v>144</v>
      </c>
      <c r="H166" t="s">
        <v>145</v>
      </c>
      <c r="I166" t="s">
        <v>25</v>
      </c>
      <c r="J166" t="s">
        <v>160</v>
      </c>
      <c r="K166" t="s">
        <v>326</v>
      </c>
    </row>
    <row r="167" spans="1:12" x14ac:dyDescent="0.25">
      <c r="B167" t="s">
        <v>44</v>
      </c>
      <c r="C167" t="s">
        <v>322</v>
      </c>
      <c r="D167" t="s">
        <v>327</v>
      </c>
      <c r="E167" t="s">
        <v>328</v>
      </c>
      <c r="F167" t="s">
        <v>325</v>
      </c>
      <c r="G167" t="s">
        <v>329</v>
      </c>
      <c r="H167" t="s">
        <v>330</v>
      </c>
      <c r="I167" t="s">
        <v>25</v>
      </c>
      <c r="J167" t="s">
        <v>329</v>
      </c>
      <c r="K167" t="s">
        <v>272</v>
      </c>
    </row>
    <row r="169" spans="1:12" x14ac:dyDescent="0.25">
      <c r="A169" t="s">
        <v>331</v>
      </c>
      <c r="B169" t="s">
        <v>332</v>
      </c>
      <c r="C169" t="s">
        <v>36</v>
      </c>
      <c r="D169" t="s">
        <v>333</v>
      </c>
      <c r="E169" t="s">
        <v>334</v>
      </c>
      <c r="F169" t="s">
        <v>25</v>
      </c>
      <c r="G169" t="s">
        <v>335</v>
      </c>
      <c r="H169" t="s">
        <v>336</v>
      </c>
    </row>
    <row r="170" spans="1:12" x14ac:dyDescent="0.25">
      <c r="B170" t="s">
        <v>337</v>
      </c>
      <c r="C170">
        <v>948</v>
      </c>
      <c r="D170" t="s">
        <v>446</v>
      </c>
      <c r="E170" t="s">
        <v>338</v>
      </c>
      <c r="F170" t="s">
        <v>62</v>
      </c>
      <c r="G170" t="s">
        <v>193</v>
      </c>
      <c r="H170" t="s">
        <v>339</v>
      </c>
      <c r="I170" t="s">
        <v>62</v>
      </c>
      <c r="J170" t="s">
        <v>194</v>
      </c>
      <c r="K170" t="s">
        <v>195</v>
      </c>
      <c r="L170" t="s">
        <v>340</v>
      </c>
    </row>
    <row r="171" spans="1:12" x14ac:dyDescent="0.25">
      <c r="B171" t="s">
        <v>341</v>
      </c>
      <c r="C171" t="s">
        <v>334</v>
      </c>
      <c r="D171" t="s">
        <v>333</v>
      </c>
      <c r="E171" t="s">
        <v>342</v>
      </c>
      <c r="F171" t="s">
        <v>101</v>
      </c>
      <c r="G171" t="s">
        <v>343</v>
      </c>
      <c r="H171">
        <v>7</v>
      </c>
      <c r="I171" t="s">
        <v>344</v>
      </c>
      <c r="J171" t="s">
        <v>345</v>
      </c>
      <c r="K171" t="s">
        <v>346</v>
      </c>
      <c r="L171" t="s">
        <v>347</v>
      </c>
    </row>
    <row r="172" spans="1:12" x14ac:dyDescent="0.25">
      <c r="B172" t="s">
        <v>62</v>
      </c>
      <c r="C172" t="s">
        <v>348</v>
      </c>
      <c r="D172" t="s">
        <v>349</v>
      </c>
    </row>
    <row r="174" spans="1:12" x14ac:dyDescent="0.25">
      <c r="A174" t="s">
        <v>350</v>
      </c>
      <c r="B174" t="s">
        <v>351</v>
      </c>
    </row>
    <row r="175" spans="1:12" x14ac:dyDescent="0.25">
      <c r="B175" t="s">
        <v>352</v>
      </c>
      <c r="C175" t="s">
        <v>353</v>
      </c>
      <c r="D175" t="s">
        <v>354</v>
      </c>
      <c r="E175" t="s">
        <v>355</v>
      </c>
      <c r="F175" t="s">
        <v>356</v>
      </c>
      <c r="G175" t="s">
        <v>357</v>
      </c>
      <c r="H175" t="s">
        <v>358</v>
      </c>
      <c r="I175" t="s">
        <v>47</v>
      </c>
    </row>
    <row r="176" spans="1:12" x14ac:dyDescent="0.25">
      <c r="B176" t="s">
        <v>359</v>
      </c>
      <c r="C176" t="s">
        <v>352</v>
      </c>
      <c r="D176" t="s">
        <v>353</v>
      </c>
      <c r="E176" t="s">
        <v>354</v>
      </c>
      <c r="F176" t="s">
        <v>355</v>
      </c>
      <c r="G176" t="s">
        <v>356</v>
      </c>
      <c r="H176" t="s">
        <v>357</v>
      </c>
      <c r="I176" t="s">
        <v>358</v>
      </c>
      <c r="J176" t="s">
        <v>360</v>
      </c>
    </row>
    <row r="179" spans="1:4" x14ac:dyDescent="0.25">
      <c r="A179">
        <v>4</v>
      </c>
      <c r="B179" t="s">
        <v>361</v>
      </c>
    </row>
    <row r="181" spans="1:4" x14ac:dyDescent="0.25">
      <c r="A181" t="s">
        <v>362</v>
      </c>
      <c r="B181" t="s">
        <v>363</v>
      </c>
      <c r="C181" t="s">
        <v>364</v>
      </c>
    </row>
    <row r="183" spans="1:4" x14ac:dyDescent="0.25">
      <c r="B183" t="s">
        <v>153</v>
      </c>
      <c r="C183" t="s">
        <v>139</v>
      </c>
      <c r="D183">
        <v>395</v>
      </c>
    </row>
    <row r="184" spans="1:4" x14ac:dyDescent="0.25">
      <c r="B184" t="s">
        <v>393</v>
      </c>
      <c r="C184" t="s">
        <v>139</v>
      </c>
      <c r="D184">
        <v>0.71</v>
      </c>
    </row>
    <row r="186" spans="1:4" x14ac:dyDescent="0.25">
      <c r="A186" t="s">
        <v>365</v>
      </c>
      <c r="B186" t="s">
        <v>366</v>
      </c>
      <c r="C186" t="s">
        <v>159</v>
      </c>
      <c r="D186" t="s">
        <v>367</v>
      </c>
    </row>
    <row r="188" spans="1:4" x14ac:dyDescent="0.25">
      <c r="B188" t="s">
        <v>149</v>
      </c>
      <c r="C188" t="s">
        <v>139</v>
      </c>
      <c r="D188">
        <v>14062</v>
      </c>
    </row>
    <row r="189" spans="1:4" x14ac:dyDescent="0.25">
      <c r="B189" t="s">
        <v>390</v>
      </c>
      <c r="C189" t="s">
        <v>139</v>
      </c>
      <c r="D189">
        <v>36.65</v>
      </c>
    </row>
    <row r="192" spans="1:4" x14ac:dyDescent="0.25">
      <c r="A192">
        <v>5</v>
      </c>
      <c r="B192" t="s">
        <v>224</v>
      </c>
      <c r="C192" t="s">
        <v>368</v>
      </c>
    </row>
    <row r="194" spans="2:15" x14ac:dyDescent="0.25">
      <c r="B194" t="s">
        <v>369</v>
      </c>
      <c r="C194" t="s">
        <v>370</v>
      </c>
      <c r="D194" t="s">
        <v>447</v>
      </c>
      <c r="E194" t="s">
        <v>448</v>
      </c>
      <c r="F194" t="s">
        <v>449</v>
      </c>
    </row>
    <row r="195" spans="2:15" x14ac:dyDescent="0.25">
      <c r="B195">
        <v>1</v>
      </c>
      <c r="C195" s="1">
        <v>0.110599</v>
      </c>
      <c r="D195" s="1">
        <v>7.8525300000000006E-2</v>
      </c>
      <c r="E195" s="1">
        <v>3.26247E-2</v>
      </c>
      <c r="F195" s="1">
        <v>1.3045299999999999E-3</v>
      </c>
      <c r="O195">
        <f>POWER(E195,2)</f>
        <v>1.06437105009E-3</v>
      </c>
    </row>
    <row r="196" spans="2:15" x14ac:dyDescent="0.25">
      <c r="B196">
        <v>2</v>
      </c>
      <c r="C196" s="1">
        <v>0.33559099999999997</v>
      </c>
      <c r="D196" s="1">
        <v>0.23826900000000001</v>
      </c>
      <c r="E196" s="1">
        <v>9.8997799999999997E-2</v>
      </c>
      <c r="F196" s="1">
        <v>1.20448E-2</v>
      </c>
      <c r="O196">
        <f t="shared" ref="O196:O259" si="0">POWER(E196,2)</f>
        <v>9.8005644048399995E-3</v>
      </c>
    </row>
    <row r="197" spans="2:15" x14ac:dyDescent="0.25">
      <c r="B197">
        <v>3</v>
      </c>
      <c r="C197" s="1">
        <v>0.56839200000000001</v>
      </c>
      <c r="D197" s="1">
        <v>0.40354499999999999</v>
      </c>
      <c r="E197" s="1">
        <v>0.16767699999999999</v>
      </c>
      <c r="F197" s="1">
        <v>3.4628399999999997E-2</v>
      </c>
      <c r="O197">
        <f t="shared" si="0"/>
        <v>2.8115576328999997E-2</v>
      </c>
    </row>
    <row r="198" spans="2:15" x14ac:dyDescent="0.25">
      <c r="B198">
        <v>4</v>
      </c>
      <c r="C198" s="1">
        <v>0.80944199999999999</v>
      </c>
      <c r="D198" s="1">
        <v>0.57464599999999999</v>
      </c>
      <c r="E198" s="1">
        <v>0.23877000000000001</v>
      </c>
      <c r="F198" s="1">
        <v>7.03704E-2</v>
      </c>
      <c r="O198">
        <f t="shared" si="0"/>
        <v>5.7011112900000008E-2</v>
      </c>
    </row>
    <row r="199" spans="2:15" x14ac:dyDescent="0.25">
      <c r="B199">
        <v>5</v>
      </c>
      <c r="C199" s="1">
        <v>1.05918</v>
      </c>
      <c r="D199" s="1">
        <v>0.75184700000000004</v>
      </c>
      <c r="E199" s="1">
        <v>0.312359</v>
      </c>
      <c r="F199" s="1">
        <v>0.120698</v>
      </c>
      <c r="O199">
        <f t="shared" si="0"/>
        <v>9.7568144881000005E-2</v>
      </c>
    </row>
    <row r="200" spans="2:15" x14ac:dyDescent="0.25">
      <c r="B200">
        <v>6</v>
      </c>
      <c r="C200" s="1">
        <v>1.3180499999999999</v>
      </c>
      <c r="D200" s="1">
        <v>0.93540800000000002</v>
      </c>
      <c r="E200" s="1">
        <v>0.38849600000000001</v>
      </c>
      <c r="F200" s="1">
        <v>0.18711800000000001</v>
      </c>
      <c r="O200">
        <f t="shared" si="0"/>
        <v>0.150929142016</v>
      </c>
    </row>
    <row r="201" spans="2:15" x14ac:dyDescent="0.25">
      <c r="B201">
        <v>7</v>
      </c>
      <c r="C201" s="1">
        <v>1.58649</v>
      </c>
      <c r="D201" s="1">
        <v>1.1255599999999999</v>
      </c>
      <c r="E201" s="1">
        <v>0.46719100000000002</v>
      </c>
      <c r="F201" s="1">
        <v>0.27117200000000002</v>
      </c>
      <c r="O201">
        <f t="shared" si="0"/>
        <v>0.21826743048100003</v>
      </c>
    </row>
    <row r="202" spans="2:15" x14ac:dyDescent="0.25">
      <c r="B202">
        <v>8</v>
      </c>
      <c r="C202" s="1">
        <v>1.86496</v>
      </c>
      <c r="D202" s="1">
        <v>1.3224899999999999</v>
      </c>
      <c r="E202" s="1">
        <v>0.54840800000000001</v>
      </c>
      <c r="F202" s="1">
        <v>0.37436799999999998</v>
      </c>
      <c r="O202">
        <f t="shared" si="0"/>
        <v>0.30075133446399999</v>
      </c>
    </row>
    <row r="203" spans="2:15" x14ac:dyDescent="0.25">
      <c r="B203">
        <v>9</v>
      </c>
      <c r="C203" s="1">
        <v>2.15388</v>
      </c>
      <c r="D203" s="1">
        <v>1.5263599999999999</v>
      </c>
      <c r="E203" s="1">
        <v>0.63205500000000003</v>
      </c>
      <c r="F203" s="1">
        <v>0.49810199999999999</v>
      </c>
      <c r="O203">
        <f t="shared" si="0"/>
        <v>0.39949352302500002</v>
      </c>
    </row>
    <row r="204" spans="2:15" x14ac:dyDescent="0.25">
      <c r="B204">
        <v>10</v>
      </c>
      <c r="C204" s="1">
        <v>2.4537100000000001</v>
      </c>
      <c r="D204" s="1">
        <v>1.73726</v>
      </c>
      <c r="E204" s="1">
        <v>0.71797800000000001</v>
      </c>
      <c r="F204" s="1">
        <v>0.64355600000000002</v>
      </c>
      <c r="O204">
        <f t="shared" si="0"/>
        <v>0.51549240848400002</v>
      </c>
    </row>
    <row r="205" spans="2:15" x14ac:dyDescent="0.25">
      <c r="B205">
        <v>11</v>
      </c>
      <c r="C205" s="1">
        <v>2.7648700000000002</v>
      </c>
      <c r="D205" s="1">
        <v>1.95522</v>
      </c>
      <c r="E205" s="1">
        <v>0.80596000000000001</v>
      </c>
      <c r="F205" s="1">
        <v>0.81159000000000003</v>
      </c>
      <c r="O205">
        <f t="shared" si="0"/>
        <v>0.64957152159999998</v>
      </c>
    </row>
    <row r="206" spans="2:15" x14ac:dyDescent="0.25">
      <c r="B206">
        <v>12</v>
      </c>
      <c r="C206" s="1">
        <v>3.0878100000000002</v>
      </c>
      <c r="D206" s="1">
        <v>2.1802199999999998</v>
      </c>
      <c r="E206" s="1">
        <v>0.89571400000000001</v>
      </c>
      <c r="F206" s="1">
        <v>1.00264</v>
      </c>
      <c r="O206">
        <f t="shared" si="0"/>
        <v>0.80230356979600004</v>
      </c>
    </row>
    <row r="207" spans="2:15" x14ac:dyDescent="0.25">
      <c r="B207">
        <v>13</v>
      </c>
      <c r="C207" s="1">
        <v>3.4229500000000002</v>
      </c>
      <c r="D207" s="1">
        <v>2.4121199999999998</v>
      </c>
      <c r="E207" s="1">
        <v>0.98688399999999998</v>
      </c>
      <c r="F207" s="1">
        <v>1.2165900000000001</v>
      </c>
      <c r="O207">
        <f t="shared" si="0"/>
        <v>0.973940029456</v>
      </c>
    </row>
    <row r="208" spans="2:15" x14ac:dyDescent="0.25">
      <c r="B208">
        <v>14</v>
      </c>
      <c r="C208" s="1">
        <v>3.7707299999999999</v>
      </c>
      <c r="D208" s="1">
        <v>2.6507200000000002</v>
      </c>
      <c r="E208" s="1">
        <v>1.0790599999999999</v>
      </c>
      <c r="F208" s="1">
        <v>1.45272</v>
      </c>
      <c r="O208">
        <f t="shared" si="0"/>
        <v>1.1643704835999997</v>
      </c>
    </row>
    <row r="209" spans="2:15" x14ac:dyDescent="0.25">
      <c r="B209">
        <v>15</v>
      </c>
      <c r="C209" s="1">
        <v>4.1315600000000003</v>
      </c>
      <c r="D209" s="1">
        <v>2.8957099999999998</v>
      </c>
      <c r="E209" s="1">
        <v>1.1717599999999999</v>
      </c>
      <c r="F209" s="1">
        <v>1.70964</v>
      </c>
      <c r="O209">
        <f t="shared" si="0"/>
        <v>1.3730214975999997</v>
      </c>
    </row>
    <row r="210" spans="2:15" x14ac:dyDescent="0.25">
      <c r="B210">
        <v>16</v>
      </c>
      <c r="C210" s="1">
        <v>4.5058699999999998</v>
      </c>
      <c r="D210" s="1">
        <v>3.1466799999999999</v>
      </c>
      <c r="E210" s="1">
        <v>1.26447</v>
      </c>
      <c r="F210" s="1">
        <v>1.98525</v>
      </c>
      <c r="O210">
        <f t="shared" si="0"/>
        <v>1.5988843809</v>
      </c>
    </row>
    <row r="211" spans="2:15" x14ac:dyDescent="0.25">
      <c r="B211">
        <v>17</v>
      </c>
      <c r="C211" s="1">
        <v>4.8940599999999996</v>
      </c>
      <c r="D211" s="1">
        <v>3.4031199999999999</v>
      </c>
      <c r="E211" s="1">
        <v>1.3566499999999999</v>
      </c>
      <c r="F211" s="1">
        <v>2.27678</v>
      </c>
      <c r="O211">
        <f t="shared" si="0"/>
        <v>1.8404992224999999</v>
      </c>
    </row>
    <row r="212" spans="2:15" x14ac:dyDescent="0.25">
      <c r="B212">
        <v>18</v>
      </c>
      <c r="C212" s="1">
        <v>5.2965299999999997</v>
      </c>
      <c r="D212" s="1">
        <v>3.6644299999999999</v>
      </c>
      <c r="E212" s="1">
        <v>1.4477199999999999</v>
      </c>
      <c r="F212" s="1">
        <v>2.5808499999999999</v>
      </c>
      <c r="O212">
        <f t="shared" si="0"/>
        <v>2.0958931983999998</v>
      </c>
    </row>
    <row r="213" spans="2:15" x14ac:dyDescent="0.25">
      <c r="B213">
        <v>19</v>
      </c>
      <c r="C213" s="1">
        <v>5.7136899999999997</v>
      </c>
      <c r="D213" s="1">
        <v>3.92991</v>
      </c>
      <c r="E213" s="1">
        <v>1.53712</v>
      </c>
      <c r="F213" s="1">
        <v>2.8935900000000001</v>
      </c>
      <c r="O213">
        <f t="shared" si="0"/>
        <v>2.3627378943999999</v>
      </c>
    </row>
    <row r="214" spans="2:15" x14ac:dyDescent="0.25">
      <c r="B214">
        <v>20</v>
      </c>
      <c r="C214" s="1">
        <v>6.1459200000000003</v>
      </c>
      <c r="D214" s="1">
        <v>4.1987800000000002</v>
      </c>
      <c r="E214" s="1">
        <v>1.62429</v>
      </c>
      <c r="F214" s="1">
        <v>3.21075</v>
      </c>
      <c r="O214">
        <f t="shared" si="0"/>
        <v>2.6383180040999998</v>
      </c>
    </row>
    <row r="215" spans="2:15" x14ac:dyDescent="0.25">
      <c r="B215">
        <v>21</v>
      </c>
      <c r="C215" s="1">
        <v>6.59361</v>
      </c>
      <c r="D215" s="1">
        <v>4.4702000000000002</v>
      </c>
      <c r="E215" s="1">
        <v>1.70869</v>
      </c>
      <c r="F215" s="1">
        <v>3.5278900000000002</v>
      </c>
      <c r="O215">
        <f t="shared" si="0"/>
        <v>2.9196215161000003</v>
      </c>
    </row>
    <row r="216" spans="2:15" x14ac:dyDescent="0.25">
      <c r="B216">
        <v>22</v>
      </c>
      <c r="C216" s="1">
        <v>7.0571200000000003</v>
      </c>
      <c r="D216" s="1">
        <v>4.7432499999999997</v>
      </c>
      <c r="E216" s="1">
        <v>1.7898499999999999</v>
      </c>
      <c r="F216" s="1">
        <v>3.8405200000000002</v>
      </c>
      <c r="O216">
        <f t="shared" si="0"/>
        <v>3.2035630224999996</v>
      </c>
    </row>
    <row r="217" spans="2:15" x14ac:dyDescent="0.25">
      <c r="B217">
        <v>23</v>
      </c>
      <c r="C217" s="1">
        <v>7.53681</v>
      </c>
      <c r="D217" s="1">
        <v>5.0169899999999998</v>
      </c>
      <c r="E217" s="1">
        <v>1.86731</v>
      </c>
      <c r="F217" s="1">
        <v>4.1442899999999998</v>
      </c>
      <c r="O217">
        <f t="shared" si="0"/>
        <v>3.4868466361000001</v>
      </c>
    </row>
    <row r="218" spans="2:15" x14ac:dyDescent="0.25">
      <c r="B218">
        <v>24</v>
      </c>
      <c r="C218" s="1">
        <v>8.0330399999999997</v>
      </c>
      <c r="D218" s="1">
        <v>5.2904299999999997</v>
      </c>
      <c r="E218" s="1">
        <v>1.9407000000000001</v>
      </c>
      <c r="F218" s="1">
        <v>4.43513</v>
      </c>
      <c r="O218">
        <f t="shared" si="0"/>
        <v>3.7663164900000003</v>
      </c>
    </row>
    <row r="219" spans="2:15" x14ac:dyDescent="0.25">
      <c r="B219">
        <v>25</v>
      </c>
      <c r="C219" s="1">
        <v>8.5461399999999994</v>
      </c>
      <c r="D219" s="1">
        <v>5.5626199999999999</v>
      </c>
      <c r="E219" s="1">
        <v>2.0097</v>
      </c>
      <c r="F219" s="1">
        <v>4.70939</v>
      </c>
      <c r="O219">
        <f t="shared" si="0"/>
        <v>4.0388940900000003</v>
      </c>
    </row>
    <row r="220" spans="2:15" x14ac:dyDescent="0.25">
      <c r="B220">
        <v>26</v>
      </c>
      <c r="C220" s="1">
        <v>9.0764700000000005</v>
      </c>
      <c r="D220" s="1">
        <v>5.8326000000000002</v>
      </c>
      <c r="E220" s="1">
        <v>2.0740599999999998</v>
      </c>
      <c r="F220" s="1">
        <v>4.9638999999999998</v>
      </c>
      <c r="O220">
        <f t="shared" si="0"/>
        <v>4.3017248835999995</v>
      </c>
    </row>
    <row r="221" spans="2:15" x14ac:dyDescent="0.25">
      <c r="B221">
        <v>27</v>
      </c>
      <c r="C221" s="1">
        <v>9.6243300000000005</v>
      </c>
      <c r="D221" s="1">
        <v>6.0994700000000002</v>
      </c>
      <c r="E221" s="1">
        <v>2.1335899999999999</v>
      </c>
      <c r="F221" s="1">
        <v>5.1961199999999996</v>
      </c>
      <c r="O221">
        <f t="shared" si="0"/>
        <v>4.5522062880999998</v>
      </c>
    </row>
    <row r="222" spans="2:15" x14ac:dyDescent="0.25">
      <c r="B222">
        <v>28</v>
      </c>
      <c r="C222" s="1">
        <v>10.19</v>
      </c>
      <c r="D222" s="1">
        <v>6.3623700000000003</v>
      </c>
      <c r="E222" s="1">
        <v>2.1881900000000001</v>
      </c>
      <c r="F222" s="1">
        <v>5.4040800000000004</v>
      </c>
      <c r="O222">
        <f t="shared" si="0"/>
        <v>4.7881754761000002</v>
      </c>
    </row>
    <row r="223" spans="2:15" x14ac:dyDescent="0.25">
      <c r="B223">
        <v>29</v>
      </c>
      <c r="C223" s="1">
        <v>10.7738</v>
      </c>
      <c r="D223" s="1">
        <v>6.6205499999999997</v>
      </c>
      <c r="E223" s="1">
        <v>2.2377899999999999</v>
      </c>
      <c r="F223" s="1">
        <v>5.5864399999999996</v>
      </c>
      <c r="O223">
        <f t="shared" si="0"/>
        <v>5.0077040840999993</v>
      </c>
    </row>
    <row r="224" spans="2:15" x14ac:dyDescent="0.25">
      <c r="B224">
        <v>30</v>
      </c>
      <c r="C224" s="1">
        <v>11.375999999999999</v>
      </c>
      <c r="D224" s="1">
        <v>6.87331</v>
      </c>
      <c r="E224" s="1">
        <v>2.28241</v>
      </c>
      <c r="F224" s="1">
        <v>5.7424600000000003</v>
      </c>
      <c r="O224">
        <f t="shared" si="0"/>
        <v>5.2093954080999998</v>
      </c>
    </row>
    <row r="225" spans="2:15" x14ac:dyDescent="0.25">
      <c r="B225">
        <v>31</v>
      </c>
      <c r="C225" s="1">
        <v>11.9969</v>
      </c>
      <c r="D225" s="1">
        <v>7.1200799999999997</v>
      </c>
      <c r="E225" s="1">
        <v>2.3220900000000002</v>
      </c>
      <c r="F225" s="1">
        <v>5.8719299999999999</v>
      </c>
      <c r="O225">
        <f t="shared" si="0"/>
        <v>5.3921019681000013</v>
      </c>
    </row>
    <row r="226" spans="2:15" x14ac:dyDescent="0.25">
      <c r="B226">
        <v>32</v>
      </c>
      <c r="C226" s="1">
        <v>12.636699999999999</v>
      </c>
      <c r="D226" s="1">
        <v>7.3603500000000004</v>
      </c>
      <c r="E226" s="1">
        <v>2.3569399999999998</v>
      </c>
      <c r="F226" s="1">
        <v>5.9751399999999997</v>
      </c>
      <c r="O226">
        <f t="shared" si="0"/>
        <v>5.5551661635999992</v>
      </c>
    </row>
    <row r="227" spans="2:15" x14ac:dyDescent="0.25">
      <c r="B227">
        <v>33</v>
      </c>
      <c r="C227" s="1">
        <v>13.2956</v>
      </c>
      <c r="D227" s="1">
        <v>7.5937400000000004</v>
      </c>
      <c r="E227" s="1">
        <v>2.3871000000000002</v>
      </c>
      <c r="F227" s="1">
        <v>6.05281</v>
      </c>
      <c r="O227">
        <f t="shared" si="0"/>
        <v>5.6982464100000012</v>
      </c>
    </row>
    <row r="228" spans="2:15" x14ac:dyDescent="0.25">
      <c r="B228">
        <v>34</v>
      </c>
      <c r="C228" s="1">
        <v>13.9741</v>
      </c>
      <c r="D228" s="1">
        <v>7.8199300000000003</v>
      </c>
      <c r="E228" s="1">
        <v>2.4127299999999998</v>
      </c>
      <c r="F228" s="1">
        <v>6.1059900000000003</v>
      </c>
      <c r="O228">
        <f t="shared" si="0"/>
        <v>5.8212660528999995</v>
      </c>
    </row>
    <row r="229" spans="2:15" x14ac:dyDescent="0.25">
      <c r="B229">
        <v>35</v>
      </c>
      <c r="C229" s="1">
        <v>14.672000000000001</v>
      </c>
      <c r="D229" s="1">
        <v>8.0387199999999996</v>
      </c>
      <c r="E229" s="1">
        <v>2.43404</v>
      </c>
      <c r="F229" s="1">
        <v>6.1360099999999997</v>
      </c>
      <c r="O229">
        <f t="shared" si="0"/>
        <v>5.9245507216000002</v>
      </c>
    </row>
    <row r="230" spans="2:15" x14ac:dyDescent="0.25">
      <c r="B230">
        <v>36</v>
      </c>
      <c r="C230" s="1">
        <v>15.389900000000001</v>
      </c>
      <c r="D230" s="1">
        <v>8.2499800000000008</v>
      </c>
      <c r="E230" s="1">
        <v>2.4512499999999999</v>
      </c>
      <c r="F230" s="1">
        <v>6.1444099999999997</v>
      </c>
      <c r="O230">
        <f t="shared" si="0"/>
        <v>6.0086265624999999</v>
      </c>
    </row>
    <row r="231" spans="2:15" x14ac:dyDescent="0.25">
      <c r="B231">
        <v>37</v>
      </c>
      <c r="C231" s="1">
        <v>16.127800000000001</v>
      </c>
      <c r="D231" s="1">
        <v>8.45364</v>
      </c>
      <c r="E231" s="1">
        <v>2.4645800000000002</v>
      </c>
      <c r="F231" s="1">
        <v>6.1328800000000001</v>
      </c>
      <c r="O231">
        <f t="shared" si="0"/>
        <v>6.0741545764000007</v>
      </c>
    </row>
    <row r="232" spans="2:15" x14ac:dyDescent="0.25">
      <c r="B232">
        <v>38</v>
      </c>
      <c r="C232" s="1">
        <v>16.8858</v>
      </c>
      <c r="D232" s="1">
        <v>8.6497200000000003</v>
      </c>
      <c r="E232" s="1">
        <v>2.4742899999999999</v>
      </c>
      <c r="F232" s="1">
        <v>6.1031899999999997</v>
      </c>
      <c r="O232">
        <f t="shared" si="0"/>
        <v>6.1221110040999998</v>
      </c>
    </row>
    <row r="233" spans="2:15" x14ac:dyDescent="0.25">
      <c r="B233">
        <v>39</v>
      </c>
      <c r="C233" s="1">
        <v>17.664200000000001</v>
      </c>
      <c r="D233" s="1">
        <v>8.8383000000000003</v>
      </c>
      <c r="E233" s="1">
        <v>2.48062</v>
      </c>
      <c r="F233" s="1">
        <v>6.0571599999999997</v>
      </c>
      <c r="O233">
        <f t="shared" si="0"/>
        <v>6.1534755844000006</v>
      </c>
    </row>
    <row r="234" spans="2:15" x14ac:dyDescent="0.25">
      <c r="B234">
        <v>40</v>
      </c>
      <c r="C234" s="1">
        <v>18.463000000000001</v>
      </c>
      <c r="D234" s="1">
        <v>9.0195000000000007</v>
      </c>
      <c r="E234" s="1">
        <v>2.4838200000000001</v>
      </c>
      <c r="F234" s="1">
        <v>5.9965900000000003</v>
      </c>
      <c r="O234">
        <f t="shared" si="0"/>
        <v>6.169361792400001</v>
      </c>
    </row>
    <row r="235" spans="2:15" x14ac:dyDescent="0.25">
      <c r="B235">
        <v>41</v>
      </c>
      <c r="C235" s="1">
        <v>19.282499999999999</v>
      </c>
      <c r="D235" s="1">
        <v>9.1935000000000002</v>
      </c>
      <c r="E235" s="1">
        <v>2.4841600000000001</v>
      </c>
      <c r="F235" s="1">
        <v>5.9232800000000001</v>
      </c>
      <c r="O235">
        <f t="shared" si="0"/>
        <v>6.1710509056000005</v>
      </c>
    </row>
    <row r="236" spans="2:15" x14ac:dyDescent="0.25">
      <c r="B236">
        <v>42</v>
      </c>
      <c r="C236" s="1">
        <v>20.122599999999998</v>
      </c>
      <c r="D236" s="1">
        <v>9.3605</v>
      </c>
      <c r="E236" s="1">
        <v>2.4818799999999999</v>
      </c>
      <c r="F236" s="1">
        <v>5.83894</v>
      </c>
      <c r="O236">
        <f t="shared" si="0"/>
        <v>6.1597283343999996</v>
      </c>
    </row>
    <row r="237" spans="2:15" x14ac:dyDescent="0.25">
      <c r="B237">
        <v>43</v>
      </c>
      <c r="C237" s="1">
        <v>20.983699999999999</v>
      </c>
      <c r="D237" s="1">
        <v>9.5207499999999996</v>
      </c>
      <c r="E237" s="1">
        <v>2.47723</v>
      </c>
      <c r="F237" s="1">
        <v>5.7452399999999999</v>
      </c>
      <c r="O237">
        <f t="shared" si="0"/>
        <v>6.1366684729000003</v>
      </c>
    </row>
    <row r="238" spans="2:15" x14ac:dyDescent="0.25">
      <c r="B238">
        <v>44</v>
      </c>
      <c r="C238" s="1">
        <v>21.865600000000001</v>
      </c>
      <c r="D238" s="1">
        <v>9.6745099999999997</v>
      </c>
      <c r="E238" s="1">
        <v>2.47045</v>
      </c>
      <c r="F238" s="1">
        <v>5.6437600000000003</v>
      </c>
      <c r="O238">
        <f t="shared" si="0"/>
        <v>6.1031232025</v>
      </c>
    </row>
    <row r="239" spans="2:15" x14ac:dyDescent="0.25">
      <c r="B239">
        <v>45</v>
      </c>
      <c r="C239" s="1">
        <v>22.768599999999999</v>
      </c>
      <c r="D239" s="1">
        <v>9.8220500000000008</v>
      </c>
      <c r="E239" s="1">
        <v>2.4617800000000001</v>
      </c>
      <c r="F239" s="1">
        <v>5.5359800000000003</v>
      </c>
      <c r="O239">
        <f t="shared" si="0"/>
        <v>6.0603607684000007</v>
      </c>
    </row>
    <row r="240" spans="2:15" x14ac:dyDescent="0.25">
      <c r="B240">
        <v>46</v>
      </c>
      <c r="C240" s="1">
        <v>23.692599999999999</v>
      </c>
      <c r="D240" s="1">
        <v>9.9636700000000005</v>
      </c>
      <c r="E240" s="1">
        <v>2.4514300000000002</v>
      </c>
      <c r="F240" s="1">
        <v>5.4232800000000001</v>
      </c>
      <c r="O240">
        <f t="shared" si="0"/>
        <v>6.0095090449000015</v>
      </c>
    </row>
    <row r="241" spans="2:15" x14ac:dyDescent="0.25">
      <c r="B241">
        <v>47</v>
      </c>
      <c r="C241" s="1">
        <v>24.637699999999999</v>
      </c>
      <c r="D241" s="1">
        <v>10.0997</v>
      </c>
      <c r="E241" s="1">
        <v>2.4396300000000002</v>
      </c>
      <c r="F241" s="1">
        <v>5.3068999999999997</v>
      </c>
      <c r="O241">
        <f t="shared" si="0"/>
        <v>5.9517945369000005</v>
      </c>
    </row>
    <row r="242" spans="2:15" x14ac:dyDescent="0.25">
      <c r="B242">
        <v>48</v>
      </c>
      <c r="C242" s="1">
        <v>25.6038</v>
      </c>
      <c r="D242" s="1">
        <v>10.2303</v>
      </c>
      <c r="E242" s="1">
        <v>2.4265500000000002</v>
      </c>
      <c r="F242" s="1">
        <v>5.18797</v>
      </c>
      <c r="O242">
        <f t="shared" si="0"/>
        <v>5.8881449025000014</v>
      </c>
    </row>
    <row r="243" spans="2:15" x14ac:dyDescent="0.25">
      <c r="B243">
        <v>49</v>
      </c>
      <c r="C243" s="1">
        <v>26.591200000000001</v>
      </c>
      <c r="D243" s="1">
        <v>10.3559</v>
      </c>
      <c r="E243" s="1">
        <v>2.4123899999999998</v>
      </c>
      <c r="F243" s="1">
        <v>5.0674799999999998</v>
      </c>
      <c r="O243">
        <f t="shared" si="0"/>
        <v>5.8196255120999991</v>
      </c>
    </row>
    <row r="244" spans="2:15" x14ac:dyDescent="0.25">
      <c r="B244">
        <v>50</v>
      </c>
      <c r="C244" s="1">
        <v>27.599599999999999</v>
      </c>
      <c r="D244" s="1">
        <v>10.476800000000001</v>
      </c>
      <c r="E244" s="1">
        <v>2.3973100000000001</v>
      </c>
      <c r="F244" s="1">
        <v>4.9463200000000001</v>
      </c>
      <c r="O244">
        <f t="shared" si="0"/>
        <v>5.7470952360999998</v>
      </c>
    </row>
    <row r="245" spans="2:15" x14ac:dyDescent="0.25">
      <c r="B245">
        <v>51</v>
      </c>
      <c r="C245" s="1">
        <v>28.629200000000001</v>
      </c>
      <c r="D245" s="1">
        <v>10.5932</v>
      </c>
      <c r="E245" s="1">
        <v>2.3814600000000001</v>
      </c>
      <c r="F245" s="1">
        <v>4.8252699999999997</v>
      </c>
      <c r="O245">
        <f t="shared" si="0"/>
        <v>5.6713517316000006</v>
      </c>
    </row>
    <row r="246" spans="2:15" x14ac:dyDescent="0.25">
      <c r="B246">
        <v>52</v>
      </c>
      <c r="C246" s="1">
        <v>29.6798</v>
      </c>
      <c r="D246" s="1">
        <v>10.705399999999999</v>
      </c>
      <c r="E246" s="1">
        <v>2.3649800000000001</v>
      </c>
      <c r="F246" s="1">
        <v>4.7049899999999996</v>
      </c>
      <c r="O246">
        <f t="shared" si="0"/>
        <v>5.5931304004000006</v>
      </c>
    </row>
    <row r="247" spans="2:15" x14ac:dyDescent="0.25">
      <c r="B247">
        <v>53</v>
      </c>
      <c r="C247" s="1">
        <v>30.7516</v>
      </c>
      <c r="D247" s="1">
        <v>10.813599999999999</v>
      </c>
      <c r="E247" s="1">
        <v>2.3479999999999999</v>
      </c>
      <c r="F247" s="1">
        <v>4.5860799999999999</v>
      </c>
      <c r="O247">
        <f t="shared" si="0"/>
        <v>5.5131039999999993</v>
      </c>
    </row>
    <row r="248" spans="2:15" x14ac:dyDescent="0.25">
      <c r="B248">
        <v>54</v>
      </c>
      <c r="C248" s="1">
        <v>31.8443</v>
      </c>
      <c r="D248" s="1">
        <v>10.918200000000001</v>
      </c>
      <c r="E248" s="1">
        <v>2.3306200000000001</v>
      </c>
      <c r="F248" s="1">
        <v>4.4690300000000001</v>
      </c>
      <c r="O248">
        <f t="shared" si="0"/>
        <v>5.4317895844000006</v>
      </c>
    </row>
    <row r="249" spans="2:15" x14ac:dyDescent="0.25">
      <c r="B249">
        <v>55</v>
      </c>
      <c r="C249" s="1">
        <v>32.957999999999998</v>
      </c>
      <c r="D249" s="1">
        <v>11.019299999999999</v>
      </c>
      <c r="E249" s="1">
        <v>2.3129400000000002</v>
      </c>
      <c r="F249" s="1">
        <v>4.3542300000000003</v>
      </c>
      <c r="O249">
        <f t="shared" si="0"/>
        <v>5.3496914436000012</v>
      </c>
    </row>
    <row r="250" spans="2:15" x14ac:dyDescent="0.25">
      <c r="B250">
        <v>56</v>
      </c>
      <c r="C250" s="1">
        <v>34.092599999999997</v>
      </c>
      <c r="D250" s="1">
        <v>11.1172</v>
      </c>
      <c r="E250" s="1">
        <v>2.2950599999999999</v>
      </c>
      <c r="F250" s="1">
        <v>4.2420099999999996</v>
      </c>
      <c r="O250">
        <f t="shared" si="0"/>
        <v>5.2673004035999993</v>
      </c>
    </row>
    <row r="251" spans="2:15" x14ac:dyDescent="0.25">
      <c r="B251">
        <v>57</v>
      </c>
      <c r="C251" s="1">
        <v>35.247900000000001</v>
      </c>
      <c r="D251" s="1">
        <v>11.2121</v>
      </c>
      <c r="E251" s="1">
        <v>2.27704</v>
      </c>
      <c r="F251" s="1">
        <v>4.1326200000000002</v>
      </c>
      <c r="O251">
        <f t="shared" si="0"/>
        <v>5.1849111615999997</v>
      </c>
    </row>
    <row r="252" spans="2:15" x14ac:dyDescent="0.25">
      <c r="B252">
        <v>58</v>
      </c>
      <c r="C252" s="1">
        <v>36.423900000000003</v>
      </c>
      <c r="D252" s="1">
        <v>11.3043</v>
      </c>
      <c r="E252" s="1">
        <v>2.25895</v>
      </c>
      <c r="F252" s="1">
        <v>4.0262599999999997</v>
      </c>
      <c r="O252">
        <f t="shared" si="0"/>
        <v>5.1028551025000004</v>
      </c>
    </row>
    <row r="253" spans="2:15" x14ac:dyDescent="0.25">
      <c r="B253">
        <v>59</v>
      </c>
      <c r="C253" s="1">
        <v>37.620399999999997</v>
      </c>
      <c r="D253" s="1">
        <v>11.3939</v>
      </c>
      <c r="E253" s="1">
        <v>2.24085</v>
      </c>
      <c r="F253" s="1">
        <v>3.9230499999999999</v>
      </c>
      <c r="O253">
        <f t="shared" si="0"/>
        <v>5.0214087225000004</v>
      </c>
    </row>
    <row r="254" spans="2:15" x14ac:dyDescent="0.25">
      <c r="B254">
        <v>60</v>
      </c>
      <c r="C254" s="1">
        <v>38.837400000000002</v>
      </c>
      <c r="D254" s="1">
        <v>11.481</v>
      </c>
      <c r="E254" s="1">
        <v>2.22282</v>
      </c>
      <c r="F254" s="1">
        <v>3.8230900000000001</v>
      </c>
      <c r="O254">
        <f t="shared" si="0"/>
        <v>4.9409287524000005</v>
      </c>
    </row>
    <row r="255" spans="2:15" x14ac:dyDescent="0.25">
      <c r="B255">
        <v>61</v>
      </c>
      <c r="C255" s="1">
        <v>40.0747</v>
      </c>
      <c r="D255" s="1">
        <v>11.566000000000001</v>
      </c>
      <c r="E255" s="1">
        <v>2.2048999999999999</v>
      </c>
      <c r="F255" s="1">
        <v>3.7263999999999999</v>
      </c>
      <c r="O255">
        <f t="shared" si="0"/>
        <v>4.8615840099999996</v>
      </c>
    </row>
    <row r="256" spans="2:15" x14ac:dyDescent="0.25">
      <c r="B256">
        <v>62</v>
      </c>
      <c r="C256" s="1">
        <v>41.3322</v>
      </c>
      <c r="D256" s="1">
        <v>11.6488</v>
      </c>
      <c r="E256" s="1">
        <v>2.1871299999999998</v>
      </c>
      <c r="F256" s="1">
        <v>3.6329799999999999</v>
      </c>
      <c r="O256">
        <f t="shared" si="0"/>
        <v>4.7835376368999993</v>
      </c>
    </row>
    <row r="257" spans="2:15" x14ac:dyDescent="0.25">
      <c r="B257">
        <v>63</v>
      </c>
      <c r="C257" s="1">
        <v>42.609699999999997</v>
      </c>
      <c r="D257" s="1">
        <v>11.729699999999999</v>
      </c>
      <c r="E257" s="1">
        <v>2.16953</v>
      </c>
      <c r="F257" s="1">
        <v>3.5427900000000001</v>
      </c>
      <c r="O257">
        <f t="shared" si="0"/>
        <v>4.7068604209</v>
      </c>
    </row>
    <row r="258" spans="2:15" x14ac:dyDescent="0.25">
      <c r="B258">
        <v>64</v>
      </c>
      <c r="C258" s="1">
        <v>43.9069</v>
      </c>
      <c r="D258" s="1">
        <v>11.8088</v>
      </c>
      <c r="E258" s="1">
        <v>2.1521300000000001</v>
      </c>
      <c r="F258" s="1">
        <v>3.4557799999999999</v>
      </c>
      <c r="O258">
        <f t="shared" si="0"/>
        <v>4.6316635369000005</v>
      </c>
    </row>
    <row r="259" spans="2:15" x14ac:dyDescent="0.25">
      <c r="B259">
        <v>65</v>
      </c>
      <c r="C259" s="1">
        <v>45.2239</v>
      </c>
      <c r="D259" s="1">
        <v>11.886100000000001</v>
      </c>
      <c r="E259" s="1">
        <v>2.1349399999999998</v>
      </c>
      <c r="F259" s="1">
        <v>3.37188</v>
      </c>
      <c r="O259">
        <f t="shared" si="0"/>
        <v>4.5579688035999997</v>
      </c>
    </row>
    <row r="260" spans="2:15" x14ac:dyDescent="0.25">
      <c r="B260">
        <v>66</v>
      </c>
      <c r="C260" s="1">
        <v>46.560299999999998</v>
      </c>
      <c r="D260" s="1">
        <v>11.9619</v>
      </c>
      <c r="E260" s="1">
        <v>2.1179800000000002</v>
      </c>
      <c r="F260" s="1">
        <v>3.2910400000000002</v>
      </c>
      <c r="O260">
        <f t="shared" ref="O260:O323" si="1">POWER(E260,2)</f>
        <v>4.4858392804000005</v>
      </c>
    </row>
    <row r="261" spans="2:15" x14ac:dyDescent="0.25">
      <c r="B261">
        <v>67</v>
      </c>
      <c r="C261" s="1">
        <v>47.915999999999997</v>
      </c>
      <c r="D261" s="1">
        <v>12.036099999999999</v>
      </c>
      <c r="E261" s="1">
        <v>2.1012499999999998</v>
      </c>
      <c r="F261" s="1">
        <v>3.2132000000000001</v>
      </c>
      <c r="O261">
        <f t="shared" si="1"/>
        <v>4.4152515624999991</v>
      </c>
    </row>
    <row r="262" spans="2:15" x14ac:dyDescent="0.25">
      <c r="B262">
        <v>68</v>
      </c>
      <c r="C262" s="1">
        <v>49.290900000000001</v>
      </c>
      <c r="D262" s="1">
        <v>12.1089</v>
      </c>
      <c r="E262" s="1">
        <v>2.0847799999999999</v>
      </c>
      <c r="F262" s="1">
        <v>3.1383299999999998</v>
      </c>
      <c r="O262">
        <f t="shared" si="1"/>
        <v>4.3463076483999998</v>
      </c>
    </row>
    <row r="263" spans="2:15" x14ac:dyDescent="0.25">
      <c r="B263">
        <v>69</v>
      </c>
      <c r="C263" s="1">
        <v>50.6845</v>
      </c>
      <c r="D263" s="1">
        <v>12.180300000000001</v>
      </c>
      <c r="E263" s="1">
        <v>2.0685899999999999</v>
      </c>
      <c r="F263" s="1">
        <v>3.06636</v>
      </c>
      <c r="O263">
        <f t="shared" si="1"/>
        <v>4.2790645880999998</v>
      </c>
    </row>
    <row r="264" spans="2:15" x14ac:dyDescent="0.25">
      <c r="B264">
        <v>70</v>
      </c>
      <c r="C264" s="1">
        <v>52.096899999999998</v>
      </c>
      <c r="D264" s="1">
        <v>12.250400000000001</v>
      </c>
      <c r="E264" s="1">
        <v>2.0526900000000001</v>
      </c>
      <c r="F264" s="1">
        <v>2.9972300000000001</v>
      </c>
      <c r="O264">
        <f t="shared" si="1"/>
        <v>4.2135362361000004</v>
      </c>
    </row>
    <row r="265" spans="2:15" x14ac:dyDescent="0.25">
      <c r="B265">
        <v>71</v>
      </c>
      <c r="C265" s="1">
        <v>53.5276</v>
      </c>
      <c r="D265" s="1">
        <v>12.3192</v>
      </c>
      <c r="E265" s="1">
        <v>2.0370900000000001</v>
      </c>
      <c r="F265" s="1">
        <v>2.93086</v>
      </c>
      <c r="O265">
        <f t="shared" si="1"/>
        <v>4.1497356680999999</v>
      </c>
    </row>
    <row r="266" spans="2:15" x14ac:dyDescent="0.25">
      <c r="B266">
        <v>72</v>
      </c>
      <c r="C266" s="1">
        <v>54.976500000000001</v>
      </c>
      <c r="D266" s="1">
        <v>12.386799999999999</v>
      </c>
      <c r="E266" s="1">
        <v>2.0217999999999998</v>
      </c>
      <c r="F266" s="1">
        <v>2.8671600000000002</v>
      </c>
      <c r="O266">
        <f t="shared" si="1"/>
        <v>4.0876752399999994</v>
      </c>
    </row>
    <row r="267" spans="2:15" x14ac:dyDescent="0.25">
      <c r="B267">
        <v>73</v>
      </c>
      <c r="C267" s="1">
        <v>56.443399999999997</v>
      </c>
      <c r="D267" s="1">
        <v>12.4533</v>
      </c>
      <c r="E267" s="1">
        <v>2.00684</v>
      </c>
      <c r="F267" s="1">
        <v>2.8060100000000001</v>
      </c>
      <c r="O267">
        <f t="shared" si="1"/>
        <v>4.0274067856000002</v>
      </c>
    </row>
    <row r="268" spans="2:15" x14ac:dyDescent="0.25">
      <c r="B268">
        <v>74</v>
      </c>
      <c r="C268" s="1">
        <v>57.928100000000001</v>
      </c>
      <c r="D268" s="1">
        <v>12.518599999999999</v>
      </c>
      <c r="E268" s="1">
        <v>1.9922</v>
      </c>
      <c r="F268" s="1">
        <v>2.7473200000000002</v>
      </c>
      <c r="O268">
        <f t="shared" si="1"/>
        <v>3.9688608400000001</v>
      </c>
    </row>
    <row r="269" spans="2:15" x14ac:dyDescent="0.25">
      <c r="B269">
        <v>75</v>
      </c>
      <c r="C269" s="1">
        <v>59.430100000000003</v>
      </c>
      <c r="D269" s="1">
        <v>12.582800000000001</v>
      </c>
      <c r="E269" s="1">
        <v>1.9778800000000001</v>
      </c>
      <c r="F269" s="1">
        <v>2.69096</v>
      </c>
      <c r="O269">
        <f t="shared" si="1"/>
        <v>3.9120092944000002</v>
      </c>
    </row>
    <row r="270" spans="2:15" x14ac:dyDescent="0.25">
      <c r="B270">
        <v>76</v>
      </c>
      <c r="C270" s="1">
        <v>60.949399999999997</v>
      </c>
      <c r="D270" s="1">
        <v>12.646000000000001</v>
      </c>
      <c r="E270" s="1">
        <v>1.9638599999999999</v>
      </c>
      <c r="F270" s="1">
        <v>2.6368100000000001</v>
      </c>
      <c r="O270">
        <f t="shared" si="1"/>
        <v>3.8567460995999996</v>
      </c>
    </row>
    <row r="271" spans="2:15" x14ac:dyDescent="0.25">
      <c r="B271">
        <v>77</v>
      </c>
      <c r="C271" s="1">
        <v>62.485799999999998</v>
      </c>
      <c r="D271" s="1">
        <v>12.7081</v>
      </c>
      <c r="E271" s="1">
        <v>1.9501299999999999</v>
      </c>
      <c r="F271" s="1">
        <v>2.5847099999999998</v>
      </c>
      <c r="O271">
        <f t="shared" si="1"/>
        <v>3.8030070168999996</v>
      </c>
    </row>
    <row r="272" spans="2:15" x14ac:dyDescent="0.25">
      <c r="B272">
        <v>78</v>
      </c>
      <c r="C272" s="1">
        <v>64.038700000000006</v>
      </c>
      <c r="D272" s="1">
        <v>12.7692</v>
      </c>
      <c r="E272" s="1">
        <v>1.93666</v>
      </c>
      <c r="F272" s="1">
        <v>2.5345</v>
      </c>
      <c r="O272">
        <f t="shared" si="1"/>
        <v>3.7506519556</v>
      </c>
    </row>
    <row r="273" spans="2:15" x14ac:dyDescent="0.25">
      <c r="B273">
        <v>79</v>
      </c>
      <c r="C273" s="1">
        <v>65.608099999999993</v>
      </c>
      <c r="D273" s="1">
        <v>12.8293</v>
      </c>
      <c r="E273" s="1">
        <v>1.92344</v>
      </c>
      <c r="F273" s="1">
        <v>2.4860000000000002</v>
      </c>
      <c r="O273">
        <f t="shared" si="1"/>
        <v>3.6996214336</v>
      </c>
    </row>
    <row r="274" spans="2:15" x14ac:dyDescent="0.25">
      <c r="B274">
        <v>80</v>
      </c>
      <c r="C274" s="1">
        <v>67.193600000000004</v>
      </c>
      <c r="D274" s="1">
        <v>12.888500000000001</v>
      </c>
      <c r="E274" s="1">
        <v>1.9104399999999999</v>
      </c>
      <c r="F274" s="1">
        <v>2.4390900000000002</v>
      </c>
      <c r="O274">
        <f t="shared" si="1"/>
        <v>3.6497809935999999</v>
      </c>
    </row>
    <row r="275" spans="2:15" x14ac:dyDescent="0.25">
      <c r="B275">
        <v>81</v>
      </c>
      <c r="C275" s="1">
        <v>68.795000000000002</v>
      </c>
      <c r="D275" s="1">
        <v>12.9467</v>
      </c>
      <c r="E275" s="1">
        <v>1.8976500000000001</v>
      </c>
      <c r="F275" s="1">
        <v>2.3937200000000001</v>
      </c>
      <c r="O275">
        <f t="shared" si="1"/>
        <v>3.6010755225000004</v>
      </c>
    </row>
    <row r="276" spans="2:15" x14ac:dyDescent="0.25">
      <c r="B276">
        <v>82</v>
      </c>
      <c r="C276" s="1">
        <v>70.412099999999995</v>
      </c>
      <c r="D276" s="1">
        <v>13.004200000000001</v>
      </c>
      <c r="E276" s="1">
        <v>1.8850800000000001</v>
      </c>
      <c r="F276" s="1">
        <v>2.3498700000000001</v>
      </c>
      <c r="O276">
        <f t="shared" si="1"/>
        <v>3.5535266064000002</v>
      </c>
    </row>
    <row r="277" spans="2:15" x14ac:dyDescent="0.25">
      <c r="B277">
        <v>83</v>
      </c>
      <c r="C277" s="1">
        <v>72.044399999999996</v>
      </c>
      <c r="D277" s="1">
        <v>13.0608</v>
      </c>
      <c r="E277" s="1">
        <v>1.87273</v>
      </c>
      <c r="F277" s="1">
        <v>2.3075000000000001</v>
      </c>
      <c r="O277">
        <f t="shared" si="1"/>
        <v>3.5071176528999999</v>
      </c>
    </row>
    <row r="278" spans="2:15" x14ac:dyDescent="0.25">
      <c r="B278">
        <v>84</v>
      </c>
      <c r="C278" s="1">
        <v>73.691800000000001</v>
      </c>
      <c r="D278" s="1">
        <v>13.1166</v>
      </c>
      <c r="E278" s="1">
        <v>1.86059</v>
      </c>
      <c r="F278" s="1">
        <v>2.2665799999999998</v>
      </c>
      <c r="O278">
        <f t="shared" si="1"/>
        <v>3.4617951480999998</v>
      </c>
    </row>
    <row r="279" spans="2:15" x14ac:dyDescent="0.25">
      <c r="B279">
        <v>85</v>
      </c>
      <c r="C279" s="1">
        <v>75.353800000000007</v>
      </c>
      <c r="D279" s="1">
        <v>13.1717</v>
      </c>
      <c r="E279" s="1">
        <v>1.8487</v>
      </c>
      <c r="F279" s="1">
        <v>2.2270699999999999</v>
      </c>
      <c r="O279">
        <f t="shared" si="1"/>
        <v>3.4176916899999998</v>
      </c>
    </row>
    <row r="280" spans="2:15" x14ac:dyDescent="0.25">
      <c r="B280">
        <v>86</v>
      </c>
      <c r="C280" s="1">
        <v>77.030500000000004</v>
      </c>
      <c r="D280" s="1">
        <v>13.226000000000001</v>
      </c>
      <c r="E280" s="1">
        <v>1.8370599999999999</v>
      </c>
      <c r="F280" s="1">
        <v>2.18893</v>
      </c>
      <c r="O280">
        <f t="shared" si="1"/>
        <v>3.3747894435999997</v>
      </c>
    </row>
    <row r="281" spans="2:15" x14ac:dyDescent="0.25">
      <c r="B281">
        <v>87</v>
      </c>
      <c r="C281" s="1">
        <v>78.721199999999996</v>
      </c>
      <c r="D281" s="1">
        <v>13.2797</v>
      </c>
      <c r="E281" s="1">
        <v>1.8256600000000001</v>
      </c>
      <c r="F281" s="1">
        <v>2.1521300000000001</v>
      </c>
      <c r="O281">
        <f t="shared" si="1"/>
        <v>3.3330344356000001</v>
      </c>
    </row>
    <row r="282" spans="2:15" x14ac:dyDescent="0.25">
      <c r="B282">
        <v>88</v>
      </c>
      <c r="C282" s="1">
        <v>80.426000000000002</v>
      </c>
      <c r="D282" s="1">
        <v>13.332599999999999</v>
      </c>
      <c r="E282" s="1">
        <v>1.8145100000000001</v>
      </c>
      <c r="F282" s="1">
        <v>2.1166700000000001</v>
      </c>
      <c r="O282">
        <f t="shared" si="1"/>
        <v>3.2924465401000003</v>
      </c>
    </row>
    <row r="283" spans="2:15" x14ac:dyDescent="0.25">
      <c r="B283">
        <v>89</v>
      </c>
      <c r="C283" s="1">
        <v>82.144199999999998</v>
      </c>
      <c r="D283" s="1">
        <v>13.3849</v>
      </c>
      <c r="E283" s="1">
        <v>1.80359</v>
      </c>
      <c r="F283" s="1">
        <v>2.08249</v>
      </c>
      <c r="O283">
        <f t="shared" si="1"/>
        <v>3.2529368881000003</v>
      </c>
    </row>
    <row r="284" spans="2:15" x14ac:dyDescent="0.25">
      <c r="B284">
        <v>90</v>
      </c>
      <c r="C284" s="1">
        <v>83.875900000000001</v>
      </c>
      <c r="D284" s="1">
        <v>13.436500000000001</v>
      </c>
      <c r="E284" s="1">
        <v>1.79288</v>
      </c>
      <c r="F284" s="1">
        <v>2.0495700000000001</v>
      </c>
      <c r="O284">
        <f t="shared" si="1"/>
        <v>3.2144186943999999</v>
      </c>
    </row>
    <row r="285" spans="2:15" x14ac:dyDescent="0.25">
      <c r="B285">
        <v>91</v>
      </c>
      <c r="C285" s="1">
        <v>85.620199999999997</v>
      </c>
      <c r="D285" s="1">
        <v>13.487399999999999</v>
      </c>
      <c r="E285" s="1">
        <v>1.7823500000000001</v>
      </c>
      <c r="F285" s="1">
        <v>2.0178400000000001</v>
      </c>
      <c r="O285">
        <f t="shared" si="1"/>
        <v>3.1767715225000002</v>
      </c>
    </row>
    <row r="286" spans="2:15" x14ac:dyDescent="0.25">
      <c r="B286">
        <v>92</v>
      </c>
      <c r="C286" s="1">
        <v>87.377899999999997</v>
      </c>
      <c r="D286" s="1">
        <v>13.537699999999999</v>
      </c>
      <c r="E286" s="1">
        <v>1.77199</v>
      </c>
      <c r="F286" s="1">
        <v>1.9872300000000001</v>
      </c>
      <c r="O286">
        <f t="shared" si="1"/>
        <v>3.1399485600999997</v>
      </c>
    </row>
    <row r="287" spans="2:15" x14ac:dyDescent="0.25">
      <c r="B287">
        <v>93</v>
      </c>
      <c r="C287" s="1">
        <v>89.147499999999994</v>
      </c>
      <c r="D287" s="1">
        <v>13.587300000000001</v>
      </c>
      <c r="E287" s="1">
        <v>1.76179</v>
      </c>
      <c r="F287" s="1">
        <v>1.95764</v>
      </c>
      <c r="O287">
        <f t="shared" si="1"/>
        <v>3.1039040040999999</v>
      </c>
    </row>
    <row r="288" spans="2:15" x14ac:dyDescent="0.25">
      <c r="B288">
        <v>94</v>
      </c>
      <c r="C288" s="1">
        <v>90.9298</v>
      </c>
      <c r="D288" s="1">
        <v>13.6364</v>
      </c>
      <c r="E288" s="1">
        <v>1.7517400000000001</v>
      </c>
      <c r="F288" s="1">
        <v>1.9289799999999999</v>
      </c>
      <c r="O288">
        <f t="shared" si="1"/>
        <v>3.0685930276000004</v>
      </c>
    </row>
    <row r="289" spans="2:15" x14ac:dyDescent="0.25">
      <c r="B289">
        <v>95</v>
      </c>
      <c r="C289" s="1">
        <v>92.723100000000002</v>
      </c>
      <c r="D289" s="1">
        <v>13.684799999999999</v>
      </c>
      <c r="E289" s="1">
        <v>1.74183</v>
      </c>
      <c r="F289" s="1">
        <v>1.90117</v>
      </c>
      <c r="O289">
        <f t="shared" si="1"/>
        <v>3.0339717489</v>
      </c>
    </row>
    <row r="290" spans="2:15" x14ac:dyDescent="0.25">
      <c r="B290">
        <v>96</v>
      </c>
      <c r="C290" s="1">
        <v>94.528999999999996</v>
      </c>
      <c r="D290" s="1">
        <v>13.732799999999999</v>
      </c>
      <c r="E290" s="1">
        <v>1.7320599999999999</v>
      </c>
      <c r="F290" s="1">
        <v>1.8741099999999999</v>
      </c>
      <c r="O290">
        <f t="shared" si="1"/>
        <v>3.0000318436</v>
      </c>
    </row>
    <row r="291" spans="2:15" x14ac:dyDescent="0.25">
      <c r="B291">
        <v>97</v>
      </c>
      <c r="C291" s="1">
        <v>96.345200000000006</v>
      </c>
      <c r="D291" s="1">
        <v>13.780200000000001</v>
      </c>
      <c r="E291" s="1">
        <v>1.72245</v>
      </c>
      <c r="F291" s="1">
        <v>1.8477399999999999</v>
      </c>
      <c r="O291">
        <f t="shared" si="1"/>
        <v>2.9668340025000002</v>
      </c>
    </row>
    <row r="292" spans="2:15" x14ac:dyDescent="0.25">
      <c r="B292">
        <v>98</v>
      </c>
      <c r="C292" s="1">
        <v>98.173299999999998</v>
      </c>
      <c r="D292" s="1">
        <v>13.827199999999999</v>
      </c>
      <c r="E292" s="1">
        <v>1.7129799999999999</v>
      </c>
      <c r="F292" s="1">
        <v>1.8220099999999999</v>
      </c>
      <c r="O292">
        <f t="shared" si="1"/>
        <v>2.9343004803999997</v>
      </c>
    </row>
    <row r="293" spans="2:15" x14ac:dyDescent="0.25">
      <c r="B293">
        <v>99</v>
      </c>
      <c r="C293" s="1">
        <v>100.012</v>
      </c>
      <c r="D293" s="1">
        <v>13.873699999999999</v>
      </c>
      <c r="E293" s="1">
        <v>1.70366</v>
      </c>
      <c r="F293" s="1">
        <v>1.7968900000000001</v>
      </c>
      <c r="O293">
        <f t="shared" si="1"/>
        <v>2.9024573955999999</v>
      </c>
    </row>
    <row r="294" spans="2:15" x14ac:dyDescent="0.25">
      <c r="B294">
        <v>100</v>
      </c>
      <c r="C294" s="1">
        <v>101.861</v>
      </c>
      <c r="D294" s="1">
        <v>13.919700000000001</v>
      </c>
      <c r="E294" s="1">
        <v>1.6944900000000001</v>
      </c>
      <c r="F294" s="1">
        <v>1.7723800000000001</v>
      </c>
      <c r="O294">
        <f t="shared" si="1"/>
        <v>2.8712963601000001</v>
      </c>
    </row>
    <row r="295" spans="2:15" x14ac:dyDescent="0.25">
      <c r="B295">
        <v>101</v>
      </c>
      <c r="C295" s="1">
        <v>103.72</v>
      </c>
      <c r="D295" s="1">
        <v>13.965299999999999</v>
      </c>
      <c r="E295" s="1">
        <v>1.6854499999999999</v>
      </c>
      <c r="F295" s="1">
        <v>1.7484900000000001</v>
      </c>
      <c r="O295">
        <f t="shared" si="1"/>
        <v>2.8407417024999995</v>
      </c>
    </row>
    <row r="296" spans="2:15" x14ac:dyDescent="0.25">
      <c r="B296">
        <v>102</v>
      </c>
      <c r="C296" s="1">
        <v>105.589</v>
      </c>
      <c r="D296" s="1">
        <v>14.0105</v>
      </c>
      <c r="E296" s="1">
        <v>1.6765399999999999</v>
      </c>
      <c r="F296" s="1">
        <v>1.7252099999999999</v>
      </c>
      <c r="O296">
        <f t="shared" si="1"/>
        <v>2.8107863715999999</v>
      </c>
    </row>
    <row r="297" spans="2:15" x14ac:dyDescent="0.25">
      <c r="B297">
        <v>103</v>
      </c>
      <c r="C297" s="1">
        <v>107.468</v>
      </c>
      <c r="D297" s="1">
        <v>14.055300000000001</v>
      </c>
      <c r="E297" s="1">
        <v>1.6677500000000001</v>
      </c>
      <c r="F297" s="1">
        <v>1.70255</v>
      </c>
      <c r="O297">
        <f t="shared" si="1"/>
        <v>2.7813900625000003</v>
      </c>
    </row>
    <row r="298" spans="2:15" x14ac:dyDescent="0.25">
      <c r="B298">
        <v>104</v>
      </c>
      <c r="C298" s="1">
        <v>109.35599999999999</v>
      </c>
      <c r="D298" s="1">
        <v>14.0997</v>
      </c>
      <c r="E298" s="1">
        <v>1.6590800000000001</v>
      </c>
      <c r="F298" s="1">
        <v>1.6805099999999999</v>
      </c>
      <c r="O298">
        <f t="shared" si="1"/>
        <v>2.7525464464000002</v>
      </c>
    </row>
    <row r="299" spans="2:15" x14ac:dyDescent="0.25">
      <c r="B299">
        <v>105</v>
      </c>
      <c r="C299" s="1">
        <v>111.253</v>
      </c>
      <c r="D299" s="1">
        <v>14.143700000000001</v>
      </c>
      <c r="E299" s="1">
        <v>1.6505399999999999</v>
      </c>
      <c r="F299" s="1">
        <v>1.65907</v>
      </c>
      <c r="O299">
        <f t="shared" si="1"/>
        <v>2.7242822915999998</v>
      </c>
    </row>
    <row r="300" spans="2:15" x14ac:dyDescent="0.25">
      <c r="B300">
        <v>106</v>
      </c>
      <c r="C300" s="1">
        <v>113.16</v>
      </c>
      <c r="D300" s="1">
        <v>14.1874</v>
      </c>
      <c r="E300" s="1">
        <v>1.6421300000000001</v>
      </c>
      <c r="F300" s="1">
        <v>1.63822</v>
      </c>
      <c r="O300">
        <f t="shared" si="1"/>
        <v>2.6965909369000003</v>
      </c>
    </row>
    <row r="301" spans="2:15" x14ac:dyDescent="0.25">
      <c r="B301">
        <v>107</v>
      </c>
      <c r="C301" s="1">
        <v>115.074</v>
      </c>
      <c r="D301" s="1">
        <v>14.230700000000001</v>
      </c>
      <c r="E301" s="1">
        <v>1.6338600000000001</v>
      </c>
      <c r="F301" s="1">
        <v>1.6179600000000001</v>
      </c>
      <c r="O301">
        <f t="shared" si="1"/>
        <v>2.6694984996000004</v>
      </c>
    </row>
    <row r="302" spans="2:15" x14ac:dyDescent="0.25">
      <c r="B302">
        <v>108</v>
      </c>
      <c r="C302" s="1">
        <v>116.997</v>
      </c>
      <c r="D302" s="1">
        <v>14.2738</v>
      </c>
      <c r="E302" s="1">
        <v>1.6257299999999999</v>
      </c>
      <c r="F302" s="1">
        <v>1.59826</v>
      </c>
      <c r="O302">
        <f t="shared" si="1"/>
        <v>2.6429980328999996</v>
      </c>
    </row>
    <row r="303" spans="2:15" x14ac:dyDescent="0.25">
      <c r="B303">
        <v>109</v>
      </c>
      <c r="C303" s="1">
        <v>118.928</v>
      </c>
      <c r="D303" s="1">
        <v>14.316599999999999</v>
      </c>
      <c r="E303" s="1">
        <v>1.61774</v>
      </c>
      <c r="F303" s="1">
        <v>1.57911</v>
      </c>
      <c r="O303">
        <f t="shared" si="1"/>
        <v>2.6170827075999998</v>
      </c>
    </row>
    <row r="304" spans="2:15" x14ac:dyDescent="0.25">
      <c r="B304">
        <v>110</v>
      </c>
      <c r="C304" s="1">
        <v>120.86799999999999</v>
      </c>
      <c r="D304" s="1">
        <v>14.359</v>
      </c>
      <c r="E304" s="1">
        <v>1.6098699999999999</v>
      </c>
      <c r="F304" s="1">
        <v>1.5605</v>
      </c>
      <c r="O304">
        <f t="shared" si="1"/>
        <v>2.5916814168999998</v>
      </c>
    </row>
    <row r="305" spans="2:15" x14ac:dyDescent="0.25">
      <c r="B305">
        <v>111</v>
      </c>
      <c r="C305" s="1">
        <v>122.81399999999999</v>
      </c>
      <c r="D305" s="1">
        <v>14.401199999999999</v>
      </c>
      <c r="E305" s="1">
        <v>1.60212</v>
      </c>
      <c r="F305" s="1">
        <v>1.5424800000000001</v>
      </c>
      <c r="O305">
        <f t="shared" si="1"/>
        <v>2.5667884943999999</v>
      </c>
    </row>
    <row r="306" spans="2:15" x14ac:dyDescent="0.25">
      <c r="B306">
        <v>112</v>
      </c>
      <c r="C306" s="1">
        <v>124.768</v>
      </c>
      <c r="D306" s="1">
        <v>14.443099999999999</v>
      </c>
      <c r="E306" s="1">
        <v>1.5944700000000001</v>
      </c>
      <c r="F306" s="1">
        <v>1.52505</v>
      </c>
      <c r="O306">
        <f t="shared" si="1"/>
        <v>2.5423345809</v>
      </c>
    </row>
    <row r="307" spans="2:15" x14ac:dyDescent="0.25">
      <c r="B307">
        <v>113</v>
      </c>
      <c r="C307" s="1">
        <v>126.729</v>
      </c>
      <c r="D307" s="1">
        <v>14.4846</v>
      </c>
      <c r="E307" s="1">
        <v>1.5869200000000001</v>
      </c>
      <c r="F307" s="1">
        <v>1.5081899999999999</v>
      </c>
      <c r="O307">
        <f t="shared" si="1"/>
        <v>2.5183150864000003</v>
      </c>
    </row>
    <row r="308" spans="2:15" x14ac:dyDescent="0.25">
      <c r="B308">
        <v>114</v>
      </c>
      <c r="C308" s="1">
        <v>128.697</v>
      </c>
      <c r="D308" s="1">
        <v>14.5258</v>
      </c>
      <c r="E308" s="1">
        <v>1.57944</v>
      </c>
      <c r="F308" s="1">
        <v>1.49183</v>
      </c>
      <c r="O308">
        <f t="shared" si="1"/>
        <v>2.4946307135999999</v>
      </c>
    </row>
    <row r="309" spans="2:15" x14ac:dyDescent="0.25">
      <c r="B309">
        <v>115</v>
      </c>
      <c r="C309" s="1">
        <v>130.672</v>
      </c>
      <c r="D309" s="1">
        <v>14.566700000000001</v>
      </c>
      <c r="E309" s="1">
        <v>1.57202</v>
      </c>
      <c r="F309" s="1">
        <v>1.4759100000000001</v>
      </c>
      <c r="O309">
        <f t="shared" si="1"/>
        <v>2.4712468803999998</v>
      </c>
    </row>
    <row r="310" spans="2:15" x14ac:dyDescent="0.25">
      <c r="B310">
        <v>116</v>
      </c>
      <c r="C310" s="1">
        <v>132.654</v>
      </c>
      <c r="D310" s="1">
        <v>14.607100000000001</v>
      </c>
      <c r="E310" s="1">
        <v>1.5646800000000001</v>
      </c>
      <c r="F310" s="1">
        <v>1.46031</v>
      </c>
      <c r="O310">
        <f t="shared" si="1"/>
        <v>2.4482235024000003</v>
      </c>
    </row>
    <row r="311" spans="2:15" x14ac:dyDescent="0.25">
      <c r="B311">
        <v>117</v>
      </c>
      <c r="C311" s="1">
        <v>134.64099999999999</v>
      </c>
      <c r="D311" s="1">
        <v>14.6472</v>
      </c>
      <c r="E311" s="1">
        <v>1.55741</v>
      </c>
      <c r="F311" s="1">
        <v>1.44492</v>
      </c>
      <c r="O311">
        <f t="shared" si="1"/>
        <v>2.4255259081</v>
      </c>
    </row>
    <row r="312" spans="2:15" x14ac:dyDescent="0.25">
      <c r="B312">
        <v>118</v>
      </c>
      <c r="C312" s="1">
        <v>136.63499999999999</v>
      </c>
      <c r="D312" s="1">
        <v>14.6869</v>
      </c>
      <c r="E312" s="1">
        <v>1.55019</v>
      </c>
      <c r="F312" s="1">
        <v>1.4296800000000001</v>
      </c>
      <c r="O312">
        <f t="shared" si="1"/>
        <v>2.4030890360999999</v>
      </c>
    </row>
    <row r="313" spans="2:15" x14ac:dyDescent="0.25">
      <c r="B313">
        <v>119</v>
      </c>
      <c r="C313" s="1">
        <v>138.63499999999999</v>
      </c>
      <c r="D313" s="1">
        <v>14.726100000000001</v>
      </c>
      <c r="E313" s="1">
        <v>1.5429900000000001</v>
      </c>
      <c r="F313" s="1">
        <v>1.41452</v>
      </c>
      <c r="O313">
        <f t="shared" si="1"/>
        <v>2.3808181401000001</v>
      </c>
    </row>
    <row r="314" spans="2:15" x14ac:dyDescent="0.25">
      <c r="B314">
        <v>120</v>
      </c>
      <c r="C314" s="1">
        <v>140.63999999999999</v>
      </c>
      <c r="D314" s="1">
        <v>14.765000000000001</v>
      </c>
      <c r="E314" s="1">
        <v>1.53582</v>
      </c>
      <c r="F314" s="1">
        <v>1.3994500000000001</v>
      </c>
      <c r="O314">
        <f t="shared" si="1"/>
        <v>2.3587430723999998</v>
      </c>
    </row>
    <row r="315" spans="2:15" x14ac:dyDescent="0.25">
      <c r="B315">
        <v>121</v>
      </c>
      <c r="C315" s="1">
        <v>142.65</v>
      </c>
      <c r="D315" s="1">
        <v>14.8034</v>
      </c>
      <c r="E315" s="1">
        <v>1.5286599999999999</v>
      </c>
      <c r="F315" s="1">
        <v>1.38446</v>
      </c>
      <c r="O315">
        <f t="shared" si="1"/>
        <v>2.3368013955999998</v>
      </c>
    </row>
    <row r="316" spans="2:15" x14ac:dyDescent="0.25">
      <c r="B316">
        <v>122</v>
      </c>
      <c r="C316" s="1">
        <v>144.666</v>
      </c>
      <c r="D316" s="1">
        <v>14.8415</v>
      </c>
      <c r="E316" s="1">
        <v>1.52153</v>
      </c>
      <c r="F316" s="1">
        <v>1.3695999999999999</v>
      </c>
      <c r="O316">
        <f t="shared" si="1"/>
        <v>2.3150535409000002</v>
      </c>
    </row>
    <row r="317" spans="2:15" x14ac:dyDescent="0.25">
      <c r="B317">
        <v>123</v>
      </c>
      <c r="C317" s="1">
        <v>146.68600000000001</v>
      </c>
      <c r="D317" s="1">
        <v>14.879200000000001</v>
      </c>
      <c r="E317" s="1">
        <v>1.51444</v>
      </c>
      <c r="F317" s="1">
        <v>1.35486</v>
      </c>
      <c r="O317">
        <f t="shared" si="1"/>
        <v>2.2935285136000001</v>
      </c>
    </row>
    <row r="318" spans="2:15" x14ac:dyDescent="0.25">
      <c r="B318">
        <v>124</v>
      </c>
      <c r="C318" s="1">
        <v>148.71299999999999</v>
      </c>
      <c r="D318" s="1">
        <v>14.916499999999999</v>
      </c>
      <c r="E318" s="1">
        <v>1.5073700000000001</v>
      </c>
      <c r="F318" s="1">
        <v>1.34023</v>
      </c>
      <c r="O318">
        <f t="shared" si="1"/>
        <v>2.2721643169000001</v>
      </c>
    </row>
    <row r="319" spans="2:15" x14ac:dyDescent="0.25">
      <c r="B319">
        <v>125</v>
      </c>
      <c r="C319" s="1">
        <v>150.74299999999999</v>
      </c>
      <c r="D319" s="1">
        <v>14.9534</v>
      </c>
      <c r="E319" s="1">
        <v>1.5003</v>
      </c>
      <c r="F319" s="1">
        <v>1.32568</v>
      </c>
      <c r="O319">
        <f t="shared" si="1"/>
        <v>2.25090009</v>
      </c>
    </row>
    <row r="320" spans="2:15" x14ac:dyDescent="0.25">
      <c r="B320">
        <v>126</v>
      </c>
      <c r="C320" s="1">
        <v>152.77799999999999</v>
      </c>
      <c r="D320" s="1">
        <v>14.99</v>
      </c>
      <c r="E320" s="1">
        <v>1.4932000000000001</v>
      </c>
      <c r="F320" s="1">
        <v>1.31118</v>
      </c>
      <c r="O320">
        <f t="shared" si="1"/>
        <v>2.2296462400000001</v>
      </c>
    </row>
    <row r="321" spans="2:15" x14ac:dyDescent="0.25">
      <c r="B321">
        <v>127</v>
      </c>
      <c r="C321" s="1">
        <v>154.81700000000001</v>
      </c>
      <c r="D321" s="1">
        <v>15.026199999999999</v>
      </c>
      <c r="E321" s="1">
        <v>1.4860500000000001</v>
      </c>
      <c r="F321" s="1">
        <v>1.29671</v>
      </c>
      <c r="O321">
        <f t="shared" si="1"/>
        <v>2.2083446025000004</v>
      </c>
    </row>
    <row r="322" spans="2:15" x14ac:dyDescent="0.25">
      <c r="B322">
        <v>128</v>
      </c>
      <c r="C322" s="1">
        <v>156.86099999999999</v>
      </c>
      <c r="D322" s="1">
        <v>15.062200000000001</v>
      </c>
      <c r="E322" s="1">
        <v>1.4788600000000001</v>
      </c>
      <c r="F322" s="1">
        <v>1.2823100000000001</v>
      </c>
      <c r="O322">
        <f t="shared" si="1"/>
        <v>2.1870268996000002</v>
      </c>
    </row>
    <row r="323" spans="2:15" x14ac:dyDescent="0.25">
      <c r="B323">
        <v>129</v>
      </c>
      <c r="C323" s="1">
        <v>158.90899999999999</v>
      </c>
      <c r="D323" s="1">
        <v>15.097899999999999</v>
      </c>
      <c r="E323" s="1">
        <v>1.4716400000000001</v>
      </c>
      <c r="F323" s="1">
        <v>1.2680100000000001</v>
      </c>
      <c r="O323">
        <f t="shared" si="1"/>
        <v>2.1657242896</v>
      </c>
    </row>
    <row r="324" spans="2:15" x14ac:dyDescent="0.25">
      <c r="B324">
        <v>130</v>
      </c>
      <c r="C324" s="1">
        <v>160.959</v>
      </c>
      <c r="D324" s="1">
        <v>15.1334</v>
      </c>
      <c r="E324" s="1">
        <v>1.4644299999999999</v>
      </c>
      <c r="F324" s="1">
        <v>1.25383</v>
      </c>
      <c r="O324">
        <f t="shared" ref="O324:O387" si="2">POWER(E324,2)</f>
        <v>2.1445552248999995</v>
      </c>
    </row>
    <row r="325" spans="2:15" x14ac:dyDescent="0.25">
      <c r="B325">
        <v>131</v>
      </c>
      <c r="C325" s="1">
        <v>163.01499999999999</v>
      </c>
      <c r="D325" s="1">
        <v>15.1685</v>
      </c>
      <c r="E325" s="1">
        <v>1.4572400000000001</v>
      </c>
      <c r="F325" s="1">
        <v>1.2398199999999999</v>
      </c>
      <c r="O325">
        <f t="shared" si="2"/>
        <v>2.1235484176000003</v>
      </c>
    </row>
    <row r="326" spans="2:15" x14ac:dyDescent="0.25">
      <c r="B326">
        <v>132</v>
      </c>
      <c r="C326" s="1">
        <v>165.07400000000001</v>
      </c>
      <c r="D326" s="1">
        <v>15.2034</v>
      </c>
      <c r="E326" s="1">
        <v>1.4500999999999999</v>
      </c>
      <c r="F326" s="1">
        <v>1.226</v>
      </c>
      <c r="O326">
        <f t="shared" si="2"/>
        <v>2.1027900099999997</v>
      </c>
    </row>
    <row r="327" spans="2:15" x14ac:dyDescent="0.25">
      <c r="B327">
        <v>133</v>
      </c>
      <c r="C327" s="1">
        <v>167.136</v>
      </c>
      <c r="D327" s="1">
        <v>15.238</v>
      </c>
      <c r="E327" s="1">
        <v>1.44302</v>
      </c>
      <c r="F327" s="1">
        <v>1.2123999999999999</v>
      </c>
      <c r="O327">
        <f t="shared" si="2"/>
        <v>2.0823067204000001</v>
      </c>
    </row>
    <row r="328" spans="2:15" x14ac:dyDescent="0.25">
      <c r="B328">
        <v>134</v>
      </c>
      <c r="C328" s="1">
        <v>169.20099999999999</v>
      </c>
      <c r="D328" s="1">
        <v>15.2723</v>
      </c>
      <c r="E328" s="1">
        <v>1.4359999999999999</v>
      </c>
      <c r="F328" s="1">
        <v>1.1990400000000001</v>
      </c>
      <c r="O328">
        <f t="shared" si="2"/>
        <v>2.0620959999999999</v>
      </c>
    </row>
    <row r="329" spans="2:15" x14ac:dyDescent="0.25">
      <c r="B329">
        <v>135</v>
      </c>
      <c r="C329" s="1">
        <v>171.26900000000001</v>
      </c>
      <c r="D329" s="1">
        <v>15.3062</v>
      </c>
      <c r="E329" s="1">
        <v>1.42903</v>
      </c>
      <c r="F329" s="1">
        <v>1.1859299999999999</v>
      </c>
      <c r="O329">
        <f t="shared" si="2"/>
        <v>2.0421267409000001</v>
      </c>
    </row>
    <row r="330" spans="2:15" x14ac:dyDescent="0.25">
      <c r="B330">
        <v>136</v>
      </c>
      <c r="C330" s="1">
        <v>173.34</v>
      </c>
      <c r="D330" s="1">
        <v>15.3399</v>
      </c>
      <c r="E330" s="1">
        <v>1.42208</v>
      </c>
      <c r="F330" s="1">
        <v>1.1730700000000001</v>
      </c>
      <c r="O330">
        <f t="shared" si="2"/>
        <v>2.0223115264000002</v>
      </c>
    </row>
    <row r="331" spans="2:15" x14ac:dyDescent="0.25">
      <c r="B331">
        <v>137</v>
      </c>
      <c r="C331" s="1">
        <v>175.41499999999999</v>
      </c>
      <c r="D331" s="1">
        <v>15.373200000000001</v>
      </c>
      <c r="E331" s="1">
        <v>1.4151400000000001</v>
      </c>
      <c r="F331" s="1">
        <v>1.1604300000000001</v>
      </c>
      <c r="O331">
        <f t="shared" si="2"/>
        <v>2.0026212196000004</v>
      </c>
    </row>
    <row r="332" spans="2:15" x14ac:dyDescent="0.25">
      <c r="B332">
        <v>138</v>
      </c>
      <c r="C332" s="1">
        <v>177.49199999999999</v>
      </c>
      <c r="D332" s="1">
        <v>15.4062</v>
      </c>
      <c r="E332" s="1">
        <v>1.4081699999999999</v>
      </c>
      <c r="F332" s="1">
        <v>1.14801</v>
      </c>
      <c r="O332">
        <f t="shared" si="2"/>
        <v>1.9829427488999998</v>
      </c>
    </row>
    <row r="333" spans="2:15" x14ac:dyDescent="0.25">
      <c r="B333">
        <v>139</v>
      </c>
      <c r="C333" s="1">
        <v>179.572</v>
      </c>
      <c r="D333" s="1">
        <v>15.4389</v>
      </c>
      <c r="E333" s="1">
        <v>1.4011899999999999</v>
      </c>
      <c r="F333" s="1">
        <v>1.13581</v>
      </c>
      <c r="O333">
        <f t="shared" si="2"/>
        <v>1.9633334160999998</v>
      </c>
    </row>
    <row r="334" spans="2:15" x14ac:dyDescent="0.25">
      <c r="B334">
        <v>140</v>
      </c>
      <c r="C334" s="1">
        <v>181.654</v>
      </c>
      <c r="D334" s="1">
        <v>15.471399999999999</v>
      </c>
      <c r="E334" s="1">
        <v>1.3942000000000001</v>
      </c>
      <c r="F334" s="1">
        <v>1.12384</v>
      </c>
      <c r="O334">
        <f t="shared" si="2"/>
        <v>1.9437936400000002</v>
      </c>
    </row>
    <row r="335" spans="2:15" x14ac:dyDescent="0.25">
      <c r="B335">
        <v>141</v>
      </c>
      <c r="C335" s="1">
        <v>183.739</v>
      </c>
      <c r="D335" s="1">
        <v>15.503500000000001</v>
      </c>
      <c r="E335" s="1">
        <v>1.3872</v>
      </c>
      <c r="F335" s="1">
        <v>1.1120699999999999</v>
      </c>
      <c r="O335">
        <f t="shared" si="2"/>
        <v>1.92432384</v>
      </c>
    </row>
    <row r="336" spans="2:15" x14ac:dyDescent="0.25">
      <c r="B336">
        <v>142</v>
      </c>
      <c r="C336" s="1">
        <v>185.82499999999999</v>
      </c>
      <c r="D336" s="1">
        <v>15.535299999999999</v>
      </c>
      <c r="E336" s="1">
        <v>1.3802099999999999</v>
      </c>
      <c r="F336" s="1">
        <v>1.10049</v>
      </c>
      <c r="O336">
        <f t="shared" si="2"/>
        <v>1.9049796440999998</v>
      </c>
    </row>
    <row r="337" spans="2:15" x14ac:dyDescent="0.25">
      <c r="B337">
        <v>143</v>
      </c>
      <c r="C337" s="1">
        <v>187.91499999999999</v>
      </c>
      <c r="D337" s="1">
        <v>15.566800000000001</v>
      </c>
      <c r="E337" s="1">
        <v>1.37321</v>
      </c>
      <c r="F337" s="1">
        <v>1.08908</v>
      </c>
      <c r="O337">
        <f t="shared" si="2"/>
        <v>1.8857057041</v>
      </c>
    </row>
    <row r="338" spans="2:15" x14ac:dyDescent="0.25">
      <c r="B338">
        <v>144</v>
      </c>
      <c r="C338" s="1">
        <v>190.006</v>
      </c>
      <c r="D338" s="1">
        <v>15.598100000000001</v>
      </c>
      <c r="E338" s="1">
        <v>1.36622</v>
      </c>
      <c r="F338" s="1">
        <v>1.07779</v>
      </c>
      <c r="O338">
        <f t="shared" si="2"/>
        <v>1.8665570884</v>
      </c>
    </row>
    <row r="339" spans="2:15" x14ac:dyDescent="0.25">
      <c r="B339">
        <v>145</v>
      </c>
      <c r="C339" s="1">
        <v>192.1</v>
      </c>
      <c r="D339" s="1">
        <v>15.6289</v>
      </c>
      <c r="E339" s="1">
        <v>1.3592299999999999</v>
      </c>
      <c r="F339" s="1">
        <v>1.0666100000000001</v>
      </c>
      <c r="O339">
        <f t="shared" si="2"/>
        <v>1.8475061928999998</v>
      </c>
    </row>
    <row r="340" spans="2:15" x14ac:dyDescent="0.25">
      <c r="B340">
        <v>146</v>
      </c>
      <c r="C340" s="1">
        <v>194.19499999999999</v>
      </c>
      <c r="D340" s="1">
        <v>15.6595</v>
      </c>
      <c r="E340" s="1">
        <v>1.35223</v>
      </c>
      <c r="F340" s="1">
        <v>1.0555300000000001</v>
      </c>
      <c r="O340">
        <f t="shared" si="2"/>
        <v>1.8285259729000001</v>
      </c>
    </row>
    <row r="341" spans="2:15" x14ac:dyDescent="0.25">
      <c r="B341">
        <v>147</v>
      </c>
      <c r="C341" s="1">
        <v>196.291</v>
      </c>
      <c r="D341" s="1">
        <v>15.6897</v>
      </c>
      <c r="E341" s="1">
        <v>1.3452599999999999</v>
      </c>
      <c r="F341" s="1">
        <v>1.04453</v>
      </c>
      <c r="O341">
        <f t="shared" si="2"/>
        <v>1.8097244675999997</v>
      </c>
    </row>
    <row r="342" spans="2:15" x14ac:dyDescent="0.25">
      <c r="B342">
        <v>148</v>
      </c>
      <c r="C342" s="1">
        <v>198.39</v>
      </c>
      <c r="D342" s="1">
        <v>15.7196</v>
      </c>
      <c r="E342" s="1">
        <v>1.3383</v>
      </c>
      <c r="F342" s="1">
        <v>1.0336099999999999</v>
      </c>
      <c r="O342">
        <f t="shared" si="2"/>
        <v>1.7910468900000001</v>
      </c>
    </row>
    <row r="343" spans="2:15" x14ac:dyDescent="0.25">
      <c r="B343">
        <v>149</v>
      </c>
      <c r="C343" s="1">
        <v>200.49</v>
      </c>
      <c r="D343" s="1">
        <v>15.7493</v>
      </c>
      <c r="E343" s="1">
        <v>1.3313900000000001</v>
      </c>
      <c r="F343" s="1">
        <v>1.0227599999999999</v>
      </c>
      <c r="O343">
        <f t="shared" si="2"/>
        <v>1.7725993321000002</v>
      </c>
    </row>
    <row r="344" spans="2:15" x14ac:dyDescent="0.25">
      <c r="B344">
        <v>150</v>
      </c>
      <c r="C344" s="1">
        <v>202.59200000000001</v>
      </c>
      <c r="D344" s="1">
        <v>15.778700000000001</v>
      </c>
      <c r="E344" s="1">
        <v>1.3245</v>
      </c>
      <c r="F344" s="1">
        <v>1.01197</v>
      </c>
      <c r="O344">
        <f t="shared" si="2"/>
        <v>1.75430025</v>
      </c>
    </row>
    <row r="345" spans="2:15" x14ac:dyDescent="0.25">
      <c r="B345">
        <v>151</v>
      </c>
      <c r="C345" s="1">
        <v>204.69499999999999</v>
      </c>
      <c r="D345" s="1">
        <v>15.8079</v>
      </c>
      <c r="E345" s="1">
        <v>1.31765</v>
      </c>
      <c r="F345" s="1">
        <v>1.00125</v>
      </c>
      <c r="O345">
        <f t="shared" si="2"/>
        <v>1.7362015225</v>
      </c>
    </row>
    <row r="346" spans="2:15" x14ac:dyDescent="0.25">
      <c r="B346">
        <v>152</v>
      </c>
      <c r="C346" s="1">
        <v>206.80099999999999</v>
      </c>
      <c r="D346" s="1">
        <v>15.8368</v>
      </c>
      <c r="E346" s="1">
        <v>1.3108299999999999</v>
      </c>
      <c r="F346" s="1">
        <v>0.99058599999999997</v>
      </c>
      <c r="O346">
        <f t="shared" si="2"/>
        <v>1.7182752888999999</v>
      </c>
    </row>
    <row r="347" spans="2:15" x14ac:dyDescent="0.25">
      <c r="B347">
        <v>153</v>
      </c>
      <c r="C347" s="1">
        <v>208.90700000000001</v>
      </c>
      <c r="D347" s="1">
        <v>15.865600000000001</v>
      </c>
      <c r="E347" s="1">
        <v>1.3040499999999999</v>
      </c>
      <c r="F347" s="1">
        <v>0.97998700000000005</v>
      </c>
      <c r="O347">
        <f t="shared" si="2"/>
        <v>1.7005464024999999</v>
      </c>
    </row>
    <row r="348" spans="2:15" x14ac:dyDescent="0.25">
      <c r="B348">
        <v>154</v>
      </c>
      <c r="C348" s="1">
        <v>211.01400000000001</v>
      </c>
      <c r="D348" s="1">
        <v>15.8941</v>
      </c>
      <c r="E348" s="1">
        <v>1.2972999999999999</v>
      </c>
      <c r="F348" s="1">
        <v>0.96944200000000003</v>
      </c>
      <c r="O348">
        <f t="shared" si="2"/>
        <v>1.6829872899999998</v>
      </c>
    </row>
    <row r="349" spans="2:15" x14ac:dyDescent="0.25">
      <c r="B349">
        <v>155</v>
      </c>
      <c r="C349" s="1">
        <v>213.12200000000001</v>
      </c>
      <c r="D349" s="1">
        <v>15.9224</v>
      </c>
      <c r="E349" s="1">
        <v>1.2905899999999999</v>
      </c>
      <c r="F349" s="1">
        <v>0.95893899999999999</v>
      </c>
      <c r="O349">
        <f t="shared" si="2"/>
        <v>1.6656225480999998</v>
      </c>
    </row>
    <row r="350" spans="2:15" x14ac:dyDescent="0.25">
      <c r="B350">
        <v>156</v>
      </c>
      <c r="C350" s="1">
        <v>215.232</v>
      </c>
      <c r="D350" s="1">
        <v>15.9505</v>
      </c>
      <c r="E350" s="1">
        <v>1.2839100000000001</v>
      </c>
      <c r="F350" s="1">
        <v>0.94847599999999999</v>
      </c>
      <c r="O350">
        <f t="shared" si="2"/>
        <v>1.6484248881000003</v>
      </c>
    </row>
    <row r="351" spans="2:15" x14ac:dyDescent="0.25">
      <c r="B351">
        <v>157</v>
      </c>
      <c r="C351" s="1">
        <v>217.34299999999999</v>
      </c>
      <c r="D351" s="1">
        <v>15.978300000000001</v>
      </c>
      <c r="E351" s="1">
        <v>1.2772399999999999</v>
      </c>
      <c r="F351" s="1">
        <v>0.93806299999999998</v>
      </c>
      <c r="O351">
        <f t="shared" si="2"/>
        <v>1.6313420175999997</v>
      </c>
    </row>
    <row r="352" spans="2:15" x14ac:dyDescent="0.25">
      <c r="B352">
        <v>158</v>
      </c>
      <c r="C352" s="1">
        <v>219.45599999999999</v>
      </c>
      <c r="D352" s="1">
        <v>16.0059</v>
      </c>
      <c r="E352" s="1">
        <v>1.27058</v>
      </c>
      <c r="F352" s="1">
        <v>0.92771300000000001</v>
      </c>
      <c r="O352">
        <f t="shared" si="2"/>
        <v>1.6143735364</v>
      </c>
    </row>
    <row r="353" spans="2:15" x14ac:dyDescent="0.25">
      <c r="B353">
        <v>159</v>
      </c>
      <c r="C353" s="1">
        <v>221.56800000000001</v>
      </c>
      <c r="D353" s="1">
        <v>16.033100000000001</v>
      </c>
      <c r="E353" s="1">
        <v>1.26393</v>
      </c>
      <c r="F353" s="1">
        <v>0.91742100000000004</v>
      </c>
      <c r="O353">
        <f t="shared" si="2"/>
        <v>1.5975190449000001</v>
      </c>
    </row>
    <row r="354" spans="2:15" x14ac:dyDescent="0.25">
      <c r="B354">
        <v>160</v>
      </c>
      <c r="C354" s="1">
        <v>223.68199999999999</v>
      </c>
      <c r="D354" s="1">
        <v>16.060099999999998</v>
      </c>
      <c r="E354" s="1">
        <v>1.25725</v>
      </c>
      <c r="F354" s="1">
        <v>0.90716200000000002</v>
      </c>
      <c r="O354">
        <f t="shared" si="2"/>
        <v>1.5806775625</v>
      </c>
    </row>
    <row r="355" spans="2:15" x14ac:dyDescent="0.25">
      <c r="B355">
        <v>161</v>
      </c>
      <c r="C355" s="1">
        <v>225.797</v>
      </c>
      <c r="D355" s="1">
        <v>16.0868</v>
      </c>
      <c r="E355" s="1">
        <v>1.2505299999999999</v>
      </c>
      <c r="F355" s="1">
        <v>0.89689300000000005</v>
      </c>
      <c r="O355">
        <f t="shared" si="2"/>
        <v>1.5638252808999997</v>
      </c>
    </row>
    <row r="356" spans="2:15" x14ac:dyDescent="0.25">
      <c r="B356">
        <v>162</v>
      </c>
      <c r="C356" s="1">
        <v>227.91300000000001</v>
      </c>
      <c r="D356" s="1">
        <v>16.113199999999999</v>
      </c>
      <c r="E356" s="1">
        <v>1.24377</v>
      </c>
      <c r="F356" s="1">
        <v>0.88657300000000006</v>
      </c>
      <c r="O356">
        <f t="shared" si="2"/>
        <v>1.5469638129000001</v>
      </c>
    </row>
    <row r="357" spans="2:15" x14ac:dyDescent="0.25">
      <c r="B357">
        <v>163</v>
      </c>
      <c r="C357" s="1">
        <v>230.029</v>
      </c>
      <c r="D357" s="1">
        <v>16.139299999999999</v>
      </c>
      <c r="E357" s="1">
        <v>1.23695</v>
      </c>
      <c r="F357" s="1">
        <v>0.87617500000000004</v>
      </c>
      <c r="O357">
        <f t="shared" si="2"/>
        <v>1.5300453025</v>
      </c>
    </row>
    <row r="358" spans="2:15" x14ac:dyDescent="0.25">
      <c r="B358">
        <v>164</v>
      </c>
      <c r="C358" s="1">
        <v>232.14599999999999</v>
      </c>
      <c r="D358" s="1">
        <v>16.165099999999999</v>
      </c>
      <c r="E358" s="1">
        <v>1.2300899999999999</v>
      </c>
      <c r="F358" s="1">
        <v>0.86568800000000001</v>
      </c>
      <c r="O358">
        <f t="shared" si="2"/>
        <v>1.5131214080999997</v>
      </c>
    </row>
    <row r="359" spans="2:15" x14ac:dyDescent="0.25">
      <c r="B359">
        <v>165</v>
      </c>
      <c r="C359" s="1">
        <v>234.26400000000001</v>
      </c>
      <c r="D359" s="1">
        <v>16.1906</v>
      </c>
      <c r="E359" s="1">
        <v>1.22319</v>
      </c>
      <c r="F359" s="1">
        <v>0.85511300000000001</v>
      </c>
      <c r="O359">
        <f t="shared" si="2"/>
        <v>1.4961937760999999</v>
      </c>
    </row>
    <row r="360" spans="2:15" x14ac:dyDescent="0.25">
      <c r="B360">
        <v>166</v>
      </c>
      <c r="C360" s="1">
        <v>236.38200000000001</v>
      </c>
      <c r="D360" s="1">
        <v>16.215900000000001</v>
      </c>
      <c r="E360" s="1">
        <v>1.21627</v>
      </c>
      <c r="F360" s="1">
        <v>0.84445800000000004</v>
      </c>
      <c r="O360">
        <f t="shared" si="2"/>
        <v>1.4793127128999999</v>
      </c>
    </row>
    <row r="361" spans="2:15" x14ac:dyDescent="0.25">
      <c r="B361">
        <v>167</v>
      </c>
      <c r="C361" s="1">
        <v>238.50200000000001</v>
      </c>
      <c r="D361" s="1">
        <v>16.2409</v>
      </c>
      <c r="E361" s="1">
        <v>1.2093400000000001</v>
      </c>
      <c r="F361" s="1">
        <v>0.83373799999999998</v>
      </c>
      <c r="O361">
        <f t="shared" si="2"/>
        <v>1.4625032356000003</v>
      </c>
    </row>
    <row r="362" spans="2:15" x14ac:dyDescent="0.25">
      <c r="B362">
        <v>168</v>
      </c>
      <c r="C362" s="1">
        <v>240.62100000000001</v>
      </c>
      <c r="D362" s="1">
        <v>16.265699999999999</v>
      </c>
      <c r="E362" s="1">
        <v>1.20238</v>
      </c>
      <c r="F362" s="1">
        <v>0.82298300000000002</v>
      </c>
      <c r="O362">
        <f t="shared" si="2"/>
        <v>1.4457176644</v>
      </c>
    </row>
    <row r="363" spans="2:15" x14ac:dyDescent="0.25">
      <c r="B363">
        <v>169</v>
      </c>
      <c r="C363" s="1">
        <v>242.74199999999999</v>
      </c>
      <c r="D363" s="1">
        <v>16.290199999999999</v>
      </c>
      <c r="E363" s="1">
        <v>1.1954199999999999</v>
      </c>
      <c r="F363" s="1">
        <v>0.81223100000000004</v>
      </c>
      <c r="O363">
        <f t="shared" si="2"/>
        <v>1.4290289763999999</v>
      </c>
    </row>
    <row r="364" spans="2:15" x14ac:dyDescent="0.25">
      <c r="B364">
        <v>170</v>
      </c>
      <c r="C364" s="1">
        <v>244.863</v>
      </c>
      <c r="D364" s="1">
        <v>16.314499999999999</v>
      </c>
      <c r="E364" s="1">
        <v>1.1884699999999999</v>
      </c>
      <c r="F364" s="1">
        <v>0.80152800000000002</v>
      </c>
      <c r="O364">
        <f t="shared" si="2"/>
        <v>1.4124609408999997</v>
      </c>
    </row>
    <row r="365" spans="2:15" x14ac:dyDescent="0.25">
      <c r="B365">
        <v>171</v>
      </c>
      <c r="C365" s="1">
        <v>246.98400000000001</v>
      </c>
      <c r="D365" s="1">
        <v>16.3385</v>
      </c>
      <c r="E365" s="1">
        <v>1.1815500000000001</v>
      </c>
      <c r="F365" s="1">
        <v>0.79090800000000006</v>
      </c>
      <c r="O365">
        <f t="shared" si="2"/>
        <v>1.3960604025000003</v>
      </c>
    </row>
    <row r="366" spans="2:15" x14ac:dyDescent="0.25">
      <c r="B366">
        <v>172</v>
      </c>
      <c r="C366" s="1">
        <v>249.10599999999999</v>
      </c>
      <c r="D366" s="1">
        <v>16.362300000000001</v>
      </c>
      <c r="E366" s="1">
        <v>1.1746700000000001</v>
      </c>
      <c r="F366" s="1">
        <v>0.78039099999999995</v>
      </c>
      <c r="O366">
        <f t="shared" si="2"/>
        <v>1.3798496089000003</v>
      </c>
    </row>
    <row r="367" spans="2:15" x14ac:dyDescent="0.25">
      <c r="B367">
        <v>173</v>
      </c>
      <c r="C367" s="1">
        <v>251.22900000000001</v>
      </c>
      <c r="D367" s="1">
        <v>16.3858</v>
      </c>
      <c r="E367" s="1">
        <v>1.1678500000000001</v>
      </c>
      <c r="F367" s="1">
        <v>0.76998200000000006</v>
      </c>
      <c r="O367">
        <f t="shared" si="2"/>
        <v>1.3638736225000001</v>
      </c>
    </row>
    <row r="368" spans="2:15" x14ac:dyDescent="0.25">
      <c r="B368">
        <v>174</v>
      </c>
      <c r="C368" s="1">
        <v>253.351</v>
      </c>
      <c r="D368" s="1">
        <v>16.408999999999999</v>
      </c>
      <c r="E368" s="1">
        <v>1.16109</v>
      </c>
      <c r="F368" s="1">
        <v>0.75967899999999999</v>
      </c>
      <c r="O368">
        <f t="shared" si="2"/>
        <v>1.3481299881</v>
      </c>
    </row>
    <row r="369" spans="2:15" x14ac:dyDescent="0.25">
      <c r="B369">
        <v>175</v>
      </c>
      <c r="C369" s="1">
        <v>255.47499999999999</v>
      </c>
      <c r="D369" s="1">
        <v>16.431899999999999</v>
      </c>
      <c r="E369" s="1">
        <v>1.15435</v>
      </c>
      <c r="F369" s="1">
        <v>0.74946900000000005</v>
      </c>
      <c r="O369">
        <f t="shared" si="2"/>
        <v>1.3325239225000001</v>
      </c>
    </row>
    <row r="370" spans="2:15" x14ac:dyDescent="0.25">
      <c r="B370">
        <v>176</v>
      </c>
      <c r="C370" s="1">
        <v>257.59800000000001</v>
      </c>
      <c r="D370" s="1">
        <v>16.454499999999999</v>
      </c>
      <c r="E370" s="1">
        <v>1.1476200000000001</v>
      </c>
      <c r="F370" s="1">
        <v>0.73934</v>
      </c>
      <c r="O370">
        <f t="shared" si="2"/>
        <v>1.3170316644000002</v>
      </c>
    </row>
    <row r="371" spans="2:15" x14ac:dyDescent="0.25">
      <c r="B371">
        <v>177</v>
      </c>
      <c r="C371" s="1">
        <v>259.72300000000001</v>
      </c>
      <c r="D371" s="1">
        <v>16.476800000000001</v>
      </c>
      <c r="E371" s="1">
        <v>1.14089</v>
      </c>
      <c r="F371" s="1">
        <v>0.72928099999999996</v>
      </c>
      <c r="O371">
        <f t="shared" si="2"/>
        <v>1.3016299920999999</v>
      </c>
    </row>
    <row r="372" spans="2:15" x14ac:dyDescent="0.25">
      <c r="B372">
        <v>178</v>
      </c>
      <c r="C372" s="1">
        <v>261.84699999999998</v>
      </c>
      <c r="D372" s="1">
        <v>16.498699999999999</v>
      </c>
      <c r="E372" s="1">
        <v>1.1341399999999999</v>
      </c>
      <c r="F372" s="1">
        <v>0.71928700000000001</v>
      </c>
      <c r="O372">
        <f t="shared" si="2"/>
        <v>1.2862735395999998</v>
      </c>
    </row>
    <row r="373" spans="2:15" x14ac:dyDescent="0.25">
      <c r="B373">
        <v>179</v>
      </c>
      <c r="C373" s="1">
        <v>263.971</v>
      </c>
      <c r="D373" s="1">
        <v>16.520399999999999</v>
      </c>
      <c r="E373" s="1">
        <v>1.12737</v>
      </c>
      <c r="F373" s="1">
        <v>0.70935999999999999</v>
      </c>
      <c r="O373">
        <f t="shared" si="2"/>
        <v>1.2709631169</v>
      </c>
    </row>
    <row r="374" spans="2:15" x14ac:dyDescent="0.25">
      <c r="B374">
        <v>180</v>
      </c>
      <c r="C374" s="1">
        <v>266.096</v>
      </c>
      <c r="D374" s="1">
        <v>16.541699999999999</v>
      </c>
      <c r="E374" s="1">
        <v>1.1205700000000001</v>
      </c>
      <c r="F374" s="1">
        <v>0.69951399999999997</v>
      </c>
      <c r="O374">
        <f t="shared" si="2"/>
        <v>1.2556771249000001</v>
      </c>
    </row>
    <row r="375" spans="2:15" x14ac:dyDescent="0.25">
      <c r="B375">
        <v>181</v>
      </c>
      <c r="C375" s="1">
        <v>268.22199999999998</v>
      </c>
      <c r="D375" s="1">
        <v>16.562799999999999</v>
      </c>
      <c r="E375" s="1">
        <v>1.11375</v>
      </c>
      <c r="F375" s="1">
        <v>0.68976899999999997</v>
      </c>
      <c r="O375">
        <f t="shared" si="2"/>
        <v>1.2404390625000001</v>
      </c>
    </row>
    <row r="376" spans="2:15" x14ac:dyDescent="0.25">
      <c r="B376">
        <v>182</v>
      </c>
      <c r="C376" s="1">
        <v>270.34800000000001</v>
      </c>
      <c r="D376" s="1">
        <v>16.583500000000001</v>
      </c>
      <c r="E376" s="1">
        <v>1.10693</v>
      </c>
      <c r="F376" s="1">
        <v>0.68014699999999995</v>
      </c>
      <c r="O376">
        <f t="shared" si="2"/>
        <v>1.2252940248999999</v>
      </c>
    </row>
    <row r="377" spans="2:15" x14ac:dyDescent="0.25">
      <c r="B377">
        <v>183</v>
      </c>
      <c r="C377" s="1">
        <v>272.47399999999999</v>
      </c>
      <c r="D377" s="1">
        <v>16.603999999999999</v>
      </c>
      <c r="E377" s="1">
        <v>1.1001099999999999</v>
      </c>
      <c r="F377" s="1">
        <v>0.67067500000000002</v>
      </c>
      <c r="O377">
        <f t="shared" si="2"/>
        <v>1.2102420120999999</v>
      </c>
    </row>
    <row r="378" spans="2:15" x14ac:dyDescent="0.25">
      <c r="B378">
        <v>184</v>
      </c>
      <c r="C378" s="1">
        <v>274.60000000000002</v>
      </c>
      <c r="D378" s="1">
        <v>16.624099999999999</v>
      </c>
      <c r="E378" s="1">
        <v>1.09331</v>
      </c>
      <c r="F378" s="1">
        <v>0.66136799999999996</v>
      </c>
      <c r="O378">
        <f t="shared" si="2"/>
        <v>1.1953267561000001</v>
      </c>
    </row>
    <row r="379" spans="2:15" x14ac:dyDescent="0.25">
      <c r="B379">
        <v>185</v>
      </c>
      <c r="C379" s="1">
        <v>276.72699999999998</v>
      </c>
      <c r="D379" s="1">
        <v>16.643899999999999</v>
      </c>
      <c r="E379" s="1">
        <v>1.0865400000000001</v>
      </c>
      <c r="F379" s="1">
        <v>0.65222999999999998</v>
      </c>
      <c r="O379">
        <f t="shared" si="2"/>
        <v>1.1805691716000002</v>
      </c>
    </row>
    <row r="380" spans="2:15" x14ac:dyDescent="0.25">
      <c r="B380">
        <v>186</v>
      </c>
      <c r="C380" s="1">
        <v>278.85300000000001</v>
      </c>
      <c r="D380" s="1">
        <v>16.663499999999999</v>
      </c>
      <c r="E380" s="1">
        <v>1.0798099999999999</v>
      </c>
      <c r="F380" s="1">
        <v>0.64324400000000004</v>
      </c>
      <c r="O380">
        <f t="shared" si="2"/>
        <v>1.1659896360999999</v>
      </c>
    </row>
    <row r="381" spans="2:15" x14ac:dyDescent="0.25">
      <c r="B381">
        <v>187</v>
      </c>
      <c r="C381" s="1">
        <v>280.98099999999999</v>
      </c>
      <c r="D381" s="1">
        <v>16.682700000000001</v>
      </c>
      <c r="E381" s="1">
        <v>1.07311</v>
      </c>
      <c r="F381" s="1">
        <v>0.634378</v>
      </c>
      <c r="O381">
        <f t="shared" si="2"/>
        <v>1.1515650720999999</v>
      </c>
    </row>
    <row r="382" spans="2:15" x14ac:dyDescent="0.25">
      <c r="B382">
        <v>188</v>
      </c>
      <c r="C382" s="1">
        <v>283.108</v>
      </c>
      <c r="D382" s="1">
        <v>16.701599999999999</v>
      </c>
      <c r="E382" s="1">
        <v>1.06643</v>
      </c>
      <c r="F382" s="1">
        <v>0.62559600000000004</v>
      </c>
      <c r="O382">
        <f t="shared" si="2"/>
        <v>1.1372729449000001</v>
      </c>
    </row>
    <row r="383" spans="2:15" x14ac:dyDescent="0.25">
      <c r="B383">
        <v>189</v>
      </c>
      <c r="C383" s="1">
        <v>285.23599999999999</v>
      </c>
      <c r="D383" s="1">
        <v>16.720199999999998</v>
      </c>
      <c r="E383" s="1">
        <v>1.0597700000000001</v>
      </c>
      <c r="F383" s="1">
        <v>0.616869</v>
      </c>
      <c r="O383">
        <f t="shared" si="2"/>
        <v>1.1231124529000003</v>
      </c>
    </row>
    <row r="384" spans="2:15" x14ac:dyDescent="0.25">
      <c r="B384">
        <v>190</v>
      </c>
      <c r="C384" s="1">
        <v>287.363</v>
      </c>
      <c r="D384" s="1">
        <v>16.738499999999998</v>
      </c>
      <c r="E384" s="1">
        <v>1.05314</v>
      </c>
      <c r="F384" s="1">
        <v>0.60817600000000005</v>
      </c>
      <c r="O384">
        <f t="shared" si="2"/>
        <v>1.1091038596</v>
      </c>
    </row>
    <row r="385" spans="2:15" x14ac:dyDescent="0.25">
      <c r="B385">
        <v>191</v>
      </c>
      <c r="C385" s="1">
        <v>289.49200000000002</v>
      </c>
      <c r="D385" s="1">
        <v>16.756499999999999</v>
      </c>
      <c r="E385" s="1">
        <v>1.04654</v>
      </c>
      <c r="F385" s="1">
        <v>0.59950499999999995</v>
      </c>
      <c r="O385">
        <f t="shared" si="2"/>
        <v>1.0952459716</v>
      </c>
    </row>
    <row r="386" spans="2:15" x14ac:dyDescent="0.25">
      <c r="B386">
        <v>192</v>
      </c>
      <c r="C386" s="1">
        <v>291.62</v>
      </c>
      <c r="D386" s="1">
        <v>16.7742</v>
      </c>
      <c r="E386" s="1">
        <v>1.03999</v>
      </c>
      <c r="F386" s="1">
        <v>0.59084400000000004</v>
      </c>
      <c r="O386">
        <f t="shared" si="2"/>
        <v>1.0815792001</v>
      </c>
    </row>
    <row r="387" spans="2:15" x14ac:dyDescent="0.25">
      <c r="B387">
        <v>193</v>
      </c>
      <c r="C387" s="1">
        <v>293.74799999999999</v>
      </c>
      <c r="D387" s="1">
        <v>16.791599999999999</v>
      </c>
      <c r="E387" s="1">
        <v>1.03348</v>
      </c>
      <c r="F387" s="1">
        <v>0.58218999999999999</v>
      </c>
      <c r="O387">
        <f t="shared" si="2"/>
        <v>1.0680809104</v>
      </c>
    </row>
    <row r="388" spans="2:15" x14ac:dyDescent="0.25">
      <c r="B388">
        <v>194</v>
      </c>
      <c r="C388" s="1">
        <v>295.87599999999998</v>
      </c>
      <c r="D388" s="1">
        <v>16.808599999999998</v>
      </c>
      <c r="E388" s="1">
        <v>1.02702</v>
      </c>
      <c r="F388" s="1">
        <v>0.573546</v>
      </c>
      <c r="O388">
        <f t="shared" ref="O388:O434" si="3">POWER(E388,2)</f>
        <v>1.0547700804000002</v>
      </c>
    </row>
    <row r="389" spans="2:15" x14ac:dyDescent="0.25">
      <c r="B389">
        <v>195</v>
      </c>
      <c r="C389" s="1">
        <v>298.005</v>
      </c>
      <c r="D389" s="1">
        <v>16.825299999999999</v>
      </c>
      <c r="E389" s="1">
        <v>1.0206299999999999</v>
      </c>
      <c r="F389" s="1">
        <v>0.56492500000000001</v>
      </c>
      <c r="O389">
        <f t="shared" si="3"/>
        <v>1.0416855968999998</v>
      </c>
    </row>
    <row r="390" spans="2:15" x14ac:dyDescent="0.25">
      <c r="B390">
        <v>196</v>
      </c>
      <c r="C390" s="1">
        <v>300.13400000000001</v>
      </c>
      <c r="D390" s="1">
        <v>16.841699999999999</v>
      </c>
      <c r="E390" s="1">
        <v>1.0143</v>
      </c>
      <c r="F390" s="1">
        <v>0.55634700000000004</v>
      </c>
      <c r="O390">
        <f t="shared" si="3"/>
        <v>1.02880449</v>
      </c>
    </row>
    <row r="391" spans="2:15" x14ac:dyDescent="0.25">
      <c r="B391">
        <v>197</v>
      </c>
      <c r="C391" s="1">
        <v>302.26299999999998</v>
      </c>
      <c r="D391" s="1">
        <v>16.857700000000001</v>
      </c>
      <c r="E391" s="1">
        <v>1.0080499999999999</v>
      </c>
      <c r="F391" s="1">
        <v>0.54784100000000002</v>
      </c>
      <c r="O391">
        <f t="shared" si="3"/>
        <v>1.0161648024999999</v>
      </c>
    </row>
    <row r="392" spans="2:15" x14ac:dyDescent="0.25">
      <c r="B392">
        <v>198</v>
      </c>
      <c r="C392" s="1">
        <v>304.39299999999997</v>
      </c>
      <c r="D392" s="1">
        <v>16.8735</v>
      </c>
      <c r="E392" s="1">
        <v>1.0018899999999999</v>
      </c>
      <c r="F392" s="1">
        <v>0.53943700000000006</v>
      </c>
      <c r="O392">
        <f t="shared" si="3"/>
        <v>1.0037835720999999</v>
      </c>
    </row>
    <row r="393" spans="2:15" x14ac:dyDescent="0.25">
      <c r="B393">
        <v>199</v>
      </c>
      <c r="C393" s="1">
        <v>306.52199999999999</v>
      </c>
      <c r="D393" s="1">
        <v>16.8889</v>
      </c>
      <c r="E393" s="1">
        <v>0.995811</v>
      </c>
      <c r="F393" s="1">
        <v>0.53116399999999997</v>
      </c>
      <c r="O393">
        <f t="shared" si="3"/>
        <v>0.99163954772100005</v>
      </c>
    </row>
    <row r="394" spans="2:15" x14ac:dyDescent="0.25">
      <c r="B394">
        <v>200</v>
      </c>
      <c r="C394" s="1">
        <v>308.65100000000001</v>
      </c>
      <c r="D394" s="1">
        <v>16.904</v>
      </c>
      <c r="E394" s="1">
        <v>0.98982099999999995</v>
      </c>
      <c r="F394" s="1">
        <v>0.52304600000000001</v>
      </c>
      <c r="O394">
        <f t="shared" si="3"/>
        <v>0.97974561204099986</v>
      </c>
    </row>
    <row r="395" spans="2:15" x14ac:dyDescent="0.25">
      <c r="B395">
        <v>201</v>
      </c>
      <c r="C395" s="1">
        <v>310.78100000000001</v>
      </c>
      <c r="D395" s="1">
        <v>16.918800000000001</v>
      </c>
      <c r="E395" s="1">
        <v>0.98391899999999999</v>
      </c>
      <c r="F395" s="1">
        <v>0.51509499999999997</v>
      </c>
      <c r="O395">
        <f t="shared" si="3"/>
        <v>0.96809659856099994</v>
      </c>
    </row>
    <row r="396" spans="2:15" x14ac:dyDescent="0.25">
      <c r="B396">
        <v>202</v>
      </c>
      <c r="C396" s="1">
        <v>312.911</v>
      </c>
      <c r="D396" s="1">
        <v>16.933199999999999</v>
      </c>
      <c r="E396" s="1">
        <v>0.978101</v>
      </c>
      <c r="F396" s="1">
        <v>0.50731000000000004</v>
      </c>
      <c r="O396">
        <f t="shared" si="3"/>
        <v>0.95668156620099998</v>
      </c>
    </row>
    <row r="397" spans="2:15" x14ac:dyDescent="0.25">
      <c r="B397">
        <v>203</v>
      </c>
      <c r="C397" s="1">
        <v>315.04199999999997</v>
      </c>
      <c r="D397" s="1">
        <v>16.947299999999998</v>
      </c>
      <c r="E397" s="1">
        <v>0.97236100000000003</v>
      </c>
      <c r="F397" s="1">
        <v>0.49967800000000001</v>
      </c>
      <c r="O397">
        <f t="shared" si="3"/>
        <v>0.94548591432100004</v>
      </c>
    </row>
    <row r="398" spans="2:15" x14ac:dyDescent="0.25">
      <c r="B398">
        <v>204</v>
      </c>
      <c r="C398" s="1">
        <v>317.17200000000003</v>
      </c>
      <c r="D398" s="1">
        <v>16.961099999999998</v>
      </c>
      <c r="E398" s="1">
        <v>0.96669099999999997</v>
      </c>
      <c r="F398" s="1">
        <v>0.49217899999999998</v>
      </c>
      <c r="O398">
        <f t="shared" si="3"/>
        <v>0.93449148948099992</v>
      </c>
    </row>
    <row r="399" spans="2:15" x14ac:dyDescent="0.25">
      <c r="B399">
        <v>205</v>
      </c>
      <c r="C399" s="1">
        <v>319.30200000000002</v>
      </c>
      <c r="D399" s="1">
        <v>16.974599999999999</v>
      </c>
      <c r="E399" s="1">
        <v>0.96108400000000005</v>
      </c>
      <c r="F399" s="1">
        <v>0.48479899999999998</v>
      </c>
      <c r="O399">
        <f t="shared" si="3"/>
        <v>0.92368245505600011</v>
      </c>
    </row>
    <row r="400" spans="2:15" x14ac:dyDescent="0.25">
      <c r="B400">
        <v>206</v>
      </c>
      <c r="C400" s="1">
        <v>321.43299999999999</v>
      </c>
      <c r="D400" s="1">
        <v>16.9878</v>
      </c>
      <c r="E400" s="1">
        <v>0.95553600000000005</v>
      </c>
      <c r="F400" s="1">
        <v>0.47752600000000001</v>
      </c>
      <c r="O400">
        <f t="shared" si="3"/>
        <v>0.91304904729600012</v>
      </c>
    </row>
    <row r="401" spans="2:15" x14ac:dyDescent="0.25">
      <c r="B401">
        <v>207</v>
      </c>
      <c r="C401" s="1">
        <v>323.56299999999999</v>
      </c>
      <c r="D401" s="1">
        <v>17.000599999999999</v>
      </c>
      <c r="E401" s="1">
        <v>0.95004599999999995</v>
      </c>
      <c r="F401" s="1">
        <v>0.470356</v>
      </c>
      <c r="O401">
        <f t="shared" si="3"/>
        <v>0.90258740211599986</v>
      </c>
    </row>
    <row r="402" spans="2:15" x14ac:dyDescent="0.25">
      <c r="B402">
        <v>208</v>
      </c>
      <c r="C402" s="1">
        <v>325.69400000000002</v>
      </c>
      <c r="D402" s="1">
        <v>17.013100000000001</v>
      </c>
      <c r="E402" s="1">
        <v>0.94462000000000002</v>
      </c>
      <c r="F402" s="1">
        <v>0.46329700000000001</v>
      </c>
      <c r="O402">
        <f t="shared" si="3"/>
        <v>0.89230694440000002</v>
      </c>
    </row>
    <row r="403" spans="2:15" x14ac:dyDescent="0.25">
      <c r="B403">
        <v>209</v>
      </c>
      <c r="C403" s="1">
        <v>327.82600000000002</v>
      </c>
      <c r="D403" s="1">
        <v>17.025300000000001</v>
      </c>
      <c r="E403" s="1">
        <v>0.93926900000000002</v>
      </c>
      <c r="F403" s="1">
        <v>0.45635900000000001</v>
      </c>
      <c r="O403">
        <f t="shared" si="3"/>
        <v>0.882226254361</v>
      </c>
    </row>
    <row r="404" spans="2:15" x14ac:dyDescent="0.25">
      <c r="B404">
        <v>210</v>
      </c>
      <c r="C404" s="1">
        <v>329.95600000000002</v>
      </c>
      <c r="D404" s="1">
        <v>17.037199999999999</v>
      </c>
      <c r="E404" s="1">
        <v>0.93400700000000003</v>
      </c>
      <c r="F404" s="1">
        <v>0.44955699999999998</v>
      </c>
      <c r="O404">
        <f t="shared" si="3"/>
        <v>0.87236907604900005</v>
      </c>
    </row>
    <row r="405" spans="2:15" x14ac:dyDescent="0.25">
      <c r="B405">
        <v>211</v>
      </c>
      <c r="C405" s="1">
        <v>332.08800000000002</v>
      </c>
      <c r="D405" s="1">
        <v>17.0487</v>
      </c>
      <c r="E405" s="1">
        <v>0.92883899999999997</v>
      </c>
      <c r="F405" s="1">
        <v>0.44290400000000002</v>
      </c>
      <c r="O405">
        <f t="shared" si="3"/>
        <v>0.86274188792099993</v>
      </c>
    </row>
    <row r="406" spans="2:15" x14ac:dyDescent="0.25">
      <c r="B406">
        <v>212</v>
      </c>
      <c r="C406" s="1">
        <v>334.21899999999999</v>
      </c>
      <c r="D406" s="1">
        <v>17.059899999999999</v>
      </c>
      <c r="E406" s="1">
        <v>0.92376899999999995</v>
      </c>
      <c r="F406" s="1">
        <v>0.43640699999999999</v>
      </c>
      <c r="O406">
        <f t="shared" si="3"/>
        <v>0.85334916536099992</v>
      </c>
    </row>
    <row r="407" spans="2:15" x14ac:dyDescent="0.25">
      <c r="B407">
        <v>213</v>
      </c>
      <c r="C407" s="1">
        <v>336.35</v>
      </c>
      <c r="D407" s="1">
        <v>17.070799999999998</v>
      </c>
      <c r="E407" s="1">
        <v>0.91879599999999995</v>
      </c>
      <c r="F407" s="1">
        <v>0.43006499999999998</v>
      </c>
      <c r="O407">
        <f t="shared" si="3"/>
        <v>0.84418608961599995</v>
      </c>
    </row>
    <row r="408" spans="2:15" x14ac:dyDescent="0.25">
      <c r="B408">
        <v>214</v>
      </c>
      <c r="C408" s="1">
        <v>338.48200000000003</v>
      </c>
      <c r="D408" s="1">
        <v>17.081299999999999</v>
      </c>
      <c r="E408" s="1">
        <v>0.91392300000000004</v>
      </c>
      <c r="F408" s="1">
        <v>0.423871</v>
      </c>
      <c r="O408">
        <f t="shared" si="3"/>
        <v>0.83525524992900002</v>
      </c>
    </row>
    <row r="409" spans="2:15" x14ac:dyDescent="0.25">
      <c r="B409">
        <v>215</v>
      </c>
      <c r="C409" s="1">
        <v>340.61399999999998</v>
      </c>
      <c r="D409" s="1">
        <v>17.0915</v>
      </c>
      <c r="E409" s="1">
        <v>0.90915500000000005</v>
      </c>
      <c r="F409" s="1">
        <v>0.41781400000000002</v>
      </c>
      <c r="O409">
        <f t="shared" si="3"/>
        <v>0.82656281402500009</v>
      </c>
    </row>
    <row r="410" spans="2:15" x14ac:dyDescent="0.25">
      <c r="B410">
        <v>216</v>
      </c>
      <c r="C410" s="1">
        <v>342.745</v>
      </c>
      <c r="D410" s="1">
        <v>17.101299999999998</v>
      </c>
      <c r="E410" s="1">
        <v>0.90449999999999997</v>
      </c>
      <c r="F410" s="1">
        <v>0.411887</v>
      </c>
      <c r="O410">
        <f t="shared" si="3"/>
        <v>0.81812024999999999</v>
      </c>
    </row>
    <row r="411" spans="2:15" x14ac:dyDescent="0.25">
      <c r="B411">
        <v>217</v>
      </c>
      <c r="C411" s="1">
        <v>344.87799999999999</v>
      </c>
      <c r="D411" s="1">
        <v>17.110700000000001</v>
      </c>
      <c r="E411" s="1">
        <v>0.89996699999999996</v>
      </c>
      <c r="F411" s="1">
        <v>0.40608499999999997</v>
      </c>
      <c r="O411">
        <f t="shared" si="3"/>
        <v>0.8099406010889999</v>
      </c>
    </row>
    <row r="412" spans="2:15" x14ac:dyDescent="0.25">
      <c r="B412">
        <v>218</v>
      </c>
      <c r="C412" s="1">
        <v>347.01</v>
      </c>
      <c r="D412" s="1">
        <v>17.119800000000001</v>
      </c>
      <c r="E412" s="1">
        <v>0.89556899999999995</v>
      </c>
      <c r="F412" s="1">
        <v>0.40040599999999998</v>
      </c>
      <c r="O412">
        <f t="shared" si="3"/>
        <v>0.80204383376099986</v>
      </c>
    </row>
    <row r="413" spans="2:15" x14ac:dyDescent="0.25">
      <c r="B413">
        <v>219</v>
      </c>
      <c r="C413" s="1">
        <v>349.142</v>
      </c>
      <c r="D413" s="1">
        <v>17.128499999999999</v>
      </c>
      <c r="E413" s="1">
        <v>0.89131800000000005</v>
      </c>
      <c r="F413" s="1">
        <v>0.39485100000000001</v>
      </c>
      <c r="O413">
        <f t="shared" si="3"/>
        <v>0.79444777712400005</v>
      </c>
    </row>
    <row r="414" spans="2:15" x14ac:dyDescent="0.25">
      <c r="B414">
        <v>220</v>
      </c>
      <c r="C414" s="1">
        <v>351.274</v>
      </c>
      <c r="D414" s="1">
        <v>17.136800000000001</v>
      </c>
      <c r="E414" s="1">
        <v>0.88722999999999996</v>
      </c>
      <c r="F414" s="1">
        <v>0.38942399999999999</v>
      </c>
      <c r="O414">
        <f t="shared" si="3"/>
        <v>0.78717707289999994</v>
      </c>
    </row>
    <row r="415" spans="2:15" x14ac:dyDescent="0.25">
      <c r="B415">
        <v>221</v>
      </c>
      <c r="C415" s="1">
        <v>353.40600000000001</v>
      </c>
      <c r="D415" s="1">
        <v>17.1447</v>
      </c>
      <c r="E415" s="1">
        <v>0.88331800000000005</v>
      </c>
      <c r="F415" s="1">
        <v>0.384131</v>
      </c>
      <c r="O415">
        <f t="shared" si="3"/>
        <v>0.78025068912400009</v>
      </c>
    </row>
    <row r="416" spans="2:15" x14ac:dyDescent="0.25">
      <c r="B416">
        <v>222</v>
      </c>
      <c r="C416" s="1">
        <v>355.53899999999999</v>
      </c>
      <c r="D416" s="1">
        <v>17.152200000000001</v>
      </c>
      <c r="E416" s="1">
        <v>0.87959500000000002</v>
      </c>
      <c r="F416" s="1">
        <v>0.37898300000000001</v>
      </c>
      <c r="O416">
        <f t="shared" si="3"/>
        <v>0.77368736402500005</v>
      </c>
    </row>
    <row r="417" spans="2:15" x14ac:dyDescent="0.25">
      <c r="B417">
        <v>223</v>
      </c>
      <c r="C417" s="1">
        <v>357.67099999999999</v>
      </c>
      <c r="D417" s="1">
        <v>17.159300000000002</v>
      </c>
      <c r="E417" s="1">
        <v>0.87606600000000001</v>
      </c>
      <c r="F417" s="1">
        <v>0.37399500000000002</v>
      </c>
      <c r="O417">
        <f t="shared" si="3"/>
        <v>0.76749163635600004</v>
      </c>
    </row>
    <row r="418" spans="2:15" x14ac:dyDescent="0.25">
      <c r="B418">
        <v>224</v>
      </c>
      <c r="C418" s="1">
        <v>359.80399999999997</v>
      </c>
      <c r="D418" s="1">
        <v>17.166</v>
      </c>
      <c r="E418" s="1">
        <v>0.87273199999999995</v>
      </c>
      <c r="F418" s="1">
        <v>0.36918400000000001</v>
      </c>
      <c r="O418">
        <f t="shared" si="3"/>
        <v>0.76166114382399996</v>
      </c>
    </row>
    <row r="419" spans="2:15" x14ac:dyDescent="0.25">
      <c r="B419">
        <v>225</v>
      </c>
      <c r="C419" s="1">
        <v>361.93700000000001</v>
      </c>
      <c r="D419" s="1">
        <v>17.1723</v>
      </c>
      <c r="E419" s="1">
        <v>0.86958800000000003</v>
      </c>
      <c r="F419" s="1">
        <v>0.36456499999999997</v>
      </c>
      <c r="O419">
        <f t="shared" si="3"/>
        <v>0.75618328974400006</v>
      </c>
    </row>
    <row r="420" spans="2:15" x14ac:dyDescent="0.25">
      <c r="B420">
        <v>226</v>
      </c>
      <c r="C420" s="1">
        <v>364.06900000000002</v>
      </c>
      <c r="D420" s="1">
        <v>17.1782</v>
      </c>
      <c r="E420" s="1">
        <v>0.86663199999999996</v>
      </c>
      <c r="F420" s="1">
        <v>0.36015599999999998</v>
      </c>
      <c r="O420">
        <f t="shared" si="3"/>
        <v>0.75105102342399988</v>
      </c>
    </row>
    <row r="421" spans="2:15" x14ac:dyDescent="0.25">
      <c r="B421">
        <v>227</v>
      </c>
      <c r="C421" s="1">
        <v>366.202</v>
      </c>
      <c r="D421" s="1">
        <v>17.183700000000002</v>
      </c>
      <c r="E421" s="1">
        <v>0.86385900000000004</v>
      </c>
      <c r="F421" s="1">
        <v>0.35597099999999998</v>
      </c>
      <c r="O421">
        <f t="shared" si="3"/>
        <v>0.74625237188100002</v>
      </c>
    </row>
    <row r="422" spans="2:15" x14ac:dyDescent="0.25">
      <c r="B422">
        <v>228</v>
      </c>
      <c r="C422" s="1">
        <v>368.33499999999998</v>
      </c>
      <c r="D422" s="1">
        <v>17.188800000000001</v>
      </c>
      <c r="E422" s="1">
        <v>0.86126899999999995</v>
      </c>
      <c r="F422" s="1">
        <v>0.352024</v>
      </c>
      <c r="O422">
        <f t="shared" si="3"/>
        <v>0.74178429036099991</v>
      </c>
    </row>
    <row r="423" spans="2:15" x14ac:dyDescent="0.25">
      <c r="B423">
        <v>229</v>
      </c>
      <c r="C423" s="1">
        <v>370.46800000000002</v>
      </c>
      <c r="D423" s="1">
        <v>17.1936</v>
      </c>
      <c r="E423" s="1">
        <v>0.85886200000000001</v>
      </c>
      <c r="F423" s="1">
        <v>0.34832999999999997</v>
      </c>
      <c r="O423">
        <f t="shared" si="3"/>
        <v>0.73764393504400005</v>
      </c>
    </row>
    <row r="424" spans="2:15" x14ac:dyDescent="0.25">
      <c r="B424">
        <v>230</v>
      </c>
      <c r="C424" s="1">
        <v>372.601</v>
      </c>
      <c r="D424" s="1">
        <v>17.198</v>
      </c>
      <c r="E424" s="1">
        <v>0.85664099999999999</v>
      </c>
      <c r="F424" s="1">
        <v>0.34490399999999999</v>
      </c>
      <c r="O424">
        <f t="shared" si="3"/>
        <v>0.73383380288099997</v>
      </c>
    </row>
    <row r="425" spans="2:15" x14ac:dyDescent="0.25">
      <c r="B425">
        <v>231</v>
      </c>
      <c r="C425" s="1">
        <v>374.73399999999998</v>
      </c>
      <c r="D425" s="1">
        <v>17.202000000000002</v>
      </c>
      <c r="E425" s="1">
        <v>0.85460599999999998</v>
      </c>
      <c r="F425" s="1">
        <v>0.34176200000000001</v>
      </c>
      <c r="O425">
        <f t="shared" si="3"/>
        <v>0.730351415236</v>
      </c>
    </row>
    <row r="426" spans="2:15" x14ac:dyDescent="0.25">
      <c r="B426">
        <v>232</v>
      </c>
      <c r="C426" s="1">
        <v>376.86700000000002</v>
      </c>
      <c r="D426" s="1">
        <v>17.2056</v>
      </c>
      <c r="E426" s="1">
        <v>0.85275999999999996</v>
      </c>
      <c r="F426" s="1">
        <v>0.33891700000000002</v>
      </c>
      <c r="O426">
        <f t="shared" si="3"/>
        <v>0.72719961759999996</v>
      </c>
    </row>
    <row r="427" spans="2:15" x14ac:dyDescent="0.25">
      <c r="B427">
        <v>233</v>
      </c>
      <c r="C427" s="1">
        <v>379</v>
      </c>
      <c r="D427" s="1">
        <v>17.2089</v>
      </c>
      <c r="E427" s="1">
        <v>0.85110200000000003</v>
      </c>
      <c r="F427" s="1">
        <v>0.33637699999999998</v>
      </c>
      <c r="O427">
        <f t="shared" si="3"/>
        <v>0.72437461440400008</v>
      </c>
    </row>
    <row r="428" spans="2:15" x14ac:dyDescent="0.25">
      <c r="B428">
        <v>234</v>
      </c>
      <c r="C428" s="1">
        <v>381.13400000000001</v>
      </c>
      <c r="D428" s="1">
        <v>17.2118</v>
      </c>
      <c r="E428" s="1">
        <v>0.84963200000000005</v>
      </c>
      <c r="F428" s="1">
        <v>0.33414500000000003</v>
      </c>
      <c r="O428">
        <f t="shared" si="3"/>
        <v>0.72187453542400004</v>
      </c>
    </row>
    <row r="429" spans="2:15" x14ac:dyDescent="0.25">
      <c r="B429">
        <v>235</v>
      </c>
      <c r="C429" s="1">
        <v>383.267</v>
      </c>
      <c r="D429" s="1">
        <v>17.214300000000001</v>
      </c>
      <c r="E429" s="1">
        <v>0.84835000000000005</v>
      </c>
      <c r="F429" s="1">
        <v>0.33222000000000002</v>
      </c>
      <c r="O429">
        <f t="shared" si="3"/>
        <v>0.71969772250000008</v>
      </c>
    </row>
    <row r="430" spans="2:15" x14ac:dyDescent="0.25">
      <c r="B430">
        <v>236</v>
      </c>
      <c r="C430" s="1">
        <v>385.4</v>
      </c>
      <c r="D430" s="1">
        <v>17.2164</v>
      </c>
      <c r="E430" s="1">
        <v>0.84726100000000004</v>
      </c>
      <c r="F430" s="1">
        <v>0.33060299999999998</v>
      </c>
      <c r="O430">
        <f t="shared" si="3"/>
        <v>0.71785120212100006</v>
      </c>
    </row>
    <row r="431" spans="2:15" x14ac:dyDescent="0.25">
      <c r="B431">
        <v>237</v>
      </c>
      <c r="C431" s="1">
        <v>387.53399999999999</v>
      </c>
      <c r="D431" s="1">
        <v>17.2181</v>
      </c>
      <c r="E431" s="1">
        <v>0.84637200000000001</v>
      </c>
      <c r="F431" s="1">
        <v>0.32929599999999998</v>
      </c>
      <c r="O431">
        <f t="shared" si="3"/>
        <v>0.71634556238400005</v>
      </c>
    </row>
    <row r="432" spans="2:15" x14ac:dyDescent="0.25">
      <c r="B432">
        <v>238</v>
      </c>
      <c r="C432" s="1">
        <v>389.66699999999997</v>
      </c>
      <c r="D432" s="1">
        <v>17.2194</v>
      </c>
      <c r="E432" s="1">
        <v>0.84569300000000003</v>
      </c>
      <c r="F432" s="1">
        <v>0.32830599999999999</v>
      </c>
      <c r="O432">
        <f t="shared" si="3"/>
        <v>0.71519665024900003</v>
      </c>
    </row>
    <row r="433" spans="2:15" x14ac:dyDescent="0.25">
      <c r="B433">
        <v>239</v>
      </c>
      <c r="C433" s="1">
        <v>391.8</v>
      </c>
      <c r="D433" s="1">
        <v>17.220300000000002</v>
      </c>
      <c r="E433" s="1">
        <v>0.84523599999999999</v>
      </c>
      <c r="F433" s="1">
        <v>0.32764100000000002</v>
      </c>
      <c r="O433">
        <f t="shared" si="3"/>
        <v>0.71442389569599996</v>
      </c>
    </row>
    <row r="434" spans="2:15" x14ac:dyDescent="0.25">
      <c r="B434">
        <v>240</v>
      </c>
      <c r="C434" s="1">
        <v>393.93299999999999</v>
      </c>
      <c r="D434" s="1">
        <v>17.220800000000001</v>
      </c>
      <c r="E434" s="1">
        <v>0.84500600000000003</v>
      </c>
      <c r="F434" s="1">
        <v>0.32730700000000001</v>
      </c>
      <c r="O434">
        <f t="shared" si="3"/>
        <v>0.7140351400360001</v>
      </c>
    </row>
    <row r="436" spans="2:15" x14ac:dyDescent="0.25">
      <c r="B436" t="s">
        <v>369</v>
      </c>
      <c r="C436" t="s">
        <v>370</v>
      </c>
      <c r="D436" t="s">
        <v>450</v>
      </c>
    </row>
    <row r="437" spans="2:15" x14ac:dyDescent="0.25">
      <c r="B437">
        <v>1</v>
      </c>
      <c r="C437" s="1">
        <v>0.22119800000000001</v>
      </c>
      <c r="D437" s="1">
        <v>7.32593E-6</v>
      </c>
    </row>
    <row r="438" spans="2:15" x14ac:dyDescent="0.25">
      <c r="B438">
        <v>2</v>
      </c>
      <c r="C438" s="1">
        <v>0.44998500000000002</v>
      </c>
      <c r="D438" s="1">
        <v>6.2880700000000003E-5</v>
      </c>
    </row>
    <row r="439" spans="2:15" x14ac:dyDescent="0.25">
      <c r="B439">
        <v>3</v>
      </c>
      <c r="C439" s="1">
        <v>0.68679900000000005</v>
      </c>
      <c r="D439" s="1">
        <v>2.2679899999999999E-4</v>
      </c>
    </row>
    <row r="440" spans="2:15" x14ac:dyDescent="0.25">
      <c r="B440">
        <v>4</v>
      </c>
      <c r="C440" s="1">
        <v>0.93208199999999997</v>
      </c>
      <c r="D440" s="1">
        <v>5.7411699999999997E-4</v>
      </c>
    </row>
    <row r="441" spans="2:15" x14ac:dyDescent="0.25">
      <c r="B441">
        <v>5</v>
      </c>
      <c r="C441" s="1">
        <v>1.18628</v>
      </c>
      <c r="D441" s="1">
        <v>1.1967799999999999E-3</v>
      </c>
    </row>
    <row r="442" spans="2:15" x14ac:dyDescent="0.25">
      <c r="B442">
        <v>6</v>
      </c>
      <c r="C442" s="1">
        <v>1.4498200000000001</v>
      </c>
      <c r="D442" s="1">
        <v>2.2051100000000001E-3</v>
      </c>
    </row>
    <row r="443" spans="2:15" x14ac:dyDescent="0.25">
      <c r="B443">
        <v>7</v>
      </c>
      <c r="C443" s="1">
        <v>1.72316</v>
      </c>
      <c r="D443" s="1">
        <v>3.7283400000000001E-3</v>
      </c>
    </row>
    <row r="444" spans="2:15" x14ac:dyDescent="0.25">
      <c r="B444">
        <v>8</v>
      </c>
      <c r="C444" s="1">
        <v>2.0067499999999998</v>
      </c>
      <c r="D444" s="1">
        <v>5.9142099999999996E-3</v>
      </c>
    </row>
    <row r="445" spans="2:15" x14ac:dyDescent="0.25">
      <c r="B445">
        <v>9</v>
      </c>
      <c r="C445" s="1">
        <v>2.3010199999999998</v>
      </c>
      <c r="D445" s="1">
        <v>8.9270800000000004E-3</v>
      </c>
    </row>
    <row r="446" spans="2:15" x14ac:dyDescent="0.25">
      <c r="B446">
        <v>10</v>
      </c>
      <c r="C446" s="1">
        <v>2.6063999999999998</v>
      </c>
      <c r="D446" s="1">
        <v>1.29447E-2</v>
      </c>
    </row>
    <row r="447" spans="2:15" x14ac:dyDescent="0.25">
      <c r="B447">
        <v>11</v>
      </c>
      <c r="C447" s="1">
        <v>2.92334</v>
      </c>
      <c r="D447" s="1">
        <v>1.8153300000000001E-2</v>
      </c>
    </row>
    <row r="448" spans="2:15" x14ac:dyDescent="0.25">
      <c r="B448">
        <v>12</v>
      </c>
      <c r="C448" s="1">
        <v>3.2522700000000002</v>
      </c>
      <c r="D448" s="1">
        <v>2.4741599999999999E-2</v>
      </c>
    </row>
    <row r="449" spans="2:4" x14ac:dyDescent="0.25">
      <c r="B449">
        <v>13</v>
      </c>
      <c r="C449" s="1">
        <v>3.5936300000000001</v>
      </c>
      <c r="D449" s="1">
        <v>3.28928E-2</v>
      </c>
    </row>
    <row r="450" spans="2:4" x14ac:dyDescent="0.25">
      <c r="B450">
        <v>14</v>
      </c>
      <c r="C450" s="1">
        <v>3.9478300000000002</v>
      </c>
      <c r="D450" s="1">
        <v>4.2776799999999997E-2</v>
      </c>
    </row>
    <row r="451" spans="2:4" x14ac:dyDescent="0.25">
      <c r="B451">
        <v>15</v>
      </c>
      <c r="C451" s="1">
        <v>4.3152999999999997</v>
      </c>
      <c r="D451" s="1">
        <v>5.4541300000000001E-2</v>
      </c>
    </row>
    <row r="452" spans="2:4" x14ac:dyDescent="0.25">
      <c r="B452">
        <v>16</v>
      </c>
      <c r="C452" s="1">
        <v>4.6964399999999999</v>
      </c>
      <c r="D452" s="1">
        <v>6.83034E-2</v>
      </c>
    </row>
    <row r="453" spans="2:4" x14ac:dyDescent="0.25">
      <c r="B453">
        <v>17</v>
      </c>
      <c r="C453" s="1">
        <v>5.0916699999999997</v>
      </c>
      <c r="D453" s="1">
        <v>8.4141999999999995E-2</v>
      </c>
    </row>
    <row r="454" spans="2:4" x14ac:dyDescent="0.25">
      <c r="B454">
        <v>18</v>
      </c>
      <c r="C454" s="1">
        <v>5.5013899999999998</v>
      </c>
      <c r="D454" s="1">
        <v>0.102092</v>
      </c>
    </row>
    <row r="455" spans="2:4" x14ac:dyDescent="0.25">
      <c r="B455">
        <v>19</v>
      </c>
      <c r="C455" s="1">
        <v>5.9259899999999996</v>
      </c>
      <c r="D455" s="1">
        <v>0.122138</v>
      </c>
    </row>
    <row r="456" spans="2:4" x14ac:dyDescent="0.25">
      <c r="B456">
        <v>20</v>
      </c>
      <c r="C456" s="1">
        <v>6.3658599999999996</v>
      </c>
      <c r="D456" s="1">
        <v>0.14421700000000001</v>
      </c>
    </row>
    <row r="457" spans="2:4" x14ac:dyDescent="0.25">
      <c r="B457">
        <v>21</v>
      </c>
      <c r="C457" s="1">
        <v>6.8213600000000003</v>
      </c>
      <c r="D457" s="1">
        <v>0.168214</v>
      </c>
    </row>
    <row r="458" spans="2:4" x14ac:dyDescent="0.25">
      <c r="B458">
        <v>22</v>
      </c>
      <c r="C458" s="1">
        <v>7.2928800000000003</v>
      </c>
      <c r="D458" s="1">
        <v>0.193967</v>
      </c>
    </row>
    <row r="459" spans="2:4" x14ac:dyDescent="0.25">
      <c r="B459">
        <v>23</v>
      </c>
      <c r="C459" s="1">
        <v>7.7807500000000003</v>
      </c>
      <c r="D459" s="1">
        <v>0.221272</v>
      </c>
    </row>
    <row r="460" spans="2:4" x14ac:dyDescent="0.25">
      <c r="B460">
        <v>24</v>
      </c>
      <c r="C460" s="1">
        <v>8.2853600000000007</v>
      </c>
      <c r="D460" s="1">
        <v>0.249891</v>
      </c>
    </row>
    <row r="461" spans="2:4" x14ac:dyDescent="0.25">
      <c r="B461">
        <v>25</v>
      </c>
      <c r="C461" s="1">
        <v>8.8070000000000004</v>
      </c>
      <c r="D461" s="1">
        <v>0.279561</v>
      </c>
    </row>
    <row r="462" spans="2:4" x14ac:dyDescent="0.25">
      <c r="B462">
        <v>26</v>
      </c>
      <c r="C462" s="1">
        <v>9.3459400000000006</v>
      </c>
      <c r="D462" s="1">
        <v>0.309998</v>
      </c>
    </row>
    <row r="463" spans="2:4" x14ac:dyDescent="0.25">
      <c r="B463">
        <v>27</v>
      </c>
      <c r="C463" s="1">
        <v>9.9026499999999995</v>
      </c>
      <c r="D463" s="1">
        <v>0.340916</v>
      </c>
    </row>
    <row r="464" spans="2:4" x14ac:dyDescent="0.25">
      <c r="B464">
        <v>28</v>
      </c>
      <c r="C464" s="1">
        <v>10.4773</v>
      </c>
      <c r="D464" s="1">
        <v>0.37202800000000003</v>
      </c>
    </row>
    <row r="465" spans="2:4" x14ac:dyDescent="0.25">
      <c r="B465">
        <v>29</v>
      </c>
      <c r="C465" s="1">
        <v>11.0702</v>
      </c>
      <c r="D465" s="1">
        <v>0.40305800000000003</v>
      </c>
    </row>
    <row r="466" spans="2:4" x14ac:dyDescent="0.25">
      <c r="B466">
        <v>30</v>
      </c>
      <c r="C466" s="1">
        <v>11.681699999999999</v>
      </c>
      <c r="D466" s="1">
        <v>0.43374699999999999</v>
      </c>
    </row>
    <row r="467" spans="2:4" x14ac:dyDescent="0.25">
      <c r="B467">
        <v>31</v>
      </c>
      <c r="C467" s="1">
        <v>12.311999999999999</v>
      </c>
      <c r="D467" s="1">
        <v>0.46385999999999999</v>
      </c>
    </row>
    <row r="468" spans="2:4" x14ac:dyDescent="0.25">
      <c r="B468">
        <v>32</v>
      </c>
      <c r="C468" s="1">
        <v>12.961399999999999</v>
      </c>
      <c r="D468" s="1">
        <v>0.49318699999999999</v>
      </c>
    </row>
    <row r="469" spans="2:4" x14ac:dyDescent="0.25">
      <c r="B469">
        <v>33</v>
      </c>
      <c r="C469" s="1">
        <v>13.629899999999999</v>
      </c>
      <c r="D469" s="1">
        <v>0.52154999999999996</v>
      </c>
    </row>
    <row r="470" spans="2:4" x14ac:dyDescent="0.25">
      <c r="B470">
        <v>34</v>
      </c>
      <c r="C470" s="1">
        <v>14.318099999999999</v>
      </c>
      <c r="D470" s="1">
        <v>0.54879999999999995</v>
      </c>
    </row>
    <row r="471" spans="2:4" x14ac:dyDescent="0.25">
      <c r="B471">
        <v>35</v>
      </c>
      <c r="C471" s="1">
        <v>15.026</v>
      </c>
      <c r="D471" s="1">
        <v>0.57481800000000005</v>
      </c>
    </row>
    <row r="472" spans="2:4" x14ac:dyDescent="0.25">
      <c r="B472">
        <v>36</v>
      </c>
      <c r="C472" s="1">
        <v>15.7538</v>
      </c>
      <c r="D472" s="1">
        <v>0.599518</v>
      </c>
    </row>
    <row r="473" spans="2:4" x14ac:dyDescent="0.25">
      <c r="B473">
        <v>37</v>
      </c>
      <c r="C473" s="1">
        <v>16.5017</v>
      </c>
      <c r="D473" s="1">
        <v>0.62283900000000003</v>
      </c>
    </row>
    <row r="474" spans="2:4" x14ac:dyDescent="0.25">
      <c r="B474">
        <v>38</v>
      </c>
      <c r="C474" s="1">
        <v>17.2699</v>
      </c>
      <c r="D474" s="1">
        <v>0.64474699999999996</v>
      </c>
    </row>
    <row r="475" spans="2:4" x14ac:dyDescent="0.25">
      <c r="B475">
        <v>39</v>
      </c>
      <c r="C475" s="1">
        <v>18.058499999999999</v>
      </c>
      <c r="D475" s="1">
        <v>0.66522999999999999</v>
      </c>
    </row>
    <row r="476" spans="2:4" x14ac:dyDescent="0.25">
      <c r="B476">
        <v>40</v>
      </c>
      <c r="C476" s="1">
        <v>18.867599999999999</v>
      </c>
      <c r="D476" s="1">
        <v>0.68429799999999996</v>
      </c>
    </row>
    <row r="477" spans="2:4" x14ac:dyDescent="0.25">
      <c r="B477">
        <v>41</v>
      </c>
      <c r="C477" s="1">
        <v>19.697399999999998</v>
      </c>
      <c r="D477" s="1">
        <v>0.70197500000000002</v>
      </c>
    </row>
    <row r="478" spans="2:4" x14ac:dyDescent="0.25">
      <c r="B478">
        <v>42</v>
      </c>
      <c r="C478" s="1">
        <v>20.547999999999998</v>
      </c>
      <c r="D478" s="1">
        <v>0.71829699999999996</v>
      </c>
    </row>
    <row r="479" spans="2:4" x14ac:dyDescent="0.25">
      <c r="B479">
        <v>43</v>
      </c>
      <c r="C479" s="1">
        <v>21.4194</v>
      </c>
      <c r="D479" s="1">
        <v>0.73331100000000005</v>
      </c>
    </row>
    <row r="480" spans="2:4" x14ac:dyDescent="0.25">
      <c r="B480">
        <v>44</v>
      </c>
      <c r="C480" s="1">
        <v>22.311800000000002</v>
      </c>
      <c r="D480" s="1">
        <v>0.74707299999999999</v>
      </c>
    </row>
    <row r="481" spans="2:4" x14ac:dyDescent="0.25">
      <c r="B481">
        <v>45</v>
      </c>
      <c r="C481" s="1">
        <v>23.225300000000001</v>
      </c>
      <c r="D481" s="1">
        <v>0.75964200000000004</v>
      </c>
    </row>
    <row r="482" spans="2:4" x14ac:dyDescent="0.25">
      <c r="B482">
        <v>46</v>
      </c>
      <c r="C482" s="1">
        <v>24.159800000000001</v>
      </c>
      <c r="D482" s="1">
        <v>0.77108200000000005</v>
      </c>
    </row>
    <row r="483" spans="2:4" x14ac:dyDescent="0.25">
      <c r="B483">
        <v>47</v>
      </c>
      <c r="C483" s="1">
        <v>25.115400000000001</v>
      </c>
      <c r="D483" s="1">
        <v>0.78145699999999996</v>
      </c>
    </row>
    <row r="484" spans="2:4" x14ac:dyDescent="0.25">
      <c r="B484">
        <v>48</v>
      </c>
      <c r="C484" s="1">
        <v>26.092199999999998</v>
      </c>
      <c r="D484" s="1">
        <v>0.79083400000000004</v>
      </c>
    </row>
    <row r="485" spans="2:4" x14ac:dyDescent="0.25">
      <c r="B485">
        <v>49</v>
      </c>
      <c r="C485" s="1">
        <v>27.09</v>
      </c>
      <c r="D485" s="1">
        <v>0.79927400000000004</v>
      </c>
    </row>
    <row r="486" spans="2:4" x14ac:dyDescent="0.25">
      <c r="B486">
        <v>50</v>
      </c>
      <c r="C486" s="1">
        <v>28.109100000000002</v>
      </c>
      <c r="D486" s="1">
        <v>0.80684</v>
      </c>
    </row>
    <row r="487" spans="2:4" x14ac:dyDescent="0.25">
      <c r="B487">
        <v>51</v>
      </c>
      <c r="C487" s="1">
        <v>29.1493</v>
      </c>
      <c r="D487" s="1">
        <v>0.81359300000000001</v>
      </c>
    </row>
    <row r="488" spans="2:4" x14ac:dyDescent="0.25">
      <c r="B488">
        <v>52</v>
      </c>
      <c r="C488" s="1">
        <v>30.2105</v>
      </c>
      <c r="D488" s="1">
        <v>0.81959000000000004</v>
      </c>
    </row>
    <row r="489" spans="2:4" x14ac:dyDescent="0.25">
      <c r="B489">
        <v>53</v>
      </c>
      <c r="C489" s="1">
        <v>31.2927</v>
      </c>
      <c r="D489" s="1">
        <v>0.82488399999999995</v>
      </c>
    </row>
    <row r="490" spans="2:4" x14ac:dyDescent="0.25">
      <c r="B490">
        <v>54</v>
      </c>
      <c r="C490" s="1">
        <v>32.395899999999997</v>
      </c>
      <c r="D490" s="1">
        <v>0.82952300000000001</v>
      </c>
    </row>
    <row r="491" spans="2:4" x14ac:dyDescent="0.25">
      <c r="B491">
        <v>55</v>
      </c>
      <c r="C491" s="1">
        <v>33.520099999999999</v>
      </c>
      <c r="D491" s="1">
        <v>0.83355199999999996</v>
      </c>
    </row>
    <row r="492" spans="2:4" x14ac:dyDescent="0.25">
      <c r="B492">
        <v>56</v>
      </c>
      <c r="C492" s="1">
        <v>34.664999999999999</v>
      </c>
      <c r="D492" s="1">
        <v>0.83701199999999998</v>
      </c>
    </row>
    <row r="493" spans="2:4" x14ac:dyDescent="0.25">
      <c r="B493">
        <v>57</v>
      </c>
      <c r="C493" s="1">
        <v>35.830800000000004</v>
      </c>
      <c r="D493" s="1">
        <v>0.83994599999999997</v>
      </c>
    </row>
    <row r="494" spans="2:4" x14ac:dyDescent="0.25">
      <c r="B494">
        <v>58</v>
      </c>
      <c r="C494" s="1">
        <v>37.017000000000003</v>
      </c>
      <c r="D494" s="1">
        <v>0.84239200000000003</v>
      </c>
    </row>
    <row r="495" spans="2:4" x14ac:dyDescent="0.25">
      <c r="B495">
        <v>59</v>
      </c>
      <c r="C495" s="1">
        <v>38.223799999999997</v>
      </c>
      <c r="D495" s="1">
        <v>0.84439399999999998</v>
      </c>
    </row>
    <row r="496" spans="2:4" x14ac:dyDescent="0.25">
      <c r="B496">
        <v>60</v>
      </c>
      <c r="C496" s="1">
        <v>39.451000000000001</v>
      </c>
      <c r="D496" s="1">
        <v>0.84599100000000005</v>
      </c>
    </row>
    <row r="497" spans="2:4" x14ac:dyDescent="0.25">
      <c r="B497">
        <v>61</v>
      </c>
      <c r="C497" s="1">
        <v>40.698399999999999</v>
      </c>
      <c r="D497" s="1">
        <v>0.84721800000000003</v>
      </c>
    </row>
    <row r="498" spans="2:4" x14ac:dyDescent="0.25">
      <c r="B498">
        <v>62</v>
      </c>
      <c r="C498" s="1">
        <v>41.966000000000001</v>
      </c>
      <c r="D498" s="1">
        <v>0.84810700000000006</v>
      </c>
    </row>
    <row r="499" spans="2:4" x14ac:dyDescent="0.25">
      <c r="B499">
        <v>63</v>
      </c>
      <c r="C499" s="1">
        <v>43.253399999999999</v>
      </c>
      <c r="D499" s="1">
        <v>0.84868399999999999</v>
      </c>
    </row>
    <row r="500" spans="2:4" x14ac:dyDescent="0.25">
      <c r="B500">
        <v>64</v>
      </c>
      <c r="C500" s="1">
        <v>44.560600000000001</v>
      </c>
      <c r="D500" s="1">
        <v>0.84897199999999995</v>
      </c>
    </row>
    <row r="501" spans="2:4" x14ac:dyDescent="0.25">
      <c r="B501">
        <v>65</v>
      </c>
      <c r="C501" s="1">
        <v>45.887300000000003</v>
      </c>
      <c r="D501" s="1">
        <v>0.848993</v>
      </c>
    </row>
    <row r="502" spans="2:4" x14ac:dyDescent="0.25">
      <c r="B502">
        <v>66</v>
      </c>
      <c r="C502" s="1">
        <v>47.233400000000003</v>
      </c>
      <c r="D502" s="1">
        <v>0.84876700000000005</v>
      </c>
    </row>
    <row r="503" spans="2:4" x14ac:dyDescent="0.25">
      <c r="B503">
        <v>67</v>
      </c>
      <c r="C503" s="1">
        <v>48.598700000000001</v>
      </c>
      <c r="D503" s="1">
        <v>0.84831699999999999</v>
      </c>
    </row>
    <row r="504" spans="2:4" x14ac:dyDescent="0.25">
      <c r="B504">
        <v>68</v>
      </c>
      <c r="C504" s="1">
        <v>49.982999999999997</v>
      </c>
      <c r="D504" s="1">
        <v>0.84765900000000005</v>
      </c>
    </row>
    <row r="505" spans="2:4" x14ac:dyDescent="0.25">
      <c r="B505">
        <v>69</v>
      </c>
      <c r="C505" s="1">
        <v>51.386000000000003</v>
      </c>
      <c r="D505" s="1">
        <v>0.84681200000000001</v>
      </c>
    </row>
    <row r="506" spans="2:4" x14ac:dyDescent="0.25">
      <c r="B506">
        <v>70</v>
      </c>
      <c r="C506" s="1">
        <v>52.807600000000001</v>
      </c>
      <c r="D506" s="1">
        <v>0.84578900000000001</v>
      </c>
    </row>
    <row r="507" spans="2:4" x14ac:dyDescent="0.25">
      <c r="B507">
        <v>71</v>
      </c>
      <c r="C507" s="1">
        <v>54.247599999999998</v>
      </c>
      <c r="D507" s="1">
        <v>0.84460199999999996</v>
      </c>
    </row>
    <row r="508" spans="2:4" x14ac:dyDescent="0.25">
      <c r="B508">
        <v>72</v>
      </c>
      <c r="C508" s="1">
        <v>55.705500000000001</v>
      </c>
      <c r="D508" s="1">
        <v>0.84326100000000004</v>
      </c>
    </row>
    <row r="509" spans="2:4" x14ac:dyDescent="0.25">
      <c r="B509">
        <v>73</v>
      </c>
      <c r="C509" s="1">
        <v>57.1813</v>
      </c>
      <c r="D509" s="1">
        <v>0.841777</v>
      </c>
    </row>
    <row r="510" spans="2:4" x14ac:dyDescent="0.25">
      <c r="B510">
        <v>74</v>
      </c>
      <c r="C510" s="1">
        <v>58.674799999999998</v>
      </c>
      <c r="D510" s="1">
        <v>0.84016199999999996</v>
      </c>
    </row>
    <row r="511" spans="2:4" x14ac:dyDescent="0.25">
      <c r="B511">
        <v>75</v>
      </c>
      <c r="C511" s="1">
        <v>60.185499999999998</v>
      </c>
      <c r="D511" s="1">
        <v>0.83842399999999995</v>
      </c>
    </row>
    <row r="512" spans="2:4" x14ac:dyDescent="0.25">
      <c r="B512">
        <v>76</v>
      </c>
      <c r="C512" s="1">
        <v>61.7134</v>
      </c>
      <c r="D512" s="1">
        <v>0.836565</v>
      </c>
    </row>
    <row r="513" spans="2:4" x14ac:dyDescent="0.25">
      <c r="B513">
        <v>77</v>
      </c>
      <c r="C513" s="1">
        <v>63.258099999999999</v>
      </c>
      <c r="D513" s="1">
        <v>0.83458399999999999</v>
      </c>
    </row>
    <row r="514" spans="2:4" x14ac:dyDescent="0.25">
      <c r="B514">
        <v>78</v>
      </c>
      <c r="C514" s="1">
        <v>64.819299999999998</v>
      </c>
      <c r="D514" s="1">
        <v>0.83247700000000002</v>
      </c>
    </row>
    <row r="515" spans="2:4" x14ac:dyDescent="0.25">
      <c r="B515">
        <v>79</v>
      </c>
      <c r="C515" s="1">
        <v>66.396799999999999</v>
      </c>
      <c r="D515" s="1">
        <v>0.83024299999999995</v>
      </c>
    </row>
    <row r="516" spans="2:4" x14ac:dyDescent="0.25">
      <c r="B516">
        <v>80</v>
      </c>
      <c r="C516" s="1">
        <v>67.990399999999994</v>
      </c>
      <c r="D516" s="1">
        <v>0.82788300000000004</v>
      </c>
    </row>
    <row r="517" spans="2:4" x14ac:dyDescent="0.25">
      <c r="B517">
        <v>81</v>
      </c>
      <c r="C517" s="1">
        <v>69.599599999999995</v>
      </c>
      <c r="D517" s="1">
        <v>0.82540199999999997</v>
      </c>
    </row>
    <row r="518" spans="2:4" x14ac:dyDescent="0.25">
      <c r="B518">
        <v>82</v>
      </c>
      <c r="C518" s="1">
        <v>71.224400000000003</v>
      </c>
      <c r="D518" s="1">
        <v>0.82280699999999996</v>
      </c>
    </row>
    <row r="519" spans="2:4" x14ac:dyDescent="0.25">
      <c r="B519">
        <v>83</v>
      </c>
      <c r="C519" s="1">
        <v>72.8643</v>
      </c>
      <c r="D519" s="1">
        <v>0.820106</v>
      </c>
    </row>
    <row r="520" spans="2:4" x14ac:dyDescent="0.25">
      <c r="B520">
        <v>84</v>
      </c>
      <c r="C520" s="1">
        <v>74.519099999999995</v>
      </c>
      <c r="D520" s="1">
        <v>0.81730599999999998</v>
      </c>
    </row>
    <row r="521" spans="2:4" x14ac:dyDescent="0.25">
      <c r="B521">
        <v>85</v>
      </c>
      <c r="C521" s="1">
        <v>76.188500000000005</v>
      </c>
      <c r="D521" s="1">
        <v>0.81441200000000002</v>
      </c>
    </row>
    <row r="522" spans="2:4" x14ac:dyDescent="0.25">
      <c r="B522">
        <v>86</v>
      </c>
      <c r="C522" s="1">
        <v>77.872399999999999</v>
      </c>
      <c r="D522" s="1">
        <v>0.81142999999999998</v>
      </c>
    </row>
    <row r="523" spans="2:4" x14ac:dyDescent="0.25">
      <c r="B523">
        <v>87</v>
      </c>
      <c r="C523" s="1">
        <v>79.570400000000006</v>
      </c>
      <c r="D523" s="1">
        <v>0.80836300000000005</v>
      </c>
    </row>
    <row r="524" spans="2:4" x14ac:dyDescent="0.25">
      <c r="B524">
        <v>88</v>
      </c>
      <c r="C524" s="1">
        <v>81.281499999999994</v>
      </c>
      <c r="D524" s="1">
        <v>0.80521799999999999</v>
      </c>
    </row>
    <row r="525" spans="2:4" x14ac:dyDescent="0.25">
      <c r="B525">
        <v>89</v>
      </c>
      <c r="C525" s="1">
        <v>83.006900000000002</v>
      </c>
      <c r="D525" s="1">
        <v>0.80199799999999999</v>
      </c>
    </row>
    <row r="526" spans="2:4" x14ac:dyDescent="0.25">
      <c r="B526">
        <v>90</v>
      </c>
      <c r="C526" s="1">
        <v>84.744900000000001</v>
      </c>
      <c r="D526" s="1">
        <v>0.79870699999999994</v>
      </c>
    </row>
    <row r="527" spans="2:4" x14ac:dyDescent="0.25">
      <c r="B527">
        <v>91</v>
      </c>
      <c r="C527" s="1">
        <v>86.495500000000007</v>
      </c>
      <c r="D527" s="1">
        <v>0.795346</v>
      </c>
    </row>
    <row r="528" spans="2:4" x14ac:dyDescent="0.25">
      <c r="B528">
        <v>92</v>
      </c>
      <c r="C528" s="1">
        <v>88.259600000000006</v>
      </c>
      <c r="D528" s="1">
        <v>0.79191400000000001</v>
      </c>
    </row>
    <row r="529" spans="2:4" x14ac:dyDescent="0.25">
      <c r="B529">
        <v>93</v>
      </c>
      <c r="C529" s="1">
        <v>90.035499999999999</v>
      </c>
      <c r="D529" s="1">
        <v>0.78840299999999996</v>
      </c>
    </row>
    <row r="530" spans="2:4" x14ac:dyDescent="0.25">
      <c r="B530">
        <v>94</v>
      </c>
      <c r="C530" s="1">
        <v>91.823300000000003</v>
      </c>
      <c r="D530" s="1">
        <v>0.78480799999999995</v>
      </c>
    </row>
    <row r="531" spans="2:4" x14ac:dyDescent="0.25">
      <c r="B531">
        <v>95</v>
      </c>
      <c r="C531" s="1">
        <v>93.622900000000001</v>
      </c>
      <c r="D531" s="1">
        <v>0.78112599999999999</v>
      </c>
    </row>
    <row r="532" spans="2:4" x14ac:dyDescent="0.25">
      <c r="B532">
        <v>96</v>
      </c>
      <c r="C532" s="1">
        <v>95.434399999999997</v>
      </c>
      <c r="D532" s="1">
        <v>0.77736300000000003</v>
      </c>
    </row>
    <row r="533" spans="2:4" x14ac:dyDescent="0.25">
      <c r="B533">
        <v>97</v>
      </c>
      <c r="C533" s="1">
        <v>97.256900000000002</v>
      </c>
      <c r="D533" s="1">
        <v>0.77352900000000002</v>
      </c>
    </row>
    <row r="534" spans="2:4" x14ac:dyDescent="0.25">
      <c r="B534">
        <v>98</v>
      </c>
      <c r="C534" s="1">
        <v>99.089699999999993</v>
      </c>
      <c r="D534" s="1">
        <v>0.76963400000000004</v>
      </c>
    </row>
    <row r="535" spans="2:4" x14ac:dyDescent="0.25">
      <c r="B535">
        <v>99</v>
      </c>
      <c r="C535" s="1">
        <v>100.934</v>
      </c>
      <c r="D535" s="1">
        <v>0.76568499999999995</v>
      </c>
    </row>
    <row r="536" spans="2:4" x14ac:dyDescent="0.25">
      <c r="B536">
        <v>100</v>
      </c>
      <c r="C536" s="1">
        <v>102.788</v>
      </c>
      <c r="D536" s="1">
        <v>0.76168599999999997</v>
      </c>
    </row>
    <row r="537" spans="2:4" x14ac:dyDescent="0.25">
      <c r="B537">
        <v>101</v>
      </c>
      <c r="C537" s="1">
        <v>104.652</v>
      </c>
      <c r="D537" s="1">
        <v>0.75763400000000003</v>
      </c>
    </row>
    <row r="538" spans="2:4" x14ac:dyDescent="0.25">
      <c r="B538">
        <v>102</v>
      </c>
      <c r="C538" s="1">
        <v>106.526</v>
      </c>
      <c r="D538" s="1">
        <v>0.75352600000000003</v>
      </c>
    </row>
    <row r="539" spans="2:4" x14ac:dyDescent="0.25">
      <c r="B539">
        <v>103</v>
      </c>
      <c r="C539" s="1">
        <v>108.40900000000001</v>
      </c>
      <c r="D539" s="1">
        <v>0.74936000000000003</v>
      </c>
    </row>
    <row r="540" spans="2:4" x14ac:dyDescent="0.25">
      <c r="B540">
        <v>104</v>
      </c>
      <c r="C540" s="1">
        <v>110.30200000000001</v>
      </c>
      <c r="D540" s="1">
        <v>0.74513700000000005</v>
      </c>
    </row>
    <row r="541" spans="2:4" x14ac:dyDescent="0.25">
      <c r="B541">
        <v>105</v>
      </c>
      <c r="C541" s="1">
        <v>112.20399999999999</v>
      </c>
      <c r="D541" s="1">
        <v>0.74085800000000002</v>
      </c>
    </row>
    <row r="542" spans="2:4" x14ac:dyDescent="0.25">
      <c r="B542">
        <v>106</v>
      </c>
      <c r="C542" s="1">
        <v>114.11499999999999</v>
      </c>
      <c r="D542" s="1">
        <v>0.73652700000000004</v>
      </c>
    </row>
    <row r="543" spans="2:4" x14ac:dyDescent="0.25">
      <c r="B543">
        <v>107</v>
      </c>
      <c r="C543" s="1">
        <v>116.03400000000001</v>
      </c>
      <c r="D543" s="1">
        <v>0.73214900000000005</v>
      </c>
    </row>
    <row r="544" spans="2:4" x14ac:dyDescent="0.25">
      <c r="B544">
        <v>108</v>
      </c>
      <c r="C544" s="1">
        <v>117.96</v>
      </c>
      <c r="D544" s="1">
        <v>0.72772999999999999</v>
      </c>
    </row>
    <row r="545" spans="2:4" x14ac:dyDescent="0.25">
      <c r="B545">
        <v>109</v>
      </c>
      <c r="C545" s="1">
        <v>119.896</v>
      </c>
      <c r="D545" s="1">
        <v>0.72327799999999998</v>
      </c>
    </row>
    <row r="546" spans="2:4" x14ac:dyDescent="0.25">
      <c r="B546">
        <v>110</v>
      </c>
      <c r="C546" s="1">
        <v>121.839</v>
      </c>
      <c r="D546" s="1">
        <v>0.71879599999999999</v>
      </c>
    </row>
    <row r="547" spans="2:4" x14ac:dyDescent="0.25">
      <c r="B547">
        <v>111</v>
      </c>
      <c r="C547" s="1">
        <v>123.789</v>
      </c>
      <c r="D547" s="1">
        <v>0.71428999999999998</v>
      </c>
    </row>
    <row r="548" spans="2:4" x14ac:dyDescent="0.25">
      <c r="B548">
        <v>112</v>
      </c>
      <c r="C548" s="1">
        <v>125.747</v>
      </c>
      <c r="D548" s="1">
        <v>0.709762</v>
      </c>
    </row>
    <row r="549" spans="2:4" x14ac:dyDescent="0.25">
      <c r="B549">
        <v>113</v>
      </c>
      <c r="C549" s="1">
        <v>127.711</v>
      </c>
      <c r="D549" s="1">
        <v>0.70521299999999998</v>
      </c>
    </row>
    <row r="550" spans="2:4" x14ac:dyDescent="0.25">
      <c r="B550">
        <v>114</v>
      </c>
      <c r="C550" s="1">
        <v>129.68299999999999</v>
      </c>
      <c r="D550" s="1">
        <v>0.70064199999999999</v>
      </c>
    </row>
    <row r="551" spans="2:4" x14ac:dyDescent="0.25">
      <c r="B551">
        <v>115</v>
      </c>
      <c r="C551" s="1">
        <v>131.661</v>
      </c>
      <c r="D551" s="1">
        <v>0.69605099999999998</v>
      </c>
    </row>
    <row r="552" spans="2:4" x14ac:dyDescent="0.25">
      <c r="B552">
        <v>116</v>
      </c>
      <c r="C552" s="1">
        <v>133.64599999999999</v>
      </c>
      <c r="D552" s="1">
        <v>0.69144300000000003</v>
      </c>
    </row>
    <row r="553" spans="2:4" x14ac:dyDescent="0.25">
      <c r="B553">
        <v>117</v>
      </c>
      <c r="C553" s="1">
        <v>135.637</v>
      </c>
      <c r="D553" s="1">
        <v>0.68681400000000004</v>
      </c>
    </row>
    <row r="554" spans="2:4" x14ac:dyDescent="0.25">
      <c r="B554">
        <v>118</v>
      </c>
      <c r="C554" s="1">
        <v>137.63300000000001</v>
      </c>
      <c r="D554" s="1">
        <v>0.68216100000000002</v>
      </c>
    </row>
    <row r="555" spans="2:4" x14ac:dyDescent="0.25">
      <c r="B555">
        <v>119</v>
      </c>
      <c r="C555" s="1">
        <v>139.636</v>
      </c>
      <c r="D555" s="1">
        <v>0.677477</v>
      </c>
    </row>
    <row r="556" spans="2:4" x14ac:dyDescent="0.25">
      <c r="B556">
        <v>120</v>
      </c>
      <c r="C556" s="1">
        <v>141.64400000000001</v>
      </c>
      <c r="D556" s="1">
        <v>0.672759</v>
      </c>
    </row>
    <row r="557" spans="2:4" x14ac:dyDescent="0.25">
      <c r="B557">
        <v>121</v>
      </c>
      <c r="C557" s="1">
        <v>143.65700000000001</v>
      </c>
      <c r="D557" s="1">
        <v>0.66800499999999996</v>
      </c>
    </row>
    <row r="558" spans="2:4" x14ac:dyDescent="0.25">
      <c r="B558">
        <v>122</v>
      </c>
      <c r="C558" s="1">
        <v>145.67500000000001</v>
      </c>
      <c r="D558" s="1">
        <v>0.66322000000000003</v>
      </c>
    </row>
    <row r="559" spans="2:4" x14ac:dyDescent="0.25">
      <c r="B559">
        <v>123</v>
      </c>
      <c r="C559" s="1">
        <v>147.69800000000001</v>
      </c>
      <c r="D559" s="1">
        <v>0.65840399999999999</v>
      </c>
    </row>
    <row r="560" spans="2:4" x14ac:dyDescent="0.25">
      <c r="B560">
        <v>124</v>
      </c>
      <c r="C560" s="1">
        <v>149.726</v>
      </c>
      <c r="D560" s="1">
        <v>0.65355300000000005</v>
      </c>
    </row>
    <row r="561" spans="2:4" x14ac:dyDescent="0.25">
      <c r="B561">
        <v>125</v>
      </c>
      <c r="C561" s="1">
        <v>151.75899999999999</v>
      </c>
      <c r="D561" s="1">
        <v>0.64866000000000001</v>
      </c>
    </row>
    <row r="562" spans="2:4" x14ac:dyDescent="0.25">
      <c r="B562">
        <v>126</v>
      </c>
      <c r="C562" s="1">
        <v>153.79599999999999</v>
      </c>
      <c r="D562" s="1">
        <v>0.64371800000000001</v>
      </c>
    </row>
    <row r="563" spans="2:4" x14ac:dyDescent="0.25">
      <c r="B563">
        <v>127</v>
      </c>
      <c r="C563" s="1">
        <v>155.83799999999999</v>
      </c>
      <c r="D563" s="1">
        <v>0.63873100000000005</v>
      </c>
    </row>
    <row r="564" spans="2:4" x14ac:dyDescent="0.25">
      <c r="B564">
        <v>128</v>
      </c>
      <c r="C564" s="1">
        <v>157.88399999999999</v>
      </c>
      <c r="D564" s="1">
        <v>0.63371299999999997</v>
      </c>
    </row>
    <row r="565" spans="2:4" x14ac:dyDescent="0.25">
      <c r="B565">
        <v>129</v>
      </c>
      <c r="C565" s="1">
        <v>159.93299999999999</v>
      </c>
      <c r="D565" s="1">
        <v>0.62867300000000004</v>
      </c>
    </row>
    <row r="566" spans="2:4" x14ac:dyDescent="0.25">
      <c r="B566">
        <v>130</v>
      </c>
      <c r="C566" s="1">
        <v>161.98599999999999</v>
      </c>
      <c r="D566" s="1">
        <v>0.62361500000000003</v>
      </c>
    </row>
    <row r="567" spans="2:4" x14ac:dyDescent="0.25">
      <c r="B567">
        <v>131</v>
      </c>
      <c r="C567" s="1">
        <v>164.04300000000001</v>
      </c>
      <c r="D567" s="1">
        <v>0.61853999999999998</v>
      </c>
    </row>
    <row r="568" spans="2:4" x14ac:dyDescent="0.25">
      <c r="B568">
        <v>132</v>
      </c>
      <c r="C568" s="1">
        <v>166.10400000000001</v>
      </c>
      <c r="D568" s="1">
        <v>0.61344900000000002</v>
      </c>
    </row>
    <row r="569" spans="2:4" x14ac:dyDescent="0.25">
      <c r="B569">
        <v>133</v>
      </c>
      <c r="C569" s="1">
        <v>168.167</v>
      </c>
      <c r="D569" s="1">
        <v>0.608344</v>
      </c>
    </row>
    <row r="570" spans="2:4" x14ac:dyDescent="0.25">
      <c r="B570">
        <v>134</v>
      </c>
      <c r="C570" s="1">
        <v>170.23400000000001</v>
      </c>
      <c r="D570" s="1">
        <v>0.60322500000000001</v>
      </c>
    </row>
    <row r="571" spans="2:4" x14ac:dyDescent="0.25">
      <c r="B571">
        <v>135</v>
      </c>
      <c r="C571" s="1">
        <v>172.304</v>
      </c>
      <c r="D571" s="1">
        <v>0.59809199999999996</v>
      </c>
    </row>
    <row r="572" spans="2:4" x14ac:dyDescent="0.25">
      <c r="B572">
        <v>136</v>
      </c>
      <c r="C572" s="1">
        <v>174.37700000000001</v>
      </c>
      <c r="D572" s="1">
        <v>0.59293899999999999</v>
      </c>
    </row>
    <row r="573" spans="2:4" x14ac:dyDescent="0.25">
      <c r="B573">
        <v>137</v>
      </c>
      <c r="C573" s="1">
        <v>176.453</v>
      </c>
      <c r="D573" s="1">
        <v>0.58776600000000001</v>
      </c>
    </row>
    <row r="574" spans="2:4" x14ac:dyDescent="0.25">
      <c r="B574">
        <v>138</v>
      </c>
      <c r="C574" s="1">
        <v>178.53100000000001</v>
      </c>
      <c r="D574" s="1">
        <v>0.58257400000000004</v>
      </c>
    </row>
    <row r="575" spans="2:4" x14ac:dyDescent="0.25">
      <c r="B575">
        <v>139</v>
      </c>
      <c r="C575" s="1">
        <v>180.61199999999999</v>
      </c>
      <c r="D575" s="1">
        <v>0.57736600000000005</v>
      </c>
    </row>
    <row r="576" spans="2:4" x14ac:dyDescent="0.25">
      <c r="B576">
        <v>140</v>
      </c>
      <c r="C576" s="1">
        <v>182.69499999999999</v>
      </c>
      <c r="D576" s="1">
        <v>0.57214399999999999</v>
      </c>
    </row>
    <row r="577" spans="2:4" x14ac:dyDescent="0.25">
      <c r="B577">
        <v>141</v>
      </c>
      <c r="C577" s="1">
        <v>184.78200000000001</v>
      </c>
      <c r="D577" s="1">
        <v>0.566909</v>
      </c>
    </row>
    <row r="578" spans="2:4" x14ac:dyDescent="0.25">
      <c r="B578">
        <v>142</v>
      </c>
      <c r="C578" s="1">
        <v>186.87</v>
      </c>
      <c r="D578" s="1">
        <v>0.56166300000000002</v>
      </c>
    </row>
    <row r="579" spans="2:4" x14ac:dyDescent="0.25">
      <c r="B579">
        <v>143</v>
      </c>
      <c r="C579" s="1">
        <v>188.96</v>
      </c>
      <c r="D579" s="1">
        <v>0.55640599999999996</v>
      </c>
    </row>
    <row r="580" spans="2:4" x14ac:dyDescent="0.25">
      <c r="B580">
        <v>144</v>
      </c>
      <c r="C580" s="1">
        <v>191.05199999999999</v>
      </c>
      <c r="D580" s="1">
        <v>0.55113500000000004</v>
      </c>
    </row>
    <row r="581" spans="2:4" x14ac:dyDescent="0.25">
      <c r="B581">
        <v>145</v>
      </c>
      <c r="C581" s="1">
        <v>193.14599999999999</v>
      </c>
      <c r="D581" s="1">
        <v>0.54584699999999997</v>
      </c>
    </row>
    <row r="582" spans="2:4" x14ac:dyDescent="0.25">
      <c r="B582">
        <v>146</v>
      </c>
      <c r="C582" s="1">
        <v>195.24199999999999</v>
      </c>
      <c r="D582" s="1">
        <v>0.54053799999999996</v>
      </c>
    </row>
    <row r="583" spans="2:4" x14ac:dyDescent="0.25">
      <c r="B583">
        <v>147</v>
      </c>
      <c r="C583" s="1">
        <v>197.34</v>
      </c>
      <c r="D583" s="1">
        <v>0.53519899999999998</v>
      </c>
    </row>
    <row r="584" spans="2:4" x14ac:dyDescent="0.25">
      <c r="B584">
        <v>148</v>
      </c>
      <c r="C584" s="1">
        <v>199.43899999999999</v>
      </c>
      <c r="D584" s="1">
        <v>0.52982700000000005</v>
      </c>
    </row>
    <row r="585" spans="2:4" x14ac:dyDescent="0.25">
      <c r="B585">
        <v>149</v>
      </c>
      <c r="C585" s="1">
        <v>201.541</v>
      </c>
      <c r="D585" s="1">
        <v>0.52442100000000003</v>
      </c>
    </row>
    <row r="586" spans="2:4" x14ac:dyDescent="0.25">
      <c r="B586">
        <v>150</v>
      </c>
      <c r="C586" s="1">
        <v>203.64400000000001</v>
      </c>
      <c r="D586" s="1">
        <v>0.51898200000000005</v>
      </c>
    </row>
    <row r="587" spans="2:4" x14ac:dyDescent="0.25">
      <c r="B587">
        <v>151</v>
      </c>
      <c r="C587" s="1">
        <v>205.74799999999999</v>
      </c>
      <c r="D587" s="1">
        <v>0.51351800000000003</v>
      </c>
    </row>
    <row r="588" spans="2:4" x14ac:dyDescent="0.25">
      <c r="B588">
        <v>152</v>
      </c>
      <c r="C588" s="1">
        <v>207.85300000000001</v>
      </c>
      <c r="D588" s="1">
        <v>0.50803600000000004</v>
      </c>
    </row>
    <row r="589" spans="2:4" x14ac:dyDescent="0.25">
      <c r="B589">
        <v>153</v>
      </c>
      <c r="C589" s="1">
        <v>209.96</v>
      </c>
      <c r="D589" s="1">
        <v>0.50254200000000004</v>
      </c>
    </row>
    <row r="590" spans="2:4" x14ac:dyDescent="0.25">
      <c r="B590">
        <v>154</v>
      </c>
      <c r="C590" s="1">
        <v>212.06800000000001</v>
      </c>
      <c r="D590" s="1">
        <v>0.49704199999999998</v>
      </c>
    </row>
    <row r="591" spans="2:4" x14ac:dyDescent="0.25">
      <c r="B591">
        <v>155</v>
      </c>
      <c r="C591" s="1">
        <v>214.17699999999999</v>
      </c>
      <c r="D591" s="1">
        <v>0.491539</v>
      </c>
    </row>
    <row r="592" spans="2:4" x14ac:dyDescent="0.25">
      <c r="B592">
        <v>156</v>
      </c>
      <c r="C592" s="1">
        <v>216.28800000000001</v>
      </c>
      <c r="D592" s="1">
        <v>0.486037</v>
      </c>
    </row>
    <row r="593" spans="2:4" x14ac:dyDescent="0.25">
      <c r="B593">
        <v>157</v>
      </c>
      <c r="C593" s="1">
        <v>218.399</v>
      </c>
      <c r="D593" s="1">
        <v>0.48053400000000002</v>
      </c>
    </row>
    <row r="594" spans="2:4" x14ac:dyDescent="0.25">
      <c r="B594">
        <v>158</v>
      </c>
      <c r="C594" s="1">
        <v>220.512</v>
      </c>
      <c r="D594" s="1">
        <v>0.47502800000000001</v>
      </c>
    </row>
    <row r="595" spans="2:4" x14ac:dyDescent="0.25">
      <c r="B595">
        <v>159</v>
      </c>
      <c r="C595" s="1">
        <v>222.625</v>
      </c>
      <c r="D595" s="1">
        <v>0.46951700000000002</v>
      </c>
    </row>
    <row r="596" spans="2:4" x14ac:dyDescent="0.25">
      <c r="B596">
        <v>160</v>
      </c>
      <c r="C596" s="1">
        <v>224.739</v>
      </c>
      <c r="D596" s="1">
        <v>0.46399699999999999</v>
      </c>
    </row>
    <row r="597" spans="2:4" x14ac:dyDescent="0.25">
      <c r="B597">
        <v>161</v>
      </c>
      <c r="C597" s="1">
        <v>226.85499999999999</v>
      </c>
      <c r="D597" s="1">
        <v>0.45846399999999998</v>
      </c>
    </row>
    <row r="598" spans="2:4" x14ac:dyDescent="0.25">
      <c r="B598">
        <v>162</v>
      </c>
      <c r="C598" s="1">
        <v>228.97</v>
      </c>
      <c r="D598" s="1">
        <v>0.45291599999999999</v>
      </c>
    </row>
    <row r="599" spans="2:4" x14ac:dyDescent="0.25">
      <c r="B599">
        <v>163</v>
      </c>
      <c r="C599" s="1">
        <v>231.08699999999999</v>
      </c>
      <c r="D599" s="1">
        <v>0.44735200000000003</v>
      </c>
    </row>
    <row r="600" spans="2:4" x14ac:dyDescent="0.25">
      <c r="B600">
        <v>164</v>
      </c>
      <c r="C600" s="1">
        <v>233.20500000000001</v>
      </c>
      <c r="D600" s="1">
        <v>0.44177100000000002</v>
      </c>
    </row>
    <row r="601" spans="2:4" x14ac:dyDescent="0.25">
      <c r="B601">
        <v>165</v>
      </c>
      <c r="C601" s="1">
        <v>235.32300000000001</v>
      </c>
      <c r="D601" s="1">
        <v>0.43617400000000001</v>
      </c>
    </row>
    <row r="602" spans="2:4" x14ac:dyDescent="0.25">
      <c r="B602">
        <v>166</v>
      </c>
      <c r="C602" s="1">
        <v>237.44200000000001</v>
      </c>
      <c r="D602" s="1">
        <v>0.430558</v>
      </c>
    </row>
    <row r="603" spans="2:4" x14ac:dyDescent="0.25">
      <c r="B603">
        <v>167</v>
      </c>
      <c r="C603" s="1">
        <v>239.56100000000001</v>
      </c>
      <c r="D603" s="1">
        <v>0.42492000000000002</v>
      </c>
    </row>
    <row r="604" spans="2:4" x14ac:dyDescent="0.25">
      <c r="B604">
        <v>168</v>
      </c>
      <c r="C604" s="1">
        <v>241.68199999999999</v>
      </c>
      <c r="D604" s="1">
        <v>0.419263</v>
      </c>
    </row>
    <row r="605" spans="2:4" x14ac:dyDescent="0.25">
      <c r="B605">
        <v>169</v>
      </c>
      <c r="C605" s="1">
        <v>243.80199999999999</v>
      </c>
      <c r="D605" s="1">
        <v>0.41358899999999998</v>
      </c>
    </row>
    <row r="606" spans="2:4" x14ac:dyDescent="0.25">
      <c r="B606">
        <v>170</v>
      </c>
      <c r="C606" s="1">
        <v>245.923</v>
      </c>
      <c r="D606" s="1">
        <v>0.40790599999999999</v>
      </c>
    </row>
    <row r="607" spans="2:4" x14ac:dyDescent="0.25">
      <c r="B607">
        <v>171</v>
      </c>
      <c r="C607" s="1">
        <v>248.04499999999999</v>
      </c>
      <c r="D607" s="1">
        <v>0.40221899999999999</v>
      </c>
    </row>
    <row r="608" spans="2:4" x14ac:dyDescent="0.25">
      <c r="B608">
        <v>172</v>
      </c>
      <c r="C608" s="1">
        <v>250.167</v>
      </c>
      <c r="D608" s="1">
        <v>0.39653300000000002</v>
      </c>
    </row>
    <row r="609" spans="2:4" x14ac:dyDescent="0.25">
      <c r="B609">
        <v>173</v>
      </c>
      <c r="C609" s="1">
        <v>252.29</v>
      </c>
      <c r="D609" s="1">
        <v>0.39084799999999997</v>
      </c>
    </row>
    <row r="610" spans="2:4" x14ac:dyDescent="0.25">
      <c r="B610">
        <v>174</v>
      </c>
      <c r="C610" s="1">
        <v>254.41300000000001</v>
      </c>
      <c r="D610" s="1">
        <v>0.38516</v>
      </c>
    </row>
    <row r="611" spans="2:4" x14ac:dyDescent="0.25">
      <c r="B611">
        <v>175</v>
      </c>
      <c r="C611" s="1">
        <v>256.53699999999998</v>
      </c>
      <c r="D611" s="1">
        <v>0.37946600000000003</v>
      </c>
    </row>
    <row r="612" spans="2:4" x14ac:dyDescent="0.25">
      <c r="B612">
        <v>176</v>
      </c>
      <c r="C612" s="1">
        <v>258.66000000000003</v>
      </c>
      <c r="D612" s="1">
        <v>0.37376399999999999</v>
      </c>
    </row>
    <row r="613" spans="2:4" x14ac:dyDescent="0.25">
      <c r="B613">
        <v>177</v>
      </c>
      <c r="C613" s="1">
        <v>260.78500000000003</v>
      </c>
      <c r="D613" s="1">
        <v>0.36804999999999999</v>
      </c>
    </row>
    <row r="614" spans="2:4" x14ac:dyDescent="0.25">
      <c r="B614">
        <v>178</v>
      </c>
      <c r="C614" s="1">
        <v>262.90899999999999</v>
      </c>
      <c r="D614" s="1">
        <v>0.36232500000000001</v>
      </c>
    </row>
    <row r="615" spans="2:4" x14ac:dyDescent="0.25">
      <c r="B615">
        <v>179</v>
      </c>
      <c r="C615" s="1">
        <v>265.03399999999999</v>
      </c>
      <c r="D615" s="1">
        <v>0.35658699999999999</v>
      </c>
    </row>
    <row r="616" spans="2:4" x14ac:dyDescent="0.25">
      <c r="B616">
        <v>180</v>
      </c>
      <c r="C616" s="1">
        <v>267.15899999999999</v>
      </c>
      <c r="D616" s="1">
        <v>0.35083799999999998</v>
      </c>
    </row>
    <row r="617" spans="2:4" x14ac:dyDescent="0.25">
      <c r="B617">
        <v>181</v>
      </c>
      <c r="C617" s="1">
        <v>269.28500000000003</v>
      </c>
      <c r="D617" s="1">
        <v>0.34507700000000002</v>
      </c>
    </row>
    <row r="618" spans="2:4" x14ac:dyDescent="0.25">
      <c r="B618">
        <v>182</v>
      </c>
      <c r="C618" s="1">
        <v>271.411</v>
      </c>
      <c r="D618" s="1">
        <v>0.339308</v>
      </c>
    </row>
    <row r="619" spans="2:4" x14ac:dyDescent="0.25">
      <c r="B619">
        <v>183</v>
      </c>
      <c r="C619" s="1">
        <v>273.53699999999998</v>
      </c>
      <c r="D619" s="1">
        <v>0.33352999999999999</v>
      </c>
    </row>
    <row r="620" spans="2:4" x14ac:dyDescent="0.25">
      <c r="B620">
        <v>184</v>
      </c>
      <c r="C620" s="1">
        <v>275.66300000000001</v>
      </c>
      <c r="D620" s="1">
        <v>0.32774500000000001</v>
      </c>
    </row>
    <row r="621" spans="2:4" x14ac:dyDescent="0.25">
      <c r="B621">
        <v>185</v>
      </c>
      <c r="C621" s="1">
        <v>277.79000000000002</v>
      </c>
      <c r="D621" s="1">
        <v>0.32195400000000002</v>
      </c>
    </row>
    <row r="622" spans="2:4" x14ac:dyDescent="0.25">
      <c r="B622">
        <v>186</v>
      </c>
      <c r="C622" s="1">
        <v>279.91699999999997</v>
      </c>
      <c r="D622" s="1">
        <v>0.31615500000000002</v>
      </c>
    </row>
    <row r="623" spans="2:4" x14ac:dyDescent="0.25">
      <c r="B623">
        <v>187</v>
      </c>
      <c r="C623" s="1">
        <v>282.04399999999998</v>
      </c>
      <c r="D623" s="1">
        <v>0.31034899999999999</v>
      </c>
    </row>
    <row r="624" spans="2:4" x14ac:dyDescent="0.25">
      <c r="B624">
        <v>188</v>
      </c>
      <c r="C624" s="1">
        <v>284.17200000000003</v>
      </c>
      <c r="D624" s="1">
        <v>0.304535</v>
      </c>
    </row>
    <row r="625" spans="2:4" x14ac:dyDescent="0.25">
      <c r="B625">
        <v>189</v>
      </c>
      <c r="C625" s="1">
        <v>286.29899999999998</v>
      </c>
      <c r="D625" s="1">
        <v>0.29871599999999998</v>
      </c>
    </row>
    <row r="626" spans="2:4" x14ac:dyDescent="0.25">
      <c r="B626">
        <v>190</v>
      </c>
      <c r="C626" s="1">
        <v>288.42700000000002</v>
      </c>
      <c r="D626" s="1">
        <v>0.29289300000000001</v>
      </c>
    </row>
    <row r="627" spans="2:4" x14ac:dyDescent="0.25">
      <c r="B627">
        <v>191</v>
      </c>
      <c r="C627" s="1">
        <v>290.55599999999998</v>
      </c>
      <c r="D627" s="1">
        <v>0.28706799999999999</v>
      </c>
    </row>
    <row r="628" spans="2:4" x14ac:dyDescent="0.25">
      <c r="B628">
        <v>192</v>
      </c>
      <c r="C628" s="1">
        <v>292.68400000000003</v>
      </c>
      <c r="D628" s="1">
        <v>0.28123999999999999</v>
      </c>
    </row>
    <row r="629" spans="2:4" x14ac:dyDescent="0.25">
      <c r="B629">
        <v>193</v>
      </c>
      <c r="C629" s="1">
        <v>294.81200000000001</v>
      </c>
      <c r="D629" s="1">
        <v>0.27540799999999999</v>
      </c>
    </row>
    <row r="630" spans="2:4" x14ac:dyDescent="0.25">
      <c r="B630">
        <v>194</v>
      </c>
      <c r="C630" s="1">
        <v>296.94</v>
      </c>
      <c r="D630" s="1">
        <v>0.26957100000000001</v>
      </c>
    </row>
    <row r="631" spans="2:4" x14ac:dyDescent="0.25">
      <c r="B631">
        <v>195</v>
      </c>
      <c r="C631" s="1">
        <v>299.07</v>
      </c>
      <c r="D631" s="1">
        <v>0.26372899999999999</v>
      </c>
    </row>
    <row r="632" spans="2:4" x14ac:dyDescent="0.25">
      <c r="B632">
        <v>196</v>
      </c>
      <c r="C632" s="1">
        <v>301.19900000000001</v>
      </c>
      <c r="D632" s="1">
        <v>0.257884</v>
      </c>
    </row>
    <row r="633" spans="2:4" x14ac:dyDescent="0.25">
      <c r="B633">
        <v>197</v>
      </c>
      <c r="C633" s="1">
        <v>303.32799999999997</v>
      </c>
      <c r="D633" s="1">
        <v>0.25203599999999998</v>
      </c>
    </row>
    <row r="634" spans="2:4" x14ac:dyDescent="0.25">
      <c r="B634">
        <v>198</v>
      </c>
      <c r="C634" s="1">
        <v>305.45699999999999</v>
      </c>
      <c r="D634" s="1">
        <v>0.24618499999999999</v>
      </c>
    </row>
    <row r="635" spans="2:4" x14ac:dyDescent="0.25">
      <c r="B635">
        <v>199</v>
      </c>
      <c r="C635" s="1">
        <v>307.58699999999999</v>
      </c>
      <c r="D635" s="1">
        <v>0.24033099999999999</v>
      </c>
    </row>
    <row r="636" spans="2:4" x14ac:dyDescent="0.25">
      <c r="B636">
        <v>200</v>
      </c>
      <c r="C636" s="1">
        <v>309.71600000000001</v>
      </c>
      <c r="D636" s="1">
        <v>0.23447399999999999</v>
      </c>
    </row>
    <row r="637" spans="2:4" x14ac:dyDescent="0.25">
      <c r="B637">
        <v>201</v>
      </c>
      <c r="C637" s="1">
        <v>311.846</v>
      </c>
      <c r="D637" s="1">
        <v>0.22861600000000001</v>
      </c>
    </row>
    <row r="638" spans="2:4" x14ac:dyDescent="0.25">
      <c r="B638">
        <v>202</v>
      </c>
      <c r="C638" s="1">
        <v>313.976</v>
      </c>
      <c r="D638" s="1">
        <v>0.22275600000000001</v>
      </c>
    </row>
    <row r="639" spans="2:4" x14ac:dyDescent="0.25">
      <c r="B639">
        <v>203</v>
      </c>
      <c r="C639" s="1">
        <v>316.10700000000003</v>
      </c>
      <c r="D639" s="1">
        <v>0.216894</v>
      </c>
    </row>
    <row r="640" spans="2:4" x14ac:dyDescent="0.25">
      <c r="B640">
        <v>204</v>
      </c>
      <c r="C640" s="1">
        <v>318.23700000000002</v>
      </c>
      <c r="D640" s="1">
        <v>0.21103</v>
      </c>
    </row>
    <row r="641" spans="2:4" x14ac:dyDescent="0.25">
      <c r="B641">
        <v>205</v>
      </c>
      <c r="C641" s="1">
        <v>320.36700000000002</v>
      </c>
      <c r="D641" s="1">
        <v>0.20516300000000001</v>
      </c>
    </row>
    <row r="642" spans="2:4" x14ac:dyDescent="0.25">
      <c r="B642">
        <v>206</v>
      </c>
      <c r="C642" s="1">
        <v>322.49799999999999</v>
      </c>
      <c r="D642" s="1">
        <v>0.199295</v>
      </c>
    </row>
    <row r="643" spans="2:4" x14ac:dyDescent="0.25">
      <c r="B643">
        <v>207</v>
      </c>
      <c r="C643" s="1">
        <v>324.62900000000002</v>
      </c>
      <c r="D643" s="1">
        <v>0.19342599999999999</v>
      </c>
    </row>
    <row r="644" spans="2:4" x14ac:dyDescent="0.25">
      <c r="B644">
        <v>208</v>
      </c>
      <c r="C644" s="1">
        <v>326.76</v>
      </c>
      <c r="D644" s="1">
        <v>0.187558</v>
      </c>
    </row>
    <row r="645" spans="2:4" x14ac:dyDescent="0.25">
      <c r="B645">
        <v>209</v>
      </c>
      <c r="C645" s="1">
        <v>328.89</v>
      </c>
      <c r="D645" s="1">
        <v>0.18168999999999999</v>
      </c>
    </row>
    <row r="646" spans="2:4" x14ac:dyDescent="0.25">
      <c r="B646">
        <v>210</v>
      </c>
      <c r="C646" s="1">
        <v>331.02199999999999</v>
      </c>
      <c r="D646" s="1">
        <v>0.17582400000000001</v>
      </c>
    </row>
    <row r="647" spans="2:4" x14ac:dyDescent="0.25">
      <c r="B647">
        <v>211</v>
      </c>
      <c r="C647" s="1">
        <v>333.15300000000002</v>
      </c>
      <c r="D647" s="1">
        <v>0.169958</v>
      </c>
    </row>
    <row r="648" spans="2:4" x14ac:dyDescent="0.25">
      <c r="B648">
        <v>212</v>
      </c>
      <c r="C648" s="1">
        <v>335.28500000000003</v>
      </c>
      <c r="D648" s="1">
        <v>0.16409099999999999</v>
      </c>
    </row>
    <row r="649" spans="2:4" x14ac:dyDescent="0.25">
      <c r="B649">
        <v>213</v>
      </c>
      <c r="C649" s="1">
        <v>337.416</v>
      </c>
      <c r="D649" s="1">
        <v>0.15822600000000001</v>
      </c>
    </row>
    <row r="650" spans="2:4" x14ac:dyDescent="0.25">
      <c r="B650">
        <v>214</v>
      </c>
      <c r="C650" s="1">
        <v>339.548</v>
      </c>
      <c r="D650" s="1">
        <v>0.152361</v>
      </c>
    </row>
    <row r="651" spans="2:4" x14ac:dyDescent="0.25">
      <c r="B651">
        <v>215</v>
      </c>
      <c r="C651" s="1">
        <v>341.68</v>
      </c>
      <c r="D651" s="1">
        <v>0.14649899999999999</v>
      </c>
    </row>
    <row r="652" spans="2:4" x14ac:dyDescent="0.25">
      <c r="B652">
        <v>216</v>
      </c>
      <c r="C652" s="1">
        <v>343.81099999999998</v>
      </c>
      <c r="D652" s="1">
        <v>0.14064099999999999</v>
      </c>
    </row>
    <row r="653" spans="2:4" x14ac:dyDescent="0.25">
      <c r="B653">
        <v>217</v>
      </c>
      <c r="C653" s="1">
        <v>345.94299999999998</v>
      </c>
      <c r="D653" s="1">
        <v>0.13478499999999999</v>
      </c>
    </row>
    <row r="654" spans="2:4" x14ac:dyDescent="0.25">
      <c r="B654">
        <v>218</v>
      </c>
      <c r="C654" s="1">
        <v>348.07600000000002</v>
      </c>
      <c r="D654" s="1">
        <v>0.12893299999999999</v>
      </c>
    </row>
    <row r="655" spans="2:4" x14ac:dyDescent="0.25">
      <c r="B655">
        <v>219</v>
      </c>
      <c r="C655" s="1">
        <v>350.20800000000003</v>
      </c>
      <c r="D655" s="1">
        <v>0.123085</v>
      </c>
    </row>
    <row r="656" spans="2:4" x14ac:dyDescent="0.25">
      <c r="B656">
        <v>220</v>
      </c>
      <c r="C656" s="1">
        <v>352.34</v>
      </c>
      <c r="D656" s="1">
        <v>0.11724</v>
      </c>
    </row>
    <row r="657" spans="2:4" x14ac:dyDescent="0.25">
      <c r="B657">
        <v>221</v>
      </c>
      <c r="C657" s="1">
        <v>354.47199999999998</v>
      </c>
      <c r="D657" s="1">
        <v>0.111397</v>
      </c>
    </row>
    <row r="658" spans="2:4" x14ac:dyDescent="0.25">
      <c r="B658">
        <v>222</v>
      </c>
      <c r="C658" s="1">
        <v>356.60500000000002</v>
      </c>
      <c r="D658" s="1">
        <v>0.105554</v>
      </c>
    </row>
    <row r="659" spans="2:4" x14ac:dyDescent="0.25">
      <c r="B659">
        <v>223</v>
      </c>
      <c r="C659" s="1">
        <v>358.73700000000002</v>
      </c>
      <c r="D659" s="1">
        <v>9.9707500000000004E-2</v>
      </c>
    </row>
    <row r="660" spans="2:4" x14ac:dyDescent="0.25">
      <c r="B660">
        <v>224</v>
      </c>
      <c r="C660" s="1">
        <v>360.87</v>
      </c>
      <c r="D660" s="1">
        <v>9.3856200000000001E-2</v>
      </c>
    </row>
    <row r="661" spans="2:4" x14ac:dyDescent="0.25">
      <c r="B661">
        <v>225</v>
      </c>
      <c r="C661" s="1">
        <v>363.00299999999999</v>
      </c>
      <c r="D661" s="1">
        <v>8.7998099999999996E-2</v>
      </c>
    </row>
    <row r="662" spans="2:4" x14ac:dyDescent="0.25">
      <c r="B662">
        <v>226</v>
      </c>
      <c r="C662" s="1">
        <v>365.13600000000002</v>
      </c>
      <c r="D662" s="1">
        <v>8.2132700000000003E-2</v>
      </c>
    </row>
    <row r="663" spans="2:4" x14ac:dyDescent="0.25">
      <c r="B663">
        <v>227</v>
      </c>
      <c r="C663" s="1">
        <v>367.26900000000001</v>
      </c>
      <c r="D663" s="1">
        <v>7.6261099999999998E-2</v>
      </c>
    </row>
    <row r="664" spans="2:4" x14ac:dyDescent="0.25">
      <c r="B664">
        <v>228</v>
      </c>
      <c r="C664" s="1">
        <v>369.40199999999999</v>
      </c>
      <c r="D664" s="1">
        <v>7.0384600000000005E-2</v>
      </c>
    </row>
    <row r="665" spans="2:4" x14ac:dyDescent="0.25">
      <c r="B665">
        <v>229</v>
      </c>
      <c r="C665" s="1">
        <v>371.53500000000003</v>
      </c>
      <c r="D665" s="1">
        <v>6.4505000000000007E-2</v>
      </c>
    </row>
    <row r="666" spans="2:4" x14ac:dyDescent="0.25">
      <c r="B666">
        <v>230</v>
      </c>
      <c r="C666" s="1">
        <v>373.66800000000001</v>
      </c>
      <c r="D666" s="1">
        <v>5.8623500000000002E-2</v>
      </c>
    </row>
    <row r="667" spans="2:4" x14ac:dyDescent="0.25">
      <c r="B667">
        <v>231</v>
      </c>
      <c r="C667" s="1">
        <v>375.80099999999999</v>
      </c>
      <c r="D667" s="1">
        <v>5.2741000000000003E-2</v>
      </c>
    </row>
    <row r="668" spans="2:4" x14ac:dyDescent="0.25">
      <c r="B668">
        <v>232</v>
      </c>
      <c r="C668" s="1">
        <v>377.93400000000003</v>
      </c>
      <c r="D668" s="1">
        <v>4.6858400000000001E-2</v>
      </c>
    </row>
    <row r="669" spans="2:4" x14ac:dyDescent="0.25">
      <c r="B669">
        <v>233</v>
      </c>
      <c r="C669" s="1">
        <v>380.06700000000001</v>
      </c>
      <c r="D669" s="1">
        <v>4.0977399999999997E-2</v>
      </c>
    </row>
    <row r="670" spans="2:4" x14ac:dyDescent="0.25">
      <c r="B670">
        <v>234</v>
      </c>
      <c r="C670" s="1">
        <v>382.2</v>
      </c>
      <c r="D670" s="1">
        <v>3.5100600000000003E-2</v>
      </c>
    </row>
    <row r="671" spans="2:4" x14ac:dyDescent="0.25">
      <c r="B671">
        <v>235</v>
      </c>
      <c r="C671" s="1">
        <v>384.33300000000003</v>
      </c>
      <c r="D671" s="1">
        <v>2.9230900000000001E-2</v>
      </c>
    </row>
    <row r="672" spans="2:4" x14ac:dyDescent="0.25">
      <c r="B672">
        <v>236</v>
      </c>
      <c r="C672" s="1">
        <v>386.46600000000001</v>
      </c>
      <c r="D672" s="1">
        <v>2.3369999999999998E-2</v>
      </c>
    </row>
    <row r="673" spans="1:7" x14ac:dyDescent="0.25">
      <c r="B673">
        <v>237</v>
      </c>
      <c r="C673" s="1">
        <v>388.6</v>
      </c>
      <c r="D673" s="1">
        <v>1.7518300000000001E-2</v>
      </c>
    </row>
    <row r="674" spans="1:7" x14ac:dyDescent="0.25">
      <c r="B674">
        <v>238</v>
      </c>
      <c r="C674" s="1">
        <v>390.733</v>
      </c>
      <c r="D674" s="1">
        <v>1.16743E-2</v>
      </c>
    </row>
    <row r="675" spans="1:7" x14ac:dyDescent="0.25">
      <c r="B675">
        <v>239</v>
      </c>
      <c r="C675" s="1">
        <v>392.86700000000002</v>
      </c>
      <c r="D675" s="1">
        <v>5.8357799999999996E-3</v>
      </c>
    </row>
    <row r="676" spans="1:7" x14ac:dyDescent="0.25">
      <c r="B676">
        <v>240</v>
      </c>
      <c r="C676" s="1">
        <v>395</v>
      </c>
      <c r="D676" s="1">
        <v>0</v>
      </c>
    </row>
    <row r="679" spans="1:7" x14ac:dyDescent="0.25">
      <c r="A679">
        <v>6</v>
      </c>
      <c r="B679" t="s">
        <v>375</v>
      </c>
      <c r="C679" t="s">
        <v>36</v>
      </c>
      <c r="D679" t="s">
        <v>286</v>
      </c>
      <c r="E679" t="s">
        <v>266</v>
      </c>
    </row>
    <row r="681" spans="1:7" x14ac:dyDescent="0.25">
      <c r="A681" t="s">
        <v>376</v>
      </c>
      <c r="B681" t="s">
        <v>36</v>
      </c>
      <c r="C681" t="s">
        <v>451</v>
      </c>
      <c r="D681" t="s">
        <v>117</v>
      </c>
    </row>
    <row r="682" spans="1:7" x14ac:dyDescent="0.25">
      <c r="B682" t="s">
        <v>370</v>
      </c>
      <c r="C682" t="s">
        <v>377</v>
      </c>
      <c r="D682" t="s">
        <v>378</v>
      </c>
      <c r="E682" t="s">
        <v>380</v>
      </c>
      <c r="F682" t="s">
        <v>381</v>
      </c>
      <c r="G682" t="s">
        <v>382</v>
      </c>
    </row>
    <row r="683" spans="1:7" x14ac:dyDescent="0.25">
      <c r="B683" s="1">
        <v>0.1106</v>
      </c>
      <c r="C683" s="1">
        <v>1.51347E-6</v>
      </c>
      <c r="D683" s="1">
        <v>-0.125058</v>
      </c>
      <c r="E683" s="1">
        <v>2.90412E-6</v>
      </c>
      <c r="F683" s="1">
        <v>0.125055</v>
      </c>
      <c r="G683" s="1">
        <v>1.14048E-6</v>
      </c>
    </row>
    <row r="684" spans="1:7" x14ac:dyDescent="0.25">
      <c r="B684" s="1">
        <v>0.33559</v>
      </c>
      <c r="C684" s="1">
        <v>2.2723800000000001E-5</v>
      </c>
      <c r="D684" s="1">
        <v>-0.12513199999999999</v>
      </c>
      <c r="E684" s="1">
        <v>4.4467900000000002E-5</v>
      </c>
      <c r="F684" s="1">
        <v>0.12506999999999999</v>
      </c>
      <c r="G684" s="1">
        <v>5.6708099999999998E-6</v>
      </c>
    </row>
    <row r="685" spans="1:7" x14ac:dyDescent="0.25">
      <c r="B685" s="1">
        <v>0.56838999999999995</v>
      </c>
      <c r="C685" s="1">
        <v>1.01655E-4</v>
      </c>
      <c r="D685" s="1">
        <v>-0.12523899999999999</v>
      </c>
      <c r="E685" s="1">
        <v>1.9887600000000001E-4</v>
      </c>
      <c r="F685" s="1">
        <v>0.12495199999999999</v>
      </c>
      <c r="G685" s="1">
        <v>1.31718E-5</v>
      </c>
    </row>
    <row r="686" spans="1:7" x14ac:dyDescent="0.25">
      <c r="B686" s="1">
        <v>0.80944000000000005</v>
      </c>
      <c r="C686" s="1">
        <v>2.87304E-4</v>
      </c>
      <c r="D686" s="1">
        <v>-0.125333</v>
      </c>
      <c r="E686" s="1">
        <v>5.5341500000000003E-4</v>
      </c>
      <c r="F686" s="1">
        <v>0.124516</v>
      </c>
      <c r="G686" s="1">
        <v>2.4099200000000001E-5</v>
      </c>
    </row>
    <row r="687" spans="1:7" x14ac:dyDescent="0.25">
      <c r="B687" s="1">
        <v>1.05918</v>
      </c>
      <c r="C687" s="1">
        <v>6.4007699999999996E-4</v>
      </c>
      <c r="D687" s="1">
        <v>-0.125363</v>
      </c>
      <c r="E687" s="1">
        <v>1.2032499999999999E-3</v>
      </c>
      <c r="F687" s="1">
        <v>0.123558</v>
      </c>
      <c r="G687" s="1">
        <v>3.8778300000000001E-5</v>
      </c>
    </row>
    <row r="688" spans="1:7" x14ac:dyDescent="0.25">
      <c r="B688" s="1">
        <v>1.3180499999999999</v>
      </c>
      <c r="C688" s="1">
        <v>1.2327799999999999E-3</v>
      </c>
      <c r="D688" s="1">
        <v>-0.12528</v>
      </c>
      <c r="E688" s="1">
        <v>2.24551E-3</v>
      </c>
      <c r="F688" s="1">
        <v>0.12186</v>
      </c>
      <c r="G688" s="1">
        <v>5.74561E-5</v>
      </c>
    </row>
    <row r="689" spans="2:7" x14ac:dyDescent="0.25">
      <c r="B689" s="1">
        <v>1.58649</v>
      </c>
      <c r="C689" s="1">
        <v>2.1508500000000002E-3</v>
      </c>
      <c r="D689" s="1">
        <v>-0.12503700000000001</v>
      </c>
      <c r="E689" s="1">
        <v>3.7700500000000001E-3</v>
      </c>
      <c r="F689" s="1">
        <v>0.119197</v>
      </c>
      <c r="G689" s="1">
        <v>8.0305900000000006E-5</v>
      </c>
    </row>
    <row r="690" spans="2:7" x14ac:dyDescent="0.25">
      <c r="B690" s="1">
        <v>1.86496</v>
      </c>
      <c r="C690" s="1">
        <v>3.49161E-3</v>
      </c>
      <c r="D690" s="1">
        <v>-0.12459099999999999</v>
      </c>
      <c r="E690" s="1">
        <v>5.8472699999999999E-3</v>
      </c>
      <c r="F690" s="1">
        <v>0.115359</v>
      </c>
      <c r="G690" s="1">
        <v>1.07457E-4</v>
      </c>
    </row>
    <row r="691" spans="2:7" x14ac:dyDescent="0.25">
      <c r="B691" s="1">
        <v>2.15388</v>
      </c>
      <c r="C691" s="1">
        <v>5.3621500000000004E-3</v>
      </c>
      <c r="D691" s="1">
        <v>-0.123905</v>
      </c>
      <c r="E691" s="1">
        <v>8.5144499999999998E-3</v>
      </c>
      <c r="F691" s="1">
        <v>0.110167</v>
      </c>
      <c r="G691" s="1">
        <v>1.39018E-4</v>
      </c>
    </row>
    <row r="692" spans="2:7" x14ac:dyDescent="0.25">
      <c r="B692" s="1">
        <v>2.4537100000000001</v>
      </c>
      <c r="C692" s="1">
        <v>7.8757199999999992E-3</v>
      </c>
      <c r="D692" s="1">
        <v>-0.122957</v>
      </c>
      <c r="E692" s="1">
        <v>1.1762399999999999E-2</v>
      </c>
      <c r="F692" s="1">
        <v>0.103494</v>
      </c>
      <c r="G692" s="1">
        <v>1.7514200000000001E-4</v>
      </c>
    </row>
    <row r="693" spans="2:7" x14ac:dyDescent="0.25">
      <c r="B693" s="1">
        <v>2.7648700000000002</v>
      </c>
      <c r="C693" s="1">
        <v>1.11465E-2</v>
      </c>
      <c r="D693" s="1">
        <v>-0.121743</v>
      </c>
      <c r="E693" s="1">
        <v>1.55251E-2</v>
      </c>
      <c r="F693" s="1">
        <v>9.52871E-2</v>
      </c>
      <c r="G693" s="1">
        <v>2.1603900000000001E-4</v>
      </c>
    </row>
    <row r="694" spans="2:7" x14ac:dyDescent="0.25">
      <c r="B694" s="1">
        <v>3.0878100000000002</v>
      </c>
      <c r="C694" s="1">
        <v>1.5282499999999999E-2</v>
      </c>
      <c r="D694" s="1">
        <v>-0.12027599999999999</v>
      </c>
      <c r="E694" s="1">
        <v>1.9674299999999999E-2</v>
      </c>
      <c r="F694" s="1">
        <v>8.5580799999999999E-2</v>
      </c>
      <c r="G694" s="1">
        <v>2.6196699999999999E-4</v>
      </c>
    </row>
    <row r="695" spans="2:7" x14ac:dyDescent="0.25">
      <c r="B695" s="1">
        <v>3.4229500000000002</v>
      </c>
      <c r="C695" s="1">
        <v>2.0377699999999999E-2</v>
      </c>
      <c r="D695" s="1">
        <v>-0.118592</v>
      </c>
      <c r="E695" s="1">
        <v>2.4021199999999999E-2</v>
      </c>
      <c r="F695" s="1">
        <v>7.4506299999999998E-2</v>
      </c>
      <c r="G695" s="1">
        <v>3.1325800000000002E-4</v>
      </c>
    </row>
    <row r="696" spans="2:7" x14ac:dyDescent="0.25">
      <c r="B696" s="1">
        <v>3.7707299999999999</v>
      </c>
      <c r="C696" s="1">
        <v>2.65028E-2</v>
      </c>
      <c r="D696" s="1">
        <v>-0.116747</v>
      </c>
      <c r="E696" s="1">
        <v>2.83261E-2</v>
      </c>
      <c r="F696" s="1">
        <v>6.2288499999999997E-2</v>
      </c>
      <c r="G696" s="1">
        <v>3.7021100000000001E-4</v>
      </c>
    </row>
    <row r="697" spans="2:7" x14ac:dyDescent="0.25">
      <c r="B697" s="1">
        <v>4.1315600000000003</v>
      </c>
      <c r="C697" s="1">
        <v>3.3695900000000001E-2</v>
      </c>
      <c r="D697" s="1">
        <v>-0.114813</v>
      </c>
      <c r="E697" s="1">
        <v>3.2314700000000002E-2</v>
      </c>
      <c r="F697" s="1">
        <v>4.9235399999999999E-2</v>
      </c>
      <c r="G697" s="1">
        <v>4.3301100000000002E-4</v>
      </c>
    </row>
    <row r="698" spans="2:7" x14ac:dyDescent="0.25">
      <c r="B698" s="1">
        <v>4.5058699999999998</v>
      </c>
      <c r="C698" s="1">
        <v>4.1954600000000002E-2</v>
      </c>
      <c r="D698" s="1">
        <v>-0.112871</v>
      </c>
      <c r="E698" s="1">
        <v>3.57011E-2</v>
      </c>
      <c r="F698" s="1">
        <v>3.5717199999999998E-2</v>
      </c>
      <c r="G698" s="1">
        <v>5.0168000000000001E-4</v>
      </c>
    </row>
    <row r="699" spans="2:7" x14ac:dyDescent="0.25">
      <c r="B699" s="1">
        <v>4.8940599999999996</v>
      </c>
      <c r="C699" s="1">
        <v>5.1229499999999997E-2</v>
      </c>
      <c r="D699" s="1">
        <v>-0.11100699999999999</v>
      </c>
      <c r="E699" s="1">
        <v>3.82131E-2</v>
      </c>
      <c r="F699" s="1">
        <v>2.2140400000000001E-2</v>
      </c>
      <c r="G699" s="1">
        <v>5.7593599999999998E-4</v>
      </c>
    </row>
    <row r="700" spans="2:7" x14ac:dyDescent="0.25">
      <c r="B700" s="1">
        <v>5.2965299999999997</v>
      </c>
      <c r="C700" s="1">
        <v>6.1420200000000001E-2</v>
      </c>
      <c r="D700" s="1">
        <v>-0.109301</v>
      </c>
      <c r="E700" s="1">
        <v>3.9617899999999998E-2</v>
      </c>
      <c r="F700" s="1">
        <v>8.9179299999999993E-3</v>
      </c>
      <c r="G700" s="1">
        <v>6.5515099999999998E-4</v>
      </c>
    </row>
    <row r="701" spans="2:7" x14ac:dyDescent="0.25">
      <c r="B701" s="1">
        <v>5.7136899999999997</v>
      </c>
      <c r="C701" s="1">
        <v>7.2375599999999998E-2</v>
      </c>
      <c r="D701" s="1">
        <v>-0.107821</v>
      </c>
      <c r="E701" s="1">
        <v>3.9744599999999998E-2</v>
      </c>
      <c r="F701" s="1">
        <v>-3.56077E-3</v>
      </c>
      <c r="G701" s="1">
        <v>7.3832900000000003E-4</v>
      </c>
    </row>
    <row r="702" spans="2:7" x14ac:dyDescent="0.25">
      <c r="B702" s="1">
        <v>6.1459200000000003</v>
      </c>
      <c r="C702" s="1">
        <v>8.3897600000000003E-2</v>
      </c>
      <c r="D702" s="1">
        <v>-0.10661900000000001</v>
      </c>
      <c r="E702" s="1">
        <v>3.8500399999999997E-2</v>
      </c>
      <c r="F702" s="1">
        <v>-1.4955299999999999E-2</v>
      </c>
      <c r="G702" s="1">
        <v>8.2415099999999996E-4</v>
      </c>
    </row>
    <row r="703" spans="2:7" x14ac:dyDescent="0.25">
      <c r="B703" s="1">
        <v>6.59361</v>
      </c>
      <c r="C703" s="1">
        <v>9.5748700000000006E-2</v>
      </c>
      <c r="D703" s="1">
        <v>-0.105723</v>
      </c>
      <c r="E703" s="1">
        <v>3.5879500000000002E-2</v>
      </c>
      <c r="F703" s="1">
        <v>-2.49944E-2</v>
      </c>
      <c r="G703" s="1">
        <v>9.1099599999999996E-4</v>
      </c>
    </row>
    <row r="704" spans="2:7" x14ac:dyDescent="0.25">
      <c r="B704" s="1">
        <v>7.0571200000000003</v>
      </c>
      <c r="C704" s="1">
        <v>0.10766299999999999</v>
      </c>
      <c r="D704" s="1">
        <v>-0.10514</v>
      </c>
      <c r="E704" s="1">
        <v>3.1962299999999999E-2</v>
      </c>
      <c r="F704" s="1">
        <v>-3.3487999999999997E-2</v>
      </c>
      <c r="G704" s="1">
        <v>9.9707700000000008E-4</v>
      </c>
    </row>
    <row r="705" spans="2:7" x14ac:dyDescent="0.25">
      <c r="B705" s="1">
        <v>7.53681</v>
      </c>
      <c r="C705" s="1">
        <v>0.11935999999999999</v>
      </c>
      <c r="D705" s="1">
        <v>-0.104855</v>
      </c>
      <c r="E705" s="1">
        <v>2.6907299999999999E-2</v>
      </c>
      <c r="F705" s="1">
        <v>-4.0331699999999998E-2</v>
      </c>
      <c r="G705" s="1">
        <v>1.0805400000000001E-3</v>
      </c>
    </row>
    <row r="706" spans="2:7" x14ac:dyDescent="0.25">
      <c r="B706" s="1">
        <v>8.0330399999999997</v>
      </c>
      <c r="C706" s="1">
        <v>0.13056000000000001</v>
      </c>
      <c r="D706" s="1">
        <v>-0.104833</v>
      </c>
      <c r="E706" s="1">
        <v>2.0936300000000001E-2</v>
      </c>
      <c r="F706" s="1">
        <v>-4.5503500000000002E-2</v>
      </c>
      <c r="G706" s="1">
        <v>1.1596200000000001E-3</v>
      </c>
    </row>
    <row r="707" spans="2:7" x14ac:dyDescent="0.25">
      <c r="B707" s="1">
        <v>8.5461399999999994</v>
      </c>
      <c r="C707" s="1">
        <v>0.14099900000000001</v>
      </c>
      <c r="D707" s="1">
        <v>-0.10502400000000001</v>
      </c>
      <c r="E707" s="1">
        <v>1.4314E-2</v>
      </c>
      <c r="F707" s="1">
        <v>-4.9055399999999999E-2</v>
      </c>
      <c r="G707" s="1">
        <v>1.2327E-3</v>
      </c>
    </row>
    <row r="708" spans="2:7" x14ac:dyDescent="0.25">
      <c r="B708" s="1">
        <v>9.0764700000000005</v>
      </c>
      <c r="C708" s="1">
        <v>0.15044099999999999</v>
      </c>
      <c r="D708" s="1">
        <v>-0.105369</v>
      </c>
      <c r="E708" s="1">
        <v>7.3266700000000004E-3</v>
      </c>
      <c r="F708" s="1">
        <v>-5.11E-2</v>
      </c>
      <c r="G708" s="1">
        <v>1.29842E-3</v>
      </c>
    </row>
    <row r="709" spans="2:7" x14ac:dyDescent="0.25">
      <c r="B709" s="1">
        <v>9.6243300000000005</v>
      </c>
      <c r="C709" s="1">
        <v>0.158693</v>
      </c>
      <c r="D709" s="1">
        <v>-0.10580199999999999</v>
      </c>
      <c r="E709" s="1">
        <v>2.6066400000000002E-4</v>
      </c>
      <c r="F709" s="1">
        <v>-5.1795000000000001E-2</v>
      </c>
      <c r="G709" s="1">
        <v>1.3557599999999999E-3</v>
      </c>
    </row>
    <row r="710" spans="2:7" x14ac:dyDescent="0.25">
      <c r="B710" s="1">
        <v>10.19</v>
      </c>
      <c r="C710" s="1">
        <v>0.16560800000000001</v>
      </c>
      <c r="D710" s="1">
        <v>-0.10626099999999999</v>
      </c>
      <c r="E710" s="1">
        <v>-6.6166799999999998E-3</v>
      </c>
      <c r="F710" s="1">
        <v>-5.1327299999999999E-2</v>
      </c>
      <c r="G710" s="1">
        <v>1.4039899999999999E-3</v>
      </c>
    </row>
    <row r="711" spans="2:7" x14ac:dyDescent="0.25">
      <c r="B711" s="1">
        <v>10.7738</v>
      </c>
      <c r="C711" s="1">
        <v>0.171095</v>
      </c>
      <c r="D711" s="1">
        <v>-0.106683</v>
      </c>
      <c r="E711" s="1">
        <v>-1.3071899999999999E-2</v>
      </c>
      <c r="F711" s="1">
        <v>-4.98971E-2</v>
      </c>
      <c r="G711" s="1">
        <v>1.4427400000000001E-3</v>
      </c>
    </row>
    <row r="712" spans="2:7" x14ac:dyDescent="0.25">
      <c r="B712" s="1">
        <v>11.375999999999999</v>
      </c>
      <c r="C712" s="1">
        <v>0.17511199999999999</v>
      </c>
      <c r="D712" s="1">
        <v>-0.107019</v>
      </c>
      <c r="E712" s="1">
        <v>-1.8915499999999998E-2</v>
      </c>
      <c r="F712" s="1">
        <v>-4.7705600000000001E-2</v>
      </c>
      <c r="G712" s="1">
        <v>1.47192E-3</v>
      </c>
    </row>
    <row r="713" spans="2:7" x14ac:dyDescent="0.25">
      <c r="B713" s="1">
        <v>11.9969</v>
      </c>
      <c r="C713" s="1">
        <v>0.17766799999999999</v>
      </c>
      <c r="D713" s="1">
        <v>-0.107225</v>
      </c>
      <c r="E713" s="1">
        <v>-2.4007299999999999E-2</v>
      </c>
      <c r="F713" s="1">
        <v>-4.4943900000000002E-2</v>
      </c>
      <c r="G713" s="1">
        <v>1.4916300000000001E-3</v>
      </c>
    </row>
    <row r="714" spans="2:7" x14ac:dyDescent="0.25">
      <c r="B714" s="1">
        <v>12.636699999999999</v>
      </c>
      <c r="C714" s="1">
        <v>0.178816</v>
      </c>
      <c r="D714" s="1">
        <v>-0.10727</v>
      </c>
      <c r="E714" s="1">
        <v>-2.82572E-2</v>
      </c>
      <c r="F714" s="1">
        <v>-4.1786200000000003E-2</v>
      </c>
      <c r="G714" s="1">
        <v>1.5022E-3</v>
      </c>
    </row>
    <row r="715" spans="2:7" x14ac:dyDescent="0.25">
      <c r="B715" s="1">
        <v>13.2956</v>
      </c>
      <c r="C715" s="1">
        <v>0.178644</v>
      </c>
      <c r="D715" s="1">
        <v>-0.10713200000000001</v>
      </c>
      <c r="E715" s="1">
        <v>-3.1622600000000001E-2</v>
      </c>
      <c r="F715" s="1">
        <v>-3.8385200000000001E-2</v>
      </c>
      <c r="G715" s="1">
        <v>1.5040100000000001E-3</v>
      </c>
    </row>
    <row r="716" spans="2:7" x14ac:dyDescent="0.25">
      <c r="B716" s="1">
        <v>13.9741</v>
      </c>
      <c r="C716" s="1">
        <v>0.17727000000000001</v>
      </c>
      <c r="D716" s="1">
        <v>-0.10680000000000001</v>
      </c>
      <c r="E716" s="1">
        <v>-3.4102300000000002E-2</v>
      </c>
      <c r="F716" s="1">
        <v>-3.4869999999999998E-2</v>
      </c>
      <c r="G716" s="1">
        <v>1.49756E-3</v>
      </c>
    </row>
    <row r="717" spans="2:7" x14ac:dyDescent="0.25">
      <c r="B717" s="1">
        <v>14.672000000000001</v>
      </c>
      <c r="C717" s="1">
        <v>0.17482900000000001</v>
      </c>
      <c r="D717" s="1">
        <v>-0.106269</v>
      </c>
      <c r="E717" s="1">
        <v>-3.5729799999999999E-2</v>
      </c>
      <c r="F717" s="1">
        <v>-3.1346400000000003E-2</v>
      </c>
      <c r="G717" s="1">
        <v>1.4834200000000001E-3</v>
      </c>
    </row>
    <row r="718" spans="2:7" x14ac:dyDescent="0.25">
      <c r="B718" s="1">
        <v>15.389900000000001</v>
      </c>
      <c r="C718" s="1">
        <v>0.17146700000000001</v>
      </c>
      <c r="D718" s="1">
        <v>-0.105542</v>
      </c>
      <c r="E718" s="1">
        <v>-3.65657E-2</v>
      </c>
      <c r="F718" s="1">
        <v>-2.78979E-2</v>
      </c>
      <c r="G718" s="1">
        <v>1.46207E-3</v>
      </c>
    </row>
    <row r="719" spans="2:7" x14ac:dyDescent="0.25">
      <c r="B719" s="1">
        <v>16.127800000000001</v>
      </c>
      <c r="C719" s="1">
        <v>0.16733700000000001</v>
      </c>
      <c r="D719" s="1">
        <v>-0.104625</v>
      </c>
      <c r="E719" s="1">
        <v>-3.6689699999999999E-2</v>
      </c>
      <c r="F719" s="1">
        <v>-2.4587999999999999E-2</v>
      </c>
      <c r="G719" s="1">
        <v>1.4340799999999999E-3</v>
      </c>
    </row>
    <row r="720" spans="2:7" x14ac:dyDescent="0.25">
      <c r="B720" s="1">
        <v>16.8858</v>
      </c>
      <c r="C720" s="1">
        <v>0.16258600000000001</v>
      </c>
      <c r="D720" s="1">
        <v>-0.103529</v>
      </c>
      <c r="E720" s="1">
        <v>-3.61941E-2</v>
      </c>
      <c r="F720" s="1">
        <v>-2.14624E-2</v>
      </c>
      <c r="G720" s="1">
        <v>1.4000600000000001E-3</v>
      </c>
    </row>
    <row r="721" spans="2:7" x14ac:dyDescent="0.25">
      <c r="B721" s="1">
        <v>17.664200000000001</v>
      </c>
      <c r="C721" s="1">
        <v>0.15735499999999999</v>
      </c>
      <c r="D721" s="1">
        <v>-0.10226499999999999</v>
      </c>
      <c r="E721" s="1">
        <v>-3.5176899999999997E-2</v>
      </c>
      <c r="F721" s="1">
        <v>-1.8552200000000001E-2</v>
      </c>
      <c r="G721" s="1">
        <v>1.36063E-3</v>
      </c>
    </row>
    <row r="722" spans="2:7" x14ac:dyDescent="0.25">
      <c r="B722" s="1">
        <v>18.463000000000001</v>
      </c>
      <c r="C722" s="1">
        <v>0.15177599999999999</v>
      </c>
      <c r="D722" s="1">
        <v>-0.10084799999999999</v>
      </c>
      <c r="E722" s="1">
        <v>-3.3736799999999997E-2</v>
      </c>
      <c r="F722" s="1">
        <v>-1.5875400000000001E-2</v>
      </c>
      <c r="G722" s="1">
        <v>1.31661E-3</v>
      </c>
    </row>
    <row r="723" spans="2:7" x14ac:dyDescent="0.25">
      <c r="B723" s="1">
        <v>19.282499999999999</v>
      </c>
      <c r="C723" s="1">
        <v>0.14596799999999999</v>
      </c>
      <c r="D723" s="1">
        <v>-9.9291099999999993E-2</v>
      </c>
      <c r="E723" s="1">
        <v>-3.1969299999999999E-2</v>
      </c>
      <c r="F723" s="1">
        <v>-1.34389E-2</v>
      </c>
      <c r="G723" s="1">
        <v>1.2685800000000001E-3</v>
      </c>
    </row>
    <row r="724" spans="2:7" x14ac:dyDescent="0.25">
      <c r="B724" s="1">
        <v>20.122599999999998</v>
      </c>
      <c r="C724" s="1">
        <v>0.14003399999999999</v>
      </c>
      <c r="D724" s="1">
        <v>-9.7613099999999994E-2</v>
      </c>
      <c r="E724" s="1">
        <v>-2.9962800000000001E-2</v>
      </c>
      <c r="F724" s="1">
        <v>-1.1240699999999999E-2</v>
      </c>
      <c r="G724" s="1">
        <v>1.2170900000000001E-3</v>
      </c>
    </row>
    <row r="725" spans="2:7" x14ac:dyDescent="0.25">
      <c r="B725" s="1">
        <v>20.983699999999999</v>
      </c>
      <c r="C725" s="1">
        <v>0.13406299999999999</v>
      </c>
      <c r="D725" s="1">
        <v>-9.5830899999999997E-2</v>
      </c>
      <c r="E725" s="1">
        <v>-2.77951E-2</v>
      </c>
      <c r="F725" s="1">
        <v>-9.2740199999999991E-3</v>
      </c>
      <c r="G725" s="1">
        <v>1.1630500000000001E-3</v>
      </c>
    </row>
    <row r="726" spans="2:7" x14ac:dyDescent="0.25">
      <c r="B726" s="1">
        <v>21.865600000000001</v>
      </c>
      <c r="C726" s="1">
        <v>0.12813099999999999</v>
      </c>
      <c r="D726" s="1">
        <v>-9.3961000000000003E-2</v>
      </c>
      <c r="E726" s="1">
        <v>-2.5531700000000001E-2</v>
      </c>
      <c r="F726" s="1">
        <v>-7.5310500000000001E-3</v>
      </c>
      <c r="G726" s="1">
        <v>1.1073999999999999E-3</v>
      </c>
    </row>
    <row r="727" spans="2:7" x14ac:dyDescent="0.25">
      <c r="B727" s="1">
        <v>22.768599999999999</v>
      </c>
      <c r="C727" s="1">
        <v>0.122299</v>
      </c>
      <c r="D727" s="1">
        <v>-9.20179E-2</v>
      </c>
      <c r="E727" s="1">
        <v>-2.3226799999999999E-2</v>
      </c>
      <c r="F727" s="1">
        <v>-6.0041799999999996E-3</v>
      </c>
      <c r="G727" s="1">
        <v>1.0502899999999999E-3</v>
      </c>
    </row>
    <row r="728" spans="2:7" x14ac:dyDescent="0.25">
      <c r="B728" s="1">
        <v>23.692599999999999</v>
      </c>
      <c r="C728" s="1">
        <v>0.116616</v>
      </c>
      <c r="D728" s="1">
        <v>-9.0014499999999997E-2</v>
      </c>
      <c r="E728" s="1">
        <v>-2.0924700000000001E-2</v>
      </c>
      <c r="F728" s="1">
        <v>-4.6842999999999997E-3</v>
      </c>
      <c r="G728" s="1">
        <v>9.9213600000000002E-4</v>
      </c>
    </row>
    <row r="729" spans="2:7" x14ac:dyDescent="0.25">
      <c r="B729" s="1">
        <v>24.637699999999999</v>
      </c>
      <c r="C729" s="1">
        <v>0.11111699999999999</v>
      </c>
      <c r="D729" s="1">
        <v>-8.7962299999999993E-2</v>
      </c>
      <c r="E729" s="1">
        <v>-1.8662399999999999E-2</v>
      </c>
      <c r="F729" s="1">
        <v>-3.5593299999999999E-3</v>
      </c>
      <c r="G729" s="1">
        <v>9.33522E-4</v>
      </c>
    </row>
    <row r="730" spans="2:7" x14ac:dyDescent="0.25">
      <c r="B730" s="1">
        <v>25.6038</v>
      </c>
      <c r="C730" s="1">
        <v>0.105832</v>
      </c>
      <c r="D730" s="1">
        <v>-8.5872900000000002E-2</v>
      </c>
      <c r="E730" s="1">
        <v>-1.6472799999999999E-2</v>
      </c>
      <c r="F730" s="1">
        <v>-2.6123000000000001E-3</v>
      </c>
      <c r="G730" s="1">
        <v>8.7433599999999997E-4</v>
      </c>
    </row>
    <row r="731" spans="2:7" x14ac:dyDescent="0.25">
      <c r="B731" s="1">
        <v>26.591200000000001</v>
      </c>
      <c r="C731" s="1">
        <v>0.10077899999999999</v>
      </c>
      <c r="D731" s="1">
        <v>-8.3758700000000005E-2</v>
      </c>
      <c r="E731" s="1">
        <v>-1.4385E-2</v>
      </c>
      <c r="F731" s="1">
        <v>-1.8204199999999999E-3</v>
      </c>
      <c r="G731" s="1">
        <v>8.1506299999999999E-4</v>
      </c>
    </row>
    <row r="732" spans="2:7" x14ac:dyDescent="0.25">
      <c r="B732" s="1">
        <v>27.599599999999999</v>
      </c>
      <c r="C732" s="1">
        <v>9.597E-2</v>
      </c>
      <c r="D732" s="1">
        <v>-8.1631800000000004E-2</v>
      </c>
      <c r="E732" s="1">
        <v>-1.2422300000000001E-2</v>
      </c>
      <c r="F732" s="1">
        <v>-1.1596099999999999E-3</v>
      </c>
      <c r="G732" s="1">
        <v>7.5632100000000001E-4</v>
      </c>
    </row>
    <row r="733" spans="2:7" x14ac:dyDescent="0.25">
      <c r="B733" s="1">
        <v>28.629200000000001</v>
      </c>
      <c r="C733" s="1">
        <v>9.1410599999999995E-2</v>
      </c>
      <c r="D733" s="1">
        <v>-7.95019E-2</v>
      </c>
      <c r="E733" s="1">
        <v>-1.05991E-2</v>
      </c>
      <c r="F733" s="1">
        <v>-6.1106599999999995E-4</v>
      </c>
      <c r="G733" s="1">
        <v>6.9846600000000002E-4</v>
      </c>
    </row>
    <row r="734" spans="2:7" x14ac:dyDescent="0.25">
      <c r="B734" s="1">
        <v>29.6798</v>
      </c>
      <c r="C734" s="1">
        <v>8.7101999999999999E-2</v>
      </c>
      <c r="D734" s="1">
        <v>-7.7375799999999995E-2</v>
      </c>
      <c r="E734" s="1">
        <v>-8.9211499999999992E-3</v>
      </c>
      <c r="F734" s="1">
        <v>-1.6343900000000001E-4</v>
      </c>
      <c r="G734" s="1">
        <v>6.4162900000000001E-4</v>
      </c>
    </row>
    <row r="735" spans="2:7" x14ac:dyDescent="0.25">
      <c r="B735" s="1">
        <v>30.7516</v>
      </c>
      <c r="C735" s="1">
        <v>8.3041900000000002E-2</v>
      </c>
      <c r="D735" s="1">
        <v>-7.5258500000000006E-2</v>
      </c>
      <c r="E735" s="1">
        <v>-7.3889100000000003E-3</v>
      </c>
      <c r="F735" s="1">
        <v>1.91418E-4</v>
      </c>
      <c r="G735" s="1">
        <v>5.8595299999999995E-4</v>
      </c>
    </row>
    <row r="736" spans="2:7" x14ac:dyDescent="0.25">
      <c r="B736" s="1">
        <v>31.8443</v>
      </c>
      <c r="C736" s="1">
        <v>7.9225500000000004E-2</v>
      </c>
      <c r="D736" s="1">
        <v>-7.3155899999999996E-2</v>
      </c>
      <c r="E736" s="1">
        <v>-6.0023400000000001E-3</v>
      </c>
      <c r="F736" s="1">
        <v>4.64537E-4</v>
      </c>
      <c r="G736" s="1">
        <v>5.3185899999999998E-4</v>
      </c>
    </row>
    <row r="737" spans="2:7" x14ac:dyDescent="0.25">
      <c r="B737" s="1">
        <v>32.957999999999998</v>
      </c>
      <c r="C737" s="1">
        <v>7.5646400000000003E-2</v>
      </c>
      <c r="D737" s="1">
        <v>-7.1075399999999997E-2</v>
      </c>
      <c r="E737" s="1">
        <v>-4.76268E-3</v>
      </c>
      <c r="F737" s="1">
        <v>6.7154300000000003E-4</v>
      </c>
      <c r="G737" s="1">
        <v>4.79796E-4</v>
      </c>
    </row>
    <row r="738" spans="2:7" x14ac:dyDescent="0.25">
      <c r="B738" s="1">
        <v>34.092599999999997</v>
      </c>
      <c r="C738" s="1">
        <v>7.2296299999999994E-2</v>
      </c>
      <c r="D738" s="1">
        <v>-6.9025400000000001E-2</v>
      </c>
      <c r="E738" s="1">
        <v>-3.6700999999999999E-3</v>
      </c>
      <c r="F738" s="1">
        <v>8.2933900000000001E-4</v>
      </c>
      <c r="G738" s="1">
        <v>4.3011500000000001E-4</v>
      </c>
    </row>
    <row r="739" spans="2:7" x14ac:dyDescent="0.25">
      <c r="B739" s="1">
        <v>35.247900000000001</v>
      </c>
      <c r="C739" s="1">
        <v>6.9165400000000002E-2</v>
      </c>
      <c r="D739" s="1">
        <v>-6.7014000000000004E-2</v>
      </c>
      <c r="E739" s="1">
        <v>-2.7213900000000002E-3</v>
      </c>
      <c r="F739" s="1">
        <v>9.5314100000000001E-4</v>
      </c>
      <c r="G739" s="1">
        <v>3.8313300000000002E-4</v>
      </c>
    </row>
    <row r="740" spans="2:7" x14ac:dyDescent="0.25">
      <c r="B740" s="1">
        <v>36.423900000000003</v>
      </c>
      <c r="C740" s="1">
        <v>6.6241800000000003E-2</v>
      </c>
      <c r="D740" s="1">
        <v>-6.5047300000000002E-2</v>
      </c>
      <c r="E740" s="1">
        <v>-1.90803E-3</v>
      </c>
      <c r="F740" s="1">
        <v>1.0526800000000001E-3</v>
      </c>
      <c r="G740" s="1">
        <v>3.3916300000000002E-4</v>
      </c>
    </row>
    <row r="741" spans="2:7" x14ac:dyDescent="0.25">
      <c r="B741" s="1">
        <v>37.620399999999997</v>
      </c>
      <c r="C741" s="1">
        <v>6.3511700000000004E-2</v>
      </c>
      <c r="D741" s="1">
        <v>-6.31269E-2</v>
      </c>
      <c r="E741" s="1">
        <v>-1.2148700000000001E-3</v>
      </c>
      <c r="F741" s="1">
        <v>1.1282499999999999E-3</v>
      </c>
      <c r="G741" s="1">
        <v>2.9817400000000001E-4</v>
      </c>
    </row>
    <row r="742" spans="2:7" x14ac:dyDescent="0.25">
      <c r="B742" s="1">
        <v>38.837400000000002</v>
      </c>
      <c r="C742" s="1">
        <v>6.0960100000000003E-2</v>
      </c>
      <c r="D742" s="1">
        <v>-6.1251199999999999E-2</v>
      </c>
      <c r="E742" s="1">
        <v>-6.2319999999999997E-4</v>
      </c>
      <c r="F742" s="1">
        <v>1.1741200000000001E-3</v>
      </c>
      <c r="G742" s="1">
        <v>2.59864E-4</v>
      </c>
    </row>
    <row r="743" spans="2:7" x14ac:dyDescent="0.25">
      <c r="B743" s="1">
        <v>40.0747</v>
      </c>
      <c r="C743" s="1">
        <v>5.8572300000000001E-2</v>
      </c>
      <c r="D743" s="1">
        <v>-5.9418800000000001E-2</v>
      </c>
      <c r="E743" s="1">
        <v>-1.1720800000000001E-4</v>
      </c>
      <c r="F743" s="1">
        <v>1.18775E-3</v>
      </c>
      <c r="G743" s="1">
        <v>2.2400400000000001E-4</v>
      </c>
    </row>
    <row r="744" spans="2:7" x14ac:dyDescent="0.25">
      <c r="B744" s="1">
        <v>41.332299999999996</v>
      </c>
      <c r="C744" s="1">
        <v>5.6334500000000003E-2</v>
      </c>
      <c r="D744" s="1">
        <v>-5.7630899999999999E-2</v>
      </c>
      <c r="E744" s="1">
        <v>3.1307299999999998E-4</v>
      </c>
      <c r="F744" s="1">
        <v>1.17391E-3</v>
      </c>
      <c r="G744" s="1">
        <v>1.90562E-4</v>
      </c>
    </row>
    <row r="745" spans="2:7" x14ac:dyDescent="0.25">
      <c r="B745" s="1">
        <v>42.609699999999997</v>
      </c>
      <c r="C745" s="1">
        <v>5.4234999999999998E-2</v>
      </c>
      <c r="D745" s="1">
        <v>-5.5890599999999999E-2</v>
      </c>
      <c r="E745" s="1">
        <v>6.7438199999999995E-4</v>
      </c>
      <c r="F745" s="1">
        <v>1.1407699999999999E-3</v>
      </c>
      <c r="G745" s="1">
        <v>1.5945999999999999E-4</v>
      </c>
    </row>
    <row r="746" spans="2:7" x14ac:dyDescent="0.25">
      <c r="B746" s="1">
        <v>43.9069</v>
      </c>
      <c r="C746" s="1">
        <v>5.2263299999999999E-2</v>
      </c>
      <c r="D746" s="1">
        <v>-5.4202399999999998E-2</v>
      </c>
      <c r="E746" s="1">
        <v>9.7099199999999995E-4</v>
      </c>
      <c r="F746" s="1">
        <v>1.0987499999999999E-3</v>
      </c>
      <c r="G746" s="1">
        <v>1.30617E-4</v>
      </c>
    </row>
    <row r="747" spans="2:7" x14ac:dyDescent="0.25">
      <c r="B747" s="1">
        <v>45.2239</v>
      </c>
      <c r="C747" s="1">
        <v>5.0409799999999998E-2</v>
      </c>
      <c r="D747" s="1">
        <v>-5.2570699999999998E-2</v>
      </c>
      <c r="E747" s="1">
        <v>1.20414E-3</v>
      </c>
      <c r="F747" s="1">
        <v>1.0612099999999999E-3</v>
      </c>
      <c r="G747" s="1">
        <v>1.0440100000000001E-4</v>
      </c>
    </row>
    <row r="748" spans="2:7" x14ac:dyDescent="0.25">
      <c r="B748" s="1">
        <v>46.560299999999998</v>
      </c>
      <c r="C748" s="1">
        <v>4.8664699999999998E-2</v>
      </c>
      <c r="D748" s="1">
        <v>-5.09965E-2</v>
      </c>
      <c r="E748" s="1">
        <v>1.3782899999999999E-3</v>
      </c>
      <c r="F748" s="1">
        <v>1.0346699999999999E-3</v>
      </c>
      <c r="G748" s="1">
        <v>8.1180299999999999E-5</v>
      </c>
    </row>
    <row r="749" spans="2:7" x14ac:dyDescent="0.25">
      <c r="B749" s="1">
        <v>47.915999999999997</v>
      </c>
      <c r="C749" s="1">
        <v>4.7018600000000001E-2</v>
      </c>
      <c r="D749" s="1">
        <v>-4.9475400000000003E-2</v>
      </c>
      <c r="E749" s="1">
        <v>1.5064500000000001E-3</v>
      </c>
      <c r="F749" s="1">
        <v>1.0110099999999999E-3</v>
      </c>
      <c r="G749" s="1">
        <v>6.0602600000000001E-5</v>
      </c>
    </row>
    <row r="750" spans="2:7" x14ac:dyDescent="0.25">
      <c r="B750" s="1">
        <v>49.290900000000001</v>
      </c>
      <c r="C750" s="1">
        <v>4.54619E-2</v>
      </c>
      <c r="D750" s="1">
        <v>-4.8002299999999998E-2</v>
      </c>
      <c r="E750" s="1">
        <v>1.60205E-3</v>
      </c>
      <c r="F750" s="1">
        <v>9.8050000000000003E-4</v>
      </c>
      <c r="G750" s="1">
        <v>4.2101100000000003E-5</v>
      </c>
    </row>
    <row r="751" spans="2:7" x14ac:dyDescent="0.25">
      <c r="B751" s="1">
        <v>50.6845</v>
      </c>
      <c r="C751" s="1">
        <v>4.3985999999999997E-2</v>
      </c>
      <c r="D751" s="1">
        <v>-4.6576600000000003E-2</v>
      </c>
      <c r="E751" s="1">
        <v>1.6695E-3</v>
      </c>
      <c r="F751" s="1">
        <v>9.4684200000000004E-4</v>
      </c>
      <c r="G751" s="1">
        <v>2.57674E-5</v>
      </c>
    </row>
    <row r="752" spans="2:7" x14ac:dyDescent="0.25">
      <c r="B752" s="1">
        <v>52.096899999999998</v>
      </c>
      <c r="C752" s="1">
        <v>4.2583099999999999E-2</v>
      </c>
      <c r="D752" s="1">
        <v>-4.5199299999999998E-2</v>
      </c>
      <c r="E752" s="1">
        <v>1.71152E-3</v>
      </c>
      <c r="F752" s="1">
        <v>9.1650900000000003E-4</v>
      </c>
      <c r="G752" s="1">
        <v>1.1833499999999999E-5</v>
      </c>
    </row>
    <row r="753" spans="2:7" x14ac:dyDescent="0.25">
      <c r="B753" s="1">
        <v>53.5276</v>
      </c>
      <c r="C753" s="1">
        <v>4.12468E-2</v>
      </c>
      <c r="D753" s="1">
        <v>-4.3869400000000003E-2</v>
      </c>
      <c r="E753" s="1">
        <v>1.7371699999999999E-3</v>
      </c>
      <c r="F753" s="1">
        <v>8.8526100000000003E-4</v>
      </c>
      <c r="G753" s="1">
        <v>-1.9794799999999999E-7</v>
      </c>
    </row>
    <row r="754" spans="2:7" x14ac:dyDescent="0.25">
      <c r="B754" s="1">
        <v>54.976500000000001</v>
      </c>
      <c r="C754" s="1">
        <v>3.9971699999999999E-2</v>
      </c>
      <c r="D754" s="1">
        <v>-4.2584900000000002E-2</v>
      </c>
      <c r="E754" s="1">
        <v>1.75369E-3</v>
      </c>
      <c r="F754" s="1">
        <v>8.48839E-4</v>
      </c>
      <c r="G754" s="1">
        <v>-1.07144E-5</v>
      </c>
    </row>
    <row r="755" spans="2:7" x14ac:dyDescent="0.25">
      <c r="B755" s="1">
        <v>56.443399999999997</v>
      </c>
      <c r="C755" s="1">
        <v>3.8752599999999998E-2</v>
      </c>
      <c r="D755" s="1">
        <v>-4.1343900000000003E-2</v>
      </c>
      <c r="E755" s="1">
        <v>1.76312E-3</v>
      </c>
      <c r="F755" s="1">
        <v>8.0867000000000005E-4</v>
      </c>
      <c r="G755" s="1">
        <v>-1.9499799999999999E-5</v>
      </c>
    </row>
    <row r="756" spans="2:7" x14ac:dyDescent="0.25">
      <c r="B756" s="1">
        <v>57.928100000000001</v>
      </c>
      <c r="C756" s="1">
        <v>3.7583699999999998E-2</v>
      </c>
      <c r="D756" s="1">
        <v>-4.0142600000000001E-2</v>
      </c>
      <c r="E756" s="1">
        <v>1.7700299999999999E-3</v>
      </c>
      <c r="F756" s="1">
        <v>7.6205299999999995E-4</v>
      </c>
      <c r="G756" s="1">
        <v>-2.68382E-5</v>
      </c>
    </row>
    <row r="757" spans="2:7" x14ac:dyDescent="0.25">
      <c r="B757" s="1">
        <v>59.430100000000003</v>
      </c>
      <c r="C757" s="1">
        <v>3.6460199999999998E-2</v>
      </c>
      <c r="D757" s="1">
        <v>-3.89795E-2</v>
      </c>
      <c r="E757" s="1">
        <v>1.7786900000000001E-3</v>
      </c>
      <c r="F757" s="1">
        <v>7.0757199999999995E-4</v>
      </c>
      <c r="G757" s="1">
        <v>-3.2985399999999998E-5</v>
      </c>
    </row>
    <row r="758" spans="2:7" x14ac:dyDescent="0.25">
      <c r="B758" s="1">
        <v>60.949399999999997</v>
      </c>
      <c r="C758" s="1">
        <v>3.5379800000000003E-2</v>
      </c>
      <c r="D758" s="1">
        <v>-3.7857000000000002E-2</v>
      </c>
      <c r="E758" s="1">
        <v>1.7891599999999999E-3</v>
      </c>
      <c r="F758" s="1">
        <v>6.5014599999999999E-4</v>
      </c>
      <c r="G758" s="1">
        <v>-3.78475E-5</v>
      </c>
    </row>
    <row r="759" spans="2:7" x14ac:dyDescent="0.25">
      <c r="B759" s="1">
        <v>62.485799999999998</v>
      </c>
      <c r="C759" s="1">
        <v>3.4342400000000002E-2</v>
      </c>
      <c r="D759" s="1">
        <v>-3.6778600000000002E-2</v>
      </c>
      <c r="E759" s="1">
        <v>1.80109E-3</v>
      </c>
      <c r="F759" s="1">
        <v>5.9335900000000001E-4</v>
      </c>
      <c r="G759" s="1">
        <v>-4.1774099999999997E-5</v>
      </c>
    </row>
    <row r="760" spans="2:7" x14ac:dyDescent="0.25">
      <c r="B760" s="1">
        <v>64.038700000000006</v>
      </c>
      <c r="C760" s="1">
        <v>3.3349400000000001E-2</v>
      </c>
      <c r="D760" s="1">
        <v>-3.5747599999999997E-2</v>
      </c>
      <c r="E760" s="1">
        <v>1.8122100000000001E-3</v>
      </c>
      <c r="F760" s="1">
        <v>5.4075100000000001E-4</v>
      </c>
      <c r="G760" s="1">
        <v>-4.5159900000000001E-5</v>
      </c>
    </row>
    <row r="761" spans="2:7" x14ac:dyDescent="0.25">
      <c r="B761" s="1">
        <v>65.608099999999993</v>
      </c>
      <c r="C761" s="1">
        <v>3.2402300000000002E-2</v>
      </c>
      <c r="D761" s="1">
        <v>-3.4764999999999997E-2</v>
      </c>
      <c r="E761" s="1">
        <v>1.8165499999999999E-3</v>
      </c>
      <c r="F761" s="1">
        <v>4.9826199999999997E-4</v>
      </c>
      <c r="G761" s="1">
        <v>-4.7886799999999997E-5</v>
      </c>
    </row>
    <row r="762" spans="2:7" x14ac:dyDescent="0.25">
      <c r="B762" s="1">
        <v>67.193600000000004</v>
      </c>
      <c r="C762" s="1">
        <v>3.1501000000000001E-2</v>
      </c>
      <c r="D762" s="1">
        <v>-3.3828400000000002E-2</v>
      </c>
      <c r="E762" s="1">
        <v>1.8107900000000001E-3</v>
      </c>
      <c r="F762" s="1">
        <v>4.6649899999999999E-4</v>
      </c>
      <c r="G762" s="1">
        <v>-5.0090299999999997E-5</v>
      </c>
    </row>
    <row r="763" spans="2:7" x14ac:dyDescent="0.25">
      <c r="B763" s="1">
        <v>68.795000000000002</v>
      </c>
      <c r="C763" s="1">
        <v>3.0643699999999999E-2</v>
      </c>
      <c r="D763" s="1">
        <v>-3.2932999999999997E-2</v>
      </c>
      <c r="E763" s="1">
        <v>1.7949400000000001E-3</v>
      </c>
      <c r="F763" s="1">
        <v>4.4244999999999999E-4</v>
      </c>
      <c r="G763" s="1">
        <v>-5.1947899999999998E-5</v>
      </c>
    </row>
    <row r="764" spans="2:7" x14ac:dyDescent="0.25">
      <c r="B764" s="1">
        <v>70.412099999999995</v>
      </c>
      <c r="C764" s="1">
        <v>2.9827200000000002E-2</v>
      </c>
      <c r="D764" s="1">
        <v>-3.2074699999999998E-2</v>
      </c>
      <c r="E764" s="1">
        <v>1.76808E-3</v>
      </c>
      <c r="F764" s="1">
        <v>4.26255E-4</v>
      </c>
      <c r="G764" s="1">
        <v>-5.3194600000000001E-5</v>
      </c>
    </row>
    <row r="765" spans="2:7" x14ac:dyDescent="0.25">
      <c r="B765" s="1">
        <v>72.044399999999996</v>
      </c>
      <c r="C765" s="1">
        <v>2.9047799999999999E-2</v>
      </c>
      <c r="D765" s="1">
        <v>-3.1248999999999999E-2</v>
      </c>
      <c r="E765" s="1">
        <v>1.7295399999999999E-3</v>
      </c>
      <c r="F765" s="1">
        <v>4.1805899999999998E-4</v>
      </c>
      <c r="G765" s="1">
        <v>-5.3582100000000003E-5</v>
      </c>
    </row>
    <row r="766" spans="2:7" x14ac:dyDescent="0.25">
      <c r="B766" s="1">
        <v>73.691699999999997</v>
      </c>
      <c r="C766" s="1">
        <v>2.83016E-2</v>
      </c>
      <c r="D766" s="1">
        <v>-3.0450499999999998E-2</v>
      </c>
      <c r="E766" s="1">
        <v>1.68242E-3</v>
      </c>
      <c r="F766" s="1">
        <v>4.1323599999999999E-4</v>
      </c>
      <c r="G766" s="1">
        <v>-5.3167400000000002E-5</v>
      </c>
    </row>
    <row r="767" spans="2:7" x14ac:dyDescent="0.25">
      <c r="B767" s="1">
        <v>75.353800000000007</v>
      </c>
      <c r="C767" s="1">
        <v>2.7585200000000001E-2</v>
      </c>
      <c r="D767" s="1">
        <v>-2.9674900000000001E-2</v>
      </c>
      <c r="E767" s="1">
        <v>1.6321199999999999E-3</v>
      </c>
      <c r="F767" s="1">
        <v>4.0558199999999998E-4</v>
      </c>
      <c r="G767" s="1">
        <v>-5.2053199999999998E-5</v>
      </c>
    </row>
    <row r="768" spans="2:7" x14ac:dyDescent="0.25">
      <c r="B768" s="1">
        <v>77.030500000000004</v>
      </c>
      <c r="C768" s="1">
        <v>2.6895800000000001E-2</v>
      </c>
      <c r="D768" s="1">
        <v>-2.8920299999999999E-2</v>
      </c>
      <c r="E768" s="1">
        <v>1.5830900000000001E-3</v>
      </c>
      <c r="F768" s="1">
        <v>3.9102000000000001E-4</v>
      </c>
      <c r="G768" s="1">
        <v>-5.04039E-5</v>
      </c>
    </row>
    <row r="769" spans="2:7" x14ac:dyDescent="0.25">
      <c r="B769" s="1">
        <v>78.721199999999996</v>
      </c>
      <c r="C769" s="1">
        <v>2.6231600000000001E-2</v>
      </c>
      <c r="D769" s="1">
        <v>-2.81864E-2</v>
      </c>
      <c r="E769" s="1">
        <v>1.5377500000000001E-3</v>
      </c>
      <c r="F769" s="1">
        <v>3.6838600000000001E-4</v>
      </c>
      <c r="G769" s="1">
        <v>-4.8678799999999999E-5</v>
      </c>
    </row>
    <row r="770" spans="2:7" x14ac:dyDescent="0.25">
      <c r="B770" s="1">
        <v>80.426000000000002</v>
      </c>
      <c r="C770" s="1">
        <v>2.5590499999999999E-2</v>
      </c>
      <c r="D770" s="1">
        <v>-2.74743E-2</v>
      </c>
      <c r="E770" s="1">
        <v>1.4964100000000001E-3</v>
      </c>
      <c r="F770" s="1">
        <v>3.40446E-4</v>
      </c>
      <c r="G770" s="1">
        <v>-4.6996999999999997E-5</v>
      </c>
    </row>
    <row r="771" spans="2:7" x14ac:dyDescent="0.25">
      <c r="B771" s="1">
        <v>82.144199999999998</v>
      </c>
      <c r="C771" s="1">
        <v>2.4970200000000001E-2</v>
      </c>
      <c r="D771" s="1">
        <v>-2.6784499999999999E-2</v>
      </c>
      <c r="E771" s="1">
        <v>1.4585100000000001E-3</v>
      </c>
      <c r="F771" s="1">
        <v>3.10444E-4</v>
      </c>
      <c r="G771" s="1">
        <v>-4.53447E-5</v>
      </c>
    </row>
    <row r="772" spans="2:7" x14ac:dyDescent="0.25">
      <c r="B772" s="1">
        <v>83.875900000000001</v>
      </c>
      <c r="C772" s="1">
        <v>2.43687E-2</v>
      </c>
      <c r="D772" s="1">
        <v>-2.61155E-2</v>
      </c>
      <c r="E772" s="1">
        <v>1.4215499999999999E-3</v>
      </c>
      <c r="F772" s="1">
        <v>2.8157600000000002E-4</v>
      </c>
      <c r="G772" s="1">
        <v>-4.3686400000000002E-5</v>
      </c>
    </row>
    <row r="773" spans="2:7" x14ac:dyDescent="0.25">
      <c r="B773" s="1">
        <v>85.620199999999997</v>
      </c>
      <c r="C773" s="1">
        <v>2.3784699999999999E-2</v>
      </c>
      <c r="D773" s="1">
        <v>-2.5465600000000001E-2</v>
      </c>
      <c r="E773" s="1">
        <v>1.3818999999999999E-3</v>
      </c>
      <c r="F773" s="1">
        <v>2.5699000000000002E-4</v>
      </c>
      <c r="G773" s="1">
        <v>-4.2010099999999999E-5</v>
      </c>
    </row>
    <row r="774" spans="2:7" x14ac:dyDescent="0.25">
      <c r="B774" s="1">
        <v>87.377899999999997</v>
      </c>
      <c r="C774" s="1">
        <v>2.3218300000000001E-2</v>
      </c>
      <c r="D774" s="1">
        <v>-2.4833999999999998E-2</v>
      </c>
      <c r="E774" s="1">
        <v>1.33832E-3</v>
      </c>
      <c r="F774" s="1">
        <v>2.3688600000000001E-4</v>
      </c>
      <c r="G774" s="1">
        <v>-4.0557599999999999E-5</v>
      </c>
    </row>
    <row r="775" spans="2:7" x14ac:dyDescent="0.25">
      <c r="B775" s="1">
        <v>89.147499999999994</v>
      </c>
      <c r="C775" s="1">
        <v>2.2672000000000001E-2</v>
      </c>
      <c r="D775" s="1">
        <v>-2.4222500000000001E-2</v>
      </c>
      <c r="E775" s="1">
        <v>1.29053E-3</v>
      </c>
      <c r="F775" s="1">
        <v>2.20263E-4</v>
      </c>
      <c r="G775" s="1">
        <v>-3.9697499999999997E-5</v>
      </c>
    </row>
    <row r="776" spans="2:7" x14ac:dyDescent="0.25">
      <c r="B776" s="1">
        <v>90.9298</v>
      </c>
      <c r="C776" s="1">
        <v>2.21499E-2</v>
      </c>
      <c r="D776" s="1">
        <v>-2.3633899999999999E-2</v>
      </c>
      <c r="E776" s="1">
        <v>1.23588E-3</v>
      </c>
      <c r="F776" s="1">
        <v>2.0844900000000001E-4</v>
      </c>
      <c r="G776" s="1">
        <v>-3.9663499999999997E-5</v>
      </c>
    </row>
    <row r="777" spans="2:7" x14ac:dyDescent="0.25">
      <c r="B777" s="1">
        <v>92.723100000000002</v>
      </c>
      <c r="C777" s="1">
        <v>2.16545E-2</v>
      </c>
      <c r="D777" s="1">
        <v>-2.3069300000000001E-2</v>
      </c>
      <c r="E777" s="1">
        <v>1.1712300000000001E-3</v>
      </c>
      <c r="F777" s="1">
        <v>2.0308500000000001E-4</v>
      </c>
      <c r="G777" s="1">
        <v>-4.0402599999999998E-5</v>
      </c>
    </row>
    <row r="778" spans="2:7" x14ac:dyDescent="0.25">
      <c r="B778" s="1">
        <v>94.528999999999996</v>
      </c>
      <c r="C778" s="1">
        <v>2.1185300000000001E-2</v>
      </c>
      <c r="D778" s="1">
        <v>-2.2526000000000001E-2</v>
      </c>
      <c r="E778" s="1">
        <v>1.09836E-3</v>
      </c>
      <c r="F778" s="1">
        <v>2.0033200000000001E-4</v>
      </c>
      <c r="G778" s="1">
        <v>-4.2023800000000002E-5</v>
      </c>
    </row>
    <row r="779" spans="2:7" x14ac:dyDescent="0.25">
      <c r="B779" s="1">
        <v>96.345200000000006</v>
      </c>
      <c r="C779" s="1">
        <v>2.0738599999999999E-2</v>
      </c>
      <c r="D779" s="1">
        <v>-2.20004E-2</v>
      </c>
      <c r="E779" s="1">
        <v>1.0223400000000001E-3</v>
      </c>
      <c r="F779" s="1">
        <v>1.9470499999999999E-4</v>
      </c>
      <c r="G779" s="1">
        <v>-4.47609E-5</v>
      </c>
    </row>
    <row r="780" spans="2:7" x14ac:dyDescent="0.25">
      <c r="B780" s="1">
        <v>98.173299999999998</v>
      </c>
      <c r="C780" s="1">
        <v>2.0309600000000001E-2</v>
      </c>
      <c r="D780" s="1">
        <v>-2.14909E-2</v>
      </c>
      <c r="E780" s="1">
        <v>9.4593900000000002E-4</v>
      </c>
      <c r="F780" s="1">
        <v>1.86737E-4</v>
      </c>
      <c r="G780" s="1">
        <v>-4.8561499999999999E-5</v>
      </c>
    </row>
    <row r="781" spans="2:7" x14ac:dyDescent="0.25">
      <c r="B781" s="1">
        <v>100.012</v>
      </c>
      <c r="C781" s="1">
        <v>1.9894499999999999E-2</v>
      </c>
      <c r="D781" s="1">
        <v>-2.0997499999999999E-2</v>
      </c>
      <c r="E781" s="1">
        <v>8.7138000000000005E-4</v>
      </c>
      <c r="F781" s="1">
        <v>1.7849900000000001E-4</v>
      </c>
      <c r="G781" s="1">
        <v>-5.3180999999999998E-5</v>
      </c>
    </row>
    <row r="782" spans="2:7" x14ac:dyDescent="0.25">
      <c r="B782" s="1">
        <v>101.861</v>
      </c>
      <c r="C782" s="1">
        <v>1.9490899999999999E-2</v>
      </c>
      <c r="D782" s="1">
        <v>-2.05195E-2</v>
      </c>
      <c r="E782" s="1">
        <v>8.0237799999999997E-4</v>
      </c>
      <c r="F782" s="1">
        <v>1.67567E-4</v>
      </c>
      <c r="G782" s="1">
        <v>-5.8582699999999997E-5</v>
      </c>
    </row>
    <row r="783" spans="2:7" x14ac:dyDescent="0.25">
      <c r="B783" s="1">
        <v>103.72</v>
      </c>
      <c r="C783" s="1">
        <v>1.9099399999999999E-2</v>
      </c>
      <c r="D783" s="1">
        <v>-2.00567E-2</v>
      </c>
      <c r="E783" s="1">
        <v>7.3822500000000001E-4</v>
      </c>
      <c r="F783" s="1">
        <v>1.5445699999999999E-4</v>
      </c>
      <c r="G783" s="1">
        <v>-6.4550799999999999E-5</v>
      </c>
    </row>
    <row r="784" spans="2:7" x14ac:dyDescent="0.25">
      <c r="B784" s="1">
        <v>105.589</v>
      </c>
      <c r="C784" s="1">
        <v>1.87218E-2</v>
      </c>
      <c r="D784" s="1">
        <v>-1.9610800000000001E-2</v>
      </c>
      <c r="E784" s="1">
        <v>6.7326500000000004E-4</v>
      </c>
      <c r="F784" s="1">
        <v>1.4523800000000001E-4</v>
      </c>
      <c r="G784" s="1">
        <v>-7.05098E-5</v>
      </c>
    </row>
    <row r="785" spans="2:7" x14ac:dyDescent="0.25">
      <c r="B785" s="1">
        <v>107.468</v>
      </c>
      <c r="C785" s="1">
        <v>1.83596E-2</v>
      </c>
      <c r="D785" s="1">
        <v>-1.9182600000000001E-2</v>
      </c>
      <c r="E785" s="1">
        <v>6.0444999999999997E-4</v>
      </c>
      <c r="F785" s="1">
        <v>1.42113E-4</v>
      </c>
      <c r="G785" s="1">
        <v>-7.6427000000000005E-5</v>
      </c>
    </row>
    <row r="786" spans="2:7" x14ac:dyDescent="0.25">
      <c r="B786" s="1">
        <v>109.35599999999999</v>
      </c>
      <c r="C786" s="1">
        <v>1.8013999999999999E-2</v>
      </c>
      <c r="D786" s="1">
        <v>-1.8771599999999999E-2</v>
      </c>
      <c r="E786" s="1">
        <v>5.3237800000000002E-4</v>
      </c>
      <c r="F786" s="1">
        <v>1.4275299999999999E-4</v>
      </c>
      <c r="G786" s="1">
        <v>-8.2476099999999995E-5</v>
      </c>
    </row>
    <row r="787" spans="2:7" x14ac:dyDescent="0.25">
      <c r="B787" s="1">
        <v>111.253</v>
      </c>
      <c r="C787" s="1">
        <v>1.76849E-2</v>
      </c>
      <c r="D787" s="1">
        <v>-1.83765E-2</v>
      </c>
      <c r="E787" s="1">
        <v>4.5951999999999999E-4</v>
      </c>
      <c r="F787" s="1">
        <v>1.4338299999999999E-4</v>
      </c>
      <c r="G787" s="1">
        <v>-8.8733599999999994E-5</v>
      </c>
    </row>
    <row r="788" spans="2:7" x14ac:dyDescent="0.25">
      <c r="B788" s="1">
        <v>113.16</v>
      </c>
      <c r="C788" s="1">
        <v>1.73712E-2</v>
      </c>
      <c r="D788" s="1">
        <v>-1.7996100000000001E-2</v>
      </c>
      <c r="E788" s="1">
        <v>3.8877900000000001E-4</v>
      </c>
      <c r="F788" s="1">
        <v>1.4096599999999999E-4</v>
      </c>
      <c r="G788" s="1">
        <v>-9.5181999999999998E-5</v>
      </c>
    </row>
    <row r="789" spans="2:7" x14ac:dyDescent="0.25">
      <c r="B789" s="1">
        <v>115.074</v>
      </c>
      <c r="C789" s="1">
        <v>1.70709E-2</v>
      </c>
      <c r="D789" s="1">
        <v>-1.7629700000000002E-2</v>
      </c>
      <c r="E789" s="1">
        <v>3.2115000000000003E-4</v>
      </c>
      <c r="F789" s="1">
        <v>1.3624500000000001E-4</v>
      </c>
      <c r="G789" s="1">
        <v>-1.01405E-4</v>
      </c>
    </row>
    <row r="790" spans="2:7" x14ac:dyDescent="0.25">
      <c r="B790" s="1">
        <v>116.997</v>
      </c>
      <c r="C790" s="1">
        <v>1.67811E-2</v>
      </c>
      <c r="D790" s="1">
        <v>-1.72759E-2</v>
      </c>
      <c r="E790" s="1">
        <v>2.5715999999999998E-4</v>
      </c>
      <c r="F790" s="1">
        <v>1.3057499999999999E-4</v>
      </c>
      <c r="G790" s="1">
        <v>-1.07045E-4</v>
      </c>
    </row>
    <row r="791" spans="2:7" x14ac:dyDescent="0.25">
      <c r="B791" s="1">
        <v>118.928</v>
      </c>
      <c r="C791" s="1">
        <v>1.6498499999999999E-2</v>
      </c>
      <c r="D791" s="1">
        <v>-1.69324E-2</v>
      </c>
      <c r="E791" s="1">
        <v>1.9856799999999999E-4</v>
      </c>
      <c r="F791" s="1">
        <v>1.2336000000000001E-4</v>
      </c>
      <c r="G791" s="1">
        <v>-1.1203E-4</v>
      </c>
    </row>
    <row r="792" spans="2:7" x14ac:dyDescent="0.25">
      <c r="B792" s="1">
        <v>120.86799999999999</v>
      </c>
      <c r="C792" s="1">
        <v>1.6219600000000001E-2</v>
      </c>
      <c r="D792" s="1">
        <v>-1.6597500000000001E-2</v>
      </c>
      <c r="E792" s="1">
        <v>1.4717199999999999E-4</v>
      </c>
      <c r="F792" s="1">
        <v>1.14409E-4</v>
      </c>
      <c r="G792" s="1">
        <v>-1.16327E-4</v>
      </c>
    </row>
    <row r="793" spans="2:7" x14ac:dyDescent="0.25">
      <c r="B793" s="1">
        <v>122.81399999999999</v>
      </c>
      <c r="C793" s="1">
        <v>1.5941899999999998E-2</v>
      </c>
      <c r="D793" s="1">
        <v>-1.62699E-2</v>
      </c>
      <c r="E793" s="1">
        <v>1.0416600000000001E-4</v>
      </c>
      <c r="F793" s="1">
        <v>1.0388299999999999E-4</v>
      </c>
      <c r="G793" s="1">
        <v>-1.19976E-4</v>
      </c>
    </row>
    <row r="794" spans="2:7" x14ac:dyDescent="0.25">
      <c r="B794" s="1">
        <v>124.768</v>
      </c>
      <c r="C794" s="1">
        <v>1.5664000000000001E-2</v>
      </c>
      <c r="D794" s="1">
        <v>-1.59486E-2</v>
      </c>
      <c r="E794" s="1">
        <v>6.9737499999999994E-5</v>
      </c>
      <c r="F794" s="1">
        <v>9.1580200000000001E-5</v>
      </c>
      <c r="G794" s="1">
        <v>-1.2321200000000001E-4</v>
      </c>
    </row>
    <row r="795" spans="2:7" x14ac:dyDescent="0.25">
      <c r="B795" s="1">
        <v>126.729</v>
      </c>
      <c r="C795" s="1">
        <v>1.53854E-2</v>
      </c>
      <c r="D795" s="1">
        <v>-1.5633000000000001E-2</v>
      </c>
      <c r="E795" s="1">
        <v>4.1060899999999998E-5</v>
      </c>
      <c r="F795" s="1">
        <v>8.0543499999999999E-5</v>
      </c>
      <c r="G795" s="1">
        <v>-1.2596999999999999E-4</v>
      </c>
    </row>
    <row r="796" spans="2:7" x14ac:dyDescent="0.25">
      <c r="B796" s="1">
        <v>128.697</v>
      </c>
      <c r="C796" s="1">
        <v>1.51062E-2</v>
      </c>
      <c r="D796" s="1">
        <v>-1.5323700000000001E-2</v>
      </c>
      <c r="E796" s="1">
        <v>1.41328E-5</v>
      </c>
      <c r="F796" s="1">
        <v>7.5450099999999998E-5</v>
      </c>
      <c r="G796" s="1">
        <v>-1.2788400000000001E-4</v>
      </c>
    </row>
    <row r="797" spans="2:7" x14ac:dyDescent="0.25">
      <c r="B797" s="1">
        <v>130.672</v>
      </c>
      <c r="C797" s="1">
        <v>1.4826000000000001E-2</v>
      </c>
      <c r="D797" s="1">
        <v>-1.5018999999999999E-2</v>
      </c>
      <c r="E797" s="1">
        <v>-1.07876E-5</v>
      </c>
      <c r="F797" s="1">
        <v>7.4949699999999998E-5</v>
      </c>
      <c r="G797" s="1">
        <v>-1.2884300000000001E-4</v>
      </c>
    </row>
    <row r="798" spans="2:7" x14ac:dyDescent="0.25">
      <c r="B798" s="1">
        <v>132.654</v>
      </c>
      <c r="C798" s="1">
        <v>1.45443E-2</v>
      </c>
      <c r="D798" s="1">
        <v>-1.4715900000000001E-2</v>
      </c>
      <c r="E798" s="1">
        <v>-2.8861100000000001E-5</v>
      </c>
      <c r="F798" s="1">
        <v>7.11307E-5</v>
      </c>
      <c r="G798" s="1">
        <v>-1.29257E-4</v>
      </c>
    </row>
    <row r="799" spans="2:7" x14ac:dyDescent="0.25">
      <c r="B799" s="1">
        <v>134.64099999999999</v>
      </c>
      <c r="C799" s="1">
        <v>1.42614E-2</v>
      </c>
      <c r="D799" s="1">
        <v>-1.44128E-2</v>
      </c>
      <c r="E799" s="1">
        <v>-3.7962600000000001E-5</v>
      </c>
      <c r="F799" s="1">
        <v>5.9729699999999998E-5</v>
      </c>
      <c r="G799" s="1">
        <v>-1.2962299999999999E-4</v>
      </c>
    </row>
    <row r="800" spans="2:7" x14ac:dyDescent="0.25">
      <c r="B800" s="1">
        <v>136.63499999999999</v>
      </c>
      <c r="C800" s="1">
        <v>1.3979399999999999E-2</v>
      </c>
      <c r="D800" s="1">
        <v>-1.41128E-2</v>
      </c>
      <c r="E800" s="1">
        <v>-4.3163600000000001E-5</v>
      </c>
      <c r="F800" s="1">
        <v>4.6614399999999999E-5</v>
      </c>
      <c r="G800" s="1">
        <v>-1.29913E-4</v>
      </c>
    </row>
    <row r="801" spans="2:7" x14ac:dyDescent="0.25">
      <c r="B801" s="1">
        <v>138.63499999999999</v>
      </c>
      <c r="C801" s="1">
        <v>1.37012E-2</v>
      </c>
      <c r="D801" s="1">
        <v>-1.38198E-2</v>
      </c>
      <c r="E801" s="1">
        <v>-5.0798699999999999E-5</v>
      </c>
      <c r="F801" s="1">
        <v>3.9539599999999997E-5</v>
      </c>
      <c r="G801" s="1">
        <v>-1.29834E-4</v>
      </c>
    </row>
    <row r="802" spans="2:7" x14ac:dyDescent="0.25">
      <c r="B802" s="1">
        <v>140.63999999999999</v>
      </c>
      <c r="C802" s="1">
        <v>1.3429099999999999E-2</v>
      </c>
      <c r="D802" s="1">
        <v>-1.3535500000000001E-2</v>
      </c>
      <c r="E802" s="1">
        <v>-6.2517100000000005E-5</v>
      </c>
      <c r="F802" s="1">
        <v>3.9577499999999998E-5</v>
      </c>
      <c r="G802" s="1">
        <v>-1.2929700000000001E-4</v>
      </c>
    </row>
    <row r="803" spans="2:7" x14ac:dyDescent="0.25">
      <c r="B803" s="1">
        <v>142.65</v>
      </c>
      <c r="C803" s="1">
        <v>1.3164199999999999E-2</v>
      </c>
      <c r="D803" s="1">
        <v>-1.3259399999999999E-2</v>
      </c>
      <c r="E803" s="1">
        <v>-7.6342599999999996E-5</v>
      </c>
      <c r="F803" s="1">
        <v>4.3197600000000001E-5</v>
      </c>
      <c r="G803" s="1">
        <v>-1.2828399999999999E-4</v>
      </c>
    </row>
    <row r="804" spans="2:7" x14ac:dyDescent="0.25">
      <c r="B804" s="1">
        <v>144.666</v>
      </c>
      <c r="C804" s="1">
        <v>1.29061E-2</v>
      </c>
      <c r="D804" s="1">
        <v>-1.29899E-2</v>
      </c>
      <c r="E804" s="1">
        <v>-8.8339399999999997E-5</v>
      </c>
      <c r="F804" s="1">
        <v>4.5324400000000003E-5</v>
      </c>
      <c r="G804" s="1">
        <v>-1.2682599999999999E-4</v>
      </c>
    </row>
    <row r="805" spans="2:7" x14ac:dyDescent="0.25">
      <c r="B805" s="1">
        <v>146.68600000000001</v>
      </c>
      <c r="C805" s="1">
        <v>1.26538E-2</v>
      </c>
      <c r="D805" s="1">
        <v>-1.27256E-2</v>
      </c>
      <c r="E805" s="1">
        <v>-9.3806800000000005E-5</v>
      </c>
      <c r="F805" s="1">
        <v>4.0521E-5</v>
      </c>
      <c r="G805" s="1">
        <v>-1.25079E-4</v>
      </c>
    </row>
    <row r="806" spans="2:7" x14ac:dyDescent="0.25">
      <c r="B806" s="1">
        <v>148.71299999999999</v>
      </c>
      <c r="C806" s="1">
        <v>1.24081E-2</v>
      </c>
      <c r="D806" s="1">
        <v>-1.24669E-2</v>
      </c>
      <c r="E806" s="1">
        <v>-9.1313700000000006E-5</v>
      </c>
      <c r="F806" s="1">
        <v>2.6974900000000002E-5</v>
      </c>
      <c r="G806" s="1">
        <v>-1.2313299999999999E-4</v>
      </c>
    </row>
    <row r="807" spans="2:7" x14ac:dyDescent="0.25">
      <c r="B807" s="1">
        <v>150.74299999999999</v>
      </c>
      <c r="C807" s="1">
        <v>1.2171899999999999E-2</v>
      </c>
      <c r="D807" s="1">
        <v>-1.22165E-2</v>
      </c>
      <c r="E807" s="1">
        <v>-8.6460500000000003E-5</v>
      </c>
      <c r="F807" s="1">
        <v>1.0165499999999999E-5</v>
      </c>
      <c r="G807" s="1">
        <v>-1.209E-4</v>
      </c>
    </row>
    <row r="808" spans="2:7" x14ac:dyDescent="0.25">
      <c r="B808" s="1">
        <v>152.77799999999999</v>
      </c>
      <c r="C808" s="1">
        <v>1.19483E-2</v>
      </c>
      <c r="D808" s="1">
        <v>-1.19773E-2</v>
      </c>
      <c r="E808" s="1">
        <v>-8.9027400000000001E-5</v>
      </c>
      <c r="F808" s="1">
        <v>-1.5900100000000001E-7</v>
      </c>
      <c r="G808" s="1">
        <v>-1.18202E-4</v>
      </c>
    </row>
    <row r="809" spans="2:7" x14ac:dyDescent="0.25">
      <c r="B809" s="1">
        <v>154.81700000000001</v>
      </c>
      <c r="C809" s="1">
        <v>1.1736999999999999E-2</v>
      </c>
      <c r="D809" s="1">
        <v>-1.17492E-2</v>
      </c>
      <c r="E809" s="1">
        <v>-1.04484E-4</v>
      </c>
      <c r="F809" s="1">
        <v>1.6709500000000001E-6</v>
      </c>
      <c r="G809" s="1">
        <v>-1.1498900000000001E-4</v>
      </c>
    </row>
    <row r="810" spans="2:7" x14ac:dyDescent="0.25">
      <c r="B810" s="1">
        <v>156.86099999999999</v>
      </c>
      <c r="C810" s="1">
        <v>1.1534000000000001E-2</v>
      </c>
      <c r="D810" s="1">
        <v>-1.1528999999999999E-2</v>
      </c>
      <c r="E810" s="1">
        <v>-1.2932800000000001E-4</v>
      </c>
      <c r="F810" s="1">
        <v>1.28653E-5</v>
      </c>
      <c r="G810" s="1">
        <v>-1.1142900000000001E-4</v>
      </c>
    </row>
    <row r="811" spans="2:7" x14ac:dyDescent="0.25">
      <c r="B811" s="1">
        <v>158.90899999999999</v>
      </c>
      <c r="C811" s="1">
        <v>1.13341E-2</v>
      </c>
      <c r="D811" s="1">
        <v>-1.13133E-2</v>
      </c>
      <c r="E811" s="1">
        <v>-1.54833E-4</v>
      </c>
      <c r="F811" s="1">
        <v>2.61983E-5</v>
      </c>
      <c r="G811" s="1">
        <v>-1.0779499999999999E-4</v>
      </c>
    </row>
    <row r="812" spans="2:7" x14ac:dyDescent="0.25">
      <c r="B812" s="1">
        <v>160.959</v>
      </c>
      <c r="C812" s="1">
        <v>1.11343E-2</v>
      </c>
      <c r="D812" s="1">
        <v>-1.11015E-2</v>
      </c>
      <c r="E812" s="1">
        <v>-1.74716E-4</v>
      </c>
      <c r="F812" s="1">
        <v>3.7940700000000001E-5</v>
      </c>
      <c r="G812" s="1">
        <v>-1.04029E-4</v>
      </c>
    </row>
    <row r="813" spans="2:7" x14ac:dyDescent="0.25">
      <c r="B813" s="1">
        <v>163.01499999999999</v>
      </c>
      <c r="C813" s="1">
        <v>1.09341E-2</v>
      </c>
      <c r="D813" s="1">
        <v>-1.0894900000000001E-2</v>
      </c>
      <c r="E813" s="1">
        <v>-1.8684300000000001E-4</v>
      </c>
      <c r="F813" s="1">
        <v>4.7700700000000002E-5</v>
      </c>
      <c r="G813" s="1">
        <v>-9.9970000000000007E-5</v>
      </c>
    </row>
    <row r="814" spans="2:7" x14ac:dyDescent="0.25">
      <c r="B814" s="1">
        <v>165.07400000000001</v>
      </c>
      <c r="C814" s="1">
        <v>1.0734E-2</v>
      </c>
      <c r="D814" s="1">
        <v>-1.06934E-2</v>
      </c>
      <c r="E814" s="1">
        <v>-1.89808E-4</v>
      </c>
      <c r="F814" s="1">
        <v>5.3393000000000002E-5</v>
      </c>
      <c r="G814" s="1">
        <v>-9.5870099999999995E-5</v>
      </c>
    </row>
    <row r="815" spans="2:7" x14ac:dyDescent="0.25">
      <c r="B815" s="1">
        <v>167.136</v>
      </c>
      <c r="C815" s="1">
        <v>1.0533900000000001E-2</v>
      </c>
      <c r="D815" s="1">
        <v>-1.0496E-2</v>
      </c>
      <c r="E815" s="1">
        <v>-1.8249499999999999E-4</v>
      </c>
      <c r="F815" s="1">
        <v>5.2541799999999999E-5</v>
      </c>
      <c r="G815" s="1">
        <v>-9.2091900000000005E-5</v>
      </c>
    </row>
    <row r="816" spans="2:7" x14ac:dyDescent="0.25">
      <c r="B816" s="1">
        <v>169.20099999999999</v>
      </c>
      <c r="C816" s="1">
        <v>1.0334100000000001E-2</v>
      </c>
      <c r="D816" s="1">
        <v>-1.0302499999999999E-2</v>
      </c>
      <c r="E816" s="1">
        <v>-1.6533499999999999E-4</v>
      </c>
      <c r="F816" s="1">
        <v>4.4897500000000002E-5</v>
      </c>
      <c r="G816" s="1">
        <v>-8.8802599999999996E-5</v>
      </c>
    </row>
    <row r="817" spans="2:7" x14ac:dyDescent="0.25">
      <c r="B817" s="1">
        <v>171.26900000000001</v>
      </c>
      <c r="C817" s="1">
        <v>1.01359E-2</v>
      </c>
      <c r="D817" s="1">
        <v>-1.0113499999999999E-2</v>
      </c>
      <c r="E817" s="1">
        <v>-1.40968E-4</v>
      </c>
      <c r="F817" s="1">
        <v>3.2691999999999998E-5</v>
      </c>
      <c r="G817" s="1">
        <v>-8.5888600000000003E-5</v>
      </c>
    </row>
    <row r="818" spans="2:7" x14ac:dyDescent="0.25">
      <c r="B818" s="1">
        <v>173.34</v>
      </c>
      <c r="C818" s="1">
        <v>9.9411900000000008E-3</v>
      </c>
      <c r="D818" s="1">
        <v>-9.93023E-3</v>
      </c>
      <c r="E818" s="1">
        <v>-1.14298E-4</v>
      </c>
      <c r="F818" s="1">
        <v>2.02868E-5</v>
      </c>
      <c r="G818" s="1">
        <v>-8.3046200000000005E-5</v>
      </c>
    </row>
    <row r="819" spans="2:7" x14ac:dyDescent="0.25">
      <c r="B819" s="1">
        <v>175.41499999999999</v>
      </c>
      <c r="C819" s="1">
        <v>9.7513900000000004E-3</v>
      </c>
      <c r="D819" s="1">
        <v>-9.7530900000000007E-3</v>
      </c>
      <c r="E819" s="1">
        <v>-9.0750799999999999E-5</v>
      </c>
      <c r="F819" s="1">
        <v>1.24581E-5</v>
      </c>
      <c r="G819" s="1">
        <v>-7.9992099999999996E-5</v>
      </c>
    </row>
    <row r="820" spans="2:7" x14ac:dyDescent="0.25">
      <c r="B820" s="1">
        <v>177.49199999999999</v>
      </c>
      <c r="C820" s="1">
        <v>9.5665799999999999E-3</v>
      </c>
      <c r="D820" s="1">
        <v>-9.5815099999999997E-3</v>
      </c>
      <c r="E820" s="1">
        <v>-7.3169099999999997E-5</v>
      </c>
      <c r="F820" s="1">
        <v>1.15247E-5</v>
      </c>
      <c r="G820" s="1">
        <v>-7.6571999999999998E-5</v>
      </c>
    </row>
    <row r="821" spans="2:7" x14ac:dyDescent="0.25">
      <c r="B821" s="1">
        <v>179.572</v>
      </c>
      <c r="C821" s="1">
        <v>9.3856900000000004E-3</v>
      </c>
      <c r="D821" s="1">
        <v>-9.4138499999999996E-3</v>
      </c>
      <c r="E821" s="1">
        <v>-5.9997600000000003E-5</v>
      </c>
      <c r="F821" s="1">
        <v>1.5414399999999999E-5</v>
      </c>
      <c r="G821" s="1">
        <v>-7.2740700000000006E-5</v>
      </c>
    </row>
    <row r="822" spans="2:7" x14ac:dyDescent="0.25">
      <c r="B822" s="1">
        <v>181.654</v>
      </c>
      <c r="C822" s="1">
        <v>9.2073199999999997E-3</v>
      </c>
      <c r="D822" s="1">
        <v>-9.2480900000000005E-3</v>
      </c>
      <c r="E822" s="1">
        <v>-4.7042500000000002E-5</v>
      </c>
      <c r="F822" s="1">
        <v>1.9260900000000001E-5</v>
      </c>
      <c r="G822" s="1">
        <v>-6.8547900000000001E-5</v>
      </c>
    </row>
    <row r="823" spans="2:7" x14ac:dyDescent="0.25">
      <c r="B823" s="1">
        <v>183.739</v>
      </c>
      <c r="C823" s="1">
        <v>9.0302899999999998E-3</v>
      </c>
      <c r="D823" s="1">
        <v>-9.08313E-3</v>
      </c>
      <c r="E823" s="1">
        <v>-3.1499599999999999E-5</v>
      </c>
      <c r="F823" s="1">
        <v>2.0392300000000001E-5</v>
      </c>
      <c r="G823" s="1">
        <v>-6.3948299999999999E-5</v>
      </c>
    </row>
    <row r="824" spans="2:7" x14ac:dyDescent="0.25">
      <c r="B824" s="1">
        <v>185.82499999999999</v>
      </c>
      <c r="C824" s="1">
        <v>8.8537000000000008E-3</v>
      </c>
      <c r="D824" s="1">
        <v>-8.9191800000000005E-3</v>
      </c>
      <c r="E824" s="1">
        <v>-1.31659E-5</v>
      </c>
      <c r="F824" s="1">
        <v>1.98446E-5</v>
      </c>
      <c r="G824" s="1">
        <v>-5.8798300000000003E-5</v>
      </c>
    </row>
    <row r="825" spans="2:7" x14ac:dyDescent="0.25">
      <c r="B825" s="1">
        <v>187.91499999999999</v>
      </c>
      <c r="C825" s="1">
        <v>8.6770500000000004E-3</v>
      </c>
      <c r="D825" s="1">
        <v>-8.7568500000000001E-3</v>
      </c>
      <c r="E825" s="1">
        <v>7.7311400000000007E-6</v>
      </c>
      <c r="F825" s="1">
        <v>1.8856899999999999E-5</v>
      </c>
      <c r="G825" s="1">
        <v>-5.3210600000000002E-5</v>
      </c>
    </row>
    <row r="826" spans="2:7" x14ac:dyDescent="0.25">
      <c r="B826" s="1">
        <v>190.006</v>
      </c>
      <c r="C826" s="1">
        <v>8.5005399999999991E-3</v>
      </c>
      <c r="D826" s="1">
        <v>-8.5970700000000001E-3</v>
      </c>
      <c r="E826" s="1">
        <v>3.0719600000000003E-5</v>
      </c>
      <c r="F826" s="1">
        <v>1.8377500000000002E-5</v>
      </c>
      <c r="G826" s="1">
        <v>-4.7434900000000002E-5</v>
      </c>
    </row>
    <row r="827" spans="2:7" x14ac:dyDescent="0.25">
      <c r="B827" s="1">
        <v>192.1</v>
      </c>
      <c r="C827" s="1">
        <v>8.3251999999999996E-3</v>
      </c>
      <c r="D827" s="1">
        <v>-8.4411499999999997E-3</v>
      </c>
      <c r="E827" s="1">
        <v>5.4257900000000001E-5</v>
      </c>
      <c r="F827" s="1">
        <v>2.0097699999999999E-5</v>
      </c>
      <c r="G827" s="1">
        <v>-4.1590900000000002E-5</v>
      </c>
    </row>
    <row r="828" spans="2:7" x14ac:dyDescent="0.25">
      <c r="B828" s="1">
        <v>194.19499999999999</v>
      </c>
      <c r="C828" s="1">
        <v>8.1528699999999996E-3</v>
      </c>
      <c r="D828" s="1">
        <v>-8.2899600000000007E-3</v>
      </c>
      <c r="E828" s="1">
        <v>7.6755999999999995E-5</v>
      </c>
      <c r="F828" s="1">
        <v>2.46427E-5</v>
      </c>
      <c r="G828" s="1">
        <v>-3.5692799999999998E-5</v>
      </c>
    </row>
    <row r="829" spans="2:7" x14ac:dyDescent="0.25">
      <c r="B829" s="1">
        <v>196.291</v>
      </c>
      <c r="C829" s="1">
        <v>7.9857000000000001E-3</v>
      </c>
      <c r="D829" s="1">
        <v>-8.1431899999999998E-3</v>
      </c>
      <c r="E829" s="1">
        <v>9.79241E-5</v>
      </c>
      <c r="F829" s="1">
        <v>2.9801099999999998E-5</v>
      </c>
      <c r="G829" s="1">
        <v>-2.9762200000000001E-5</v>
      </c>
    </row>
    <row r="830" spans="2:7" x14ac:dyDescent="0.25">
      <c r="B830" s="1">
        <v>198.39</v>
      </c>
      <c r="C830" s="1">
        <v>7.8256699999999998E-3</v>
      </c>
      <c r="D830" s="1">
        <v>-8.0000000000000002E-3</v>
      </c>
      <c r="E830" s="1">
        <v>1.18114E-4</v>
      </c>
      <c r="F830" s="1">
        <v>3.2344000000000001E-5</v>
      </c>
      <c r="G830" s="1">
        <v>-2.3873799999999998E-5</v>
      </c>
    </row>
    <row r="831" spans="2:7" x14ac:dyDescent="0.25">
      <c r="B831" s="1">
        <v>200.49</v>
      </c>
      <c r="C831" s="1">
        <v>7.6738099999999997E-3</v>
      </c>
      <c r="D831" s="1">
        <v>-7.8600300000000005E-3</v>
      </c>
      <c r="E831" s="1">
        <v>1.36262E-4</v>
      </c>
      <c r="F831" s="1">
        <v>3.1837400000000001E-5</v>
      </c>
      <c r="G831" s="1">
        <v>-1.8120700000000001E-5</v>
      </c>
    </row>
    <row r="832" spans="2:7" x14ac:dyDescent="0.25">
      <c r="B832" s="1">
        <v>202.59200000000001</v>
      </c>
      <c r="C832" s="1">
        <v>7.5296599999999997E-3</v>
      </c>
      <c r="D832" s="1">
        <v>-7.7233700000000002E-3</v>
      </c>
      <c r="E832" s="1">
        <v>1.5008999999999999E-4</v>
      </c>
      <c r="F832" s="1">
        <v>3.1005299999999999E-5</v>
      </c>
      <c r="G832" s="1">
        <v>-1.2613799999999999E-5</v>
      </c>
    </row>
    <row r="833" spans="2:7" x14ac:dyDescent="0.25">
      <c r="B833" s="1">
        <v>204.69499999999999</v>
      </c>
      <c r="C833" s="1">
        <v>7.3913800000000003E-3</v>
      </c>
      <c r="D833" s="1">
        <v>-7.5897500000000001E-3</v>
      </c>
      <c r="E833" s="1">
        <v>1.5902000000000001E-4</v>
      </c>
      <c r="F833" s="1">
        <v>3.1845599999999999E-5</v>
      </c>
      <c r="G833" s="1">
        <v>-7.5089199999999999E-6</v>
      </c>
    </row>
    <row r="834" spans="2:7" x14ac:dyDescent="0.25">
      <c r="B834" s="1">
        <v>206.80099999999999</v>
      </c>
      <c r="C834" s="1">
        <v>7.2566599999999998E-3</v>
      </c>
      <c r="D834" s="1">
        <v>-7.4581999999999999E-3</v>
      </c>
      <c r="E834" s="1">
        <v>1.6544500000000001E-4</v>
      </c>
      <c r="F834" s="1">
        <v>3.3119099999999999E-5</v>
      </c>
      <c r="G834" s="1">
        <v>-2.9808100000000002E-6</v>
      </c>
    </row>
    <row r="835" spans="2:7" x14ac:dyDescent="0.25">
      <c r="B835" s="1">
        <v>208.90700000000001</v>
      </c>
      <c r="C835" s="1">
        <v>7.1234699999999998E-3</v>
      </c>
      <c r="D835" s="1">
        <v>-7.3276599999999997E-3</v>
      </c>
      <c r="E835" s="1">
        <v>1.7252899999999999E-4</v>
      </c>
      <c r="F835" s="1">
        <v>3.2560800000000002E-5</v>
      </c>
      <c r="G835" s="1">
        <v>9.06453E-7</v>
      </c>
    </row>
    <row r="836" spans="2:7" x14ac:dyDescent="0.25">
      <c r="B836" s="1">
        <v>211.01400000000001</v>
      </c>
      <c r="C836" s="1">
        <v>6.9901599999999996E-3</v>
      </c>
      <c r="D836" s="1">
        <v>-7.1978900000000002E-3</v>
      </c>
      <c r="E836" s="1">
        <v>1.82129E-4</v>
      </c>
      <c r="F836" s="1">
        <v>2.9911099999999999E-5</v>
      </c>
      <c r="G836" s="1">
        <v>4.3084199999999998E-6</v>
      </c>
    </row>
    <row r="837" spans="2:7" x14ac:dyDescent="0.25">
      <c r="B837" s="1">
        <v>213.12200000000001</v>
      </c>
      <c r="C837" s="1">
        <v>6.85529E-3</v>
      </c>
      <c r="D837" s="1">
        <v>-7.0694699999999996E-3</v>
      </c>
      <c r="E837" s="1">
        <v>1.9514900000000001E-4</v>
      </c>
      <c r="F837" s="1">
        <v>2.6493099999999999E-5</v>
      </c>
      <c r="G837" s="1">
        <v>7.4637799999999999E-6</v>
      </c>
    </row>
    <row r="838" spans="2:7" x14ac:dyDescent="0.25">
      <c r="B838" s="1">
        <v>215.232</v>
      </c>
      <c r="C838" s="1">
        <v>6.718E-3</v>
      </c>
      <c r="D838" s="1">
        <v>-6.9430300000000002E-3</v>
      </c>
      <c r="E838" s="1">
        <v>2.1238600000000001E-4</v>
      </c>
      <c r="F838" s="1">
        <v>2.3149299999999999E-5</v>
      </c>
      <c r="G838" s="1">
        <v>1.04971E-5</v>
      </c>
    </row>
    <row r="839" spans="2:7" x14ac:dyDescent="0.25">
      <c r="B839" s="1">
        <v>217.34299999999999</v>
      </c>
      <c r="C839" s="1">
        <v>6.5782100000000001E-3</v>
      </c>
      <c r="D839" s="1">
        <v>-6.8187600000000001E-3</v>
      </c>
      <c r="E839" s="1">
        <v>2.34324E-4</v>
      </c>
      <c r="F839" s="1">
        <v>1.9672200000000001E-5</v>
      </c>
      <c r="G839" s="1">
        <v>1.34456E-5</v>
      </c>
    </row>
    <row r="840" spans="2:7" x14ac:dyDescent="0.25">
      <c r="B840" s="1">
        <v>219.45599999999999</v>
      </c>
      <c r="C840" s="1">
        <v>6.4365400000000001E-3</v>
      </c>
      <c r="D840" s="1">
        <v>-6.6963200000000004E-3</v>
      </c>
      <c r="E840" s="1">
        <v>2.6121800000000002E-4</v>
      </c>
      <c r="F840" s="1">
        <v>1.4835600000000001E-5</v>
      </c>
      <c r="G840" s="1">
        <v>1.6273000000000002E-5</v>
      </c>
    </row>
    <row r="841" spans="2:7" x14ac:dyDescent="0.25">
      <c r="B841" s="1">
        <v>221.56800000000001</v>
      </c>
      <c r="C841" s="1">
        <v>6.2939800000000002E-3</v>
      </c>
      <c r="D841" s="1">
        <v>-6.5755400000000004E-3</v>
      </c>
      <c r="E841" s="1">
        <v>2.92658E-4</v>
      </c>
      <c r="F841" s="1">
        <v>7.8014199999999992E-6</v>
      </c>
      <c r="G841" s="1">
        <v>1.8895100000000001E-5</v>
      </c>
    </row>
    <row r="842" spans="2:7" x14ac:dyDescent="0.25">
      <c r="B842" s="1">
        <v>223.68199999999999</v>
      </c>
      <c r="C842" s="1">
        <v>6.1516799999999996E-3</v>
      </c>
      <c r="D842" s="1">
        <v>-6.4571400000000001E-3</v>
      </c>
      <c r="E842" s="1">
        <v>3.2638799999999999E-4</v>
      </c>
      <c r="F842" s="1">
        <v>3.2383600000000002E-7</v>
      </c>
      <c r="G842" s="1">
        <v>2.12586E-5</v>
      </c>
    </row>
    <row r="843" spans="2:7" x14ac:dyDescent="0.25">
      <c r="B843" s="1">
        <v>225.797</v>
      </c>
      <c r="C843" s="1">
        <v>6.0108100000000001E-3</v>
      </c>
      <c r="D843" s="1">
        <v>-6.3421600000000003E-3</v>
      </c>
      <c r="E843" s="1">
        <v>3.5903299999999998E-4</v>
      </c>
      <c r="F843" s="1">
        <v>-4.3770499999999999E-6</v>
      </c>
      <c r="G843" s="1">
        <v>2.32996E-5</v>
      </c>
    </row>
    <row r="844" spans="2:7" x14ac:dyDescent="0.25">
      <c r="B844" s="1">
        <v>227.91300000000001</v>
      </c>
      <c r="C844" s="1">
        <v>5.8722000000000002E-3</v>
      </c>
      <c r="D844" s="1">
        <v>-6.2307300000000003E-3</v>
      </c>
      <c r="E844" s="1">
        <v>3.8826000000000003E-4</v>
      </c>
      <c r="F844" s="1">
        <v>-4.8288600000000002E-6</v>
      </c>
      <c r="G844" s="1">
        <v>2.49007E-5</v>
      </c>
    </row>
    <row r="845" spans="2:7" x14ac:dyDescent="0.25">
      <c r="B845" s="1">
        <v>230.029</v>
      </c>
      <c r="C845" s="1">
        <v>5.7362400000000001E-3</v>
      </c>
      <c r="D845" s="1">
        <v>-6.1219400000000002E-3</v>
      </c>
      <c r="E845" s="1">
        <v>4.1358299999999997E-4</v>
      </c>
      <c r="F845" s="1">
        <v>-1.85888E-6</v>
      </c>
      <c r="G845" s="1">
        <v>2.60225E-5</v>
      </c>
    </row>
    <row r="846" spans="2:7" x14ac:dyDescent="0.25">
      <c r="B846" s="1">
        <v>232.14599999999999</v>
      </c>
      <c r="C846" s="1">
        <v>5.6029499999999998E-3</v>
      </c>
      <c r="D846" s="1">
        <v>-6.0147500000000001E-3</v>
      </c>
      <c r="E846" s="1">
        <v>4.3599099999999999E-4</v>
      </c>
      <c r="F846" s="1">
        <v>2.6037900000000001E-6</v>
      </c>
      <c r="G846" s="1">
        <v>2.6793099999999999E-5</v>
      </c>
    </row>
    <row r="847" spans="2:7" x14ac:dyDescent="0.25">
      <c r="B847" s="1">
        <v>234.26400000000001</v>
      </c>
      <c r="C847" s="1">
        <v>5.4723899999999997E-3</v>
      </c>
      <c r="D847" s="1">
        <v>-5.9085500000000003E-3</v>
      </c>
      <c r="E847" s="1">
        <v>4.5712900000000002E-4</v>
      </c>
      <c r="F847" s="1">
        <v>6.3836799999999998E-6</v>
      </c>
      <c r="G847" s="1">
        <v>2.7348400000000001E-5</v>
      </c>
    </row>
    <row r="848" spans="2:7" x14ac:dyDescent="0.25">
      <c r="B848" s="1">
        <v>236.38200000000001</v>
      </c>
      <c r="C848" s="1">
        <v>5.3448999999999997E-3</v>
      </c>
      <c r="D848" s="1">
        <v>-5.8034699999999998E-3</v>
      </c>
      <c r="E848" s="1">
        <v>4.7776200000000001E-4</v>
      </c>
      <c r="F848" s="1">
        <v>8.6174800000000004E-6</v>
      </c>
      <c r="G848" s="1">
        <v>2.7813900000000001E-5</v>
      </c>
    </row>
    <row r="849" spans="2:7" x14ac:dyDescent="0.25">
      <c r="B849" s="1">
        <v>238.50200000000001</v>
      </c>
      <c r="C849" s="1">
        <v>5.2209600000000002E-3</v>
      </c>
      <c r="D849" s="1">
        <v>-5.70033E-3</v>
      </c>
      <c r="E849" s="1">
        <v>4.9731600000000003E-4</v>
      </c>
      <c r="F849" s="1">
        <v>1.0358499999999999E-5</v>
      </c>
      <c r="G849" s="1">
        <v>2.82983E-5</v>
      </c>
    </row>
    <row r="850" spans="2:7" x14ac:dyDescent="0.25">
      <c r="B850" s="1">
        <v>240.62100000000001</v>
      </c>
      <c r="C850" s="1">
        <v>5.10065E-3</v>
      </c>
      <c r="D850" s="1">
        <v>-5.6001499999999999E-3</v>
      </c>
      <c r="E850" s="1">
        <v>5.1477800000000002E-4</v>
      </c>
      <c r="F850" s="1">
        <v>1.3552499999999999E-5</v>
      </c>
      <c r="G850" s="1">
        <v>2.8830899999999999E-5</v>
      </c>
    </row>
    <row r="851" spans="2:7" x14ac:dyDescent="0.25">
      <c r="B851" s="1">
        <v>242.74199999999999</v>
      </c>
      <c r="C851" s="1">
        <v>4.9832799999999997E-3</v>
      </c>
      <c r="D851" s="1">
        <v>-5.5033399999999998E-3</v>
      </c>
      <c r="E851" s="1">
        <v>5.3004300000000001E-4</v>
      </c>
      <c r="F851" s="1">
        <v>1.9378600000000001E-5</v>
      </c>
      <c r="G851" s="1">
        <v>2.9362599999999999E-5</v>
      </c>
    </row>
    <row r="852" spans="2:7" x14ac:dyDescent="0.25">
      <c r="B852" s="1">
        <v>244.863</v>
      </c>
      <c r="C852" s="1">
        <v>4.8673600000000003E-3</v>
      </c>
      <c r="D852" s="1">
        <v>-5.4093300000000004E-3</v>
      </c>
      <c r="E852" s="1">
        <v>5.4471499999999998E-4</v>
      </c>
      <c r="F852" s="1">
        <v>2.7071099999999999E-5</v>
      </c>
      <c r="G852" s="1">
        <v>2.98144E-5</v>
      </c>
    </row>
    <row r="853" spans="2:7" x14ac:dyDescent="0.25">
      <c r="B853" s="1">
        <v>246.98400000000001</v>
      </c>
      <c r="C853" s="1">
        <v>4.75115E-3</v>
      </c>
      <c r="D853" s="1">
        <v>-5.3167400000000004E-3</v>
      </c>
      <c r="E853" s="1">
        <v>5.6180100000000001E-4</v>
      </c>
      <c r="F853" s="1">
        <v>3.3911100000000001E-5</v>
      </c>
      <c r="G853" s="1">
        <v>3.01155E-5</v>
      </c>
    </row>
    <row r="854" spans="2:7" x14ac:dyDescent="0.25">
      <c r="B854" s="1">
        <v>249.10599999999999</v>
      </c>
      <c r="C854" s="1">
        <v>4.6334200000000001E-3</v>
      </c>
      <c r="D854" s="1">
        <v>-5.22421E-3</v>
      </c>
      <c r="E854" s="1">
        <v>5.8441700000000005E-4</v>
      </c>
      <c r="F854" s="1">
        <v>3.6557499999999997E-5</v>
      </c>
      <c r="G854" s="1">
        <v>3.0188900000000002E-5</v>
      </c>
    </row>
    <row r="855" spans="2:7" x14ac:dyDescent="0.25">
      <c r="B855" s="1">
        <v>251.22900000000001</v>
      </c>
      <c r="C855" s="1">
        <v>4.5138899999999996E-3</v>
      </c>
      <c r="D855" s="1">
        <v>-5.1313399999999999E-3</v>
      </c>
      <c r="E855" s="1">
        <v>6.1388999999999997E-4</v>
      </c>
      <c r="F855" s="1">
        <v>3.35614E-5</v>
      </c>
      <c r="G855" s="1">
        <v>3.00026E-5</v>
      </c>
    </row>
    <row r="856" spans="2:7" x14ac:dyDescent="0.25">
      <c r="B856" s="1">
        <v>253.351</v>
      </c>
      <c r="C856" s="1">
        <v>4.3932299999999997E-3</v>
      </c>
      <c r="D856" s="1">
        <v>-5.0390399999999998E-3</v>
      </c>
      <c r="E856" s="1">
        <v>6.4883400000000004E-4</v>
      </c>
      <c r="F856" s="1">
        <v>2.6551500000000002E-5</v>
      </c>
      <c r="G856" s="1">
        <v>2.95671E-5</v>
      </c>
    </row>
    <row r="857" spans="2:7" x14ac:dyDescent="0.25">
      <c r="B857" s="1">
        <v>255.47499999999999</v>
      </c>
      <c r="C857" s="1">
        <v>4.2725300000000001E-3</v>
      </c>
      <c r="D857" s="1">
        <v>-4.9485199999999997E-3</v>
      </c>
      <c r="E857" s="1">
        <v>6.8608799999999995E-4</v>
      </c>
      <c r="F857" s="1">
        <v>1.8822799999999999E-5</v>
      </c>
      <c r="G857" s="1">
        <v>2.8915899999999999E-5</v>
      </c>
    </row>
    <row r="858" spans="2:7" x14ac:dyDescent="0.25">
      <c r="B858" s="1">
        <v>257.59800000000001</v>
      </c>
      <c r="C858" s="1">
        <v>4.1528099999999998E-3</v>
      </c>
      <c r="D858" s="1">
        <v>-4.8602699999999999E-3</v>
      </c>
      <c r="E858" s="1">
        <v>7.22841E-4</v>
      </c>
      <c r="F858" s="1">
        <v>1.2680000000000001E-5</v>
      </c>
      <c r="G858" s="1">
        <v>2.8065600000000001E-5</v>
      </c>
    </row>
    <row r="859" spans="2:7" x14ac:dyDescent="0.25">
      <c r="B859" s="1">
        <v>259.72300000000001</v>
      </c>
      <c r="C859" s="1">
        <v>4.03477E-3</v>
      </c>
      <c r="D859" s="1">
        <v>-4.77407E-3</v>
      </c>
      <c r="E859" s="1">
        <v>7.5791200000000002E-4</v>
      </c>
      <c r="F859" s="1">
        <v>8.4139099999999999E-6</v>
      </c>
      <c r="G859" s="1">
        <v>2.70313E-5</v>
      </c>
    </row>
    <row r="860" spans="2:7" x14ac:dyDescent="0.25">
      <c r="B860" s="1">
        <v>261.84699999999998</v>
      </c>
      <c r="C860" s="1">
        <v>3.9188299999999999E-3</v>
      </c>
      <c r="D860" s="1">
        <v>-4.6897299999999996E-3</v>
      </c>
      <c r="E860" s="1">
        <v>7.9085099999999997E-4</v>
      </c>
      <c r="F860" s="1">
        <v>5.9615499999999997E-6</v>
      </c>
      <c r="G860" s="1">
        <v>2.5907499999999999E-5</v>
      </c>
    </row>
    <row r="861" spans="2:7" x14ac:dyDescent="0.25">
      <c r="B861" s="1">
        <v>263.971</v>
      </c>
      <c r="C861" s="1">
        <v>3.8051700000000001E-3</v>
      </c>
      <c r="D861" s="1">
        <v>-4.6073299999999998E-3</v>
      </c>
      <c r="E861" s="1">
        <v>8.2105700000000004E-4</v>
      </c>
      <c r="F861" s="1">
        <v>5.96159E-6</v>
      </c>
      <c r="G861" s="1">
        <v>2.4855099999999999E-5</v>
      </c>
    </row>
    <row r="862" spans="2:7" x14ac:dyDescent="0.25">
      <c r="B862" s="1">
        <v>266.096</v>
      </c>
      <c r="C862" s="1">
        <v>3.6937300000000001E-3</v>
      </c>
      <c r="D862" s="1">
        <v>-4.5267900000000002E-3</v>
      </c>
      <c r="E862" s="1">
        <v>8.4852099999999998E-4</v>
      </c>
      <c r="F862" s="1">
        <v>8.5156500000000004E-6</v>
      </c>
      <c r="G862" s="1">
        <v>2.3973099999999999E-5</v>
      </c>
    </row>
    <row r="863" spans="2:7" x14ac:dyDescent="0.25">
      <c r="B863" s="1">
        <v>268.22199999999998</v>
      </c>
      <c r="C863" s="1">
        <v>3.5841900000000001E-3</v>
      </c>
      <c r="D863" s="1">
        <v>-4.4476799999999999E-3</v>
      </c>
      <c r="E863" s="1">
        <v>8.7412399999999999E-4</v>
      </c>
      <c r="F863" s="1">
        <v>1.2626899999999999E-5</v>
      </c>
      <c r="G863" s="1">
        <v>2.3260599999999999E-5</v>
      </c>
    </row>
    <row r="864" spans="2:7" x14ac:dyDescent="0.25">
      <c r="B864" s="1">
        <v>270.34800000000001</v>
      </c>
      <c r="C864" s="1">
        <v>3.4762E-3</v>
      </c>
      <c r="D864" s="1">
        <v>-4.3695899999999996E-3</v>
      </c>
      <c r="E864" s="1">
        <v>8.9883499999999996E-4</v>
      </c>
      <c r="F864" s="1">
        <v>1.7232400000000001E-5</v>
      </c>
      <c r="G864" s="1">
        <v>2.2674700000000002E-5</v>
      </c>
    </row>
    <row r="865" spans="2:7" x14ac:dyDescent="0.25">
      <c r="B865" s="1">
        <v>272.47399999999999</v>
      </c>
      <c r="C865" s="1">
        <v>3.3693899999999999E-3</v>
      </c>
      <c r="D865" s="1">
        <v>-4.2923099999999997E-3</v>
      </c>
      <c r="E865" s="1">
        <v>9.2325299999999996E-4</v>
      </c>
      <c r="F865" s="1">
        <v>2.1872899999999999E-5</v>
      </c>
      <c r="G865" s="1">
        <v>2.2207900000000001E-5</v>
      </c>
    </row>
    <row r="866" spans="2:7" x14ac:dyDescent="0.25">
      <c r="B866" s="1">
        <v>274.60000000000002</v>
      </c>
      <c r="C866" s="1">
        <v>3.2635300000000002E-3</v>
      </c>
      <c r="D866" s="1">
        <v>-4.2156399999999997E-3</v>
      </c>
      <c r="E866" s="1">
        <v>9.4822600000000004E-4</v>
      </c>
      <c r="F866" s="1">
        <v>2.5755600000000001E-5</v>
      </c>
      <c r="G866" s="1">
        <v>2.18687E-5</v>
      </c>
    </row>
    <row r="867" spans="2:7" x14ac:dyDescent="0.25">
      <c r="B867" s="1">
        <v>276.72699999999998</v>
      </c>
      <c r="C867" s="1">
        <v>3.1585599999999999E-3</v>
      </c>
      <c r="D867" s="1">
        <v>-4.1392900000000003E-3</v>
      </c>
      <c r="E867" s="1">
        <v>9.7515500000000001E-4</v>
      </c>
      <c r="F867" s="1">
        <v>2.72106E-5</v>
      </c>
      <c r="G867" s="1">
        <v>2.16372E-5</v>
      </c>
    </row>
    <row r="868" spans="2:7" x14ac:dyDescent="0.25">
      <c r="B868" s="1">
        <v>278.85300000000001</v>
      </c>
      <c r="C868" s="1">
        <v>3.0546700000000002E-3</v>
      </c>
      <c r="D868" s="1">
        <v>-4.0633700000000002E-3</v>
      </c>
      <c r="E868" s="1">
        <v>1.00467E-3</v>
      </c>
      <c r="F868" s="1">
        <v>2.5542699999999999E-5</v>
      </c>
      <c r="G868" s="1">
        <v>2.15168E-5</v>
      </c>
    </row>
    <row r="869" spans="2:7" x14ac:dyDescent="0.25">
      <c r="B869" s="1">
        <v>280.98099999999999</v>
      </c>
      <c r="C869" s="1">
        <v>2.9522400000000001E-3</v>
      </c>
      <c r="D869" s="1">
        <v>-3.9886899999999996E-3</v>
      </c>
      <c r="E869" s="1">
        <v>1.0354299999999999E-3</v>
      </c>
      <c r="F869" s="1">
        <v>2.2617699999999999E-5</v>
      </c>
      <c r="G869" s="1">
        <v>2.1591799999999999E-5</v>
      </c>
    </row>
    <row r="870" spans="2:7" x14ac:dyDescent="0.25">
      <c r="B870" s="1">
        <v>283.108</v>
      </c>
      <c r="C870" s="1">
        <v>2.8515400000000001E-3</v>
      </c>
      <c r="D870" s="1">
        <v>-3.9160499999999999E-3</v>
      </c>
      <c r="E870" s="1">
        <v>1.0652299999999999E-3</v>
      </c>
      <c r="F870" s="1">
        <v>2.12322E-5</v>
      </c>
      <c r="G870" s="1">
        <v>2.1954699999999998E-5</v>
      </c>
    </row>
    <row r="871" spans="2:7" x14ac:dyDescent="0.25">
      <c r="B871" s="1">
        <v>285.23599999999999</v>
      </c>
      <c r="C871" s="1">
        <v>2.7525700000000002E-3</v>
      </c>
      <c r="D871" s="1">
        <v>-3.8455400000000002E-3</v>
      </c>
      <c r="E871" s="1">
        <v>1.0930499999999999E-3</v>
      </c>
      <c r="F871" s="1">
        <v>2.25413E-5</v>
      </c>
      <c r="G871" s="1">
        <v>2.2631899999999999E-5</v>
      </c>
    </row>
    <row r="872" spans="2:7" x14ac:dyDescent="0.25">
      <c r="B872" s="1">
        <v>287.363</v>
      </c>
      <c r="C872" s="1">
        <v>2.6550900000000001E-3</v>
      </c>
      <c r="D872" s="1">
        <v>-3.7766000000000002E-3</v>
      </c>
      <c r="E872" s="1">
        <v>1.11959E-3</v>
      </c>
      <c r="F872" s="1">
        <v>2.5470099999999999E-5</v>
      </c>
      <c r="G872" s="1">
        <v>2.35531E-5</v>
      </c>
    </row>
    <row r="873" spans="2:7" x14ac:dyDescent="0.25">
      <c r="B873" s="1">
        <v>289.49200000000002</v>
      </c>
      <c r="C873" s="1">
        <v>2.5588999999999998E-3</v>
      </c>
      <c r="D873" s="1">
        <v>-3.70871E-3</v>
      </c>
      <c r="E873" s="1">
        <v>1.1462E-3</v>
      </c>
      <c r="F873" s="1">
        <v>2.8191399999999999E-5</v>
      </c>
      <c r="G873" s="1">
        <v>2.4583499999999999E-5</v>
      </c>
    </row>
    <row r="874" spans="2:7" x14ac:dyDescent="0.25">
      <c r="B874" s="1">
        <v>291.62</v>
      </c>
      <c r="C874" s="1">
        <v>2.4640299999999999E-3</v>
      </c>
      <c r="D874" s="1">
        <v>-3.6419199999999999E-3</v>
      </c>
      <c r="E874" s="1">
        <v>1.1737E-3</v>
      </c>
      <c r="F874" s="1">
        <v>2.9781199999999999E-5</v>
      </c>
      <c r="G874" s="1">
        <v>2.5580099999999999E-5</v>
      </c>
    </row>
    <row r="875" spans="2:7" x14ac:dyDescent="0.25">
      <c r="B875" s="1">
        <v>293.74799999999999</v>
      </c>
      <c r="C875" s="1">
        <v>2.37076E-3</v>
      </c>
      <c r="D875" s="1">
        <v>-3.5768699999999998E-3</v>
      </c>
      <c r="E875" s="1">
        <v>1.2017499999999999E-3</v>
      </c>
      <c r="F875" s="1">
        <v>3.07954E-5</v>
      </c>
      <c r="G875" s="1">
        <v>2.6435400000000001E-5</v>
      </c>
    </row>
    <row r="876" spans="2:7" x14ac:dyDescent="0.25">
      <c r="B876" s="1">
        <v>295.87599999999998</v>
      </c>
      <c r="C876" s="1">
        <v>2.2794500000000001E-3</v>
      </c>
      <c r="D876" s="1">
        <v>-3.51418E-3</v>
      </c>
      <c r="E876" s="1">
        <v>1.2292900000000001E-3</v>
      </c>
      <c r="F876" s="1">
        <v>3.2555100000000003E-5</v>
      </c>
      <c r="G876" s="1">
        <v>2.71181E-5</v>
      </c>
    </row>
    <row r="877" spans="2:7" x14ac:dyDescent="0.25">
      <c r="B877" s="1">
        <v>298.005</v>
      </c>
      <c r="C877" s="1">
        <v>2.19039E-3</v>
      </c>
      <c r="D877" s="1">
        <v>-3.4538799999999999E-3</v>
      </c>
      <c r="E877" s="1">
        <v>1.25566E-3</v>
      </c>
      <c r="F877" s="1">
        <v>3.5460000000000003E-5</v>
      </c>
      <c r="G877" s="1">
        <v>2.7628E-5</v>
      </c>
    </row>
    <row r="878" spans="2:7" x14ac:dyDescent="0.25">
      <c r="B878" s="1">
        <v>300.13400000000001</v>
      </c>
      <c r="C878" s="1">
        <v>2.10363E-3</v>
      </c>
      <c r="D878" s="1">
        <v>-3.3952399999999999E-3</v>
      </c>
      <c r="E878" s="1">
        <v>1.28123E-3</v>
      </c>
      <c r="F878" s="1">
        <v>3.8279799999999999E-5</v>
      </c>
      <c r="G878" s="1">
        <v>2.7907900000000001E-5</v>
      </c>
    </row>
    <row r="879" spans="2:7" x14ac:dyDescent="0.25">
      <c r="B879" s="1">
        <v>302.26299999999998</v>
      </c>
      <c r="C879" s="1">
        <v>2.0191100000000002E-3</v>
      </c>
      <c r="D879" s="1">
        <v>-3.3376E-3</v>
      </c>
      <c r="E879" s="1">
        <v>1.30667E-3</v>
      </c>
      <c r="F879" s="1">
        <v>3.97204E-5</v>
      </c>
      <c r="G879" s="1">
        <v>2.79075E-5</v>
      </c>
    </row>
    <row r="880" spans="2:7" x14ac:dyDescent="0.25">
      <c r="B880" s="1">
        <v>304.39299999999997</v>
      </c>
      <c r="C880" s="1">
        <v>1.9366800000000001E-3</v>
      </c>
      <c r="D880" s="1">
        <v>-3.2808999999999998E-3</v>
      </c>
      <c r="E880" s="1">
        <v>1.3321100000000001E-3</v>
      </c>
      <c r="F880" s="1">
        <v>3.97636E-5</v>
      </c>
      <c r="G880" s="1">
        <v>2.76558E-5</v>
      </c>
    </row>
    <row r="881" spans="2:7" x14ac:dyDescent="0.25">
      <c r="B881" s="1">
        <v>306.52199999999999</v>
      </c>
      <c r="C881" s="1">
        <v>1.8562400000000001E-3</v>
      </c>
      <c r="D881" s="1">
        <v>-3.2254900000000001E-3</v>
      </c>
      <c r="E881" s="1">
        <v>1.35728E-3</v>
      </c>
      <c r="F881" s="1">
        <v>3.9201600000000001E-5</v>
      </c>
      <c r="G881" s="1">
        <v>2.7236399999999999E-5</v>
      </c>
    </row>
    <row r="882" spans="2:7" x14ac:dyDescent="0.25">
      <c r="B882" s="1">
        <v>308.65100000000001</v>
      </c>
      <c r="C882" s="1">
        <v>1.7777400000000001E-3</v>
      </c>
      <c r="D882" s="1">
        <v>-3.17155E-3</v>
      </c>
      <c r="E882" s="1">
        <v>1.3820200000000001E-3</v>
      </c>
      <c r="F882" s="1">
        <v>3.8537300000000001E-5</v>
      </c>
      <c r="G882" s="1">
        <v>2.6744200000000001E-5</v>
      </c>
    </row>
    <row r="883" spans="2:7" x14ac:dyDescent="0.25">
      <c r="B883" s="1">
        <v>310.78100000000001</v>
      </c>
      <c r="C883" s="1">
        <v>1.7011400000000001E-3</v>
      </c>
      <c r="D883" s="1">
        <v>-3.1189099999999999E-3</v>
      </c>
      <c r="E883" s="1">
        <v>1.4066700000000001E-3</v>
      </c>
      <c r="F883" s="1">
        <v>3.7309499999999999E-5</v>
      </c>
      <c r="G883" s="1">
        <v>2.6217700000000001E-5</v>
      </c>
    </row>
    <row r="884" spans="2:7" x14ac:dyDescent="0.25">
      <c r="B884" s="1">
        <v>312.911</v>
      </c>
      <c r="C884" s="1">
        <v>1.6264700000000001E-3</v>
      </c>
      <c r="D884" s="1">
        <v>-3.0673100000000002E-3</v>
      </c>
      <c r="E884" s="1">
        <v>1.4315E-3</v>
      </c>
      <c r="F884" s="1">
        <v>3.5002999999999997E-5</v>
      </c>
      <c r="G884" s="1">
        <v>2.5657399999999999E-5</v>
      </c>
    </row>
    <row r="885" spans="2:7" x14ac:dyDescent="0.25">
      <c r="B885" s="1">
        <v>315.04199999999997</v>
      </c>
      <c r="C885" s="1">
        <v>1.5537700000000001E-3</v>
      </c>
      <c r="D885" s="1">
        <v>-3.0168600000000001E-3</v>
      </c>
      <c r="E885" s="1">
        <v>1.4560700000000001E-3</v>
      </c>
      <c r="F885" s="1">
        <v>3.2096700000000001E-5</v>
      </c>
      <c r="G885" s="1">
        <v>2.5074899999999999E-5</v>
      </c>
    </row>
    <row r="886" spans="2:7" x14ac:dyDescent="0.25">
      <c r="B886" s="1">
        <v>317.17200000000003</v>
      </c>
      <c r="C886" s="1">
        <v>1.48307E-3</v>
      </c>
      <c r="D886" s="1">
        <v>-2.9677200000000001E-3</v>
      </c>
      <c r="E886" s="1">
        <v>1.4796399999999999E-3</v>
      </c>
      <c r="F886" s="1">
        <v>2.9474800000000001E-5</v>
      </c>
      <c r="G886" s="1">
        <v>2.44662E-5</v>
      </c>
    </row>
    <row r="887" spans="2:7" x14ac:dyDescent="0.25">
      <c r="B887" s="1">
        <v>319.30200000000002</v>
      </c>
      <c r="C887" s="1">
        <v>1.4143300000000001E-3</v>
      </c>
      <c r="D887" s="1">
        <v>-2.9199600000000001E-3</v>
      </c>
      <c r="E887" s="1">
        <v>1.5017400000000001E-3</v>
      </c>
      <c r="F887" s="1">
        <v>2.7684499999999999E-5</v>
      </c>
      <c r="G887" s="1">
        <v>2.37927E-5</v>
      </c>
    </row>
    <row r="888" spans="2:7" x14ac:dyDescent="0.25">
      <c r="B888" s="1">
        <v>321.43299999999999</v>
      </c>
      <c r="C888" s="1">
        <v>1.3474299999999999E-3</v>
      </c>
      <c r="D888" s="1">
        <v>-2.87367E-3</v>
      </c>
      <c r="E888" s="1">
        <v>1.52198E-3</v>
      </c>
      <c r="F888" s="1">
        <v>2.7302500000000002E-5</v>
      </c>
      <c r="G888" s="1">
        <v>2.3050399999999999E-5</v>
      </c>
    </row>
    <row r="889" spans="2:7" x14ac:dyDescent="0.25">
      <c r="B889" s="1">
        <v>323.56299999999999</v>
      </c>
      <c r="C889" s="1">
        <v>1.2822199999999999E-3</v>
      </c>
      <c r="D889" s="1">
        <v>-2.8289399999999998E-3</v>
      </c>
      <c r="E889" s="1">
        <v>1.54013E-3</v>
      </c>
      <c r="F889" s="1">
        <v>2.88671E-5</v>
      </c>
      <c r="G889" s="1">
        <v>2.22689E-5</v>
      </c>
    </row>
    <row r="890" spans="2:7" x14ac:dyDescent="0.25">
      <c r="B890" s="1">
        <v>325.69400000000002</v>
      </c>
      <c r="C890" s="1">
        <v>1.2185399999999999E-3</v>
      </c>
      <c r="D890" s="1">
        <v>-2.7856500000000002E-3</v>
      </c>
      <c r="E890" s="1">
        <v>1.5566200000000001E-3</v>
      </c>
      <c r="F890" s="1">
        <v>3.1944799999999999E-5</v>
      </c>
      <c r="G890" s="1">
        <v>2.1453700000000001E-5</v>
      </c>
    </row>
    <row r="891" spans="2:7" x14ac:dyDescent="0.25">
      <c r="B891" s="1">
        <v>327.82600000000002</v>
      </c>
      <c r="C891" s="1">
        <v>1.1563299999999999E-3</v>
      </c>
      <c r="D891" s="1">
        <v>-2.7434999999999998E-3</v>
      </c>
      <c r="E891" s="1">
        <v>1.5727200000000001E-3</v>
      </c>
      <c r="F891" s="1">
        <v>3.5028899999999999E-5</v>
      </c>
      <c r="G891" s="1">
        <v>2.0581399999999999E-5</v>
      </c>
    </row>
    <row r="892" spans="2:7" x14ac:dyDescent="0.25">
      <c r="B892" s="1">
        <v>329.95600000000002</v>
      </c>
      <c r="C892" s="1">
        <v>1.0955800000000001E-3</v>
      </c>
      <c r="D892" s="1">
        <v>-2.7023799999999999E-3</v>
      </c>
      <c r="E892" s="1">
        <v>1.5896700000000001E-3</v>
      </c>
      <c r="F892" s="1">
        <v>3.6739000000000002E-5</v>
      </c>
      <c r="G892" s="1">
        <v>1.9607799999999999E-5</v>
      </c>
    </row>
    <row r="893" spans="2:7" x14ac:dyDescent="0.25">
      <c r="B893" s="1">
        <v>332.08800000000002</v>
      </c>
      <c r="C893" s="1">
        <v>1.03633E-3</v>
      </c>
      <c r="D893" s="1">
        <v>-2.6625300000000002E-3</v>
      </c>
      <c r="E893" s="1">
        <v>1.60776E-3</v>
      </c>
      <c r="F893" s="1">
        <v>3.6934000000000002E-5</v>
      </c>
      <c r="G893" s="1">
        <v>1.8491900000000002E-5</v>
      </c>
    </row>
    <row r="894" spans="2:7" x14ac:dyDescent="0.25">
      <c r="B894" s="1">
        <v>334.21899999999999</v>
      </c>
      <c r="C894" s="1">
        <v>9.7862699999999993E-4</v>
      </c>
      <c r="D894" s="1">
        <v>-2.6243999999999998E-3</v>
      </c>
      <c r="E894" s="1">
        <v>1.6264000000000001E-3</v>
      </c>
      <c r="F894" s="1">
        <v>3.6573999999999999E-5</v>
      </c>
      <c r="G894" s="1">
        <v>1.7207800000000002E-5</v>
      </c>
    </row>
    <row r="895" spans="2:7" x14ac:dyDescent="0.25">
      <c r="B895" s="1">
        <v>336.35</v>
      </c>
      <c r="C895" s="1">
        <v>9.2245499999999998E-4</v>
      </c>
      <c r="D895" s="1">
        <v>-2.58822E-3</v>
      </c>
      <c r="E895" s="1">
        <v>1.64478E-3</v>
      </c>
      <c r="F895" s="1">
        <v>3.6710600000000001E-5</v>
      </c>
      <c r="G895" s="1">
        <v>1.5724999999999999E-5</v>
      </c>
    </row>
    <row r="896" spans="2:7" x14ac:dyDescent="0.25">
      <c r="B896" s="1">
        <v>338.48200000000003</v>
      </c>
      <c r="C896" s="1">
        <v>8.6773199999999997E-4</v>
      </c>
      <c r="D896" s="1">
        <v>-2.55397E-3</v>
      </c>
      <c r="E896" s="1">
        <v>1.6625100000000001E-3</v>
      </c>
      <c r="F896" s="1">
        <v>3.7746500000000002E-5</v>
      </c>
      <c r="G896" s="1">
        <v>1.40185E-5</v>
      </c>
    </row>
    <row r="897" spans="2:7" x14ac:dyDescent="0.25">
      <c r="B897" s="1">
        <v>340.61399999999998</v>
      </c>
      <c r="C897" s="1">
        <v>8.1436300000000002E-4</v>
      </c>
      <c r="D897" s="1">
        <v>-2.5215400000000001E-3</v>
      </c>
      <c r="E897" s="1">
        <v>1.6797299999999999E-3</v>
      </c>
      <c r="F897" s="1">
        <v>3.95287E-5</v>
      </c>
      <c r="G897" s="1">
        <v>1.20801E-5</v>
      </c>
    </row>
    <row r="898" spans="2:7" x14ac:dyDescent="0.25">
      <c r="B898" s="1">
        <v>342.745</v>
      </c>
      <c r="C898" s="1">
        <v>7.62297E-4</v>
      </c>
      <c r="D898" s="1">
        <v>-2.4908899999999999E-3</v>
      </c>
      <c r="E898" s="1">
        <v>1.69669E-3</v>
      </c>
      <c r="F898" s="1">
        <v>4.1828600000000001E-5</v>
      </c>
      <c r="G898" s="1">
        <v>9.9321299999999997E-6</v>
      </c>
    </row>
    <row r="899" spans="2:7" x14ac:dyDescent="0.25">
      <c r="B899" s="1">
        <v>344.87799999999999</v>
      </c>
      <c r="C899" s="1">
        <v>7.1154900000000001E-4</v>
      </c>
      <c r="D899" s="1">
        <v>-2.46204E-3</v>
      </c>
      <c r="E899" s="1">
        <v>1.7135500000000001E-3</v>
      </c>
      <c r="F899" s="1">
        <v>4.4568799999999999E-5</v>
      </c>
      <c r="G899" s="1">
        <v>7.6247299999999996E-6</v>
      </c>
    </row>
    <row r="900" spans="2:7" x14ac:dyDescent="0.25">
      <c r="B900" s="1">
        <v>347.01</v>
      </c>
      <c r="C900" s="1">
        <v>6.6219100000000002E-4</v>
      </c>
      <c r="D900" s="1">
        <v>-2.4349699999999998E-3</v>
      </c>
      <c r="E900" s="1">
        <v>1.7302299999999999E-3</v>
      </c>
      <c r="F900" s="1">
        <v>4.7751799999999999E-5</v>
      </c>
      <c r="G900" s="1">
        <v>5.2100500000000002E-6</v>
      </c>
    </row>
    <row r="901" spans="2:7" x14ac:dyDescent="0.25">
      <c r="B901" s="1">
        <v>349.142</v>
      </c>
      <c r="C901" s="1">
        <v>6.1434900000000004E-4</v>
      </c>
      <c r="D901" s="1">
        <v>-2.4095000000000002E-3</v>
      </c>
      <c r="E901" s="1">
        <v>1.7466199999999999E-3</v>
      </c>
      <c r="F901" s="1">
        <v>5.12844E-5</v>
      </c>
      <c r="G901" s="1">
        <v>2.7484499999999999E-6</v>
      </c>
    </row>
    <row r="902" spans="2:7" x14ac:dyDescent="0.25">
      <c r="B902" s="1">
        <v>351.274</v>
      </c>
      <c r="C902" s="1">
        <v>5.6819599999999998E-4</v>
      </c>
      <c r="D902" s="1">
        <v>-2.3852999999999999E-3</v>
      </c>
      <c r="E902" s="1">
        <v>1.76268E-3</v>
      </c>
      <c r="F902" s="1">
        <v>5.4734800000000003E-5</v>
      </c>
      <c r="G902" s="1">
        <v>3.1414700000000001E-7</v>
      </c>
    </row>
    <row r="903" spans="2:7" x14ac:dyDescent="0.25">
      <c r="B903" s="1">
        <v>353.40600000000001</v>
      </c>
      <c r="C903" s="1">
        <v>5.2395499999999999E-4</v>
      </c>
      <c r="D903" s="1">
        <v>-2.3618900000000002E-3</v>
      </c>
      <c r="E903" s="1">
        <v>1.7786200000000001E-3</v>
      </c>
      <c r="F903" s="1">
        <v>5.7287000000000002E-5</v>
      </c>
      <c r="G903" s="1">
        <v>-2.0308000000000001E-6</v>
      </c>
    </row>
    <row r="904" spans="2:7" x14ac:dyDescent="0.25">
      <c r="B904" s="1">
        <v>355.53899999999999</v>
      </c>
      <c r="C904" s="1">
        <v>4.8187300000000001E-4</v>
      </c>
      <c r="D904" s="1">
        <v>-2.3389600000000002E-3</v>
      </c>
      <c r="E904" s="1">
        <v>1.7945999999999999E-3</v>
      </c>
      <c r="F904" s="1">
        <v>5.8242699999999997E-5</v>
      </c>
      <c r="G904" s="1">
        <v>-4.2390000000000004E-6</v>
      </c>
    </row>
    <row r="905" spans="2:7" x14ac:dyDescent="0.25">
      <c r="B905" s="1">
        <v>357.67099999999999</v>
      </c>
      <c r="C905" s="1">
        <v>4.4217900000000001E-4</v>
      </c>
      <c r="D905" s="1">
        <v>-2.3165400000000002E-3</v>
      </c>
      <c r="E905" s="1">
        <v>1.8104900000000001E-3</v>
      </c>
      <c r="F905" s="1">
        <v>5.7611200000000002E-5</v>
      </c>
      <c r="G905" s="1">
        <v>-6.2526199999999998E-6</v>
      </c>
    </row>
    <row r="906" spans="2:7" x14ac:dyDescent="0.25">
      <c r="B906" s="1">
        <v>359.80399999999997</v>
      </c>
      <c r="C906" s="1">
        <v>4.0502700000000002E-4</v>
      </c>
      <c r="D906" s="1">
        <v>-2.2949799999999998E-3</v>
      </c>
      <c r="E906" s="1">
        <v>1.8259000000000001E-3</v>
      </c>
      <c r="F906" s="1">
        <v>5.60343E-5</v>
      </c>
      <c r="G906" s="1">
        <v>-8.0248100000000005E-6</v>
      </c>
    </row>
    <row r="907" spans="2:7" x14ac:dyDescent="0.25">
      <c r="B907" s="1">
        <v>361.93700000000001</v>
      </c>
      <c r="C907" s="1">
        <v>3.70465E-4</v>
      </c>
      <c r="D907" s="1">
        <v>-2.2747000000000002E-3</v>
      </c>
      <c r="E907" s="1">
        <v>1.8404000000000001E-3</v>
      </c>
      <c r="F907" s="1">
        <v>5.4289500000000003E-5</v>
      </c>
      <c r="G907" s="1">
        <v>-9.5430899999999995E-6</v>
      </c>
    </row>
    <row r="908" spans="2:7" x14ac:dyDescent="0.25">
      <c r="B908" s="1">
        <v>364.06900000000002</v>
      </c>
      <c r="C908" s="1">
        <v>3.3843300000000002E-4</v>
      </c>
      <c r="D908" s="1">
        <v>-2.2558700000000001E-3</v>
      </c>
      <c r="E908" s="1">
        <v>1.8536799999999999E-3</v>
      </c>
      <c r="F908" s="1">
        <v>5.2934299999999999E-5</v>
      </c>
      <c r="G908" s="1">
        <v>-1.08296E-5</v>
      </c>
    </row>
    <row r="909" spans="2:7" x14ac:dyDescent="0.25">
      <c r="B909" s="1">
        <v>366.202</v>
      </c>
      <c r="C909" s="1">
        <v>3.0879399999999998E-4</v>
      </c>
      <c r="D909" s="1">
        <v>-2.2384900000000001E-3</v>
      </c>
      <c r="E909" s="1">
        <v>1.8656E-3</v>
      </c>
      <c r="F909" s="1">
        <v>5.2138400000000002E-5</v>
      </c>
      <c r="G909" s="1">
        <v>-1.1953199999999999E-5</v>
      </c>
    </row>
    <row r="910" spans="2:7" x14ac:dyDescent="0.25">
      <c r="B910" s="1">
        <v>368.33499999999998</v>
      </c>
      <c r="C910" s="1">
        <v>2.8137399999999998E-4</v>
      </c>
      <c r="D910" s="1">
        <v>-2.2224100000000002E-3</v>
      </c>
      <c r="E910" s="1">
        <v>1.8762399999999999E-3</v>
      </c>
      <c r="F910" s="1">
        <v>5.1815099999999998E-5</v>
      </c>
      <c r="G910" s="1">
        <v>-1.29824E-5</v>
      </c>
    </row>
    <row r="911" spans="2:7" x14ac:dyDescent="0.25">
      <c r="B911" s="1">
        <v>370.46800000000002</v>
      </c>
      <c r="C911" s="1">
        <v>2.5599599999999998E-4</v>
      </c>
      <c r="D911" s="1">
        <v>-2.2075799999999998E-3</v>
      </c>
      <c r="E911" s="1">
        <v>1.88579E-3</v>
      </c>
      <c r="F911" s="1">
        <v>5.1867899999999999E-5</v>
      </c>
      <c r="G911" s="1">
        <v>-1.3934000000000001E-5</v>
      </c>
    </row>
    <row r="912" spans="2:7" x14ac:dyDescent="0.25">
      <c r="B912" s="1">
        <v>372.601</v>
      </c>
      <c r="C912" s="1">
        <v>2.32496E-4</v>
      </c>
      <c r="D912" s="1">
        <v>-2.1940000000000002E-3</v>
      </c>
      <c r="E912" s="1">
        <v>1.8946200000000001E-3</v>
      </c>
      <c r="F912" s="1">
        <v>5.2079200000000001E-5</v>
      </c>
      <c r="G912" s="1">
        <v>-1.48067E-5</v>
      </c>
    </row>
    <row r="913" spans="1:8" x14ac:dyDescent="0.25">
      <c r="B913" s="1">
        <v>374.73399999999998</v>
      </c>
      <c r="C913" s="1">
        <v>2.10752E-4</v>
      </c>
      <c r="D913" s="1">
        <v>-2.1816299999999999E-3</v>
      </c>
      <c r="E913" s="1">
        <v>1.90321E-3</v>
      </c>
      <c r="F913" s="1">
        <v>5.2080899999999998E-5</v>
      </c>
      <c r="G913" s="1">
        <v>-1.5587499999999999E-5</v>
      </c>
    </row>
    <row r="914" spans="1:8" x14ac:dyDescent="0.25">
      <c r="B914" s="1">
        <v>376.86700000000002</v>
      </c>
      <c r="C914" s="1">
        <v>1.9070099999999999E-4</v>
      </c>
      <c r="D914" s="1">
        <v>-2.1704699999999999E-3</v>
      </c>
      <c r="E914" s="1">
        <v>1.91179E-3</v>
      </c>
      <c r="F914" s="1">
        <v>5.1727900000000003E-5</v>
      </c>
      <c r="G914" s="1">
        <v>-1.62493E-5</v>
      </c>
    </row>
    <row r="915" spans="1:8" x14ac:dyDescent="0.25">
      <c r="B915" s="1">
        <v>379</v>
      </c>
      <c r="C915" s="1">
        <v>1.72356E-4</v>
      </c>
      <c r="D915" s="1">
        <v>-2.16051E-3</v>
      </c>
      <c r="E915" s="1">
        <v>1.9201000000000001E-3</v>
      </c>
      <c r="F915" s="1">
        <v>5.1259499999999999E-5</v>
      </c>
      <c r="G915" s="1">
        <v>-1.67947E-5</v>
      </c>
    </row>
    <row r="916" spans="1:8" x14ac:dyDescent="0.25">
      <c r="B916" s="1">
        <v>381.13400000000001</v>
      </c>
      <c r="C916" s="1">
        <v>1.5579799999999999E-4</v>
      </c>
      <c r="D916" s="1">
        <v>-2.1517900000000002E-3</v>
      </c>
      <c r="E916" s="1">
        <v>1.9276E-3</v>
      </c>
      <c r="F916" s="1">
        <v>5.1139600000000001E-5</v>
      </c>
      <c r="G916" s="1">
        <v>-1.7246200000000001E-5</v>
      </c>
    </row>
    <row r="917" spans="1:8" x14ac:dyDescent="0.25">
      <c r="B917" s="1">
        <v>383.267</v>
      </c>
      <c r="C917" s="1">
        <v>1.4115899999999999E-4</v>
      </c>
      <c r="D917" s="1">
        <v>-2.1443899999999999E-3</v>
      </c>
      <c r="E917" s="1">
        <v>1.9336900000000001E-3</v>
      </c>
      <c r="F917" s="1">
        <v>5.1908099999999999E-5</v>
      </c>
      <c r="G917" s="1">
        <v>-1.76338E-5</v>
      </c>
    </row>
    <row r="918" spans="1:8" x14ac:dyDescent="0.25">
      <c r="B918" s="1">
        <v>385.4</v>
      </c>
      <c r="C918" s="1">
        <v>1.2860700000000001E-4</v>
      </c>
      <c r="D918" s="1">
        <v>-2.1384799999999999E-3</v>
      </c>
      <c r="E918" s="1">
        <v>1.93805E-3</v>
      </c>
      <c r="F918" s="1">
        <v>5.3852900000000001E-5</v>
      </c>
      <c r="G918" s="1">
        <v>-1.79703E-5</v>
      </c>
    </row>
    <row r="919" spans="1:8" x14ac:dyDescent="0.25">
      <c r="B919" s="1">
        <v>387.53399999999999</v>
      </c>
      <c r="C919" s="1">
        <v>1.18316E-4</v>
      </c>
      <c r="D919" s="1">
        <v>-2.1340899999999999E-3</v>
      </c>
      <c r="E919" s="1">
        <v>1.9409500000000001E-3</v>
      </c>
      <c r="F919" s="1">
        <v>5.6569500000000001E-5</v>
      </c>
      <c r="G919" s="1">
        <v>-1.8253700000000001E-5</v>
      </c>
    </row>
    <row r="920" spans="1:8" x14ac:dyDescent="0.25">
      <c r="B920" s="1">
        <v>389.66699999999997</v>
      </c>
      <c r="C920" s="1">
        <v>1.1044699999999999E-4</v>
      </c>
      <c r="D920" s="1">
        <v>-2.1310299999999999E-3</v>
      </c>
      <c r="E920" s="1">
        <v>1.9429899999999999E-3</v>
      </c>
      <c r="F920" s="1">
        <v>5.9110600000000003E-5</v>
      </c>
      <c r="G920" s="1">
        <v>-1.8485600000000001E-5</v>
      </c>
    </row>
    <row r="921" spans="1:8" x14ac:dyDescent="0.25">
      <c r="B921" s="1">
        <v>391.8</v>
      </c>
      <c r="C921" s="1">
        <v>1.0513E-4</v>
      </c>
      <c r="D921" s="1">
        <v>-2.1290900000000001E-3</v>
      </c>
      <c r="E921" s="1">
        <v>1.9445599999999999E-3</v>
      </c>
      <c r="F921" s="1">
        <v>6.0745100000000002E-5</v>
      </c>
      <c r="G921" s="1">
        <v>-1.8655E-5</v>
      </c>
    </row>
    <row r="922" spans="1:8" x14ac:dyDescent="0.25">
      <c r="B922" s="1">
        <v>393.93299999999999</v>
      </c>
      <c r="C922" s="1">
        <v>1.0245E-4</v>
      </c>
      <c r="D922" s="1">
        <v>-2.1281300000000002E-3</v>
      </c>
      <c r="E922" s="1">
        <v>1.9455099999999999E-3</v>
      </c>
      <c r="F922" s="1">
        <v>6.1419800000000004E-5</v>
      </c>
      <c r="G922" s="1">
        <v>-1.87463E-5</v>
      </c>
    </row>
    <row r="925" spans="1:8" x14ac:dyDescent="0.25">
      <c r="A925" t="s">
        <v>376</v>
      </c>
      <c r="B925" t="s">
        <v>36</v>
      </c>
      <c r="C925" t="s">
        <v>449</v>
      </c>
      <c r="D925" t="s">
        <v>117</v>
      </c>
    </row>
    <row r="926" spans="1:8" x14ac:dyDescent="0.25">
      <c r="B926" t="s">
        <v>370</v>
      </c>
      <c r="C926" t="s">
        <v>377</v>
      </c>
      <c r="D926" t="s">
        <v>378</v>
      </c>
      <c r="E926" t="s">
        <v>452</v>
      </c>
      <c r="F926" t="s">
        <v>380</v>
      </c>
      <c r="G926" t="s">
        <v>381</v>
      </c>
      <c r="H926" t="s">
        <v>382</v>
      </c>
    </row>
    <row r="927" spans="1:8" x14ac:dyDescent="0.25">
      <c r="B927" s="1">
        <v>0.1106</v>
      </c>
      <c r="C927" s="1">
        <v>4.1461500000000001E-6</v>
      </c>
      <c r="D927" s="1">
        <v>-0.26001400000000002</v>
      </c>
      <c r="E927" s="1">
        <v>-1.78942E-4</v>
      </c>
      <c r="F927" s="1">
        <v>7.19182E-6</v>
      </c>
      <c r="G927" s="1">
        <v>0.26021300000000003</v>
      </c>
      <c r="H927" s="1">
        <v>3.1356200000000003E-5</v>
      </c>
    </row>
    <row r="928" spans="1:8" x14ac:dyDescent="0.25">
      <c r="B928" s="1">
        <v>0.33559</v>
      </c>
      <c r="C928" s="1">
        <v>6.3986399999999994E-5</v>
      </c>
      <c r="D928" s="1">
        <v>-0.26122699999999999</v>
      </c>
      <c r="E928" s="1">
        <v>-5.4490699999999997E-4</v>
      </c>
      <c r="F928" s="1">
        <v>1.10668E-4</v>
      </c>
      <c r="G928" s="1">
        <v>0.26161099999999998</v>
      </c>
      <c r="H928" s="1">
        <v>1.36727E-5</v>
      </c>
    </row>
    <row r="929" spans="2:8" x14ac:dyDescent="0.25">
      <c r="B929" s="1">
        <v>0.56838999999999995</v>
      </c>
      <c r="C929" s="1">
        <v>2.8999800000000002E-4</v>
      </c>
      <c r="D929" s="1">
        <v>-0.26256299999999999</v>
      </c>
      <c r="E929" s="1">
        <v>-9.3357800000000001E-4</v>
      </c>
      <c r="F929" s="1">
        <v>4.9787200000000001E-4</v>
      </c>
      <c r="G929" s="1">
        <v>0.26274399999999998</v>
      </c>
      <c r="H929" s="1">
        <v>3.53938E-5</v>
      </c>
    </row>
    <row r="930" spans="2:8" x14ac:dyDescent="0.25">
      <c r="B930" s="1">
        <v>0.80944000000000005</v>
      </c>
      <c r="C930" s="1">
        <v>8.2458E-4</v>
      </c>
      <c r="D930" s="1">
        <v>-0.26394899999999999</v>
      </c>
      <c r="E930" s="1">
        <v>-1.3549899999999999E-3</v>
      </c>
      <c r="F930" s="1">
        <v>1.3930399999999999E-3</v>
      </c>
      <c r="G930" s="1">
        <v>0.26315300000000003</v>
      </c>
      <c r="H930" s="1">
        <v>6.6623099999999996E-5</v>
      </c>
    </row>
    <row r="931" spans="2:8" x14ac:dyDescent="0.25">
      <c r="B931" s="1">
        <v>1.05918</v>
      </c>
      <c r="C931" s="1">
        <v>1.8422600000000001E-3</v>
      </c>
      <c r="D931" s="1">
        <v>-0.26521899999999998</v>
      </c>
      <c r="E931" s="1">
        <v>-1.81945E-3</v>
      </c>
      <c r="F931" s="1">
        <v>3.0425299999999999E-3</v>
      </c>
      <c r="G931" s="1">
        <v>0.26225900000000002</v>
      </c>
      <c r="H931" s="1">
        <v>1.05367E-4</v>
      </c>
    </row>
    <row r="932" spans="2:8" x14ac:dyDescent="0.25">
      <c r="B932" s="1">
        <v>1.3180499999999999</v>
      </c>
      <c r="C932" s="1">
        <v>3.5515E-3</v>
      </c>
      <c r="D932" s="1">
        <v>-0.266185</v>
      </c>
      <c r="E932" s="1">
        <v>-2.3374699999999999E-3</v>
      </c>
      <c r="F932" s="1">
        <v>5.69639E-3</v>
      </c>
      <c r="G932" s="1">
        <v>0.25943699999999997</v>
      </c>
      <c r="H932" s="1">
        <v>1.6222E-4</v>
      </c>
    </row>
    <row r="933" spans="2:8" x14ac:dyDescent="0.25">
      <c r="B933" s="1">
        <v>1.58649</v>
      </c>
      <c r="C933" s="1">
        <v>6.1939999999999999E-3</v>
      </c>
      <c r="D933" s="1">
        <v>-0.26664900000000002</v>
      </c>
      <c r="E933" s="1">
        <v>-2.9195599999999999E-3</v>
      </c>
      <c r="F933" s="1">
        <v>9.5795900000000007E-3</v>
      </c>
      <c r="G933" s="1">
        <v>0.25402000000000002</v>
      </c>
      <c r="H933" s="1">
        <v>2.2504099999999999E-4</v>
      </c>
    </row>
    <row r="934" spans="2:8" x14ac:dyDescent="0.25">
      <c r="B934" s="1">
        <v>1.86496</v>
      </c>
      <c r="C934" s="1">
        <v>1.00407E-2</v>
      </c>
      <c r="D934" s="1">
        <v>-0.26641199999999998</v>
      </c>
      <c r="E934" s="1">
        <v>-3.5760700000000002E-3</v>
      </c>
      <c r="F934" s="1">
        <v>1.48548E-2</v>
      </c>
      <c r="G934" s="1">
        <v>0.245392</v>
      </c>
      <c r="H934" s="1">
        <v>2.99296E-4</v>
      </c>
    </row>
    <row r="935" spans="2:8" x14ac:dyDescent="0.25">
      <c r="B935" s="1">
        <v>2.15388</v>
      </c>
      <c r="C935" s="1">
        <v>1.53834E-2</v>
      </c>
      <c r="D935" s="1">
        <v>-0.26529700000000001</v>
      </c>
      <c r="E935" s="1">
        <v>-4.3169100000000002E-3</v>
      </c>
      <c r="F935" s="1">
        <v>2.1580999999999999E-2</v>
      </c>
      <c r="G935" s="1">
        <v>0.233043</v>
      </c>
      <c r="H935" s="1">
        <v>3.9268899999999999E-4</v>
      </c>
    </row>
    <row r="936" spans="2:8" x14ac:dyDescent="0.25">
      <c r="B936" s="1">
        <v>2.4537100000000001</v>
      </c>
      <c r="C936" s="1">
        <v>2.2522400000000001E-2</v>
      </c>
      <c r="D936" s="1">
        <v>-0.26317499999999999</v>
      </c>
      <c r="E936" s="1">
        <v>-5.1512900000000002E-3</v>
      </c>
      <c r="F936" s="1">
        <v>2.9676000000000001E-2</v>
      </c>
      <c r="G936" s="1">
        <v>0.216614</v>
      </c>
      <c r="H936" s="1">
        <v>4.8574799999999998E-4</v>
      </c>
    </row>
    <row r="937" spans="2:8" x14ac:dyDescent="0.25">
      <c r="B937" s="1">
        <v>2.7648700000000002</v>
      </c>
      <c r="C937" s="1">
        <v>3.1748499999999999E-2</v>
      </c>
      <c r="D937" s="1">
        <v>-0.25997900000000002</v>
      </c>
      <c r="E937" s="1">
        <v>-6.0874400000000004E-3</v>
      </c>
      <c r="F937" s="1">
        <v>3.8889E-2</v>
      </c>
      <c r="G937" s="1">
        <v>0.19603400000000001</v>
      </c>
      <c r="H937" s="1">
        <v>6.04617E-4</v>
      </c>
    </row>
    <row r="938" spans="2:8" x14ac:dyDescent="0.25">
      <c r="B938" s="1">
        <v>3.0878100000000002</v>
      </c>
      <c r="C938" s="1">
        <v>4.3321499999999999E-2</v>
      </c>
      <c r="D938" s="1">
        <v>-0.255722</v>
      </c>
      <c r="E938" s="1">
        <v>-7.1322699999999996E-3</v>
      </c>
      <c r="F938" s="1">
        <v>4.8793099999999999E-2</v>
      </c>
      <c r="G938" s="1">
        <v>0.17147399999999999</v>
      </c>
      <c r="H938" s="1">
        <v>7.3461499999999999E-4</v>
      </c>
    </row>
    <row r="939" spans="2:8" x14ac:dyDescent="0.25">
      <c r="B939" s="1">
        <v>3.4229500000000002</v>
      </c>
      <c r="C939" s="1">
        <v>5.7445700000000002E-2</v>
      </c>
      <c r="D939" s="1">
        <v>-0.25050099999999997</v>
      </c>
      <c r="E939" s="1">
        <v>-8.2911200000000008E-3</v>
      </c>
      <c r="F939" s="1">
        <v>5.8800400000000003E-2</v>
      </c>
      <c r="G939" s="1">
        <v>0.14341699999999999</v>
      </c>
      <c r="H939" s="1">
        <v>8.7119400000000005E-4</v>
      </c>
    </row>
    <row r="940" spans="2:8" x14ac:dyDescent="0.25">
      <c r="B940" s="1">
        <v>3.7707299999999999</v>
      </c>
      <c r="C940" s="1">
        <v>7.4244299999999999E-2</v>
      </c>
      <c r="D940" s="1">
        <v>-0.24449399999999999</v>
      </c>
      <c r="E940" s="1">
        <v>-9.5674799999999997E-3</v>
      </c>
      <c r="F940" s="1">
        <v>6.8201899999999996E-2</v>
      </c>
      <c r="G940" s="1">
        <v>0.11265</v>
      </c>
      <c r="H940" s="1">
        <v>1.03465E-3</v>
      </c>
    </row>
    <row r="941" spans="2:8" x14ac:dyDescent="0.25">
      <c r="B941" s="1">
        <v>4.1315600000000003</v>
      </c>
      <c r="C941" s="1">
        <v>9.3735799999999994E-2</v>
      </c>
      <c r="D941" s="1">
        <v>-0.23794399999999999</v>
      </c>
      <c r="E941" s="1">
        <v>-1.09628E-2</v>
      </c>
      <c r="F941" s="1">
        <v>7.6227799999999998E-2</v>
      </c>
      <c r="G941" s="1">
        <v>8.0150299999999994E-2</v>
      </c>
      <c r="H941" s="1">
        <v>1.2067499999999999E-3</v>
      </c>
    </row>
    <row r="942" spans="2:8" x14ac:dyDescent="0.25">
      <c r="B942" s="1">
        <v>4.5058699999999998</v>
      </c>
      <c r="C942" s="1">
        <v>0.115815</v>
      </c>
      <c r="D942" s="1">
        <v>-0.23113300000000001</v>
      </c>
      <c r="E942" s="1">
        <v>-1.2476299999999999E-2</v>
      </c>
      <c r="F942" s="1">
        <v>8.2121799999999995E-2</v>
      </c>
      <c r="G942" s="1">
        <v>4.7071000000000002E-2</v>
      </c>
      <c r="H942" s="1">
        <v>1.3986700000000001E-3</v>
      </c>
    </row>
    <row r="943" spans="2:8" x14ac:dyDescent="0.25">
      <c r="B943" s="1">
        <v>4.8940599999999996</v>
      </c>
      <c r="C943" s="1">
        <v>0.14024200000000001</v>
      </c>
      <c r="D943" s="1">
        <v>-0.224355</v>
      </c>
      <c r="E943" s="1">
        <v>-1.41049E-2</v>
      </c>
      <c r="F943" s="1">
        <v>8.5219100000000006E-2</v>
      </c>
      <c r="G943" s="1">
        <v>1.46032E-2</v>
      </c>
      <c r="H943" s="1">
        <v>1.60484E-3</v>
      </c>
    </row>
    <row r="944" spans="2:8" x14ac:dyDescent="0.25">
      <c r="B944" s="1">
        <v>5.2965299999999997</v>
      </c>
      <c r="C944" s="1">
        <v>0.16664000000000001</v>
      </c>
      <c r="D944" s="1">
        <v>-0.217886</v>
      </c>
      <c r="E944" s="1">
        <v>-1.5843200000000002E-2</v>
      </c>
      <c r="F944" s="1">
        <v>8.5016700000000001E-2</v>
      </c>
      <c r="G944" s="1">
        <v>-1.6094600000000001E-2</v>
      </c>
      <c r="H944" s="1">
        <v>1.8325500000000001E-3</v>
      </c>
    </row>
    <row r="945" spans="2:8" x14ac:dyDescent="0.25">
      <c r="B945" s="1">
        <v>5.7136899999999997</v>
      </c>
      <c r="C945" s="1">
        <v>0.19450300000000001</v>
      </c>
      <c r="D945" s="1">
        <v>-0.21196000000000001</v>
      </c>
      <c r="E945" s="1">
        <v>-1.76837E-2</v>
      </c>
      <c r="F945" s="1">
        <v>8.1228300000000003E-2</v>
      </c>
      <c r="G945" s="1">
        <v>-4.4021400000000002E-2</v>
      </c>
      <c r="H945" s="1">
        <v>2.0656699999999999E-3</v>
      </c>
    </row>
    <row r="946" spans="2:8" x14ac:dyDescent="0.25">
      <c r="B946" s="1">
        <v>6.1459200000000003</v>
      </c>
      <c r="C946" s="1">
        <v>0.223218</v>
      </c>
      <c r="D946" s="1">
        <v>-0.20674799999999999</v>
      </c>
      <c r="E946" s="1">
        <v>-1.96163E-2</v>
      </c>
      <c r="F946" s="1">
        <v>7.3813900000000002E-2</v>
      </c>
      <c r="G946" s="1">
        <v>-6.8358500000000003E-2</v>
      </c>
      <c r="H946" s="1">
        <v>2.3091399999999999E-3</v>
      </c>
    </row>
    <row r="947" spans="2:8" x14ac:dyDescent="0.25">
      <c r="B947" s="1">
        <v>6.59361</v>
      </c>
      <c r="C947" s="1">
        <v>0.25209500000000001</v>
      </c>
      <c r="D947" s="1">
        <v>-0.202347</v>
      </c>
      <c r="E947" s="1">
        <v>-2.16294E-2</v>
      </c>
      <c r="F947" s="1">
        <v>6.2984100000000001E-2</v>
      </c>
      <c r="G947" s="1">
        <v>-8.8545399999999996E-2</v>
      </c>
      <c r="H947" s="1">
        <v>2.5567400000000001E-3</v>
      </c>
    </row>
    <row r="948" spans="2:8" x14ac:dyDescent="0.25">
      <c r="B948" s="1">
        <v>7.0571200000000003</v>
      </c>
      <c r="C948" s="1">
        <v>0.28040199999999998</v>
      </c>
      <c r="D948" s="1">
        <v>-0.19878199999999999</v>
      </c>
      <c r="E948" s="1">
        <v>-2.37092E-2</v>
      </c>
      <c r="F948" s="1">
        <v>4.9176999999999998E-2</v>
      </c>
      <c r="G948" s="1">
        <v>-0.104284</v>
      </c>
      <c r="H948" s="1">
        <v>2.8038300000000002E-3</v>
      </c>
    </row>
    <row r="949" spans="2:8" x14ac:dyDescent="0.25">
      <c r="B949" s="1">
        <v>7.53681</v>
      </c>
      <c r="C949" s="1">
        <v>0.30741000000000002</v>
      </c>
      <c r="D949" s="1">
        <v>-0.19600799999999999</v>
      </c>
      <c r="E949" s="1">
        <v>-2.5840800000000001E-2</v>
      </c>
      <c r="F949" s="1">
        <v>3.3014799999999997E-2</v>
      </c>
      <c r="G949" s="1">
        <v>-0.115532</v>
      </c>
      <c r="H949" s="1">
        <v>3.0439899999999999E-3</v>
      </c>
    </row>
    <row r="950" spans="2:8" x14ac:dyDescent="0.25">
      <c r="B950" s="1">
        <v>8.0330399999999997</v>
      </c>
      <c r="C950" s="1">
        <v>0.33243299999999998</v>
      </c>
      <c r="D950" s="1">
        <v>-0.19392599999999999</v>
      </c>
      <c r="E950" s="1">
        <v>-2.8007899999999999E-2</v>
      </c>
      <c r="F950" s="1">
        <v>1.5245E-2</v>
      </c>
      <c r="G950" s="1">
        <v>-0.12246700000000001</v>
      </c>
      <c r="H950" s="1">
        <v>3.2773199999999998E-3</v>
      </c>
    </row>
    <row r="951" spans="2:8" x14ac:dyDescent="0.25">
      <c r="B951" s="1">
        <v>8.5461399999999994</v>
      </c>
      <c r="C951" s="1">
        <v>0.35486899999999999</v>
      </c>
      <c r="D951" s="1">
        <v>-0.19239800000000001</v>
      </c>
      <c r="E951" s="1">
        <v>-3.01938E-2</v>
      </c>
      <c r="F951" s="1">
        <v>-3.32548E-3</v>
      </c>
      <c r="G951" s="1">
        <v>-0.12545500000000001</v>
      </c>
      <c r="H951" s="1">
        <v>3.4965999999999999E-3</v>
      </c>
    </row>
    <row r="952" spans="2:8" x14ac:dyDescent="0.25">
      <c r="B952" s="1">
        <v>9.0764700000000005</v>
      </c>
      <c r="C952" s="1">
        <v>0.374226</v>
      </c>
      <c r="D952" s="1">
        <v>-0.19126399999999999</v>
      </c>
      <c r="E952" s="1">
        <v>-3.2381399999999998E-2</v>
      </c>
      <c r="F952" s="1">
        <v>-2.1894500000000001E-2</v>
      </c>
      <c r="G952" s="1">
        <v>-0.124989</v>
      </c>
      <c r="H952" s="1">
        <v>3.6970599999999998E-3</v>
      </c>
    </row>
    <row r="953" spans="2:8" x14ac:dyDescent="0.25">
      <c r="B953" s="1">
        <v>9.6243300000000005</v>
      </c>
      <c r="C953" s="1">
        <v>0.39014900000000002</v>
      </c>
      <c r="D953" s="1">
        <v>-0.190359</v>
      </c>
      <c r="E953" s="1">
        <v>-3.4554000000000001E-2</v>
      </c>
      <c r="F953" s="1">
        <v>-3.9721100000000002E-2</v>
      </c>
      <c r="G953" s="1">
        <v>-0.12163400000000001</v>
      </c>
      <c r="H953" s="1">
        <v>3.8816100000000002E-3</v>
      </c>
    </row>
    <row r="954" spans="2:8" x14ac:dyDescent="0.25">
      <c r="B954" s="1">
        <v>10.19</v>
      </c>
      <c r="C954" s="1">
        <v>0.40242499999999998</v>
      </c>
      <c r="D954" s="1">
        <v>-0.189526</v>
      </c>
      <c r="E954" s="1">
        <v>-3.6695400000000003E-2</v>
      </c>
      <c r="F954" s="1">
        <v>-5.6168999999999997E-2</v>
      </c>
      <c r="G954" s="1">
        <v>-0.115991</v>
      </c>
      <c r="H954" s="1">
        <v>4.0437700000000004E-3</v>
      </c>
    </row>
    <row r="955" spans="2:8" x14ac:dyDescent="0.25">
      <c r="B955" s="1">
        <v>10.7738</v>
      </c>
      <c r="C955" s="1">
        <v>0.41098299999999999</v>
      </c>
      <c r="D955" s="1">
        <v>-0.18862599999999999</v>
      </c>
      <c r="E955" s="1">
        <v>-3.87908E-2</v>
      </c>
      <c r="F955" s="1">
        <v>-7.0735599999999996E-2</v>
      </c>
      <c r="G955" s="1">
        <v>-0.108644</v>
      </c>
      <c r="H955" s="1">
        <v>4.1873300000000004E-3</v>
      </c>
    </row>
    <row r="956" spans="2:8" x14ac:dyDescent="0.25">
      <c r="B956" s="1">
        <v>11.375999999999999</v>
      </c>
      <c r="C956" s="1">
        <v>0.415883</v>
      </c>
      <c r="D956" s="1">
        <v>-0.18754599999999999</v>
      </c>
      <c r="E956" s="1">
        <v>-4.0826300000000003E-2</v>
      </c>
      <c r="F956" s="1">
        <v>-8.3064200000000005E-2</v>
      </c>
      <c r="G956" s="1">
        <v>-0.100137</v>
      </c>
      <c r="H956" s="1">
        <v>4.3092199999999999E-3</v>
      </c>
    </row>
    <row r="957" spans="2:8" x14ac:dyDescent="0.25">
      <c r="B957" s="1">
        <v>11.9969</v>
      </c>
      <c r="C957" s="1">
        <v>0.41729500000000003</v>
      </c>
      <c r="D957" s="1">
        <v>-0.1862</v>
      </c>
      <c r="E957" s="1">
        <v>-4.2790300000000003E-2</v>
      </c>
      <c r="F957" s="1">
        <v>-9.2944499999999999E-2</v>
      </c>
      <c r="G957" s="1">
        <v>-9.0948000000000001E-2</v>
      </c>
      <c r="H957" s="1">
        <v>4.4115200000000004E-3</v>
      </c>
    </row>
    <row r="958" spans="2:8" x14ac:dyDescent="0.25">
      <c r="B958" s="1">
        <v>12.636699999999999</v>
      </c>
      <c r="C958" s="1">
        <v>0.41548000000000002</v>
      </c>
      <c r="D958" s="1">
        <v>-0.184529</v>
      </c>
      <c r="E958" s="1">
        <v>-4.4672299999999998E-2</v>
      </c>
      <c r="F958" s="1">
        <v>-0.100301</v>
      </c>
      <c r="G958" s="1">
        <v>-8.1482299999999994E-2</v>
      </c>
      <c r="H958" s="1">
        <v>4.4951799999999997E-3</v>
      </c>
    </row>
    <row r="959" spans="2:8" x14ac:dyDescent="0.25">
      <c r="B959" s="1">
        <v>13.2956</v>
      </c>
      <c r="C959" s="1">
        <v>0.41076600000000002</v>
      </c>
      <c r="D959" s="1">
        <v>-0.18249899999999999</v>
      </c>
      <c r="E959" s="1">
        <v>-4.6464400000000003E-2</v>
      </c>
      <c r="F959" s="1">
        <v>-0.105175</v>
      </c>
      <c r="G959" s="1">
        <v>-7.2066500000000006E-2</v>
      </c>
      <c r="H959" s="1">
        <v>4.5606500000000003E-3</v>
      </c>
    </row>
    <row r="960" spans="2:8" x14ac:dyDescent="0.25">
      <c r="B960" s="1">
        <v>13.9741</v>
      </c>
      <c r="C960" s="1">
        <v>0.40351799999999999</v>
      </c>
      <c r="D960" s="1">
        <v>-0.18009700000000001</v>
      </c>
      <c r="E960" s="1">
        <v>-4.8160000000000001E-2</v>
      </c>
      <c r="F960" s="1">
        <v>-0.10770100000000001</v>
      </c>
      <c r="G960" s="1">
        <v>-6.2950800000000001E-2</v>
      </c>
      <c r="H960" s="1">
        <v>4.6098500000000004E-3</v>
      </c>
    </row>
    <row r="961" spans="2:8" x14ac:dyDescent="0.25">
      <c r="B961" s="1">
        <v>14.672000000000001</v>
      </c>
      <c r="C961" s="1">
        <v>0.39412599999999998</v>
      </c>
      <c r="D961" s="1">
        <v>-0.17732600000000001</v>
      </c>
      <c r="E961" s="1">
        <v>-4.9754699999999999E-2</v>
      </c>
      <c r="F961" s="1">
        <v>-0.108083</v>
      </c>
      <c r="G961" s="1">
        <v>-5.4318499999999999E-2</v>
      </c>
      <c r="H961" s="1">
        <v>4.6436999999999997E-3</v>
      </c>
    </row>
    <row r="962" spans="2:8" x14ac:dyDescent="0.25">
      <c r="B962" s="1">
        <v>15.389900000000001</v>
      </c>
      <c r="C962" s="1">
        <v>0.38297700000000001</v>
      </c>
      <c r="D962" s="1">
        <v>-0.17420099999999999</v>
      </c>
      <c r="E962" s="1">
        <v>-5.1245699999999998E-2</v>
      </c>
      <c r="F962" s="1">
        <v>-0.106574</v>
      </c>
      <c r="G962" s="1">
        <v>-4.6293899999999999E-2</v>
      </c>
      <c r="H962" s="1">
        <v>4.6629200000000001E-3</v>
      </c>
    </row>
    <row r="963" spans="2:8" x14ac:dyDescent="0.25">
      <c r="B963" s="1">
        <v>16.127800000000001</v>
      </c>
      <c r="C963" s="1">
        <v>0.37044899999999997</v>
      </c>
      <c r="D963" s="1">
        <v>-0.17074500000000001</v>
      </c>
      <c r="E963" s="1">
        <v>-5.2631699999999997E-2</v>
      </c>
      <c r="F963" s="1">
        <v>-0.103453</v>
      </c>
      <c r="G963" s="1">
        <v>-3.8951199999999998E-2</v>
      </c>
      <c r="H963" s="1">
        <v>4.66877E-3</v>
      </c>
    </row>
    <row r="964" spans="2:8" x14ac:dyDescent="0.25">
      <c r="B964" s="1">
        <v>16.8858</v>
      </c>
      <c r="C964" s="1">
        <v>0.35689500000000002</v>
      </c>
      <c r="D964" s="1">
        <v>-0.166987</v>
      </c>
      <c r="E964" s="1">
        <v>-5.3913000000000003E-2</v>
      </c>
      <c r="F964" s="1">
        <v>-9.9008399999999996E-2</v>
      </c>
      <c r="G964" s="1">
        <v>-3.2324499999999999E-2</v>
      </c>
      <c r="H964" s="1">
        <v>4.6620200000000002E-3</v>
      </c>
    </row>
    <row r="965" spans="2:8" x14ac:dyDescent="0.25">
      <c r="B965" s="1">
        <v>17.664200000000001</v>
      </c>
      <c r="C965" s="1">
        <v>0.34263500000000002</v>
      </c>
      <c r="D965" s="1">
        <v>-0.16295899999999999</v>
      </c>
      <c r="E965" s="1">
        <v>-5.5090800000000002E-2</v>
      </c>
      <c r="F965" s="1">
        <v>-9.3526300000000007E-2</v>
      </c>
      <c r="G965" s="1">
        <v>-2.6415299999999999E-2</v>
      </c>
      <c r="H965" s="1">
        <v>4.64322E-3</v>
      </c>
    </row>
    <row r="966" spans="2:8" x14ac:dyDescent="0.25">
      <c r="B966" s="1">
        <v>18.463000000000001</v>
      </c>
      <c r="C966" s="1">
        <v>0.327955</v>
      </c>
      <c r="D966" s="1">
        <v>-0.158697</v>
      </c>
      <c r="E966" s="1">
        <v>-5.6167500000000002E-2</v>
      </c>
      <c r="F966" s="1">
        <v>-8.7277300000000002E-2</v>
      </c>
      <c r="G966" s="1">
        <v>-2.11994E-2</v>
      </c>
      <c r="H966" s="1">
        <v>4.6136299999999996E-3</v>
      </c>
    </row>
    <row r="967" spans="2:8" x14ac:dyDescent="0.25">
      <c r="B967" s="1">
        <v>19.282499999999999</v>
      </c>
      <c r="C967" s="1">
        <v>0.31310199999999999</v>
      </c>
      <c r="D967" s="1">
        <v>-0.15423799999999999</v>
      </c>
      <c r="E967" s="1">
        <v>-5.7146000000000002E-2</v>
      </c>
      <c r="F967" s="1">
        <v>-8.0508700000000002E-2</v>
      </c>
      <c r="G967" s="1">
        <v>-1.6634599999999999E-2</v>
      </c>
      <c r="H967" s="1">
        <v>4.5750799999999996E-3</v>
      </c>
    </row>
    <row r="968" spans="2:8" x14ac:dyDescent="0.25">
      <c r="B968" s="1">
        <v>20.122599999999998</v>
      </c>
      <c r="C968" s="1">
        <v>0.29828500000000002</v>
      </c>
      <c r="D968" s="1">
        <v>-0.149619</v>
      </c>
      <c r="E968" s="1">
        <v>-5.8029400000000002E-2</v>
      </c>
      <c r="F968" s="1">
        <v>-7.3437699999999995E-2</v>
      </c>
      <c r="G968" s="1">
        <v>-1.2671E-2</v>
      </c>
      <c r="H968" s="1">
        <v>4.5279700000000001E-3</v>
      </c>
    </row>
    <row r="969" spans="2:8" x14ac:dyDescent="0.25">
      <c r="B969" s="1">
        <v>20.983699999999999</v>
      </c>
      <c r="C969" s="1">
        <v>0.28367399999999998</v>
      </c>
      <c r="D969" s="1">
        <v>-0.144876</v>
      </c>
      <c r="E969" s="1">
        <v>-5.8821199999999997E-2</v>
      </c>
      <c r="F969" s="1">
        <v>-6.6245999999999999E-2</v>
      </c>
      <c r="G969" s="1">
        <v>-9.2593799999999993E-3</v>
      </c>
      <c r="H969" s="1">
        <v>4.4718900000000001E-3</v>
      </c>
    </row>
    <row r="970" spans="2:8" x14ac:dyDescent="0.25">
      <c r="B970" s="1">
        <v>21.865600000000001</v>
      </c>
      <c r="C970" s="1">
        <v>0.26940700000000001</v>
      </c>
      <c r="D970" s="1">
        <v>-0.140041</v>
      </c>
      <c r="E970" s="1">
        <v>-5.9524899999999999E-2</v>
      </c>
      <c r="F970" s="1">
        <v>-5.90795E-2</v>
      </c>
      <c r="G970" s="1">
        <v>-6.3532700000000003E-3</v>
      </c>
      <c r="H970" s="1">
        <v>4.4081299999999997E-3</v>
      </c>
    </row>
    <row r="971" spans="2:8" x14ac:dyDescent="0.25">
      <c r="B971" s="1">
        <v>22.768599999999999</v>
      </c>
      <c r="C971" s="1">
        <v>0.25558900000000001</v>
      </c>
      <c r="D971" s="1">
        <v>-0.13514300000000001</v>
      </c>
      <c r="E971" s="1">
        <v>-6.0144000000000003E-2</v>
      </c>
      <c r="F971" s="1">
        <v>-5.2053099999999998E-2</v>
      </c>
      <c r="G971" s="1">
        <v>-3.90522E-3</v>
      </c>
      <c r="H971" s="1">
        <v>4.34294E-3</v>
      </c>
    </row>
    <row r="972" spans="2:8" x14ac:dyDescent="0.25">
      <c r="B972" s="1">
        <v>23.692599999999999</v>
      </c>
      <c r="C972" s="1">
        <v>0.24229700000000001</v>
      </c>
      <c r="D972" s="1">
        <v>-0.13020699999999999</v>
      </c>
      <c r="E972" s="1">
        <v>-6.0682600000000003E-2</v>
      </c>
      <c r="F972" s="1">
        <v>-4.5255900000000002E-2</v>
      </c>
      <c r="G972" s="1">
        <v>-1.88466E-3</v>
      </c>
      <c r="H972" s="1">
        <v>4.2669099999999996E-3</v>
      </c>
    </row>
    <row r="973" spans="2:8" x14ac:dyDescent="0.25">
      <c r="B973" s="1">
        <v>24.637699999999999</v>
      </c>
      <c r="C973" s="1">
        <v>0.22958600000000001</v>
      </c>
      <c r="D973" s="1">
        <v>-0.12525500000000001</v>
      </c>
      <c r="E973" s="1">
        <v>-6.11441E-2</v>
      </c>
      <c r="F973" s="1">
        <v>-3.8758599999999997E-2</v>
      </c>
      <c r="G973" s="1">
        <v>-2.4079700000000001E-4</v>
      </c>
      <c r="H973" s="1">
        <v>4.1882000000000004E-3</v>
      </c>
    </row>
    <row r="974" spans="2:8" x14ac:dyDescent="0.25">
      <c r="B974" s="1">
        <v>25.6038</v>
      </c>
      <c r="C974" s="1">
        <v>0.21749199999999999</v>
      </c>
      <c r="D974" s="1">
        <v>-0.12031</v>
      </c>
      <c r="E974" s="1">
        <v>-6.1531799999999998E-2</v>
      </c>
      <c r="F974" s="1">
        <v>-3.2619700000000001E-2</v>
      </c>
      <c r="G974" s="1">
        <v>1.0755599999999999E-3</v>
      </c>
      <c r="H974" s="1">
        <v>4.1065499999999996E-3</v>
      </c>
    </row>
    <row r="975" spans="2:8" x14ac:dyDescent="0.25">
      <c r="B975" s="1">
        <v>26.591200000000001</v>
      </c>
      <c r="C975" s="1">
        <v>0.206035</v>
      </c>
      <c r="D975" s="1">
        <v>-0.115396</v>
      </c>
      <c r="E975" s="1">
        <v>-6.1847899999999997E-2</v>
      </c>
      <c r="F975" s="1">
        <v>-2.6885699999999998E-2</v>
      </c>
      <c r="G975" s="1">
        <v>2.11247E-3</v>
      </c>
      <c r="H975" s="1">
        <v>4.0175300000000001E-3</v>
      </c>
    </row>
    <row r="976" spans="2:8" x14ac:dyDescent="0.25">
      <c r="B976" s="1">
        <v>27.599599999999999</v>
      </c>
      <c r="C976" s="1">
        <v>0.19522</v>
      </c>
      <c r="D976" s="1">
        <v>-0.11053499999999999</v>
      </c>
      <c r="E976" s="1">
        <v>-6.20934E-2</v>
      </c>
      <c r="F976" s="1">
        <v>-2.1588199999999998E-2</v>
      </c>
      <c r="G976" s="1">
        <v>2.9241900000000001E-3</v>
      </c>
      <c r="H976" s="1">
        <v>3.9273800000000003E-3</v>
      </c>
    </row>
    <row r="977" spans="2:8" x14ac:dyDescent="0.25">
      <c r="B977" s="1">
        <v>28.629200000000001</v>
      </c>
      <c r="C977" s="1">
        <v>0.18504399999999999</v>
      </c>
      <c r="D977" s="1">
        <v>-0.105744</v>
      </c>
      <c r="E977" s="1">
        <v>-6.2268400000000002E-2</v>
      </c>
      <c r="F977" s="1">
        <v>-1.6741200000000001E-2</v>
      </c>
      <c r="G977" s="1">
        <v>3.54412E-3</v>
      </c>
      <c r="H977" s="1">
        <v>3.8341299999999998E-3</v>
      </c>
    </row>
    <row r="978" spans="2:8" x14ac:dyDescent="0.25">
      <c r="B978" s="1">
        <v>29.6798</v>
      </c>
      <c r="C978" s="1">
        <v>0.17549500000000001</v>
      </c>
      <c r="D978" s="1">
        <v>-0.101037</v>
      </c>
      <c r="E978" s="1">
        <v>-6.2372499999999997E-2</v>
      </c>
      <c r="F978" s="1">
        <v>-1.23426E-2</v>
      </c>
      <c r="G978" s="1">
        <v>3.9983700000000002E-3</v>
      </c>
      <c r="H978" s="1">
        <v>3.7416099999999998E-3</v>
      </c>
    </row>
    <row r="979" spans="2:8" x14ac:dyDescent="0.25">
      <c r="B979" s="1">
        <v>30.7516</v>
      </c>
      <c r="C979" s="1">
        <v>0.16655600000000001</v>
      </c>
      <c r="D979" s="1">
        <v>-9.6423499999999995E-2</v>
      </c>
      <c r="E979" s="1">
        <v>-6.2406000000000003E-2</v>
      </c>
      <c r="F979" s="1">
        <v>-8.3820000000000006E-3</v>
      </c>
      <c r="G979" s="1">
        <v>4.3007499999999999E-3</v>
      </c>
      <c r="H979" s="1">
        <v>3.64482E-3</v>
      </c>
    </row>
    <row r="980" spans="2:8" x14ac:dyDescent="0.25">
      <c r="B980" s="1">
        <v>31.8443</v>
      </c>
      <c r="C980" s="1">
        <v>0.15820200000000001</v>
      </c>
      <c r="D980" s="1">
        <v>-9.1916700000000004E-2</v>
      </c>
      <c r="E980" s="1">
        <v>-6.2370099999999998E-2</v>
      </c>
      <c r="F980" s="1">
        <v>-4.8470299999999996E-3</v>
      </c>
      <c r="G980" s="1">
        <v>4.4788500000000004E-3</v>
      </c>
      <c r="H980" s="1">
        <v>3.5475599999999999E-3</v>
      </c>
    </row>
    <row r="981" spans="2:8" x14ac:dyDescent="0.25">
      <c r="B981" s="1">
        <v>32.957999999999998</v>
      </c>
      <c r="C981" s="1">
        <v>0.15041199999999999</v>
      </c>
      <c r="D981" s="1">
        <v>-8.7530499999999997E-2</v>
      </c>
      <c r="E981" s="1">
        <v>-6.2267200000000002E-2</v>
      </c>
      <c r="F981" s="1">
        <v>-1.72444E-3</v>
      </c>
      <c r="G981" s="1">
        <v>4.5590200000000004E-3</v>
      </c>
      <c r="H981" s="1">
        <v>3.4492699999999999E-3</v>
      </c>
    </row>
    <row r="982" spans="2:8" x14ac:dyDescent="0.25">
      <c r="B982" s="1">
        <v>34.092599999999997</v>
      </c>
      <c r="C982" s="1">
        <v>0.14316000000000001</v>
      </c>
      <c r="D982" s="1">
        <v>-8.3276900000000001E-2</v>
      </c>
      <c r="E982" s="1">
        <v>-6.2100299999999997E-2</v>
      </c>
      <c r="F982" s="1">
        <v>1.0044800000000001E-3</v>
      </c>
      <c r="G982" s="1">
        <v>4.5636799999999996E-3</v>
      </c>
      <c r="H982" s="1">
        <v>3.3510200000000001E-3</v>
      </c>
    </row>
    <row r="983" spans="2:8" x14ac:dyDescent="0.25">
      <c r="B983" s="1">
        <v>35.247900000000001</v>
      </c>
      <c r="C983" s="1">
        <v>0.13641900000000001</v>
      </c>
      <c r="D983" s="1">
        <v>-7.9164899999999996E-2</v>
      </c>
      <c r="E983" s="1">
        <v>-6.1871799999999998E-2</v>
      </c>
      <c r="F983" s="1">
        <v>3.3635499999999999E-3</v>
      </c>
      <c r="G983" s="1">
        <v>4.5077700000000004E-3</v>
      </c>
      <c r="H983" s="1">
        <v>3.2533900000000001E-3</v>
      </c>
    </row>
    <row r="984" spans="2:8" x14ac:dyDescent="0.25">
      <c r="B984" s="1">
        <v>36.423900000000003</v>
      </c>
      <c r="C984" s="1">
        <v>0.13016</v>
      </c>
      <c r="D984" s="1">
        <v>-7.5200000000000003E-2</v>
      </c>
      <c r="E984" s="1">
        <v>-6.1583899999999997E-2</v>
      </c>
      <c r="F984" s="1">
        <v>5.3794400000000001E-3</v>
      </c>
      <c r="G984" s="1">
        <v>4.4014700000000002E-3</v>
      </c>
      <c r="H984" s="1">
        <v>3.1567499999999998E-3</v>
      </c>
    </row>
    <row r="985" spans="2:8" x14ac:dyDescent="0.25">
      <c r="B985" s="1">
        <v>37.620399999999997</v>
      </c>
      <c r="C985" s="1">
        <v>0.124351</v>
      </c>
      <c r="D985" s="1">
        <v>-7.1383699999999994E-2</v>
      </c>
      <c r="E985" s="1">
        <v>-6.1239500000000002E-2</v>
      </c>
      <c r="F985" s="1">
        <v>7.0807400000000003E-3</v>
      </c>
      <c r="G985" s="1">
        <v>4.2534299999999999E-3</v>
      </c>
      <c r="H985" s="1">
        <v>3.0623199999999999E-3</v>
      </c>
    </row>
    <row r="986" spans="2:8" x14ac:dyDescent="0.25">
      <c r="B986" s="1">
        <v>38.837400000000002</v>
      </c>
      <c r="C986" s="1">
        <v>0.118961</v>
      </c>
      <c r="D986" s="1">
        <v>-6.7716100000000001E-2</v>
      </c>
      <c r="E986" s="1">
        <v>-6.0842899999999998E-2</v>
      </c>
      <c r="F986" s="1">
        <v>8.4950500000000005E-3</v>
      </c>
      <c r="G986" s="1">
        <v>4.07246E-3</v>
      </c>
      <c r="H986" s="1">
        <v>2.96926E-3</v>
      </c>
    </row>
    <row r="987" spans="2:8" x14ac:dyDescent="0.25">
      <c r="B987" s="1">
        <v>40.0747</v>
      </c>
      <c r="C987" s="1">
        <v>0.113955</v>
      </c>
      <c r="D987" s="1">
        <v>-6.41983E-2</v>
      </c>
      <c r="E987" s="1">
        <v>-6.0398399999999998E-2</v>
      </c>
      <c r="F987" s="1">
        <v>9.6469699999999995E-3</v>
      </c>
      <c r="G987" s="1">
        <v>3.87302E-3</v>
      </c>
      <c r="H987" s="1">
        <v>2.8783300000000001E-3</v>
      </c>
    </row>
    <row r="988" spans="2:8" x14ac:dyDescent="0.25">
      <c r="B988" s="1">
        <v>41.332299999999996</v>
      </c>
      <c r="C988" s="1">
        <v>0.109304</v>
      </c>
      <c r="D988" s="1">
        <v>-6.0831299999999998E-2</v>
      </c>
      <c r="E988" s="1">
        <v>-5.9910199999999997E-2</v>
      </c>
      <c r="F988" s="1">
        <v>1.0560099999999999E-2</v>
      </c>
      <c r="G988" s="1">
        <v>3.6675100000000001E-3</v>
      </c>
      <c r="H988" s="1">
        <v>2.78962E-3</v>
      </c>
    </row>
    <row r="989" spans="2:8" x14ac:dyDescent="0.25">
      <c r="B989" s="1">
        <v>42.609699999999997</v>
      </c>
      <c r="C989" s="1">
        <v>0.104978</v>
      </c>
      <c r="D989" s="1">
        <v>-5.76155E-2</v>
      </c>
      <c r="E989" s="1">
        <v>-5.9381299999999998E-2</v>
      </c>
      <c r="F989" s="1">
        <v>1.1259399999999999E-2</v>
      </c>
      <c r="G989" s="1">
        <v>3.4623700000000002E-3</v>
      </c>
      <c r="H989" s="1">
        <v>2.7031400000000001E-3</v>
      </c>
    </row>
    <row r="990" spans="2:8" x14ac:dyDescent="0.25">
      <c r="B990" s="1">
        <v>43.9069</v>
      </c>
      <c r="C990" s="1">
        <v>0.100954</v>
      </c>
      <c r="D990" s="1">
        <v>-5.4551700000000002E-2</v>
      </c>
      <c r="E990" s="1">
        <v>-5.8813999999999998E-2</v>
      </c>
      <c r="F990" s="1">
        <v>1.17679E-2</v>
      </c>
      <c r="G990" s="1">
        <v>3.2647499999999999E-3</v>
      </c>
      <c r="H990" s="1">
        <v>2.6207100000000001E-3</v>
      </c>
    </row>
    <row r="991" spans="2:8" x14ac:dyDescent="0.25">
      <c r="B991" s="1">
        <v>45.2239</v>
      </c>
      <c r="C991" s="1">
        <v>9.7206799999999996E-2</v>
      </c>
      <c r="D991" s="1">
        <v>-5.1641100000000002E-2</v>
      </c>
      <c r="E991" s="1">
        <v>-5.8211100000000002E-2</v>
      </c>
      <c r="F991" s="1">
        <v>1.21049E-2</v>
      </c>
      <c r="G991" s="1">
        <v>3.08173E-3</v>
      </c>
      <c r="H991" s="1">
        <v>2.5411800000000001E-3</v>
      </c>
    </row>
    <row r="992" spans="2:8" x14ac:dyDescent="0.25">
      <c r="B992" s="1">
        <v>46.560299999999998</v>
      </c>
      <c r="C992" s="1">
        <v>9.37138E-2</v>
      </c>
      <c r="D992" s="1">
        <v>-4.8882200000000001E-2</v>
      </c>
      <c r="E992" s="1">
        <v>-5.75757E-2</v>
      </c>
      <c r="F992" s="1">
        <v>1.22915E-2</v>
      </c>
      <c r="G992" s="1">
        <v>2.9188899999999999E-3</v>
      </c>
      <c r="H992" s="1">
        <v>2.4663799999999998E-3</v>
      </c>
    </row>
    <row r="993" spans="2:8" x14ac:dyDescent="0.25">
      <c r="B993" s="1">
        <v>47.915999999999997</v>
      </c>
      <c r="C993" s="1">
        <v>9.04504E-2</v>
      </c>
      <c r="D993" s="1">
        <v>-4.6268200000000002E-2</v>
      </c>
      <c r="E993" s="1">
        <v>-5.6910500000000003E-2</v>
      </c>
      <c r="F993" s="1">
        <v>1.2356499999999999E-2</v>
      </c>
      <c r="G993" s="1">
        <v>2.7670300000000002E-3</v>
      </c>
      <c r="H993" s="1">
        <v>2.3952399999999999E-3</v>
      </c>
    </row>
    <row r="994" spans="2:8" x14ac:dyDescent="0.25">
      <c r="B994" s="1">
        <v>49.290900000000001</v>
      </c>
      <c r="C994" s="1">
        <v>8.7391399999999994E-2</v>
      </c>
      <c r="D994" s="1">
        <v>-4.3791099999999999E-2</v>
      </c>
      <c r="E994" s="1">
        <v>-5.6218400000000002E-2</v>
      </c>
      <c r="F994" s="1">
        <v>1.23299E-2</v>
      </c>
      <c r="G994" s="1">
        <v>2.6157099999999998E-3</v>
      </c>
      <c r="H994" s="1">
        <v>2.32759E-3</v>
      </c>
    </row>
    <row r="995" spans="2:8" x14ac:dyDescent="0.25">
      <c r="B995" s="1">
        <v>50.6845</v>
      </c>
      <c r="C995" s="1">
        <v>8.4513000000000005E-2</v>
      </c>
      <c r="D995" s="1">
        <v>-4.1444799999999997E-2</v>
      </c>
      <c r="E995" s="1">
        <v>-5.5502700000000002E-2</v>
      </c>
      <c r="F995" s="1">
        <v>1.22323E-2</v>
      </c>
      <c r="G995" s="1">
        <v>2.4657099999999999E-3</v>
      </c>
      <c r="H995" s="1">
        <v>2.26348E-3</v>
      </c>
    </row>
    <row r="996" spans="2:8" x14ac:dyDescent="0.25">
      <c r="B996" s="1">
        <v>52.096899999999998</v>
      </c>
      <c r="C996" s="1">
        <v>8.1794099999999995E-2</v>
      </c>
      <c r="D996" s="1">
        <v>-3.9224000000000002E-2</v>
      </c>
      <c r="E996" s="1">
        <v>-5.4767299999999998E-2</v>
      </c>
      <c r="F996" s="1">
        <v>1.2081100000000001E-2</v>
      </c>
      <c r="G996" s="1">
        <v>2.3191700000000002E-3</v>
      </c>
      <c r="H996" s="1">
        <v>2.2029800000000002E-3</v>
      </c>
    </row>
    <row r="997" spans="2:8" x14ac:dyDescent="0.25">
      <c r="B997" s="1">
        <v>53.5276</v>
      </c>
      <c r="C997" s="1">
        <v>7.9217700000000002E-2</v>
      </c>
      <c r="D997" s="1">
        <v>-3.71224E-2</v>
      </c>
      <c r="E997" s="1">
        <v>-5.40157E-2</v>
      </c>
      <c r="F997" s="1">
        <v>1.1893300000000001E-2</v>
      </c>
      <c r="G997" s="1">
        <v>2.17263E-3</v>
      </c>
      <c r="H997" s="1">
        <v>2.1454299999999998E-3</v>
      </c>
    </row>
    <row r="998" spans="2:8" x14ac:dyDescent="0.25">
      <c r="B998" s="1">
        <v>54.976500000000001</v>
      </c>
      <c r="C998" s="1">
        <v>7.6770400000000003E-2</v>
      </c>
      <c r="D998" s="1">
        <v>-3.5134499999999999E-2</v>
      </c>
      <c r="E998" s="1">
        <v>-5.3249600000000001E-2</v>
      </c>
      <c r="F998" s="1">
        <v>1.16779E-2</v>
      </c>
      <c r="G998" s="1">
        <v>2.02615E-3</v>
      </c>
      <c r="H998" s="1">
        <v>2.0903699999999998E-3</v>
      </c>
    </row>
    <row r="999" spans="2:8" x14ac:dyDescent="0.25">
      <c r="B999" s="1">
        <v>56.443399999999997</v>
      </c>
      <c r="C999" s="1">
        <v>7.4441199999999999E-2</v>
      </c>
      <c r="D999" s="1">
        <v>-3.3254699999999998E-2</v>
      </c>
      <c r="E999" s="1">
        <v>-5.2470799999999998E-2</v>
      </c>
      <c r="F999" s="1">
        <v>1.14387E-2</v>
      </c>
      <c r="G999" s="1">
        <v>1.8833400000000001E-3</v>
      </c>
      <c r="H999" s="1">
        <v>2.0376999999999999E-3</v>
      </c>
    </row>
    <row r="1000" spans="2:8" x14ac:dyDescent="0.25">
      <c r="B1000" s="1">
        <v>57.928100000000001</v>
      </c>
      <c r="C1000" s="1">
        <v>7.2219800000000001E-2</v>
      </c>
      <c r="D1000" s="1">
        <v>-3.1477100000000001E-2</v>
      </c>
      <c r="E1000" s="1">
        <v>-5.16823E-2</v>
      </c>
      <c r="F1000" s="1">
        <v>1.1181E-2</v>
      </c>
      <c r="G1000" s="1">
        <v>1.7466300000000001E-3</v>
      </c>
      <c r="H1000" s="1">
        <v>1.9880200000000001E-3</v>
      </c>
    </row>
    <row r="1001" spans="2:8" x14ac:dyDescent="0.25">
      <c r="B1001" s="1">
        <v>59.430100000000003</v>
      </c>
      <c r="C1001" s="1">
        <v>7.0097800000000002E-2</v>
      </c>
      <c r="D1001" s="1">
        <v>-2.9795499999999999E-2</v>
      </c>
      <c r="E1001" s="1">
        <v>-5.0887399999999999E-2</v>
      </c>
      <c r="F1001" s="1">
        <v>1.09135E-2</v>
      </c>
      <c r="G1001" s="1">
        <v>1.6118599999999999E-3</v>
      </c>
      <c r="H1001" s="1">
        <v>1.9402499999999999E-3</v>
      </c>
    </row>
    <row r="1002" spans="2:8" x14ac:dyDescent="0.25">
      <c r="B1002" s="1">
        <v>60.949399999999997</v>
      </c>
      <c r="C1002" s="1">
        <v>6.8070400000000003E-2</v>
      </c>
      <c r="D1002" s="1">
        <v>-2.8205500000000001E-2</v>
      </c>
      <c r="E1002" s="1">
        <v>-5.00892E-2</v>
      </c>
      <c r="F1002" s="1">
        <v>1.0645E-2</v>
      </c>
      <c r="G1002" s="1">
        <v>1.4739899999999999E-3</v>
      </c>
      <c r="H1002" s="1">
        <v>1.8947300000000001E-3</v>
      </c>
    </row>
    <row r="1003" spans="2:8" x14ac:dyDescent="0.25">
      <c r="B1003" s="1">
        <v>62.485799999999998</v>
      </c>
      <c r="C1003" s="1">
        <v>6.6135799999999995E-2</v>
      </c>
      <c r="D1003" s="1">
        <v>-2.6705300000000001E-2</v>
      </c>
      <c r="E1003" s="1">
        <v>-4.9289600000000003E-2</v>
      </c>
      <c r="F1003" s="1">
        <v>1.0377000000000001E-2</v>
      </c>
      <c r="G1003" s="1">
        <v>1.3330499999999999E-3</v>
      </c>
      <c r="H1003" s="1">
        <v>1.8509500000000001E-3</v>
      </c>
    </row>
    <row r="1004" spans="2:8" x14ac:dyDescent="0.25">
      <c r="B1004" s="1">
        <v>64.038700000000006</v>
      </c>
      <c r="C1004" s="1">
        <v>6.4293900000000001E-2</v>
      </c>
      <c r="D1004" s="1">
        <v>-2.5297E-2</v>
      </c>
      <c r="E1004" s="1">
        <v>-4.8489600000000001E-2</v>
      </c>
      <c r="F1004" s="1">
        <v>1.0099500000000001E-2</v>
      </c>
      <c r="G1004" s="1">
        <v>1.2015400000000001E-3</v>
      </c>
      <c r="H1004" s="1">
        <v>1.8083299999999999E-3</v>
      </c>
    </row>
    <row r="1005" spans="2:8" x14ac:dyDescent="0.25">
      <c r="B1005" s="1">
        <v>65.608099999999993</v>
      </c>
      <c r="C1005" s="1">
        <v>6.2544100000000005E-2</v>
      </c>
      <c r="D1005" s="1">
        <v>-2.39832E-2</v>
      </c>
      <c r="E1005" s="1">
        <v>-4.76894E-2</v>
      </c>
      <c r="F1005" s="1">
        <v>9.7958400000000001E-3</v>
      </c>
      <c r="G1005" s="1">
        <v>1.1001299999999999E-3</v>
      </c>
      <c r="H1005" s="1">
        <v>1.7674800000000001E-3</v>
      </c>
    </row>
    <row r="1006" spans="2:8" x14ac:dyDescent="0.25">
      <c r="B1006" s="1">
        <v>67.193600000000004</v>
      </c>
      <c r="C1006" s="1">
        <v>6.08823E-2</v>
      </c>
      <c r="D1006" s="1">
        <v>-2.2759999999999999E-2</v>
      </c>
      <c r="E1006" s="1">
        <v>-4.6889399999999998E-2</v>
      </c>
      <c r="F1006" s="1">
        <v>9.4614E-3</v>
      </c>
      <c r="G1006" s="1">
        <v>1.03421E-3</v>
      </c>
      <c r="H1006" s="1">
        <v>1.72853E-3</v>
      </c>
    </row>
    <row r="1007" spans="2:8" x14ac:dyDescent="0.25">
      <c r="B1007" s="1">
        <v>68.795000000000002</v>
      </c>
      <c r="C1007" s="1">
        <v>5.9301699999999999E-2</v>
      </c>
      <c r="D1007" s="1">
        <v>-2.1616799999999999E-2</v>
      </c>
      <c r="E1007" s="1">
        <v>-4.6089999999999999E-2</v>
      </c>
      <c r="F1007" s="1">
        <v>9.1085699999999999E-3</v>
      </c>
      <c r="G1007" s="1">
        <v>9.878179999999999E-4</v>
      </c>
      <c r="H1007" s="1">
        <v>1.6911999999999999E-3</v>
      </c>
    </row>
    <row r="1008" spans="2:8" x14ac:dyDescent="0.25">
      <c r="B1008" s="1">
        <v>70.412099999999995</v>
      </c>
      <c r="C1008" s="1">
        <v>5.7795100000000002E-2</v>
      </c>
      <c r="D1008" s="1">
        <v>-2.0543200000000001E-2</v>
      </c>
      <c r="E1008" s="1">
        <v>-4.5291400000000002E-2</v>
      </c>
      <c r="F1008" s="1">
        <v>8.7509900000000002E-3</v>
      </c>
      <c r="G1008" s="1">
        <v>9.4409500000000005E-4</v>
      </c>
      <c r="H1008" s="1">
        <v>1.6555599999999999E-3</v>
      </c>
    </row>
    <row r="1009" spans="2:8" x14ac:dyDescent="0.25">
      <c r="B1009" s="1">
        <v>72.044399999999996</v>
      </c>
      <c r="C1009" s="1">
        <v>5.6356499999999997E-2</v>
      </c>
      <c r="D1009" s="1">
        <v>-1.9532399999999998E-2</v>
      </c>
      <c r="E1009" s="1">
        <v>-4.4494100000000002E-2</v>
      </c>
      <c r="F1009" s="1">
        <v>8.3932299999999998E-3</v>
      </c>
      <c r="G1009" s="1">
        <v>8.9781599999999996E-4</v>
      </c>
      <c r="H1009" s="1">
        <v>1.6210300000000001E-3</v>
      </c>
    </row>
    <row r="1010" spans="2:8" x14ac:dyDescent="0.25">
      <c r="B1010" s="1">
        <v>73.691699999999997</v>
      </c>
      <c r="C1010" s="1">
        <v>5.49802E-2</v>
      </c>
      <c r="D1010" s="1">
        <v>-1.8580599999999999E-2</v>
      </c>
      <c r="E1010" s="1">
        <v>-4.3699399999999999E-2</v>
      </c>
      <c r="F1010" s="1">
        <v>8.0362300000000001E-3</v>
      </c>
      <c r="G1010" s="1">
        <v>8.5173300000000003E-4</v>
      </c>
      <c r="H1010" s="1">
        <v>1.5881000000000001E-3</v>
      </c>
    </row>
    <row r="1011" spans="2:8" x14ac:dyDescent="0.25">
      <c r="B1011" s="1">
        <v>75.353800000000007</v>
      </c>
      <c r="C1011" s="1">
        <v>5.3659400000000003E-2</v>
      </c>
      <c r="D1011" s="1">
        <v>-1.7685099999999999E-2</v>
      </c>
      <c r="E1011" s="1">
        <v>-4.2908799999999997E-2</v>
      </c>
      <c r="F1011" s="1">
        <v>7.6823600000000001E-3</v>
      </c>
      <c r="G1011" s="1">
        <v>8.0808099999999999E-4</v>
      </c>
      <c r="H1011" s="1">
        <v>1.5559599999999999E-3</v>
      </c>
    </row>
    <row r="1012" spans="2:8" x14ac:dyDescent="0.25">
      <c r="B1012" s="1">
        <v>77.030500000000004</v>
      </c>
      <c r="C1012" s="1">
        <v>5.2387400000000001E-2</v>
      </c>
      <c r="D1012" s="1">
        <v>-1.6842800000000002E-2</v>
      </c>
      <c r="E1012" s="1">
        <v>-4.2124000000000002E-2</v>
      </c>
      <c r="F1012" s="1">
        <v>7.3330899999999996E-3</v>
      </c>
      <c r="G1012" s="1">
        <v>7.7076900000000003E-4</v>
      </c>
      <c r="H1012" s="1">
        <v>1.52451E-3</v>
      </c>
    </row>
    <row r="1013" spans="2:8" x14ac:dyDescent="0.25">
      <c r="B1013" s="1">
        <v>78.721199999999996</v>
      </c>
      <c r="C1013" s="1">
        <v>5.11577E-2</v>
      </c>
      <c r="D1013" s="1">
        <v>-1.6049000000000001E-2</v>
      </c>
      <c r="E1013" s="1">
        <v>-4.1346500000000001E-2</v>
      </c>
      <c r="F1013" s="1">
        <v>6.9923199999999998E-3</v>
      </c>
      <c r="G1013" s="1">
        <v>7.3877100000000005E-4</v>
      </c>
      <c r="H1013" s="1">
        <v>1.4933100000000001E-3</v>
      </c>
    </row>
    <row r="1014" spans="2:8" x14ac:dyDescent="0.25">
      <c r="B1014" s="1">
        <v>80.426000000000002</v>
      </c>
      <c r="C1014" s="1">
        <v>4.9964500000000002E-2</v>
      </c>
      <c r="D1014" s="1">
        <v>-1.52991E-2</v>
      </c>
      <c r="E1014" s="1">
        <v>-4.0576899999999999E-2</v>
      </c>
      <c r="F1014" s="1">
        <v>6.6683799999999998E-3</v>
      </c>
      <c r="G1014" s="1">
        <v>7.05516E-4</v>
      </c>
      <c r="H1014" s="1">
        <v>1.4624E-3</v>
      </c>
    </row>
    <row r="1015" spans="2:8" x14ac:dyDescent="0.25">
      <c r="B1015" s="1">
        <v>82.144199999999998</v>
      </c>
      <c r="C1015" s="1">
        <v>4.8803300000000001E-2</v>
      </c>
      <c r="D1015" s="1">
        <v>-1.45895E-2</v>
      </c>
      <c r="E1015" s="1">
        <v>-3.9815400000000001E-2</v>
      </c>
      <c r="F1015" s="1">
        <v>6.3676999999999996E-3</v>
      </c>
      <c r="G1015" s="1">
        <v>6.66094E-4</v>
      </c>
      <c r="H1015" s="1">
        <v>1.4321900000000001E-3</v>
      </c>
    </row>
    <row r="1016" spans="2:8" x14ac:dyDescent="0.25">
      <c r="B1016" s="1">
        <v>83.875900000000001</v>
      </c>
      <c r="C1016" s="1">
        <v>4.7670900000000002E-2</v>
      </c>
      <c r="D1016" s="1">
        <v>-1.3916899999999999E-2</v>
      </c>
      <c r="E1016" s="1">
        <v>-3.9062699999999999E-2</v>
      </c>
      <c r="F1016" s="1">
        <v>6.0908799999999999E-3</v>
      </c>
      <c r="G1016" s="1">
        <v>6.20723E-4</v>
      </c>
      <c r="H1016" s="1">
        <v>1.40296E-3</v>
      </c>
    </row>
    <row r="1017" spans="2:8" x14ac:dyDescent="0.25">
      <c r="B1017" s="1">
        <v>85.620199999999997</v>
      </c>
      <c r="C1017" s="1">
        <v>4.6565799999999997E-2</v>
      </c>
      <c r="D1017" s="1">
        <v>-1.3278099999999999E-2</v>
      </c>
      <c r="E1017" s="1">
        <v>-3.83205E-2</v>
      </c>
      <c r="F1017" s="1">
        <v>5.8350199999999998E-3</v>
      </c>
      <c r="G1017" s="1">
        <v>5.7240700000000004E-4</v>
      </c>
      <c r="H1017" s="1">
        <v>1.37459E-3</v>
      </c>
    </row>
    <row r="1018" spans="2:8" x14ac:dyDescent="0.25">
      <c r="B1018" s="1">
        <v>87.377899999999997</v>
      </c>
      <c r="C1018" s="1">
        <v>4.5488199999999999E-2</v>
      </c>
      <c r="D1018" s="1">
        <v>-1.26715E-2</v>
      </c>
      <c r="E1018" s="1">
        <v>-3.7589900000000002E-2</v>
      </c>
      <c r="F1018" s="1">
        <v>5.5976300000000001E-3</v>
      </c>
      <c r="G1018" s="1">
        <v>5.2210699999999995E-4</v>
      </c>
      <c r="H1018" s="1">
        <v>1.34661E-3</v>
      </c>
    </row>
    <row r="1019" spans="2:8" x14ac:dyDescent="0.25">
      <c r="B1019" s="1">
        <v>89.147499999999994</v>
      </c>
      <c r="C1019" s="1">
        <v>4.44407E-2</v>
      </c>
      <c r="D1019" s="1">
        <v>-1.2097200000000001E-2</v>
      </c>
      <c r="E1019" s="1">
        <v>-3.6870100000000003E-2</v>
      </c>
      <c r="F1019" s="1">
        <v>5.3749899999999996E-3</v>
      </c>
      <c r="G1019" s="1">
        <v>4.7008E-4</v>
      </c>
      <c r="H1019" s="1">
        <v>1.3184900000000001E-3</v>
      </c>
    </row>
    <row r="1020" spans="2:8" x14ac:dyDescent="0.25">
      <c r="B1020" s="1">
        <v>90.9298</v>
      </c>
      <c r="C1020" s="1">
        <v>4.3427899999999998E-2</v>
      </c>
      <c r="D1020" s="1">
        <v>-1.15566E-2</v>
      </c>
      <c r="E1020" s="1">
        <v>-3.6160600000000001E-2</v>
      </c>
      <c r="F1020" s="1">
        <v>5.1596200000000002E-3</v>
      </c>
      <c r="G1020" s="1">
        <v>4.2008399999999998E-4</v>
      </c>
      <c r="H1020" s="1">
        <v>1.29038E-3</v>
      </c>
    </row>
    <row r="1021" spans="2:8" x14ac:dyDescent="0.25">
      <c r="B1021" s="1">
        <v>92.723100000000002</v>
      </c>
      <c r="C1021" s="1">
        <v>4.2453600000000001E-2</v>
      </c>
      <c r="D1021" s="1">
        <v>-1.10496E-2</v>
      </c>
      <c r="E1021" s="1">
        <v>-3.5461600000000003E-2</v>
      </c>
      <c r="F1021" s="1">
        <v>4.94364E-3</v>
      </c>
      <c r="G1021" s="1">
        <v>3.7636199999999999E-4</v>
      </c>
      <c r="H1021" s="1">
        <v>1.2624400000000001E-3</v>
      </c>
    </row>
    <row r="1022" spans="2:8" x14ac:dyDescent="0.25">
      <c r="B1022" s="1">
        <v>94.528999999999996</v>
      </c>
      <c r="C1022" s="1">
        <v>4.1519E-2</v>
      </c>
      <c r="D1022" s="1">
        <v>-1.0574200000000001E-2</v>
      </c>
      <c r="E1022" s="1">
        <v>-3.4773600000000002E-2</v>
      </c>
      <c r="F1022" s="1">
        <v>4.7233500000000003E-3</v>
      </c>
      <c r="G1022" s="1">
        <v>3.4036899999999998E-4</v>
      </c>
      <c r="H1022" s="1">
        <v>1.23486E-3</v>
      </c>
    </row>
    <row r="1023" spans="2:8" x14ac:dyDescent="0.25">
      <c r="B1023" s="1">
        <v>96.345200000000006</v>
      </c>
      <c r="C1023" s="1">
        <v>4.0622199999999997E-2</v>
      </c>
      <c r="D1023" s="1">
        <v>-1.0128099999999999E-2</v>
      </c>
      <c r="E1023" s="1">
        <v>-3.40974E-2</v>
      </c>
      <c r="F1023" s="1">
        <v>4.4990899999999999E-3</v>
      </c>
      <c r="G1023" s="1">
        <v>3.1236000000000002E-4</v>
      </c>
      <c r="H1023" s="1">
        <v>1.2082099999999999E-3</v>
      </c>
    </row>
    <row r="1024" spans="2:8" x14ac:dyDescent="0.25">
      <c r="B1024" s="1">
        <v>98.173299999999998</v>
      </c>
      <c r="C1024" s="1">
        <v>3.9760200000000002E-2</v>
      </c>
      <c r="D1024" s="1">
        <v>-9.7094399999999997E-3</v>
      </c>
      <c r="E1024" s="1">
        <v>-3.3433499999999998E-2</v>
      </c>
      <c r="F1024" s="1">
        <v>4.2722699999999999E-3</v>
      </c>
      <c r="G1024" s="1">
        <v>2.9328999999999998E-4</v>
      </c>
      <c r="H1024" s="1">
        <v>1.18279E-3</v>
      </c>
    </row>
    <row r="1025" spans="2:8" x14ac:dyDescent="0.25">
      <c r="B1025" s="1">
        <v>100.012</v>
      </c>
      <c r="C1025" s="1">
        <v>3.8929699999999998E-2</v>
      </c>
      <c r="D1025" s="1">
        <v>-9.3161200000000007E-3</v>
      </c>
      <c r="E1025" s="1">
        <v>-3.2782899999999997E-2</v>
      </c>
      <c r="F1025" s="1">
        <v>4.0461999999999998E-3</v>
      </c>
      <c r="G1025" s="1">
        <v>2.8214899999999998E-4</v>
      </c>
      <c r="H1025" s="1">
        <v>1.15894E-3</v>
      </c>
    </row>
    <row r="1026" spans="2:8" x14ac:dyDescent="0.25">
      <c r="B1026" s="1">
        <v>101.861</v>
      </c>
      <c r="C1026" s="1">
        <v>3.8128000000000002E-2</v>
      </c>
      <c r="D1026" s="1">
        <v>-8.9452100000000003E-3</v>
      </c>
      <c r="E1026" s="1">
        <v>-3.2145800000000002E-2</v>
      </c>
      <c r="F1026" s="1">
        <v>3.8252199999999998E-3</v>
      </c>
      <c r="G1026" s="1">
        <v>2.7434699999999998E-4</v>
      </c>
      <c r="H1026" s="1">
        <v>1.1365800000000001E-3</v>
      </c>
    </row>
    <row r="1027" spans="2:8" x14ac:dyDescent="0.25">
      <c r="B1027" s="1">
        <v>103.72</v>
      </c>
      <c r="C1027" s="1">
        <v>3.7354699999999998E-2</v>
      </c>
      <c r="D1027" s="1">
        <v>-8.5945799999999992E-3</v>
      </c>
      <c r="E1027" s="1">
        <v>-3.1521500000000001E-2</v>
      </c>
      <c r="F1027" s="1">
        <v>3.6097E-3</v>
      </c>
      <c r="G1027" s="1">
        <v>2.6757899999999999E-4</v>
      </c>
      <c r="H1027" s="1">
        <v>1.1158800000000001E-3</v>
      </c>
    </row>
    <row r="1028" spans="2:8" x14ac:dyDescent="0.25">
      <c r="B1028" s="1">
        <v>105.589</v>
      </c>
      <c r="C1028" s="1">
        <v>3.6610799999999999E-2</v>
      </c>
      <c r="D1028" s="1">
        <v>-8.2631400000000004E-3</v>
      </c>
      <c r="E1028" s="1">
        <v>-3.0910300000000002E-2</v>
      </c>
      <c r="F1028" s="1">
        <v>3.3988199999999999E-3</v>
      </c>
      <c r="G1028" s="1">
        <v>2.60518E-4</v>
      </c>
      <c r="H1028" s="1">
        <v>1.0967699999999999E-3</v>
      </c>
    </row>
    <row r="1029" spans="2:8" x14ac:dyDescent="0.25">
      <c r="B1029" s="1">
        <v>107.468</v>
      </c>
      <c r="C1029" s="1">
        <v>3.5898800000000002E-2</v>
      </c>
      <c r="D1029" s="1">
        <v>-7.9504099999999998E-3</v>
      </c>
      <c r="E1029" s="1">
        <v>-3.0314299999999999E-2</v>
      </c>
      <c r="F1029" s="1">
        <v>3.1924000000000002E-3</v>
      </c>
      <c r="G1029" s="1">
        <v>2.5227600000000001E-4</v>
      </c>
      <c r="H1029" s="1">
        <v>1.0787800000000001E-3</v>
      </c>
    </row>
    <row r="1030" spans="2:8" x14ac:dyDescent="0.25">
      <c r="B1030" s="1">
        <v>109.35599999999999</v>
      </c>
      <c r="C1030" s="1">
        <v>3.5220399999999999E-2</v>
      </c>
      <c r="D1030" s="1">
        <v>-7.6565299999999999E-3</v>
      </c>
      <c r="E1030" s="1">
        <v>-2.97358E-2</v>
      </c>
      <c r="F1030" s="1">
        <v>2.9889700000000001E-3</v>
      </c>
      <c r="G1030" s="1">
        <v>2.44918E-4</v>
      </c>
      <c r="H1030" s="1">
        <v>1.06197E-3</v>
      </c>
    </row>
    <row r="1031" spans="2:8" x14ac:dyDescent="0.25">
      <c r="B1031" s="1">
        <v>111.253</v>
      </c>
      <c r="C1031" s="1">
        <v>3.4575300000000003E-2</v>
      </c>
      <c r="D1031" s="1">
        <v>-7.38092E-3</v>
      </c>
      <c r="E1031" s="1">
        <v>-2.9175599999999999E-2</v>
      </c>
      <c r="F1031" s="1">
        <v>2.7889999999999998E-3</v>
      </c>
      <c r="G1031" s="1">
        <v>2.38638E-4</v>
      </c>
      <c r="H1031" s="1">
        <v>1.04644E-3</v>
      </c>
    </row>
    <row r="1032" spans="2:8" x14ac:dyDescent="0.25">
      <c r="B1032" s="1">
        <v>113.16</v>
      </c>
      <c r="C1032" s="1">
        <v>3.3960799999999999E-2</v>
      </c>
      <c r="D1032" s="1">
        <v>-7.1219500000000002E-3</v>
      </c>
      <c r="E1032" s="1">
        <v>-2.8632999999999999E-2</v>
      </c>
      <c r="F1032" s="1">
        <v>2.5962200000000002E-3</v>
      </c>
      <c r="G1032" s="1">
        <v>2.29972E-4</v>
      </c>
      <c r="H1032" s="1">
        <v>1.0320500000000001E-3</v>
      </c>
    </row>
    <row r="1033" spans="2:8" x14ac:dyDescent="0.25">
      <c r="B1033" s="1">
        <v>115.074</v>
      </c>
      <c r="C1033" s="1">
        <v>3.3371900000000003E-2</v>
      </c>
      <c r="D1033" s="1">
        <v>-6.8783500000000001E-3</v>
      </c>
      <c r="E1033" s="1">
        <v>-2.8105999999999999E-2</v>
      </c>
      <c r="F1033" s="1">
        <v>2.4133900000000001E-3</v>
      </c>
      <c r="G1033" s="1">
        <v>2.1769700000000001E-4</v>
      </c>
      <c r="H1033" s="1">
        <v>1.01863E-3</v>
      </c>
    </row>
    <row r="1034" spans="2:8" x14ac:dyDescent="0.25">
      <c r="B1034" s="1">
        <v>116.997</v>
      </c>
      <c r="C1034" s="1">
        <v>3.2802499999999998E-2</v>
      </c>
      <c r="D1034" s="1">
        <v>-6.6500200000000004E-3</v>
      </c>
      <c r="E1034" s="1">
        <v>-2.75923E-2</v>
      </c>
      <c r="F1034" s="1">
        <v>2.2388999999999998E-3</v>
      </c>
      <c r="G1034" s="1">
        <v>2.0708799999999999E-4</v>
      </c>
      <c r="H1034" s="1">
        <v>1.0061499999999999E-3</v>
      </c>
    </row>
    <row r="1035" spans="2:8" x14ac:dyDescent="0.25">
      <c r="B1035" s="1">
        <v>118.928</v>
      </c>
      <c r="C1035" s="1">
        <v>3.2245999999999997E-2</v>
      </c>
      <c r="D1035" s="1">
        <v>-6.4367699999999996E-3</v>
      </c>
      <c r="E1035" s="1">
        <v>-2.7089700000000001E-2</v>
      </c>
      <c r="F1035" s="1">
        <v>2.0692499999999999E-3</v>
      </c>
      <c r="G1035" s="1">
        <v>2.06059E-4</v>
      </c>
      <c r="H1035" s="1">
        <v>9.9483699999999993E-4</v>
      </c>
    </row>
    <row r="1036" spans="2:8" x14ac:dyDescent="0.25">
      <c r="B1036" s="1">
        <v>120.86799999999999</v>
      </c>
      <c r="C1036" s="1">
        <v>3.1696200000000001E-2</v>
      </c>
      <c r="D1036" s="1">
        <v>-6.2361099999999996E-3</v>
      </c>
      <c r="E1036" s="1">
        <v>-2.6595899999999999E-2</v>
      </c>
      <c r="F1036" s="1">
        <v>1.9083500000000001E-3</v>
      </c>
      <c r="G1036" s="1">
        <v>2.1215700000000001E-4</v>
      </c>
      <c r="H1036" s="1">
        <v>9.8472100000000003E-4</v>
      </c>
    </row>
    <row r="1037" spans="2:8" x14ac:dyDescent="0.25">
      <c r="B1037" s="1">
        <v>122.81399999999999</v>
      </c>
      <c r="C1037" s="1">
        <v>3.11489E-2</v>
      </c>
      <c r="D1037" s="1">
        <v>-6.0441899999999996E-3</v>
      </c>
      <c r="E1037" s="1">
        <v>-2.6109400000000001E-2</v>
      </c>
      <c r="F1037" s="1">
        <v>1.7673299999999999E-3</v>
      </c>
      <c r="G1037" s="1">
        <v>2.1247700000000001E-4</v>
      </c>
      <c r="H1037" s="1">
        <v>9.7518799999999999E-4</v>
      </c>
    </row>
    <row r="1038" spans="2:8" x14ac:dyDescent="0.25">
      <c r="B1038" s="1">
        <v>124.768</v>
      </c>
      <c r="C1038" s="1">
        <v>3.06027E-2</v>
      </c>
      <c r="D1038" s="1">
        <v>-5.8588299999999998E-3</v>
      </c>
      <c r="E1038" s="1">
        <v>-2.56294E-2</v>
      </c>
      <c r="F1038" s="1">
        <v>1.65066E-3</v>
      </c>
      <c r="G1038" s="1">
        <v>2.0095599999999999E-4</v>
      </c>
      <c r="H1038" s="1">
        <v>9.6603900000000003E-4</v>
      </c>
    </row>
    <row r="1039" spans="2:8" x14ac:dyDescent="0.25">
      <c r="B1039" s="1">
        <v>126.729</v>
      </c>
      <c r="C1039" s="1">
        <v>3.0059200000000001E-2</v>
      </c>
      <c r="D1039" s="1">
        <v>-5.6793700000000004E-3</v>
      </c>
      <c r="E1039" s="1">
        <v>-2.5156399999999999E-2</v>
      </c>
      <c r="F1039" s="1">
        <v>1.55371E-3</v>
      </c>
      <c r="G1039" s="1">
        <v>1.8033799999999999E-4</v>
      </c>
      <c r="H1039" s="1">
        <v>9.57444E-4</v>
      </c>
    </row>
    <row r="1040" spans="2:8" x14ac:dyDescent="0.25">
      <c r="B1040" s="1">
        <v>128.697</v>
      </c>
      <c r="C1040" s="1">
        <v>2.9521599999999999E-2</v>
      </c>
      <c r="D1040" s="1">
        <v>-5.5048099999999997E-3</v>
      </c>
      <c r="E1040" s="1">
        <v>-2.4690799999999999E-2</v>
      </c>
      <c r="F1040" s="1">
        <v>1.47182E-3</v>
      </c>
      <c r="G1040" s="1">
        <v>1.5161999999999999E-4</v>
      </c>
      <c r="H1040" s="1">
        <v>9.4944300000000001E-4</v>
      </c>
    </row>
    <row r="1041" spans="2:8" x14ac:dyDescent="0.25">
      <c r="B1041" s="1">
        <v>130.672</v>
      </c>
      <c r="C1041" s="1">
        <v>2.8992400000000002E-2</v>
      </c>
      <c r="D1041" s="1">
        <v>-5.3344000000000004E-3</v>
      </c>
      <c r="E1041" s="1">
        <v>-2.42332E-2</v>
      </c>
      <c r="F1041" s="1">
        <v>1.4013299999999999E-3</v>
      </c>
      <c r="G1041" s="1">
        <v>1.15895E-4</v>
      </c>
      <c r="H1041" s="1">
        <v>9.4195399999999995E-4</v>
      </c>
    </row>
    <row r="1042" spans="2:8" x14ac:dyDescent="0.25">
      <c r="B1042" s="1">
        <v>132.654</v>
      </c>
      <c r="C1042" s="1">
        <v>2.8471900000000001E-2</v>
      </c>
      <c r="D1042" s="1">
        <v>-5.1686600000000003E-3</v>
      </c>
      <c r="E1042" s="1">
        <v>-2.3784799999999998E-2</v>
      </c>
      <c r="F1042" s="1">
        <v>1.33657E-3</v>
      </c>
      <c r="G1042" s="1">
        <v>7.9792399999999999E-5</v>
      </c>
      <c r="H1042" s="1">
        <v>9.3475100000000005E-4</v>
      </c>
    </row>
    <row r="1043" spans="2:8" x14ac:dyDescent="0.25">
      <c r="B1043" s="1">
        <v>134.64099999999999</v>
      </c>
      <c r="C1043" s="1">
        <v>2.7959600000000001E-2</v>
      </c>
      <c r="D1043" s="1">
        <v>-5.0087300000000003E-3</v>
      </c>
      <c r="E1043" s="1">
        <v>-2.3347E-2</v>
      </c>
      <c r="F1043" s="1">
        <v>1.2721799999999999E-3</v>
      </c>
      <c r="G1043" s="1">
        <v>5.1348499999999998E-5</v>
      </c>
      <c r="H1043" s="1">
        <v>9.2744500000000005E-4</v>
      </c>
    </row>
    <row r="1044" spans="2:8" x14ac:dyDescent="0.25">
      <c r="B1044" s="1">
        <v>136.63499999999999</v>
      </c>
      <c r="C1044" s="1">
        <v>2.74556E-2</v>
      </c>
      <c r="D1044" s="1">
        <v>-4.8558200000000003E-3</v>
      </c>
      <c r="E1044" s="1">
        <v>-2.2920900000000001E-2</v>
      </c>
      <c r="F1044" s="1">
        <v>1.2061999999999999E-3</v>
      </c>
      <c r="G1044" s="1">
        <v>3.4819600000000001E-5</v>
      </c>
      <c r="H1044" s="1">
        <v>9.1986399999999995E-4</v>
      </c>
    </row>
    <row r="1045" spans="2:8" x14ac:dyDescent="0.25">
      <c r="B1045" s="1">
        <v>138.63499999999999</v>
      </c>
      <c r="C1045" s="1">
        <v>2.6960499999999998E-2</v>
      </c>
      <c r="D1045" s="1">
        <v>-4.7107700000000004E-3</v>
      </c>
      <c r="E1045" s="1">
        <v>-2.25074E-2</v>
      </c>
      <c r="F1045" s="1">
        <v>1.1397499999999999E-3</v>
      </c>
      <c r="G1045" s="1">
        <v>3.0031100000000001E-5</v>
      </c>
      <c r="H1045" s="1">
        <v>9.1208900000000004E-4</v>
      </c>
    </row>
    <row r="1046" spans="2:8" x14ac:dyDescent="0.25">
      <c r="B1046" s="1">
        <v>140.63999999999999</v>
      </c>
      <c r="C1046" s="1">
        <v>2.6475200000000001E-2</v>
      </c>
      <c r="D1046" s="1">
        <v>-4.5734199999999999E-3</v>
      </c>
      <c r="E1046" s="1">
        <v>-2.2106399999999998E-2</v>
      </c>
      <c r="F1046" s="1">
        <v>1.0751000000000001E-3</v>
      </c>
      <c r="G1046" s="1">
        <v>3.3719800000000002E-5</v>
      </c>
      <c r="H1046" s="1">
        <v>9.0415999999999999E-4</v>
      </c>
    </row>
    <row r="1047" spans="2:8" x14ac:dyDescent="0.25">
      <c r="B1047" s="1">
        <v>142.65</v>
      </c>
      <c r="C1047" s="1">
        <v>2.60004E-2</v>
      </c>
      <c r="D1047" s="1">
        <v>-4.4424399999999998E-3</v>
      </c>
      <c r="E1047" s="1">
        <v>-2.17176E-2</v>
      </c>
      <c r="F1047" s="1">
        <v>1.0150199999999999E-3</v>
      </c>
      <c r="G1047" s="1">
        <v>4.0780700000000001E-5</v>
      </c>
      <c r="H1047" s="1">
        <v>8.9613599999999996E-4</v>
      </c>
    </row>
    <row r="1048" spans="2:8" x14ac:dyDescent="0.25">
      <c r="B1048" s="1">
        <v>144.666</v>
      </c>
      <c r="C1048" s="1">
        <v>2.5536099999999999E-2</v>
      </c>
      <c r="D1048" s="1">
        <v>-4.3156899999999996E-3</v>
      </c>
      <c r="E1048" s="1">
        <v>-2.1340399999999999E-2</v>
      </c>
      <c r="F1048" s="1">
        <v>9.6341199999999997E-4</v>
      </c>
      <c r="G1048" s="1">
        <v>4.4447499999999998E-5</v>
      </c>
      <c r="H1048" s="1">
        <v>8.8790899999999999E-4</v>
      </c>
    </row>
    <row r="1049" spans="2:8" x14ac:dyDescent="0.25">
      <c r="B1049" s="1">
        <v>146.68600000000001</v>
      </c>
      <c r="C1049" s="1">
        <v>2.5082900000000002E-2</v>
      </c>
      <c r="D1049" s="1">
        <v>-4.19178E-3</v>
      </c>
      <c r="E1049" s="1">
        <v>-2.0974400000000001E-2</v>
      </c>
      <c r="F1049" s="1">
        <v>9.2209599999999996E-4</v>
      </c>
      <c r="G1049" s="1">
        <v>4.0534100000000002E-5</v>
      </c>
      <c r="H1049" s="1">
        <v>8.79392E-4</v>
      </c>
    </row>
    <row r="1050" spans="2:8" x14ac:dyDescent="0.25">
      <c r="B1050" s="1">
        <v>148.71299999999999</v>
      </c>
      <c r="C1050" s="1">
        <v>2.4643100000000001E-2</v>
      </c>
      <c r="D1050" s="1">
        <v>-4.0712400000000003E-3</v>
      </c>
      <c r="E1050" s="1">
        <v>-2.0618600000000001E-2</v>
      </c>
      <c r="F1050" s="1">
        <v>8.8665300000000005E-4</v>
      </c>
      <c r="G1050" s="1">
        <v>3.0803399999999997E-5</v>
      </c>
      <c r="H1050" s="1">
        <v>8.7066699999999999E-4</v>
      </c>
    </row>
    <row r="1051" spans="2:8" x14ac:dyDescent="0.25">
      <c r="B1051" s="1">
        <v>150.74299999999999</v>
      </c>
      <c r="C1051" s="1">
        <v>2.4220599999999998E-2</v>
      </c>
      <c r="D1051" s="1">
        <v>-3.9559900000000004E-3</v>
      </c>
      <c r="E1051" s="1">
        <v>-2.02712E-2</v>
      </c>
      <c r="F1051" s="1">
        <v>8.4728600000000005E-4</v>
      </c>
      <c r="G1051" s="1">
        <v>2.1007699999999999E-5</v>
      </c>
      <c r="H1051" s="1">
        <v>8.6174799999999996E-4</v>
      </c>
    </row>
    <row r="1052" spans="2:8" x14ac:dyDescent="0.25">
      <c r="B1052" s="1">
        <v>152.77799999999999</v>
      </c>
      <c r="C1052" s="1">
        <v>2.3819E-2</v>
      </c>
      <c r="D1052" s="1">
        <v>-3.8479899999999999E-3</v>
      </c>
      <c r="E1052" s="1">
        <v>-1.993E-2</v>
      </c>
      <c r="F1052" s="1">
        <v>7.9365999999999996E-4</v>
      </c>
      <c r="G1052" s="1">
        <v>1.7961400000000001E-5</v>
      </c>
      <c r="H1052" s="1">
        <v>8.5270099999999998E-4</v>
      </c>
    </row>
    <row r="1053" spans="2:8" x14ac:dyDescent="0.25">
      <c r="B1053" s="1">
        <v>154.81700000000001</v>
      </c>
      <c r="C1053" s="1">
        <v>2.3437699999999999E-2</v>
      </c>
      <c r="D1053" s="1">
        <v>-3.7475E-3</v>
      </c>
      <c r="E1053" s="1">
        <v>-1.9593800000000001E-2</v>
      </c>
      <c r="F1053" s="1">
        <v>7.2321400000000002E-4</v>
      </c>
      <c r="G1053" s="1">
        <v>2.4042200000000002E-5</v>
      </c>
      <c r="H1053" s="1">
        <v>8.4367299999999997E-4</v>
      </c>
    </row>
    <row r="1054" spans="2:8" x14ac:dyDescent="0.25">
      <c r="B1054" s="1">
        <v>156.86099999999999</v>
      </c>
      <c r="C1054" s="1">
        <v>2.3071299999999999E-2</v>
      </c>
      <c r="D1054" s="1">
        <v>-3.6526200000000001E-3</v>
      </c>
      <c r="E1054" s="1">
        <v>-1.9262899999999999E-2</v>
      </c>
      <c r="F1054" s="1">
        <v>6.4395299999999995E-4</v>
      </c>
      <c r="G1054" s="1">
        <v>3.4981300000000003E-5</v>
      </c>
      <c r="H1054" s="1">
        <v>8.3469800000000004E-4</v>
      </c>
    </row>
    <row r="1055" spans="2:8" x14ac:dyDescent="0.25">
      <c r="B1055" s="1">
        <v>158.90899999999999</v>
      </c>
      <c r="C1055" s="1">
        <v>2.2713500000000001E-2</v>
      </c>
      <c r="D1055" s="1">
        <v>-3.5614000000000002E-3</v>
      </c>
      <c r="E1055" s="1">
        <v>-1.8938400000000001E-2</v>
      </c>
      <c r="F1055" s="1">
        <v>5.6643999999999998E-4</v>
      </c>
      <c r="G1055" s="1">
        <v>4.5841199999999997E-5</v>
      </c>
      <c r="H1055" s="1">
        <v>8.2591999999999995E-4</v>
      </c>
    </row>
    <row r="1056" spans="2:8" x14ac:dyDescent="0.25">
      <c r="B1056" s="1">
        <v>160.959</v>
      </c>
      <c r="C1056" s="1">
        <v>2.2360100000000001E-2</v>
      </c>
      <c r="D1056" s="1">
        <v>-3.4734499999999999E-3</v>
      </c>
      <c r="E1056" s="1">
        <v>-1.8620600000000001E-2</v>
      </c>
      <c r="F1056" s="1">
        <v>4.9610699999999997E-4</v>
      </c>
      <c r="G1056" s="1">
        <v>5.5538499999999997E-5</v>
      </c>
      <c r="H1056" s="1">
        <v>8.1775999999999995E-4</v>
      </c>
    </row>
    <row r="1057" spans="2:8" x14ac:dyDescent="0.25">
      <c r="B1057" s="1">
        <v>163.01499999999999</v>
      </c>
      <c r="C1057" s="1">
        <v>2.2009999999999998E-2</v>
      </c>
      <c r="D1057" s="1">
        <v>-3.3891199999999998E-3</v>
      </c>
      <c r="E1057" s="1">
        <v>-1.83088E-2</v>
      </c>
      <c r="F1057" s="1">
        <v>4.3403400000000003E-4</v>
      </c>
      <c r="G1057" s="1">
        <v>6.4362499999999999E-5</v>
      </c>
      <c r="H1057" s="1">
        <v>8.1048000000000003E-4</v>
      </c>
    </row>
    <row r="1058" spans="2:8" x14ac:dyDescent="0.25">
      <c r="B1058" s="1">
        <v>165.07400000000001</v>
      </c>
      <c r="C1058" s="1">
        <v>2.16627E-2</v>
      </c>
      <c r="D1058" s="1">
        <v>-3.3085300000000001E-3</v>
      </c>
      <c r="E1058" s="1">
        <v>-1.8002500000000001E-2</v>
      </c>
      <c r="F1058" s="1">
        <v>3.80178E-4</v>
      </c>
      <c r="G1058" s="1">
        <v>7.2174800000000006E-5</v>
      </c>
      <c r="H1058" s="1">
        <v>8.0399900000000001E-4</v>
      </c>
    </row>
    <row r="1059" spans="2:8" x14ac:dyDescent="0.25">
      <c r="B1059" s="1">
        <v>167.136</v>
      </c>
      <c r="C1059" s="1">
        <v>2.13174E-2</v>
      </c>
      <c r="D1059" s="1">
        <v>-3.2313699999999999E-3</v>
      </c>
      <c r="E1059" s="1">
        <v>-1.77013E-2</v>
      </c>
      <c r="F1059" s="1">
        <v>3.3515800000000001E-4</v>
      </c>
      <c r="G1059" s="1">
        <v>7.8108400000000006E-5</v>
      </c>
      <c r="H1059" s="1">
        <v>7.9804300000000002E-4</v>
      </c>
    </row>
    <row r="1060" spans="2:8" x14ac:dyDescent="0.25">
      <c r="B1060" s="1">
        <v>169.20099999999999</v>
      </c>
      <c r="C1060" s="1">
        <v>2.0973499999999999E-2</v>
      </c>
      <c r="D1060" s="1">
        <v>-3.1571899999999998E-3</v>
      </c>
      <c r="E1060" s="1">
        <v>-1.74045E-2</v>
      </c>
      <c r="F1060" s="1">
        <v>3.0053799999999999E-4</v>
      </c>
      <c r="G1060" s="1">
        <v>7.9872700000000005E-5</v>
      </c>
      <c r="H1060" s="1">
        <v>7.9220500000000004E-4</v>
      </c>
    </row>
    <row r="1061" spans="2:8" x14ac:dyDescent="0.25">
      <c r="B1061" s="1">
        <v>171.26900000000001</v>
      </c>
      <c r="C1061" s="1">
        <v>2.0631099999999999E-2</v>
      </c>
      <c r="D1061" s="1">
        <v>-3.0860499999999999E-3</v>
      </c>
      <c r="E1061" s="1">
        <v>-1.7111399999999999E-2</v>
      </c>
      <c r="F1061" s="1">
        <v>2.7646000000000002E-4</v>
      </c>
      <c r="G1061" s="1">
        <v>7.6226100000000005E-5</v>
      </c>
      <c r="H1061" s="1">
        <v>7.8630699999999998E-4</v>
      </c>
    </row>
    <row r="1062" spans="2:8" x14ac:dyDescent="0.25">
      <c r="B1062" s="1">
        <v>173.34</v>
      </c>
      <c r="C1062" s="1">
        <v>2.0291E-2</v>
      </c>
      <c r="D1062" s="1">
        <v>-3.0186000000000002E-3</v>
      </c>
      <c r="E1062" s="1">
        <v>-1.6821300000000001E-2</v>
      </c>
      <c r="F1062" s="1">
        <v>2.59471E-4</v>
      </c>
      <c r="G1062" s="1">
        <v>6.9947499999999994E-5</v>
      </c>
      <c r="H1062" s="1">
        <v>7.8048400000000002E-4</v>
      </c>
    </row>
    <row r="1063" spans="2:8" x14ac:dyDescent="0.25">
      <c r="B1063" s="1">
        <v>175.41499999999999</v>
      </c>
      <c r="C1063" s="1">
        <v>1.9953100000000001E-2</v>
      </c>
      <c r="D1063" s="1">
        <v>-2.9551500000000001E-3</v>
      </c>
      <c r="E1063" s="1">
        <v>-1.6533599999999999E-2</v>
      </c>
      <c r="F1063" s="1">
        <v>2.4472900000000001E-4</v>
      </c>
      <c r="G1063" s="1">
        <v>6.5991500000000007E-5</v>
      </c>
      <c r="H1063" s="1">
        <v>7.7514599999999999E-4</v>
      </c>
    </row>
    <row r="1064" spans="2:8" x14ac:dyDescent="0.25">
      <c r="B1064" s="1">
        <v>177.49199999999999</v>
      </c>
      <c r="C1064" s="1">
        <v>1.9616399999999999E-2</v>
      </c>
      <c r="D1064" s="1">
        <v>-2.89478E-3</v>
      </c>
      <c r="E1064" s="1">
        <v>-1.6247600000000001E-2</v>
      </c>
      <c r="F1064" s="1">
        <v>2.3152200000000001E-4</v>
      </c>
      <c r="G1064" s="1">
        <v>6.5062599999999996E-5</v>
      </c>
      <c r="H1064" s="1">
        <v>7.7052999999999996E-4</v>
      </c>
    </row>
    <row r="1065" spans="2:8" x14ac:dyDescent="0.25">
      <c r="B1065" s="1">
        <v>179.572</v>
      </c>
      <c r="C1065" s="1">
        <v>1.92785E-2</v>
      </c>
      <c r="D1065" s="1">
        <v>-2.836E-3</v>
      </c>
      <c r="E1065" s="1">
        <v>-1.5962799999999999E-2</v>
      </c>
      <c r="F1065" s="1">
        <v>2.2344800000000001E-4</v>
      </c>
      <c r="G1065" s="1">
        <v>6.3561799999999998E-5</v>
      </c>
      <c r="H1065" s="1">
        <v>7.6664799999999998E-4</v>
      </c>
    </row>
    <row r="1066" spans="2:8" x14ac:dyDescent="0.25">
      <c r="B1066" s="1">
        <v>181.654</v>
      </c>
      <c r="C1066" s="1">
        <v>1.8937200000000001E-2</v>
      </c>
      <c r="D1066" s="1">
        <v>-2.7781300000000002E-3</v>
      </c>
      <c r="E1066" s="1">
        <v>-1.5678600000000001E-2</v>
      </c>
      <c r="F1066" s="1">
        <v>2.2373E-4</v>
      </c>
      <c r="G1066" s="1">
        <v>5.9410599999999997E-5</v>
      </c>
      <c r="H1066" s="1">
        <v>7.6360299999999996E-4</v>
      </c>
    </row>
    <row r="1067" spans="2:8" x14ac:dyDescent="0.25">
      <c r="B1067" s="1">
        <v>183.739</v>
      </c>
      <c r="C1067" s="1">
        <v>1.85909E-2</v>
      </c>
      <c r="D1067" s="1">
        <v>-2.7212899999999999E-3</v>
      </c>
      <c r="E1067" s="1">
        <v>-1.53951E-2</v>
      </c>
      <c r="F1067" s="1">
        <v>2.3449199999999999E-4</v>
      </c>
      <c r="G1067" s="1">
        <v>5.2457599999999997E-5</v>
      </c>
      <c r="H1067" s="1">
        <v>7.6152399999999997E-4</v>
      </c>
    </row>
    <row r="1068" spans="2:8" x14ac:dyDescent="0.25">
      <c r="B1068" s="1">
        <v>185.82499999999999</v>
      </c>
      <c r="C1068" s="1">
        <v>1.82393E-2</v>
      </c>
      <c r="D1068" s="1">
        <v>-2.6655699999999999E-3</v>
      </c>
      <c r="E1068" s="1">
        <v>-1.51132E-2</v>
      </c>
      <c r="F1068" s="1">
        <v>2.5680899999999999E-4</v>
      </c>
      <c r="G1068" s="1">
        <v>4.2976399999999997E-5</v>
      </c>
      <c r="H1068" s="1">
        <v>7.60376E-4</v>
      </c>
    </row>
    <row r="1069" spans="2:8" x14ac:dyDescent="0.25">
      <c r="B1069" s="1">
        <v>187.91499999999999</v>
      </c>
      <c r="C1069" s="1">
        <v>1.7884000000000001E-2</v>
      </c>
      <c r="D1069" s="1">
        <v>-2.6110700000000001E-3</v>
      </c>
      <c r="E1069" s="1">
        <v>-1.48345E-2</v>
      </c>
      <c r="F1069" s="1">
        <v>2.8836900000000002E-4</v>
      </c>
      <c r="G1069" s="1">
        <v>3.3222300000000002E-5</v>
      </c>
      <c r="H1069" s="1">
        <v>7.5996799999999997E-4</v>
      </c>
    </row>
    <row r="1070" spans="2:8" x14ac:dyDescent="0.25">
      <c r="B1070" s="1">
        <v>190.006</v>
      </c>
      <c r="C1070" s="1">
        <v>1.75283E-2</v>
      </c>
      <c r="D1070" s="1">
        <v>-2.5579999999999999E-3</v>
      </c>
      <c r="E1070" s="1">
        <v>-1.45608E-2</v>
      </c>
      <c r="F1070" s="1">
        <v>3.2372999999999999E-4</v>
      </c>
      <c r="G1070" s="1">
        <v>2.68724E-5</v>
      </c>
      <c r="H1070" s="1">
        <v>7.6011000000000004E-4</v>
      </c>
    </row>
    <row r="1071" spans="2:8" x14ac:dyDescent="0.25">
      <c r="B1071" s="1">
        <v>192.1</v>
      </c>
      <c r="C1071" s="1">
        <v>1.71766E-2</v>
      </c>
      <c r="D1071" s="1">
        <v>-2.5064599999999999E-3</v>
      </c>
      <c r="E1071" s="1">
        <v>-1.42925E-2</v>
      </c>
      <c r="F1071" s="1">
        <v>3.5826100000000002E-4</v>
      </c>
      <c r="G1071" s="1">
        <v>2.4842899999999999E-5</v>
      </c>
      <c r="H1071" s="1">
        <v>7.6068399999999997E-4</v>
      </c>
    </row>
    <row r="1072" spans="2:8" x14ac:dyDescent="0.25">
      <c r="B1072" s="1">
        <v>194.19499999999999</v>
      </c>
      <c r="C1072" s="1">
        <v>1.6832900000000001E-2</v>
      </c>
      <c r="D1072" s="1">
        <v>-2.4565199999999998E-3</v>
      </c>
      <c r="E1072" s="1">
        <v>-1.4029099999999999E-2</v>
      </c>
      <c r="F1072" s="1">
        <v>3.89618E-4</v>
      </c>
      <c r="G1072" s="1">
        <v>2.4652999999999999E-5</v>
      </c>
      <c r="H1072" s="1">
        <v>7.6151799999999998E-4</v>
      </c>
    </row>
    <row r="1073" spans="2:8" x14ac:dyDescent="0.25">
      <c r="B1073" s="1">
        <v>196.291</v>
      </c>
      <c r="C1073" s="1">
        <v>1.6500500000000001E-2</v>
      </c>
      <c r="D1073" s="1">
        <v>-2.4085000000000001E-3</v>
      </c>
      <c r="E1073" s="1">
        <v>-1.37696E-2</v>
      </c>
      <c r="F1073" s="1">
        <v>4.1644499999999999E-4</v>
      </c>
      <c r="G1073" s="1">
        <v>2.3520199999999999E-5</v>
      </c>
      <c r="H1073" s="1">
        <v>7.6238100000000002E-4</v>
      </c>
    </row>
    <row r="1074" spans="2:8" x14ac:dyDescent="0.25">
      <c r="B1074" s="1">
        <v>198.39</v>
      </c>
      <c r="C1074" s="1">
        <v>1.6181000000000001E-2</v>
      </c>
      <c r="D1074" s="1">
        <v>-2.3626900000000002E-3</v>
      </c>
      <c r="E1074" s="1">
        <v>-1.35131E-2</v>
      </c>
      <c r="F1074" s="1">
        <v>4.3730899999999998E-4</v>
      </c>
      <c r="G1074" s="1">
        <v>2.0248800000000002E-5</v>
      </c>
      <c r="H1074" s="1">
        <v>7.6276499999999999E-4</v>
      </c>
    </row>
    <row r="1075" spans="2:8" x14ac:dyDescent="0.25">
      <c r="B1075" s="1">
        <v>200.49</v>
      </c>
      <c r="C1075" s="1">
        <v>1.5874099999999999E-2</v>
      </c>
      <c r="D1075" s="1">
        <v>-2.3192E-3</v>
      </c>
      <c r="E1075" s="1">
        <v>-1.3259099999999999E-2</v>
      </c>
      <c r="F1075" s="1">
        <v>4.50059E-4</v>
      </c>
      <c r="G1075" s="1">
        <v>1.64021E-5</v>
      </c>
      <c r="H1075" s="1">
        <v>7.6221500000000001E-4</v>
      </c>
    </row>
    <row r="1076" spans="2:8" x14ac:dyDescent="0.25">
      <c r="B1076" s="1">
        <v>202.59200000000001</v>
      </c>
      <c r="C1076" s="1">
        <v>1.5577799999999999E-2</v>
      </c>
      <c r="D1076" s="1">
        <v>-2.2777800000000001E-3</v>
      </c>
      <c r="E1076" s="1">
        <v>-1.30075E-2</v>
      </c>
      <c r="F1076" s="1">
        <v>4.5356800000000001E-4</v>
      </c>
      <c r="G1076" s="1">
        <v>1.4461799999999999E-5</v>
      </c>
      <c r="H1076" s="1">
        <v>7.6053299999999998E-4</v>
      </c>
    </row>
    <row r="1077" spans="2:8" x14ac:dyDescent="0.25">
      <c r="B1077" s="1">
        <v>204.69499999999999</v>
      </c>
      <c r="C1077" s="1">
        <v>1.5288700000000001E-2</v>
      </c>
      <c r="D1077" s="1">
        <v>-2.2375099999999998E-3</v>
      </c>
      <c r="E1077" s="1">
        <v>-1.2758200000000001E-2</v>
      </c>
      <c r="F1077" s="1">
        <v>4.5056799999999999E-4</v>
      </c>
      <c r="G1077" s="1">
        <v>1.4129599999999999E-5</v>
      </c>
      <c r="H1077" s="1">
        <v>7.5762500000000005E-4</v>
      </c>
    </row>
    <row r="1078" spans="2:8" x14ac:dyDescent="0.25">
      <c r="B1078" s="1">
        <v>206.80099999999999</v>
      </c>
      <c r="C1078" s="1">
        <v>1.50032E-2</v>
      </c>
      <c r="D1078" s="1">
        <v>-2.1971400000000002E-3</v>
      </c>
      <c r="E1078" s="1">
        <v>-1.2511599999999999E-2</v>
      </c>
      <c r="F1078" s="1">
        <v>4.4649400000000002E-4</v>
      </c>
      <c r="G1078" s="1">
        <v>1.27284E-5</v>
      </c>
      <c r="H1078" s="1">
        <v>7.5365999999999996E-4</v>
      </c>
    </row>
    <row r="1079" spans="2:8" x14ac:dyDescent="0.25">
      <c r="B1079" s="1">
        <v>208.90700000000001</v>
      </c>
      <c r="C1079" s="1">
        <v>1.4718699999999999E-2</v>
      </c>
      <c r="D1079" s="1">
        <v>-2.1559299999999999E-3</v>
      </c>
      <c r="E1079" s="1">
        <v>-1.22679E-2</v>
      </c>
      <c r="F1079" s="1">
        <v>4.4520300000000003E-4</v>
      </c>
      <c r="G1079" s="1">
        <v>8.9268400000000001E-6</v>
      </c>
      <c r="H1079" s="1">
        <v>7.4897899999999999E-4</v>
      </c>
    </row>
    <row r="1080" spans="2:8" x14ac:dyDescent="0.25">
      <c r="B1080" s="1">
        <v>211.01400000000001</v>
      </c>
      <c r="C1080" s="1">
        <v>1.44338E-2</v>
      </c>
      <c r="D1080" s="1">
        <v>-2.1141300000000001E-3</v>
      </c>
      <c r="E1080" s="1">
        <v>-1.2027299999999999E-2</v>
      </c>
      <c r="F1080" s="1">
        <v>4.4667900000000001E-4</v>
      </c>
      <c r="G1080" s="1">
        <v>5.0096100000000001E-6</v>
      </c>
      <c r="H1080" s="1">
        <v>7.4405300000000005E-4</v>
      </c>
    </row>
    <row r="1081" spans="2:8" x14ac:dyDescent="0.25">
      <c r="B1081" s="1">
        <v>213.12200000000001</v>
      </c>
      <c r="C1081" s="1">
        <v>1.4148300000000001E-2</v>
      </c>
      <c r="D1081" s="1">
        <v>-2.0725700000000001E-3</v>
      </c>
      <c r="E1081" s="1">
        <v>-1.17898E-2</v>
      </c>
      <c r="F1081" s="1">
        <v>4.4896299999999998E-4</v>
      </c>
      <c r="G1081" s="1">
        <v>4.3530200000000002E-6</v>
      </c>
      <c r="H1081" s="1">
        <v>7.3921200000000005E-4</v>
      </c>
    </row>
    <row r="1082" spans="2:8" x14ac:dyDescent="0.25">
      <c r="B1082" s="1">
        <v>215.232</v>
      </c>
      <c r="C1082" s="1">
        <v>1.38625E-2</v>
      </c>
      <c r="D1082" s="1">
        <v>-2.0317199999999999E-3</v>
      </c>
      <c r="E1082" s="1">
        <v>-1.15552E-2</v>
      </c>
      <c r="F1082" s="1">
        <v>4.5154499999999997E-4</v>
      </c>
      <c r="G1082" s="1">
        <v>7.5820600000000004E-6</v>
      </c>
      <c r="H1082" s="1">
        <v>7.3466099999999995E-4</v>
      </c>
    </row>
    <row r="1083" spans="2:8" x14ac:dyDescent="0.25">
      <c r="B1083" s="1">
        <v>217.34299999999999</v>
      </c>
      <c r="C1083" s="1">
        <v>1.3576700000000001E-2</v>
      </c>
      <c r="D1083" s="1">
        <v>-1.9914300000000002E-3</v>
      </c>
      <c r="E1083" s="1">
        <v>-1.13229E-2</v>
      </c>
      <c r="F1083" s="1">
        <v>4.5679299999999999E-4</v>
      </c>
      <c r="G1083" s="1">
        <v>1.1317E-5</v>
      </c>
      <c r="H1083" s="1">
        <v>7.3053400000000002E-4</v>
      </c>
    </row>
    <row r="1084" spans="2:8" x14ac:dyDescent="0.25">
      <c r="B1084" s="1">
        <v>219.45599999999999</v>
      </c>
      <c r="C1084" s="1">
        <v>1.3291600000000001E-2</v>
      </c>
      <c r="D1084" s="1">
        <v>-1.9513E-3</v>
      </c>
      <c r="E1084" s="1">
        <v>-1.1092400000000001E-2</v>
      </c>
      <c r="F1084" s="1">
        <v>4.6842500000000002E-4</v>
      </c>
      <c r="G1084" s="1">
        <v>1.0523800000000001E-5</v>
      </c>
      <c r="H1084" s="1">
        <v>7.2682699999999999E-4</v>
      </c>
    </row>
    <row r="1085" spans="2:8" x14ac:dyDescent="0.25">
      <c r="B1085" s="1">
        <v>221.56800000000001</v>
      </c>
      <c r="C1085" s="1">
        <v>1.30081E-2</v>
      </c>
      <c r="D1085" s="1">
        <v>-1.91146E-3</v>
      </c>
      <c r="E1085" s="1">
        <v>-1.0864199999999999E-2</v>
      </c>
      <c r="F1085" s="1">
        <v>4.8814600000000001E-4</v>
      </c>
      <c r="G1085" s="1">
        <v>2.88962E-6</v>
      </c>
      <c r="H1085" s="1">
        <v>7.2342000000000001E-4</v>
      </c>
    </row>
    <row r="1086" spans="2:8" x14ac:dyDescent="0.25">
      <c r="B1086" s="1">
        <v>223.68199999999999</v>
      </c>
      <c r="C1086" s="1">
        <v>1.27273E-2</v>
      </c>
      <c r="D1086" s="1">
        <v>-1.87258E-3</v>
      </c>
      <c r="E1086" s="1">
        <v>-1.06392E-2</v>
      </c>
      <c r="F1086" s="1">
        <v>5.1402399999999997E-4</v>
      </c>
      <c r="G1086" s="1">
        <v>-9.4965800000000001E-6</v>
      </c>
      <c r="H1086" s="1">
        <v>7.2008499999999997E-4</v>
      </c>
    </row>
    <row r="1087" spans="2:8" x14ac:dyDescent="0.25">
      <c r="B1087" s="1">
        <v>225.797</v>
      </c>
      <c r="C1087" s="1">
        <v>1.2450599999999999E-2</v>
      </c>
      <c r="D1087" s="1">
        <v>-1.8354000000000001E-3</v>
      </c>
      <c r="E1087" s="1">
        <v>-1.04186E-2</v>
      </c>
      <c r="F1087" s="1">
        <v>5.42127E-4</v>
      </c>
      <c r="G1087" s="1">
        <v>-2.21858E-5</v>
      </c>
      <c r="H1087" s="1">
        <v>7.16513E-4</v>
      </c>
    </row>
    <row r="1088" spans="2:8" x14ac:dyDescent="0.25">
      <c r="B1088" s="1">
        <v>227.91300000000001</v>
      </c>
      <c r="C1088" s="1">
        <v>1.21785E-2</v>
      </c>
      <c r="D1088" s="1">
        <v>-1.80017E-3</v>
      </c>
      <c r="E1088" s="1">
        <v>-1.02037E-2</v>
      </c>
      <c r="F1088" s="1">
        <v>5.6897299999999996E-4</v>
      </c>
      <c r="G1088" s="1">
        <v>-3.1022799999999997E-5</v>
      </c>
      <c r="H1088" s="1">
        <v>7.1262099999999998E-4</v>
      </c>
    </row>
    <row r="1089" spans="2:8" x14ac:dyDescent="0.25">
      <c r="B1089" s="1">
        <v>230.029</v>
      </c>
      <c r="C1089" s="1">
        <v>1.1911E-2</v>
      </c>
      <c r="D1089" s="1">
        <v>-1.7662800000000001E-3</v>
      </c>
      <c r="E1089" s="1">
        <v>-9.9952800000000005E-3</v>
      </c>
      <c r="F1089" s="1">
        <v>5.9351900000000003E-4</v>
      </c>
      <c r="G1089" s="1">
        <v>-3.4566900000000003E-5</v>
      </c>
      <c r="H1089" s="1">
        <v>7.0841100000000005E-4</v>
      </c>
    </row>
    <row r="1090" spans="2:8" x14ac:dyDescent="0.25">
      <c r="B1090" s="1">
        <v>232.14599999999999</v>
      </c>
      <c r="C1090" s="1">
        <v>1.16474E-2</v>
      </c>
      <c r="D1090" s="1">
        <v>-1.7328599999999999E-3</v>
      </c>
      <c r="E1090" s="1">
        <v>-9.7936800000000008E-3</v>
      </c>
      <c r="F1090" s="1">
        <v>6.1749999999999999E-4</v>
      </c>
      <c r="G1090" s="1">
        <v>-3.4408600000000001E-5</v>
      </c>
      <c r="H1090" s="1">
        <v>7.0397999999999999E-4</v>
      </c>
    </row>
    <row r="1091" spans="2:8" x14ac:dyDescent="0.25">
      <c r="B1091" s="1">
        <v>234.26400000000001</v>
      </c>
      <c r="C1091" s="1">
        <v>1.1387E-2</v>
      </c>
      <c r="D1091" s="1">
        <v>-1.6997399999999999E-3</v>
      </c>
      <c r="E1091" s="1">
        <v>-9.5983000000000006E-3</v>
      </c>
      <c r="F1091" s="1">
        <v>6.4303699999999995E-4</v>
      </c>
      <c r="G1091" s="1">
        <v>-3.25446E-5</v>
      </c>
      <c r="H1091" s="1">
        <v>6.9947599999999998E-4</v>
      </c>
    </row>
    <row r="1092" spans="2:8" x14ac:dyDescent="0.25">
      <c r="B1092" s="1">
        <v>236.38200000000001</v>
      </c>
      <c r="C1092" s="1">
        <v>1.1129500000000001E-2</v>
      </c>
      <c r="D1092" s="1">
        <v>-1.6677700000000001E-3</v>
      </c>
      <c r="E1092" s="1">
        <v>-9.4080199999999996E-3</v>
      </c>
      <c r="F1092" s="1">
        <v>6.69971E-4</v>
      </c>
      <c r="G1092" s="1">
        <v>-2.8498400000000001E-5</v>
      </c>
      <c r="H1092" s="1">
        <v>6.9513300000000001E-4</v>
      </c>
    </row>
    <row r="1093" spans="2:8" x14ac:dyDescent="0.25">
      <c r="B1093" s="1">
        <v>238.50200000000001</v>
      </c>
      <c r="C1093" s="1">
        <v>1.08745E-2</v>
      </c>
      <c r="D1093" s="1">
        <v>-1.6377099999999999E-3</v>
      </c>
      <c r="E1093" s="1">
        <v>-9.2216399999999997E-3</v>
      </c>
      <c r="F1093" s="1">
        <v>6.9670799999999998E-4</v>
      </c>
      <c r="G1093" s="1">
        <v>-2.0751099999999999E-5</v>
      </c>
      <c r="H1093" s="1">
        <v>6.9109800000000002E-4</v>
      </c>
    </row>
    <row r="1094" spans="2:8" x14ac:dyDescent="0.25">
      <c r="B1094" s="1">
        <v>240.62100000000001</v>
      </c>
      <c r="C1094" s="1">
        <v>1.0621800000000001E-2</v>
      </c>
      <c r="D1094" s="1">
        <v>-1.6094E-3</v>
      </c>
      <c r="E1094" s="1">
        <v>-9.0381000000000003E-3</v>
      </c>
      <c r="F1094" s="1">
        <v>7.2268500000000004E-4</v>
      </c>
      <c r="G1094" s="1">
        <v>-9.6323200000000006E-6</v>
      </c>
      <c r="H1094" s="1">
        <v>6.8730500000000003E-4</v>
      </c>
    </row>
    <row r="1095" spans="2:8" x14ac:dyDescent="0.25">
      <c r="B1095" s="1">
        <v>242.74199999999999</v>
      </c>
      <c r="C1095" s="1">
        <v>1.03704E-2</v>
      </c>
      <c r="D1095" s="1">
        <v>-1.58197E-3</v>
      </c>
      <c r="E1095" s="1">
        <v>-8.8565799999999993E-3</v>
      </c>
      <c r="F1095" s="1">
        <v>7.4928500000000003E-4</v>
      </c>
      <c r="G1095" s="1">
        <v>2.60647E-6</v>
      </c>
      <c r="H1095" s="1">
        <v>6.8371700000000003E-4</v>
      </c>
    </row>
    <row r="1096" spans="2:8" x14ac:dyDescent="0.25">
      <c r="B1096" s="1">
        <v>244.863</v>
      </c>
      <c r="C1096" s="1">
        <v>1.0119100000000001E-2</v>
      </c>
      <c r="D1096" s="1">
        <v>-1.5544599999999999E-3</v>
      </c>
      <c r="E1096" s="1">
        <v>-8.6765999999999996E-3</v>
      </c>
      <c r="F1096" s="1">
        <v>7.7926700000000005E-4</v>
      </c>
      <c r="G1096" s="1">
        <v>1.28924E-5</v>
      </c>
      <c r="H1096" s="1">
        <v>6.8019599999999999E-4</v>
      </c>
    </row>
    <row r="1097" spans="2:8" x14ac:dyDescent="0.25">
      <c r="B1097" s="1">
        <v>246.98400000000001</v>
      </c>
      <c r="C1097" s="1">
        <v>9.8668000000000002E-3</v>
      </c>
      <c r="D1097" s="1">
        <v>-1.5263399999999999E-3</v>
      </c>
      <c r="E1097" s="1">
        <v>-8.4980899999999998E-3</v>
      </c>
      <c r="F1097" s="1">
        <v>8.1501000000000002E-4</v>
      </c>
      <c r="G1097" s="1">
        <v>1.9154800000000002E-5</v>
      </c>
      <c r="H1097" s="1">
        <v>6.7654E-4</v>
      </c>
    </row>
    <row r="1098" spans="2:8" x14ac:dyDescent="0.25">
      <c r="B1098" s="1">
        <v>249.10599999999999</v>
      </c>
      <c r="C1098" s="1">
        <v>9.6132200000000004E-3</v>
      </c>
      <c r="D1098" s="1">
        <v>-1.49782E-3</v>
      </c>
      <c r="E1098" s="1">
        <v>-8.3212100000000008E-3</v>
      </c>
      <c r="F1098" s="1">
        <v>8.5694899999999997E-4</v>
      </c>
      <c r="G1098" s="1">
        <v>2.1423199999999998E-5</v>
      </c>
      <c r="H1098" s="1">
        <v>6.7256200000000003E-4</v>
      </c>
    </row>
    <row r="1099" spans="2:8" x14ac:dyDescent="0.25">
      <c r="B1099" s="1">
        <v>251.22900000000001</v>
      </c>
      <c r="C1099" s="1">
        <v>9.3591200000000003E-3</v>
      </c>
      <c r="D1099" s="1">
        <v>-1.4695000000000001E-3</v>
      </c>
      <c r="E1099" s="1">
        <v>-8.1461499999999996E-3</v>
      </c>
      <c r="F1099" s="1">
        <v>9.0383599999999998E-4</v>
      </c>
      <c r="G1099" s="1">
        <v>2.08058E-5</v>
      </c>
      <c r="H1099" s="1">
        <v>6.6811599999999996E-4</v>
      </c>
    </row>
    <row r="1100" spans="2:8" x14ac:dyDescent="0.25">
      <c r="B1100" s="1">
        <v>253.351</v>
      </c>
      <c r="C1100" s="1">
        <v>9.1060199999999994E-3</v>
      </c>
      <c r="D1100" s="1">
        <v>-1.4419599999999999E-3</v>
      </c>
      <c r="E1100" s="1">
        <v>-7.9729299999999996E-3</v>
      </c>
      <c r="F1100" s="1">
        <v>9.5372600000000001E-4</v>
      </c>
      <c r="G1100" s="1">
        <v>1.8122899999999999E-5</v>
      </c>
      <c r="H1100" s="1">
        <v>6.6298599999999996E-4</v>
      </c>
    </row>
    <row r="1101" spans="2:8" x14ac:dyDescent="0.25">
      <c r="B1101" s="1">
        <v>255.47499999999999</v>
      </c>
      <c r="C1101" s="1">
        <v>8.85559E-3</v>
      </c>
      <c r="D1101" s="1">
        <v>-1.4156399999999999E-3</v>
      </c>
      <c r="E1101" s="1">
        <v>-7.80155E-3</v>
      </c>
      <c r="F1101" s="1">
        <v>1.00431E-3</v>
      </c>
      <c r="G1101" s="1">
        <v>1.4360500000000001E-5</v>
      </c>
      <c r="H1101" s="1">
        <v>6.5706800000000002E-4</v>
      </c>
    </row>
    <row r="1102" spans="2:8" x14ac:dyDescent="0.25">
      <c r="B1102" s="1">
        <v>257.59800000000001</v>
      </c>
      <c r="C1102" s="1">
        <v>8.6089700000000005E-3</v>
      </c>
      <c r="D1102" s="1">
        <v>-1.3907399999999999E-3</v>
      </c>
      <c r="E1102" s="1">
        <v>-7.6321699999999998E-3</v>
      </c>
      <c r="F1102" s="1">
        <v>1.0535E-3</v>
      </c>
      <c r="G1102" s="1">
        <v>1.07638E-5</v>
      </c>
      <c r="H1102" s="1">
        <v>6.5032200000000005E-4</v>
      </c>
    </row>
    <row r="1103" spans="2:8" x14ac:dyDescent="0.25">
      <c r="B1103" s="1">
        <v>259.72300000000001</v>
      </c>
      <c r="C1103" s="1">
        <v>8.3666399999999998E-3</v>
      </c>
      <c r="D1103" s="1">
        <v>-1.3672199999999999E-3</v>
      </c>
      <c r="E1103" s="1">
        <v>-7.46504E-3</v>
      </c>
      <c r="F1103" s="1">
        <v>1.10015E-3</v>
      </c>
      <c r="G1103" s="1">
        <v>8.3082999999999997E-6</v>
      </c>
      <c r="H1103" s="1">
        <v>6.4284100000000001E-4</v>
      </c>
    </row>
    <row r="1104" spans="2:8" x14ac:dyDescent="0.25">
      <c r="B1104" s="1">
        <v>261.84699999999998</v>
      </c>
      <c r="C1104" s="1">
        <v>8.1286099999999997E-3</v>
      </c>
      <c r="D1104" s="1">
        <v>-1.3448799999999999E-3</v>
      </c>
      <c r="E1104" s="1">
        <v>-7.3003299999999998E-3</v>
      </c>
      <c r="F1104" s="1">
        <v>1.1436899999999999E-3</v>
      </c>
      <c r="G1104" s="1">
        <v>7.8148500000000002E-6</v>
      </c>
      <c r="H1104" s="1">
        <v>6.3490300000000003E-4</v>
      </c>
    </row>
    <row r="1105" spans="2:8" x14ac:dyDescent="0.25">
      <c r="B1105" s="1">
        <v>263.971</v>
      </c>
      <c r="C1105" s="1">
        <v>7.8947400000000008E-3</v>
      </c>
      <c r="D1105" s="1">
        <v>-1.32354E-3</v>
      </c>
      <c r="E1105" s="1">
        <v>-7.1380999999999997E-3</v>
      </c>
      <c r="F1105" s="1">
        <v>1.1838199999999999E-3</v>
      </c>
      <c r="G1105" s="1">
        <v>9.91804E-6</v>
      </c>
      <c r="H1105" s="1">
        <v>6.2684100000000005E-4</v>
      </c>
    </row>
    <row r="1106" spans="2:8" x14ac:dyDescent="0.25">
      <c r="B1106" s="1">
        <v>266.096</v>
      </c>
      <c r="C1106" s="1">
        <v>7.6647800000000004E-3</v>
      </c>
      <c r="D1106" s="1">
        <v>-1.3029199999999999E-3</v>
      </c>
      <c r="E1106" s="1">
        <v>-6.9783700000000002E-3</v>
      </c>
      <c r="F1106" s="1">
        <v>1.22094E-3</v>
      </c>
      <c r="G1106" s="1">
        <v>1.44805E-5</v>
      </c>
      <c r="H1106" s="1">
        <v>6.1890700000000003E-4</v>
      </c>
    </row>
    <row r="1107" spans="2:8" x14ac:dyDescent="0.25">
      <c r="B1107" s="1">
        <v>268.22199999999998</v>
      </c>
      <c r="C1107" s="1">
        <v>7.4384400000000002E-3</v>
      </c>
      <c r="D1107" s="1">
        <v>-1.28265E-3</v>
      </c>
      <c r="E1107" s="1">
        <v>-6.8211799999999996E-3</v>
      </c>
      <c r="F1107" s="1">
        <v>1.2559400000000001E-3</v>
      </c>
      <c r="G1107" s="1">
        <v>2.0679999999999999E-5</v>
      </c>
      <c r="H1107" s="1">
        <v>6.1123099999999995E-4</v>
      </c>
    </row>
    <row r="1108" spans="2:8" x14ac:dyDescent="0.25">
      <c r="B1108" s="1">
        <v>270.34800000000001</v>
      </c>
      <c r="C1108" s="1">
        <v>7.2154699999999999E-3</v>
      </c>
      <c r="D1108" s="1">
        <v>-1.2625500000000001E-3</v>
      </c>
      <c r="E1108" s="1">
        <v>-6.6663900000000003E-3</v>
      </c>
      <c r="F1108" s="1">
        <v>1.29013E-3</v>
      </c>
      <c r="G1108" s="1">
        <v>2.7262200000000001E-5</v>
      </c>
      <c r="H1108" s="1">
        <v>6.0391700000000004E-4</v>
      </c>
    </row>
    <row r="1109" spans="2:8" x14ac:dyDescent="0.25">
      <c r="B1109" s="1">
        <v>272.47399999999999</v>
      </c>
      <c r="C1109" s="1">
        <v>6.9956999999999997E-3</v>
      </c>
      <c r="D1109" s="1">
        <v>-1.2425100000000001E-3</v>
      </c>
      <c r="E1109" s="1">
        <v>-6.5137800000000003E-3</v>
      </c>
      <c r="F1109" s="1">
        <v>1.3254499999999999E-3</v>
      </c>
      <c r="G1109" s="1">
        <v>3.2166699999999998E-5</v>
      </c>
      <c r="H1109" s="1">
        <v>5.9702699999999997E-4</v>
      </c>
    </row>
    <row r="1110" spans="2:8" x14ac:dyDescent="0.25">
      <c r="B1110" s="1">
        <v>274.60000000000002</v>
      </c>
      <c r="C1110" s="1">
        <v>6.7790200000000002E-3</v>
      </c>
      <c r="D1110" s="1">
        <v>-1.2223399999999999E-3</v>
      </c>
      <c r="E1110" s="1">
        <v>-6.3631299999999998E-3</v>
      </c>
      <c r="F1110" s="1">
        <v>1.3640499999999999E-3</v>
      </c>
      <c r="G1110" s="1">
        <v>3.2988999999999999E-5</v>
      </c>
      <c r="H1110" s="1">
        <v>5.9059100000000001E-4</v>
      </c>
    </row>
    <row r="1111" spans="2:8" x14ac:dyDescent="0.25">
      <c r="B1111" s="1">
        <v>276.72699999999998</v>
      </c>
      <c r="C1111" s="1">
        <v>6.5653200000000004E-3</v>
      </c>
      <c r="D1111" s="1">
        <v>-1.20173E-3</v>
      </c>
      <c r="E1111" s="1">
        <v>-6.21442E-3</v>
      </c>
      <c r="F1111" s="1">
        <v>1.40708E-3</v>
      </c>
      <c r="G1111" s="1">
        <v>2.8297899999999999E-5</v>
      </c>
      <c r="H1111" s="1">
        <v>5.8454600000000002E-4</v>
      </c>
    </row>
    <row r="1112" spans="2:8" x14ac:dyDescent="0.25">
      <c r="B1112" s="1">
        <v>278.85300000000001</v>
      </c>
      <c r="C1112" s="1">
        <v>6.3545900000000002E-3</v>
      </c>
      <c r="D1112" s="1">
        <v>-1.1806500000000001E-3</v>
      </c>
      <c r="E1112" s="1">
        <v>-6.0678599999999996E-3</v>
      </c>
      <c r="F1112" s="1">
        <v>1.4536900000000001E-3</v>
      </c>
      <c r="G1112" s="1">
        <v>1.9100700000000002E-5</v>
      </c>
      <c r="H1112" s="1">
        <v>5.7887699999999999E-4</v>
      </c>
    </row>
    <row r="1113" spans="2:8" x14ac:dyDescent="0.25">
      <c r="B1113" s="1">
        <v>280.98099999999999</v>
      </c>
      <c r="C1113" s="1">
        <v>6.1469100000000002E-3</v>
      </c>
      <c r="D1113" s="1">
        <v>-1.15934E-3</v>
      </c>
      <c r="E1113" s="1">
        <v>-5.9237999999999999E-3</v>
      </c>
      <c r="F1113" s="1">
        <v>1.5012700000000001E-3</v>
      </c>
      <c r="G1113" s="1">
        <v>8.5949100000000004E-6</v>
      </c>
      <c r="H1113" s="1">
        <v>5.7362699999999995E-4</v>
      </c>
    </row>
    <row r="1114" spans="2:8" x14ac:dyDescent="0.25">
      <c r="B1114" s="1">
        <v>283.108</v>
      </c>
      <c r="C1114" s="1">
        <v>5.94219E-3</v>
      </c>
      <c r="D1114" s="1">
        <v>-1.13805E-3</v>
      </c>
      <c r="E1114" s="1">
        <v>-5.7826300000000004E-3</v>
      </c>
      <c r="F1114" s="1">
        <v>1.5473900000000001E-3</v>
      </c>
      <c r="G1114" s="1">
        <v>-7.4428900000000005E-8</v>
      </c>
      <c r="H1114" s="1">
        <v>5.6882600000000003E-4</v>
      </c>
    </row>
    <row r="1115" spans="2:8" x14ac:dyDescent="0.25">
      <c r="B1115" s="1">
        <v>285.23599999999999</v>
      </c>
      <c r="C1115" s="1">
        <v>5.7401199999999996E-3</v>
      </c>
      <c r="D1115" s="1">
        <v>-1.1166800000000001E-3</v>
      </c>
      <c r="E1115" s="1">
        <v>-5.6447499999999996E-3</v>
      </c>
      <c r="F1115" s="1">
        <v>1.5916299999999999E-3</v>
      </c>
      <c r="G1115" s="1">
        <v>-5.8752500000000002E-6</v>
      </c>
      <c r="H1115" s="1">
        <v>5.6443599999999997E-4</v>
      </c>
    </row>
    <row r="1116" spans="2:8" x14ac:dyDescent="0.25">
      <c r="B1116" s="1">
        <v>287.363</v>
      </c>
      <c r="C1116" s="1">
        <v>5.5403400000000004E-3</v>
      </c>
      <c r="D1116" s="1">
        <v>-1.0950599999999999E-3</v>
      </c>
      <c r="E1116" s="1">
        <v>-5.51046E-3</v>
      </c>
      <c r="F1116" s="1">
        <v>1.63524E-3</v>
      </c>
      <c r="G1116" s="1">
        <v>-9.6756299999999997E-6</v>
      </c>
      <c r="H1116" s="1">
        <v>5.6039499999999999E-4</v>
      </c>
    </row>
    <row r="1117" spans="2:8" x14ac:dyDescent="0.25">
      <c r="B1117" s="1">
        <v>289.49200000000002</v>
      </c>
      <c r="C1117" s="1">
        <v>5.3427400000000003E-3</v>
      </c>
      <c r="D1117" s="1">
        <v>-1.0732599999999999E-3</v>
      </c>
      <c r="E1117" s="1">
        <v>-5.3798500000000003E-3</v>
      </c>
      <c r="F1117" s="1">
        <v>1.67931E-3</v>
      </c>
      <c r="G1117" s="1">
        <v>-1.23219E-5</v>
      </c>
      <c r="H1117" s="1">
        <v>5.56622E-4</v>
      </c>
    </row>
    <row r="1118" spans="2:8" x14ac:dyDescent="0.25">
      <c r="B1118" s="1">
        <v>291.62</v>
      </c>
      <c r="C1118" s="1">
        <v>5.14752E-3</v>
      </c>
      <c r="D1118" s="1">
        <v>-1.05171E-3</v>
      </c>
      <c r="E1118" s="1">
        <v>-5.2528200000000001E-3</v>
      </c>
      <c r="F1118" s="1">
        <v>1.7235499999999999E-3</v>
      </c>
      <c r="G1118" s="1">
        <v>-1.34819E-5</v>
      </c>
      <c r="H1118" s="1">
        <v>5.5305600000000001E-4</v>
      </c>
    </row>
    <row r="1119" spans="2:8" x14ac:dyDescent="0.25">
      <c r="B1119" s="1">
        <v>293.74799999999999</v>
      </c>
      <c r="C1119" s="1">
        <v>4.9550499999999999E-3</v>
      </c>
      <c r="D1119" s="1">
        <v>-1.0309E-3</v>
      </c>
      <c r="E1119" s="1">
        <v>-5.1290900000000002E-3</v>
      </c>
      <c r="F1119" s="1">
        <v>1.76695E-3</v>
      </c>
      <c r="G1119" s="1">
        <v>-1.24146E-5</v>
      </c>
      <c r="H1119" s="1">
        <v>5.4959099999999999E-4</v>
      </c>
    </row>
    <row r="1120" spans="2:8" x14ac:dyDescent="0.25">
      <c r="B1120" s="1">
        <v>295.87599999999998</v>
      </c>
      <c r="C1120" s="1">
        <v>4.7656199999999999E-3</v>
      </c>
      <c r="D1120" s="1">
        <v>-1.0110099999999999E-3</v>
      </c>
      <c r="E1120" s="1">
        <v>-5.0084500000000002E-3</v>
      </c>
      <c r="F1120" s="1">
        <v>1.80876E-3</v>
      </c>
      <c r="G1120" s="1">
        <v>-8.8115399999999997E-6</v>
      </c>
      <c r="H1120" s="1">
        <v>5.4611000000000004E-4</v>
      </c>
    </row>
    <row r="1121" spans="2:8" x14ac:dyDescent="0.25">
      <c r="B1121" s="1">
        <v>298.005</v>
      </c>
      <c r="C1121" s="1">
        <v>4.5793199999999996E-3</v>
      </c>
      <c r="D1121" s="1">
        <v>-9.9194600000000006E-4</v>
      </c>
      <c r="E1121" s="1">
        <v>-4.8908700000000003E-3</v>
      </c>
      <c r="F1121" s="1">
        <v>1.8488599999999999E-3</v>
      </c>
      <c r="G1121" s="1">
        <v>-2.9026299999999999E-6</v>
      </c>
      <c r="H1121" s="1">
        <v>5.4246000000000003E-4</v>
      </c>
    </row>
    <row r="1122" spans="2:8" x14ac:dyDescent="0.25">
      <c r="B1122" s="1">
        <v>300.13400000000001</v>
      </c>
      <c r="C1122" s="1">
        <v>4.3961699999999996E-3</v>
      </c>
      <c r="D1122" s="1">
        <v>-9.7358799999999995E-4</v>
      </c>
      <c r="E1122" s="1">
        <v>-4.7764699999999997E-3</v>
      </c>
      <c r="F1122" s="1">
        <v>1.88762E-3</v>
      </c>
      <c r="G1122" s="1">
        <v>4.7726200000000004E-6</v>
      </c>
      <c r="H1122" s="1">
        <v>5.3849300000000002E-4</v>
      </c>
    </row>
    <row r="1123" spans="2:8" x14ac:dyDescent="0.25">
      <c r="B1123" s="1">
        <v>302.26299999999998</v>
      </c>
      <c r="C1123" s="1">
        <v>4.2162700000000003E-3</v>
      </c>
      <c r="D1123" s="1">
        <v>-9.5594799999999998E-4</v>
      </c>
      <c r="E1123" s="1">
        <v>-4.6653600000000003E-3</v>
      </c>
      <c r="F1123" s="1">
        <v>1.9257300000000001E-3</v>
      </c>
      <c r="G1123" s="1">
        <v>1.34631E-5</v>
      </c>
      <c r="H1123" s="1">
        <v>5.3415400000000001E-4</v>
      </c>
    </row>
    <row r="1124" spans="2:8" x14ac:dyDescent="0.25">
      <c r="B1124" s="1">
        <v>304.39299999999997</v>
      </c>
      <c r="C1124" s="1">
        <v>4.0398600000000002E-3</v>
      </c>
      <c r="D1124" s="1">
        <v>-9.3918500000000004E-4</v>
      </c>
      <c r="E1124" s="1">
        <v>-4.5574600000000002E-3</v>
      </c>
      <c r="F1124" s="1">
        <v>1.96422E-3</v>
      </c>
      <c r="G1124" s="1">
        <v>2.19833E-5</v>
      </c>
      <c r="H1124" s="1">
        <v>5.2942400000000002E-4</v>
      </c>
    </row>
    <row r="1125" spans="2:8" x14ac:dyDescent="0.25">
      <c r="B1125" s="1">
        <v>306.52199999999999</v>
      </c>
      <c r="C1125" s="1">
        <v>3.86719E-3</v>
      </c>
      <c r="D1125" s="1">
        <v>-9.2336100000000004E-4</v>
      </c>
      <c r="E1125" s="1">
        <v>-4.4525199999999997E-3</v>
      </c>
      <c r="F1125" s="1">
        <v>2.0042599999999999E-3</v>
      </c>
      <c r="G1125" s="1">
        <v>2.8732099999999999E-5</v>
      </c>
      <c r="H1125" s="1">
        <v>5.243E-4</v>
      </c>
    </row>
    <row r="1126" spans="2:8" x14ac:dyDescent="0.25">
      <c r="B1126" s="1">
        <v>308.65100000000001</v>
      </c>
      <c r="C1126" s="1">
        <v>3.6984299999999999E-3</v>
      </c>
      <c r="D1126" s="1">
        <v>-9.0821100000000002E-4</v>
      </c>
      <c r="E1126" s="1">
        <v>-4.3502599999999999E-3</v>
      </c>
      <c r="F1126" s="1">
        <v>2.0466E-3</v>
      </c>
      <c r="G1126" s="1">
        <v>3.2196700000000003E-5</v>
      </c>
      <c r="H1126" s="1">
        <v>5.1876199999999998E-4</v>
      </c>
    </row>
    <row r="1127" spans="2:8" x14ac:dyDescent="0.25">
      <c r="B1127" s="1">
        <v>310.78100000000001</v>
      </c>
      <c r="C1127" s="1">
        <v>3.5337200000000002E-3</v>
      </c>
      <c r="D1127" s="1">
        <v>-8.9325400000000001E-4</v>
      </c>
      <c r="E1127" s="1">
        <v>-4.2504500000000002E-3</v>
      </c>
      <c r="F1127" s="1">
        <v>2.091E-3</v>
      </c>
      <c r="G1127" s="1">
        <v>3.1757000000000001E-5</v>
      </c>
      <c r="H1127" s="1">
        <v>5.1276700000000002E-4</v>
      </c>
    </row>
    <row r="1128" spans="2:8" x14ac:dyDescent="0.25">
      <c r="B1128" s="1">
        <v>312.911</v>
      </c>
      <c r="C1128" s="1">
        <v>3.3731799999999999E-3</v>
      </c>
      <c r="D1128" s="1">
        <v>-8.7821000000000004E-4</v>
      </c>
      <c r="E1128" s="1">
        <v>-4.1529899999999996E-3</v>
      </c>
      <c r="F1128" s="1">
        <v>2.1360400000000001E-3</v>
      </c>
      <c r="G1128" s="1">
        <v>2.8171399999999999E-5</v>
      </c>
      <c r="H1128" s="1">
        <v>5.0619399999999996E-4</v>
      </c>
    </row>
    <row r="1129" spans="2:8" x14ac:dyDescent="0.25">
      <c r="B1129" s="1">
        <v>315.04199999999997</v>
      </c>
      <c r="C1129" s="1">
        <v>3.2169899999999999E-3</v>
      </c>
      <c r="D1129" s="1">
        <v>-8.6316799999999999E-4</v>
      </c>
      <c r="E1129" s="1">
        <v>-4.0578599999999999E-3</v>
      </c>
      <c r="F1129" s="1">
        <v>2.1797700000000001E-3</v>
      </c>
      <c r="G1129" s="1">
        <v>2.3283400000000001E-5</v>
      </c>
      <c r="H1129" s="1">
        <v>4.9901500000000001E-4</v>
      </c>
    </row>
    <row r="1130" spans="2:8" x14ac:dyDescent="0.25">
      <c r="B1130" s="1">
        <v>317.17200000000003</v>
      </c>
      <c r="C1130" s="1">
        <v>3.0652800000000001E-3</v>
      </c>
      <c r="D1130" s="1">
        <v>-8.4838000000000003E-4</v>
      </c>
      <c r="E1130" s="1">
        <v>-3.9651799999999996E-3</v>
      </c>
      <c r="F1130" s="1">
        <v>2.2206600000000002E-3</v>
      </c>
      <c r="G1130" s="1">
        <v>1.88513E-5</v>
      </c>
      <c r="H1130" s="1">
        <v>4.91227E-4</v>
      </c>
    </row>
    <row r="1131" spans="2:8" x14ac:dyDescent="0.25">
      <c r="B1131" s="1">
        <v>319.30200000000002</v>
      </c>
      <c r="C1131" s="1">
        <v>2.9180500000000002E-3</v>
      </c>
      <c r="D1131" s="1">
        <v>-8.3409599999999999E-4</v>
      </c>
      <c r="E1131" s="1">
        <v>-3.8751499999999999E-3</v>
      </c>
      <c r="F1131" s="1">
        <v>2.2580899999999999E-3</v>
      </c>
      <c r="G1131" s="1">
        <v>1.60127E-5</v>
      </c>
      <c r="H1131" s="1">
        <v>4.8290399999999998E-4</v>
      </c>
    </row>
    <row r="1132" spans="2:8" x14ac:dyDescent="0.25">
      <c r="B1132" s="1">
        <v>321.43299999999999</v>
      </c>
      <c r="C1132" s="1">
        <v>2.7751999999999998E-3</v>
      </c>
      <c r="D1132" s="1">
        <v>-8.2047900000000004E-4</v>
      </c>
      <c r="E1132" s="1">
        <v>-3.78802E-3</v>
      </c>
      <c r="F1132" s="1">
        <v>2.2921399999999998E-3</v>
      </c>
      <c r="G1132" s="1">
        <v>1.5372599999999999E-5</v>
      </c>
      <c r="H1132" s="1">
        <v>4.74208E-4</v>
      </c>
    </row>
    <row r="1133" spans="2:8" x14ac:dyDescent="0.25">
      <c r="B1133" s="1">
        <v>323.56299999999999</v>
      </c>
      <c r="C1133" s="1">
        <v>2.6364700000000001E-3</v>
      </c>
      <c r="D1133" s="1">
        <v>-8.0749800000000003E-4</v>
      </c>
      <c r="E1133" s="1">
        <v>-3.7040100000000002E-3</v>
      </c>
      <c r="F1133" s="1">
        <v>2.3233500000000001E-3</v>
      </c>
      <c r="G1133" s="1">
        <v>1.6951799999999999E-5</v>
      </c>
      <c r="H1133" s="1">
        <v>4.6526E-4</v>
      </c>
    </row>
    <row r="1134" spans="2:8" x14ac:dyDescent="0.25">
      <c r="B1134" s="1">
        <v>325.69400000000002</v>
      </c>
      <c r="C1134" s="1">
        <v>2.5014799999999999E-3</v>
      </c>
      <c r="D1134" s="1">
        <v>-7.9497499999999996E-4</v>
      </c>
      <c r="E1134" s="1">
        <v>-3.6232299999999999E-3</v>
      </c>
      <c r="F1134" s="1">
        <v>2.3526599999999999E-3</v>
      </c>
      <c r="G1134" s="1">
        <v>2.0177799999999998E-5</v>
      </c>
      <c r="H1134" s="1">
        <v>4.5611300000000002E-4</v>
      </c>
    </row>
    <row r="1135" spans="2:8" x14ac:dyDescent="0.25">
      <c r="B1135" s="1">
        <v>327.82600000000002</v>
      </c>
      <c r="C1135" s="1">
        <v>2.3698399999999998E-3</v>
      </c>
      <c r="D1135" s="1">
        <v>-7.8280799999999996E-4</v>
      </c>
      <c r="E1135" s="1">
        <v>-3.5456799999999998E-3</v>
      </c>
      <c r="F1135" s="1">
        <v>2.3813200000000001E-3</v>
      </c>
      <c r="G1135" s="1">
        <v>2.4141199999999999E-5</v>
      </c>
      <c r="H1135" s="1">
        <v>4.4680799999999998E-4</v>
      </c>
    </row>
    <row r="1136" spans="2:8" x14ac:dyDescent="0.25">
      <c r="B1136" s="1">
        <v>329.95600000000002</v>
      </c>
      <c r="C1136" s="1">
        <v>2.24128E-3</v>
      </c>
      <c r="D1136" s="1">
        <v>-7.7100699999999999E-4</v>
      </c>
      <c r="E1136" s="1">
        <v>-3.4711999999999998E-3</v>
      </c>
      <c r="F1136" s="1">
        <v>2.4105699999999999E-3</v>
      </c>
      <c r="G1136" s="1">
        <v>2.7729499999999999E-5</v>
      </c>
      <c r="H1136" s="1">
        <v>4.3737099999999998E-4</v>
      </c>
    </row>
    <row r="1137" spans="2:8" x14ac:dyDescent="0.25">
      <c r="B1137" s="1">
        <v>332.08800000000002</v>
      </c>
      <c r="C1137" s="1">
        <v>2.1157799999999998E-3</v>
      </c>
      <c r="D1137" s="1">
        <v>-7.5958500000000001E-4</v>
      </c>
      <c r="E1137" s="1">
        <v>-3.3994799999999999E-3</v>
      </c>
      <c r="F1137" s="1">
        <v>2.4413799999999999E-3</v>
      </c>
      <c r="G1137" s="1">
        <v>2.9765300000000001E-5</v>
      </c>
      <c r="H1137" s="1">
        <v>4.2786099999999997E-4</v>
      </c>
    </row>
    <row r="1138" spans="2:8" x14ac:dyDescent="0.25">
      <c r="B1138" s="1">
        <v>334.21899999999999</v>
      </c>
      <c r="C1138" s="1">
        <v>1.9935299999999999E-3</v>
      </c>
      <c r="D1138" s="1">
        <v>-7.4858599999999998E-4</v>
      </c>
      <c r="E1138" s="1">
        <v>-3.3301699999999999E-3</v>
      </c>
      <c r="F1138" s="1">
        <v>2.4739800000000002E-3</v>
      </c>
      <c r="G1138" s="1">
        <v>2.9575799999999999E-5</v>
      </c>
      <c r="H1138" s="1">
        <v>4.1833400000000002E-4</v>
      </c>
    </row>
    <row r="1139" spans="2:8" x14ac:dyDescent="0.25">
      <c r="B1139" s="1">
        <v>336.35</v>
      </c>
      <c r="C1139" s="1">
        <v>1.8748599999999999E-3</v>
      </c>
      <c r="D1139" s="1">
        <v>-7.38176E-4</v>
      </c>
      <c r="E1139" s="1">
        <v>-3.2629500000000001E-3</v>
      </c>
      <c r="F1139" s="1">
        <v>2.5075200000000001E-3</v>
      </c>
      <c r="G1139" s="1">
        <v>2.7618900000000001E-5</v>
      </c>
      <c r="H1139" s="1">
        <v>4.0887999999999997E-4</v>
      </c>
    </row>
    <row r="1140" spans="2:8" x14ac:dyDescent="0.25">
      <c r="B1140" s="1">
        <v>338.48200000000003</v>
      </c>
      <c r="C1140" s="1">
        <v>1.76005E-3</v>
      </c>
      <c r="D1140" s="1">
        <v>-7.2855399999999996E-4</v>
      </c>
      <c r="E1140" s="1">
        <v>-3.1975699999999998E-3</v>
      </c>
      <c r="F1140" s="1">
        <v>2.54053E-3</v>
      </c>
      <c r="G1140" s="1">
        <v>2.5142899999999999E-5</v>
      </c>
      <c r="H1140" s="1">
        <v>3.99603E-4</v>
      </c>
    </row>
    <row r="1141" spans="2:8" x14ac:dyDescent="0.25">
      <c r="B1141" s="1">
        <v>340.61399999999998</v>
      </c>
      <c r="C1141" s="1">
        <v>1.64926E-3</v>
      </c>
      <c r="D1141" s="1">
        <v>-7.1977499999999997E-4</v>
      </c>
      <c r="E1141" s="1">
        <v>-3.13387E-3</v>
      </c>
      <c r="F1141" s="1">
        <v>2.5716699999999999E-3</v>
      </c>
      <c r="G1141" s="1">
        <v>2.32365E-5</v>
      </c>
      <c r="H1141" s="1">
        <v>3.9052899999999997E-4</v>
      </c>
    </row>
    <row r="1142" spans="2:8" x14ac:dyDescent="0.25">
      <c r="B1142" s="1">
        <v>342.745</v>
      </c>
      <c r="C1142" s="1">
        <v>1.54254E-3</v>
      </c>
      <c r="D1142" s="1">
        <v>-7.1167300000000001E-4</v>
      </c>
      <c r="E1142" s="1">
        <v>-3.0717399999999999E-3</v>
      </c>
      <c r="F1142" s="1">
        <v>2.6002099999999999E-3</v>
      </c>
      <c r="G1142" s="1">
        <v>2.23076E-5</v>
      </c>
      <c r="H1142" s="1">
        <v>3.81641E-4</v>
      </c>
    </row>
    <row r="1143" spans="2:8" x14ac:dyDescent="0.25">
      <c r="B1143" s="1">
        <v>344.87799999999999</v>
      </c>
      <c r="C1143" s="1">
        <v>1.4398499999999999E-3</v>
      </c>
      <c r="D1143" s="1">
        <v>-7.0396900000000004E-4</v>
      </c>
      <c r="E1143" s="1">
        <v>-3.0111600000000001E-3</v>
      </c>
      <c r="F1143" s="1">
        <v>2.62598E-3</v>
      </c>
      <c r="G1143" s="1">
        <v>2.2149000000000001E-5</v>
      </c>
      <c r="H1143" s="1">
        <v>3.7284800000000001E-4</v>
      </c>
    </row>
    <row r="1144" spans="2:8" x14ac:dyDescent="0.25">
      <c r="B1144" s="1">
        <v>347.01</v>
      </c>
      <c r="C1144" s="1">
        <v>1.34118E-3</v>
      </c>
      <c r="D1144" s="1">
        <v>-6.9648400000000004E-4</v>
      </c>
      <c r="E1144" s="1">
        <v>-2.9521700000000001E-3</v>
      </c>
      <c r="F1144" s="1">
        <v>2.6489600000000001E-3</v>
      </c>
      <c r="G1144" s="1">
        <v>2.2542299999999999E-5</v>
      </c>
      <c r="H1144" s="1">
        <v>3.6403100000000001E-4</v>
      </c>
    </row>
    <row r="1145" spans="2:8" x14ac:dyDescent="0.25">
      <c r="B1145" s="1">
        <v>349.142</v>
      </c>
      <c r="C1145" s="1">
        <v>1.24658E-3</v>
      </c>
      <c r="D1145" s="1">
        <v>-6.8925900000000001E-4</v>
      </c>
      <c r="E1145" s="1">
        <v>-2.8948300000000001E-3</v>
      </c>
      <c r="F1145" s="1">
        <v>2.66899E-3</v>
      </c>
      <c r="G1145" s="1">
        <v>2.3658500000000001E-5</v>
      </c>
      <c r="H1145" s="1">
        <v>3.5513400000000001E-4</v>
      </c>
    </row>
    <row r="1146" spans="2:8" x14ac:dyDescent="0.25">
      <c r="B1146" s="1">
        <v>351.274</v>
      </c>
      <c r="C1146" s="1">
        <v>1.15616E-3</v>
      </c>
      <c r="D1146" s="1">
        <v>-6.8242400000000005E-4</v>
      </c>
      <c r="E1146" s="1">
        <v>-2.8392399999999998E-3</v>
      </c>
      <c r="F1146" s="1">
        <v>2.68593E-3</v>
      </c>
      <c r="G1146" s="1">
        <v>2.57612E-5</v>
      </c>
      <c r="H1146" s="1">
        <v>3.4618600000000001E-4</v>
      </c>
    </row>
    <row r="1147" spans="2:8" x14ac:dyDescent="0.25">
      <c r="B1147" s="1">
        <v>353.40600000000001</v>
      </c>
      <c r="C1147" s="1">
        <v>1.0700799999999999E-3</v>
      </c>
      <c r="D1147" s="1">
        <v>-6.76024E-4</v>
      </c>
      <c r="E1147" s="1">
        <v>-2.7854500000000001E-3</v>
      </c>
      <c r="F1147" s="1">
        <v>2.69981E-3</v>
      </c>
      <c r="G1147" s="1">
        <v>2.8835399999999998E-5</v>
      </c>
      <c r="H1147" s="1">
        <v>3.3725399999999999E-4</v>
      </c>
    </row>
    <row r="1148" spans="2:8" x14ac:dyDescent="0.25">
      <c r="B1148" s="1">
        <v>355.53899999999999</v>
      </c>
      <c r="C1148" s="1">
        <v>9.8849799999999998E-4</v>
      </c>
      <c r="D1148" s="1">
        <v>-6.6998800000000005E-4</v>
      </c>
      <c r="E1148" s="1">
        <v>-2.73355E-3</v>
      </c>
      <c r="F1148" s="1">
        <v>2.7108100000000001E-3</v>
      </c>
      <c r="G1148" s="1">
        <v>3.2657799999999998E-5</v>
      </c>
      <c r="H1148" s="1">
        <v>3.2843199999999998E-4</v>
      </c>
    </row>
    <row r="1149" spans="2:8" x14ac:dyDescent="0.25">
      <c r="B1149" s="1">
        <v>357.67099999999999</v>
      </c>
      <c r="C1149" s="1">
        <v>9.1148399999999995E-4</v>
      </c>
      <c r="D1149" s="1">
        <v>-6.6418100000000002E-4</v>
      </c>
      <c r="E1149" s="1">
        <v>-2.6836199999999998E-3</v>
      </c>
      <c r="F1149" s="1">
        <v>2.7192399999999999E-3</v>
      </c>
      <c r="G1149" s="1">
        <v>3.6885999999999999E-5</v>
      </c>
      <c r="H1149" s="1">
        <v>3.1981199999999999E-4</v>
      </c>
    </row>
    <row r="1150" spans="2:8" x14ac:dyDescent="0.25">
      <c r="B1150" s="1">
        <v>359.80399999999997</v>
      </c>
      <c r="C1150" s="1">
        <v>8.3900000000000001E-4</v>
      </c>
      <c r="D1150" s="1">
        <v>-6.5845900000000002E-4</v>
      </c>
      <c r="E1150" s="1">
        <v>-2.63577E-3</v>
      </c>
      <c r="F1150" s="1">
        <v>2.72565E-3</v>
      </c>
      <c r="G1150" s="1">
        <v>4.1007100000000002E-5</v>
      </c>
      <c r="H1150" s="1">
        <v>3.1143700000000002E-4</v>
      </c>
    </row>
    <row r="1151" spans="2:8" x14ac:dyDescent="0.25">
      <c r="B1151" s="1">
        <v>361.93700000000001</v>
      </c>
      <c r="C1151" s="1">
        <v>7.7092299999999996E-4</v>
      </c>
      <c r="D1151" s="1">
        <v>-6.5276799999999997E-4</v>
      </c>
      <c r="E1151" s="1">
        <v>-2.5900900000000002E-3</v>
      </c>
      <c r="F1151" s="1">
        <v>2.7306600000000002E-3</v>
      </c>
      <c r="G1151" s="1">
        <v>4.4608999999999999E-5</v>
      </c>
      <c r="H1151" s="1">
        <v>3.0332900000000002E-4</v>
      </c>
    </row>
    <row r="1152" spans="2:8" x14ac:dyDescent="0.25">
      <c r="B1152" s="1">
        <v>364.06900000000002</v>
      </c>
      <c r="C1152" s="1">
        <v>7.0709899999999999E-4</v>
      </c>
      <c r="D1152" s="1">
        <v>-6.4722599999999999E-4</v>
      </c>
      <c r="E1152" s="1">
        <v>-2.5466899999999999E-3</v>
      </c>
      <c r="F1152" s="1">
        <v>2.7345799999999999E-3</v>
      </c>
      <c r="G1152" s="1">
        <v>4.7725000000000001E-5</v>
      </c>
      <c r="H1152" s="1">
        <v>2.9549399999999999E-4</v>
      </c>
    </row>
    <row r="1153" spans="2:8" x14ac:dyDescent="0.25">
      <c r="B1153" s="1">
        <v>366.202</v>
      </c>
      <c r="C1153" s="1">
        <v>6.47399E-4</v>
      </c>
      <c r="D1153" s="1">
        <v>-6.4206899999999999E-4</v>
      </c>
      <c r="E1153" s="1">
        <v>-2.50564E-3</v>
      </c>
      <c r="F1153" s="1">
        <v>2.7375099999999999E-3</v>
      </c>
      <c r="G1153" s="1">
        <v>5.0703099999999999E-5</v>
      </c>
      <c r="H1153" s="1">
        <v>2.8790700000000001E-4</v>
      </c>
    </row>
    <row r="1154" spans="2:8" x14ac:dyDescent="0.25">
      <c r="B1154" s="1">
        <v>368.33499999999998</v>
      </c>
      <c r="C1154" s="1">
        <v>5.9172200000000004E-4</v>
      </c>
      <c r="D1154" s="1">
        <v>-6.3752399999999999E-4</v>
      </c>
      <c r="E1154" s="1">
        <v>-2.4670500000000001E-3</v>
      </c>
      <c r="F1154" s="1">
        <v>2.7395399999999999E-3</v>
      </c>
      <c r="G1154" s="1">
        <v>5.38835E-5</v>
      </c>
      <c r="H1154" s="1">
        <v>2.8057199999999998E-4</v>
      </c>
    </row>
    <row r="1155" spans="2:8" x14ac:dyDescent="0.25">
      <c r="B1155" s="1">
        <v>370.46800000000002</v>
      </c>
      <c r="C1155" s="1">
        <v>5.3998200000000005E-4</v>
      </c>
      <c r="D1155" s="1">
        <v>-6.3370699999999996E-4</v>
      </c>
      <c r="E1155" s="1">
        <v>-2.43107E-3</v>
      </c>
      <c r="F1155" s="1">
        <v>2.7408799999999998E-3</v>
      </c>
      <c r="G1155" s="1">
        <v>5.7404999999999997E-5</v>
      </c>
      <c r="H1155" s="1">
        <v>2.7348900000000002E-4</v>
      </c>
    </row>
    <row r="1156" spans="2:8" x14ac:dyDescent="0.25">
      <c r="B1156" s="1">
        <v>372.601</v>
      </c>
      <c r="C1156" s="1">
        <v>4.92101E-4</v>
      </c>
      <c r="D1156" s="1">
        <v>-6.3057200000000003E-4</v>
      </c>
      <c r="E1156" s="1">
        <v>-2.3978200000000002E-3</v>
      </c>
      <c r="F1156" s="1">
        <v>2.74187E-3</v>
      </c>
      <c r="G1156" s="1">
        <v>6.1085800000000004E-5</v>
      </c>
      <c r="H1156" s="1">
        <v>2.6665700000000001E-4</v>
      </c>
    </row>
    <row r="1157" spans="2:8" x14ac:dyDescent="0.25">
      <c r="B1157" s="1">
        <v>374.73399999999998</v>
      </c>
      <c r="C1157" s="1">
        <v>4.4802299999999998E-4</v>
      </c>
      <c r="D1157" s="1">
        <v>-6.2793199999999999E-4</v>
      </c>
      <c r="E1157" s="1">
        <v>-2.3674E-3</v>
      </c>
      <c r="F1157" s="1">
        <v>2.7431199999999999E-3</v>
      </c>
      <c r="G1157" s="1">
        <v>6.4302300000000003E-5</v>
      </c>
      <c r="H1157" s="1">
        <v>2.6011600000000001E-4</v>
      </c>
    </row>
    <row r="1158" spans="2:8" x14ac:dyDescent="0.25">
      <c r="B1158" s="1">
        <v>376.86700000000002</v>
      </c>
      <c r="C1158" s="1">
        <v>4.07756E-4</v>
      </c>
      <c r="D1158" s="1">
        <v>-6.2559900000000001E-4</v>
      </c>
      <c r="E1158" s="1">
        <v>-2.3398099999999999E-3</v>
      </c>
      <c r="F1158" s="1">
        <v>2.7452900000000001E-3</v>
      </c>
      <c r="G1158" s="1">
        <v>6.6303200000000006E-5</v>
      </c>
      <c r="H1158" s="1">
        <v>2.53935E-4</v>
      </c>
    </row>
    <row r="1159" spans="2:8" x14ac:dyDescent="0.25">
      <c r="B1159" s="1">
        <v>379</v>
      </c>
      <c r="C1159" s="1">
        <v>3.7137100000000001E-4</v>
      </c>
      <c r="D1159" s="1">
        <v>-6.2351400000000003E-4</v>
      </c>
      <c r="E1159" s="1">
        <v>-2.3150499999999999E-3</v>
      </c>
      <c r="F1159" s="1">
        <v>2.7484699999999998E-3</v>
      </c>
      <c r="G1159" s="1">
        <v>6.6929799999999997E-5</v>
      </c>
      <c r="H1159" s="1">
        <v>2.4820400000000002E-4</v>
      </c>
    </row>
    <row r="1160" spans="2:8" x14ac:dyDescent="0.25">
      <c r="B1160" s="1">
        <v>381.13400000000001</v>
      </c>
      <c r="C1160" s="1">
        <v>3.3896799999999998E-4</v>
      </c>
      <c r="D1160" s="1">
        <v>-6.2175499999999999E-4</v>
      </c>
      <c r="E1160" s="1">
        <v>-2.2931499999999999E-3</v>
      </c>
      <c r="F1160" s="1">
        <v>2.7521099999999999E-3</v>
      </c>
      <c r="G1160" s="1">
        <v>6.68938E-5</v>
      </c>
      <c r="H1160" s="1">
        <v>2.4306100000000001E-4</v>
      </c>
    </row>
    <row r="1161" spans="2:8" x14ac:dyDescent="0.25">
      <c r="B1161" s="1">
        <v>383.267</v>
      </c>
      <c r="C1161" s="1">
        <v>3.1066699999999999E-4</v>
      </c>
      <c r="D1161" s="1">
        <v>-6.2043799999999996E-4</v>
      </c>
      <c r="E1161" s="1">
        <v>-2.27422E-3</v>
      </c>
      <c r="F1161" s="1">
        <v>2.7553600000000001E-3</v>
      </c>
      <c r="G1161" s="1">
        <v>6.7224999999999994E-5</v>
      </c>
      <c r="H1161" s="1">
        <v>2.3859599999999999E-4</v>
      </c>
    </row>
    <row r="1162" spans="2:8" x14ac:dyDescent="0.25">
      <c r="B1162" s="1">
        <v>385.4</v>
      </c>
      <c r="C1162" s="1">
        <v>2.8660699999999998E-4</v>
      </c>
      <c r="D1162" s="1">
        <v>-6.1961000000000004E-4</v>
      </c>
      <c r="E1162" s="1">
        <v>-2.2583799999999999E-3</v>
      </c>
      <c r="F1162" s="1">
        <v>2.7577299999999999E-3</v>
      </c>
      <c r="G1162" s="1">
        <v>6.8517799999999996E-5</v>
      </c>
      <c r="H1162" s="1">
        <v>2.34861E-4</v>
      </c>
    </row>
    <row r="1163" spans="2:8" x14ac:dyDescent="0.25">
      <c r="B1163" s="1">
        <v>387.53399999999999</v>
      </c>
      <c r="C1163" s="1">
        <v>2.6696700000000001E-4</v>
      </c>
      <c r="D1163" s="1">
        <v>-6.1919500000000001E-4</v>
      </c>
      <c r="E1163" s="1">
        <v>-2.2457200000000001E-3</v>
      </c>
      <c r="F1163" s="1">
        <v>2.7592300000000001E-3</v>
      </c>
      <c r="G1163" s="1">
        <v>7.05716E-5</v>
      </c>
      <c r="H1163" s="1">
        <v>2.31855E-4</v>
      </c>
    </row>
    <row r="1164" spans="2:8" x14ac:dyDescent="0.25">
      <c r="B1164" s="1">
        <v>389.66699999999997</v>
      </c>
      <c r="C1164" s="1">
        <v>2.5196099999999998E-4</v>
      </c>
      <c r="D1164" s="1">
        <v>-6.19043E-4</v>
      </c>
      <c r="E1164" s="1">
        <v>-2.23625E-3</v>
      </c>
      <c r="F1164" s="1">
        <v>2.7601399999999999E-3</v>
      </c>
      <c r="G1164" s="1">
        <v>7.2760200000000002E-5</v>
      </c>
      <c r="H1164" s="1">
        <v>2.2957000000000001E-4</v>
      </c>
    </row>
    <row r="1165" spans="2:8" x14ac:dyDescent="0.25">
      <c r="B1165" s="1">
        <v>391.8</v>
      </c>
      <c r="C1165" s="1">
        <v>2.41807E-4</v>
      </c>
      <c r="D1165" s="1">
        <v>-6.1900499999999995E-4</v>
      </c>
      <c r="E1165" s="1">
        <v>-2.2299500000000001E-3</v>
      </c>
      <c r="F1165" s="1">
        <v>2.7606800000000002E-3</v>
      </c>
      <c r="G1165" s="1">
        <v>7.4485699999999997E-5</v>
      </c>
      <c r="H1165" s="1">
        <v>2.2802099999999999E-4</v>
      </c>
    </row>
    <row r="1166" spans="2:8" x14ac:dyDescent="0.25">
      <c r="B1166" s="1">
        <v>393.93299999999999</v>
      </c>
      <c r="C1166" s="1">
        <v>2.3668300000000001E-4</v>
      </c>
      <c r="D1166" s="1">
        <v>-6.1899500000000001E-4</v>
      </c>
      <c r="E1166" s="1">
        <v>-2.2268100000000001E-3</v>
      </c>
      <c r="F1166" s="1">
        <v>2.7609599999999998E-3</v>
      </c>
      <c r="G1166" s="1">
        <v>7.5393200000000002E-5</v>
      </c>
      <c r="H1166" s="1">
        <v>2.27233E-4</v>
      </c>
    </row>
    <row r="1169" spans="1:8" x14ac:dyDescent="0.25">
      <c r="A1169" t="s">
        <v>376</v>
      </c>
      <c r="B1169" t="s">
        <v>36</v>
      </c>
      <c r="C1169" t="s">
        <v>450</v>
      </c>
      <c r="D1169" t="s">
        <v>117</v>
      </c>
    </row>
    <row r="1170" spans="1:8" x14ac:dyDescent="0.25">
      <c r="B1170" t="s">
        <v>370</v>
      </c>
      <c r="C1170" t="s">
        <v>377</v>
      </c>
      <c r="D1170" t="s">
        <v>378</v>
      </c>
      <c r="E1170" t="s">
        <v>452</v>
      </c>
      <c r="F1170" t="s">
        <v>380</v>
      </c>
      <c r="G1170" t="s">
        <v>381</v>
      </c>
      <c r="H1170" t="s">
        <v>382</v>
      </c>
    </row>
    <row r="1171" spans="1:8" x14ac:dyDescent="0.25">
      <c r="B1171" s="1">
        <v>0.1106</v>
      </c>
      <c r="C1171" s="1">
        <v>-5.5268299999999999E-8</v>
      </c>
      <c r="D1171" s="1">
        <v>3.6694899999999999E-4</v>
      </c>
      <c r="E1171" s="1">
        <v>1.57078E-4</v>
      </c>
      <c r="F1171" s="1">
        <v>-8.3308499999999995E-8</v>
      </c>
      <c r="G1171" s="1">
        <v>-5.2060400000000003E-4</v>
      </c>
      <c r="H1171" s="1">
        <v>3.28485E-6</v>
      </c>
    </row>
    <row r="1172" spans="1:8" x14ac:dyDescent="0.25">
      <c r="B1172" s="1">
        <v>0.33559</v>
      </c>
      <c r="C1172" s="1">
        <v>-1.3298599999999999E-6</v>
      </c>
      <c r="D1172" s="1">
        <v>1.13933E-3</v>
      </c>
      <c r="E1172" s="1">
        <v>4.9017500000000003E-4</v>
      </c>
      <c r="F1172" s="1">
        <v>-2.3919700000000002E-6</v>
      </c>
      <c r="G1172" s="1">
        <v>-1.6214000000000001E-3</v>
      </c>
      <c r="H1172" s="1">
        <v>4.3785499999999998E-6</v>
      </c>
    </row>
    <row r="1173" spans="1:8" x14ac:dyDescent="0.25">
      <c r="B1173" s="1">
        <v>0.56838999999999995</v>
      </c>
      <c r="C1173" s="1">
        <v>-8.8142999999999996E-6</v>
      </c>
      <c r="D1173" s="1">
        <v>1.9745000000000001E-3</v>
      </c>
      <c r="E1173" s="1">
        <v>8.6852700000000001E-4</v>
      </c>
      <c r="F1173" s="1">
        <v>-1.56139E-5</v>
      </c>
      <c r="G1173" s="1">
        <v>-2.8124500000000002E-3</v>
      </c>
      <c r="H1173" s="1">
        <v>6.1513199999999996E-6</v>
      </c>
    </row>
    <row r="1174" spans="1:8" x14ac:dyDescent="0.25">
      <c r="B1174" s="1">
        <v>0.80944000000000005</v>
      </c>
      <c r="C1174" s="1">
        <v>-3.23068E-5</v>
      </c>
      <c r="D1174" s="1">
        <v>2.8755500000000002E-3</v>
      </c>
      <c r="E1174" s="1">
        <v>1.3090000000000001E-3</v>
      </c>
      <c r="F1174" s="1">
        <v>-5.5860599999999998E-5</v>
      </c>
      <c r="G1174" s="1">
        <v>-4.0887500000000004E-3</v>
      </c>
      <c r="H1174" s="1">
        <v>7.6295200000000001E-6</v>
      </c>
    </row>
    <row r="1175" spans="1:8" x14ac:dyDescent="0.25">
      <c r="B1175" s="1">
        <v>1.05918</v>
      </c>
      <c r="C1175" s="1">
        <v>-8.6447500000000002E-5</v>
      </c>
      <c r="D1175" s="1">
        <v>3.8389399999999999E-3</v>
      </c>
      <c r="E1175" s="1">
        <v>1.8331000000000001E-3</v>
      </c>
      <c r="F1175" s="1">
        <v>-1.45377E-4</v>
      </c>
      <c r="G1175" s="1">
        <v>-5.4316800000000004E-3</v>
      </c>
      <c r="H1175" s="1">
        <v>8.5428099999999996E-6</v>
      </c>
    </row>
    <row r="1176" spans="1:8" x14ac:dyDescent="0.25">
      <c r="B1176" s="1">
        <v>1.3180499999999999</v>
      </c>
      <c r="C1176" s="1">
        <v>-1.9062300000000001E-4</v>
      </c>
      <c r="D1176" s="1">
        <v>4.8542799999999999E-3</v>
      </c>
      <c r="E1176" s="1">
        <v>2.46532E-3</v>
      </c>
      <c r="F1176" s="1">
        <v>-3.1072599999999999E-4</v>
      </c>
      <c r="G1176" s="1">
        <v>-6.8098400000000002E-3</v>
      </c>
      <c r="H1176" s="1">
        <v>8.4164999999999998E-6</v>
      </c>
    </row>
    <row r="1177" spans="1:8" x14ac:dyDescent="0.25">
      <c r="B1177" s="1">
        <v>1.58649</v>
      </c>
      <c r="C1177" s="1">
        <v>-3.6874299999999999E-4</v>
      </c>
      <c r="D1177" s="1">
        <v>5.9046899999999998E-3</v>
      </c>
      <c r="E1177" s="1">
        <v>3.2317000000000001E-3</v>
      </c>
      <c r="F1177" s="1">
        <v>-5.8040399999999997E-4</v>
      </c>
      <c r="G1177" s="1">
        <v>-8.1803299999999995E-3</v>
      </c>
      <c r="H1177" s="1">
        <v>6.9067500000000004E-6</v>
      </c>
    </row>
    <row r="1178" spans="1:8" x14ac:dyDescent="0.25">
      <c r="B1178" s="1">
        <v>1.86496</v>
      </c>
      <c r="C1178" s="1">
        <v>-6.4885799999999999E-4</v>
      </c>
      <c r="D1178" s="1">
        <v>6.9676E-3</v>
      </c>
      <c r="E1178" s="1">
        <v>4.1580999999999996E-3</v>
      </c>
      <c r="F1178" s="1">
        <v>-9.8186600000000008E-4</v>
      </c>
      <c r="G1178" s="1">
        <v>-9.4914000000000005E-3</v>
      </c>
      <c r="H1178" s="1">
        <v>3.5782299999999999E-6</v>
      </c>
    </row>
    <row r="1179" spans="1:8" x14ac:dyDescent="0.25">
      <c r="B1179" s="1">
        <v>2.15388</v>
      </c>
      <c r="C1179" s="1">
        <v>-1.0625700000000001E-3</v>
      </c>
      <c r="D1179" s="1">
        <v>8.0159099999999994E-3</v>
      </c>
      <c r="E1179" s="1">
        <v>5.2684200000000002E-3</v>
      </c>
      <c r="F1179" s="1">
        <v>-1.53808E-3</v>
      </c>
      <c r="G1179" s="1">
        <v>-1.0685699999999999E-2</v>
      </c>
      <c r="H1179" s="1">
        <v>-2.04155E-6</v>
      </c>
    </row>
    <row r="1180" spans="1:8" x14ac:dyDescent="0.25">
      <c r="B1180" s="1">
        <v>2.4537100000000001</v>
      </c>
      <c r="C1180" s="1">
        <v>-1.6442E-3</v>
      </c>
      <c r="D1180" s="1">
        <v>9.0195999999999991E-3</v>
      </c>
      <c r="E1180" s="1">
        <v>6.5826599999999997E-3</v>
      </c>
      <c r="F1180" s="1">
        <v>-2.2638300000000001E-3</v>
      </c>
      <c r="G1180" s="1">
        <v>-1.1704300000000001E-2</v>
      </c>
      <c r="H1180" s="1">
        <v>-1.00396E-5</v>
      </c>
    </row>
    <row r="1181" spans="1:8" x14ac:dyDescent="0.25">
      <c r="B1181" s="1">
        <v>2.7648700000000002</v>
      </c>
      <c r="C1181" s="1">
        <v>-2.4297199999999998E-3</v>
      </c>
      <c r="D1181" s="1">
        <v>9.9475899999999992E-3</v>
      </c>
      <c r="E1181" s="1">
        <v>8.1151599999999997E-3</v>
      </c>
      <c r="F1181" s="1">
        <v>-3.1622600000000001E-3</v>
      </c>
      <c r="G1181" s="1">
        <v>-1.2491800000000001E-2</v>
      </c>
      <c r="H1181" s="1">
        <v>-2.1016300000000001E-5</v>
      </c>
    </row>
    <row r="1182" spans="1:8" x14ac:dyDescent="0.25">
      <c r="B1182" s="1">
        <v>3.0878100000000002</v>
      </c>
      <c r="C1182" s="1">
        <v>-3.4554199999999998E-3</v>
      </c>
      <c r="D1182" s="1">
        <v>1.07698E-2</v>
      </c>
      <c r="E1182" s="1">
        <v>9.8730699999999994E-3</v>
      </c>
      <c r="F1182" s="1">
        <v>-4.2219500000000004E-3</v>
      </c>
      <c r="G1182" s="1">
        <v>-1.30005E-2</v>
      </c>
      <c r="H1182" s="1">
        <v>-3.4962400000000003E-5</v>
      </c>
    </row>
    <row r="1183" spans="1:8" x14ac:dyDescent="0.25">
      <c r="B1183" s="1">
        <v>3.4229500000000002</v>
      </c>
      <c r="C1183" s="1">
        <v>-4.7563099999999997E-3</v>
      </c>
      <c r="D1183" s="1">
        <v>1.14593E-2</v>
      </c>
      <c r="E1183" s="1">
        <v>1.18552E-2</v>
      </c>
      <c r="F1183" s="1">
        <v>-5.4151599999999996E-3</v>
      </c>
      <c r="G1183" s="1">
        <v>-1.31948E-2</v>
      </c>
      <c r="H1183" s="1">
        <v>-5.1847600000000001E-5</v>
      </c>
    </row>
    <row r="1184" spans="1:8" x14ac:dyDescent="0.25">
      <c r="B1184" s="1">
        <v>3.7707299999999999</v>
      </c>
      <c r="C1184" s="1">
        <v>-6.3643500000000004E-3</v>
      </c>
      <c r="D1184" s="1">
        <v>1.19939E-2</v>
      </c>
      <c r="E1184" s="1">
        <v>1.4051299999999999E-2</v>
      </c>
      <c r="F1184" s="1">
        <v>-6.6974699999999996E-3</v>
      </c>
      <c r="G1184" s="1">
        <v>-1.30554E-2</v>
      </c>
      <c r="H1184" s="1">
        <v>-7.20519E-5</v>
      </c>
    </row>
    <row r="1185" spans="2:8" x14ac:dyDescent="0.25">
      <c r="B1185" s="1">
        <v>4.1315600000000003</v>
      </c>
      <c r="C1185" s="1">
        <v>-8.3066500000000005E-3</v>
      </c>
      <c r="D1185" s="1">
        <v>1.2357999999999999E-2</v>
      </c>
      <c r="E1185" s="1">
        <v>1.64423E-2</v>
      </c>
      <c r="F1185" s="1">
        <v>-8.0091299999999997E-3</v>
      </c>
      <c r="G1185" s="1">
        <v>-1.25796E-2</v>
      </c>
      <c r="H1185" s="1">
        <v>-9.5109200000000001E-5</v>
      </c>
    </row>
    <row r="1186" spans="2:8" x14ac:dyDescent="0.25">
      <c r="B1186" s="1">
        <v>4.5058699999999998</v>
      </c>
      <c r="C1186" s="1">
        <v>-1.0603599999999999E-2</v>
      </c>
      <c r="D1186" s="1">
        <v>1.25434E-2</v>
      </c>
      <c r="E1186" s="1">
        <v>1.9000300000000001E-2</v>
      </c>
      <c r="F1186" s="1">
        <v>-9.27796E-3</v>
      </c>
      <c r="G1186" s="1">
        <v>-1.1783200000000001E-2</v>
      </c>
      <c r="H1186" s="1">
        <v>-1.2108399999999999E-4</v>
      </c>
    </row>
    <row r="1187" spans="2:8" x14ac:dyDescent="0.25">
      <c r="B1187" s="1">
        <v>4.8940599999999996</v>
      </c>
      <c r="C1187" s="1">
        <v>-1.32671E-2</v>
      </c>
      <c r="D1187" s="1">
        <v>1.25497E-2</v>
      </c>
      <c r="E1187" s="1">
        <v>2.16902E-2</v>
      </c>
      <c r="F1187" s="1">
        <v>-1.04238E-2</v>
      </c>
      <c r="G1187" s="1">
        <v>-1.06987E-2</v>
      </c>
      <c r="H1187" s="1">
        <v>-1.4960099999999999E-4</v>
      </c>
    </row>
    <row r="1188" spans="2:8" x14ac:dyDescent="0.25">
      <c r="B1188" s="1">
        <v>5.2965299999999997</v>
      </c>
      <c r="C1188" s="1">
        <v>-1.62992E-2</v>
      </c>
      <c r="D1188" s="1">
        <v>1.2383999999999999E-2</v>
      </c>
      <c r="E1188" s="1">
        <v>2.4471400000000001E-2</v>
      </c>
      <c r="F1188" s="1">
        <v>-1.13638E-2</v>
      </c>
      <c r="G1188" s="1">
        <v>-9.3730299999999992E-3</v>
      </c>
      <c r="H1188" s="1">
        <v>-1.80636E-4</v>
      </c>
    </row>
    <row r="1189" spans="2:8" x14ac:dyDescent="0.25">
      <c r="B1189" s="1">
        <v>5.7136899999999997</v>
      </c>
      <c r="C1189" s="1">
        <v>-1.96911E-2</v>
      </c>
      <c r="D1189" s="1">
        <v>1.2060400000000001E-2</v>
      </c>
      <c r="E1189" s="1">
        <v>2.7299400000000001E-2</v>
      </c>
      <c r="F1189" s="1">
        <v>-1.20187E-2</v>
      </c>
      <c r="G1189" s="1">
        <v>-7.8633999999999996E-3</v>
      </c>
      <c r="H1189" s="1">
        <v>-2.1340500000000001E-4</v>
      </c>
    </row>
    <row r="1190" spans="2:8" x14ac:dyDescent="0.25">
      <c r="B1190" s="1">
        <v>6.1459200000000003</v>
      </c>
      <c r="C1190" s="1">
        <v>-2.3421999999999998E-2</v>
      </c>
      <c r="D1190" s="1">
        <v>1.1598499999999999E-2</v>
      </c>
      <c r="E1190" s="1">
        <v>3.0128200000000001E-2</v>
      </c>
      <c r="F1190" s="1">
        <v>-1.23184E-2</v>
      </c>
      <c r="G1190" s="1">
        <v>-6.2341499999999999E-3</v>
      </c>
      <c r="H1190" s="1">
        <v>-2.4781899999999998E-4</v>
      </c>
    </row>
    <row r="1191" spans="2:8" x14ac:dyDescent="0.25">
      <c r="B1191" s="1">
        <v>6.59361</v>
      </c>
      <c r="C1191" s="1">
        <v>-2.7459799999999999E-2</v>
      </c>
      <c r="D1191" s="1">
        <v>1.10221E-2</v>
      </c>
      <c r="E1191" s="1">
        <v>3.2912900000000002E-2</v>
      </c>
      <c r="F1191" s="1">
        <v>-1.22072E-2</v>
      </c>
      <c r="G1191" s="1">
        <v>-4.5515299999999998E-3</v>
      </c>
      <c r="H1191" s="1">
        <v>-2.83465E-4</v>
      </c>
    </row>
    <row r="1192" spans="2:8" x14ac:dyDescent="0.25">
      <c r="B1192" s="1">
        <v>7.0571200000000003</v>
      </c>
      <c r="C1192" s="1">
        <v>-3.1760700000000003E-2</v>
      </c>
      <c r="D1192" s="1">
        <v>1.03576E-2</v>
      </c>
      <c r="E1192" s="1">
        <v>3.5611299999999999E-2</v>
      </c>
      <c r="F1192" s="1">
        <v>-1.16484E-2</v>
      </c>
      <c r="G1192" s="1">
        <v>-2.8798600000000001E-3</v>
      </c>
      <c r="H1192" s="1">
        <v>-3.2002899999999999E-4</v>
      </c>
    </row>
    <row r="1193" spans="2:8" x14ac:dyDescent="0.25">
      <c r="B1193" s="1">
        <v>7.53681</v>
      </c>
      <c r="C1193" s="1">
        <v>-3.6271200000000003E-2</v>
      </c>
      <c r="D1193" s="1">
        <v>9.6320899999999994E-3</v>
      </c>
      <c r="E1193" s="1">
        <v>3.8185999999999998E-2</v>
      </c>
      <c r="F1193" s="1">
        <v>-1.0626399999999999E-2</v>
      </c>
      <c r="G1193" s="1">
        <v>-1.27764E-3</v>
      </c>
      <c r="H1193" s="1">
        <v>-3.5714399999999999E-4</v>
      </c>
    </row>
    <row r="1194" spans="2:8" x14ac:dyDescent="0.25">
      <c r="B1194" s="1">
        <v>8.0330399999999997</v>
      </c>
      <c r="C1194" s="1">
        <v>-4.0929300000000002E-2</v>
      </c>
      <c r="D1194" s="1">
        <v>8.8720699999999993E-3</v>
      </c>
      <c r="E1194" s="1">
        <v>4.06059E-2</v>
      </c>
      <c r="F1194" s="1">
        <v>-9.1484300000000008E-3</v>
      </c>
      <c r="G1194" s="1">
        <v>2.04988E-4</v>
      </c>
      <c r="H1194" s="1">
        <v>-3.948E-4</v>
      </c>
    </row>
    <row r="1195" spans="2:8" x14ac:dyDescent="0.25">
      <c r="B1195" s="1">
        <v>8.5461399999999994</v>
      </c>
      <c r="C1195" s="1">
        <v>-4.5667600000000003E-2</v>
      </c>
      <c r="D1195" s="1">
        <v>8.1020899999999993E-3</v>
      </c>
      <c r="E1195" s="1">
        <v>4.2847000000000003E-2</v>
      </c>
      <c r="F1195" s="1">
        <v>-7.2432800000000004E-3</v>
      </c>
      <c r="G1195" s="1">
        <v>1.5291300000000001E-3</v>
      </c>
      <c r="H1195" s="1">
        <v>-4.3260500000000002E-4</v>
      </c>
    </row>
    <row r="1196" spans="2:8" x14ac:dyDescent="0.25">
      <c r="B1196" s="1">
        <v>9.0764700000000005</v>
      </c>
      <c r="C1196" s="1">
        <v>-5.0415000000000001E-2</v>
      </c>
      <c r="D1196" s="1">
        <v>7.3437800000000003E-3</v>
      </c>
      <c r="E1196" s="1">
        <v>4.4893000000000002E-2</v>
      </c>
      <c r="F1196" s="1">
        <v>-4.9597E-3</v>
      </c>
      <c r="G1196" s="1">
        <v>2.6678499999999998E-3</v>
      </c>
      <c r="H1196" s="1">
        <v>-4.7012600000000002E-4</v>
      </c>
    </row>
    <row r="1197" spans="2:8" x14ac:dyDescent="0.25">
      <c r="B1197" s="1">
        <v>9.6243300000000005</v>
      </c>
      <c r="C1197" s="1">
        <v>-5.5100499999999997E-2</v>
      </c>
      <c r="D1197" s="1">
        <v>6.61518E-3</v>
      </c>
      <c r="E1197" s="1">
        <v>4.6735100000000002E-2</v>
      </c>
      <c r="F1197" s="1">
        <v>-2.36294E-3</v>
      </c>
      <c r="G1197" s="1">
        <v>3.6055499999999999E-3</v>
      </c>
      <c r="H1197" s="1">
        <v>-5.0760900000000001E-4</v>
      </c>
    </row>
    <row r="1198" spans="2:8" x14ac:dyDescent="0.25">
      <c r="B1198" s="1">
        <v>10.19</v>
      </c>
      <c r="C1198" s="1">
        <v>-5.9655100000000003E-2</v>
      </c>
      <c r="D1198" s="1">
        <v>5.9304199999999996E-3</v>
      </c>
      <c r="E1198" s="1">
        <v>4.8372100000000001E-2</v>
      </c>
      <c r="F1198" s="1">
        <v>4.6935299999999999E-4</v>
      </c>
      <c r="G1198" s="1">
        <v>4.3388699999999999E-3</v>
      </c>
      <c r="H1198" s="1">
        <v>-5.4431599999999998E-4</v>
      </c>
    </row>
    <row r="1199" spans="2:8" x14ac:dyDescent="0.25">
      <c r="B1199" s="1">
        <v>10.7738</v>
      </c>
      <c r="C1199" s="1">
        <v>-6.4014100000000004E-2</v>
      </c>
      <c r="D1199" s="1">
        <v>5.2996900000000001E-3</v>
      </c>
      <c r="E1199" s="1">
        <v>4.9808900000000003E-2</v>
      </c>
      <c r="F1199" s="1">
        <v>3.45181E-3</v>
      </c>
      <c r="G1199" s="1">
        <v>4.8731699999999996E-3</v>
      </c>
      <c r="H1199" s="1">
        <v>-5.8052699999999995E-4</v>
      </c>
    </row>
    <row r="1200" spans="2:8" x14ac:dyDescent="0.25">
      <c r="B1200" s="1">
        <v>11.375999999999999</v>
      </c>
      <c r="C1200" s="1">
        <v>-6.8119600000000002E-2</v>
      </c>
      <c r="D1200" s="1">
        <v>4.7294599999999996E-3</v>
      </c>
      <c r="E1200" s="1">
        <v>5.10561E-2</v>
      </c>
      <c r="F1200" s="1">
        <v>6.496E-3</v>
      </c>
      <c r="G1200" s="1">
        <v>5.2224699999999999E-3</v>
      </c>
      <c r="H1200" s="1">
        <v>-6.1561700000000005E-4</v>
      </c>
    </row>
    <row r="1201" spans="2:8" x14ac:dyDescent="0.25">
      <c r="B1201" s="1">
        <v>11.9969</v>
      </c>
      <c r="C1201" s="1">
        <v>-7.1921299999999994E-2</v>
      </c>
      <c r="D1201" s="1">
        <v>4.2229299999999997E-3</v>
      </c>
      <c r="E1201" s="1">
        <v>5.2128099999999997E-2</v>
      </c>
      <c r="F1201" s="1">
        <v>9.5149699999999993E-3</v>
      </c>
      <c r="G1201" s="1">
        <v>5.4056599999999996E-3</v>
      </c>
      <c r="H1201" s="1">
        <v>-6.4960500000000004E-4</v>
      </c>
    </row>
    <row r="1202" spans="2:8" x14ac:dyDescent="0.25">
      <c r="B1202" s="1">
        <v>12.636699999999999</v>
      </c>
      <c r="C1202" s="1">
        <v>-7.5377600000000003E-2</v>
      </c>
      <c r="D1202" s="1">
        <v>3.7805600000000001E-3</v>
      </c>
      <c r="E1202" s="1">
        <v>5.3042400000000003E-2</v>
      </c>
      <c r="F1202" s="1">
        <v>1.2427199999999999E-2</v>
      </c>
      <c r="G1202" s="1">
        <v>5.4451500000000002E-3</v>
      </c>
      <c r="H1202" s="1">
        <v>-6.8231300000000004E-4</v>
      </c>
    </row>
    <row r="1203" spans="2:8" x14ac:dyDescent="0.25">
      <c r="B1203" s="1">
        <v>13.2956</v>
      </c>
      <c r="C1203" s="1">
        <v>-7.8456399999999996E-2</v>
      </c>
      <c r="D1203" s="1">
        <v>3.4006800000000001E-3</v>
      </c>
      <c r="E1203" s="1">
        <v>5.3817499999999997E-2</v>
      </c>
      <c r="F1203" s="1">
        <v>1.516E-2</v>
      </c>
      <c r="G1203" s="1">
        <v>5.3649099999999996E-3</v>
      </c>
      <c r="H1203" s="1">
        <v>-7.1337500000000003E-4</v>
      </c>
    </row>
    <row r="1204" spans="2:8" x14ac:dyDescent="0.25">
      <c r="B1204" s="1">
        <v>13.9741</v>
      </c>
      <c r="C1204" s="1">
        <v>-8.1135200000000005E-2</v>
      </c>
      <c r="D1204" s="1">
        <v>3.0800900000000002E-3</v>
      </c>
      <c r="E1204" s="1">
        <v>5.4471899999999997E-2</v>
      </c>
      <c r="F1204" s="1">
        <v>1.76521E-2</v>
      </c>
      <c r="G1204" s="1">
        <v>5.1882300000000003E-3</v>
      </c>
      <c r="H1204" s="1">
        <v>-7.4289400000000002E-4</v>
      </c>
    </row>
    <row r="1205" spans="2:8" x14ac:dyDescent="0.25">
      <c r="B1205" s="1">
        <v>14.672000000000001</v>
      </c>
      <c r="C1205" s="1">
        <v>-8.3400699999999994E-2</v>
      </c>
      <c r="D1205" s="1">
        <v>2.8145599999999998E-3</v>
      </c>
      <c r="E1205" s="1">
        <v>5.50229E-2</v>
      </c>
      <c r="F1205" s="1">
        <v>1.9855100000000001E-2</v>
      </c>
      <c r="G1205" s="1">
        <v>4.9376000000000003E-3</v>
      </c>
      <c r="H1205" s="1">
        <v>-7.7054000000000001E-4</v>
      </c>
    </row>
    <row r="1206" spans="2:8" x14ac:dyDescent="0.25">
      <c r="B1206" s="1">
        <v>15.389900000000001</v>
      </c>
      <c r="C1206" s="1">
        <v>-8.5249099999999994E-2</v>
      </c>
      <c r="D1206" s="1">
        <v>2.5993000000000001E-3</v>
      </c>
      <c r="E1206" s="1">
        <v>5.5485600000000003E-2</v>
      </c>
      <c r="F1206" s="1">
        <v>2.1734699999999999E-2</v>
      </c>
      <c r="G1206" s="1">
        <v>4.6335400000000002E-3</v>
      </c>
      <c r="H1206" s="1">
        <v>-7.9593199999999995E-4</v>
      </c>
    </row>
    <row r="1207" spans="2:8" x14ac:dyDescent="0.25">
      <c r="B1207" s="1">
        <v>16.127800000000001</v>
      </c>
      <c r="C1207" s="1">
        <v>-8.6684800000000006E-2</v>
      </c>
      <c r="D1207" s="1">
        <v>2.4292799999999998E-3</v>
      </c>
      <c r="E1207" s="1">
        <v>5.5873100000000002E-2</v>
      </c>
      <c r="F1207" s="1">
        <v>2.3269499999999999E-2</v>
      </c>
      <c r="G1207" s="1">
        <v>4.2939900000000001E-3</v>
      </c>
      <c r="H1207" s="1">
        <v>-8.1898799999999999E-4</v>
      </c>
    </row>
    <row r="1208" spans="2:8" x14ac:dyDescent="0.25">
      <c r="B1208" s="1">
        <v>16.8858</v>
      </c>
      <c r="C1208" s="1">
        <v>-8.7720300000000001E-2</v>
      </c>
      <c r="D1208" s="1">
        <v>2.2994299999999999E-3</v>
      </c>
      <c r="E1208" s="1">
        <v>5.6196400000000001E-2</v>
      </c>
      <c r="F1208" s="1">
        <v>2.4450300000000001E-2</v>
      </c>
      <c r="G1208" s="1">
        <v>3.9349700000000003E-3</v>
      </c>
      <c r="H1208" s="1">
        <v>-8.3928599999999996E-4</v>
      </c>
    </row>
    <row r="1209" spans="2:8" x14ac:dyDescent="0.25">
      <c r="B1209" s="1">
        <v>17.664200000000001</v>
      </c>
      <c r="C1209" s="1">
        <v>-8.8374400000000006E-2</v>
      </c>
      <c r="D1209" s="1">
        <v>2.2048200000000001E-3</v>
      </c>
      <c r="E1209" s="1">
        <v>5.6465300000000003E-2</v>
      </c>
      <c r="F1209" s="1">
        <v>2.5277500000000001E-2</v>
      </c>
      <c r="G1209" s="1">
        <v>3.5699400000000002E-3</v>
      </c>
      <c r="H1209" s="1">
        <v>-8.5676100000000005E-4</v>
      </c>
    </row>
    <row r="1210" spans="2:8" x14ac:dyDescent="0.25">
      <c r="B1210" s="1">
        <v>18.463000000000001</v>
      </c>
      <c r="C1210" s="1">
        <v>-8.8671200000000006E-2</v>
      </c>
      <c r="D1210" s="1">
        <v>2.1408E-3</v>
      </c>
      <c r="E1210" s="1">
        <v>5.6689099999999999E-2</v>
      </c>
      <c r="F1210" s="1">
        <v>2.57597E-2</v>
      </c>
      <c r="G1210" s="1">
        <v>3.20988E-3</v>
      </c>
      <c r="H1210" s="1">
        <v>-8.7178400000000001E-4</v>
      </c>
    </row>
    <row r="1211" spans="2:8" x14ac:dyDescent="0.25">
      <c r="B1211" s="1">
        <v>19.282499999999999</v>
      </c>
      <c r="C1211" s="1">
        <v>-8.8638900000000007E-2</v>
      </c>
      <c r="D1211" s="1">
        <v>2.1032099999999999E-3</v>
      </c>
      <c r="E1211" s="1">
        <v>5.6875500000000002E-2</v>
      </c>
      <c r="F1211" s="1">
        <v>2.5912299999999999E-2</v>
      </c>
      <c r="G1211" s="1">
        <v>2.86418E-3</v>
      </c>
      <c r="H1211" s="1">
        <v>-8.8367700000000003E-4</v>
      </c>
    </row>
    <row r="1212" spans="2:8" x14ac:dyDescent="0.25">
      <c r="B1212" s="1">
        <v>20.122599999999998</v>
      </c>
      <c r="C1212" s="1">
        <v>-8.8308399999999995E-2</v>
      </c>
      <c r="D1212" s="1">
        <v>2.0885399999999998E-3</v>
      </c>
      <c r="E1212" s="1">
        <v>5.7030900000000002E-2</v>
      </c>
      <c r="F1212" s="1">
        <v>2.57579E-2</v>
      </c>
      <c r="G1212" s="1">
        <v>2.53777E-3</v>
      </c>
      <c r="H1212" s="1">
        <v>-8.9334500000000003E-4</v>
      </c>
    </row>
    <row r="1213" spans="2:8" x14ac:dyDescent="0.25">
      <c r="B1213" s="1">
        <v>20.983699999999999</v>
      </c>
      <c r="C1213" s="1">
        <v>-8.7711999999999998E-2</v>
      </c>
      <c r="D1213" s="1">
        <v>2.09384E-3</v>
      </c>
      <c r="E1213" s="1">
        <v>5.7158300000000002E-2</v>
      </c>
      <c r="F1213" s="1">
        <v>2.5324900000000001E-2</v>
      </c>
      <c r="G1213" s="1">
        <v>2.2335800000000002E-3</v>
      </c>
      <c r="H1213" s="1">
        <v>-9.0132999999999999E-4</v>
      </c>
    </row>
    <row r="1214" spans="2:8" x14ac:dyDescent="0.25">
      <c r="B1214" s="1">
        <v>21.865600000000001</v>
      </c>
      <c r="C1214" s="1">
        <v>-8.6882299999999996E-2</v>
      </c>
      <c r="D1214" s="1">
        <v>2.1165300000000001E-3</v>
      </c>
      <c r="E1214" s="1">
        <v>5.7257799999999998E-2</v>
      </c>
      <c r="F1214" s="1">
        <v>2.4646700000000001E-2</v>
      </c>
      <c r="G1214" s="1">
        <v>1.9531599999999998E-3</v>
      </c>
      <c r="H1214" s="1">
        <v>-9.0814300000000004E-4</v>
      </c>
    </row>
    <row r="1215" spans="2:8" x14ac:dyDescent="0.25">
      <c r="B1215" s="1">
        <v>22.768599999999999</v>
      </c>
      <c r="C1215" s="1">
        <v>-8.5851399999999994E-2</v>
      </c>
      <c r="D1215" s="1">
        <v>2.1541899999999998E-3</v>
      </c>
      <c r="E1215" s="1">
        <v>5.7327099999999999E-2</v>
      </c>
      <c r="F1215" s="1">
        <v>2.3758899999999999E-2</v>
      </c>
      <c r="G1215" s="1">
        <v>1.6991199999999999E-3</v>
      </c>
      <c r="H1215" s="1">
        <v>-9.1214200000000001E-4</v>
      </c>
    </row>
    <row r="1216" spans="2:8" x14ac:dyDescent="0.25">
      <c r="B1216" s="1">
        <v>23.692599999999999</v>
      </c>
      <c r="C1216" s="1">
        <v>-8.4650000000000003E-2</v>
      </c>
      <c r="D1216" s="1">
        <v>2.2044999999999999E-3</v>
      </c>
      <c r="E1216" s="1">
        <v>5.7362700000000003E-2</v>
      </c>
      <c r="F1216" s="1">
        <v>2.2696999999999998E-2</v>
      </c>
      <c r="G1216" s="1">
        <v>1.47003E-3</v>
      </c>
      <c r="H1216" s="1">
        <v>-9.15729E-4</v>
      </c>
    </row>
    <row r="1217" spans="2:8" x14ac:dyDescent="0.25">
      <c r="B1217" s="1">
        <v>24.637699999999999</v>
      </c>
      <c r="C1217" s="1">
        <v>-8.3307000000000006E-2</v>
      </c>
      <c r="D1217" s="1">
        <v>2.2653600000000001E-3</v>
      </c>
      <c r="E1217" s="1">
        <v>5.7361099999999998E-2</v>
      </c>
      <c r="F1217" s="1">
        <v>2.1495400000000001E-2</v>
      </c>
      <c r="G1217" s="1">
        <v>1.2671200000000001E-3</v>
      </c>
      <c r="H1217" s="1">
        <v>-9.1803499999999999E-4</v>
      </c>
    </row>
    <row r="1218" spans="2:8" x14ac:dyDescent="0.25">
      <c r="B1218" s="1">
        <v>25.6038</v>
      </c>
      <c r="C1218" s="1">
        <v>-8.1849400000000003E-2</v>
      </c>
      <c r="D1218" s="1">
        <v>2.3349E-3</v>
      </c>
      <c r="E1218" s="1">
        <v>5.7318099999999997E-2</v>
      </c>
      <c r="F1218" s="1">
        <v>2.0188299999999999E-2</v>
      </c>
      <c r="G1218" s="1">
        <v>1.0886299999999999E-3</v>
      </c>
      <c r="H1218" s="1">
        <v>-9.1953800000000002E-4</v>
      </c>
    </row>
    <row r="1219" spans="2:8" x14ac:dyDescent="0.25">
      <c r="B1219" s="1">
        <v>26.591200000000001</v>
      </c>
      <c r="C1219" s="1">
        <v>-8.0302200000000004E-2</v>
      </c>
      <c r="D1219" s="1">
        <v>2.4113400000000001E-3</v>
      </c>
      <c r="E1219" s="1">
        <v>5.7229000000000002E-2</v>
      </c>
      <c r="F1219" s="1">
        <v>1.8809099999999999E-2</v>
      </c>
      <c r="G1219" s="1">
        <v>9.3126700000000005E-4</v>
      </c>
      <c r="H1219" s="1">
        <v>-9.2150800000000003E-4</v>
      </c>
    </row>
    <row r="1220" spans="2:8" x14ac:dyDescent="0.25">
      <c r="B1220" s="1">
        <v>27.599599999999999</v>
      </c>
      <c r="C1220" s="1">
        <v>-7.8687699999999999E-2</v>
      </c>
      <c r="D1220" s="1">
        <v>2.4927299999999999E-3</v>
      </c>
      <c r="E1220" s="1">
        <v>5.7089000000000001E-2</v>
      </c>
      <c r="F1220" s="1">
        <v>1.73892E-2</v>
      </c>
      <c r="G1220" s="1">
        <v>7.9353400000000004E-4</v>
      </c>
      <c r="H1220" s="1">
        <v>-9.2323399999999999E-4</v>
      </c>
    </row>
    <row r="1221" spans="2:8" x14ac:dyDescent="0.25">
      <c r="B1221" s="1">
        <v>28.629200000000001</v>
      </c>
      <c r="C1221" s="1">
        <v>-7.7025800000000005E-2</v>
      </c>
      <c r="D1221" s="1">
        <v>2.5769600000000001E-3</v>
      </c>
      <c r="E1221" s="1">
        <v>5.6894699999999999E-2</v>
      </c>
      <c r="F1221" s="1">
        <v>1.5955500000000001E-2</v>
      </c>
      <c r="G1221" s="1">
        <v>6.7354800000000005E-4</v>
      </c>
      <c r="H1221" s="1">
        <v>-9.2513899999999995E-4</v>
      </c>
    </row>
    <row r="1222" spans="2:8" x14ac:dyDescent="0.25">
      <c r="B1222" s="1">
        <v>29.6798</v>
      </c>
      <c r="C1222" s="1">
        <v>-7.5333899999999995E-2</v>
      </c>
      <c r="D1222" s="1">
        <v>2.6621100000000001E-3</v>
      </c>
      <c r="E1222" s="1">
        <v>5.6645399999999999E-2</v>
      </c>
      <c r="F1222" s="1">
        <v>1.4528599999999999E-2</v>
      </c>
      <c r="G1222" s="1">
        <v>5.7098100000000003E-4</v>
      </c>
      <c r="H1222" s="1">
        <v>-9.2682300000000001E-4</v>
      </c>
    </row>
    <row r="1223" spans="2:8" x14ac:dyDescent="0.25">
      <c r="B1223" s="1">
        <v>30.7516</v>
      </c>
      <c r="C1223" s="1">
        <v>-7.3627300000000007E-2</v>
      </c>
      <c r="D1223" s="1">
        <v>2.7469299999999999E-3</v>
      </c>
      <c r="E1223" s="1">
        <v>5.6343400000000002E-2</v>
      </c>
      <c r="F1223" s="1">
        <v>1.31235E-2</v>
      </c>
      <c r="G1223" s="1">
        <v>4.8421199999999998E-4</v>
      </c>
      <c r="H1223" s="1">
        <v>-9.2931999999999997E-4</v>
      </c>
    </row>
    <row r="1224" spans="2:8" x14ac:dyDescent="0.25">
      <c r="B1224" s="1">
        <v>31.8443</v>
      </c>
      <c r="C1224" s="1">
        <v>-7.1920100000000001E-2</v>
      </c>
      <c r="D1224" s="1">
        <v>2.8311600000000001E-3</v>
      </c>
      <c r="E1224" s="1">
        <v>5.5992899999999998E-2</v>
      </c>
      <c r="F1224" s="1">
        <v>1.17517E-2</v>
      </c>
      <c r="G1224" s="1">
        <v>4.1156500000000002E-4</v>
      </c>
      <c r="H1224" s="1">
        <v>-9.3281899999999999E-4</v>
      </c>
    </row>
    <row r="1225" spans="2:8" x14ac:dyDescent="0.25">
      <c r="B1225" s="1">
        <v>32.957999999999998</v>
      </c>
      <c r="C1225" s="1">
        <v>-7.0224900000000007E-2</v>
      </c>
      <c r="D1225" s="1">
        <v>2.9152499999999999E-3</v>
      </c>
      <c r="E1225" s="1">
        <v>5.5598300000000003E-2</v>
      </c>
      <c r="F1225" s="1">
        <v>1.0423399999999999E-2</v>
      </c>
      <c r="G1225" s="1">
        <v>3.49697E-4</v>
      </c>
      <c r="H1225" s="1">
        <v>-9.3824100000000003E-4</v>
      </c>
    </row>
    <row r="1226" spans="2:8" x14ac:dyDescent="0.25">
      <c r="B1226" s="1">
        <v>34.092599999999997</v>
      </c>
      <c r="C1226" s="1">
        <v>-6.8552699999999994E-2</v>
      </c>
      <c r="D1226" s="1">
        <v>2.9997999999999999E-3</v>
      </c>
      <c r="E1226" s="1">
        <v>5.5161000000000002E-2</v>
      </c>
      <c r="F1226" s="1">
        <v>9.1503399999999999E-3</v>
      </c>
      <c r="G1226" s="1">
        <v>2.9563099999999998E-4</v>
      </c>
      <c r="H1226" s="1">
        <v>-9.4593800000000001E-4</v>
      </c>
    </row>
    <row r="1227" spans="2:8" x14ac:dyDescent="0.25">
      <c r="B1227" s="1">
        <v>35.247900000000001</v>
      </c>
      <c r="C1227" s="1">
        <v>-6.6911899999999996E-2</v>
      </c>
      <c r="D1227" s="1">
        <v>3.0850999999999999E-3</v>
      </c>
      <c r="E1227" s="1">
        <v>5.4677700000000003E-2</v>
      </c>
      <c r="F1227" s="1">
        <v>7.94628E-3</v>
      </c>
      <c r="G1227" s="1">
        <v>2.4719199999999997E-4</v>
      </c>
      <c r="H1227" s="1">
        <v>-9.5562999999999996E-4</v>
      </c>
    </row>
    <row r="1228" spans="2:8" x14ac:dyDescent="0.25">
      <c r="B1228" s="1">
        <v>36.423900000000003</v>
      </c>
      <c r="C1228" s="1">
        <v>-6.5308099999999994E-2</v>
      </c>
      <c r="D1228" s="1">
        <v>3.1709899999999998E-3</v>
      </c>
      <c r="E1228" s="1">
        <v>5.4141799999999997E-2</v>
      </c>
      <c r="F1228" s="1">
        <v>6.8255900000000003E-3</v>
      </c>
      <c r="G1228" s="1">
        <v>2.03146E-4</v>
      </c>
      <c r="H1228" s="1">
        <v>-9.6663599999999999E-4</v>
      </c>
    </row>
    <row r="1229" spans="2:8" x14ac:dyDescent="0.25">
      <c r="B1229" s="1">
        <v>37.620399999999997</v>
      </c>
      <c r="C1229" s="1">
        <v>-6.37437E-2</v>
      </c>
      <c r="D1229" s="1">
        <v>3.2567500000000001E-3</v>
      </c>
      <c r="E1229" s="1">
        <v>5.3546200000000002E-2</v>
      </c>
      <c r="F1229" s="1">
        <v>5.7989499999999998E-3</v>
      </c>
      <c r="G1229" s="1">
        <v>1.6377199999999999E-4</v>
      </c>
      <c r="H1229" s="1">
        <v>-9.7801899999999989E-4</v>
      </c>
    </row>
    <row r="1230" spans="2:8" x14ac:dyDescent="0.25">
      <c r="B1230" s="1">
        <v>38.837400000000002</v>
      </c>
      <c r="C1230" s="1">
        <v>-6.2218299999999997E-2</v>
      </c>
      <c r="D1230" s="1">
        <v>3.3412799999999999E-3</v>
      </c>
      <c r="E1230" s="1">
        <v>5.2887099999999999E-2</v>
      </c>
      <c r="F1230" s="1">
        <v>4.8699700000000004E-3</v>
      </c>
      <c r="G1230" s="1">
        <v>1.3028900000000001E-4</v>
      </c>
      <c r="H1230" s="1">
        <v>-9.8970299999999998E-4</v>
      </c>
    </row>
    <row r="1231" spans="2:8" x14ac:dyDescent="0.25">
      <c r="B1231" s="1">
        <v>40.0747</v>
      </c>
      <c r="C1231" s="1">
        <v>-6.0730699999999999E-2</v>
      </c>
      <c r="D1231" s="1">
        <v>3.4234199999999999E-3</v>
      </c>
      <c r="E1231" s="1">
        <v>5.21644E-2</v>
      </c>
      <c r="F1231" s="1">
        <v>4.0369300000000002E-3</v>
      </c>
      <c r="G1231" s="1">
        <v>1.0378399999999999E-4</v>
      </c>
      <c r="H1231" s="1">
        <v>-1.0021100000000001E-3</v>
      </c>
    </row>
    <row r="1232" spans="2:8" x14ac:dyDescent="0.25">
      <c r="B1232" s="1">
        <v>41.332299999999996</v>
      </c>
      <c r="C1232" s="1">
        <v>-5.9279499999999999E-2</v>
      </c>
      <c r="D1232" s="1">
        <v>3.5022500000000002E-3</v>
      </c>
      <c r="E1232" s="1">
        <v>5.1380200000000001E-2</v>
      </c>
      <c r="F1232" s="1">
        <v>3.2976500000000001E-3</v>
      </c>
      <c r="G1232" s="1">
        <v>8.3780899999999996E-5</v>
      </c>
      <c r="H1232" s="1">
        <v>-1.0156500000000001E-3</v>
      </c>
    </row>
    <row r="1233" spans="2:8" x14ac:dyDescent="0.25">
      <c r="B1233" s="1">
        <v>42.609699999999997</v>
      </c>
      <c r="C1233" s="1">
        <v>-5.7864499999999999E-2</v>
      </c>
      <c r="D1233" s="1">
        <v>3.5770799999999998E-3</v>
      </c>
      <c r="E1233" s="1">
        <v>5.0537199999999997E-2</v>
      </c>
      <c r="F1233" s="1">
        <v>2.65139E-3</v>
      </c>
      <c r="G1233" s="1">
        <v>6.8633600000000006E-5</v>
      </c>
      <c r="H1233" s="1">
        <v>-1.0301500000000001E-3</v>
      </c>
    </row>
    <row r="1234" spans="2:8" x14ac:dyDescent="0.25">
      <c r="B1234" s="1">
        <v>43.9069</v>
      </c>
      <c r="C1234" s="1">
        <v>-5.64862E-2</v>
      </c>
      <c r="D1234" s="1">
        <v>3.6474200000000002E-3</v>
      </c>
      <c r="E1234" s="1">
        <v>4.9641400000000002E-2</v>
      </c>
      <c r="F1234" s="1">
        <v>2.0958299999999999E-3</v>
      </c>
      <c r="G1234" s="1">
        <v>5.6311899999999999E-5</v>
      </c>
      <c r="H1234" s="1">
        <v>-1.04528E-3</v>
      </c>
    </row>
    <row r="1235" spans="2:8" x14ac:dyDescent="0.25">
      <c r="B1235" s="1">
        <v>45.2239</v>
      </c>
      <c r="C1235" s="1">
        <v>-5.5145E-2</v>
      </c>
      <c r="D1235" s="1">
        <v>3.7130599999999998E-3</v>
      </c>
      <c r="E1235" s="1">
        <v>4.8702099999999998E-2</v>
      </c>
      <c r="F1235" s="1">
        <v>1.62319E-3</v>
      </c>
      <c r="G1235" s="1">
        <v>4.4848700000000003E-5</v>
      </c>
      <c r="H1235" s="1">
        <v>-1.06182E-3</v>
      </c>
    </row>
    <row r="1236" spans="2:8" x14ac:dyDescent="0.25">
      <c r="B1236" s="1">
        <v>46.560299999999998</v>
      </c>
      <c r="C1236" s="1">
        <v>-5.3840199999999998E-2</v>
      </c>
      <c r="D1236" s="1">
        <v>3.77393E-3</v>
      </c>
      <c r="E1236" s="1">
        <v>4.7730599999999998E-2</v>
      </c>
      <c r="F1236" s="1">
        <v>1.2214999999999999E-3</v>
      </c>
      <c r="G1236" s="1">
        <v>3.3725700000000001E-5</v>
      </c>
      <c r="H1236" s="1">
        <v>-1.0805299999999999E-3</v>
      </c>
    </row>
    <row r="1237" spans="2:8" x14ac:dyDescent="0.25">
      <c r="B1237" s="1">
        <v>47.915999999999997</v>
      </c>
      <c r="C1237" s="1">
        <v>-5.25698E-2</v>
      </c>
      <c r="D1237" s="1">
        <v>3.8299200000000001E-3</v>
      </c>
      <c r="E1237" s="1">
        <v>4.67353E-2</v>
      </c>
      <c r="F1237" s="1">
        <v>8.7925500000000001E-4</v>
      </c>
      <c r="G1237" s="1">
        <v>2.3659499999999999E-5</v>
      </c>
      <c r="H1237" s="1">
        <v>-1.1016400000000001E-3</v>
      </c>
    </row>
    <row r="1238" spans="2:8" x14ac:dyDescent="0.25">
      <c r="B1238" s="1">
        <v>49.290900000000001</v>
      </c>
      <c r="C1238" s="1">
        <v>-5.1330800000000003E-2</v>
      </c>
      <c r="D1238" s="1">
        <v>3.8811100000000001E-3</v>
      </c>
      <c r="E1238" s="1">
        <v>4.5721100000000001E-2</v>
      </c>
      <c r="F1238" s="1">
        <v>5.8852199999999996E-4</v>
      </c>
      <c r="G1238" s="1">
        <v>1.5587099999999999E-5</v>
      </c>
      <c r="H1238" s="1">
        <v>-1.12443E-3</v>
      </c>
    </row>
    <row r="1239" spans="2:8" x14ac:dyDescent="0.25">
      <c r="B1239" s="1">
        <v>50.6845</v>
      </c>
      <c r="C1239" s="1">
        <v>-5.01203E-2</v>
      </c>
      <c r="D1239" s="1">
        <v>3.9278500000000001E-3</v>
      </c>
      <c r="E1239" s="1">
        <v>4.46907E-2</v>
      </c>
      <c r="F1239" s="1">
        <v>3.4421899999999999E-4</v>
      </c>
      <c r="G1239" s="1">
        <v>9.0792799999999999E-6</v>
      </c>
      <c r="H1239" s="1">
        <v>-1.14843E-3</v>
      </c>
    </row>
    <row r="1240" spans="2:8" x14ac:dyDescent="0.25">
      <c r="B1240" s="1">
        <v>52.096899999999998</v>
      </c>
      <c r="C1240" s="1">
        <v>-4.8935699999999999E-2</v>
      </c>
      <c r="D1240" s="1">
        <v>3.9704500000000004E-3</v>
      </c>
      <c r="E1240" s="1">
        <v>4.3647100000000001E-2</v>
      </c>
      <c r="F1240" s="1">
        <v>1.40679E-4</v>
      </c>
      <c r="G1240" s="1">
        <v>4.5305199999999998E-6</v>
      </c>
      <c r="H1240" s="1">
        <v>-1.1729900000000001E-3</v>
      </c>
    </row>
    <row r="1241" spans="2:8" x14ac:dyDescent="0.25">
      <c r="B1241" s="1">
        <v>53.5276</v>
      </c>
      <c r="C1241" s="1">
        <v>-4.7774900000000002E-2</v>
      </c>
      <c r="D1241" s="1">
        <v>4.0093699999999999E-3</v>
      </c>
      <c r="E1241" s="1">
        <v>4.2595599999999997E-2</v>
      </c>
      <c r="F1241" s="1">
        <v>-2.9977499999999999E-5</v>
      </c>
      <c r="G1241" s="1">
        <v>2.2467200000000001E-6</v>
      </c>
      <c r="H1241" s="1">
        <v>-1.19765E-3</v>
      </c>
    </row>
    <row r="1242" spans="2:8" x14ac:dyDescent="0.25">
      <c r="B1242" s="1">
        <v>54.976500000000001</v>
      </c>
      <c r="C1242" s="1">
        <v>-4.6636400000000001E-2</v>
      </c>
      <c r="D1242" s="1">
        <v>4.0451899999999997E-3</v>
      </c>
      <c r="E1242" s="1">
        <v>4.1546E-2</v>
      </c>
      <c r="F1242" s="1">
        <v>-1.77603E-4</v>
      </c>
      <c r="G1242" s="1">
        <v>3.8388300000000002E-8</v>
      </c>
      <c r="H1242" s="1">
        <v>-1.2227900000000001E-3</v>
      </c>
    </row>
    <row r="1243" spans="2:8" x14ac:dyDescent="0.25">
      <c r="B1243" s="1">
        <v>56.443399999999997</v>
      </c>
      <c r="C1243" s="1">
        <v>-4.5518200000000002E-2</v>
      </c>
      <c r="D1243" s="1">
        <v>4.0776199999999997E-3</v>
      </c>
      <c r="E1243" s="1">
        <v>4.0510999999999998E-2</v>
      </c>
      <c r="F1243" s="1">
        <v>-3.1635799999999998E-4</v>
      </c>
      <c r="G1243" s="1">
        <v>-3.1281499999999999E-6</v>
      </c>
      <c r="H1243" s="1">
        <v>-1.24899E-3</v>
      </c>
    </row>
    <row r="1244" spans="2:8" x14ac:dyDescent="0.25">
      <c r="B1244" s="1">
        <v>57.928100000000001</v>
      </c>
      <c r="C1244" s="1">
        <v>-4.4416999999999998E-2</v>
      </c>
      <c r="D1244" s="1">
        <v>4.1052800000000002E-3</v>
      </c>
      <c r="E1244" s="1">
        <v>3.9502500000000003E-2</v>
      </c>
      <c r="F1244" s="1">
        <v>-4.6273199999999999E-4</v>
      </c>
      <c r="G1244" s="1">
        <v>-5.15964E-6</v>
      </c>
      <c r="H1244" s="1">
        <v>-1.2771099999999999E-3</v>
      </c>
    </row>
    <row r="1245" spans="2:8" x14ac:dyDescent="0.25">
      <c r="B1245" s="1">
        <v>59.430100000000003</v>
      </c>
      <c r="C1245" s="1">
        <v>-4.3330500000000001E-2</v>
      </c>
      <c r="D1245" s="1">
        <v>4.1269599999999998E-3</v>
      </c>
      <c r="E1245" s="1">
        <v>3.8525499999999997E-2</v>
      </c>
      <c r="F1245" s="1">
        <v>-6.2518600000000001E-4</v>
      </c>
      <c r="G1245" s="1">
        <v>-4.3540500000000003E-6</v>
      </c>
      <c r="H1245" s="1">
        <v>-1.3075700000000001E-3</v>
      </c>
    </row>
    <row r="1246" spans="2:8" x14ac:dyDescent="0.25">
      <c r="B1246" s="1">
        <v>60.949399999999997</v>
      </c>
      <c r="C1246" s="1">
        <v>-4.2259600000000001E-2</v>
      </c>
      <c r="D1246" s="1">
        <v>4.1425200000000002E-3</v>
      </c>
      <c r="E1246" s="1">
        <v>3.75775E-2</v>
      </c>
      <c r="F1246" s="1">
        <v>-7.9842200000000002E-4</v>
      </c>
      <c r="G1246" s="1">
        <v>-1.1827900000000001E-6</v>
      </c>
      <c r="H1246" s="1">
        <v>-1.3392600000000001E-3</v>
      </c>
    </row>
    <row r="1247" spans="2:8" x14ac:dyDescent="0.25">
      <c r="B1247" s="1">
        <v>62.485799999999998</v>
      </c>
      <c r="C1247" s="1">
        <v>-4.1208300000000003E-2</v>
      </c>
      <c r="D1247" s="1">
        <v>4.1526000000000002E-3</v>
      </c>
      <c r="E1247" s="1">
        <v>3.66521E-2</v>
      </c>
      <c r="F1247" s="1">
        <v>-9.7046700000000003E-4</v>
      </c>
      <c r="G1247" s="1">
        <v>3.0866400000000001E-6</v>
      </c>
      <c r="H1247" s="1">
        <v>-1.3709499999999999E-3</v>
      </c>
    </row>
    <row r="1248" spans="2:8" x14ac:dyDescent="0.25">
      <c r="B1248" s="1">
        <v>64.038700000000006</v>
      </c>
      <c r="C1248" s="1">
        <v>-4.0182099999999998E-2</v>
      </c>
      <c r="D1248" s="1">
        <v>4.1582099999999999E-3</v>
      </c>
      <c r="E1248" s="1">
        <v>3.5745800000000001E-2</v>
      </c>
      <c r="F1248" s="1">
        <v>-1.1314700000000001E-3</v>
      </c>
      <c r="G1248" s="1">
        <v>7.1299500000000002E-6</v>
      </c>
      <c r="H1248" s="1">
        <v>-1.4024700000000001E-3</v>
      </c>
    </row>
    <row r="1249" spans="2:8" x14ac:dyDescent="0.25">
      <c r="B1249" s="1">
        <v>65.608099999999993</v>
      </c>
      <c r="C1249" s="1">
        <v>-3.9186600000000002E-2</v>
      </c>
      <c r="D1249" s="1">
        <v>4.16053E-3</v>
      </c>
      <c r="E1249" s="1">
        <v>3.4858100000000003E-2</v>
      </c>
      <c r="F1249" s="1">
        <v>-1.2758699999999999E-3</v>
      </c>
      <c r="G1249" s="1">
        <v>9.0998500000000006E-6</v>
      </c>
      <c r="H1249" s="1">
        <v>-1.4347400000000001E-3</v>
      </c>
    </row>
    <row r="1250" spans="2:8" x14ac:dyDescent="0.25">
      <c r="B1250" s="1">
        <v>67.193600000000004</v>
      </c>
      <c r="C1250" s="1">
        <v>-3.8225000000000002E-2</v>
      </c>
      <c r="D1250" s="1">
        <v>4.1604099999999998E-3</v>
      </c>
      <c r="E1250" s="1">
        <v>3.3988299999999999E-2</v>
      </c>
      <c r="F1250" s="1">
        <v>-1.4001899999999999E-3</v>
      </c>
      <c r="G1250" s="1">
        <v>8.5859000000000002E-6</v>
      </c>
      <c r="H1250" s="1">
        <v>-1.4679199999999999E-3</v>
      </c>
    </row>
    <row r="1251" spans="2:8" x14ac:dyDescent="0.25">
      <c r="B1251" s="1">
        <v>68.795000000000002</v>
      </c>
      <c r="C1251" s="1">
        <v>-3.7297900000000002E-2</v>
      </c>
      <c r="D1251" s="1">
        <v>4.1580200000000001E-3</v>
      </c>
      <c r="E1251" s="1">
        <v>3.3133500000000003E-2</v>
      </c>
      <c r="F1251" s="1">
        <v>-1.50135E-3</v>
      </c>
      <c r="G1251" s="1">
        <v>7.08936E-6</v>
      </c>
      <c r="H1251" s="1">
        <v>-1.50063E-3</v>
      </c>
    </row>
    <row r="1252" spans="2:8" x14ac:dyDescent="0.25">
      <c r="B1252" s="1">
        <v>70.412099999999995</v>
      </c>
      <c r="C1252" s="1">
        <v>-3.6403600000000001E-2</v>
      </c>
      <c r="D1252" s="1">
        <v>4.1531399999999996E-3</v>
      </c>
      <c r="E1252" s="1">
        <v>3.2291800000000002E-2</v>
      </c>
      <c r="F1252" s="1">
        <v>-1.5787500000000001E-3</v>
      </c>
      <c r="G1252" s="1">
        <v>5.59407E-6</v>
      </c>
      <c r="H1252" s="1">
        <v>-1.53181E-3</v>
      </c>
    </row>
    <row r="1253" spans="2:8" x14ac:dyDescent="0.25">
      <c r="B1253" s="1">
        <v>72.044399999999996</v>
      </c>
      <c r="C1253" s="1">
        <v>-3.5539399999999999E-2</v>
      </c>
      <c r="D1253" s="1">
        <v>4.1453599999999998E-3</v>
      </c>
      <c r="E1253" s="1">
        <v>3.1464899999999997E-2</v>
      </c>
      <c r="F1253" s="1">
        <v>-1.63657E-3</v>
      </c>
      <c r="G1253" s="1">
        <v>3.8315999999999999E-6</v>
      </c>
      <c r="H1253" s="1">
        <v>-1.5619E-3</v>
      </c>
    </row>
    <row r="1254" spans="2:8" x14ac:dyDescent="0.25">
      <c r="B1254" s="1">
        <v>73.691699999999997</v>
      </c>
      <c r="C1254" s="1">
        <v>-3.4702499999999997E-2</v>
      </c>
      <c r="D1254" s="1">
        <v>4.1342499999999999E-3</v>
      </c>
      <c r="E1254" s="1">
        <v>3.0656200000000002E-2</v>
      </c>
      <c r="F1254" s="1">
        <v>-1.6815300000000001E-3</v>
      </c>
      <c r="G1254" s="1">
        <v>2.1270600000000001E-6</v>
      </c>
      <c r="H1254" s="1">
        <v>-1.5914600000000001E-3</v>
      </c>
    </row>
    <row r="1255" spans="2:8" x14ac:dyDescent="0.25">
      <c r="B1255" s="1">
        <v>75.353800000000007</v>
      </c>
      <c r="C1255" s="1">
        <v>-3.3890400000000001E-2</v>
      </c>
      <c r="D1255" s="1">
        <v>4.11977E-3</v>
      </c>
      <c r="E1255" s="1">
        <v>2.9866799999999999E-2</v>
      </c>
      <c r="F1255" s="1">
        <v>-1.7180400000000001E-3</v>
      </c>
      <c r="G1255" s="1">
        <v>1.2172299999999999E-6</v>
      </c>
      <c r="H1255" s="1">
        <v>-1.62065E-3</v>
      </c>
    </row>
    <row r="1256" spans="2:8" x14ac:dyDescent="0.25">
      <c r="B1256" s="1">
        <v>77.030500000000004</v>
      </c>
      <c r="C1256" s="1">
        <v>-3.3102199999999998E-2</v>
      </c>
      <c r="D1256" s="1">
        <v>4.1025999999999996E-3</v>
      </c>
      <c r="E1256" s="1">
        <v>2.9095599999999999E-2</v>
      </c>
      <c r="F1256" s="1">
        <v>-1.74581E-3</v>
      </c>
      <c r="G1256" s="1">
        <v>5.4243399999999997E-7</v>
      </c>
      <c r="H1256" s="1">
        <v>-1.64927E-3</v>
      </c>
    </row>
    <row r="1257" spans="2:8" x14ac:dyDescent="0.25">
      <c r="B1257" s="1">
        <v>78.721199999999996</v>
      </c>
      <c r="C1257" s="1">
        <v>-3.2337200000000003E-2</v>
      </c>
      <c r="D1257" s="1">
        <v>4.0835699999999999E-3</v>
      </c>
      <c r="E1257" s="1">
        <v>2.8340600000000001E-2</v>
      </c>
      <c r="F1257" s="1">
        <v>-1.7632699999999999E-3</v>
      </c>
      <c r="G1257" s="1">
        <v>-5.1308600000000005E-7</v>
      </c>
      <c r="H1257" s="1">
        <v>-1.67683E-3</v>
      </c>
    </row>
    <row r="1258" spans="2:8" x14ac:dyDescent="0.25">
      <c r="B1258" s="1">
        <v>80.426000000000002</v>
      </c>
      <c r="C1258" s="1">
        <v>-3.1594400000000002E-2</v>
      </c>
      <c r="D1258" s="1">
        <v>4.0626100000000004E-3</v>
      </c>
      <c r="E1258" s="1">
        <v>2.76017E-2</v>
      </c>
      <c r="F1258" s="1">
        <v>-1.77151E-3</v>
      </c>
      <c r="G1258" s="1">
        <v>-1.2571199999999999E-6</v>
      </c>
      <c r="H1258" s="1">
        <v>-1.70284E-3</v>
      </c>
    </row>
    <row r="1259" spans="2:8" x14ac:dyDescent="0.25">
      <c r="B1259" s="1">
        <v>82.144199999999998</v>
      </c>
      <c r="C1259" s="1">
        <v>-3.0871900000000001E-2</v>
      </c>
      <c r="D1259" s="1">
        <v>4.0388500000000001E-3</v>
      </c>
      <c r="E1259" s="1">
        <v>2.6879799999999999E-2</v>
      </c>
      <c r="F1259" s="1">
        <v>-1.7728900000000001E-3</v>
      </c>
      <c r="G1259" s="1">
        <v>-1.2018699999999999E-6</v>
      </c>
      <c r="H1259" s="1">
        <v>-1.7273E-3</v>
      </c>
    </row>
    <row r="1260" spans="2:8" x14ac:dyDescent="0.25">
      <c r="B1260" s="1">
        <v>83.875900000000001</v>
      </c>
      <c r="C1260" s="1">
        <v>-3.0168199999999999E-2</v>
      </c>
      <c r="D1260" s="1">
        <v>4.0114E-3</v>
      </c>
      <c r="E1260" s="1">
        <v>2.6174699999999999E-2</v>
      </c>
      <c r="F1260" s="1">
        <v>-1.7671E-3</v>
      </c>
      <c r="G1260" s="1">
        <v>-7.8232499999999996E-7</v>
      </c>
      <c r="H1260" s="1">
        <v>-1.75004E-3</v>
      </c>
    </row>
    <row r="1261" spans="2:8" x14ac:dyDescent="0.25">
      <c r="B1261" s="1">
        <v>85.620199999999997</v>
      </c>
      <c r="C1261" s="1">
        <v>-2.9482399999999999E-2</v>
      </c>
      <c r="D1261" s="1">
        <v>3.9796399999999996E-3</v>
      </c>
      <c r="E1261" s="1">
        <v>2.5483700000000001E-2</v>
      </c>
      <c r="F1261" s="1">
        <v>-1.75169E-3</v>
      </c>
      <c r="G1261" s="1">
        <v>2.6680999999999999E-7</v>
      </c>
      <c r="H1261" s="1">
        <v>-1.7704800000000001E-3</v>
      </c>
    </row>
    <row r="1262" spans="2:8" x14ac:dyDescent="0.25">
      <c r="B1262" s="1">
        <v>87.377899999999997</v>
      </c>
      <c r="C1262" s="1">
        <v>-2.8815199999999999E-2</v>
      </c>
      <c r="D1262" s="1">
        <v>3.9436100000000002E-3</v>
      </c>
      <c r="E1262" s="1">
        <v>2.4804099999999999E-2</v>
      </c>
      <c r="F1262" s="1">
        <v>-1.7240000000000001E-3</v>
      </c>
      <c r="G1262" s="1">
        <v>3.0745399999999998E-6</v>
      </c>
      <c r="H1262" s="1">
        <v>-1.78841E-3</v>
      </c>
    </row>
    <row r="1263" spans="2:8" x14ac:dyDescent="0.25">
      <c r="B1263" s="1">
        <v>89.147499999999994</v>
      </c>
      <c r="C1263" s="1">
        <v>-2.8170799999999999E-2</v>
      </c>
      <c r="D1263" s="1">
        <v>3.90443E-3</v>
      </c>
      <c r="E1263" s="1">
        <v>2.4134800000000001E-2</v>
      </c>
      <c r="F1263" s="1">
        <v>-1.6796199999999999E-3</v>
      </c>
      <c r="G1263" s="1">
        <v>6.8485200000000003E-6</v>
      </c>
      <c r="H1263" s="1">
        <v>-1.8042799999999999E-3</v>
      </c>
    </row>
    <row r="1264" spans="2:8" x14ac:dyDescent="0.25">
      <c r="B1264" s="1">
        <v>90.9298</v>
      </c>
      <c r="C1264" s="1">
        <v>-2.7554700000000001E-2</v>
      </c>
      <c r="D1264" s="1">
        <v>3.8638399999999999E-3</v>
      </c>
      <c r="E1264" s="1">
        <v>2.34767E-2</v>
      </c>
      <c r="F1264" s="1">
        <v>-1.6132399999999999E-3</v>
      </c>
      <c r="G1264" s="1">
        <v>9.2118799999999993E-6</v>
      </c>
      <c r="H1264" s="1">
        <v>-1.8182000000000001E-3</v>
      </c>
    </row>
    <row r="1265" spans="2:8" x14ac:dyDescent="0.25">
      <c r="B1265" s="1">
        <v>92.723100000000002</v>
      </c>
      <c r="C1265" s="1">
        <v>-2.6970600000000001E-2</v>
      </c>
      <c r="D1265" s="1">
        <v>3.8229100000000001E-3</v>
      </c>
      <c r="E1265" s="1">
        <v>2.28329E-2</v>
      </c>
      <c r="F1265" s="1">
        <v>-1.52414E-3</v>
      </c>
      <c r="G1265" s="1">
        <v>8.7079599999999992E-6</v>
      </c>
      <c r="H1265" s="1">
        <v>-1.8302500000000001E-3</v>
      </c>
    </row>
    <row r="1266" spans="2:8" x14ac:dyDescent="0.25">
      <c r="B1266" s="1">
        <v>94.528999999999996</v>
      </c>
      <c r="C1266" s="1">
        <v>-2.6417900000000001E-2</v>
      </c>
      <c r="D1266" s="1">
        <v>3.7816899999999999E-3</v>
      </c>
      <c r="E1266" s="1">
        <v>2.22089E-2</v>
      </c>
      <c r="F1266" s="1">
        <v>-1.4194500000000001E-3</v>
      </c>
      <c r="G1266" s="1">
        <v>5.9130199999999997E-6</v>
      </c>
      <c r="H1266" s="1">
        <v>-1.8409100000000001E-3</v>
      </c>
    </row>
    <row r="1267" spans="2:8" x14ac:dyDescent="0.25">
      <c r="B1267" s="1">
        <v>96.345200000000006</v>
      </c>
      <c r="C1267" s="1">
        <v>-2.5892100000000001E-2</v>
      </c>
      <c r="D1267" s="1">
        <v>3.7397099999999998E-3</v>
      </c>
      <c r="E1267" s="1">
        <v>2.16102E-2</v>
      </c>
      <c r="F1267" s="1">
        <v>-1.3107399999999999E-3</v>
      </c>
      <c r="G1267" s="1">
        <v>2.4868699999999999E-6</v>
      </c>
      <c r="H1267" s="1">
        <v>-1.8504299999999999E-3</v>
      </c>
    </row>
    <row r="1268" spans="2:8" x14ac:dyDescent="0.25">
      <c r="B1268" s="1">
        <v>98.173299999999998</v>
      </c>
      <c r="C1268" s="1">
        <v>-2.53875E-2</v>
      </c>
      <c r="D1268" s="1">
        <v>3.6964400000000001E-3</v>
      </c>
      <c r="E1268" s="1">
        <v>2.1041199999999999E-2</v>
      </c>
      <c r="F1268" s="1">
        <v>-1.20856E-3</v>
      </c>
      <c r="G1268" s="1">
        <v>-6.8687899999999999E-7</v>
      </c>
      <c r="H1268" s="1">
        <v>-1.85911E-3</v>
      </c>
    </row>
    <row r="1269" spans="2:8" x14ac:dyDescent="0.25">
      <c r="B1269" s="1">
        <v>100.012</v>
      </c>
      <c r="C1269" s="1">
        <v>-2.4899000000000001E-2</v>
      </c>
      <c r="D1269" s="1">
        <v>3.6512699999999999E-3</v>
      </c>
      <c r="E1269" s="1">
        <v>2.0502900000000001E-2</v>
      </c>
      <c r="F1269" s="1">
        <v>-1.1197399999999999E-3</v>
      </c>
      <c r="G1269" s="1">
        <v>-2.5273200000000001E-6</v>
      </c>
      <c r="H1269" s="1">
        <v>-1.8670399999999999E-3</v>
      </c>
    </row>
    <row r="1270" spans="2:8" x14ac:dyDescent="0.25">
      <c r="B1270" s="1">
        <v>101.861</v>
      </c>
      <c r="C1270" s="1">
        <v>-2.4423799999999999E-2</v>
      </c>
      <c r="D1270" s="1">
        <v>3.6040099999999999E-3</v>
      </c>
      <c r="E1270" s="1">
        <v>1.9993899999999998E-2</v>
      </c>
      <c r="F1270" s="1">
        <v>-1.0459899999999999E-3</v>
      </c>
      <c r="G1270" s="1">
        <v>-2.1044199999999998E-6</v>
      </c>
      <c r="H1270" s="1">
        <v>-1.8739799999999999E-3</v>
      </c>
    </row>
    <row r="1271" spans="2:8" x14ac:dyDescent="0.25">
      <c r="B1271" s="1">
        <v>103.72</v>
      </c>
      <c r="C1271" s="1">
        <v>-2.3962600000000001E-2</v>
      </c>
      <c r="D1271" s="1">
        <v>3.5555299999999999E-3</v>
      </c>
      <c r="E1271" s="1">
        <v>1.9511799999999999E-2</v>
      </c>
      <c r="F1271" s="1">
        <v>-9.842640000000001E-4</v>
      </c>
      <c r="G1271" s="1">
        <v>-7.0697799999999999E-7</v>
      </c>
      <c r="H1271" s="1">
        <v>-1.88018E-3</v>
      </c>
    </row>
    <row r="1272" spans="2:8" x14ac:dyDescent="0.25">
      <c r="B1272" s="1">
        <v>105.589</v>
      </c>
      <c r="C1272" s="1">
        <v>-2.3517199999999999E-2</v>
      </c>
      <c r="D1272" s="1">
        <v>3.5071500000000001E-3</v>
      </c>
      <c r="E1272" s="1">
        <v>1.90549E-2</v>
      </c>
      <c r="F1272" s="1">
        <v>-9.3117299999999998E-4</v>
      </c>
      <c r="G1272" s="1">
        <v>3.7744900000000001E-7</v>
      </c>
      <c r="H1272" s="1">
        <v>-1.8859E-3</v>
      </c>
    </row>
    <row r="1273" spans="2:8" x14ac:dyDescent="0.25">
      <c r="B1273" s="1">
        <v>107.468</v>
      </c>
      <c r="C1273" s="1">
        <v>-2.3089499999999999E-2</v>
      </c>
      <c r="D1273" s="1">
        <v>3.4599600000000002E-3</v>
      </c>
      <c r="E1273" s="1">
        <v>1.8622300000000001E-2</v>
      </c>
      <c r="F1273" s="1">
        <v>-8.8511500000000001E-4</v>
      </c>
      <c r="G1273" s="1">
        <v>1.06626E-6</v>
      </c>
      <c r="H1273" s="1">
        <v>-1.8913000000000001E-3</v>
      </c>
    </row>
    <row r="1274" spans="2:8" x14ac:dyDescent="0.25">
      <c r="B1274" s="1">
        <v>109.35599999999999</v>
      </c>
      <c r="C1274" s="1">
        <v>-2.2679999999999999E-2</v>
      </c>
      <c r="D1274" s="1">
        <v>3.4145E-3</v>
      </c>
      <c r="E1274" s="1">
        <v>1.8212200000000001E-2</v>
      </c>
      <c r="F1274" s="1">
        <v>-8.4431100000000004E-4</v>
      </c>
      <c r="G1274" s="1">
        <v>1.0528300000000001E-6</v>
      </c>
      <c r="H1274" s="1">
        <v>-1.8965900000000001E-3</v>
      </c>
    </row>
    <row r="1275" spans="2:8" x14ac:dyDescent="0.25">
      <c r="B1275" s="1">
        <v>111.253</v>
      </c>
      <c r="C1275" s="1">
        <v>-2.2288100000000002E-2</v>
      </c>
      <c r="D1275" s="1">
        <v>3.3707699999999999E-3</v>
      </c>
      <c r="E1275" s="1">
        <v>1.7821300000000002E-2</v>
      </c>
      <c r="F1275" s="1">
        <v>-8.0599000000000003E-4</v>
      </c>
      <c r="G1275" s="1">
        <v>4.3823500000000001E-7</v>
      </c>
      <c r="H1275" s="1">
        <v>-1.9015499999999999E-3</v>
      </c>
    </row>
    <row r="1276" spans="2:8" x14ac:dyDescent="0.25">
      <c r="B1276" s="1">
        <v>113.16</v>
      </c>
      <c r="C1276" s="1">
        <v>-2.1912000000000001E-2</v>
      </c>
      <c r="D1276" s="1">
        <v>3.3285200000000002E-3</v>
      </c>
      <c r="E1276" s="1">
        <v>1.7445200000000001E-2</v>
      </c>
      <c r="F1276" s="1">
        <v>-7.6710700000000005E-4</v>
      </c>
      <c r="G1276" s="1">
        <v>-3.18945E-7</v>
      </c>
      <c r="H1276" s="1">
        <v>-1.90566E-3</v>
      </c>
    </row>
    <row r="1277" spans="2:8" x14ac:dyDescent="0.25">
      <c r="B1277" s="1">
        <v>115.074</v>
      </c>
      <c r="C1277" s="1">
        <v>-2.1549100000000002E-2</v>
      </c>
      <c r="D1277" s="1">
        <v>3.2874699999999998E-3</v>
      </c>
      <c r="E1277" s="1">
        <v>1.70797E-2</v>
      </c>
      <c r="F1277" s="1">
        <v>-7.2537600000000002E-4</v>
      </c>
      <c r="G1277" s="1">
        <v>-1.2997199999999999E-6</v>
      </c>
      <c r="H1277" s="1">
        <v>-1.9086400000000001E-3</v>
      </c>
    </row>
    <row r="1278" spans="2:8" x14ac:dyDescent="0.25">
      <c r="B1278" s="1">
        <v>116.997</v>
      </c>
      <c r="C1278" s="1">
        <v>-2.1196400000000001E-2</v>
      </c>
      <c r="D1278" s="1">
        <v>3.2471599999999998E-3</v>
      </c>
      <c r="E1278" s="1">
        <v>1.6722299999999999E-2</v>
      </c>
      <c r="F1278" s="1">
        <v>-6.8114200000000003E-4</v>
      </c>
      <c r="G1278" s="1">
        <v>-2.3542299999999998E-6</v>
      </c>
      <c r="H1278" s="1">
        <v>-1.9104899999999999E-3</v>
      </c>
    </row>
    <row r="1279" spans="2:8" x14ac:dyDescent="0.25">
      <c r="B1279" s="1">
        <v>118.928</v>
      </c>
      <c r="C1279" s="1">
        <v>-2.0850299999999999E-2</v>
      </c>
      <c r="D1279" s="1">
        <v>3.20681E-3</v>
      </c>
      <c r="E1279" s="1">
        <v>1.6371799999999999E-2</v>
      </c>
      <c r="F1279" s="1">
        <v>-6.3681399999999998E-4</v>
      </c>
      <c r="G1279" s="1">
        <v>-3.0636900000000001E-6</v>
      </c>
      <c r="H1279" s="1">
        <v>-1.9115499999999999E-3</v>
      </c>
    </row>
    <row r="1280" spans="2:8" x14ac:dyDescent="0.25">
      <c r="B1280" s="1">
        <v>120.86799999999999</v>
      </c>
      <c r="C1280" s="1">
        <v>-2.0507000000000001E-2</v>
      </c>
      <c r="D1280" s="1">
        <v>3.16563E-3</v>
      </c>
      <c r="E1280" s="1">
        <v>1.60264E-2</v>
      </c>
      <c r="F1280" s="1">
        <v>-5.9345199999999996E-4</v>
      </c>
      <c r="G1280" s="1">
        <v>-3.3204099999999999E-6</v>
      </c>
      <c r="H1280" s="1">
        <v>-1.9117400000000001E-3</v>
      </c>
    </row>
    <row r="1281" spans="2:8" x14ac:dyDescent="0.25">
      <c r="B1281" s="1">
        <v>122.81399999999999</v>
      </c>
      <c r="C1281" s="1">
        <v>-2.0164100000000001E-2</v>
      </c>
      <c r="D1281" s="1">
        <v>3.12313E-3</v>
      </c>
      <c r="E1281" s="1">
        <v>1.5683699999999998E-2</v>
      </c>
      <c r="F1281" s="1">
        <v>-5.4991100000000004E-4</v>
      </c>
      <c r="G1281" s="1">
        <v>-3.1217999999999999E-6</v>
      </c>
      <c r="H1281" s="1">
        <v>-1.9102399999999999E-3</v>
      </c>
    </row>
    <row r="1282" spans="2:8" x14ac:dyDescent="0.25">
      <c r="B1282" s="1">
        <v>124.768</v>
      </c>
      <c r="C1282" s="1">
        <v>-1.9819799999999999E-2</v>
      </c>
      <c r="D1282" s="1">
        <v>3.0791299999999998E-3</v>
      </c>
      <c r="E1282" s="1">
        <v>1.53419E-2</v>
      </c>
      <c r="F1282" s="1">
        <v>-5.0554599999999995E-4</v>
      </c>
      <c r="G1282" s="1">
        <v>-2.3573700000000001E-6</v>
      </c>
      <c r="H1282" s="1">
        <v>-1.9066599999999999E-3</v>
      </c>
    </row>
    <row r="1283" spans="2:8" x14ac:dyDescent="0.25">
      <c r="B1283" s="1">
        <v>126.729</v>
      </c>
      <c r="C1283" s="1">
        <v>-1.9474200000000001E-2</v>
      </c>
      <c r="D1283" s="1">
        <v>3.0336600000000001E-3</v>
      </c>
      <c r="E1283" s="1">
        <v>1.5001E-2</v>
      </c>
      <c r="F1283" s="1">
        <v>-4.6057800000000001E-4</v>
      </c>
      <c r="G1283" s="1">
        <v>-1.10648E-6</v>
      </c>
      <c r="H1283" s="1">
        <v>-1.90117E-3</v>
      </c>
    </row>
    <row r="1284" spans="2:8" x14ac:dyDescent="0.25">
      <c r="B1284" s="1">
        <v>128.697</v>
      </c>
      <c r="C1284" s="1">
        <v>-1.9127999999999999E-2</v>
      </c>
      <c r="D1284" s="1">
        <v>2.9868400000000002E-3</v>
      </c>
      <c r="E1284" s="1">
        <v>1.46626E-2</v>
      </c>
      <c r="F1284" s="1">
        <v>-4.1486600000000001E-4</v>
      </c>
      <c r="G1284" s="1">
        <v>-3.4232200000000001E-7</v>
      </c>
      <c r="H1284" s="1">
        <v>-1.8937800000000001E-3</v>
      </c>
    </row>
    <row r="1285" spans="2:8" x14ac:dyDescent="0.25">
      <c r="B1285" s="1">
        <v>130.672</v>
      </c>
      <c r="C1285" s="1">
        <v>-1.8781699999999998E-2</v>
      </c>
      <c r="D1285" s="1">
        <v>2.93874E-3</v>
      </c>
      <c r="E1285" s="1">
        <v>1.4330000000000001E-2</v>
      </c>
      <c r="F1285" s="1">
        <v>-3.7125800000000002E-4</v>
      </c>
      <c r="G1285" s="1">
        <v>-5.5889900000000003E-7</v>
      </c>
      <c r="H1285" s="1">
        <v>-1.8847200000000001E-3</v>
      </c>
    </row>
    <row r="1286" spans="2:8" x14ac:dyDescent="0.25">
      <c r="B1286" s="1">
        <v>132.654</v>
      </c>
      <c r="C1286" s="1">
        <v>-1.8434599999999999E-2</v>
      </c>
      <c r="D1286" s="1">
        <v>2.8893899999999999E-3</v>
      </c>
      <c r="E1286" s="1">
        <v>1.40086E-2</v>
      </c>
      <c r="F1286" s="1">
        <v>-3.3780799999999999E-4</v>
      </c>
      <c r="G1286" s="1">
        <v>-4.3146900000000001E-7</v>
      </c>
      <c r="H1286" s="1">
        <v>-1.87488E-3</v>
      </c>
    </row>
    <row r="1287" spans="2:8" x14ac:dyDescent="0.25">
      <c r="B1287" s="1">
        <v>134.64099999999999</v>
      </c>
      <c r="C1287" s="1">
        <v>-1.8087300000000001E-2</v>
      </c>
      <c r="D1287" s="1">
        <v>2.8392700000000001E-3</v>
      </c>
      <c r="E1287" s="1">
        <v>1.3703399999999999E-2</v>
      </c>
      <c r="F1287" s="1">
        <v>-3.2168399999999998E-4</v>
      </c>
      <c r="G1287" s="1">
        <v>1.04768E-6</v>
      </c>
      <c r="H1287" s="1">
        <v>-1.8652300000000001E-3</v>
      </c>
    </row>
    <row r="1288" spans="2:8" x14ac:dyDescent="0.25">
      <c r="B1288" s="1">
        <v>136.63499999999999</v>
      </c>
      <c r="C1288" s="1">
        <v>-1.7742000000000001E-2</v>
      </c>
      <c r="D1288" s="1">
        <v>2.78934E-3</v>
      </c>
      <c r="E1288" s="1">
        <v>1.34161E-2</v>
      </c>
      <c r="F1288" s="1">
        <v>-3.2273399999999998E-4</v>
      </c>
      <c r="G1288" s="1">
        <v>3.1910099999999999E-6</v>
      </c>
      <c r="H1288" s="1">
        <v>-1.8560899999999999E-3</v>
      </c>
    </row>
    <row r="1289" spans="2:8" x14ac:dyDescent="0.25">
      <c r="B1289" s="1">
        <v>138.63499999999999</v>
      </c>
      <c r="C1289" s="1">
        <v>-1.7402299999999999E-2</v>
      </c>
      <c r="D1289" s="1">
        <v>2.7402500000000001E-3</v>
      </c>
      <c r="E1289" s="1">
        <v>1.3143999999999999E-2</v>
      </c>
      <c r="F1289" s="1">
        <v>-3.3414799999999999E-4</v>
      </c>
      <c r="G1289" s="1">
        <v>5.0133900000000003E-6</v>
      </c>
      <c r="H1289" s="1">
        <v>-1.84721E-3</v>
      </c>
    </row>
    <row r="1290" spans="2:8" x14ac:dyDescent="0.25">
      <c r="B1290" s="1">
        <v>140.63999999999999</v>
      </c>
      <c r="C1290" s="1">
        <v>-1.7071300000000001E-2</v>
      </c>
      <c r="D1290" s="1">
        <v>2.6921599999999999E-3</v>
      </c>
      <c r="E1290" s="1">
        <v>1.2881500000000001E-2</v>
      </c>
      <c r="F1290" s="1">
        <v>-3.4622E-4</v>
      </c>
      <c r="G1290" s="1">
        <v>5.8310300000000001E-6</v>
      </c>
      <c r="H1290" s="1">
        <v>-1.8381000000000001E-3</v>
      </c>
    </row>
    <row r="1291" spans="2:8" x14ac:dyDescent="0.25">
      <c r="B1291" s="1">
        <v>142.65</v>
      </c>
      <c r="C1291" s="1">
        <v>-1.67508E-2</v>
      </c>
      <c r="D1291" s="1">
        <v>2.6450100000000002E-3</v>
      </c>
      <c r="E1291" s="1">
        <v>1.26233E-2</v>
      </c>
      <c r="F1291" s="1">
        <v>-3.5095599999999998E-4</v>
      </c>
      <c r="G1291" s="1">
        <v>5.1642399999999999E-6</v>
      </c>
      <c r="H1291" s="1">
        <v>-1.8283399999999999E-3</v>
      </c>
    </row>
    <row r="1292" spans="2:8" x14ac:dyDescent="0.25">
      <c r="B1292" s="1">
        <v>144.666</v>
      </c>
      <c r="C1292" s="1">
        <v>-1.6440400000000001E-2</v>
      </c>
      <c r="D1292" s="1">
        <v>2.5986E-3</v>
      </c>
      <c r="E1292" s="1">
        <v>1.2366500000000001E-2</v>
      </c>
      <c r="F1292" s="1">
        <v>-3.46406E-4</v>
      </c>
      <c r="G1292" s="1">
        <v>3.7383400000000001E-6</v>
      </c>
      <c r="H1292" s="1">
        <v>-1.8179100000000001E-3</v>
      </c>
    </row>
    <row r="1293" spans="2:8" x14ac:dyDescent="0.25">
      <c r="B1293" s="1">
        <v>146.68600000000001</v>
      </c>
      <c r="C1293" s="1">
        <v>-1.6138900000000001E-2</v>
      </c>
      <c r="D1293" s="1">
        <v>2.5526400000000001E-3</v>
      </c>
      <c r="E1293" s="1">
        <v>1.2111500000000001E-2</v>
      </c>
      <c r="F1293" s="1">
        <v>-3.3594300000000001E-4</v>
      </c>
      <c r="G1293" s="1">
        <v>3.50557E-6</v>
      </c>
      <c r="H1293" s="1">
        <v>-1.80719E-3</v>
      </c>
    </row>
    <row r="1294" spans="2:8" x14ac:dyDescent="0.25">
      <c r="B1294" s="1">
        <v>148.71299999999999</v>
      </c>
      <c r="C1294" s="1">
        <v>-1.5847099999999999E-2</v>
      </c>
      <c r="D1294" s="1">
        <v>2.5071300000000002E-3</v>
      </c>
      <c r="E1294" s="1">
        <v>1.18599E-2</v>
      </c>
      <c r="F1294" s="1">
        <v>-3.2237200000000002E-4</v>
      </c>
      <c r="G1294" s="1">
        <v>5.6855799999999997E-6</v>
      </c>
      <c r="H1294" s="1">
        <v>-1.7967599999999999E-3</v>
      </c>
    </row>
    <row r="1295" spans="2:8" x14ac:dyDescent="0.25">
      <c r="B1295" s="1">
        <v>150.74299999999999</v>
      </c>
      <c r="C1295" s="1">
        <v>-1.55692E-2</v>
      </c>
      <c r="D1295" s="1">
        <v>2.4627199999999998E-3</v>
      </c>
      <c r="E1295" s="1">
        <v>1.1613699999999999E-2</v>
      </c>
      <c r="F1295" s="1">
        <v>-3.0302600000000002E-4</v>
      </c>
      <c r="G1295" s="1">
        <v>8.6725500000000005E-6</v>
      </c>
      <c r="H1295" s="1">
        <v>-1.7871E-3</v>
      </c>
    </row>
    <row r="1296" spans="2:8" x14ac:dyDescent="0.25">
      <c r="B1296" s="1">
        <v>152.77799999999999</v>
      </c>
      <c r="C1296" s="1">
        <v>-1.53092E-2</v>
      </c>
      <c r="D1296" s="1">
        <v>2.4202300000000002E-3</v>
      </c>
      <c r="E1296" s="1">
        <v>1.13732E-2</v>
      </c>
      <c r="F1296" s="1">
        <v>-2.7169500000000002E-4</v>
      </c>
      <c r="G1296" s="1">
        <v>9.1393900000000003E-6</v>
      </c>
      <c r="H1296" s="1">
        <v>-1.77841E-3</v>
      </c>
    </row>
    <row r="1297" spans="2:8" x14ac:dyDescent="0.25">
      <c r="B1297" s="1">
        <v>154.81700000000001</v>
      </c>
      <c r="C1297" s="1">
        <v>-1.50674E-2</v>
      </c>
      <c r="D1297" s="1">
        <v>2.3796199999999998E-3</v>
      </c>
      <c r="E1297" s="1">
        <v>1.11371E-2</v>
      </c>
      <c r="F1297" s="1">
        <v>-2.2569199999999999E-4</v>
      </c>
      <c r="G1297" s="1">
        <v>6.09357E-6</v>
      </c>
      <c r="H1297" s="1">
        <v>-1.7702799999999999E-3</v>
      </c>
    </row>
    <row r="1298" spans="2:8" x14ac:dyDescent="0.25">
      <c r="B1298" s="1">
        <v>156.86099999999999</v>
      </c>
      <c r="C1298" s="1">
        <v>-1.4838199999999999E-2</v>
      </c>
      <c r="D1298" s="1">
        <v>2.3398899999999999E-3</v>
      </c>
      <c r="E1298" s="1">
        <v>1.09041E-2</v>
      </c>
      <c r="F1298" s="1">
        <v>-1.6997799999999999E-4</v>
      </c>
      <c r="G1298" s="1">
        <v>2.0241499999999999E-6</v>
      </c>
      <c r="H1298" s="1">
        <v>-1.7621500000000001E-3</v>
      </c>
    </row>
    <row r="1299" spans="2:8" x14ac:dyDescent="0.25">
      <c r="B1299" s="1">
        <v>158.90899999999999</v>
      </c>
      <c r="C1299" s="1">
        <v>-1.46146E-2</v>
      </c>
      <c r="D1299" s="1">
        <v>2.3001300000000001E-3</v>
      </c>
      <c r="E1299" s="1">
        <v>1.06742E-2</v>
      </c>
      <c r="F1299" s="1">
        <v>-1.13639E-4</v>
      </c>
      <c r="G1299" s="1">
        <v>-1.32849E-7</v>
      </c>
      <c r="H1299" s="1">
        <v>-1.75409E-3</v>
      </c>
    </row>
    <row r="1300" spans="2:8" x14ac:dyDescent="0.25">
      <c r="B1300" s="1">
        <v>160.959</v>
      </c>
      <c r="C1300" s="1">
        <v>-1.4392500000000001E-2</v>
      </c>
      <c r="D1300" s="1">
        <v>2.2603599999999999E-3</v>
      </c>
      <c r="E1300" s="1">
        <v>1.0448300000000001E-2</v>
      </c>
      <c r="F1300" s="1">
        <v>-6.2490399999999994E-5</v>
      </c>
      <c r="G1300" s="1">
        <v>-3.0921400000000001E-7</v>
      </c>
      <c r="H1300" s="1">
        <v>-1.74664E-3</v>
      </c>
    </row>
    <row r="1301" spans="2:8" x14ac:dyDescent="0.25">
      <c r="B1301" s="1">
        <v>163.01499999999999</v>
      </c>
      <c r="C1301" s="1">
        <v>-1.4170800000000001E-2</v>
      </c>
      <c r="D1301" s="1">
        <v>2.2212600000000001E-3</v>
      </c>
      <c r="E1301" s="1">
        <v>1.0227E-2</v>
      </c>
      <c r="F1301" s="1">
        <v>-1.6935600000000001E-5</v>
      </c>
      <c r="G1301" s="1">
        <v>-3.9794900000000001E-7</v>
      </c>
      <c r="H1301" s="1">
        <v>-1.73986E-3</v>
      </c>
    </row>
    <row r="1302" spans="2:8" x14ac:dyDescent="0.25">
      <c r="B1302" s="1">
        <v>165.07400000000001</v>
      </c>
      <c r="C1302" s="1">
        <v>-1.39495E-2</v>
      </c>
      <c r="D1302" s="1">
        <v>2.18322E-3</v>
      </c>
      <c r="E1302" s="1">
        <v>1.00112E-2</v>
      </c>
      <c r="F1302" s="1">
        <v>2.2920899999999999E-5</v>
      </c>
      <c r="G1302" s="1">
        <v>-1.1501400000000001E-6</v>
      </c>
      <c r="H1302" s="1">
        <v>-1.7333100000000001E-3</v>
      </c>
    </row>
    <row r="1303" spans="2:8" x14ac:dyDescent="0.25">
      <c r="B1303" s="1">
        <v>167.136</v>
      </c>
      <c r="C1303" s="1">
        <v>-1.3728000000000001E-2</v>
      </c>
      <c r="D1303" s="1">
        <v>2.14598E-3</v>
      </c>
      <c r="E1303" s="1">
        <v>9.8034699999999999E-3</v>
      </c>
      <c r="F1303" s="1">
        <v>5.3348599999999999E-5</v>
      </c>
      <c r="G1303" s="1">
        <v>-1.7102900000000001E-6</v>
      </c>
      <c r="H1303" s="1">
        <v>-1.7268699999999999E-3</v>
      </c>
    </row>
    <row r="1304" spans="2:8" x14ac:dyDescent="0.25">
      <c r="B1304" s="1">
        <v>169.20099999999999</v>
      </c>
      <c r="C1304" s="1">
        <v>-1.35061E-2</v>
      </c>
      <c r="D1304" s="1">
        <v>2.1091500000000002E-3</v>
      </c>
      <c r="E1304" s="1">
        <v>9.6081199999999995E-3</v>
      </c>
      <c r="F1304" s="1">
        <v>6.9183400000000006E-5</v>
      </c>
      <c r="G1304" s="1">
        <v>-1.2942499999999999E-6</v>
      </c>
      <c r="H1304" s="1">
        <v>-1.72091E-3</v>
      </c>
    </row>
    <row r="1305" spans="2:8" x14ac:dyDescent="0.25">
      <c r="B1305" s="1">
        <v>171.26900000000001</v>
      </c>
      <c r="C1305" s="1">
        <v>-1.3285099999999999E-2</v>
      </c>
      <c r="D1305" s="1">
        <v>2.0727100000000002E-3</v>
      </c>
      <c r="E1305" s="1">
        <v>9.4287999999999993E-3</v>
      </c>
      <c r="F1305" s="1">
        <v>6.7997700000000001E-5</v>
      </c>
      <c r="G1305" s="1">
        <v>-7.6408099999999997E-8</v>
      </c>
      <c r="H1305" s="1">
        <v>-1.71569E-3</v>
      </c>
    </row>
    <row r="1306" spans="2:8" x14ac:dyDescent="0.25">
      <c r="B1306" s="1">
        <v>173.34</v>
      </c>
      <c r="C1306" s="1">
        <v>-1.30673E-2</v>
      </c>
      <c r="D1306" s="1">
        <v>2.0369099999999998E-3</v>
      </c>
      <c r="E1306" s="1">
        <v>9.2668899999999998E-3</v>
      </c>
      <c r="F1306" s="1">
        <v>5.1168400000000003E-5</v>
      </c>
      <c r="G1306" s="1">
        <v>1.0745499999999999E-6</v>
      </c>
      <c r="H1306" s="1">
        <v>-1.7112900000000001E-3</v>
      </c>
    </row>
    <row r="1307" spans="2:8" x14ac:dyDescent="0.25">
      <c r="B1307" s="1">
        <v>175.41499999999999</v>
      </c>
      <c r="C1307" s="1">
        <v>-1.2854300000000001E-2</v>
      </c>
      <c r="D1307" s="1">
        <v>2.0019199999999999E-3</v>
      </c>
      <c r="E1307" s="1">
        <v>9.1213000000000006E-3</v>
      </c>
      <c r="F1307" s="1">
        <v>2.21009E-5</v>
      </c>
      <c r="G1307" s="1">
        <v>1.3695500000000001E-6</v>
      </c>
      <c r="H1307" s="1">
        <v>-1.7076400000000001E-3</v>
      </c>
    </row>
    <row r="1308" spans="2:8" x14ac:dyDescent="0.25">
      <c r="B1308" s="1">
        <v>177.49199999999999</v>
      </c>
      <c r="C1308" s="1">
        <v>-1.26461E-2</v>
      </c>
      <c r="D1308" s="1">
        <v>1.9675500000000002E-3</v>
      </c>
      <c r="E1308" s="1">
        <v>8.9890200000000003E-3</v>
      </c>
      <c r="F1308" s="1">
        <v>-1.5768900000000001E-5</v>
      </c>
      <c r="G1308" s="1">
        <v>9.4061400000000001E-7</v>
      </c>
      <c r="H1308" s="1">
        <v>-1.7044E-3</v>
      </c>
    </row>
    <row r="1309" spans="2:8" x14ac:dyDescent="0.25">
      <c r="B1309" s="1">
        <v>179.572</v>
      </c>
      <c r="C1309" s="1">
        <v>-1.24414E-2</v>
      </c>
      <c r="D1309" s="1">
        <v>1.9334199999999999E-3</v>
      </c>
      <c r="E1309" s="1">
        <v>8.8663400000000003E-3</v>
      </c>
      <c r="F1309" s="1">
        <v>-6.0018600000000002E-5</v>
      </c>
      <c r="G1309" s="1">
        <v>4.8066300000000005E-7</v>
      </c>
      <c r="H1309" s="1">
        <v>-1.7011400000000001E-3</v>
      </c>
    </row>
    <row r="1310" spans="2:8" x14ac:dyDescent="0.25">
      <c r="B1310" s="1">
        <v>181.654</v>
      </c>
      <c r="C1310" s="1">
        <v>-1.2238300000000001E-2</v>
      </c>
      <c r="D1310" s="1">
        <v>1.89927E-3</v>
      </c>
      <c r="E1310" s="1">
        <v>8.74985E-3</v>
      </c>
      <c r="F1310" s="1">
        <v>-1.0903099999999999E-4</v>
      </c>
      <c r="G1310" s="1">
        <v>2.8198100000000002E-7</v>
      </c>
      <c r="H1310" s="1">
        <v>-1.6979E-3</v>
      </c>
    </row>
    <row r="1311" spans="2:8" x14ac:dyDescent="0.25">
      <c r="B1311" s="1">
        <v>183.739</v>
      </c>
      <c r="C1311" s="1">
        <v>-1.2035499999999999E-2</v>
      </c>
      <c r="D1311" s="1">
        <v>1.8650699999999999E-3</v>
      </c>
      <c r="E1311" s="1">
        <v>8.6361100000000007E-3</v>
      </c>
      <c r="F1311" s="1">
        <v>-1.6059000000000001E-4</v>
      </c>
      <c r="G1311" s="1">
        <v>1.9711800000000001E-7</v>
      </c>
      <c r="H1311" s="1">
        <v>-1.6947500000000001E-3</v>
      </c>
    </row>
    <row r="1312" spans="2:8" x14ac:dyDescent="0.25">
      <c r="B1312" s="1">
        <v>185.82499999999999</v>
      </c>
      <c r="C1312" s="1">
        <v>-1.18323E-2</v>
      </c>
      <c r="D1312" s="1">
        <v>1.83084E-3</v>
      </c>
      <c r="E1312" s="1">
        <v>8.5214000000000002E-3</v>
      </c>
      <c r="F1312" s="1">
        <v>-2.11461E-4</v>
      </c>
      <c r="G1312" s="1">
        <v>1.57968E-7</v>
      </c>
      <c r="H1312" s="1">
        <v>-1.6913399999999999E-3</v>
      </c>
    </row>
    <row r="1313" spans="2:8" x14ac:dyDescent="0.25">
      <c r="B1313" s="1">
        <v>187.91499999999999</v>
      </c>
      <c r="C1313" s="1">
        <v>-1.1628100000000001E-2</v>
      </c>
      <c r="D1313" s="1">
        <v>1.79659E-3</v>
      </c>
      <c r="E1313" s="1">
        <v>8.4023499999999994E-3</v>
      </c>
      <c r="F1313" s="1">
        <v>-2.5857000000000001E-4</v>
      </c>
      <c r="G1313" s="1">
        <v>4.1245600000000002E-7</v>
      </c>
      <c r="H1313" s="1">
        <v>-1.68731E-3</v>
      </c>
    </row>
    <row r="1314" spans="2:8" x14ac:dyDescent="0.25">
      <c r="B1314" s="1">
        <v>190.006</v>
      </c>
      <c r="C1314" s="1">
        <v>-1.14235E-2</v>
      </c>
      <c r="D1314" s="1">
        <v>1.76238E-3</v>
      </c>
      <c r="E1314" s="1">
        <v>8.2769899999999997E-3</v>
      </c>
      <c r="F1314" s="1">
        <v>-2.9971499999999999E-4</v>
      </c>
      <c r="G1314" s="1">
        <v>1.1713600000000001E-6</v>
      </c>
      <c r="H1314" s="1">
        <v>-1.6826300000000001E-3</v>
      </c>
    </row>
    <row r="1315" spans="2:8" x14ac:dyDescent="0.25">
      <c r="B1315" s="1">
        <v>192.1</v>
      </c>
      <c r="C1315" s="1">
        <v>-1.12199E-2</v>
      </c>
      <c r="D1315" s="1">
        <v>1.72842E-3</v>
      </c>
      <c r="E1315" s="1">
        <v>8.1446699999999997E-3</v>
      </c>
      <c r="F1315" s="1">
        <v>-3.3308300000000002E-4</v>
      </c>
      <c r="G1315" s="1">
        <v>2.4594699999999999E-6</v>
      </c>
      <c r="H1315" s="1">
        <v>-1.67746E-3</v>
      </c>
    </row>
    <row r="1316" spans="2:8" x14ac:dyDescent="0.25">
      <c r="B1316" s="1">
        <v>194.19499999999999</v>
      </c>
      <c r="C1316" s="1">
        <v>-1.10201E-2</v>
      </c>
      <c r="D1316" s="1">
        <v>1.6950999999999999E-3</v>
      </c>
      <c r="E1316" s="1">
        <v>8.0055200000000003E-3</v>
      </c>
      <c r="F1316" s="1">
        <v>-3.5656199999999999E-4</v>
      </c>
      <c r="G1316" s="1">
        <v>4.0787499999999997E-6</v>
      </c>
      <c r="H1316" s="1">
        <v>-1.67194E-3</v>
      </c>
    </row>
    <row r="1317" spans="2:8" x14ac:dyDescent="0.25">
      <c r="B1317" s="1">
        <v>196.291</v>
      </c>
      <c r="C1317" s="1">
        <v>-1.0827099999999999E-2</v>
      </c>
      <c r="D1317" s="1">
        <v>1.6629100000000001E-3</v>
      </c>
      <c r="E1317" s="1">
        <v>7.8601999999999995E-3</v>
      </c>
      <c r="F1317" s="1">
        <v>-3.6776199999999999E-4</v>
      </c>
      <c r="G1317" s="1">
        <v>5.6682899999999997E-6</v>
      </c>
      <c r="H1317" s="1">
        <v>-1.6660500000000001E-3</v>
      </c>
    </row>
    <row r="1318" spans="2:8" x14ac:dyDescent="0.25">
      <c r="B1318" s="1">
        <v>198.39</v>
      </c>
      <c r="C1318" s="1">
        <v>-1.06438E-2</v>
      </c>
      <c r="D1318" s="1">
        <v>1.63225E-3</v>
      </c>
      <c r="E1318" s="1">
        <v>7.7102000000000004E-3</v>
      </c>
      <c r="F1318" s="1">
        <v>-3.6513300000000002E-4</v>
      </c>
      <c r="G1318" s="1">
        <v>6.7403100000000004E-6</v>
      </c>
      <c r="H1318" s="1">
        <v>-1.6597300000000001E-3</v>
      </c>
    </row>
    <row r="1319" spans="2:8" x14ac:dyDescent="0.25">
      <c r="B1319" s="1">
        <v>200.49</v>
      </c>
      <c r="C1319" s="1">
        <v>-1.0471899999999999E-2</v>
      </c>
      <c r="D1319" s="1">
        <v>1.6032399999999999E-3</v>
      </c>
      <c r="E1319" s="1">
        <v>7.5582599999999998E-3</v>
      </c>
      <c r="F1319" s="1">
        <v>-3.4931399999999998E-4</v>
      </c>
      <c r="G1319" s="1">
        <v>6.5887899999999996E-6</v>
      </c>
      <c r="H1319" s="1">
        <v>-1.65314E-3</v>
      </c>
    </row>
    <row r="1320" spans="2:8" x14ac:dyDescent="0.25">
      <c r="B1320" s="1">
        <v>202.59200000000001</v>
      </c>
      <c r="C1320" s="1">
        <v>-1.0311000000000001E-2</v>
      </c>
      <c r="D1320" s="1">
        <v>1.57559E-3</v>
      </c>
      <c r="E1320" s="1">
        <v>7.4077700000000002E-3</v>
      </c>
      <c r="F1320" s="1">
        <v>-3.2379300000000001E-4</v>
      </c>
      <c r="G1320" s="1">
        <v>5.0235600000000002E-6</v>
      </c>
      <c r="H1320" s="1">
        <v>-1.6464100000000001E-3</v>
      </c>
    </row>
    <row r="1321" spans="2:8" x14ac:dyDescent="0.25">
      <c r="B1321" s="1">
        <v>204.69499999999999</v>
      </c>
      <c r="C1321" s="1">
        <v>-1.01586E-2</v>
      </c>
      <c r="D1321" s="1">
        <v>1.5487400000000001E-3</v>
      </c>
      <c r="E1321" s="1">
        <v>7.2616499999999997E-3</v>
      </c>
      <c r="F1321" s="1">
        <v>-2.9411500000000001E-4</v>
      </c>
      <c r="G1321" s="1">
        <v>2.8798299999999999E-6</v>
      </c>
      <c r="H1321" s="1">
        <v>-1.63948E-3</v>
      </c>
    </row>
    <row r="1322" spans="2:8" x14ac:dyDescent="0.25">
      <c r="B1322" s="1">
        <v>206.80099999999999</v>
      </c>
      <c r="C1322" s="1">
        <v>-1.0011600000000001E-2</v>
      </c>
      <c r="D1322" s="1">
        <v>1.52228E-3</v>
      </c>
      <c r="E1322" s="1">
        <v>7.1218100000000001E-3</v>
      </c>
      <c r="F1322" s="1">
        <v>-2.6563299999999998E-4</v>
      </c>
      <c r="G1322" s="1">
        <v>9.64675E-7</v>
      </c>
      <c r="H1322" s="1">
        <v>-1.6321599999999999E-3</v>
      </c>
    </row>
    <row r="1323" spans="2:8" x14ac:dyDescent="0.25">
      <c r="B1323" s="1">
        <v>208.90700000000001</v>
      </c>
      <c r="C1323" s="1">
        <v>-9.8669699999999992E-3</v>
      </c>
      <c r="D1323" s="1">
        <v>1.4961900000000001E-3</v>
      </c>
      <c r="E1323" s="1">
        <v>6.9894500000000004E-3</v>
      </c>
      <c r="F1323" s="1">
        <v>-2.4234899999999999E-4</v>
      </c>
      <c r="G1323" s="1">
        <v>-6.9197599999999998E-7</v>
      </c>
      <c r="H1323" s="1">
        <v>-1.62437E-3</v>
      </c>
    </row>
    <row r="1324" spans="2:8" x14ac:dyDescent="0.25">
      <c r="B1324" s="1">
        <v>211.01400000000001</v>
      </c>
      <c r="C1324" s="1">
        <v>-9.7222599999999999E-3</v>
      </c>
      <c r="D1324" s="1">
        <v>1.47043E-3</v>
      </c>
      <c r="E1324" s="1">
        <v>6.8654900000000001E-3</v>
      </c>
      <c r="F1324" s="1">
        <v>-2.27822E-4</v>
      </c>
      <c r="G1324" s="1">
        <v>-2.11509E-6</v>
      </c>
      <c r="H1324" s="1">
        <v>-1.6162699999999999E-3</v>
      </c>
    </row>
    <row r="1325" spans="2:8" x14ac:dyDescent="0.25">
      <c r="B1325" s="1">
        <v>213.12200000000001</v>
      </c>
      <c r="C1325" s="1">
        <v>-9.5753100000000001E-3</v>
      </c>
      <c r="D1325" s="1">
        <v>1.44473E-3</v>
      </c>
      <c r="E1325" s="1">
        <v>6.7505400000000002E-3</v>
      </c>
      <c r="F1325" s="1">
        <v>-2.2524700000000001E-4</v>
      </c>
      <c r="G1325" s="1">
        <v>-2.8518700000000002E-6</v>
      </c>
      <c r="H1325" s="1">
        <v>-1.6081400000000001E-3</v>
      </c>
    </row>
    <row r="1326" spans="2:8" x14ac:dyDescent="0.25">
      <c r="B1326" s="1">
        <v>215.232</v>
      </c>
      <c r="C1326" s="1">
        <v>-9.4247500000000008E-3</v>
      </c>
      <c r="D1326" s="1">
        <v>1.41866E-3</v>
      </c>
      <c r="E1326" s="1">
        <v>6.64424E-3</v>
      </c>
      <c r="F1326" s="1">
        <v>-2.35498E-4</v>
      </c>
      <c r="G1326" s="1">
        <v>-2.7182699999999999E-6</v>
      </c>
      <c r="H1326" s="1">
        <v>-1.6000599999999999E-3</v>
      </c>
    </row>
    <row r="1327" spans="2:8" x14ac:dyDescent="0.25">
      <c r="B1327" s="1">
        <v>217.34299999999999</v>
      </c>
      <c r="C1327" s="1">
        <v>-9.2704199999999997E-3</v>
      </c>
      <c r="D1327" s="1">
        <v>1.39192E-3</v>
      </c>
      <c r="E1327" s="1">
        <v>6.5451600000000004E-3</v>
      </c>
      <c r="F1327" s="1">
        <v>-2.5638899999999999E-4</v>
      </c>
      <c r="G1327" s="1">
        <v>-2.1303000000000002E-6</v>
      </c>
      <c r="H1327" s="1">
        <v>-1.5918499999999999E-3</v>
      </c>
    </row>
    <row r="1328" spans="2:8" x14ac:dyDescent="0.25">
      <c r="B1328" s="1">
        <v>219.45599999999999</v>
      </c>
      <c r="C1328" s="1">
        <v>-9.1132000000000001E-3</v>
      </c>
      <c r="D1328" s="1">
        <v>1.36443E-3</v>
      </c>
      <c r="E1328" s="1">
        <v>6.4516499999999997E-3</v>
      </c>
      <c r="F1328" s="1">
        <v>-2.8474000000000001E-4</v>
      </c>
      <c r="G1328" s="1">
        <v>-1.40409E-6</v>
      </c>
      <c r="H1328" s="1">
        <v>-1.58326E-3</v>
      </c>
    </row>
    <row r="1329" spans="2:8" x14ac:dyDescent="0.25">
      <c r="B1329" s="1">
        <v>221.56800000000001</v>
      </c>
      <c r="C1329" s="1">
        <v>-8.9544900000000007E-3</v>
      </c>
      <c r="D1329" s="1">
        <v>1.33639E-3</v>
      </c>
      <c r="E1329" s="1">
        <v>6.3627900000000001E-3</v>
      </c>
      <c r="F1329" s="1">
        <v>-3.18332E-4</v>
      </c>
      <c r="G1329" s="1">
        <v>-5.3970500000000003E-7</v>
      </c>
      <c r="H1329" s="1">
        <v>-1.57417E-3</v>
      </c>
    </row>
    <row r="1330" spans="2:8" x14ac:dyDescent="0.25">
      <c r="B1330" s="1">
        <v>223.68199999999999</v>
      </c>
      <c r="C1330" s="1">
        <v>-8.7959600000000002E-3</v>
      </c>
      <c r="D1330" s="1">
        <v>1.3082199999999999E-3</v>
      </c>
      <c r="E1330" s="1">
        <v>6.2785999999999996E-3</v>
      </c>
      <c r="F1330" s="1">
        <v>-3.5590200000000001E-4</v>
      </c>
      <c r="G1330" s="1">
        <v>4.2035799999999998E-7</v>
      </c>
      <c r="H1330" s="1">
        <v>-1.5646200000000001E-3</v>
      </c>
    </row>
    <row r="1331" spans="2:8" x14ac:dyDescent="0.25">
      <c r="B1331" s="1">
        <v>225.797</v>
      </c>
      <c r="C1331" s="1">
        <v>-8.6391899999999997E-3</v>
      </c>
      <c r="D1331" s="1">
        <v>1.2803700000000001E-3</v>
      </c>
      <c r="E1331" s="1">
        <v>6.1996400000000002E-3</v>
      </c>
      <c r="F1331" s="1">
        <v>-3.96625E-4</v>
      </c>
      <c r="G1331" s="1">
        <v>1.14753E-6</v>
      </c>
      <c r="H1331" s="1">
        <v>-1.5546500000000001E-3</v>
      </c>
    </row>
    <row r="1332" spans="2:8" x14ac:dyDescent="0.25">
      <c r="B1332" s="1">
        <v>227.91300000000001</v>
      </c>
      <c r="C1332" s="1">
        <v>-8.4852799999999996E-3</v>
      </c>
      <c r="D1332" s="1">
        <v>1.2532299999999999E-3</v>
      </c>
      <c r="E1332" s="1">
        <v>6.1265900000000003E-3</v>
      </c>
      <c r="F1332" s="1">
        <v>-4.4021700000000002E-4</v>
      </c>
      <c r="G1332" s="1">
        <v>1.3429000000000001E-6</v>
      </c>
      <c r="H1332" s="1">
        <v>-1.5443200000000001E-3</v>
      </c>
    </row>
    <row r="1333" spans="2:8" x14ac:dyDescent="0.25">
      <c r="B1333" s="1">
        <v>230.029</v>
      </c>
      <c r="C1333" s="1">
        <v>-8.3346800000000006E-3</v>
      </c>
      <c r="D1333" s="1">
        <v>1.22703E-3</v>
      </c>
      <c r="E1333" s="1">
        <v>6.0599900000000003E-3</v>
      </c>
      <c r="F1333" s="1">
        <v>-4.8730300000000002E-4</v>
      </c>
      <c r="G1333" s="1">
        <v>1.1835899999999999E-6</v>
      </c>
      <c r="H1333" s="1">
        <v>-1.53378E-3</v>
      </c>
    </row>
    <row r="1334" spans="2:8" x14ac:dyDescent="0.25">
      <c r="B1334" s="1">
        <v>232.14599999999999</v>
      </c>
      <c r="C1334" s="1">
        <v>-8.1872999999999998E-3</v>
      </c>
      <c r="D1334" s="1">
        <v>1.20174E-3</v>
      </c>
      <c r="E1334" s="1">
        <v>6.0001200000000003E-3</v>
      </c>
      <c r="F1334" s="1">
        <v>-5.3893699999999997E-4</v>
      </c>
      <c r="G1334" s="1">
        <v>1.2094499999999999E-6</v>
      </c>
      <c r="H1334" s="1">
        <v>-1.52316E-3</v>
      </c>
    </row>
    <row r="1335" spans="2:8" x14ac:dyDescent="0.25">
      <c r="B1335" s="1">
        <v>234.26400000000001</v>
      </c>
      <c r="C1335" s="1">
        <v>-8.0432300000000002E-3</v>
      </c>
      <c r="D1335" s="1">
        <v>1.1772799999999999E-3</v>
      </c>
      <c r="E1335" s="1">
        <v>5.9469700000000002E-3</v>
      </c>
      <c r="F1335" s="1">
        <v>-5.9541499999999996E-4</v>
      </c>
      <c r="G1335" s="1">
        <v>1.70714E-6</v>
      </c>
      <c r="H1335" s="1">
        <v>-1.5126899999999999E-3</v>
      </c>
    </row>
    <row r="1336" spans="2:8" x14ac:dyDescent="0.25">
      <c r="B1336" s="1">
        <v>236.38200000000001</v>
      </c>
      <c r="C1336" s="1">
        <v>-7.9031099999999996E-3</v>
      </c>
      <c r="D1336" s="1">
        <v>1.1535899999999999E-3</v>
      </c>
      <c r="E1336" s="1">
        <v>5.8997700000000004E-3</v>
      </c>
      <c r="F1336" s="1">
        <v>-6.5528400000000001E-4</v>
      </c>
      <c r="G1336" s="1">
        <v>2.4411400000000001E-6</v>
      </c>
      <c r="H1336" s="1">
        <v>-1.5026E-3</v>
      </c>
    </row>
    <row r="1337" spans="2:8" x14ac:dyDescent="0.25">
      <c r="B1337" s="1">
        <v>238.50200000000001</v>
      </c>
      <c r="C1337" s="1">
        <v>-7.7677700000000002E-3</v>
      </c>
      <c r="D1337" s="1">
        <v>1.13071E-3</v>
      </c>
      <c r="E1337" s="1">
        <v>5.8562700000000002E-3</v>
      </c>
      <c r="F1337" s="1">
        <v>-7.1504100000000003E-4</v>
      </c>
      <c r="G1337" s="1">
        <v>2.9002300000000002E-6</v>
      </c>
      <c r="H1337" s="1">
        <v>-1.49292E-3</v>
      </c>
    </row>
    <row r="1338" spans="2:8" x14ac:dyDescent="0.25">
      <c r="B1338" s="1">
        <v>240.62100000000001</v>
      </c>
      <c r="C1338" s="1">
        <v>-7.6374099999999999E-3</v>
      </c>
      <c r="D1338" s="1">
        <v>1.1087E-3</v>
      </c>
      <c r="E1338" s="1">
        <v>5.8127300000000003E-3</v>
      </c>
      <c r="F1338" s="1">
        <v>-7.6990299999999995E-4</v>
      </c>
      <c r="G1338" s="1">
        <v>2.5387400000000002E-6</v>
      </c>
      <c r="H1338" s="1">
        <v>-1.4833400000000001E-3</v>
      </c>
    </row>
    <row r="1339" spans="2:8" x14ac:dyDescent="0.25">
      <c r="B1339" s="1">
        <v>242.74199999999999</v>
      </c>
      <c r="C1339" s="1">
        <v>-7.5109399999999998E-3</v>
      </c>
      <c r="D1339" s="1">
        <v>1.08742E-3</v>
      </c>
      <c r="E1339" s="1">
        <v>5.76488E-3</v>
      </c>
      <c r="F1339" s="1">
        <v>-8.1594100000000004E-4</v>
      </c>
      <c r="G1339" s="1">
        <v>1.1985099999999999E-6</v>
      </c>
      <c r="H1339" s="1">
        <v>-1.47338E-3</v>
      </c>
    </row>
    <row r="1340" spans="2:8" x14ac:dyDescent="0.25">
      <c r="B1340" s="1">
        <v>244.863</v>
      </c>
      <c r="C1340" s="1">
        <v>-7.3859599999999996E-3</v>
      </c>
      <c r="D1340" s="1">
        <v>1.0665200000000001E-3</v>
      </c>
      <c r="E1340" s="1">
        <v>5.7095000000000002E-3</v>
      </c>
      <c r="F1340" s="1">
        <v>-8.5215099999999999E-4</v>
      </c>
      <c r="G1340" s="1">
        <v>-6.27426E-7</v>
      </c>
      <c r="H1340" s="1">
        <v>-1.46272E-3</v>
      </c>
    </row>
    <row r="1341" spans="2:8" x14ac:dyDescent="0.25">
      <c r="B1341" s="1">
        <v>246.98400000000001</v>
      </c>
      <c r="C1341" s="1">
        <v>-7.2595300000000001E-3</v>
      </c>
      <c r="D1341" s="1">
        <v>1.04557E-3</v>
      </c>
      <c r="E1341" s="1">
        <v>5.6454499999999998E-3</v>
      </c>
      <c r="F1341" s="1">
        <v>-8.8064899999999995E-4</v>
      </c>
      <c r="G1341" s="1">
        <v>-2.1149700000000001E-6</v>
      </c>
      <c r="H1341" s="1">
        <v>-1.4512800000000001E-3</v>
      </c>
    </row>
    <row r="1342" spans="2:8" x14ac:dyDescent="0.25">
      <c r="B1342" s="1">
        <v>249.10599999999999</v>
      </c>
      <c r="C1342" s="1">
        <v>-7.1295000000000004E-3</v>
      </c>
      <c r="D1342" s="1">
        <v>1.02435E-3</v>
      </c>
      <c r="E1342" s="1">
        <v>5.5735899999999998E-3</v>
      </c>
      <c r="F1342" s="1">
        <v>-9.0506600000000005E-4</v>
      </c>
      <c r="G1342" s="1">
        <v>-2.6367699999999999E-6</v>
      </c>
      <c r="H1342" s="1">
        <v>-1.4392700000000001E-3</v>
      </c>
    </row>
    <row r="1343" spans="2:8" x14ac:dyDescent="0.25">
      <c r="B1343" s="1">
        <v>251.22900000000001</v>
      </c>
      <c r="C1343" s="1">
        <v>-6.9952699999999996E-3</v>
      </c>
      <c r="D1343" s="1">
        <v>1.00293E-3</v>
      </c>
      <c r="E1343" s="1">
        <v>5.4958100000000003E-3</v>
      </c>
      <c r="F1343" s="1">
        <v>-9.2832500000000003E-4</v>
      </c>
      <c r="G1343" s="1">
        <v>-2.1683800000000002E-6</v>
      </c>
      <c r="H1343" s="1">
        <v>-1.42702E-3</v>
      </c>
    </row>
    <row r="1344" spans="2:8" x14ac:dyDescent="0.25">
      <c r="B1344" s="1">
        <v>253.351</v>
      </c>
      <c r="C1344" s="1">
        <v>-6.8577999999999998E-3</v>
      </c>
      <c r="D1344" s="1">
        <v>9.8162599999999998E-4</v>
      </c>
      <c r="E1344" s="1">
        <v>5.4141500000000004E-3</v>
      </c>
      <c r="F1344" s="1">
        <v>-9.5146E-4</v>
      </c>
      <c r="G1344" s="1">
        <v>-1.2067799999999999E-6</v>
      </c>
      <c r="H1344" s="1">
        <v>-1.4147000000000001E-3</v>
      </c>
    </row>
    <row r="1345" spans="2:8" x14ac:dyDescent="0.25">
      <c r="B1345" s="1">
        <v>255.47499999999999</v>
      </c>
      <c r="C1345" s="1">
        <v>-6.7189800000000003E-3</v>
      </c>
      <c r="D1345" s="1">
        <v>9.6079399999999995E-4</v>
      </c>
      <c r="E1345" s="1">
        <v>5.3304299999999997E-3</v>
      </c>
      <c r="F1345" s="1">
        <v>-9.7413399999999998E-4</v>
      </c>
      <c r="G1345" s="1">
        <v>-3.5326199999999998E-7</v>
      </c>
      <c r="H1345" s="1">
        <v>-1.4022399999999999E-3</v>
      </c>
    </row>
    <row r="1346" spans="2:8" x14ac:dyDescent="0.25">
      <c r="B1346" s="1">
        <v>257.59800000000001</v>
      </c>
      <c r="C1346" s="1">
        <v>-6.5806500000000004E-3</v>
      </c>
      <c r="D1346" s="1">
        <v>9.40587E-4</v>
      </c>
      <c r="E1346" s="1">
        <v>5.2464699999999996E-3</v>
      </c>
      <c r="F1346" s="1">
        <v>-9.9612799999999999E-4</v>
      </c>
      <c r="G1346" s="1">
        <v>1.7564899999999999E-7</v>
      </c>
      <c r="H1346" s="1">
        <v>-1.38955E-3</v>
      </c>
    </row>
    <row r="1347" spans="2:8" x14ac:dyDescent="0.25">
      <c r="B1347" s="1">
        <v>259.72300000000001</v>
      </c>
      <c r="C1347" s="1">
        <v>-6.4441699999999999E-3</v>
      </c>
      <c r="D1347" s="1">
        <v>9.2088700000000001E-4</v>
      </c>
      <c r="E1347" s="1">
        <v>5.1639099999999999E-3</v>
      </c>
      <c r="F1347" s="1">
        <v>-1.0178699999999999E-3</v>
      </c>
      <c r="G1347" s="1">
        <v>5.7200100000000001E-7</v>
      </c>
      <c r="H1347" s="1">
        <v>-1.37666E-3</v>
      </c>
    </row>
    <row r="1348" spans="2:8" x14ac:dyDescent="0.25">
      <c r="B1348" s="1">
        <v>261.84699999999998</v>
      </c>
      <c r="C1348" s="1">
        <v>-6.31038E-3</v>
      </c>
      <c r="D1348" s="1">
        <v>9.0151000000000001E-4</v>
      </c>
      <c r="E1348" s="1">
        <v>5.0838000000000003E-3</v>
      </c>
      <c r="F1348" s="1">
        <v>-1.03944E-3</v>
      </c>
      <c r="G1348" s="1">
        <v>8.4002499999999995E-7</v>
      </c>
      <c r="H1348" s="1">
        <v>-1.36366E-3</v>
      </c>
    </row>
    <row r="1349" spans="2:8" x14ac:dyDescent="0.25">
      <c r="B1349" s="1">
        <v>263.971</v>
      </c>
      <c r="C1349" s="1">
        <v>-6.1796799999999999E-3</v>
      </c>
      <c r="D1349" s="1">
        <v>8.8235600000000005E-4</v>
      </c>
      <c r="E1349" s="1">
        <v>5.0061200000000002E-3</v>
      </c>
      <c r="F1349" s="1">
        <v>-1.0601300000000001E-3</v>
      </c>
      <c r="G1349" s="1">
        <v>8.2132599999999995E-7</v>
      </c>
      <c r="H1349" s="1">
        <v>-1.35052E-3</v>
      </c>
    </row>
    <row r="1350" spans="2:8" x14ac:dyDescent="0.25">
      <c r="B1350" s="1">
        <v>266.096</v>
      </c>
      <c r="C1350" s="1">
        <v>-6.05187E-3</v>
      </c>
      <c r="D1350" s="1">
        <v>8.6339999999999995E-4</v>
      </c>
      <c r="E1350" s="1">
        <v>4.9298700000000003E-3</v>
      </c>
      <c r="F1350" s="1">
        <v>-1.0790400000000001E-3</v>
      </c>
      <c r="G1350" s="1">
        <v>5.7527499999999997E-7</v>
      </c>
      <c r="H1350" s="1">
        <v>-1.3370700000000001E-3</v>
      </c>
    </row>
    <row r="1351" spans="2:8" x14ac:dyDescent="0.25">
      <c r="B1351" s="1">
        <v>268.22199999999998</v>
      </c>
      <c r="C1351" s="1">
        <v>-5.9263299999999996E-3</v>
      </c>
      <c r="D1351" s="1">
        <v>8.4467799999999997E-4</v>
      </c>
      <c r="E1351" s="1">
        <v>4.8537900000000002E-3</v>
      </c>
      <c r="F1351" s="1">
        <v>-1.0955699999999999E-3</v>
      </c>
      <c r="G1351" s="1">
        <v>2.6405799999999999E-7</v>
      </c>
      <c r="H1351" s="1">
        <v>-1.32317E-3</v>
      </c>
    </row>
    <row r="1352" spans="2:8" x14ac:dyDescent="0.25">
      <c r="B1352" s="1">
        <v>270.34800000000001</v>
      </c>
      <c r="C1352" s="1">
        <v>-5.8022999999999998E-3</v>
      </c>
      <c r="D1352" s="1">
        <v>8.26212E-4</v>
      </c>
      <c r="E1352" s="1">
        <v>4.7766900000000001E-3</v>
      </c>
      <c r="F1352" s="1">
        <v>-1.10943E-3</v>
      </c>
      <c r="G1352" s="1">
        <v>2.05677E-8</v>
      </c>
      <c r="H1352" s="1">
        <v>-1.3087999999999999E-3</v>
      </c>
    </row>
    <row r="1353" spans="2:8" x14ac:dyDescent="0.25">
      <c r="B1353" s="1">
        <v>272.47399999999999</v>
      </c>
      <c r="C1353" s="1">
        <v>-5.6790299999999998E-3</v>
      </c>
      <c r="D1353" s="1">
        <v>8.0794799999999996E-4</v>
      </c>
      <c r="E1353" s="1">
        <v>4.6975999999999997E-3</v>
      </c>
      <c r="F1353" s="1">
        <v>-1.12035E-3</v>
      </c>
      <c r="G1353" s="1">
        <v>-8.3169400000000004E-8</v>
      </c>
      <c r="H1353" s="1">
        <v>-1.2939099999999999E-3</v>
      </c>
    </row>
    <row r="1354" spans="2:8" x14ac:dyDescent="0.25">
      <c r="B1354" s="1">
        <v>274.60000000000002</v>
      </c>
      <c r="C1354" s="1">
        <v>-5.5559900000000002E-3</v>
      </c>
      <c r="D1354" s="1">
        <v>7.8978499999999999E-4</v>
      </c>
      <c r="E1354" s="1">
        <v>4.6159900000000004E-3</v>
      </c>
      <c r="F1354" s="1">
        <v>-1.12817E-3</v>
      </c>
      <c r="G1354" s="1">
        <v>-2.4529199999999998E-8</v>
      </c>
      <c r="H1354" s="1">
        <v>-1.27841E-3</v>
      </c>
    </row>
    <row r="1355" spans="2:8" x14ac:dyDescent="0.25">
      <c r="B1355" s="1">
        <v>276.72699999999998</v>
      </c>
      <c r="C1355" s="1">
        <v>-5.4329799999999996E-3</v>
      </c>
      <c r="D1355" s="1">
        <v>7.7165899999999995E-4</v>
      </c>
      <c r="E1355" s="1">
        <v>4.5321299999999997E-3</v>
      </c>
      <c r="F1355" s="1">
        <v>-1.1334699999999999E-3</v>
      </c>
      <c r="G1355" s="1">
        <v>3.0273099999999999E-7</v>
      </c>
      <c r="H1355" s="1">
        <v>-1.2623700000000001E-3</v>
      </c>
    </row>
    <row r="1356" spans="2:8" x14ac:dyDescent="0.25">
      <c r="B1356" s="1">
        <v>278.85300000000001</v>
      </c>
      <c r="C1356" s="1">
        <v>-5.3102999999999996E-3</v>
      </c>
      <c r="D1356" s="1">
        <v>7.5360300000000004E-4</v>
      </c>
      <c r="E1356" s="1">
        <v>4.4469499999999999E-3</v>
      </c>
      <c r="F1356" s="1">
        <v>-1.1370499999999999E-3</v>
      </c>
      <c r="G1356" s="1">
        <v>8.4943499999999998E-7</v>
      </c>
      <c r="H1356" s="1">
        <v>-1.24595E-3</v>
      </c>
    </row>
    <row r="1357" spans="2:8" x14ac:dyDescent="0.25">
      <c r="B1357" s="1">
        <v>280.98099999999999</v>
      </c>
      <c r="C1357" s="1">
        <v>-5.1885500000000001E-3</v>
      </c>
      <c r="D1357" s="1">
        <v>7.3571699999999999E-4</v>
      </c>
      <c r="E1357" s="1">
        <v>4.3615599999999996E-3</v>
      </c>
      <c r="F1357" s="1">
        <v>-1.1392399999999999E-3</v>
      </c>
      <c r="G1357" s="1">
        <v>1.20893E-6</v>
      </c>
      <c r="H1357" s="1">
        <v>-1.2293E-3</v>
      </c>
    </row>
    <row r="1358" spans="2:8" x14ac:dyDescent="0.25">
      <c r="B1358" s="1">
        <v>283.108</v>
      </c>
      <c r="C1358" s="1">
        <v>-5.0681700000000003E-3</v>
      </c>
      <c r="D1358" s="1">
        <v>7.1803700000000004E-4</v>
      </c>
      <c r="E1358" s="1">
        <v>4.2768399999999996E-3</v>
      </c>
      <c r="F1358" s="1">
        <v>-1.14025E-3</v>
      </c>
      <c r="G1358" s="1">
        <v>1.0712400000000001E-6</v>
      </c>
      <c r="H1358" s="1">
        <v>-1.21247E-3</v>
      </c>
    </row>
    <row r="1359" spans="2:8" x14ac:dyDescent="0.25">
      <c r="B1359" s="1">
        <v>285.23599999999999</v>
      </c>
      <c r="C1359" s="1">
        <v>-4.9490899999999997E-3</v>
      </c>
      <c r="D1359" s="1">
        <v>7.0051100000000002E-4</v>
      </c>
      <c r="E1359" s="1">
        <v>4.1932499999999999E-3</v>
      </c>
      <c r="F1359" s="1">
        <v>-1.14065E-3</v>
      </c>
      <c r="G1359" s="1">
        <v>5.9031000000000005E-7</v>
      </c>
      <c r="H1359" s="1">
        <v>-1.19539E-3</v>
      </c>
    </row>
    <row r="1360" spans="2:8" x14ac:dyDescent="0.25">
      <c r="B1360" s="1">
        <v>287.363</v>
      </c>
      <c r="C1360" s="1">
        <v>-4.8308800000000001E-3</v>
      </c>
      <c r="D1360" s="1">
        <v>6.8308099999999999E-4</v>
      </c>
      <c r="E1360" s="1">
        <v>4.1109800000000002E-3</v>
      </c>
      <c r="F1360" s="1">
        <v>-1.14131E-3</v>
      </c>
      <c r="G1360" s="1">
        <v>1.7172300000000001E-7</v>
      </c>
      <c r="H1360" s="1">
        <v>-1.17796E-3</v>
      </c>
    </row>
    <row r="1361" spans="2:8" x14ac:dyDescent="0.25">
      <c r="B1361" s="1">
        <v>289.49200000000002</v>
      </c>
      <c r="C1361" s="1">
        <v>-4.71317E-3</v>
      </c>
      <c r="D1361" s="1">
        <v>6.65764E-4</v>
      </c>
      <c r="E1361" s="1">
        <v>4.0302899999999997E-3</v>
      </c>
      <c r="F1361" s="1">
        <v>-1.1431600000000001E-3</v>
      </c>
      <c r="G1361" s="1">
        <v>9.4118699999999994E-8</v>
      </c>
      <c r="H1361" s="1">
        <v>-1.16018E-3</v>
      </c>
    </row>
    <row r="1362" spans="2:8" x14ac:dyDescent="0.25">
      <c r="B1362" s="1">
        <v>291.62</v>
      </c>
      <c r="C1362" s="1">
        <v>-4.5959900000000003E-3</v>
      </c>
      <c r="D1362" s="1">
        <v>6.4864199999999995E-4</v>
      </c>
      <c r="E1362" s="1">
        <v>3.9516600000000001E-3</v>
      </c>
      <c r="F1362" s="1">
        <v>-1.1468299999999999E-3</v>
      </c>
      <c r="G1362" s="1">
        <v>3.3946899999999998E-7</v>
      </c>
      <c r="H1362" s="1">
        <v>-1.14218E-3</v>
      </c>
    </row>
    <row r="1363" spans="2:8" x14ac:dyDescent="0.25">
      <c r="B1363" s="1">
        <v>293.74799999999999</v>
      </c>
      <c r="C1363" s="1">
        <v>-4.4797999999999999E-3</v>
      </c>
      <c r="D1363" s="1">
        <v>6.3181900000000004E-4</v>
      </c>
      <c r="E1363" s="1">
        <v>3.8756099999999998E-3</v>
      </c>
      <c r="F1363" s="1">
        <v>-1.15237E-3</v>
      </c>
      <c r="G1363" s="1">
        <v>6.4447700000000003E-7</v>
      </c>
      <c r="H1363" s="1">
        <v>-1.12411E-3</v>
      </c>
    </row>
    <row r="1364" spans="2:8" x14ac:dyDescent="0.25">
      <c r="B1364" s="1">
        <v>295.87599999999998</v>
      </c>
      <c r="C1364" s="1">
        <v>-4.3651999999999996E-3</v>
      </c>
      <c r="D1364" s="1">
        <v>6.1536200000000005E-4</v>
      </c>
      <c r="E1364" s="1">
        <v>3.80234E-3</v>
      </c>
      <c r="F1364" s="1">
        <v>-1.1592799999999999E-3</v>
      </c>
      <c r="G1364" s="1">
        <v>7.1785899999999997E-7</v>
      </c>
      <c r="H1364" s="1">
        <v>-1.1060600000000001E-3</v>
      </c>
    </row>
    <row r="1365" spans="2:8" x14ac:dyDescent="0.25">
      <c r="B1365" s="1">
        <v>298.005</v>
      </c>
      <c r="C1365" s="1">
        <v>-4.2524900000000003E-3</v>
      </c>
      <c r="D1365" s="1">
        <v>5.9925199999999999E-4</v>
      </c>
      <c r="E1365" s="1">
        <v>3.7315199999999999E-3</v>
      </c>
      <c r="F1365" s="1">
        <v>-1.1668399999999999E-3</v>
      </c>
      <c r="G1365" s="1">
        <v>5.40686E-7</v>
      </c>
      <c r="H1365" s="1">
        <v>-1.0880200000000001E-3</v>
      </c>
    </row>
    <row r="1366" spans="2:8" x14ac:dyDescent="0.25">
      <c r="B1366" s="1">
        <v>300.13400000000001</v>
      </c>
      <c r="C1366" s="1">
        <v>-4.14169E-3</v>
      </c>
      <c r="D1366" s="1">
        <v>5.8341299999999997E-4</v>
      </c>
      <c r="E1366" s="1">
        <v>3.66206E-3</v>
      </c>
      <c r="F1366" s="1">
        <v>-1.17403E-3</v>
      </c>
      <c r="G1366" s="1">
        <v>3.2145699999999999E-7</v>
      </c>
      <c r="H1366" s="1">
        <v>-1.06993E-3</v>
      </c>
    </row>
    <row r="1367" spans="2:8" x14ac:dyDescent="0.25">
      <c r="B1367" s="1">
        <v>302.26299999999998</v>
      </c>
      <c r="C1367" s="1">
        <v>-4.0326900000000002E-3</v>
      </c>
      <c r="D1367" s="1">
        <v>5.6777499999999996E-4</v>
      </c>
      <c r="E1367" s="1">
        <v>3.5923600000000002E-3</v>
      </c>
      <c r="F1367" s="1">
        <v>-1.1792599999999999E-3</v>
      </c>
      <c r="G1367" s="1">
        <v>2.20692E-7</v>
      </c>
      <c r="H1367" s="1">
        <v>-1.0516E-3</v>
      </c>
    </row>
    <row r="1368" spans="2:8" x14ac:dyDescent="0.25">
      <c r="B1368" s="1">
        <v>304.39299999999997</v>
      </c>
      <c r="C1368" s="1">
        <v>-3.9254399999999997E-3</v>
      </c>
      <c r="D1368" s="1">
        <v>5.5230600000000002E-4</v>
      </c>
      <c r="E1368" s="1">
        <v>3.5206299999999999E-3</v>
      </c>
      <c r="F1368" s="1">
        <v>-1.1806500000000001E-3</v>
      </c>
      <c r="G1368" s="1">
        <v>2.6955700000000001E-7</v>
      </c>
      <c r="H1368" s="1">
        <v>-1.0328799999999999E-3</v>
      </c>
    </row>
    <row r="1369" spans="2:8" x14ac:dyDescent="0.25">
      <c r="B1369" s="1">
        <v>306.52199999999999</v>
      </c>
      <c r="C1369" s="1">
        <v>-3.8200399999999998E-3</v>
      </c>
      <c r="D1369" s="1">
        <v>5.3701699999999998E-4</v>
      </c>
      <c r="E1369" s="1">
        <v>3.44539E-3</v>
      </c>
      <c r="F1369" s="1">
        <v>-1.1764200000000001E-3</v>
      </c>
      <c r="G1369" s="1">
        <v>3.4374799999999999E-7</v>
      </c>
      <c r="H1369" s="1">
        <v>-1.0137200000000001E-3</v>
      </c>
    </row>
    <row r="1370" spans="2:8" x14ac:dyDescent="0.25">
      <c r="B1370" s="1">
        <v>308.65100000000001</v>
      </c>
      <c r="C1370" s="1">
        <v>-3.7165499999999999E-3</v>
      </c>
      <c r="D1370" s="1">
        <v>5.2193300000000003E-4</v>
      </c>
      <c r="E1370" s="1">
        <v>3.3656900000000002E-3</v>
      </c>
      <c r="F1370" s="1">
        <v>-1.1654600000000001E-3</v>
      </c>
      <c r="G1370" s="1">
        <v>2.9381499999999999E-7</v>
      </c>
      <c r="H1370" s="1">
        <v>-9.9409499999999996E-4</v>
      </c>
    </row>
    <row r="1371" spans="2:8" x14ac:dyDescent="0.25">
      <c r="B1371" s="1">
        <v>310.78100000000001</v>
      </c>
      <c r="C1371" s="1">
        <v>-3.6149099999999998E-3</v>
      </c>
      <c r="D1371" s="1">
        <v>5.0703200000000003E-4</v>
      </c>
      <c r="E1371" s="1">
        <v>3.2813199999999999E-3</v>
      </c>
      <c r="F1371" s="1">
        <v>-1.1476500000000001E-3</v>
      </c>
      <c r="G1371" s="1">
        <v>2.0254299999999999E-7</v>
      </c>
      <c r="H1371" s="1">
        <v>-9.7400199999999996E-4</v>
      </c>
    </row>
    <row r="1372" spans="2:8" x14ac:dyDescent="0.25">
      <c r="B1372" s="1">
        <v>312.911</v>
      </c>
      <c r="C1372" s="1">
        <v>-3.5150300000000002E-3</v>
      </c>
      <c r="D1372" s="1">
        <v>4.9226800000000002E-4</v>
      </c>
      <c r="E1372" s="1">
        <v>3.1927499999999998E-3</v>
      </c>
      <c r="F1372" s="1">
        <v>-1.1237300000000001E-3</v>
      </c>
      <c r="G1372" s="1">
        <v>2.6588100000000002E-7</v>
      </c>
      <c r="H1372" s="1">
        <v>-9.5347699999999999E-4</v>
      </c>
    </row>
    <row r="1373" spans="2:8" x14ac:dyDescent="0.25">
      <c r="B1373" s="1">
        <v>315.04199999999997</v>
      </c>
      <c r="C1373" s="1">
        <v>-3.4169000000000001E-3</v>
      </c>
      <c r="D1373" s="1">
        <v>4.7764599999999997E-4</v>
      </c>
      <c r="E1373" s="1">
        <v>3.10093E-3</v>
      </c>
      <c r="F1373" s="1">
        <v>-1.09468E-3</v>
      </c>
      <c r="G1373" s="1">
        <v>4.4710399999999998E-7</v>
      </c>
      <c r="H1373" s="1">
        <v>-9.3255599999999997E-4</v>
      </c>
    </row>
    <row r="1374" spans="2:8" x14ac:dyDescent="0.25">
      <c r="B1374" s="1">
        <v>317.17200000000003</v>
      </c>
      <c r="C1374" s="1">
        <v>-3.3205700000000001E-3</v>
      </c>
      <c r="D1374" s="1">
        <v>4.63232E-4</v>
      </c>
      <c r="E1374" s="1">
        <v>3.0069599999999999E-3</v>
      </c>
      <c r="F1374" s="1">
        <v>-1.0614800000000001E-3</v>
      </c>
      <c r="G1374" s="1">
        <v>5.4836399999999997E-7</v>
      </c>
      <c r="H1374" s="1">
        <v>-9.1130699999999998E-4</v>
      </c>
    </row>
    <row r="1375" spans="2:8" x14ac:dyDescent="0.25">
      <c r="B1375" s="1">
        <v>319.30200000000002</v>
      </c>
      <c r="C1375" s="1">
        <v>-3.2259699999999999E-3</v>
      </c>
      <c r="D1375" s="1">
        <v>4.4910499999999999E-4</v>
      </c>
      <c r="E1375" s="1">
        <v>2.9119200000000001E-3</v>
      </c>
      <c r="F1375" s="1">
        <v>-1.0252600000000001E-3</v>
      </c>
      <c r="G1375" s="1">
        <v>4.6916099999999997E-7</v>
      </c>
      <c r="H1375" s="1">
        <v>-8.8973800000000005E-4</v>
      </c>
    </row>
    <row r="1376" spans="2:8" x14ac:dyDescent="0.25">
      <c r="B1376" s="1">
        <v>321.43299999999999</v>
      </c>
      <c r="C1376" s="1">
        <v>-3.13292E-3</v>
      </c>
      <c r="D1376" s="1">
        <v>4.3531700000000001E-4</v>
      </c>
      <c r="E1376" s="1">
        <v>2.8168799999999999E-3</v>
      </c>
      <c r="F1376" s="1">
        <v>-9.873429999999999E-4</v>
      </c>
      <c r="G1376" s="1">
        <v>2.4455899999999999E-7</v>
      </c>
      <c r="H1376" s="1">
        <v>-8.6782600000000004E-4</v>
      </c>
    </row>
    <row r="1377" spans="2:8" x14ac:dyDescent="0.25">
      <c r="B1377" s="1">
        <v>323.56299999999999</v>
      </c>
      <c r="C1377" s="1">
        <v>-3.0410799999999998E-3</v>
      </c>
      <c r="D1377" s="1">
        <v>4.21882E-4</v>
      </c>
      <c r="E1377" s="1">
        <v>2.7228399999999998E-3</v>
      </c>
      <c r="F1377" s="1">
        <v>-9.4921600000000001E-4</v>
      </c>
      <c r="G1377" s="1">
        <v>-6.3836000000000002E-9</v>
      </c>
      <c r="H1377" s="1">
        <v>-8.4557999999999996E-4</v>
      </c>
    </row>
    <row r="1378" spans="2:8" x14ac:dyDescent="0.25">
      <c r="B1378" s="1">
        <v>325.69400000000002</v>
      </c>
      <c r="C1378" s="1">
        <v>-2.9500400000000001E-3</v>
      </c>
      <c r="D1378" s="1">
        <v>4.0875500000000001E-4</v>
      </c>
      <c r="E1378" s="1">
        <v>2.6308400000000002E-3</v>
      </c>
      <c r="F1378" s="1">
        <v>-9.1242600000000004E-4</v>
      </c>
      <c r="G1378" s="1">
        <v>-1.61118E-7</v>
      </c>
      <c r="H1378" s="1">
        <v>-8.2303400000000005E-4</v>
      </c>
    </row>
    <row r="1379" spans="2:8" x14ac:dyDescent="0.25">
      <c r="B1379" s="1">
        <v>327.82600000000002</v>
      </c>
      <c r="C1379" s="1">
        <v>-2.8594599999999999E-3</v>
      </c>
      <c r="D1379" s="1">
        <v>3.9586100000000001E-4</v>
      </c>
      <c r="E1379" s="1">
        <v>2.5417E-3</v>
      </c>
      <c r="F1379" s="1">
        <v>-8.7826199999999999E-4</v>
      </c>
      <c r="G1379" s="1">
        <v>-1.25561E-7</v>
      </c>
      <c r="H1379" s="1">
        <v>-8.0029500000000002E-4</v>
      </c>
    </row>
    <row r="1380" spans="2:8" x14ac:dyDescent="0.25">
      <c r="B1380" s="1">
        <v>329.95600000000002</v>
      </c>
      <c r="C1380" s="1">
        <v>-2.76925E-3</v>
      </c>
      <c r="D1380" s="1">
        <v>3.83142E-4</v>
      </c>
      <c r="E1380" s="1">
        <v>2.4558599999999998E-3</v>
      </c>
      <c r="F1380" s="1">
        <v>-8.4732799999999995E-4</v>
      </c>
      <c r="G1380" s="1">
        <v>1.04302E-7</v>
      </c>
      <c r="H1380" s="1">
        <v>-7.7747199999999997E-4</v>
      </c>
    </row>
    <row r="1381" spans="2:8" x14ac:dyDescent="0.25">
      <c r="B1381" s="1">
        <v>332.08800000000002</v>
      </c>
      <c r="C1381" s="1">
        <v>-2.6794200000000001E-3</v>
      </c>
      <c r="D1381" s="1">
        <v>3.7058399999999997E-4</v>
      </c>
      <c r="E1381" s="1">
        <v>2.37324E-3</v>
      </c>
      <c r="F1381" s="1">
        <v>-8.1939600000000001E-4</v>
      </c>
      <c r="G1381" s="1">
        <v>3.6955799999999998E-7</v>
      </c>
      <c r="H1381" s="1">
        <v>-7.5462499999999998E-4</v>
      </c>
    </row>
    <row r="1382" spans="2:8" x14ac:dyDescent="0.25">
      <c r="B1382" s="1">
        <v>334.21899999999999</v>
      </c>
      <c r="C1382" s="1">
        <v>-2.5899999999999999E-3</v>
      </c>
      <c r="D1382" s="1">
        <v>3.5820399999999999E-4</v>
      </c>
      <c r="E1382" s="1">
        <v>2.2932400000000002E-3</v>
      </c>
      <c r="F1382" s="1">
        <v>-7.9370899999999997E-4</v>
      </c>
      <c r="G1382" s="1">
        <v>4.6372900000000001E-7</v>
      </c>
      <c r="H1382" s="1">
        <v>-7.3179799999999998E-4</v>
      </c>
    </row>
    <row r="1383" spans="2:8" x14ac:dyDescent="0.25">
      <c r="B1383" s="1">
        <v>336.35</v>
      </c>
      <c r="C1383" s="1">
        <v>-2.50082E-3</v>
      </c>
      <c r="D1383" s="1">
        <v>3.45986E-4</v>
      </c>
      <c r="E1383" s="1">
        <v>2.2149399999999999E-3</v>
      </c>
      <c r="F1383" s="1">
        <v>-7.6943599999999997E-4</v>
      </c>
      <c r="G1383" s="1">
        <v>3.3225599999999998E-7</v>
      </c>
      <c r="H1383" s="1">
        <v>-7.0899299999999999E-4</v>
      </c>
    </row>
    <row r="1384" spans="2:8" x14ac:dyDescent="0.25">
      <c r="B1384" s="1">
        <v>338.48200000000003</v>
      </c>
      <c r="C1384" s="1">
        <v>-2.41151E-3</v>
      </c>
      <c r="D1384" s="1">
        <v>3.3386100000000002E-4</v>
      </c>
      <c r="E1384" s="1">
        <v>2.1372700000000001E-3</v>
      </c>
      <c r="F1384" s="1">
        <v>-7.4592599999999995E-4</v>
      </c>
      <c r="G1384" s="1">
        <v>1.04717E-7</v>
      </c>
      <c r="H1384" s="1">
        <v>-6.86208E-4</v>
      </c>
    </row>
    <row r="1385" spans="2:8" x14ac:dyDescent="0.25">
      <c r="B1385" s="1">
        <v>340.61399999999998</v>
      </c>
      <c r="C1385" s="1">
        <v>-2.3216000000000001E-3</v>
      </c>
      <c r="D1385" s="1">
        <v>3.21727E-4</v>
      </c>
      <c r="E1385" s="1">
        <v>2.0591099999999998E-3</v>
      </c>
      <c r="F1385" s="1">
        <v>-7.2261700000000005E-4</v>
      </c>
      <c r="G1385" s="1">
        <v>-5.2049300000000001E-8</v>
      </c>
      <c r="H1385" s="1">
        <v>-6.6342500000000004E-4</v>
      </c>
    </row>
    <row r="1386" spans="2:8" x14ac:dyDescent="0.25">
      <c r="B1386" s="1">
        <v>342.745</v>
      </c>
      <c r="C1386" s="1">
        <v>-2.23069E-3</v>
      </c>
      <c r="D1386" s="1">
        <v>3.09511E-4</v>
      </c>
      <c r="E1386" s="1">
        <v>1.9796200000000001E-3</v>
      </c>
      <c r="F1386" s="1">
        <v>-6.9891799999999998E-4</v>
      </c>
      <c r="G1386" s="1">
        <v>-1.08474E-7</v>
      </c>
      <c r="H1386" s="1">
        <v>-6.4058300000000002E-4</v>
      </c>
    </row>
    <row r="1387" spans="2:8" x14ac:dyDescent="0.25">
      <c r="B1387" s="1">
        <v>344.87799999999999</v>
      </c>
      <c r="C1387" s="1">
        <v>-2.1385599999999999E-3</v>
      </c>
      <c r="D1387" s="1">
        <v>2.9718300000000002E-4</v>
      </c>
      <c r="E1387" s="1">
        <v>1.8983299999999999E-3</v>
      </c>
      <c r="F1387" s="1">
        <v>-6.74447E-4</v>
      </c>
      <c r="G1387" s="1">
        <v>-1.3627399999999999E-7</v>
      </c>
      <c r="H1387" s="1">
        <v>-6.17631E-4</v>
      </c>
    </row>
    <row r="1388" spans="2:8" x14ac:dyDescent="0.25">
      <c r="B1388" s="1">
        <v>347.01</v>
      </c>
      <c r="C1388" s="1">
        <v>-2.04514E-3</v>
      </c>
      <c r="D1388" s="1">
        <v>2.8473799999999998E-4</v>
      </c>
      <c r="E1388" s="1">
        <v>1.81544E-3</v>
      </c>
      <c r="F1388" s="1">
        <v>-6.4941700000000001E-4</v>
      </c>
      <c r="G1388" s="1">
        <v>-1.62802E-7</v>
      </c>
      <c r="H1388" s="1">
        <v>-5.94543E-4</v>
      </c>
    </row>
    <row r="1389" spans="2:8" x14ac:dyDescent="0.25">
      <c r="B1389" s="1">
        <v>349.142</v>
      </c>
      <c r="C1389" s="1">
        <v>-1.9503999999999999E-3</v>
      </c>
      <c r="D1389" s="1">
        <v>2.7218300000000001E-4</v>
      </c>
      <c r="E1389" s="1">
        <v>1.7317299999999999E-3</v>
      </c>
      <c r="F1389" s="1">
        <v>-6.2472700000000005E-4</v>
      </c>
      <c r="G1389" s="1">
        <v>-1.1742499999999999E-7</v>
      </c>
      <c r="H1389" s="1">
        <v>-5.7133800000000001E-4</v>
      </c>
    </row>
    <row r="1390" spans="2:8" x14ac:dyDescent="0.25">
      <c r="B1390" s="1">
        <v>351.274</v>
      </c>
      <c r="C1390" s="1">
        <v>-1.8544799999999999E-3</v>
      </c>
      <c r="D1390" s="1">
        <v>2.5952100000000002E-4</v>
      </c>
      <c r="E1390" s="1">
        <v>1.64835E-3</v>
      </c>
      <c r="F1390" s="1">
        <v>-6.0156999999999995E-4</v>
      </c>
      <c r="G1390" s="1">
        <v>1.18852E-7</v>
      </c>
      <c r="H1390" s="1">
        <v>-5.4805800000000003E-4</v>
      </c>
    </row>
    <row r="1391" spans="2:8" x14ac:dyDescent="0.25">
      <c r="B1391" s="1">
        <v>353.40600000000001</v>
      </c>
      <c r="C1391" s="1">
        <v>-1.7576600000000001E-3</v>
      </c>
      <c r="D1391" s="1">
        <v>2.4676199999999998E-4</v>
      </c>
      <c r="E1391" s="1">
        <v>1.5664299999999999E-3</v>
      </c>
      <c r="F1391" s="1">
        <v>-5.8084399999999996E-4</v>
      </c>
      <c r="G1391" s="1">
        <v>6.1396899999999996E-7</v>
      </c>
      <c r="H1391" s="1">
        <v>-5.24706E-4</v>
      </c>
    </row>
    <row r="1392" spans="2:8" x14ac:dyDescent="0.25">
      <c r="B1392" s="1">
        <v>355.53899999999999</v>
      </c>
      <c r="C1392" s="1">
        <v>-1.6605299999999999E-3</v>
      </c>
      <c r="D1392" s="1">
        <v>2.3393E-4</v>
      </c>
      <c r="E1392" s="1">
        <v>1.48678E-3</v>
      </c>
      <c r="F1392" s="1">
        <v>-5.6277400000000004E-4</v>
      </c>
      <c r="G1392" s="1">
        <v>1.3301599999999999E-6</v>
      </c>
      <c r="H1392" s="1">
        <v>-5.0126399999999996E-4</v>
      </c>
    </row>
    <row r="1393" spans="2:8" x14ac:dyDescent="0.25">
      <c r="B1393" s="1">
        <v>357.67099999999999</v>
      </c>
      <c r="C1393" s="1">
        <v>-1.5638200000000001E-3</v>
      </c>
      <c r="D1393" s="1">
        <v>2.21077E-4</v>
      </c>
      <c r="E1393" s="1">
        <v>1.4098400000000001E-3</v>
      </c>
      <c r="F1393" s="1">
        <v>-5.46906E-4</v>
      </c>
      <c r="G1393" s="1">
        <v>2.1003200000000002E-6</v>
      </c>
      <c r="H1393" s="1">
        <v>-4.7771100000000002E-4</v>
      </c>
    </row>
    <row r="1394" spans="2:8" x14ac:dyDescent="0.25">
      <c r="B1394" s="1">
        <v>359.80399999999997</v>
      </c>
      <c r="C1394" s="1">
        <v>-1.4682899999999999E-3</v>
      </c>
      <c r="D1394" s="1">
        <v>2.08276E-4</v>
      </c>
      <c r="E1394" s="1">
        <v>1.3355800000000001E-3</v>
      </c>
      <c r="F1394" s="1">
        <v>-5.3230699999999998E-4</v>
      </c>
      <c r="G1394" s="1">
        <v>2.7246600000000001E-6</v>
      </c>
      <c r="H1394" s="1">
        <v>-4.5401600000000001E-4</v>
      </c>
    </row>
    <row r="1395" spans="2:8" x14ac:dyDescent="0.25">
      <c r="B1395" s="1">
        <v>361.93700000000001</v>
      </c>
      <c r="C1395" s="1">
        <v>-1.37458E-3</v>
      </c>
      <c r="D1395" s="1">
        <v>1.9559699999999999E-4</v>
      </c>
      <c r="E1395" s="1">
        <v>1.26359E-3</v>
      </c>
      <c r="F1395" s="1">
        <v>-5.1778600000000001E-4</v>
      </c>
      <c r="G1395" s="1">
        <v>3.03544E-6</v>
      </c>
      <c r="H1395" s="1">
        <v>-4.30142E-4</v>
      </c>
    </row>
    <row r="1396" spans="2:8" x14ac:dyDescent="0.25">
      <c r="B1396" s="1">
        <v>364.06900000000002</v>
      </c>
      <c r="C1396" s="1">
        <v>-1.28302E-3</v>
      </c>
      <c r="D1396" s="1">
        <v>1.83072E-4</v>
      </c>
      <c r="E1396" s="1">
        <v>1.19308E-3</v>
      </c>
      <c r="F1396" s="1">
        <v>-5.0211400000000001E-4</v>
      </c>
      <c r="G1396" s="1">
        <v>2.95871E-6</v>
      </c>
      <c r="H1396" s="1">
        <v>-4.0602999999999999E-4</v>
      </c>
    </row>
    <row r="1397" spans="2:8" x14ac:dyDescent="0.25">
      <c r="B1397" s="1">
        <v>366.202</v>
      </c>
      <c r="C1397" s="1">
        <v>-1.1936099999999999E-3</v>
      </c>
      <c r="D1397" s="1">
        <v>1.7065900000000001E-4</v>
      </c>
      <c r="E1397" s="1">
        <v>1.1229899999999999E-3</v>
      </c>
      <c r="F1397" s="1">
        <v>-4.8420199999999998E-4</v>
      </c>
      <c r="G1397" s="1">
        <v>2.5924299999999999E-6</v>
      </c>
      <c r="H1397" s="1">
        <v>-3.8156799999999999E-4</v>
      </c>
    </row>
    <row r="1398" spans="2:8" x14ac:dyDescent="0.25">
      <c r="B1398" s="1">
        <v>368.33499999999998</v>
      </c>
      <c r="C1398" s="1">
        <v>-1.106E-3</v>
      </c>
      <c r="D1398" s="1">
        <v>1.5828700000000001E-4</v>
      </c>
      <c r="E1398" s="1">
        <v>1.05211E-3</v>
      </c>
      <c r="F1398" s="1">
        <v>-4.6313000000000002E-4</v>
      </c>
      <c r="G1398" s="1">
        <v>2.11733E-6</v>
      </c>
      <c r="H1398" s="1">
        <v>-3.5662500000000001E-4</v>
      </c>
    </row>
    <row r="1399" spans="2:8" x14ac:dyDescent="0.25">
      <c r="B1399" s="1">
        <v>370.46800000000002</v>
      </c>
      <c r="C1399" s="1">
        <v>-1.01975E-3</v>
      </c>
      <c r="D1399" s="1">
        <v>1.4590499999999999E-4</v>
      </c>
      <c r="E1399" s="1">
        <v>9.7921500000000008E-4</v>
      </c>
      <c r="F1399" s="1">
        <v>-4.3813899999999999E-4</v>
      </c>
      <c r="G1399" s="1">
        <v>1.6952000000000001E-6</v>
      </c>
      <c r="H1399" s="1">
        <v>-3.31078E-4</v>
      </c>
    </row>
    <row r="1400" spans="2:8" x14ac:dyDescent="0.25">
      <c r="B1400" s="1">
        <v>372.601</v>
      </c>
      <c r="C1400" s="1">
        <v>-9.3446700000000002E-4</v>
      </c>
      <c r="D1400" s="1">
        <v>1.3351899999999999E-4</v>
      </c>
      <c r="E1400" s="1">
        <v>9.0340799999999997E-4</v>
      </c>
      <c r="F1400" s="1">
        <v>-4.0870199999999999E-4</v>
      </c>
      <c r="G1400" s="1">
        <v>1.40884E-6</v>
      </c>
      <c r="H1400" s="1">
        <v>-3.0483300000000001E-4</v>
      </c>
    </row>
    <row r="1401" spans="2:8" x14ac:dyDescent="0.25">
      <c r="B1401" s="1">
        <v>374.73399999999998</v>
      </c>
      <c r="C1401" s="1">
        <v>-8.4987300000000001E-4</v>
      </c>
      <c r="D1401" s="1">
        <v>1.2118299999999999E-4</v>
      </c>
      <c r="E1401" s="1">
        <v>8.2426999999999999E-4</v>
      </c>
      <c r="F1401" s="1">
        <v>-3.7462699999999999E-4</v>
      </c>
      <c r="G1401" s="1">
        <v>1.17846E-6</v>
      </c>
      <c r="H1401" s="1">
        <v>-2.7786800000000002E-4</v>
      </c>
    </row>
    <row r="1402" spans="2:8" x14ac:dyDescent="0.25">
      <c r="B1402" s="1">
        <v>376.86700000000002</v>
      </c>
      <c r="C1402" s="1">
        <v>-7.6575799999999996E-4</v>
      </c>
      <c r="D1402" s="1">
        <v>1.08961E-4</v>
      </c>
      <c r="E1402" s="1">
        <v>7.4191899999999996E-4</v>
      </c>
      <c r="F1402" s="1">
        <v>-3.3615000000000001E-4</v>
      </c>
      <c r="G1402" s="1">
        <v>8.0546199999999996E-7</v>
      </c>
      <c r="H1402" s="1">
        <v>-2.5022299999999999E-4</v>
      </c>
    </row>
    <row r="1403" spans="2:8" x14ac:dyDescent="0.25">
      <c r="B1403" s="1">
        <v>379</v>
      </c>
      <c r="C1403" s="1">
        <v>-6.81787E-4</v>
      </c>
      <c r="D1403" s="1">
        <v>9.6869700000000005E-5</v>
      </c>
      <c r="E1403" s="1">
        <v>6.5691100000000004E-4</v>
      </c>
      <c r="F1403" s="1">
        <v>-2.9411699999999999E-4</v>
      </c>
      <c r="G1403" s="1">
        <v>1.5190899999999999E-7</v>
      </c>
      <c r="H1403" s="1">
        <v>-2.2197300000000001E-4</v>
      </c>
    </row>
    <row r="1404" spans="2:8" x14ac:dyDescent="0.25">
      <c r="B1404" s="1">
        <v>381.13400000000001</v>
      </c>
      <c r="C1404" s="1">
        <v>-5.9730199999999997E-4</v>
      </c>
      <c r="D1404" s="1">
        <v>8.4838800000000005E-5</v>
      </c>
      <c r="E1404" s="1">
        <v>5.7003100000000003E-4</v>
      </c>
      <c r="F1404" s="1">
        <v>-2.5006699999999998E-4</v>
      </c>
      <c r="G1404" s="1">
        <v>-7.1597599999999998E-7</v>
      </c>
      <c r="H1404" s="1">
        <v>-1.93215E-4</v>
      </c>
    </row>
    <row r="1405" spans="2:8" x14ac:dyDescent="0.25">
      <c r="B1405" s="1">
        <v>383.267</v>
      </c>
      <c r="C1405" s="1">
        <v>-5.1141000000000001E-4</v>
      </c>
      <c r="D1405" s="1">
        <v>7.2709300000000005E-5</v>
      </c>
      <c r="E1405" s="1">
        <v>4.8204999999999998E-4</v>
      </c>
      <c r="F1405" s="1">
        <v>-2.0589E-4</v>
      </c>
      <c r="G1405" s="1">
        <v>-1.5051E-6</v>
      </c>
      <c r="H1405" s="1">
        <v>-1.6404599999999999E-4</v>
      </c>
    </row>
    <row r="1406" spans="2:8" x14ac:dyDescent="0.25">
      <c r="B1406" s="1">
        <v>385.4</v>
      </c>
      <c r="C1406" s="1">
        <v>-4.2331299999999998E-4</v>
      </c>
      <c r="D1406" s="1">
        <v>6.0295299999999999E-5</v>
      </c>
      <c r="E1406" s="1">
        <v>3.9357699999999999E-4</v>
      </c>
      <c r="F1406" s="1">
        <v>-1.6320199999999999E-4</v>
      </c>
      <c r="G1406" s="1">
        <v>-1.89746E-6</v>
      </c>
      <c r="H1406" s="1">
        <v>-1.3454E-4</v>
      </c>
    </row>
    <row r="1407" spans="2:8" x14ac:dyDescent="0.25">
      <c r="B1407" s="1">
        <v>387.53399999999999</v>
      </c>
      <c r="C1407" s="1">
        <v>-3.3260899999999999E-4</v>
      </c>
      <c r="D1407" s="1">
        <v>4.74739E-5</v>
      </c>
      <c r="E1407" s="1">
        <v>3.0509100000000001E-4</v>
      </c>
      <c r="F1407" s="1">
        <v>-1.2292E-4</v>
      </c>
      <c r="G1407" s="1">
        <v>-1.80618E-6</v>
      </c>
      <c r="H1407" s="1">
        <v>-1.0477E-4</v>
      </c>
    </row>
    <row r="1408" spans="2:8" x14ac:dyDescent="0.25">
      <c r="B1408" s="1">
        <v>389.66699999999997</v>
      </c>
      <c r="C1408" s="1">
        <v>-2.39445E-4</v>
      </c>
      <c r="D1408" s="1">
        <v>3.4237299999999998E-5</v>
      </c>
      <c r="E1408" s="1">
        <v>2.17018E-4</v>
      </c>
      <c r="F1408" s="1">
        <v>-8.5263699999999995E-5</v>
      </c>
      <c r="G1408" s="1">
        <v>-1.3808599999999999E-6</v>
      </c>
      <c r="H1408" s="1">
        <v>-7.4834300000000003E-5</v>
      </c>
    </row>
    <row r="1409" spans="1:8" x14ac:dyDescent="0.25">
      <c r="B1409" s="1">
        <v>391.8</v>
      </c>
      <c r="C1409" s="1">
        <v>-1.4440699999999999E-4</v>
      </c>
      <c r="D1409" s="1">
        <v>2.0673799999999998E-5</v>
      </c>
      <c r="E1409" s="1">
        <v>1.29689E-4</v>
      </c>
      <c r="F1409" s="1">
        <v>-4.9987700000000003E-5</v>
      </c>
      <c r="G1409" s="1">
        <v>-8.2749399999999996E-7</v>
      </c>
      <c r="H1409" s="1">
        <v>-4.48596E-5</v>
      </c>
    </row>
    <row r="1410" spans="1:8" x14ac:dyDescent="0.25">
      <c r="B1410" s="1">
        <v>393.93299999999999</v>
      </c>
      <c r="C1410" s="1">
        <v>-4.8255399999999999E-5</v>
      </c>
      <c r="D1410" s="1">
        <v>6.9128199999999998E-6</v>
      </c>
      <c r="E1410" s="1">
        <v>4.3120000000000001E-5</v>
      </c>
      <c r="F1410" s="1">
        <v>-1.6445600000000001E-5</v>
      </c>
      <c r="G1410" s="1">
        <v>-2.7151799999999998E-7</v>
      </c>
      <c r="H1410" s="1">
        <v>-1.49397E-5</v>
      </c>
    </row>
    <row r="1412" spans="1:8" x14ac:dyDescent="0.25">
      <c r="A1412" t="s">
        <v>383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Introduction</vt:lpstr>
      <vt:lpstr>&lt;U&gt;</vt:lpstr>
      <vt:lpstr>Rij</vt:lpstr>
      <vt:lpstr>Diss.</vt:lpstr>
      <vt:lpstr>DNS</vt:lpstr>
      <vt:lpstr>scalar</vt:lpstr>
      <vt:lpstr>Kawamura_scalar</vt:lpstr>
      <vt:lpstr>scalar!_11m_1</vt:lpstr>
      <vt:lpstr>scalar!_12m</vt:lpstr>
      <vt:lpstr>DNS!_395_1</vt:lpstr>
      <vt:lpstr>Kawamura_scalar!_395_diric</vt:lpstr>
      <vt:lpstr>scalar!diricm_1</vt:lpstr>
      <vt:lpstr>Diss.!diss1</vt:lpstr>
      <vt:lpstr>Rij!fluct1</vt:lpstr>
      <vt:lpstr>'&lt;U&gt;'!moy1_1</vt:lpstr>
      <vt:lpstr>scalar!neumam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Cedric Flageul</dc:creator>
  <cp:lastModifiedBy>Cedric Flageul</cp:lastModifiedBy>
  <dcterms:created xsi:type="dcterms:W3CDTF">2016-04-14T10:31:36Z</dcterms:created>
  <dcterms:modified xsi:type="dcterms:W3CDTF">2018-01-03T12:56:08Z</dcterms:modified>
</cp:coreProperties>
</file>